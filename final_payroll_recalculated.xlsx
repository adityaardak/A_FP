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prsh\Downloads\"/>
    </mc:Choice>
  </mc:AlternateContent>
  <xr:revisionPtr revIDLastSave="0" documentId="13_ncr:1_{9CE5DD38-F123-4166-8784-4E186F3BCF8D}" xr6:coauthVersionLast="47" xr6:coauthVersionMax="47" xr10:uidLastSave="{00000000-0000-0000-0000-000000000000}"/>
  <bookViews>
    <workbookView xWindow="-110" yWindow="-110" windowWidth="19420" windowHeight="10300" firstSheet="2" activeTab="6" xr2:uid="{00000000-000D-0000-FFFF-FFFF00000000}"/>
  </bookViews>
  <sheets>
    <sheet name="Employee_Info" sheetId="2" r:id="rId1"/>
    <sheet name="Final_Payroll" sheetId="1" r:id="rId2"/>
    <sheet name="Earnings" sheetId="3" r:id="rId3"/>
    <sheet name="Deductions" sheetId="4" r:id="rId4"/>
    <sheet name="Tax" sheetId="5" r:id="rId5"/>
    <sheet name="Overtime" sheetId="7" r:id="rId6"/>
    <sheet name="Performance" sheetId="8" r:id="rId7"/>
    <sheet name="Labour_Law_Rules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8" l="1"/>
  <c r="B2" i="8"/>
  <c r="B901" i="8" l="1"/>
  <c r="B900" i="8"/>
  <c r="B899" i="8"/>
  <c r="B898" i="8"/>
  <c r="B897" i="8"/>
  <c r="B896" i="8"/>
  <c r="B895" i="8"/>
  <c r="B894" i="8"/>
  <c r="B893" i="8"/>
  <c r="B892" i="8"/>
  <c r="B891" i="8"/>
  <c r="B890" i="8"/>
  <c r="B889" i="8"/>
  <c r="B888" i="8"/>
  <c r="B887" i="8"/>
  <c r="B886" i="8"/>
  <c r="B885" i="8"/>
  <c r="B884" i="8"/>
  <c r="B883" i="8"/>
  <c r="B882" i="8"/>
  <c r="B881" i="8"/>
  <c r="B880" i="8"/>
  <c r="B879" i="8"/>
  <c r="B878" i="8"/>
  <c r="B877" i="8"/>
  <c r="B876" i="8"/>
  <c r="B875" i="8"/>
  <c r="B874" i="8"/>
  <c r="B873" i="8"/>
  <c r="B872" i="8"/>
  <c r="B871" i="8"/>
  <c r="B870" i="8"/>
  <c r="B869" i="8"/>
  <c r="B868" i="8"/>
  <c r="B867" i="8"/>
  <c r="B866" i="8"/>
  <c r="B865" i="8"/>
  <c r="B864" i="8"/>
  <c r="B863" i="8"/>
  <c r="B862" i="8"/>
  <c r="B861" i="8"/>
  <c r="B860" i="8"/>
  <c r="B859" i="8"/>
  <c r="B858" i="8"/>
  <c r="B857" i="8"/>
  <c r="B856" i="8"/>
  <c r="B855" i="8"/>
  <c r="B854" i="8"/>
  <c r="B853" i="8"/>
  <c r="B852" i="8"/>
  <c r="B851" i="8"/>
  <c r="B850" i="8"/>
  <c r="B849" i="8"/>
  <c r="B848" i="8"/>
  <c r="B847" i="8"/>
  <c r="B846" i="8"/>
  <c r="B845" i="8"/>
  <c r="B844" i="8"/>
  <c r="B843" i="8"/>
  <c r="B842" i="8"/>
  <c r="B841" i="8"/>
  <c r="B840" i="8"/>
  <c r="B839" i="8"/>
  <c r="B838" i="8"/>
  <c r="B837" i="8"/>
  <c r="B836" i="8"/>
  <c r="B835" i="8"/>
  <c r="B834" i="8"/>
  <c r="B833" i="8"/>
  <c r="B832" i="8"/>
  <c r="B831" i="8"/>
  <c r="B830" i="8"/>
  <c r="B829" i="8"/>
  <c r="B828" i="8"/>
  <c r="B827" i="8"/>
  <c r="B826" i="8"/>
  <c r="B825" i="8"/>
  <c r="B824" i="8"/>
  <c r="B823" i="8"/>
  <c r="B822" i="8"/>
  <c r="B821" i="8"/>
  <c r="B820" i="8"/>
  <c r="B819" i="8"/>
  <c r="B818" i="8"/>
  <c r="B817" i="8"/>
  <c r="B816" i="8"/>
  <c r="B815" i="8"/>
  <c r="B814" i="8"/>
  <c r="B813" i="8"/>
  <c r="B812" i="8"/>
  <c r="B811" i="8"/>
  <c r="B810" i="8"/>
  <c r="B809" i="8"/>
  <c r="B808" i="8"/>
  <c r="B807" i="8"/>
  <c r="B806" i="8"/>
  <c r="B805" i="8"/>
  <c r="B804" i="8"/>
  <c r="B803" i="8"/>
  <c r="B802" i="8"/>
  <c r="B801" i="8"/>
  <c r="B800" i="8"/>
  <c r="B799" i="8"/>
  <c r="B798" i="8"/>
  <c r="B797" i="8"/>
  <c r="B796" i="8"/>
  <c r="B795" i="8"/>
  <c r="B794" i="8"/>
  <c r="B793" i="8"/>
  <c r="B792" i="8"/>
  <c r="B791" i="8"/>
  <c r="B790" i="8"/>
  <c r="B789" i="8"/>
  <c r="B788" i="8"/>
  <c r="B787" i="8"/>
  <c r="B786" i="8"/>
  <c r="B785" i="8"/>
  <c r="B784" i="8"/>
  <c r="B783" i="8"/>
  <c r="B782" i="8"/>
  <c r="B781" i="8"/>
  <c r="B780" i="8"/>
  <c r="B779" i="8"/>
  <c r="B778" i="8"/>
  <c r="B777" i="8"/>
  <c r="B776" i="8"/>
  <c r="B775" i="8"/>
  <c r="B774" i="8"/>
  <c r="B773" i="8"/>
  <c r="B772" i="8"/>
  <c r="B771" i="8"/>
  <c r="B770" i="8"/>
  <c r="B769" i="8"/>
  <c r="B768" i="8"/>
  <c r="B767" i="8"/>
  <c r="B766" i="8"/>
  <c r="B765" i="8"/>
  <c r="B764" i="8"/>
  <c r="B763" i="8"/>
  <c r="B762" i="8"/>
  <c r="B761" i="8"/>
  <c r="B760" i="8"/>
  <c r="B759" i="8"/>
  <c r="B758" i="8"/>
  <c r="B757" i="8"/>
  <c r="B756" i="8"/>
  <c r="B755" i="8"/>
  <c r="B754" i="8"/>
  <c r="B753" i="8"/>
  <c r="B752" i="8"/>
  <c r="B751" i="8"/>
  <c r="B750" i="8"/>
  <c r="B749" i="8"/>
  <c r="B748" i="8"/>
  <c r="B747" i="8"/>
  <c r="B746" i="8"/>
  <c r="B745" i="8"/>
  <c r="B744" i="8"/>
  <c r="B743" i="8"/>
  <c r="B742" i="8"/>
  <c r="B741" i="8"/>
  <c r="B740" i="8"/>
  <c r="B739" i="8"/>
  <c r="B738" i="8"/>
  <c r="B737" i="8"/>
  <c r="B736" i="8"/>
  <c r="B735" i="8"/>
  <c r="B734" i="8"/>
  <c r="B733" i="8"/>
  <c r="B732" i="8"/>
  <c r="B731" i="8"/>
  <c r="B730" i="8"/>
  <c r="B729" i="8"/>
  <c r="B728" i="8"/>
  <c r="B727" i="8"/>
  <c r="B726" i="8"/>
  <c r="B725" i="8"/>
  <c r="B724" i="8"/>
  <c r="B723" i="8"/>
  <c r="B722" i="8"/>
  <c r="B721" i="8"/>
  <c r="B720" i="8"/>
  <c r="B719" i="8"/>
  <c r="B718" i="8"/>
  <c r="B717" i="8"/>
  <c r="B716" i="8"/>
  <c r="B715" i="8"/>
  <c r="B714" i="8"/>
  <c r="B713" i="8"/>
  <c r="B712" i="8"/>
  <c r="B711" i="8"/>
  <c r="B710" i="8"/>
  <c r="B709" i="8"/>
  <c r="B708" i="8"/>
  <c r="B707" i="8"/>
  <c r="B706" i="8"/>
  <c r="B705" i="8"/>
  <c r="B704" i="8"/>
  <c r="B703" i="8"/>
  <c r="B702" i="8"/>
  <c r="B701" i="8"/>
  <c r="B700" i="8"/>
  <c r="B699" i="8"/>
  <c r="B698" i="8"/>
  <c r="B697" i="8"/>
  <c r="B696" i="8"/>
  <c r="B695" i="8"/>
  <c r="B694" i="8"/>
  <c r="B693" i="8"/>
  <c r="B692" i="8"/>
  <c r="B691" i="8"/>
  <c r="B690" i="8"/>
  <c r="B689" i="8"/>
  <c r="B688" i="8"/>
  <c r="B687" i="8"/>
  <c r="B686" i="8"/>
  <c r="B685" i="8"/>
  <c r="B684" i="8"/>
  <c r="B683" i="8"/>
  <c r="B682" i="8"/>
  <c r="B681" i="8"/>
  <c r="B680" i="8"/>
  <c r="B679" i="8"/>
  <c r="B678" i="8"/>
  <c r="B677" i="8"/>
  <c r="B676" i="8"/>
  <c r="B675" i="8"/>
  <c r="B674" i="8"/>
  <c r="B673" i="8"/>
  <c r="B672" i="8"/>
  <c r="B671" i="8"/>
  <c r="B670" i="8"/>
  <c r="B669" i="8"/>
  <c r="B668" i="8"/>
  <c r="B667" i="8"/>
  <c r="B666" i="8"/>
  <c r="B665" i="8"/>
  <c r="B664" i="8"/>
  <c r="B663" i="8"/>
  <c r="B662" i="8"/>
  <c r="B661" i="8"/>
  <c r="B660" i="8"/>
  <c r="B659" i="8"/>
  <c r="B658" i="8"/>
  <c r="B657" i="8"/>
  <c r="B656" i="8"/>
  <c r="B655" i="8"/>
  <c r="B654" i="8"/>
  <c r="B653" i="8"/>
  <c r="B652" i="8"/>
  <c r="B651" i="8"/>
  <c r="B650" i="8"/>
  <c r="B649" i="8"/>
  <c r="B648" i="8"/>
  <c r="B647" i="8"/>
  <c r="B646" i="8"/>
  <c r="B645" i="8"/>
  <c r="B644" i="8"/>
  <c r="B643" i="8"/>
  <c r="B642" i="8"/>
  <c r="B641" i="8"/>
  <c r="B640" i="8"/>
  <c r="B639" i="8"/>
  <c r="B638" i="8"/>
  <c r="B637" i="8"/>
  <c r="B636" i="8"/>
  <c r="B635" i="8"/>
  <c r="B634" i="8"/>
  <c r="B633" i="8"/>
  <c r="B632" i="8"/>
  <c r="B631" i="8"/>
  <c r="B630" i="8"/>
  <c r="B629" i="8"/>
  <c r="B628" i="8"/>
  <c r="B627" i="8"/>
  <c r="B626" i="8"/>
  <c r="B625" i="8"/>
  <c r="B624" i="8"/>
  <c r="B623" i="8"/>
  <c r="B622" i="8"/>
  <c r="B621" i="8"/>
  <c r="B620" i="8"/>
  <c r="B619" i="8"/>
  <c r="B618" i="8"/>
  <c r="B617" i="8"/>
  <c r="B616" i="8"/>
  <c r="B615" i="8"/>
  <c r="B614" i="8"/>
  <c r="B613" i="8"/>
  <c r="B612" i="8"/>
  <c r="B611" i="8"/>
  <c r="B610" i="8"/>
  <c r="B609" i="8"/>
  <c r="B608" i="8"/>
  <c r="B607" i="8"/>
  <c r="B606" i="8"/>
  <c r="B605" i="8"/>
  <c r="B604" i="8"/>
  <c r="B603" i="8"/>
  <c r="B602" i="8"/>
  <c r="B601" i="8"/>
  <c r="B600" i="8"/>
  <c r="B599" i="8"/>
  <c r="B598" i="8"/>
  <c r="B597" i="8"/>
  <c r="B596" i="8"/>
  <c r="B595" i="8"/>
  <c r="B594" i="8"/>
  <c r="B593" i="8"/>
  <c r="B592" i="8"/>
  <c r="B591" i="8"/>
  <c r="B590" i="8"/>
  <c r="B589" i="8"/>
  <c r="B588" i="8"/>
  <c r="B587" i="8"/>
  <c r="B586" i="8"/>
  <c r="B585" i="8"/>
  <c r="B584" i="8"/>
  <c r="B583" i="8"/>
  <c r="B582" i="8"/>
  <c r="B581" i="8"/>
  <c r="B580" i="8"/>
  <c r="B579" i="8"/>
  <c r="B578" i="8"/>
  <c r="B577" i="8"/>
  <c r="B576" i="8"/>
  <c r="B575" i="8"/>
  <c r="B574" i="8"/>
  <c r="B573" i="8"/>
  <c r="B572" i="8"/>
  <c r="B571" i="8"/>
  <c r="B570" i="8"/>
  <c r="B569" i="8"/>
  <c r="B568" i="8"/>
  <c r="B567" i="8"/>
  <c r="B566" i="8"/>
  <c r="B565" i="8"/>
  <c r="B564" i="8"/>
  <c r="B563" i="8"/>
  <c r="B562" i="8"/>
  <c r="B561" i="8"/>
  <c r="B560" i="8"/>
  <c r="B559" i="8"/>
  <c r="B558" i="8"/>
  <c r="B557" i="8"/>
  <c r="B556" i="8"/>
  <c r="B555" i="8"/>
  <c r="B554" i="8"/>
  <c r="B553" i="8"/>
  <c r="B552" i="8"/>
  <c r="B551" i="8"/>
  <c r="B550" i="8"/>
  <c r="B549" i="8"/>
  <c r="B548" i="8"/>
  <c r="B547" i="8"/>
  <c r="B546" i="8"/>
  <c r="B545" i="8"/>
  <c r="B544" i="8"/>
  <c r="B543" i="8"/>
  <c r="B542" i="8"/>
  <c r="B541" i="8"/>
  <c r="B540" i="8"/>
  <c r="B539" i="8"/>
  <c r="B538" i="8"/>
  <c r="B537" i="8"/>
  <c r="B536" i="8"/>
  <c r="B535" i="8"/>
  <c r="B534" i="8"/>
  <c r="B533" i="8"/>
  <c r="B532" i="8"/>
  <c r="B531" i="8"/>
  <c r="B530" i="8"/>
  <c r="B529" i="8"/>
  <c r="B528" i="8"/>
  <c r="B527" i="8"/>
  <c r="B526" i="8"/>
  <c r="B525" i="8"/>
  <c r="B524" i="8"/>
  <c r="B523" i="8"/>
  <c r="B522" i="8"/>
  <c r="B521" i="8"/>
  <c r="B520" i="8"/>
  <c r="B519" i="8"/>
  <c r="B518" i="8"/>
  <c r="B517" i="8"/>
  <c r="B516" i="8"/>
  <c r="B515" i="8"/>
  <c r="B514" i="8"/>
  <c r="B513" i="8"/>
  <c r="B512" i="8"/>
  <c r="B511" i="8"/>
  <c r="B510" i="8"/>
  <c r="B509" i="8"/>
  <c r="B508" i="8"/>
  <c r="B507" i="8"/>
  <c r="B506" i="8"/>
  <c r="B505" i="8"/>
  <c r="B504" i="8"/>
  <c r="B503" i="8"/>
  <c r="B502" i="8"/>
  <c r="B501" i="8"/>
  <c r="B500" i="8"/>
  <c r="B499" i="8"/>
  <c r="B498" i="8"/>
  <c r="B497" i="8"/>
  <c r="B496" i="8"/>
  <c r="B495" i="8"/>
  <c r="B494" i="8"/>
  <c r="B493" i="8"/>
  <c r="B492" i="8"/>
  <c r="B491" i="8"/>
  <c r="B490" i="8"/>
  <c r="B489" i="8"/>
  <c r="B488" i="8"/>
  <c r="B487" i="8"/>
  <c r="B486" i="8"/>
  <c r="B485" i="8"/>
  <c r="B484" i="8"/>
  <c r="B483" i="8"/>
  <c r="B482" i="8"/>
  <c r="B481" i="8"/>
  <c r="B480" i="8"/>
  <c r="B479" i="8"/>
  <c r="B478" i="8"/>
  <c r="B477" i="8"/>
  <c r="B476" i="8"/>
  <c r="B475" i="8"/>
  <c r="B474" i="8"/>
  <c r="B473" i="8"/>
  <c r="B472" i="8"/>
  <c r="B471" i="8"/>
  <c r="B470" i="8"/>
  <c r="B469" i="8"/>
  <c r="B468" i="8"/>
  <c r="B467" i="8"/>
  <c r="B466" i="8"/>
  <c r="B465" i="8"/>
  <c r="B464" i="8"/>
  <c r="B463" i="8"/>
  <c r="B462" i="8"/>
  <c r="B461" i="8"/>
  <c r="B460" i="8"/>
  <c r="B459" i="8"/>
  <c r="B458" i="8"/>
  <c r="B457" i="8"/>
  <c r="B456" i="8"/>
  <c r="B455" i="8"/>
  <c r="B454" i="8"/>
  <c r="B453" i="8"/>
  <c r="B452" i="8"/>
  <c r="B451" i="8"/>
  <c r="B450" i="8"/>
  <c r="B449" i="8"/>
  <c r="B448" i="8"/>
  <c r="B447" i="8"/>
  <c r="B446" i="8"/>
  <c r="B445" i="8"/>
  <c r="B444" i="8"/>
  <c r="B443" i="8"/>
  <c r="B442" i="8"/>
  <c r="B441" i="8"/>
  <c r="B440" i="8"/>
  <c r="B439" i="8"/>
  <c r="B438" i="8"/>
  <c r="B437" i="8"/>
  <c r="B436" i="8"/>
  <c r="B435" i="8"/>
  <c r="B434" i="8"/>
  <c r="B433" i="8"/>
  <c r="B432" i="8"/>
  <c r="B431" i="8"/>
  <c r="B430" i="8"/>
  <c r="B429" i="8"/>
  <c r="B428" i="8"/>
  <c r="B427" i="8"/>
  <c r="B426" i="8"/>
  <c r="B425" i="8"/>
  <c r="B424" i="8"/>
  <c r="B423" i="8"/>
  <c r="B422" i="8"/>
  <c r="B421" i="8"/>
  <c r="B420" i="8"/>
  <c r="B419" i="8"/>
  <c r="B418" i="8"/>
  <c r="B417" i="8"/>
  <c r="B416" i="8"/>
  <c r="B415" i="8"/>
  <c r="B414" i="8"/>
  <c r="B413" i="8"/>
  <c r="B412" i="8"/>
  <c r="B411" i="8"/>
  <c r="B410" i="8"/>
  <c r="B409" i="8"/>
  <c r="B408" i="8"/>
  <c r="B407" i="8"/>
  <c r="B406" i="8"/>
  <c r="B405" i="8"/>
  <c r="B404" i="8"/>
  <c r="B403" i="8"/>
  <c r="B402" i="8"/>
  <c r="B401" i="8"/>
  <c r="B400" i="8"/>
  <c r="B399" i="8"/>
  <c r="B398" i="8"/>
  <c r="B397" i="8"/>
  <c r="B396" i="8"/>
  <c r="B395" i="8"/>
  <c r="B394" i="8"/>
  <c r="B393" i="8"/>
  <c r="B392" i="8"/>
  <c r="B391" i="8"/>
  <c r="B390" i="8"/>
  <c r="B389" i="8"/>
  <c r="B388" i="8"/>
  <c r="B387" i="8"/>
  <c r="B386" i="8"/>
  <c r="B385" i="8"/>
  <c r="B384" i="8"/>
  <c r="B383" i="8"/>
  <c r="B382" i="8"/>
  <c r="B381" i="8"/>
  <c r="B380" i="8"/>
  <c r="B379" i="8"/>
  <c r="B378" i="8"/>
  <c r="B377" i="8"/>
  <c r="B376" i="8"/>
  <c r="B375" i="8"/>
  <c r="B374" i="8"/>
  <c r="B373" i="8"/>
  <c r="B372" i="8"/>
  <c r="B371" i="8"/>
  <c r="B370" i="8"/>
  <c r="B369" i="8"/>
  <c r="B368" i="8"/>
  <c r="B367" i="8"/>
  <c r="B366" i="8"/>
  <c r="B365" i="8"/>
  <c r="B364" i="8"/>
  <c r="B363" i="8"/>
  <c r="B362" i="8"/>
  <c r="B361" i="8"/>
  <c r="B360" i="8"/>
  <c r="B359" i="8"/>
  <c r="B358" i="8"/>
  <c r="B357" i="8"/>
  <c r="B356" i="8"/>
  <c r="B355" i="8"/>
  <c r="B354" i="8"/>
  <c r="B353" i="8"/>
  <c r="B352" i="8"/>
  <c r="B351" i="8"/>
  <c r="B350" i="8"/>
  <c r="B349" i="8"/>
  <c r="B348" i="8"/>
  <c r="B347" i="8"/>
  <c r="B346" i="8"/>
  <c r="B345" i="8"/>
  <c r="B344" i="8"/>
  <c r="B343" i="8"/>
  <c r="B342" i="8"/>
  <c r="B341" i="8"/>
  <c r="B340" i="8"/>
  <c r="B339" i="8"/>
  <c r="B338" i="8"/>
  <c r="B337" i="8"/>
  <c r="B336" i="8"/>
  <c r="B335" i="8"/>
  <c r="B334" i="8"/>
  <c r="B333" i="8"/>
  <c r="B332" i="8"/>
  <c r="B331" i="8"/>
  <c r="B330" i="8"/>
  <c r="B329" i="8"/>
  <c r="B328" i="8"/>
  <c r="B327" i="8"/>
  <c r="B326" i="8"/>
  <c r="B325" i="8"/>
  <c r="B324" i="8"/>
  <c r="B323" i="8"/>
  <c r="B322" i="8"/>
  <c r="B321" i="8"/>
  <c r="B320" i="8"/>
  <c r="B319" i="8"/>
  <c r="B318" i="8"/>
  <c r="B317" i="8"/>
  <c r="B316" i="8"/>
  <c r="B315" i="8"/>
  <c r="B314" i="8"/>
  <c r="B313" i="8"/>
  <c r="B312" i="8"/>
  <c r="B311" i="8"/>
  <c r="B310" i="8"/>
  <c r="B309" i="8"/>
  <c r="B308" i="8"/>
  <c r="B307" i="8"/>
  <c r="B306" i="8"/>
  <c r="B305" i="8"/>
  <c r="B304" i="8"/>
  <c r="B303" i="8"/>
  <c r="B302" i="8"/>
  <c r="B301" i="8"/>
  <c r="B300" i="8"/>
  <c r="B299" i="8"/>
  <c r="B298" i="8"/>
  <c r="B297" i="8"/>
  <c r="B296" i="8"/>
  <c r="B295" i="8"/>
  <c r="B294" i="8"/>
  <c r="B293" i="8"/>
  <c r="B292" i="8"/>
  <c r="B291" i="8"/>
  <c r="B290" i="8"/>
  <c r="B289" i="8"/>
  <c r="B288" i="8"/>
  <c r="B287" i="8"/>
  <c r="B286" i="8"/>
  <c r="B285" i="8"/>
  <c r="B284" i="8"/>
  <c r="B283" i="8"/>
  <c r="B282" i="8"/>
  <c r="B281" i="8"/>
  <c r="B280" i="8"/>
  <c r="B279" i="8"/>
  <c r="B278" i="8"/>
  <c r="B277" i="8"/>
  <c r="B276" i="8"/>
  <c r="B275" i="8"/>
  <c r="B274" i="8"/>
  <c r="B273" i="8"/>
  <c r="B272" i="8"/>
  <c r="B271" i="8"/>
  <c r="B270" i="8"/>
  <c r="B269" i="8"/>
  <c r="B268" i="8"/>
  <c r="B267" i="8"/>
  <c r="B266" i="8"/>
  <c r="B265" i="8"/>
  <c r="B264" i="8"/>
  <c r="B263" i="8"/>
  <c r="B262" i="8"/>
  <c r="B261" i="8"/>
  <c r="B260" i="8"/>
  <c r="B259" i="8"/>
  <c r="B258" i="8"/>
  <c r="B257" i="8"/>
  <c r="B256" i="8"/>
  <c r="B255" i="8"/>
  <c r="B254" i="8"/>
  <c r="B253" i="8"/>
  <c r="B252" i="8"/>
  <c r="B251" i="8"/>
  <c r="B250" i="8"/>
  <c r="B249" i="8"/>
  <c r="B248" i="8"/>
  <c r="B247" i="8"/>
  <c r="B246" i="8"/>
  <c r="B245" i="8"/>
  <c r="B244" i="8"/>
  <c r="B243" i="8"/>
  <c r="B242" i="8"/>
  <c r="B241" i="8"/>
  <c r="B240" i="8"/>
  <c r="B239" i="8"/>
  <c r="B238" i="8"/>
  <c r="B237" i="8"/>
  <c r="B236" i="8"/>
  <c r="B235" i="8"/>
  <c r="B234" i="8"/>
  <c r="B233" i="8"/>
  <c r="B232" i="8"/>
  <c r="B231" i="8"/>
  <c r="B230" i="8"/>
  <c r="B229" i="8"/>
  <c r="B228" i="8"/>
  <c r="B227" i="8"/>
  <c r="B226" i="8"/>
  <c r="B225" i="8"/>
  <c r="B224" i="8"/>
  <c r="B223" i="8"/>
  <c r="B222" i="8"/>
  <c r="B221" i="8"/>
  <c r="B220" i="8"/>
  <c r="B219" i="8"/>
  <c r="B218" i="8"/>
  <c r="B217" i="8"/>
  <c r="B216" i="8"/>
  <c r="B215" i="8"/>
  <c r="B214" i="8"/>
  <c r="B213" i="8"/>
  <c r="B212" i="8"/>
  <c r="B211" i="8"/>
  <c r="B210" i="8"/>
  <c r="B209" i="8"/>
  <c r="B208" i="8"/>
  <c r="B207" i="8"/>
  <c r="B206" i="8"/>
  <c r="B205" i="8"/>
  <c r="B204" i="8"/>
  <c r="B203" i="8"/>
  <c r="B202" i="8"/>
  <c r="B201" i="8"/>
  <c r="B200" i="8"/>
  <c r="B199" i="8"/>
  <c r="B198" i="8"/>
  <c r="B197" i="8"/>
  <c r="B196" i="8"/>
  <c r="B195" i="8"/>
  <c r="B194" i="8"/>
  <c r="B193" i="8"/>
  <c r="B192" i="8"/>
  <c r="B191" i="8"/>
  <c r="B190" i="8"/>
  <c r="B189" i="8"/>
  <c r="B188" i="8"/>
  <c r="B187" i="8"/>
  <c r="B186" i="8"/>
  <c r="B185" i="8"/>
  <c r="B184" i="8"/>
  <c r="B183" i="8"/>
  <c r="B182" i="8"/>
  <c r="B181" i="8"/>
  <c r="B180" i="8"/>
  <c r="B179" i="8"/>
  <c r="B178" i="8"/>
  <c r="B177" i="8"/>
  <c r="B176" i="8"/>
  <c r="B175" i="8"/>
  <c r="B174" i="8"/>
  <c r="B173" i="8"/>
  <c r="B172" i="8"/>
  <c r="B171" i="8"/>
  <c r="B170" i="8"/>
  <c r="B169" i="8"/>
  <c r="B168" i="8"/>
  <c r="B167" i="8"/>
  <c r="B166" i="8"/>
  <c r="B165" i="8"/>
  <c r="B164" i="8"/>
  <c r="B163" i="8"/>
  <c r="B162" i="8"/>
  <c r="B161" i="8"/>
  <c r="B160" i="8"/>
  <c r="B159" i="8"/>
  <c r="B158" i="8"/>
  <c r="B157" i="8"/>
  <c r="B156" i="8"/>
  <c r="B155" i="8"/>
  <c r="B154" i="8"/>
  <c r="B153" i="8"/>
  <c r="B152" i="8"/>
  <c r="B151" i="8"/>
  <c r="B150" i="8"/>
  <c r="B149" i="8"/>
  <c r="B148" i="8"/>
  <c r="B147" i="8"/>
  <c r="B146" i="8"/>
  <c r="B145" i="8"/>
  <c r="B144" i="8"/>
  <c r="B143" i="8"/>
  <c r="B142" i="8"/>
  <c r="B141" i="8"/>
  <c r="B140" i="8"/>
  <c r="B139" i="8"/>
  <c r="B138" i="8"/>
  <c r="B137" i="8"/>
  <c r="B136" i="8"/>
  <c r="B135" i="8"/>
  <c r="B134" i="8"/>
  <c r="B133" i="8"/>
  <c r="B132" i="8"/>
  <c r="B131" i="8"/>
  <c r="B130" i="8"/>
  <c r="B129" i="8"/>
  <c r="B128" i="8"/>
  <c r="B127" i="8"/>
  <c r="B126" i="8"/>
  <c r="B125" i="8"/>
  <c r="B124" i="8"/>
  <c r="B123" i="8"/>
  <c r="B122" i="8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108" i="8"/>
  <c r="B107" i="8"/>
  <c r="B106" i="8"/>
  <c r="B105" i="8"/>
  <c r="B104" i="8"/>
  <c r="B103" i="8"/>
  <c r="B102" i="8"/>
  <c r="B101" i="8"/>
  <c r="B100" i="8"/>
  <c r="B99" i="8"/>
  <c r="B98" i="8"/>
  <c r="B97" i="8"/>
  <c r="B96" i="8"/>
  <c r="B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C901" i="7"/>
  <c r="D901" i="7" s="1"/>
  <c r="D900" i="7"/>
  <c r="C900" i="7"/>
  <c r="C899" i="7"/>
  <c r="D899" i="7" s="1"/>
  <c r="D898" i="7"/>
  <c r="C898" i="7"/>
  <c r="C897" i="7"/>
  <c r="D897" i="7" s="1"/>
  <c r="D896" i="7"/>
  <c r="C896" i="7"/>
  <c r="C895" i="7"/>
  <c r="D895" i="7" s="1"/>
  <c r="C894" i="7"/>
  <c r="D894" i="7" s="1"/>
  <c r="C893" i="7"/>
  <c r="D893" i="7" s="1"/>
  <c r="D892" i="7"/>
  <c r="C892" i="7"/>
  <c r="C891" i="7"/>
  <c r="D891" i="7" s="1"/>
  <c r="D890" i="7"/>
  <c r="C890" i="7"/>
  <c r="C889" i="7"/>
  <c r="D889" i="7" s="1"/>
  <c r="D888" i="7"/>
  <c r="C888" i="7"/>
  <c r="C887" i="7"/>
  <c r="D887" i="7" s="1"/>
  <c r="C886" i="7"/>
  <c r="D886" i="7" s="1"/>
  <c r="C885" i="7"/>
  <c r="D885" i="7" s="1"/>
  <c r="D884" i="7"/>
  <c r="C884" i="7"/>
  <c r="C883" i="7"/>
  <c r="D883" i="7" s="1"/>
  <c r="D882" i="7"/>
  <c r="C882" i="7"/>
  <c r="C881" i="7"/>
  <c r="D881" i="7" s="1"/>
  <c r="D880" i="7"/>
  <c r="C880" i="7"/>
  <c r="C879" i="7"/>
  <c r="D879" i="7" s="1"/>
  <c r="C878" i="7"/>
  <c r="D878" i="7" s="1"/>
  <c r="C877" i="7"/>
  <c r="D877" i="7" s="1"/>
  <c r="D876" i="7"/>
  <c r="C876" i="7"/>
  <c r="C875" i="7"/>
  <c r="D875" i="7" s="1"/>
  <c r="D874" i="7"/>
  <c r="C874" i="7"/>
  <c r="C873" i="7"/>
  <c r="D873" i="7" s="1"/>
  <c r="D872" i="7"/>
  <c r="C872" i="7"/>
  <c r="C871" i="7"/>
  <c r="D871" i="7" s="1"/>
  <c r="C870" i="7"/>
  <c r="D870" i="7" s="1"/>
  <c r="C869" i="7"/>
  <c r="D869" i="7" s="1"/>
  <c r="D868" i="7"/>
  <c r="C868" i="7"/>
  <c r="C867" i="7"/>
  <c r="D867" i="7" s="1"/>
  <c r="D866" i="7"/>
  <c r="C866" i="7"/>
  <c r="C865" i="7"/>
  <c r="D865" i="7" s="1"/>
  <c r="D864" i="7"/>
  <c r="C864" i="7"/>
  <c r="C863" i="7"/>
  <c r="D863" i="7" s="1"/>
  <c r="C862" i="7"/>
  <c r="D862" i="7" s="1"/>
  <c r="C861" i="7"/>
  <c r="D861" i="7" s="1"/>
  <c r="D860" i="7"/>
  <c r="C860" i="7"/>
  <c r="C859" i="7"/>
  <c r="D859" i="7" s="1"/>
  <c r="D858" i="7"/>
  <c r="C858" i="7"/>
  <c r="C857" i="7"/>
  <c r="D857" i="7" s="1"/>
  <c r="D856" i="7"/>
  <c r="C856" i="7"/>
  <c r="C855" i="7"/>
  <c r="D855" i="7" s="1"/>
  <c r="C854" i="7"/>
  <c r="D854" i="7" s="1"/>
  <c r="C853" i="7"/>
  <c r="D853" i="7" s="1"/>
  <c r="D852" i="7"/>
  <c r="C852" i="7"/>
  <c r="C851" i="7"/>
  <c r="D851" i="7" s="1"/>
  <c r="D850" i="7"/>
  <c r="C850" i="7"/>
  <c r="C849" i="7"/>
  <c r="D849" i="7" s="1"/>
  <c r="D848" i="7"/>
  <c r="C848" i="7"/>
  <c r="C847" i="7"/>
  <c r="D847" i="7" s="1"/>
  <c r="C846" i="7"/>
  <c r="D846" i="7" s="1"/>
  <c r="C845" i="7"/>
  <c r="D845" i="7" s="1"/>
  <c r="D844" i="7"/>
  <c r="C844" i="7"/>
  <c r="C843" i="7"/>
  <c r="D843" i="7" s="1"/>
  <c r="D842" i="7"/>
  <c r="C842" i="7"/>
  <c r="C841" i="7"/>
  <c r="D841" i="7" s="1"/>
  <c r="D840" i="7"/>
  <c r="C840" i="7"/>
  <c r="C839" i="7"/>
  <c r="D839" i="7" s="1"/>
  <c r="C838" i="7"/>
  <c r="D838" i="7" s="1"/>
  <c r="C837" i="7"/>
  <c r="D837" i="7" s="1"/>
  <c r="D836" i="7"/>
  <c r="C836" i="7"/>
  <c r="C835" i="7"/>
  <c r="D835" i="7" s="1"/>
  <c r="D834" i="7"/>
  <c r="C834" i="7"/>
  <c r="C833" i="7"/>
  <c r="D833" i="7" s="1"/>
  <c r="D832" i="7"/>
  <c r="C832" i="7"/>
  <c r="C831" i="7"/>
  <c r="D831" i="7" s="1"/>
  <c r="C830" i="7"/>
  <c r="D830" i="7" s="1"/>
  <c r="C829" i="7"/>
  <c r="D829" i="7" s="1"/>
  <c r="D828" i="7"/>
  <c r="C828" i="7"/>
  <c r="C827" i="7"/>
  <c r="D827" i="7" s="1"/>
  <c r="D826" i="7"/>
  <c r="C826" i="7"/>
  <c r="C825" i="7"/>
  <c r="D825" i="7" s="1"/>
  <c r="D824" i="7"/>
  <c r="C824" i="7"/>
  <c r="C823" i="7"/>
  <c r="D823" i="7" s="1"/>
  <c r="D822" i="7"/>
  <c r="C822" i="7"/>
  <c r="C821" i="7"/>
  <c r="D821" i="7" s="1"/>
  <c r="D820" i="7"/>
  <c r="C820" i="7"/>
  <c r="C819" i="7"/>
  <c r="D819" i="7" s="1"/>
  <c r="D818" i="7"/>
  <c r="C818" i="7"/>
  <c r="C817" i="7"/>
  <c r="D817" i="7" s="1"/>
  <c r="D816" i="7"/>
  <c r="C816" i="7"/>
  <c r="C815" i="7"/>
  <c r="D815" i="7" s="1"/>
  <c r="D814" i="7"/>
  <c r="C814" i="7"/>
  <c r="C813" i="7"/>
  <c r="D813" i="7" s="1"/>
  <c r="D812" i="7"/>
  <c r="C812" i="7"/>
  <c r="C811" i="7"/>
  <c r="D811" i="7" s="1"/>
  <c r="D810" i="7"/>
  <c r="C810" i="7"/>
  <c r="C809" i="7"/>
  <c r="D809" i="7" s="1"/>
  <c r="D808" i="7"/>
  <c r="C808" i="7"/>
  <c r="C807" i="7"/>
  <c r="D807" i="7" s="1"/>
  <c r="D806" i="7"/>
  <c r="C806" i="7"/>
  <c r="C805" i="7"/>
  <c r="D805" i="7" s="1"/>
  <c r="D804" i="7"/>
  <c r="C804" i="7"/>
  <c r="C803" i="7"/>
  <c r="D803" i="7" s="1"/>
  <c r="D802" i="7"/>
  <c r="C802" i="7"/>
  <c r="C801" i="7"/>
  <c r="D801" i="7" s="1"/>
  <c r="D800" i="7"/>
  <c r="C800" i="7"/>
  <c r="C799" i="7"/>
  <c r="D799" i="7" s="1"/>
  <c r="D798" i="7"/>
  <c r="C798" i="7"/>
  <c r="C797" i="7"/>
  <c r="D797" i="7" s="1"/>
  <c r="D796" i="7"/>
  <c r="C796" i="7"/>
  <c r="C795" i="7"/>
  <c r="D795" i="7" s="1"/>
  <c r="D794" i="7"/>
  <c r="C794" i="7"/>
  <c r="C793" i="7"/>
  <c r="D793" i="7" s="1"/>
  <c r="D792" i="7"/>
  <c r="C792" i="7"/>
  <c r="C791" i="7"/>
  <c r="D791" i="7" s="1"/>
  <c r="D790" i="7"/>
  <c r="C790" i="7"/>
  <c r="C789" i="7"/>
  <c r="D789" i="7" s="1"/>
  <c r="D788" i="7"/>
  <c r="C788" i="7"/>
  <c r="C787" i="7"/>
  <c r="D787" i="7" s="1"/>
  <c r="D786" i="7"/>
  <c r="C786" i="7"/>
  <c r="C785" i="7"/>
  <c r="D785" i="7" s="1"/>
  <c r="D784" i="7"/>
  <c r="C784" i="7"/>
  <c r="C783" i="7"/>
  <c r="D783" i="7" s="1"/>
  <c r="D782" i="7"/>
  <c r="C782" i="7"/>
  <c r="C781" i="7"/>
  <c r="D781" i="7" s="1"/>
  <c r="D780" i="7"/>
  <c r="C780" i="7"/>
  <c r="C779" i="7"/>
  <c r="D779" i="7" s="1"/>
  <c r="D778" i="7"/>
  <c r="C778" i="7"/>
  <c r="C777" i="7"/>
  <c r="D777" i="7" s="1"/>
  <c r="D776" i="7"/>
  <c r="C776" i="7"/>
  <c r="C775" i="7"/>
  <c r="D775" i="7" s="1"/>
  <c r="D774" i="7"/>
  <c r="C774" i="7"/>
  <c r="C773" i="7"/>
  <c r="D773" i="7" s="1"/>
  <c r="D772" i="7"/>
  <c r="C772" i="7"/>
  <c r="C771" i="7"/>
  <c r="D771" i="7" s="1"/>
  <c r="D770" i="7"/>
  <c r="C770" i="7"/>
  <c r="C769" i="7"/>
  <c r="D769" i="7" s="1"/>
  <c r="D768" i="7"/>
  <c r="C768" i="7"/>
  <c r="C767" i="7"/>
  <c r="D767" i="7" s="1"/>
  <c r="D766" i="7"/>
  <c r="C766" i="7"/>
  <c r="C765" i="7"/>
  <c r="D765" i="7" s="1"/>
  <c r="D764" i="7"/>
  <c r="C764" i="7"/>
  <c r="C763" i="7"/>
  <c r="D763" i="7" s="1"/>
  <c r="D762" i="7"/>
  <c r="C762" i="7"/>
  <c r="C761" i="7"/>
  <c r="D761" i="7" s="1"/>
  <c r="D760" i="7"/>
  <c r="C760" i="7"/>
  <c r="C759" i="7"/>
  <c r="D759" i="7" s="1"/>
  <c r="D758" i="7"/>
  <c r="C758" i="7"/>
  <c r="C757" i="7"/>
  <c r="D757" i="7" s="1"/>
  <c r="D756" i="7"/>
  <c r="C756" i="7"/>
  <c r="C755" i="7"/>
  <c r="D755" i="7" s="1"/>
  <c r="D754" i="7"/>
  <c r="C754" i="7"/>
  <c r="C753" i="7"/>
  <c r="D753" i="7" s="1"/>
  <c r="D752" i="7"/>
  <c r="C752" i="7"/>
  <c r="C751" i="7"/>
  <c r="D751" i="7" s="1"/>
  <c r="D750" i="7"/>
  <c r="C750" i="7"/>
  <c r="C749" i="7"/>
  <c r="D749" i="7" s="1"/>
  <c r="D748" i="7"/>
  <c r="C748" i="7"/>
  <c r="C747" i="7"/>
  <c r="D747" i="7" s="1"/>
  <c r="D746" i="7"/>
  <c r="C746" i="7"/>
  <c r="C745" i="7"/>
  <c r="D745" i="7" s="1"/>
  <c r="D744" i="7"/>
  <c r="C744" i="7"/>
  <c r="C743" i="7"/>
  <c r="D743" i="7" s="1"/>
  <c r="D742" i="7"/>
  <c r="C742" i="7"/>
  <c r="C741" i="7"/>
  <c r="D741" i="7" s="1"/>
  <c r="D740" i="7"/>
  <c r="C740" i="7"/>
  <c r="C739" i="7"/>
  <c r="D739" i="7" s="1"/>
  <c r="D738" i="7"/>
  <c r="C738" i="7"/>
  <c r="C737" i="7"/>
  <c r="D737" i="7" s="1"/>
  <c r="D736" i="7"/>
  <c r="C736" i="7"/>
  <c r="C735" i="7"/>
  <c r="D735" i="7" s="1"/>
  <c r="D734" i="7"/>
  <c r="C734" i="7"/>
  <c r="C733" i="7"/>
  <c r="D733" i="7" s="1"/>
  <c r="D732" i="7"/>
  <c r="C732" i="7"/>
  <c r="C731" i="7"/>
  <c r="D731" i="7" s="1"/>
  <c r="D730" i="7"/>
  <c r="C730" i="7"/>
  <c r="C729" i="7"/>
  <c r="D729" i="7" s="1"/>
  <c r="D728" i="7"/>
  <c r="C728" i="7"/>
  <c r="C727" i="7"/>
  <c r="D727" i="7" s="1"/>
  <c r="D726" i="7"/>
  <c r="C726" i="7"/>
  <c r="C725" i="7"/>
  <c r="D725" i="7" s="1"/>
  <c r="D724" i="7"/>
  <c r="C724" i="7"/>
  <c r="C723" i="7"/>
  <c r="D723" i="7" s="1"/>
  <c r="D722" i="7"/>
  <c r="C722" i="7"/>
  <c r="C721" i="7"/>
  <c r="D721" i="7" s="1"/>
  <c r="D720" i="7"/>
  <c r="C720" i="7"/>
  <c r="C719" i="7"/>
  <c r="D719" i="7" s="1"/>
  <c r="D718" i="7"/>
  <c r="C718" i="7"/>
  <c r="C717" i="7"/>
  <c r="D717" i="7" s="1"/>
  <c r="D716" i="7"/>
  <c r="C716" i="7"/>
  <c r="C715" i="7"/>
  <c r="D715" i="7" s="1"/>
  <c r="D714" i="7"/>
  <c r="C714" i="7"/>
  <c r="C713" i="7"/>
  <c r="D713" i="7" s="1"/>
  <c r="D712" i="7"/>
  <c r="C712" i="7"/>
  <c r="C711" i="7"/>
  <c r="D711" i="7" s="1"/>
  <c r="D710" i="7"/>
  <c r="C710" i="7"/>
  <c r="C709" i="7"/>
  <c r="D709" i="7" s="1"/>
  <c r="D708" i="7"/>
  <c r="C708" i="7"/>
  <c r="C707" i="7"/>
  <c r="D707" i="7" s="1"/>
  <c r="D706" i="7"/>
  <c r="C706" i="7"/>
  <c r="C705" i="7"/>
  <c r="D705" i="7" s="1"/>
  <c r="D704" i="7"/>
  <c r="C704" i="7"/>
  <c r="C703" i="7"/>
  <c r="D703" i="7" s="1"/>
  <c r="D702" i="7"/>
  <c r="C702" i="7"/>
  <c r="C701" i="7"/>
  <c r="D701" i="7" s="1"/>
  <c r="D700" i="7"/>
  <c r="C700" i="7"/>
  <c r="C699" i="7"/>
  <c r="D699" i="7" s="1"/>
  <c r="D698" i="7"/>
  <c r="C698" i="7"/>
  <c r="C697" i="7"/>
  <c r="D697" i="7" s="1"/>
  <c r="D696" i="7"/>
  <c r="C696" i="7"/>
  <c r="C695" i="7"/>
  <c r="D695" i="7" s="1"/>
  <c r="D694" i="7"/>
  <c r="C694" i="7"/>
  <c r="C693" i="7"/>
  <c r="D693" i="7" s="1"/>
  <c r="D692" i="7"/>
  <c r="C692" i="7"/>
  <c r="C691" i="7"/>
  <c r="D691" i="7" s="1"/>
  <c r="D690" i="7"/>
  <c r="C690" i="7"/>
  <c r="C689" i="7"/>
  <c r="D689" i="7" s="1"/>
  <c r="D688" i="7"/>
  <c r="C688" i="7"/>
  <c r="C687" i="7"/>
  <c r="D687" i="7" s="1"/>
  <c r="D686" i="7"/>
  <c r="C686" i="7"/>
  <c r="C685" i="7"/>
  <c r="D685" i="7" s="1"/>
  <c r="D684" i="7"/>
  <c r="C684" i="7"/>
  <c r="C683" i="7"/>
  <c r="D683" i="7" s="1"/>
  <c r="D682" i="7"/>
  <c r="C682" i="7"/>
  <c r="C681" i="7"/>
  <c r="D681" i="7" s="1"/>
  <c r="D680" i="7"/>
  <c r="C680" i="7"/>
  <c r="C679" i="7"/>
  <c r="D679" i="7" s="1"/>
  <c r="D678" i="7"/>
  <c r="C678" i="7"/>
  <c r="C677" i="7"/>
  <c r="D677" i="7" s="1"/>
  <c r="D676" i="7"/>
  <c r="C676" i="7"/>
  <c r="C675" i="7"/>
  <c r="D675" i="7" s="1"/>
  <c r="D674" i="7"/>
  <c r="C674" i="7"/>
  <c r="C673" i="7"/>
  <c r="D673" i="7" s="1"/>
  <c r="D672" i="7"/>
  <c r="C672" i="7"/>
  <c r="C671" i="7"/>
  <c r="D671" i="7" s="1"/>
  <c r="D670" i="7"/>
  <c r="C670" i="7"/>
  <c r="C669" i="7"/>
  <c r="D669" i="7" s="1"/>
  <c r="D668" i="7"/>
  <c r="C668" i="7"/>
  <c r="C667" i="7"/>
  <c r="D667" i="7" s="1"/>
  <c r="D666" i="7"/>
  <c r="C666" i="7"/>
  <c r="C665" i="7"/>
  <c r="D665" i="7" s="1"/>
  <c r="D664" i="7"/>
  <c r="C664" i="7"/>
  <c r="C663" i="7"/>
  <c r="D663" i="7" s="1"/>
  <c r="D662" i="7"/>
  <c r="C662" i="7"/>
  <c r="C661" i="7"/>
  <c r="D661" i="7" s="1"/>
  <c r="D660" i="7"/>
  <c r="C660" i="7"/>
  <c r="C659" i="7"/>
  <c r="D659" i="7" s="1"/>
  <c r="D658" i="7"/>
  <c r="C658" i="7"/>
  <c r="C657" i="7"/>
  <c r="D657" i="7" s="1"/>
  <c r="D656" i="7"/>
  <c r="C656" i="7"/>
  <c r="C655" i="7"/>
  <c r="D655" i="7" s="1"/>
  <c r="D654" i="7"/>
  <c r="C654" i="7"/>
  <c r="C653" i="7"/>
  <c r="D653" i="7" s="1"/>
  <c r="D652" i="7"/>
  <c r="C652" i="7"/>
  <c r="C651" i="7"/>
  <c r="D651" i="7" s="1"/>
  <c r="D650" i="7"/>
  <c r="C650" i="7"/>
  <c r="C649" i="7"/>
  <c r="D649" i="7" s="1"/>
  <c r="D648" i="7"/>
  <c r="C648" i="7"/>
  <c r="C647" i="7"/>
  <c r="D647" i="7" s="1"/>
  <c r="D646" i="7"/>
  <c r="C646" i="7"/>
  <c r="C645" i="7"/>
  <c r="D645" i="7" s="1"/>
  <c r="D644" i="7"/>
  <c r="C644" i="7"/>
  <c r="C643" i="7"/>
  <c r="D643" i="7" s="1"/>
  <c r="D642" i="7"/>
  <c r="C642" i="7"/>
  <c r="C641" i="7"/>
  <c r="D641" i="7" s="1"/>
  <c r="D640" i="7"/>
  <c r="C640" i="7"/>
  <c r="C639" i="7"/>
  <c r="D639" i="7" s="1"/>
  <c r="D638" i="7"/>
  <c r="C638" i="7"/>
  <c r="C637" i="7"/>
  <c r="D637" i="7" s="1"/>
  <c r="D636" i="7"/>
  <c r="C636" i="7"/>
  <c r="C635" i="7"/>
  <c r="D635" i="7" s="1"/>
  <c r="D634" i="7"/>
  <c r="C634" i="7"/>
  <c r="C633" i="7"/>
  <c r="D633" i="7" s="1"/>
  <c r="D632" i="7"/>
  <c r="C632" i="7"/>
  <c r="C631" i="7"/>
  <c r="D631" i="7" s="1"/>
  <c r="D630" i="7"/>
  <c r="C630" i="7"/>
  <c r="C629" i="7"/>
  <c r="D629" i="7" s="1"/>
  <c r="D628" i="7"/>
  <c r="C628" i="7"/>
  <c r="C627" i="7"/>
  <c r="D627" i="7" s="1"/>
  <c r="D626" i="7"/>
  <c r="C626" i="7"/>
  <c r="C625" i="7"/>
  <c r="D625" i="7" s="1"/>
  <c r="D624" i="7"/>
  <c r="C624" i="7"/>
  <c r="C623" i="7"/>
  <c r="D623" i="7" s="1"/>
  <c r="D622" i="7"/>
  <c r="C622" i="7"/>
  <c r="C621" i="7"/>
  <c r="D621" i="7" s="1"/>
  <c r="D620" i="7"/>
  <c r="C620" i="7"/>
  <c r="C619" i="7"/>
  <c r="D619" i="7" s="1"/>
  <c r="D618" i="7"/>
  <c r="C618" i="7"/>
  <c r="C617" i="7"/>
  <c r="D617" i="7" s="1"/>
  <c r="D616" i="7"/>
  <c r="C616" i="7"/>
  <c r="C615" i="7"/>
  <c r="D615" i="7" s="1"/>
  <c r="D614" i="7"/>
  <c r="C614" i="7"/>
  <c r="C613" i="7"/>
  <c r="D613" i="7" s="1"/>
  <c r="D612" i="7"/>
  <c r="C612" i="7"/>
  <c r="C611" i="7"/>
  <c r="D611" i="7" s="1"/>
  <c r="D610" i="7"/>
  <c r="C610" i="7"/>
  <c r="C609" i="7"/>
  <c r="D609" i="7" s="1"/>
  <c r="D608" i="7"/>
  <c r="C608" i="7"/>
  <c r="C607" i="7"/>
  <c r="D607" i="7" s="1"/>
  <c r="D606" i="7"/>
  <c r="C606" i="7"/>
  <c r="C605" i="7"/>
  <c r="D605" i="7" s="1"/>
  <c r="D604" i="7"/>
  <c r="C604" i="7"/>
  <c r="C603" i="7"/>
  <c r="D603" i="7" s="1"/>
  <c r="D602" i="7"/>
  <c r="C602" i="7"/>
  <c r="C601" i="7"/>
  <c r="D601" i="7" s="1"/>
  <c r="D600" i="7"/>
  <c r="C600" i="7"/>
  <c r="C599" i="7"/>
  <c r="D599" i="7" s="1"/>
  <c r="D598" i="7"/>
  <c r="C598" i="7"/>
  <c r="C597" i="7"/>
  <c r="D597" i="7" s="1"/>
  <c r="D596" i="7"/>
  <c r="C596" i="7"/>
  <c r="C595" i="7"/>
  <c r="D595" i="7" s="1"/>
  <c r="D594" i="7"/>
  <c r="C594" i="7"/>
  <c r="C593" i="7"/>
  <c r="D593" i="7" s="1"/>
  <c r="D592" i="7"/>
  <c r="C592" i="7"/>
  <c r="C591" i="7"/>
  <c r="D591" i="7" s="1"/>
  <c r="D590" i="7"/>
  <c r="C590" i="7"/>
  <c r="C589" i="7"/>
  <c r="D589" i="7" s="1"/>
  <c r="D588" i="7"/>
  <c r="C588" i="7"/>
  <c r="C587" i="7"/>
  <c r="D587" i="7" s="1"/>
  <c r="D586" i="7"/>
  <c r="C586" i="7"/>
  <c r="C585" i="7"/>
  <c r="D585" i="7" s="1"/>
  <c r="D584" i="7"/>
  <c r="C584" i="7"/>
  <c r="C583" i="7"/>
  <c r="D583" i="7" s="1"/>
  <c r="D582" i="7"/>
  <c r="C582" i="7"/>
  <c r="C581" i="7"/>
  <c r="D581" i="7" s="1"/>
  <c r="D580" i="7"/>
  <c r="C580" i="7"/>
  <c r="C579" i="7"/>
  <c r="D579" i="7" s="1"/>
  <c r="D578" i="7"/>
  <c r="C578" i="7"/>
  <c r="C577" i="7"/>
  <c r="D577" i="7" s="1"/>
  <c r="D576" i="7"/>
  <c r="C576" i="7"/>
  <c r="C575" i="7"/>
  <c r="D575" i="7" s="1"/>
  <c r="D574" i="7"/>
  <c r="C574" i="7"/>
  <c r="C573" i="7"/>
  <c r="D573" i="7" s="1"/>
  <c r="D572" i="7"/>
  <c r="C572" i="7"/>
  <c r="C571" i="7"/>
  <c r="D571" i="7" s="1"/>
  <c r="D570" i="7"/>
  <c r="C570" i="7"/>
  <c r="C569" i="7"/>
  <c r="D569" i="7" s="1"/>
  <c r="D568" i="7"/>
  <c r="C568" i="7"/>
  <c r="C567" i="7"/>
  <c r="D567" i="7" s="1"/>
  <c r="D566" i="7"/>
  <c r="C566" i="7"/>
  <c r="C565" i="7"/>
  <c r="D565" i="7" s="1"/>
  <c r="D564" i="7"/>
  <c r="C564" i="7"/>
  <c r="C563" i="7"/>
  <c r="D563" i="7" s="1"/>
  <c r="D562" i="7"/>
  <c r="C562" i="7"/>
  <c r="C561" i="7"/>
  <c r="D561" i="7" s="1"/>
  <c r="D560" i="7"/>
  <c r="C560" i="7"/>
  <c r="C559" i="7"/>
  <c r="D559" i="7" s="1"/>
  <c r="D558" i="7"/>
  <c r="C558" i="7"/>
  <c r="C557" i="7"/>
  <c r="D557" i="7" s="1"/>
  <c r="D556" i="7"/>
  <c r="C556" i="7"/>
  <c r="C555" i="7"/>
  <c r="D555" i="7" s="1"/>
  <c r="D554" i="7"/>
  <c r="C554" i="7"/>
  <c r="C553" i="7"/>
  <c r="D553" i="7" s="1"/>
  <c r="D552" i="7"/>
  <c r="C552" i="7"/>
  <c r="C551" i="7"/>
  <c r="D551" i="7" s="1"/>
  <c r="D550" i="7"/>
  <c r="C550" i="7"/>
  <c r="C549" i="7"/>
  <c r="D549" i="7" s="1"/>
  <c r="D548" i="7"/>
  <c r="C548" i="7"/>
  <c r="C547" i="7"/>
  <c r="D547" i="7" s="1"/>
  <c r="C546" i="7"/>
  <c r="D546" i="7" s="1"/>
  <c r="C545" i="7"/>
  <c r="D545" i="7" s="1"/>
  <c r="C544" i="7"/>
  <c r="D544" i="7" s="1"/>
  <c r="C543" i="7"/>
  <c r="D543" i="7" s="1"/>
  <c r="D542" i="7"/>
  <c r="C542" i="7"/>
  <c r="C541" i="7"/>
  <c r="D541" i="7" s="1"/>
  <c r="D540" i="7"/>
  <c r="C540" i="7"/>
  <c r="C539" i="7"/>
  <c r="D539" i="7" s="1"/>
  <c r="C538" i="7"/>
  <c r="D538" i="7" s="1"/>
  <c r="C537" i="7"/>
  <c r="D537" i="7" s="1"/>
  <c r="C536" i="7"/>
  <c r="D536" i="7" s="1"/>
  <c r="C535" i="7"/>
  <c r="D535" i="7" s="1"/>
  <c r="D534" i="7"/>
  <c r="C534" i="7"/>
  <c r="C533" i="7"/>
  <c r="D533" i="7" s="1"/>
  <c r="D532" i="7"/>
  <c r="C532" i="7"/>
  <c r="C531" i="7"/>
  <c r="D531" i="7" s="1"/>
  <c r="C530" i="7"/>
  <c r="D530" i="7" s="1"/>
  <c r="C529" i="7"/>
  <c r="D529" i="7" s="1"/>
  <c r="C528" i="7"/>
  <c r="D528" i="7" s="1"/>
  <c r="C527" i="7"/>
  <c r="D527" i="7" s="1"/>
  <c r="D526" i="7"/>
  <c r="C526" i="7"/>
  <c r="C525" i="7"/>
  <c r="D525" i="7" s="1"/>
  <c r="D524" i="7"/>
  <c r="C524" i="7"/>
  <c r="C523" i="7"/>
  <c r="D523" i="7" s="1"/>
  <c r="C522" i="7"/>
  <c r="D522" i="7" s="1"/>
  <c r="C521" i="7"/>
  <c r="D521" i="7" s="1"/>
  <c r="C520" i="7"/>
  <c r="D520" i="7" s="1"/>
  <c r="C519" i="7"/>
  <c r="D519" i="7" s="1"/>
  <c r="D518" i="7"/>
  <c r="C518" i="7"/>
  <c r="C517" i="7"/>
  <c r="D517" i="7" s="1"/>
  <c r="D516" i="7"/>
  <c r="C516" i="7"/>
  <c r="C515" i="7"/>
  <c r="D515" i="7" s="1"/>
  <c r="C514" i="7"/>
  <c r="D514" i="7" s="1"/>
  <c r="C513" i="7"/>
  <c r="D513" i="7" s="1"/>
  <c r="C512" i="7"/>
  <c r="D512" i="7" s="1"/>
  <c r="C511" i="7"/>
  <c r="D511" i="7" s="1"/>
  <c r="D510" i="7"/>
  <c r="C510" i="7"/>
  <c r="C509" i="7"/>
  <c r="D509" i="7" s="1"/>
  <c r="D508" i="7"/>
  <c r="C508" i="7"/>
  <c r="C507" i="7"/>
  <c r="D507" i="7" s="1"/>
  <c r="C506" i="7"/>
  <c r="D506" i="7" s="1"/>
  <c r="C505" i="7"/>
  <c r="D505" i="7" s="1"/>
  <c r="C504" i="7"/>
  <c r="D504" i="7" s="1"/>
  <c r="C503" i="7"/>
  <c r="D503" i="7" s="1"/>
  <c r="D502" i="7"/>
  <c r="C502" i="7"/>
  <c r="C501" i="7"/>
  <c r="D501" i="7" s="1"/>
  <c r="D500" i="7"/>
  <c r="C500" i="7"/>
  <c r="C499" i="7"/>
  <c r="D499" i="7" s="1"/>
  <c r="C498" i="7"/>
  <c r="D498" i="7" s="1"/>
  <c r="C497" i="7"/>
  <c r="D497" i="7" s="1"/>
  <c r="C496" i="7"/>
  <c r="D496" i="7" s="1"/>
  <c r="C495" i="7"/>
  <c r="D495" i="7" s="1"/>
  <c r="D494" i="7"/>
  <c r="C494" i="7"/>
  <c r="C493" i="7"/>
  <c r="D493" i="7" s="1"/>
  <c r="D492" i="7"/>
  <c r="C492" i="7"/>
  <c r="C491" i="7"/>
  <c r="D491" i="7" s="1"/>
  <c r="C490" i="7"/>
  <c r="D490" i="7" s="1"/>
  <c r="C489" i="7"/>
  <c r="D489" i="7" s="1"/>
  <c r="C488" i="7"/>
  <c r="D488" i="7" s="1"/>
  <c r="C487" i="7"/>
  <c r="D487" i="7" s="1"/>
  <c r="D486" i="7"/>
  <c r="C486" i="7"/>
  <c r="C485" i="7"/>
  <c r="D485" i="7" s="1"/>
  <c r="D484" i="7"/>
  <c r="C484" i="7"/>
  <c r="C483" i="7"/>
  <c r="D483" i="7" s="1"/>
  <c r="C482" i="7"/>
  <c r="D482" i="7" s="1"/>
  <c r="C481" i="7"/>
  <c r="D481" i="7" s="1"/>
  <c r="C480" i="7"/>
  <c r="D480" i="7" s="1"/>
  <c r="C479" i="7"/>
  <c r="D479" i="7" s="1"/>
  <c r="D478" i="7"/>
  <c r="C478" i="7"/>
  <c r="C477" i="7"/>
  <c r="D477" i="7" s="1"/>
  <c r="D476" i="7"/>
  <c r="C476" i="7"/>
  <c r="C475" i="7"/>
  <c r="D475" i="7" s="1"/>
  <c r="C474" i="7"/>
  <c r="D474" i="7" s="1"/>
  <c r="C473" i="7"/>
  <c r="D473" i="7" s="1"/>
  <c r="C472" i="7"/>
  <c r="D472" i="7" s="1"/>
  <c r="C471" i="7"/>
  <c r="D471" i="7" s="1"/>
  <c r="D470" i="7"/>
  <c r="C470" i="7"/>
  <c r="C469" i="7"/>
  <c r="D469" i="7" s="1"/>
  <c r="D468" i="7"/>
  <c r="C468" i="7"/>
  <c r="C467" i="7"/>
  <c r="D467" i="7" s="1"/>
  <c r="C466" i="7"/>
  <c r="D466" i="7" s="1"/>
  <c r="C465" i="7"/>
  <c r="D465" i="7" s="1"/>
  <c r="C464" i="7"/>
  <c r="D464" i="7" s="1"/>
  <c r="C463" i="7"/>
  <c r="D463" i="7" s="1"/>
  <c r="D462" i="7"/>
  <c r="C462" i="7"/>
  <c r="C461" i="7"/>
  <c r="D461" i="7" s="1"/>
  <c r="D460" i="7"/>
  <c r="C460" i="7"/>
  <c r="C459" i="7"/>
  <c r="D459" i="7" s="1"/>
  <c r="C458" i="7"/>
  <c r="D458" i="7" s="1"/>
  <c r="C457" i="7"/>
  <c r="D457" i="7" s="1"/>
  <c r="C456" i="7"/>
  <c r="D456" i="7" s="1"/>
  <c r="C455" i="7"/>
  <c r="D455" i="7" s="1"/>
  <c r="D454" i="7"/>
  <c r="C454" i="7"/>
  <c r="C453" i="7"/>
  <c r="D453" i="7" s="1"/>
  <c r="D452" i="7"/>
  <c r="C452" i="7"/>
  <c r="C451" i="7"/>
  <c r="D451" i="7" s="1"/>
  <c r="C450" i="7"/>
  <c r="D450" i="7" s="1"/>
  <c r="C449" i="7"/>
  <c r="D449" i="7" s="1"/>
  <c r="C448" i="7"/>
  <c r="D448" i="7" s="1"/>
  <c r="C447" i="7"/>
  <c r="D447" i="7" s="1"/>
  <c r="D446" i="7"/>
  <c r="C446" i="7"/>
  <c r="C445" i="7"/>
  <c r="D445" i="7" s="1"/>
  <c r="D444" i="7"/>
  <c r="C444" i="7"/>
  <c r="C443" i="7"/>
  <c r="D443" i="7" s="1"/>
  <c r="C442" i="7"/>
  <c r="D442" i="7" s="1"/>
  <c r="C441" i="7"/>
  <c r="D441" i="7" s="1"/>
  <c r="C440" i="7"/>
  <c r="D440" i="7" s="1"/>
  <c r="C439" i="7"/>
  <c r="D439" i="7" s="1"/>
  <c r="D438" i="7"/>
  <c r="C438" i="7"/>
  <c r="C437" i="7"/>
  <c r="D437" i="7" s="1"/>
  <c r="D436" i="7"/>
  <c r="C436" i="7"/>
  <c r="C435" i="7"/>
  <c r="D435" i="7" s="1"/>
  <c r="C434" i="7"/>
  <c r="D434" i="7" s="1"/>
  <c r="C433" i="7"/>
  <c r="D433" i="7" s="1"/>
  <c r="C432" i="7"/>
  <c r="D432" i="7" s="1"/>
  <c r="C431" i="7"/>
  <c r="D431" i="7" s="1"/>
  <c r="D430" i="7"/>
  <c r="C430" i="7"/>
  <c r="C429" i="7"/>
  <c r="D429" i="7" s="1"/>
  <c r="D428" i="7"/>
  <c r="C428" i="7"/>
  <c r="C427" i="7"/>
  <c r="D427" i="7" s="1"/>
  <c r="C426" i="7"/>
  <c r="D426" i="7" s="1"/>
  <c r="C425" i="7"/>
  <c r="D425" i="7" s="1"/>
  <c r="C424" i="7"/>
  <c r="D424" i="7" s="1"/>
  <c r="C423" i="7"/>
  <c r="D423" i="7" s="1"/>
  <c r="D422" i="7"/>
  <c r="C422" i="7"/>
  <c r="C421" i="7"/>
  <c r="D421" i="7" s="1"/>
  <c r="D420" i="7"/>
  <c r="C420" i="7"/>
  <c r="C419" i="7"/>
  <c r="D419" i="7" s="1"/>
  <c r="C418" i="7"/>
  <c r="D418" i="7" s="1"/>
  <c r="C417" i="7"/>
  <c r="D417" i="7" s="1"/>
  <c r="C416" i="7"/>
  <c r="D416" i="7" s="1"/>
  <c r="C415" i="7"/>
  <c r="D415" i="7" s="1"/>
  <c r="D414" i="7"/>
  <c r="C414" i="7"/>
  <c r="C413" i="7"/>
  <c r="D413" i="7" s="1"/>
  <c r="D412" i="7"/>
  <c r="C412" i="7"/>
  <c r="C411" i="7"/>
  <c r="D411" i="7" s="1"/>
  <c r="C410" i="7"/>
  <c r="D410" i="7" s="1"/>
  <c r="C409" i="7"/>
  <c r="D409" i="7" s="1"/>
  <c r="C408" i="7"/>
  <c r="D408" i="7" s="1"/>
  <c r="C407" i="7"/>
  <c r="D407" i="7" s="1"/>
  <c r="D406" i="7"/>
  <c r="C406" i="7"/>
  <c r="C405" i="7"/>
  <c r="D405" i="7" s="1"/>
  <c r="D404" i="7"/>
  <c r="C404" i="7"/>
  <c r="C403" i="7"/>
  <c r="D403" i="7" s="1"/>
  <c r="C402" i="7"/>
  <c r="D402" i="7" s="1"/>
  <c r="C401" i="7"/>
  <c r="D401" i="7" s="1"/>
  <c r="C400" i="7"/>
  <c r="D400" i="7" s="1"/>
  <c r="C399" i="7"/>
  <c r="D399" i="7" s="1"/>
  <c r="D398" i="7"/>
  <c r="C398" i="7"/>
  <c r="C397" i="7"/>
  <c r="D397" i="7" s="1"/>
  <c r="D396" i="7"/>
  <c r="C396" i="7"/>
  <c r="C395" i="7"/>
  <c r="D395" i="7" s="1"/>
  <c r="C394" i="7"/>
  <c r="D394" i="7" s="1"/>
  <c r="C393" i="7"/>
  <c r="D393" i="7" s="1"/>
  <c r="C392" i="7"/>
  <c r="D392" i="7" s="1"/>
  <c r="C391" i="7"/>
  <c r="D391" i="7" s="1"/>
  <c r="D390" i="7"/>
  <c r="C390" i="7"/>
  <c r="C389" i="7"/>
  <c r="D389" i="7" s="1"/>
  <c r="D388" i="7"/>
  <c r="C388" i="7"/>
  <c r="C387" i="7"/>
  <c r="D387" i="7" s="1"/>
  <c r="C386" i="7"/>
  <c r="D386" i="7" s="1"/>
  <c r="D385" i="7"/>
  <c r="C385" i="7"/>
  <c r="C384" i="7"/>
  <c r="D384" i="7" s="1"/>
  <c r="D383" i="7"/>
  <c r="C383" i="7"/>
  <c r="C382" i="7"/>
  <c r="D382" i="7" s="1"/>
  <c r="D381" i="7"/>
  <c r="C381" i="7"/>
  <c r="C380" i="7"/>
  <c r="D380" i="7" s="1"/>
  <c r="D379" i="7"/>
  <c r="C379" i="7"/>
  <c r="C378" i="7"/>
  <c r="D378" i="7" s="1"/>
  <c r="D377" i="7"/>
  <c r="C377" i="7"/>
  <c r="C376" i="7"/>
  <c r="D376" i="7" s="1"/>
  <c r="D375" i="7"/>
  <c r="C375" i="7"/>
  <c r="C374" i="7"/>
  <c r="D374" i="7" s="1"/>
  <c r="D373" i="7"/>
  <c r="C373" i="7"/>
  <c r="C372" i="7"/>
  <c r="D372" i="7" s="1"/>
  <c r="D371" i="7"/>
  <c r="C371" i="7"/>
  <c r="C370" i="7"/>
  <c r="D370" i="7" s="1"/>
  <c r="D369" i="7"/>
  <c r="C369" i="7"/>
  <c r="C368" i="7"/>
  <c r="D368" i="7" s="1"/>
  <c r="D367" i="7"/>
  <c r="C367" i="7"/>
  <c r="C366" i="7"/>
  <c r="D366" i="7" s="1"/>
  <c r="D365" i="7"/>
  <c r="C365" i="7"/>
  <c r="C364" i="7"/>
  <c r="D364" i="7" s="1"/>
  <c r="D363" i="7"/>
  <c r="C363" i="7"/>
  <c r="C362" i="7"/>
  <c r="D362" i="7" s="1"/>
  <c r="D361" i="7"/>
  <c r="C361" i="7"/>
  <c r="C360" i="7"/>
  <c r="D360" i="7" s="1"/>
  <c r="D359" i="7"/>
  <c r="C359" i="7"/>
  <c r="C358" i="7"/>
  <c r="D358" i="7" s="1"/>
  <c r="D357" i="7"/>
  <c r="C357" i="7"/>
  <c r="C356" i="7"/>
  <c r="D356" i="7" s="1"/>
  <c r="D355" i="7"/>
  <c r="C355" i="7"/>
  <c r="C354" i="7"/>
  <c r="D354" i="7" s="1"/>
  <c r="D353" i="7"/>
  <c r="C353" i="7"/>
  <c r="C352" i="7"/>
  <c r="D352" i="7" s="1"/>
  <c r="D351" i="7"/>
  <c r="C351" i="7"/>
  <c r="C350" i="7"/>
  <c r="D350" i="7" s="1"/>
  <c r="D349" i="7"/>
  <c r="C349" i="7"/>
  <c r="C348" i="7"/>
  <c r="D348" i="7" s="1"/>
  <c r="D347" i="7"/>
  <c r="C347" i="7"/>
  <c r="C346" i="7"/>
  <c r="D346" i="7" s="1"/>
  <c r="D345" i="7"/>
  <c r="C345" i="7"/>
  <c r="C344" i="7"/>
  <c r="D344" i="7" s="1"/>
  <c r="D343" i="7"/>
  <c r="C343" i="7"/>
  <c r="C342" i="7"/>
  <c r="D342" i="7" s="1"/>
  <c r="D341" i="7"/>
  <c r="C341" i="7"/>
  <c r="C340" i="7"/>
  <c r="D340" i="7" s="1"/>
  <c r="D339" i="7"/>
  <c r="C339" i="7"/>
  <c r="C338" i="7"/>
  <c r="D338" i="7" s="1"/>
  <c r="D337" i="7"/>
  <c r="C337" i="7"/>
  <c r="C336" i="7"/>
  <c r="D336" i="7" s="1"/>
  <c r="D335" i="7"/>
  <c r="C335" i="7"/>
  <c r="C334" i="7"/>
  <c r="D334" i="7" s="1"/>
  <c r="D333" i="7"/>
  <c r="C333" i="7"/>
  <c r="C332" i="7"/>
  <c r="D332" i="7" s="1"/>
  <c r="D331" i="7"/>
  <c r="C331" i="7"/>
  <c r="C330" i="7"/>
  <c r="D330" i="7" s="1"/>
  <c r="D329" i="7"/>
  <c r="C329" i="7"/>
  <c r="C328" i="7"/>
  <c r="D328" i="7" s="1"/>
  <c r="D327" i="7"/>
  <c r="C327" i="7"/>
  <c r="C326" i="7"/>
  <c r="D326" i="7" s="1"/>
  <c r="D325" i="7"/>
  <c r="C325" i="7"/>
  <c r="C324" i="7"/>
  <c r="D324" i="7" s="1"/>
  <c r="D323" i="7"/>
  <c r="C323" i="7"/>
  <c r="C322" i="7"/>
  <c r="D322" i="7" s="1"/>
  <c r="D321" i="7"/>
  <c r="C321" i="7"/>
  <c r="C320" i="7"/>
  <c r="D320" i="7" s="1"/>
  <c r="D319" i="7"/>
  <c r="C319" i="7"/>
  <c r="C318" i="7"/>
  <c r="D318" i="7" s="1"/>
  <c r="D317" i="7"/>
  <c r="C317" i="7"/>
  <c r="C316" i="7"/>
  <c r="D316" i="7" s="1"/>
  <c r="D315" i="7"/>
  <c r="C315" i="7"/>
  <c r="C314" i="7"/>
  <c r="D314" i="7" s="1"/>
  <c r="D313" i="7"/>
  <c r="C313" i="7"/>
  <c r="C312" i="7"/>
  <c r="D312" i="7" s="1"/>
  <c r="D311" i="7"/>
  <c r="C311" i="7"/>
  <c r="C310" i="7"/>
  <c r="D310" i="7" s="1"/>
  <c r="D309" i="7"/>
  <c r="C309" i="7"/>
  <c r="C308" i="7"/>
  <c r="D308" i="7" s="1"/>
  <c r="D307" i="7"/>
  <c r="C307" i="7"/>
  <c r="C306" i="7"/>
  <c r="D306" i="7" s="1"/>
  <c r="D305" i="7"/>
  <c r="C305" i="7"/>
  <c r="C304" i="7"/>
  <c r="D304" i="7" s="1"/>
  <c r="D303" i="7"/>
  <c r="C303" i="7"/>
  <c r="C302" i="7"/>
  <c r="D302" i="7" s="1"/>
  <c r="D301" i="7"/>
  <c r="C301" i="7"/>
  <c r="C300" i="7"/>
  <c r="D300" i="7" s="1"/>
  <c r="D299" i="7"/>
  <c r="C299" i="7"/>
  <c r="C298" i="7"/>
  <c r="D298" i="7" s="1"/>
  <c r="D297" i="7"/>
  <c r="C297" i="7"/>
  <c r="C296" i="7"/>
  <c r="D296" i="7" s="1"/>
  <c r="D295" i="7"/>
  <c r="C295" i="7"/>
  <c r="C294" i="7"/>
  <c r="D294" i="7" s="1"/>
  <c r="D293" i="7"/>
  <c r="C293" i="7"/>
  <c r="C292" i="7"/>
  <c r="D292" i="7" s="1"/>
  <c r="D291" i="7"/>
  <c r="C291" i="7"/>
  <c r="C290" i="7"/>
  <c r="D290" i="7" s="1"/>
  <c r="D289" i="7"/>
  <c r="C289" i="7"/>
  <c r="C288" i="7"/>
  <c r="D288" i="7" s="1"/>
  <c r="D287" i="7"/>
  <c r="C287" i="7"/>
  <c r="C286" i="7"/>
  <c r="D286" i="7" s="1"/>
  <c r="D285" i="7"/>
  <c r="C285" i="7"/>
  <c r="C284" i="7"/>
  <c r="D284" i="7" s="1"/>
  <c r="D283" i="7"/>
  <c r="C283" i="7"/>
  <c r="C282" i="7"/>
  <c r="D282" i="7" s="1"/>
  <c r="D281" i="7"/>
  <c r="C281" i="7"/>
  <c r="C280" i="7"/>
  <c r="D280" i="7" s="1"/>
  <c r="D279" i="7"/>
  <c r="C279" i="7"/>
  <c r="C278" i="7"/>
  <c r="D278" i="7" s="1"/>
  <c r="D277" i="7"/>
  <c r="C277" i="7"/>
  <c r="C276" i="7"/>
  <c r="D276" i="7" s="1"/>
  <c r="D275" i="7"/>
  <c r="C275" i="7"/>
  <c r="C274" i="7"/>
  <c r="D274" i="7" s="1"/>
  <c r="D273" i="7"/>
  <c r="C273" i="7"/>
  <c r="C272" i="7"/>
  <c r="D272" i="7" s="1"/>
  <c r="D271" i="7"/>
  <c r="C271" i="7"/>
  <c r="C270" i="7"/>
  <c r="D270" i="7" s="1"/>
  <c r="D269" i="7"/>
  <c r="C269" i="7"/>
  <c r="C268" i="7"/>
  <c r="D268" i="7" s="1"/>
  <c r="D267" i="7"/>
  <c r="C267" i="7"/>
  <c r="C266" i="7"/>
  <c r="D266" i="7" s="1"/>
  <c r="D265" i="7"/>
  <c r="C265" i="7"/>
  <c r="C264" i="7"/>
  <c r="D264" i="7" s="1"/>
  <c r="D263" i="7"/>
  <c r="C263" i="7"/>
  <c r="C262" i="7"/>
  <c r="D262" i="7" s="1"/>
  <c r="D261" i="7"/>
  <c r="C261" i="7"/>
  <c r="C260" i="7"/>
  <c r="D260" i="7" s="1"/>
  <c r="D259" i="7"/>
  <c r="C259" i="7"/>
  <c r="C258" i="7"/>
  <c r="D258" i="7" s="1"/>
  <c r="D257" i="7"/>
  <c r="C257" i="7"/>
  <c r="C256" i="7"/>
  <c r="D256" i="7" s="1"/>
  <c r="D255" i="7"/>
  <c r="C255" i="7"/>
  <c r="C254" i="7"/>
  <c r="D254" i="7" s="1"/>
  <c r="D253" i="7"/>
  <c r="C253" i="7"/>
  <c r="C252" i="7"/>
  <c r="D252" i="7" s="1"/>
  <c r="D251" i="7"/>
  <c r="C251" i="7"/>
  <c r="C250" i="7"/>
  <c r="D250" i="7" s="1"/>
  <c r="D249" i="7"/>
  <c r="C249" i="7"/>
  <c r="C248" i="7"/>
  <c r="D248" i="7" s="1"/>
  <c r="D247" i="7"/>
  <c r="C247" i="7"/>
  <c r="C246" i="7"/>
  <c r="D246" i="7" s="1"/>
  <c r="D245" i="7"/>
  <c r="C245" i="7"/>
  <c r="C244" i="7"/>
  <c r="D244" i="7" s="1"/>
  <c r="D243" i="7"/>
  <c r="C243" i="7"/>
  <c r="C242" i="7"/>
  <c r="D242" i="7" s="1"/>
  <c r="D241" i="7"/>
  <c r="C241" i="7"/>
  <c r="C240" i="7"/>
  <c r="D240" i="7" s="1"/>
  <c r="D239" i="7"/>
  <c r="C239" i="7"/>
  <c r="C238" i="7"/>
  <c r="D238" i="7" s="1"/>
  <c r="D237" i="7"/>
  <c r="C237" i="7"/>
  <c r="C236" i="7"/>
  <c r="D236" i="7" s="1"/>
  <c r="D235" i="7"/>
  <c r="C235" i="7"/>
  <c r="C234" i="7"/>
  <c r="D234" i="7" s="1"/>
  <c r="D233" i="7"/>
  <c r="C233" i="7"/>
  <c r="C232" i="7"/>
  <c r="D232" i="7" s="1"/>
  <c r="D231" i="7"/>
  <c r="C231" i="7"/>
  <c r="C230" i="7"/>
  <c r="D230" i="7" s="1"/>
  <c r="D229" i="7"/>
  <c r="C229" i="7"/>
  <c r="C228" i="7"/>
  <c r="D228" i="7" s="1"/>
  <c r="D227" i="7"/>
  <c r="C227" i="7"/>
  <c r="C226" i="7"/>
  <c r="D226" i="7" s="1"/>
  <c r="D225" i="7"/>
  <c r="C225" i="7"/>
  <c r="C224" i="7"/>
  <c r="D224" i="7" s="1"/>
  <c r="D223" i="7"/>
  <c r="C223" i="7"/>
  <c r="C222" i="7"/>
  <c r="D222" i="7" s="1"/>
  <c r="D221" i="7"/>
  <c r="C221" i="7"/>
  <c r="C220" i="7"/>
  <c r="D220" i="7" s="1"/>
  <c r="D219" i="7"/>
  <c r="C219" i="7"/>
  <c r="C218" i="7"/>
  <c r="D218" i="7" s="1"/>
  <c r="D217" i="7"/>
  <c r="C217" i="7"/>
  <c r="C216" i="7"/>
  <c r="D216" i="7" s="1"/>
  <c r="D215" i="7"/>
  <c r="C215" i="7"/>
  <c r="C214" i="7"/>
  <c r="D214" i="7" s="1"/>
  <c r="D213" i="7"/>
  <c r="C213" i="7"/>
  <c r="C212" i="7"/>
  <c r="D212" i="7" s="1"/>
  <c r="D211" i="7"/>
  <c r="C211" i="7"/>
  <c r="C210" i="7"/>
  <c r="D210" i="7" s="1"/>
  <c r="D209" i="7"/>
  <c r="C209" i="7"/>
  <c r="C208" i="7"/>
  <c r="D208" i="7" s="1"/>
  <c r="D207" i="7"/>
  <c r="C207" i="7"/>
  <c r="C206" i="7"/>
  <c r="D206" i="7" s="1"/>
  <c r="D205" i="7"/>
  <c r="C205" i="7"/>
  <c r="C204" i="7"/>
  <c r="D204" i="7" s="1"/>
  <c r="D203" i="7"/>
  <c r="C203" i="7"/>
  <c r="C202" i="7"/>
  <c r="D202" i="7" s="1"/>
  <c r="D201" i="7"/>
  <c r="C201" i="7"/>
  <c r="C200" i="7"/>
  <c r="D200" i="7" s="1"/>
  <c r="D199" i="7"/>
  <c r="C199" i="7"/>
  <c r="C198" i="7"/>
  <c r="D198" i="7" s="1"/>
  <c r="D197" i="7"/>
  <c r="C197" i="7"/>
  <c r="C196" i="7"/>
  <c r="D196" i="7" s="1"/>
  <c r="D195" i="7"/>
  <c r="C195" i="7"/>
  <c r="C194" i="7"/>
  <c r="D194" i="7" s="1"/>
  <c r="D193" i="7"/>
  <c r="C193" i="7"/>
  <c r="C192" i="7"/>
  <c r="D192" i="7" s="1"/>
  <c r="D191" i="7"/>
  <c r="C191" i="7"/>
  <c r="C190" i="7"/>
  <c r="D190" i="7" s="1"/>
  <c r="D189" i="7"/>
  <c r="C189" i="7"/>
  <c r="C188" i="7"/>
  <c r="D188" i="7" s="1"/>
  <c r="D187" i="7"/>
  <c r="C187" i="7"/>
  <c r="C186" i="7"/>
  <c r="D186" i="7" s="1"/>
  <c r="D185" i="7"/>
  <c r="C185" i="7"/>
  <c r="C184" i="7"/>
  <c r="D184" i="7" s="1"/>
  <c r="D183" i="7"/>
  <c r="C183" i="7"/>
  <c r="C182" i="7"/>
  <c r="D182" i="7" s="1"/>
  <c r="D181" i="7"/>
  <c r="C181" i="7"/>
  <c r="C180" i="7"/>
  <c r="D180" i="7" s="1"/>
  <c r="D179" i="7"/>
  <c r="C179" i="7"/>
  <c r="C178" i="7"/>
  <c r="D178" i="7" s="1"/>
  <c r="D177" i="7"/>
  <c r="C177" i="7"/>
  <c r="C176" i="7"/>
  <c r="D176" i="7" s="1"/>
  <c r="D175" i="7"/>
  <c r="C175" i="7"/>
  <c r="C174" i="7"/>
  <c r="D174" i="7" s="1"/>
  <c r="D173" i="7"/>
  <c r="C173" i="7"/>
  <c r="C172" i="7"/>
  <c r="D172" i="7" s="1"/>
  <c r="D171" i="7"/>
  <c r="C171" i="7"/>
  <c r="C170" i="7"/>
  <c r="D170" i="7" s="1"/>
  <c r="D169" i="7"/>
  <c r="C169" i="7"/>
  <c r="C168" i="7"/>
  <c r="D168" i="7" s="1"/>
  <c r="D167" i="7"/>
  <c r="C167" i="7"/>
  <c r="C166" i="7"/>
  <c r="D166" i="7" s="1"/>
  <c r="D165" i="7"/>
  <c r="C165" i="7"/>
  <c r="C164" i="7"/>
  <c r="D164" i="7" s="1"/>
  <c r="D163" i="7"/>
  <c r="C163" i="7"/>
  <c r="C162" i="7"/>
  <c r="D162" i="7" s="1"/>
  <c r="D161" i="7"/>
  <c r="C161" i="7"/>
  <c r="C160" i="7"/>
  <c r="D160" i="7" s="1"/>
  <c r="D159" i="7"/>
  <c r="C159" i="7"/>
  <c r="C158" i="7"/>
  <c r="D158" i="7" s="1"/>
  <c r="D157" i="7"/>
  <c r="C157" i="7"/>
  <c r="C156" i="7"/>
  <c r="D156" i="7" s="1"/>
  <c r="D155" i="7"/>
  <c r="C155" i="7"/>
  <c r="C154" i="7"/>
  <c r="D154" i="7" s="1"/>
  <c r="D153" i="7"/>
  <c r="C153" i="7"/>
  <c r="C152" i="7"/>
  <c r="D152" i="7" s="1"/>
  <c r="D151" i="7"/>
  <c r="C151" i="7"/>
  <c r="C150" i="7"/>
  <c r="D150" i="7" s="1"/>
  <c r="D149" i="7"/>
  <c r="C149" i="7"/>
  <c r="C148" i="7"/>
  <c r="D148" i="7" s="1"/>
  <c r="D147" i="7"/>
  <c r="C147" i="7"/>
  <c r="C146" i="7"/>
  <c r="D146" i="7" s="1"/>
  <c r="D145" i="7"/>
  <c r="C145" i="7"/>
  <c r="C144" i="7"/>
  <c r="D144" i="7" s="1"/>
  <c r="D143" i="7"/>
  <c r="C143" i="7"/>
  <c r="C142" i="7"/>
  <c r="D142" i="7" s="1"/>
  <c r="D141" i="7"/>
  <c r="C141" i="7"/>
  <c r="C140" i="7"/>
  <c r="D140" i="7" s="1"/>
  <c r="D139" i="7"/>
  <c r="C139" i="7"/>
  <c r="C138" i="7"/>
  <c r="D138" i="7" s="1"/>
  <c r="D137" i="7"/>
  <c r="C137" i="7"/>
  <c r="C136" i="7"/>
  <c r="D136" i="7" s="1"/>
  <c r="D135" i="7"/>
  <c r="C135" i="7"/>
  <c r="C134" i="7"/>
  <c r="D134" i="7" s="1"/>
  <c r="D133" i="7"/>
  <c r="C133" i="7"/>
  <c r="C132" i="7"/>
  <c r="D132" i="7" s="1"/>
  <c r="D131" i="7"/>
  <c r="C131" i="7"/>
  <c r="C130" i="7"/>
  <c r="D130" i="7" s="1"/>
  <c r="D129" i="7"/>
  <c r="C129" i="7"/>
  <c r="C128" i="7"/>
  <c r="D128" i="7" s="1"/>
  <c r="D127" i="7"/>
  <c r="C127" i="7"/>
  <c r="C126" i="7"/>
  <c r="D126" i="7" s="1"/>
  <c r="D125" i="7"/>
  <c r="C125" i="7"/>
  <c r="C124" i="7"/>
  <c r="D124" i="7" s="1"/>
  <c r="D123" i="7"/>
  <c r="C123" i="7"/>
  <c r="C122" i="7"/>
  <c r="D122" i="7" s="1"/>
  <c r="D121" i="7"/>
  <c r="C121" i="7"/>
  <c r="C120" i="7"/>
  <c r="D120" i="7" s="1"/>
  <c r="D119" i="7"/>
  <c r="C119" i="7"/>
  <c r="C118" i="7"/>
  <c r="D118" i="7" s="1"/>
  <c r="D117" i="7"/>
  <c r="C117" i="7"/>
  <c r="C116" i="7"/>
  <c r="D116" i="7" s="1"/>
  <c r="D115" i="7"/>
  <c r="C115" i="7"/>
  <c r="C114" i="7"/>
  <c r="D114" i="7" s="1"/>
  <c r="D113" i="7"/>
  <c r="C113" i="7"/>
  <c r="C112" i="7"/>
  <c r="D112" i="7" s="1"/>
  <c r="D111" i="7"/>
  <c r="C111" i="7"/>
  <c r="C110" i="7"/>
  <c r="D110" i="7" s="1"/>
  <c r="D109" i="7"/>
  <c r="C109" i="7"/>
  <c r="C108" i="7"/>
  <c r="D108" i="7" s="1"/>
  <c r="D107" i="7"/>
  <c r="C107" i="7"/>
  <c r="C106" i="7"/>
  <c r="D106" i="7" s="1"/>
  <c r="D105" i="7"/>
  <c r="C105" i="7"/>
  <c r="C104" i="7"/>
  <c r="D104" i="7" s="1"/>
  <c r="D103" i="7"/>
  <c r="C103" i="7"/>
  <c r="C102" i="7"/>
  <c r="D102" i="7" s="1"/>
  <c r="D101" i="7"/>
  <c r="C101" i="7"/>
  <c r="C100" i="7"/>
  <c r="D100" i="7" s="1"/>
  <c r="D99" i="7"/>
  <c r="C99" i="7"/>
  <c r="C98" i="7"/>
  <c r="D98" i="7" s="1"/>
  <c r="D97" i="7"/>
  <c r="C97" i="7"/>
  <c r="C96" i="7"/>
  <c r="D96" i="7" s="1"/>
  <c r="D95" i="7"/>
  <c r="C95" i="7"/>
  <c r="C94" i="7"/>
  <c r="D94" i="7" s="1"/>
  <c r="D93" i="7"/>
  <c r="C93" i="7"/>
  <c r="C92" i="7"/>
  <c r="D92" i="7" s="1"/>
  <c r="D91" i="7"/>
  <c r="C91" i="7"/>
  <c r="C90" i="7"/>
  <c r="D90" i="7" s="1"/>
  <c r="D89" i="7"/>
  <c r="C89" i="7"/>
  <c r="C88" i="7"/>
  <c r="D88" i="7" s="1"/>
  <c r="D87" i="7"/>
  <c r="C87" i="7"/>
  <c r="C86" i="7"/>
  <c r="D86" i="7" s="1"/>
  <c r="D85" i="7"/>
  <c r="C85" i="7"/>
  <c r="C84" i="7"/>
  <c r="D84" i="7" s="1"/>
  <c r="D83" i="7"/>
  <c r="C83" i="7"/>
  <c r="C82" i="7"/>
  <c r="D82" i="7" s="1"/>
  <c r="D81" i="7"/>
  <c r="C81" i="7"/>
  <c r="C80" i="7"/>
  <c r="D80" i="7" s="1"/>
  <c r="D79" i="7"/>
  <c r="C79" i="7"/>
  <c r="C78" i="7"/>
  <c r="D78" i="7" s="1"/>
  <c r="D77" i="7"/>
  <c r="C77" i="7"/>
  <c r="C76" i="7"/>
  <c r="D76" i="7" s="1"/>
  <c r="D75" i="7"/>
  <c r="C75" i="7"/>
  <c r="C74" i="7"/>
  <c r="D74" i="7" s="1"/>
  <c r="D73" i="7"/>
  <c r="C73" i="7"/>
  <c r="C72" i="7"/>
  <c r="D72" i="7" s="1"/>
  <c r="D71" i="7"/>
  <c r="C71" i="7"/>
  <c r="C70" i="7"/>
  <c r="D70" i="7" s="1"/>
  <c r="D69" i="7"/>
  <c r="C69" i="7"/>
  <c r="C68" i="7"/>
  <c r="D68" i="7" s="1"/>
  <c r="D67" i="7"/>
  <c r="C67" i="7"/>
  <c r="C66" i="7"/>
  <c r="D66" i="7" s="1"/>
  <c r="D65" i="7"/>
  <c r="C65" i="7"/>
  <c r="C64" i="7"/>
  <c r="D64" i="7" s="1"/>
  <c r="D63" i="7"/>
  <c r="C63" i="7"/>
  <c r="C62" i="7"/>
  <c r="D62" i="7" s="1"/>
  <c r="D61" i="7"/>
  <c r="C61" i="7"/>
  <c r="C60" i="7"/>
  <c r="D60" i="7" s="1"/>
  <c r="D59" i="7"/>
  <c r="C59" i="7"/>
  <c r="C58" i="7"/>
  <c r="D58" i="7" s="1"/>
  <c r="D57" i="7"/>
  <c r="C57" i="7"/>
  <c r="C56" i="7"/>
  <c r="D56" i="7" s="1"/>
  <c r="D55" i="7"/>
  <c r="C55" i="7"/>
  <c r="C54" i="7"/>
  <c r="D54" i="7" s="1"/>
  <c r="D53" i="7"/>
  <c r="C53" i="7"/>
  <c r="C52" i="7"/>
  <c r="D52" i="7" s="1"/>
  <c r="D51" i="7"/>
  <c r="C51" i="7"/>
  <c r="C50" i="7"/>
  <c r="D50" i="7" s="1"/>
  <c r="D49" i="7"/>
  <c r="C49" i="7"/>
  <c r="C48" i="7"/>
  <c r="D48" i="7" s="1"/>
  <c r="D47" i="7"/>
  <c r="C47" i="7"/>
  <c r="C46" i="7"/>
  <c r="D46" i="7" s="1"/>
  <c r="D45" i="7"/>
  <c r="C45" i="7"/>
  <c r="C44" i="7"/>
  <c r="D44" i="7" s="1"/>
  <c r="D43" i="7"/>
  <c r="C43" i="7"/>
  <c r="C42" i="7"/>
  <c r="D42" i="7" s="1"/>
  <c r="D41" i="7"/>
  <c r="C41" i="7"/>
  <c r="C40" i="7"/>
  <c r="D40" i="7" s="1"/>
  <c r="D39" i="7"/>
  <c r="C39" i="7"/>
  <c r="C38" i="7"/>
  <c r="D38" i="7" s="1"/>
  <c r="D37" i="7"/>
  <c r="C37" i="7"/>
  <c r="C36" i="7"/>
  <c r="D36" i="7" s="1"/>
  <c r="D35" i="7"/>
  <c r="C35" i="7"/>
  <c r="C34" i="7"/>
  <c r="D34" i="7" s="1"/>
  <c r="D33" i="7"/>
  <c r="C33" i="7"/>
  <c r="C32" i="7"/>
  <c r="D32" i="7" s="1"/>
  <c r="D31" i="7"/>
  <c r="C31" i="7"/>
  <c r="C30" i="7"/>
  <c r="D30" i="7" s="1"/>
  <c r="D29" i="7"/>
  <c r="C29" i="7"/>
  <c r="C28" i="7"/>
  <c r="D28" i="7" s="1"/>
  <c r="D27" i="7"/>
  <c r="C27" i="7"/>
  <c r="C26" i="7"/>
  <c r="D26" i="7" s="1"/>
  <c r="D25" i="7"/>
  <c r="C25" i="7"/>
  <c r="C24" i="7"/>
  <c r="D24" i="7" s="1"/>
  <c r="D23" i="7"/>
  <c r="C23" i="7"/>
  <c r="C22" i="7"/>
  <c r="D22" i="7" s="1"/>
  <c r="D21" i="7"/>
  <c r="C21" i="7"/>
  <c r="C20" i="7"/>
  <c r="D20" i="7" s="1"/>
  <c r="D19" i="7"/>
  <c r="C19" i="7"/>
  <c r="C18" i="7"/>
  <c r="D18" i="7" s="1"/>
  <c r="D17" i="7"/>
  <c r="C17" i="7"/>
  <c r="C16" i="7"/>
  <c r="D16" i="7" s="1"/>
  <c r="D15" i="7"/>
  <c r="C15" i="7"/>
  <c r="C14" i="7"/>
  <c r="D14" i="7" s="1"/>
  <c r="D13" i="7"/>
  <c r="C13" i="7"/>
  <c r="C12" i="7"/>
  <c r="D12" i="7" s="1"/>
  <c r="D11" i="7"/>
  <c r="C11" i="7"/>
  <c r="C10" i="7"/>
  <c r="D10" i="7" s="1"/>
  <c r="D9" i="7"/>
  <c r="C9" i="7"/>
  <c r="C8" i="7"/>
  <c r="D8" i="7" s="1"/>
  <c r="D7" i="7"/>
  <c r="C7" i="7"/>
  <c r="C6" i="7"/>
  <c r="D6" i="7" s="1"/>
  <c r="D5" i="7"/>
  <c r="C5" i="7"/>
  <c r="C4" i="7"/>
  <c r="D4" i="7" s="1"/>
  <c r="D3" i="7"/>
  <c r="C3" i="7"/>
  <c r="C2" i="7"/>
  <c r="D2" i="7" s="1"/>
  <c r="B901" i="5"/>
  <c r="C901" i="5" s="1"/>
  <c r="D901" i="5" s="1"/>
  <c r="D900" i="5"/>
  <c r="C900" i="5"/>
  <c r="B900" i="5"/>
  <c r="C899" i="5"/>
  <c r="D899" i="5" s="1"/>
  <c r="B899" i="5"/>
  <c r="B898" i="5"/>
  <c r="C898" i="5" s="1"/>
  <c r="D898" i="5" s="1"/>
  <c r="B897" i="5"/>
  <c r="C897" i="5" s="1"/>
  <c r="D897" i="5" s="1"/>
  <c r="D896" i="5"/>
  <c r="C896" i="5"/>
  <c r="B896" i="5"/>
  <c r="C895" i="5"/>
  <c r="D895" i="5" s="1"/>
  <c r="B895" i="5"/>
  <c r="B894" i="5"/>
  <c r="C894" i="5" s="1"/>
  <c r="D894" i="5" s="1"/>
  <c r="B893" i="5"/>
  <c r="C893" i="5" s="1"/>
  <c r="D893" i="5" s="1"/>
  <c r="H893" i="1" s="1"/>
  <c r="D892" i="5"/>
  <c r="C892" i="5"/>
  <c r="B892" i="5"/>
  <c r="C891" i="5"/>
  <c r="D891" i="5" s="1"/>
  <c r="H891" i="1" s="1"/>
  <c r="B891" i="5"/>
  <c r="B890" i="5"/>
  <c r="C890" i="5" s="1"/>
  <c r="D890" i="5" s="1"/>
  <c r="B889" i="5"/>
  <c r="C889" i="5" s="1"/>
  <c r="D889" i="5" s="1"/>
  <c r="D888" i="5"/>
  <c r="C888" i="5"/>
  <c r="B888" i="5"/>
  <c r="C887" i="5"/>
  <c r="D887" i="5" s="1"/>
  <c r="B887" i="5"/>
  <c r="B886" i="5"/>
  <c r="C886" i="5" s="1"/>
  <c r="D886" i="5" s="1"/>
  <c r="B885" i="5"/>
  <c r="C885" i="5" s="1"/>
  <c r="D885" i="5" s="1"/>
  <c r="D884" i="5"/>
  <c r="C884" i="5"/>
  <c r="B884" i="5"/>
  <c r="C883" i="5"/>
  <c r="D883" i="5" s="1"/>
  <c r="B883" i="5"/>
  <c r="B882" i="5"/>
  <c r="C882" i="5" s="1"/>
  <c r="D882" i="5" s="1"/>
  <c r="B881" i="5"/>
  <c r="C881" i="5" s="1"/>
  <c r="D881" i="5" s="1"/>
  <c r="D880" i="5"/>
  <c r="C880" i="5"/>
  <c r="B880" i="5"/>
  <c r="C879" i="5"/>
  <c r="D879" i="5" s="1"/>
  <c r="B879" i="5"/>
  <c r="B878" i="5"/>
  <c r="C878" i="5" s="1"/>
  <c r="D878" i="5" s="1"/>
  <c r="B877" i="5"/>
  <c r="C877" i="5" s="1"/>
  <c r="D877" i="5" s="1"/>
  <c r="H877" i="1" s="1"/>
  <c r="D876" i="5"/>
  <c r="C876" i="5"/>
  <c r="B876" i="5"/>
  <c r="C875" i="5"/>
  <c r="D875" i="5" s="1"/>
  <c r="H875" i="1" s="1"/>
  <c r="B875" i="5"/>
  <c r="B874" i="5"/>
  <c r="C874" i="5" s="1"/>
  <c r="D874" i="5" s="1"/>
  <c r="B873" i="5"/>
  <c r="C873" i="5" s="1"/>
  <c r="D873" i="5" s="1"/>
  <c r="D872" i="5"/>
  <c r="C872" i="5"/>
  <c r="B872" i="5"/>
  <c r="C871" i="5"/>
  <c r="D871" i="5" s="1"/>
  <c r="B871" i="5"/>
  <c r="B870" i="5"/>
  <c r="C870" i="5" s="1"/>
  <c r="D870" i="5" s="1"/>
  <c r="B869" i="5"/>
  <c r="C869" i="5" s="1"/>
  <c r="D869" i="5" s="1"/>
  <c r="D868" i="5"/>
  <c r="C868" i="5"/>
  <c r="B868" i="5"/>
  <c r="C867" i="5"/>
  <c r="D867" i="5" s="1"/>
  <c r="B867" i="5"/>
  <c r="B866" i="5"/>
  <c r="C866" i="5" s="1"/>
  <c r="D866" i="5" s="1"/>
  <c r="B865" i="5"/>
  <c r="C865" i="5" s="1"/>
  <c r="D865" i="5" s="1"/>
  <c r="D864" i="5"/>
  <c r="C864" i="5"/>
  <c r="B864" i="5"/>
  <c r="C863" i="5"/>
  <c r="D863" i="5" s="1"/>
  <c r="B863" i="5"/>
  <c r="B862" i="5"/>
  <c r="C862" i="5" s="1"/>
  <c r="D862" i="5" s="1"/>
  <c r="B861" i="5"/>
  <c r="C861" i="5" s="1"/>
  <c r="D861" i="5" s="1"/>
  <c r="H861" i="1" s="1"/>
  <c r="D860" i="5"/>
  <c r="C860" i="5"/>
  <c r="B860" i="5"/>
  <c r="C859" i="5"/>
  <c r="D859" i="5" s="1"/>
  <c r="H859" i="1" s="1"/>
  <c r="B859" i="5"/>
  <c r="B858" i="5"/>
  <c r="C858" i="5" s="1"/>
  <c r="D858" i="5" s="1"/>
  <c r="B857" i="5"/>
  <c r="C857" i="5" s="1"/>
  <c r="D857" i="5" s="1"/>
  <c r="D856" i="5"/>
  <c r="C856" i="5"/>
  <c r="B856" i="5"/>
  <c r="C855" i="5"/>
  <c r="D855" i="5" s="1"/>
  <c r="B855" i="5"/>
  <c r="B854" i="5"/>
  <c r="C854" i="5" s="1"/>
  <c r="D854" i="5" s="1"/>
  <c r="B853" i="5"/>
  <c r="C853" i="5" s="1"/>
  <c r="D853" i="5" s="1"/>
  <c r="D852" i="5"/>
  <c r="C852" i="5"/>
  <c r="B852" i="5"/>
  <c r="C851" i="5"/>
  <c r="D851" i="5" s="1"/>
  <c r="B851" i="5"/>
  <c r="B850" i="5"/>
  <c r="C850" i="5" s="1"/>
  <c r="D850" i="5" s="1"/>
  <c r="B849" i="5"/>
  <c r="C849" i="5" s="1"/>
  <c r="D849" i="5" s="1"/>
  <c r="D848" i="5"/>
  <c r="C848" i="5"/>
  <c r="B848" i="5"/>
  <c r="C847" i="5"/>
  <c r="D847" i="5" s="1"/>
  <c r="B847" i="5"/>
  <c r="B846" i="5"/>
  <c r="C846" i="5" s="1"/>
  <c r="D846" i="5" s="1"/>
  <c r="B845" i="5"/>
  <c r="C845" i="5" s="1"/>
  <c r="D845" i="5" s="1"/>
  <c r="H845" i="1" s="1"/>
  <c r="D844" i="5"/>
  <c r="C844" i="5"/>
  <c r="B844" i="5"/>
  <c r="C843" i="5"/>
  <c r="D843" i="5" s="1"/>
  <c r="H843" i="1" s="1"/>
  <c r="B843" i="5"/>
  <c r="B842" i="5"/>
  <c r="C842" i="5" s="1"/>
  <c r="D842" i="5" s="1"/>
  <c r="B841" i="5"/>
  <c r="C841" i="5" s="1"/>
  <c r="D841" i="5" s="1"/>
  <c r="D840" i="5"/>
  <c r="C840" i="5"/>
  <c r="B840" i="5"/>
  <c r="C839" i="5"/>
  <c r="D839" i="5" s="1"/>
  <c r="B839" i="5"/>
  <c r="B838" i="5"/>
  <c r="C838" i="5" s="1"/>
  <c r="D838" i="5" s="1"/>
  <c r="B837" i="5"/>
  <c r="C837" i="5" s="1"/>
  <c r="D837" i="5" s="1"/>
  <c r="D836" i="5"/>
  <c r="C836" i="5"/>
  <c r="B836" i="5"/>
  <c r="C835" i="5"/>
  <c r="D835" i="5" s="1"/>
  <c r="B835" i="5"/>
  <c r="B834" i="5"/>
  <c r="C834" i="5" s="1"/>
  <c r="D834" i="5" s="1"/>
  <c r="B833" i="5"/>
  <c r="C833" i="5" s="1"/>
  <c r="D833" i="5" s="1"/>
  <c r="D832" i="5"/>
  <c r="C832" i="5"/>
  <c r="B832" i="5"/>
  <c r="C831" i="5"/>
  <c r="D831" i="5" s="1"/>
  <c r="B831" i="5"/>
  <c r="B830" i="5"/>
  <c r="C830" i="5" s="1"/>
  <c r="D830" i="5" s="1"/>
  <c r="B829" i="5"/>
  <c r="C829" i="5" s="1"/>
  <c r="D829" i="5" s="1"/>
  <c r="H829" i="1" s="1"/>
  <c r="D828" i="5"/>
  <c r="C828" i="5"/>
  <c r="B828" i="5"/>
  <c r="C827" i="5"/>
  <c r="D827" i="5" s="1"/>
  <c r="H827" i="1" s="1"/>
  <c r="B827" i="5"/>
  <c r="B826" i="5"/>
  <c r="C826" i="5" s="1"/>
  <c r="D826" i="5" s="1"/>
  <c r="B825" i="5"/>
  <c r="C825" i="5" s="1"/>
  <c r="D825" i="5" s="1"/>
  <c r="D824" i="5"/>
  <c r="C824" i="5"/>
  <c r="B824" i="5"/>
  <c r="C823" i="5"/>
  <c r="D823" i="5" s="1"/>
  <c r="B823" i="5"/>
  <c r="B822" i="5"/>
  <c r="C822" i="5" s="1"/>
  <c r="D822" i="5" s="1"/>
  <c r="B821" i="5"/>
  <c r="C821" i="5" s="1"/>
  <c r="D821" i="5" s="1"/>
  <c r="D820" i="5"/>
  <c r="C820" i="5"/>
  <c r="B820" i="5"/>
  <c r="C819" i="5"/>
  <c r="D819" i="5" s="1"/>
  <c r="B819" i="5"/>
  <c r="B818" i="5"/>
  <c r="C818" i="5" s="1"/>
  <c r="D818" i="5" s="1"/>
  <c r="B817" i="5"/>
  <c r="C817" i="5" s="1"/>
  <c r="D817" i="5" s="1"/>
  <c r="D816" i="5"/>
  <c r="C816" i="5"/>
  <c r="B816" i="5"/>
  <c r="C815" i="5"/>
  <c r="D815" i="5" s="1"/>
  <c r="B815" i="5"/>
  <c r="B814" i="5"/>
  <c r="C814" i="5" s="1"/>
  <c r="D814" i="5" s="1"/>
  <c r="B813" i="5"/>
  <c r="C813" i="5" s="1"/>
  <c r="D813" i="5" s="1"/>
  <c r="H813" i="1" s="1"/>
  <c r="D812" i="5"/>
  <c r="C812" i="5"/>
  <c r="B812" i="5"/>
  <c r="C811" i="5"/>
  <c r="D811" i="5" s="1"/>
  <c r="H811" i="1" s="1"/>
  <c r="B811" i="5"/>
  <c r="B810" i="5"/>
  <c r="C810" i="5" s="1"/>
  <c r="D810" i="5" s="1"/>
  <c r="B809" i="5"/>
  <c r="C809" i="5" s="1"/>
  <c r="D809" i="5" s="1"/>
  <c r="D808" i="5"/>
  <c r="C808" i="5"/>
  <c r="B808" i="5"/>
  <c r="C807" i="5"/>
  <c r="D807" i="5" s="1"/>
  <c r="B807" i="5"/>
  <c r="B806" i="5"/>
  <c r="C806" i="5" s="1"/>
  <c r="D806" i="5" s="1"/>
  <c r="B805" i="5"/>
  <c r="C805" i="5" s="1"/>
  <c r="D805" i="5" s="1"/>
  <c r="D804" i="5"/>
  <c r="C804" i="5"/>
  <c r="B804" i="5"/>
  <c r="C803" i="5"/>
  <c r="D803" i="5" s="1"/>
  <c r="B803" i="5"/>
  <c r="B802" i="5"/>
  <c r="C802" i="5" s="1"/>
  <c r="D802" i="5" s="1"/>
  <c r="B801" i="5"/>
  <c r="C801" i="5" s="1"/>
  <c r="D801" i="5" s="1"/>
  <c r="D800" i="5"/>
  <c r="C800" i="5"/>
  <c r="B800" i="5"/>
  <c r="C799" i="5"/>
  <c r="D799" i="5" s="1"/>
  <c r="B799" i="5"/>
  <c r="B798" i="5"/>
  <c r="C798" i="5" s="1"/>
  <c r="D798" i="5" s="1"/>
  <c r="B797" i="5"/>
  <c r="C797" i="5" s="1"/>
  <c r="D797" i="5" s="1"/>
  <c r="H797" i="1" s="1"/>
  <c r="D796" i="5"/>
  <c r="C796" i="5"/>
  <c r="B796" i="5"/>
  <c r="C795" i="5"/>
  <c r="D795" i="5" s="1"/>
  <c r="H795" i="1" s="1"/>
  <c r="B795" i="5"/>
  <c r="B794" i="5"/>
  <c r="C794" i="5" s="1"/>
  <c r="D794" i="5" s="1"/>
  <c r="B793" i="5"/>
  <c r="C793" i="5" s="1"/>
  <c r="D793" i="5" s="1"/>
  <c r="D792" i="5"/>
  <c r="C792" i="5"/>
  <c r="B792" i="5"/>
  <c r="C791" i="5"/>
  <c r="D791" i="5" s="1"/>
  <c r="B791" i="5"/>
  <c r="B790" i="5"/>
  <c r="C790" i="5" s="1"/>
  <c r="D790" i="5" s="1"/>
  <c r="B789" i="5"/>
  <c r="C789" i="5" s="1"/>
  <c r="D789" i="5" s="1"/>
  <c r="D788" i="5"/>
  <c r="C788" i="5"/>
  <c r="B788" i="5"/>
  <c r="C787" i="5"/>
  <c r="D787" i="5" s="1"/>
  <c r="B787" i="5"/>
  <c r="B786" i="5"/>
  <c r="C786" i="5" s="1"/>
  <c r="D786" i="5" s="1"/>
  <c r="B785" i="5"/>
  <c r="C785" i="5" s="1"/>
  <c r="D785" i="5" s="1"/>
  <c r="D784" i="5"/>
  <c r="C784" i="5"/>
  <c r="B784" i="5"/>
  <c r="C783" i="5"/>
  <c r="D783" i="5" s="1"/>
  <c r="B783" i="5"/>
  <c r="B782" i="5"/>
  <c r="C782" i="5" s="1"/>
  <c r="D782" i="5" s="1"/>
  <c r="B781" i="5"/>
  <c r="C781" i="5" s="1"/>
  <c r="D781" i="5" s="1"/>
  <c r="H781" i="1" s="1"/>
  <c r="D780" i="5"/>
  <c r="C780" i="5"/>
  <c r="B780" i="5"/>
  <c r="C779" i="5"/>
  <c r="D779" i="5" s="1"/>
  <c r="H779" i="1" s="1"/>
  <c r="B779" i="5"/>
  <c r="B778" i="5"/>
  <c r="C778" i="5" s="1"/>
  <c r="D778" i="5" s="1"/>
  <c r="B777" i="5"/>
  <c r="C777" i="5" s="1"/>
  <c r="D777" i="5" s="1"/>
  <c r="D776" i="5"/>
  <c r="C776" i="5"/>
  <c r="B776" i="5"/>
  <c r="C775" i="5"/>
  <c r="D775" i="5" s="1"/>
  <c r="B775" i="5"/>
  <c r="B774" i="5"/>
  <c r="C774" i="5" s="1"/>
  <c r="D774" i="5" s="1"/>
  <c r="B773" i="5"/>
  <c r="C773" i="5" s="1"/>
  <c r="D773" i="5" s="1"/>
  <c r="D772" i="5"/>
  <c r="C772" i="5"/>
  <c r="B772" i="5"/>
  <c r="C771" i="5"/>
  <c r="D771" i="5" s="1"/>
  <c r="B771" i="5"/>
  <c r="B770" i="5"/>
  <c r="C770" i="5" s="1"/>
  <c r="D770" i="5" s="1"/>
  <c r="B769" i="5"/>
  <c r="C769" i="5" s="1"/>
  <c r="D769" i="5" s="1"/>
  <c r="D768" i="5"/>
  <c r="C768" i="5"/>
  <c r="B768" i="5"/>
  <c r="C767" i="5"/>
  <c r="D767" i="5" s="1"/>
  <c r="B767" i="5"/>
  <c r="B766" i="5"/>
  <c r="C766" i="5" s="1"/>
  <c r="D766" i="5" s="1"/>
  <c r="B765" i="5"/>
  <c r="C765" i="5" s="1"/>
  <c r="D765" i="5" s="1"/>
  <c r="H765" i="1" s="1"/>
  <c r="D764" i="5"/>
  <c r="C764" i="5"/>
  <c r="B764" i="5"/>
  <c r="C763" i="5"/>
  <c r="D763" i="5" s="1"/>
  <c r="H763" i="1" s="1"/>
  <c r="B763" i="5"/>
  <c r="B762" i="5"/>
  <c r="C762" i="5" s="1"/>
  <c r="D762" i="5" s="1"/>
  <c r="B761" i="5"/>
  <c r="C761" i="5" s="1"/>
  <c r="D761" i="5" s="1"/>
  <c r="D760" i="5"/>
  <c r="C760" i="5"/>
  <c r="B760" i="5"/>
  <c r="C759" i="5"/>
  <c r="D759" i="5" s="1"/>
  <c r="B759" i="5"/>
  <c r="B758" i="5"/>
  <c r="C758" i="5" s="1"/>
  <c r="D758" i="5" s="1"/>
  <c r="B757" i="5"/>
  <c r="C757" i="5" s="1"/>
  <c r="D757" i="5" s="1"/>
  <c r="D756" i="5"/>
  <c r="C756" i="5"/>
  <c r="B756" i="5"/>
  <c r="C755" i="5"/>
  <c r="D755" i="5" s="1"/>
  <c r="B755" i="5"/>
  <c r="B754" i="5"/>
  <c r="C754" i="5" s="1"/>
  <c r="D754" i="5" s="1"/>
  <c r="B753" i="5"/>
  <c r="C753" i="5" s="1"/>
  <c r="D753" i="5" s="1"/>
  <c r="D752" i="5"/>
  <c r="C752" i="5"/>
  <c r="B752" i="5"/>
  <c r="C751" i="5"/>
  <c r="D751" i="5" s="1"/>
  <c r="B751" i="5"/>
  <c r="B750" i="5"/>
  <c r="C750" i="5" s="1"/>
  <c r="D750" i="5" s="1"/>
  <c r="B749" i="5"/>
  <c r="C749" i="5" s="1"/>
  <c r="D749" i="5" s="1"/>
  <c r="H749" i="1" s="1"/>
  <c r="D748" i="5"/>
  <c r="C748" i="5"/>
  <c r="B748" i="5"/>
  <c r="C747" i="5"/>
  <c r="D747" i="5" s="1"/>
  <c r="H747" i="1" s="1"/>
  <c r="B747" i="5"/>
  <c r="B746" i="5"/>
  <c r="C746" i="5" s="1"/>
  <c r="D746" i="5" s="1"/>
  <c r="B745" i="5"/>
  <c r="C745" i="5" s="1"/>
  <c r="D745" i="5" s="1"/>
  <c r="D744" i="5"/>
  <c r="C744" i="5"/>
  <c r="B744" i="5"/>
  <c r="C743" i="5"/>
  <c r="D743" i="5" s="1"/>
  <c r="B743" i="5"/>
  <c r="B742" i="5"/>
  <c r="C742" i="5" s="1"/>
  <c r="D742" i="5" s="1"/>
  <c r="B741" i="5"/>
  <c r="C741" i="5" s="1"/>
  <c r="D741" i="5" s="1"/>
  <c r="D740" i="5"/>
  <c r="C740" i="5"/>
  <c r="B740" i="5"/>
  <c r="C739" i="5"/>
  <c r="D739" i="5" s="1"/>
  <c r="B739" i="5"/>
  <c r="B738" i="5"/>
  <c r="C738" i="5" s="1"/>
  <c r="D738" i="5" s="1"/>
  <c r="B737" i="5"/>
  <c r="C737" i="5" s="1"/>
  <c r="D737" i="5" s="1"/>
  <c r="D736" i="5"/>
  <c r="C736" i="5"/>
  <c r="B736" i="5"/>
  <c r="C735" i="5"/>
  <c r="D735" i="5" s="1"/>
  <c r="B735" i="5"/>
  <c r="B734" i="5"/>
  <c r="C734" i="5" s="1"/>
  <c r="D734" i="5" s="1"/>
  <c r="B733" i="5"/>
  <c r="C733" i="5" s="1"/>
  <c r="D733" i="5" s="1"/>
  <c r="H733" i="1" s="1"/>
  <c r="D732" i="5"/>
  <c r="C732" i="5"/>
  <c r="B732" i="5"/>
  <c r="C731" i="5"/>
  <c r="D731" i="5" s="1"/>
  <c r="H731" i="1" s="1"/>
  <c r="B731" i="5"/>
  <c r="B730" i="5"/>
  <c r="C730" i="5" s="1"/>
  <c r="D730" i="5" s="1"/>
  <c r="B729" i="5"/>
  <c r="C729" i="5" s="1"/>
  <c r="D729" i="5" s="1"/>
  <c r="D728" i="5"/>
  <c r="C728" i="5"/>
  <c r="B728" i="5"/>
  <c r="C727" i="5"/>
  <c r="D727" i="5" s="1"/>
  <c r="B727" i="5"/>
  <c r="B726" i="5"/>
  <c r="C726" i="5" s="1"/>
  <c r="D726" i="5" s="1"/>
  <c r="B725" i="5"/>
  <c r="C725" i="5" s="1"/>
  <c r="D725" i="5" s="1"/>
  <c r="D724" i="5"/>
  <c r="C724" i="5"/>
  <c r="B724" i="5"/>
  <c r="C723" i="5"/>
  <c r="D723" i="5" s="1"/>
  <c r="B723" i="5"/>
  <c r="B722" i="5"/>
  <c r="C722" i="5" s="1"/>
  <c r="D722" i="5" s="1"/>
  <c r="B721" i="5"/>
  <c r="C721" i="5" s="1"/>
  <c r="D721" i="5" s="1"/>
  <c r="D720" i="5"/>
  <c r="C720" i="5"/>
  <c r="B720" i="5"/>
  <c r="C719" i="5"/>
  <c r="D719" i="5" s="1"/>
  <c r="B719" i="5"/>
  <c r="B718" i="5"/>
  <c r="C718" i="5" s="1"/>
  <c r="D718" i="5" s="1"/>
  <c r="B717" i="5"/>
  <c r="C717" i="5" s="1"/>
  <c r="D717" i="5" s="1"/>
  <c r="H717" i="1" s="1"/>
  <c r="D716" i="5"/>
  <c r="C716" i="5"/>
  <c r="B716" i="5"/>
  <c r="C715" i="5"/>
  <c r="D715" i="5" s="1"/>
  <c r="H715" i="1" s="1"/>
  <c r="B715" i="5"/>
  <c r="B714" i="5"/>
  <c r="C714" i="5" s="1"/>
  <c r="D714" i="5" s="1"/>
  <c r="B713" i="5"/>
  <c r="C713" i="5" s="1"/>
  <c r="D713" i="5" s="1"/>
  <c r="D712" i="5"/>
  <c r="C712" i="5"/>
  <c r="B712" i="5"/>
  <c r="C711" i="5"/>
  <c r="D711" i="5" s="1"/>
  <c r="B711" i="5"/>
  <c r="B710" i="5"/>
  <c r="C710" i="5" s="1"/>
  <c r="D710" i="5" s="1"/>
  <c r="B709" i="5"/>
  <c r="C709" i="5" s="1"/>
  <c r="D709" i="5" s="1"/>
  <c r="D708" i="5"/>
  <c r="C708" i="5"/>
  <c r="B708" i="5"/>
  <c r="C707" i="5"/>
  <c r="D707" i="5" s="1"/>
  <c r="B707" i="5"/>
  <c r="B706" i="5"/>
  <c r="C706" i="5" s="1"/>
  <c r="D706" i="5" s="1"/>
  <c r="B705" i="5"/>
  <c r="C705" i="5" s="1"/>
  <c r="D705" i="5" s="1"/>
  <c r="D704" i="5"/>
  <c r="C704" i="5"/>
  <c r="B704" i="5"/>
  <c r="C703" i="5"/>
  <c r="D703" i="5" s="1"/>
  <c r="B703" i="5"/>
  <c r="B702" i="5"/>
  <c r="C702" i="5" s="1"/>
  <c r="D702" i="5" s="1"/>
  <c r="B701" i="5"/>
  <c r="C701" i="5" s="1"/>
  <c r="D701" i="5" s="1"/>
  <c r="H701" i="1" s="1"/>
  <c r="D700" i="5"/>
  <c r="C700" i="5"/>
  <c r="B700" i="5"/>
  <c r="C699" i="5"/>
  <c r="D699" i="5" s="1"/>
  <c r="H699" i="1" s="1"/>
  <c r="B699" i="5"/>
  <c r="B698" i="5"/>
  <c r="C698" i="5" s="1"/>
  <c r="D698" i="5" s="1"/>
  <c r="B697" i="5"/>
  <c r="C697" i="5" s="1"/>
  <c r="D697" i="5" s="1"/>
  <c r="D696" i="5"/>
  <c r="C696" i="5"/>
  <c r="B696" i="5"/>
  <c r="C695" i="5"/>
  <c r="D695" i="5" s="1"/>
  <c r="B695" i="5"/>
  <c r="B694" i="5"/>
  <c r="C694" i="5" s="1"/>
  <c r="D694" i="5" s="1"/>
  <c r="B693" i="5"/>
  <c r="C693" i="5" s="1"/>
  <c r="D693" i="5" s="1"/>
  <c r="D692" i="5"/>
  <c r="C692" i="5"/>
  <c r="B692" i="5"/>
  <c r="C691" i="5"/>
  <c r="D691" i="5" s="1"/>
  <c r="B691" i="5"/>
  <c r="B690" i="5"/>
  <c r="C690" i="5" s="1"/>
  <c r="D690" i="5" s="1"/>
  <c r="B689" i="5"/>
  <c r="C689" i="5" s="1"/>
  <c r="D689" i="5" s="1"/>
  <c r="D688" i="5"/>
  <c r="C688" i="5"/>
  <c r="B688" i="5"/>
  <c r="C687" i="5"/>
  <c r="D687" i="5" s="1"/>
  <c r="B687" i="5"/>
  <c r="B686" i="5"/>
  <c r="C686" i="5" s="1"/>
  <c r="D686" i="5" s="1"/>
  <c r="B685" i="5"/>
  <c r="C685" i="5" s="1"/>
  <c r="D685" i="5" s="1"/>
  <c r="H685" i="1" s="1"/>
  <c r="D684" i="5"/>
  <c r="C684" i="5"/>
  <c r="B684" i="5"/>
  <c r="C683" i="5"/>
  <c r="D683" i="5" s="1"/>
  <c r="H683" i="1" s="1"/>
  <c r="B683" i="5"/>
  <c r="B682" i="5"/>
  <c r="C682" i="5" s="1"/>
  <c r="D682" i="5" s="1"/>
  <c r="B681" i="5"/>
  <c r="C681" i="5" s="1"/>
  <c r="D681" i="5" s="1"/>
  <c r="D680" i="5"/>
  <c r="C680" i="5"/>
  <c r="B680" i="5"/>
  <c r="C679" i="5"/>
  <c r="D679" i="5" s="1"/>
  <c r="B679" i="5"/>
  <c r="B678" i="5"/>
  <c r="C678" i="5" s="1"/>
  <c r="D678" i="5" s="1"/>
  <c r="B677" i="5"/>
  <c r="C677" i="5" s="1"/>
  <c r="D677" i="5" s="1"/>
  <c r="D676" i="5"/>
  <c r="C676" i="5"/>
  <c r="B676" i="5"/>
  <c r="C675" i="5"/>
  <c r="D675" i="5" s="1"/>
  <c r="B675" i="5"/>
  <c r="B674" i="5"/>
  <c r="C674" i="5" s="1"/>
  <c r="D674" i="5" s="1"/>
  <c r="B673" i="5"/>
  <c r="C673" i="5" s="1"/>
  <c r="D673" i="5" s="1"/>
  <c r="D672" i="5"/>
  <c r="C672" i="5"/>
  <c r="B672" i="5"/>
  <c r="C671" i="5"/>
  <c r="D671" i="5" s="1"/>
  <c r="B671" i="5"/>
  <c r="B670" i="5"/>
  <c r="C670" i="5" s="1"/>
  <c r="D670" i="5" s="1"/>
  <c r="B669" i="5"/>
  <c r="C669" i="5" s="1"/>
  <c r="D669" i="5" s="1"/>
  <c r="H669" i="1" s="1"/>
  <c r="D668" i="5"/>
  <c r="C668" i="5"/>
  <c r="B668" i="5"/>
  <c r="C667" i="5"/>
  <c r="D667" i="5" s="1"/>
  <c r="H667" i="1" s="1"/>
  <c r="B667" i="5"/>
  <c r="B666" i="5"/>
  <c r="C666" i="5" s="1"/>
  <c r="D666" i="5" s="1"/>
  <c r="B665" i="5"/>
  <c r="C665" i="5" s="1"/>
  <c r="D665" i="5" s="1"/>
  <c r="H665" i="1" s="1"/>
  <c r="C664" i="5"/>
  <c r="D664" i="5" s="1"/>
  <c r="B664" i="5"/>
  <c r="C663" i="5"/>
  <c r="D663" i="5" s="1"/>
  <c r="H663" i="1" s="1"/>
  <c r="B663" i="5"/>
  <c r="B662" i="5"/>
  <c r="C662" i="5" s="1"/>
  <c r="D662" i="5" s="1"/>
  <c r="B661" i="5"/>
  <c r="C661" i="5" s="1"/>
  <c r="D661" i="5" s="1"/>
  <c r="H661" i="1" s="1"/>
  <c r="C660" i="5"/>
  <c r="D660" i="5" s="1"/>
  <c r="B660" i="5"/>
  <c r="C659" i="5"/>
  <c r="D659" i="5" s="1"/>
  <c r="H659" i="1" s="1"/>
  <c r="B659" i="5"/>
  <c r="B658" i="5"/>
  <c r="C658" i="5" s="1"/>
  <c r="D658" i="5" s="1"/>
  <c r="B657" i="5"/>
  <c r="C657" i="5" s="1"/>
  <c r="D657" i="5" s="1"/>
  <c r="H657" i="1" s="1"/>
  <c r="C656" i="5"/>
  <c r="D656" i="5" s="1"/>
  <c r="B656" i="5"/>
  <c r="C655" i="5"/>
  <c r="D655" i="5" s="1"/>
  <c r="H655" i="1" s="1"/>
  <c r="B655" i="5"/>
  <c r="B654" i="5"/>
  <c r="C654" i="5" s="1"/>
  <c r="D654" i="5" s="1"/>
  <c r="B653" i="5"/>
  <c r="C653" i="5" s="1"/>
  <c r="D653" i="5" s="1"/>
  <c r="H653" i="1" s="1"/>
  <c r="C652" i="5"/>
  <c r="D652" i="5" s="1"/>
  <c r="B652" i="5"/>
  <c r="C651" i="5"/>
  <c r="D651" i="5" s="1"/>
  <c r="H651" i="1" s="1"/>
  <c r="B651" i="5"/>
  <c r="B650" i="5"/>
  <c r="C650" i="5" s="1"/>
  <c r="D650" i="5" s="1"/>
  <c r="B649" i="5"/>
  <c r="C649" i="5" s="1"/>
  <c r="D649" i="5" s="1"/>
  <c r="H649" i="1" s="1"/>
  <c r="C648" i="5"/>
  <c r="D648" i="5" s="1"/>
  <c r="B648" i="5"/>
  <c r="C647" i="5"/>
  <c r="D647" i="5" s="1"/>
  <c r="H647" i="1" s="1"/>
  <c r="B647" i="5"/>
  <c r="B646" i="5"/>
  <c r="C646" i="5" s="1"/>
  <c r="D646" i="5" s="1"/>
  <c r="B645" i="5"/>
  <c r="C645" i="5" s="1"/>
  <c r="D645" i="5" s="1"/>
  <c r="H645" i="1" s="1"/>
  <c r="I645" i="1" s="1"/>
  <c r="C644" i="5"/>
  <c r="D644" i="5" s="1"/>
  <c r="B644" i="5"/>
  <c r="C643" i="5"/>
  <c r="D643" i="5" s="1"/>
  <c r="H643" i="1" s="1"/>
  <c r="B643" i="5"/>
  <c r="B642" i="5"/>
  <c r="C642" i="5" s="1"/>
  <c r="D642" i="5" s="1"/>
  <c r="B641" i="5"/>
  <c r="C641" i="5" s="1"/>
  <c r="D641" i="5" s="1"/>
  <c r="H641" i="1" s="1"/>
  <c r="C640" i="5"/>
  <c r="D640" i="5" s="1"/>
  <c r="B640" i="5"/>
  <c r="C639" i="5"/>
  <c r="D639" i="5" s="1"/>
  <c r="H639" i="1" s="1"/>
  <c r="B639" i="5"/>
  <c r="B638" i="5"/>
  <c r="C638" i="5" s="1"/>
  <c r="D638" i="5" s="1"/>
  <c r="B637" i="5"/>
  <c r="C637" i="5" s="1"/>
  <c r="D637" i="5" s="1"/>
  <c r="H637" i="1" s="1"/>
  <c r="C636" i="5"/>
  <c r="D636" i="5" s="1"/>
  <c r="B636" i="5"/>
  <c r="C635" i="5"/>
  <c r="D635" i="5" s="1"/>
  <c r="H635" i="1" s="1"/>
  <c r="B635" i="5"/>
  <c r="B634" i="5"/>
  <c r="C634" i="5" s="1"/>
  <c r="D634" i="5" s="1"/>
  <c r="B633" i="5"/>
  <c r="C633" i="5" s="1"/>
  <c r="D633" i="5" s="1"/>
  <c r="H633" i="1" s="1"/>
  <c r="C632" i="5"/>
  <c r="D632" i="5" s="1"/>
  <c r="B632" i="5"/>
  <c r="C631" i="5"/>
  <c r="D631" i="5" s="1"/>
  <c r="H631" i="1" s="1"/>
  <c r="B631" i="5"/>
  <c r="B630" i="5"/>
  <c r="C630" i="5" s="1"/>
  <c r="D630" i="5" s="1"/>
  <c r="B629" i="5"/>
  <c r="C629" i="5" s="1"/>
  <c r="D629" i="5" s="1"/>
  <c r="H629" i="1" s="1"/>
  <c r="C628" i="5"/>
  <c r="D628" i="5" s="1"/>
  <c r="B628" i="5"/>
  <c r="C627" i="5"/>
  <c r="D627" i="5" s="1"/>
  <c r="H627" i="1" s="1"/>
  <c r="B627" i="5"/>
  <c r="B626" i="5"/>
  <c r="C626" i="5" s="1"/>
  <c r="D626" i="5" s="1"/>
  <c r="B625" i="5"/>
  <c r="C625" i="5" s="1"/>
  <c r="D625" i="5" s="1"/>
  <c r="H625" i="1" s="1"/>
  <c r="C624" i="5"/>
  <c r="D624" i="5" s="1"/>
  <c r="B624" i="5"/>
  <c r="C623" i="5"/>
  <c r="D623" i="5" s="1"/>
  <c r="H623" i="1" s="1"/>
  <c r="B623" i="5"/>
  <c r="B622" i="5"/>
  <c r="C622" i="5" s="1"/>
  <c r="D622" i="5" s="1"/>
  <c r="B621" i="5"/>
  <c r="C621" i="5" s="1"/>
  <c r="D621" i="5" s="1"/>
  <c r="H621" i="1" s="1"/>
  <c r="C620" i="5"/>
  <c r="D620" i="5" s="1"/>
  <c r="B620" i="5"/>
  <c r="C619" i="5"/>
  <c r="D619" i="5" s="1"/>
  <c r="H619" i="1" s="1"/>
  <c r="B619" i="5"/>
  <c r="B618" i="5"/>
  <c r="C618" i="5" s="1"/>
  <c r="D618" i="5" s="1"/>
  <c r="B617" i="5"/>
  <c r="C617" i="5" s="1"/>
  <c r="D617" i="5" s="1"/>
  <c r="H617" i="1" s="1"/>
  <c r="C616" i="5"/>
  <c r="D616" i="5" s="1"/>
  <c r="B616" i="5"/>
  <c r="C615" i="5"/>
  <c r="D615" i="5" s="1"/>
  <c r="H615" i="1" s="1"/>
  <c r="B615" i="5"/>
  <c r="B614" i="5"/>
  <c r="C614" i="5" s="1"/>
  <c r="D614" i="5" s="1"/>
  <c r="B613" i="5"/>
  <c r="C613" i="5" s="1"/>
  <c r="D613" i="5" s="1"/>
  <c r="H613" i="1" s="1"/>
  <c r="C612" i="5"/>
  <c r="D612" i="5" s="1"/>
  <c r="B612" i="5"/>
  <c r="C611" i="5"/>
  <c r="D611" i="5" s="1"/>
  <c r="H611" i="1" s="1"/>
  <c r="B611" i="5"/>
  <c r="B610" i="5"/>
  <c r="C610" i="5" s="1"/>
  <c r="D610" i="5" s="1"/>
  <c r="B609" i="5"/>
  <c r="C609" i="5" s="1"/>
  <c r="D609" i="5" s="1"/>
  <c r="H609" i="1" s="1"/>
  <c r="C608" i="5"/>
  <c r="D608" i="5" s="1"/>
  <c r="B608" i="5"/>
  <c r="C607" i="5"/>
  <c r="D607" i="5" s="1"/>
  <c r="H607" i="1" s="1"/>
  <c r="B607" i="5"/>
  <c r="B606" i="5"/>
  <c r="C606" i="5" s="1"/>
  <c r="D606" i="5" s="1"/>
  <c r="B605" i="5"/>
  <c r="C605" i="5" s="1"/>
  <c r="D605" i="5" s="1"/>
  <c r="H605" i="1" s="1"/>
  <c r="C604" i="5"/>
  <c r="D604" i="5" s="1"/>
  <c r="B604" i="5"/>
  <c r="C603" i="5"/>
  <c r="D603" i="5" s="1"/>
  <c r="H603" i="1" s="1"/>
  <c r="B603" i="5"/>
  <c r="B602" i="5"/>
  <c r="C602" i="5" s="1"/>
  <c r="D602" i="5" s="1"/>
  <c r="B601" i="5"/>
  <c r="C601" i="5" s="1"/>
  <c r="D601" i="5" s="1"/>
  <c r="H601" i="1" s="1"/>
  <c r="C600" i="5"/>
  <c r="D600" i="5" s="1"/>
  <c r="B600" i="5"/>
  <c r="C599" i="5"/>
  <c r="D599" i="5" s="1"/>
  <c r="H599" i="1" s="1"/>
  <c r="B599" i="5"/>
  <c r="B598" i="5"/>
  <c r="C598" i="5" s="1"/>
  <c r="D598" i="5" s="1"/>
  <c r="B597" i="5"/>
  <c r="C597" i="5" s="1"/>
  <c r="D597" i="5" s="1"/>
  <c r="H597" i="1" s="1"/>
  <c r="C596" i="5"/>
  <c r="D596" i="5" s="1"/>
  <c r="B596" i="5"/>
  <c r="C595" i="5"/>
  <c r="D595" i="5" s="1"/>
  <c r="H595" i="1" s="1"/>
  <c r="B595" i="5"/>
  <c r="B594" i="5"/>
  <c r="C594" i="5" s="1"/>
  <c r="D594" i="5" s="1"/>
  <c r="B593" i="5"/>
  <c r="C593" i="5" s="1"/>
  <c r="D593" i="5" s="1"/>
  <c r="H593" i="1" s="1"/>
  <c r="C592" i="5"/>
  <c r="D592" i="5" s="1"/>
  <c r="B592" i="5"/>
  <c r="C591" i="5"/>
  <c r="D591" i="5" s="1"/>
  <c r="H591" i="1" s="1"/>
  <c r="B591" i="5"/>
  <c r="C590" i="5"/>
  <c r="D590" i="5" s="1"/>
  <c r="B590" i="5"/>
  <c r="D589" i="5"/>
  <c r="H589" i="1" s="1"/>
  <c r="B589" i="5"/>
  <c r="C589" i="5" s="1"/>
  <c r="D588" i="5"/>
  <c r="C588" i="5"/>
  <c r="B588" i="5"/>
  <c r="C587" i="5"/>
  <c r="D587" i="5" s="1"/>
  <c r="H587" i="1" s="1"/>
  <c r="B587" i="5"/>
  <c r="C586" i="5"/>
  <c r="D586" i="5" s="1"/>
  <c r="B586" i="5"/>
  <c r="D585" i="5"/>
  <c r="B585" i="5"/>
  <c r="C585" i="5" s="1"/>
  <c r="D584" i="5"/>
  <c r="C584" i="5"/>
  <c r="B584" i="5"/>
  <c r="C583" i="5"/>
  <c r="D583" i="5" s="1"/>
  <c r="H583" i="1" s="1"/>
  <c r="B583" i="5"/>
  <c r="C582" i="5"/>
  <c r="D582" i="5" s="1"/>
  <c r="B582" i="5"/>
  <c r="D581" i="5"/>
  <c r="H581" i="1" s="1"/>
  <c r="B581" i="5"/>
  <c r="C581" i="5" s="1"/>
  <c r="D580" i="5"/>
  <c r="C580" i="5"/>
  <c r="B580" i="5"/>
  <c r="C579" i="5"/>
  <c r="D579" i="5" s="1"/>
  <c r="H579" i="1" s="1"/>
  <c r="B579" i="5"/>
  <c r="C578" i="5"/>
  <c r="D578" i="5" s="1"/>
  <c r="B578" i="5"/>
  <c r="D577" i="5"/>
  <c r="B577" i="5"/>
  <c r="C577" i="5" s="1"/>
  <c r="D576" i="5"/>
  <c r="C576" i="5"/>
  <c r="B576" i="5"/>
  <c r="C575" i="5"/>
  <c r="D575" i="5" s="1"/>
  <c r="H575" i="1" s="1"/>
  <c r="B575" i="5"/>
  <c r="C574" i="5"/>
  <c r="D574" i="5" s="1"/>
  <c r="B574" i="5"/>
  <c r="D573" i="5"/>
  <c r="H573" i="1" s="1"/>
  <c r="B573" i="5"/>
  <c r="C573" i="5" s="1"/>
  <c r="D572" i="5"/>
  <c r="C572" i="5"/>
  <c r="B572" i="5"/>
  <c r="C571" i="5"/>
  <c r="D571" i="5" s="1"/>
  <c r="H571" i="1" s="1"/>
  <c r="B571" i="5"/>
  <c r="C570" i="5"/>
  <c r="D570" i="5" s="1"/>
  <c r="B570" i="5"/>
  <c r="D569" i="5"/>
  <c r="B569" i="5"/>
  <c r="C569" i="5" s="1"/>
  <c r="D568" i="5"/>
  <c r="C568" i="5"/>
  <c r="B568" i="5"/>
  <c r="C567" i="5"/>
  <c r="D567" i="5" s="1"/>
  <c r="H567" i="1" s="1"/>
  <c r="B567" i="5"/>
  <c r="C566" i="5"/>
  <c r="D566" i="5" s="1"/>
  <c r="B566" i="5"/>
  <c r="D565" i="5"/>
  <c r="H565" i="1" s="1"/>
  <c r="B565" i="5"/>
  <c r="C565" i="5" s="1"/>
  <c r="D564" i="5"/>
  <c r="C564" i="5"/>
  <c r="B564" i="5"/>
  <c r="C563" i="5"/>
  <c r="D563" i="5" s="1"/>
  <c r="B563" i="5"/>
  <c r="C562" i="5"/>
  <c r="D562" i="5" s="1"/>
  <c r="B562" i="5"/>
  <c r="D561" i="5"/>
  <c r="B561" i="5"/>
  <c r="C561" i="5" s="1"/>
  <c r="D560" i="5"/>
  <c r="C560" i="5"/>
  <c r="B560" i="5"/>
  <c r="C559" i="5"/>
  <c r="D559" i="5" s="1"/>
  <c r="B559" i="5"/>
  <c r="C558" i="5"/>
  <c r="D558" i="5" s="1"/>
  <c r="B558" i="5"/>
  <c r="D557" i="5"/>
  <c r="B557" i="5"/>
  <c r="C557" i="5" s="1"/>
  <c r="D556" i="5"/>
  <c r="C556" i="5"/>
  <c r="B556" i="5"/>
  <c r="C555" i="5"/>
  <c r="D555" i="5" s="1"/>
  <c r="B555" i="5"/>
  <c r="C554" i="5"/>
  <c r="D554" i="5" s="1"/>
  <c r="H554" i="1" s="1"/>
  <c r="B554" i="5"/>
  <c r="D553" i="5"/>
  <c r="B553" i="5"/>
  <c r="C553" i="5" s="1"/>
  <c r="D552" i="5"/>
  <c r="H552" i="1" s="1"/>
  <c r="C552" i="5"/>
  <c r="B552" i="5"/>
  <c r="C551" i="5"/>
  <c r="D551" i="5" s="1"/>
  <c r="B551" i="5"/>
  <c r="C550" i="5"/>
  <c r="D550" i="5" s="1"/>
  <c r="B550" i="5"/>
  <c r="D549" i="5"/>
  <c r="B549" i="5"/>
  <c r="C549" i="5" s="1"/>
  <c r="D548" i="5"/>
  <c r="C548" i="5"/>
  <c r="B548" i="5"/>
  <c r="C547" i="5"/>
  <c r="D547" i="5" s="1"/>
  <c r="B547" i="5"/>
  <c r="C546" i="5"/>
  <c r="D546" i="5" s="1"/>
  <c r="B546" i="5"/>
  <c r="D545" i="5"/>
  <c r="B545" i="5"/>
  <c r="C545" i="5" s="1"/>
  <c r="D544" i="5"/>
  <c r="C544" i="5"/>
  <c r="B544" i="5"/>
  <c r="C543" i="5"/>
  <c r="D543" i="5" s="1"/>
  <c r="B543" i="5"/>
  <c r="C542" i="5"/>
  <c r="D542" i="5" s="1"/>
  <c r="B542" i="5"/>
  <c r="D541" i="5"/>
  <c r="B541" i="5"/>
  <c r="C541" i="5" s="1"/>
  <c r="D540" i="5"/>
  <c r="C540" i="5"/>
  <c r="B540" i="5"/>
  <c r="C539" i="5"/>
  <c r="D539" i="5" s="1"/>
  <c r="B539" i="5"/>
  <c r="C538" i="5"/>
  <c r="D538" i="5" s="1"/>
  <c r="H538" i="1" s="1"/>
  <c r="B538" i="5"/>
  <c r="D537" i="5"/>
  <c r="B537" i="5"/>
  <c r="C537" i="5" s="1"/>
  <c r="D536" i="5"/>
  <c r="H536" i="1" s="1"/>
  <c r="C536" i="5"/>
  <c r="B536" i="5"/>
  <c r="C535" i="5"/>
  <c r="D535" i="5" s="1"/>
  <c r="B535" i="5"/>
  <c r="C534" i="5"/>
  <c r="D534" i="5" s="1"/>
  <c r="B534" i="5"/>
  <c r="D533" i="5"/>
  <c r="B533" i="5"/>
  <c r="C533" i="5" s="1"/>
  <c r="D532" i="5"/>
  <c r="C532" i="5"/>
  <c r="B532" i="5"/>
  <c r="C531" i="5"/>
  <c r="D531" i="5" s="1"/>
  <c r="B531" i="5"/>
  <c r="C530" i="5"/>
  <c r="D530" i="5" s="1"/>
  <c r="B530" i="5"/>
  <c r="D529" i="5"/>
  <c r="B529" i="5"/>
  <c r="C529" i="5" s="1"/>
  <c r="D528" i="5"/>
  <c r="C528" i="5"/>
  <c r="B528" i="5"/>
  <c r="C527" i="5"/>
  <c r="D527" i="5" s="1"/>
  <c r="B527" i="5"/>
  <c r="C526" i="5"/>
  <c r="D526" i="5" s="1"/>
  <c r="B526" i="5"/>
  <c r="D525" i="5"/>
  <c r="B525" i="5"/>
  <c r="C525" i="5" s="1"/>
  <c r="D524" i="5"/>
  <c r="C524" i="5"/>
  <c r="B524" i="5"/>
  <c r="C523" i="5"/>
  <c r="D523" i="5" s="1"/>
  <c r="B523" i="5"/>
  <c r="C522" i="5"/>
  <c r="D522" i="5" s="1"/>
  <c r="H522" i="1" s="1"/>
  <c r="B522" i="5"/>
  <c r="D521" i="5"/>
  <c r="B521" i="5"/>
  <c r="C521" i="5" s="1"/>
  <c r="D520" i="5"/>
  <c r="H520" i="1" s="1"/>
  <c r="C520" i="5"/>
  <c r="B520" i="5"/>
  <c r="C519" i="5"/>
  <c r="D519" i="5" s="1"/>
  <c r="B519" i="5"/>
  <c r="C518" i="5"/>
  <c r="D518" i="5" s="1"/>
  <c r="B518" i="5"/>
  <c r="D517" i="5"/>
  <c r="B517" i="5"/>
  <c r="C517" i="5" s="1"/>
  <c r="D516" i="5"/>
  <c r="C516" i="5"/>
  <c r="B516" i="5"/>
  <c r="C515" i="5"/>
  <c r="D515" i="5" s="1"/>
  <c r="B515" i="5"/>
  <c r="C514" i="5"/>
  <c r="D514" i="5" s="1"/>
  <c r="B514" i="5"/>
  <c r="D513" i="5"/>
  <c r="B513" i="5"/>
  <c r="C513" i="5" s="1"/>
  <c r="D512" i="5"/>
  <c r="C512" i="5"/>
  <c r="B512" i="5"/>
  <c r="C511" i="5"/>
  <c r="D511" i="5" s="1"/>
  <c r="B511" i="5"/>
  <c r="C510" i="5"/>
  <c r="D510" i="5" s="1"/>
  <c r="B510" i="5"/>
  <c r="D509" i="5"/>
  <c r="B509" i="5"/>
  <c r="C509" i="5" s="1"/>
  <c r="D508" i="5"/>
  <c r="C508" i="5"/>
  <c r="B508" i="5"/>
  <c r="C507" i="5"/>
  <c r="D507" i="5" s="1"/>
  <c r="B507" i="5"/>
  <c r="C506" i="5"/>
  <c r="D506" i="5" s="1"/>
  <c r="H506" i="1" s="1"/>
  <c r="B506" i="5"/>
  <c r="D505" i="5"/>
  <c r="B505" i="5"/>
  <c r="C505" i="5" s="1"/>
  <c r="D504" i="5"/>
  <c r="H504" i="1" s="1"/>
  <c r="C504" i="5"/>
  <c r="B504" i="5"/>
  <c r="C503" i="5"/>
  <c r="D503" i="5" s="1"/>
  <c r="B503" i="5"/>
  <c r="C502" i="5"/>
  <c r="D502" i="5" s="1"/>
  <c r="B502" i="5"/>
  <c r="D501" i="5"/>
  <c r="B501" i="5"/>
  <c r="C501" i="5" s="1"/>
  <c r="D500" i="5"/>
  <c r="C500" i="5"/>
  <c r="B500" i="5"/>
  <c r="C499" i="5"/>
  <c r="D499" i="5" s="1"/>
  <c r="B499" i="5"/>
  <c r="C498" i="5"/>
  <c r="D498" i="5" s="1"/>
  <c r="B498" i="5"/>
  <c r="D497" i="5"/>
  <c r="B497" i="5"/>
  <c r="C497" i="5" s="1"/>
  <c r="D496" i="5"/>
  <c r="C496" i="5"/>
  <c r="B496" i="5"/>
  <c r="C495" i="5"/>
  <c r="D495" i="5" s="1"/>
  <c r="B495" i="5"/>
  <c r="C494" i="5"/>
  <c r="D494" i="5" s="1"/>
  <c r="B494" i="5"/>
  <c r="D493" i="5"/>
  <c r="B493" i="5"/>
  <c r="C493" i="5" s="1"/>
  <c r="D492" i="5"/>
  <c r="C492" i="5"/>
  <c r="B492" i="5"/>
  <c r="C491" i="5"/>
  <c r="D491" i="5" s="1"/>
  <c r="B491" i="5"/>
  <c r="C490" i="5"/>
  <c r="D490" i="5" s="1"/>
  <c r="H490" i="1" s="1"/>
  <c r="B490" i="5"/>
  <c r="D489" i="5"/>
  <c r="B489" i="5"/>
  <c r="C489" i="5" s="1"/>
  <c r="D488" i="5"/>
  <c r="H488" i="1" s="1"/>
  <c r="C488" i="5"/>
  <c r="B488" i="5"/>
  <c r="C487" i="5"/>
  <c r="D487" i="5" s="1"/>
  <c r="B487" i="5"/>
  <c r="C486" i="5"/>
  <c r="D486" i="5" s="1"/>
  <c r="B486" i="5"/>
  <c r="D485" i="5"/>
  <c r="B485" i="5"/>
  <c r="C485" i="5" s="1"/>
  <c r="D484" i="5"/>
  <c r="C484" i="5"/>
  <c r="B484" i="5"/>
  <c r="C483" i="5"/>
  <c r="D483" i="5" s="1"/>
  <c r="B483" i="5"/>
  <c r="C482" i="5"/>
  <c r="D482" i="5" s="1"/>
  <c r="B482" i="5"/>
  <c r="D481" i="5"/>
  <c r="B481" i="5"/>
  <c r="C481" i="5" s="1"/>
  <c r="D480" i="5"/>
  <c r="C480" i="5"/>
  <c r="B480" i="5"/>
  <c r="C479" i="5"/>
  <c r="D479" i="5" s="1"/>
  <c r="B479" i="5"/>
  <c r="C478" i="5"/>
  <c r="D478" i="5" s="1"/>
  <c r="B478" i="5"/>
  <c r="D477" i="5"/>
  <c r="B477" i="5"/>
  <c r="C477" i="5" s="1"/>
  <c r="D476" i="5"/>
  <c r="C476" i="5"/>
  <c r="B476" i="5"/>
  <c r="C475" i="5"/>
  <c r="D475" i="5" s="1"/>
  <c r="B475" i="5"/>
  <c r="C474" i="5"/>
  <c r="D474" i="5" s="1"/>
  <c r="H474" i="1" s="1"/>
  <c r="B474" i="5"/>
  <c r="D473" i="5"/>
  <c r="B473" i="5"/>
  <c r="C473" i="5" s="1"/>
  <c r="D472" i="5"/>
  <c r="H472" i="1" s="1"/>
  <c r="C472" i="5"/>
  <c r="B472" i="5"/>
  <c r="C471" i="5"/>
  <c r="D471" i="5" s="1"/>
  <c r="B471" i="5"/>
  <c r="C470" i="5"/>
  <c r="D470" i="5" s="1"/>
  <c r="B470" i="5"/>
  <c r="D469" i="5"/>
  <c r="B469" i="5"/>
  <c r="C469" i="5" s="1"/>
  <c r="D468" i="5"/>
  <c r="C468" i="5"/>
  <c r="B468" i="5"/>
  <c r="C467" i="5"/>
  <c r="D467" i="5" s="1"/>
  <c r="B467" i="5"/>
  <c r="C466" i="5"/>
  <c r="D466" i="5" s="1"/>
  <c r="B466" i="5"/>
  <c r="D465" i="5"/>
  <c r="B465" i="5"/>
  <c r="C465" i="5" s="1"/>
  <c r="D464" i="5"/>
  <c r="C464" i="5"/>
  <c r="B464" i="5"/>
  <c r="C463" i="5"/>
  <c r="D463" i="5" s="1"/>
  <c r="B463" i="5"/>
  <c r="C462" i="5"/>
  <c r="D462" i="5" s="1"/>
  <c r="B462" i="5"/>
  <c r="D461" i="5"/>
  <c r="B461" i="5"/>
  <c r="C461" i="5" s="1"/>
  <c r="D460" i="5"/>
  <c r="C460" i="5"/>
  <c r="B460" i="5"/>
  <c r="C459" i="5"/>
  <c r="D459" i="5" s="1"/>
  <c r="B459" i="5"/>
  <c r="C458" i="5"/>
  <c r="D458" i="5" s="1"/>
  <c r="H458" i="1" s="1"/>
  <c r="B458" i="5"/>
  <c r="D457" i="5"/>
  <c r="B457" i="5"/>
  <c r="C457" i="5" s="1"/>
  <c r="D456" i="5"/>
  <c r="H456" i="1" s="1"/>
  <c r="C456" i="5"/>
  <c r="B456" i="5"/>
  <c r="C455" i="5"/>
  <c r="D455" i="5" s="1"/>
  <c r="B455" i="5"/>
  <c r="C454" i="5"/>
  <c r="D454" i="5" s="1"/>
  <c r="B454" i="5"/>
  <c r="D453" i="5"/>
  <c r="B453" i="5"/>
  <c r="C453" i="5" s="1"/>
  <c r="D452" i="5"/>
  <c r="C452" i="5"/>
  <c r="B452" i="5"/>
  <c r="C451" i="5"/>
  <c r="D451" i="5" s="1"/>
  <c r="B451" i="5"/>
  <c r="C450" i="5"/>
  <c r="D450" i="5" s="1"/>
  <c r="B450" i="5"/>
  <c r="D449" i="5"/>
  <c r="B449" i="5"/>
  <c r="C449" i="5" s="1"/>
  <c r="D448" i="5"/>
  <c r="C448" i="5"/>
  <c r="B448" i="5"/>
  <c r="C447" i="5"/>
  <c r="D447" i="5" s="1"/>
  <c r="B447" i="5"/>
  <c r="C446" i="5"/>
  <c r="D446" i="5" s="1"/>
  <c r="B446" i="5"/>
  <c r="D445" i="5"/>
  <c r="B445" i="5"/>
  <c r="C445" i="5" s="1"/>
  <c r="D444" i="5"/>
  <c r="C444" i="5"/>
  <c r="B444" i="5"/>
  <c r="C443" i="5"/>
  <c r="D443" i="5" s="1"/>
  <c r="B443" i="5"/>
  <c r="C442" i="5"/>
  <c r="D442" i="5" s="1"/>
  <c r="H442" i="1" s="1"/>
  <c r="B442" i="5"/>
  <c r="D441" i="5"/>
  <c r="B441" i="5"/>
  <c r="C441" i="5" s="1"/>
  <c r="D440" i="5"/>
  <c r="H440" i="1" s="1"/>
  <c r="C440" i="5"/>
  <c r="B440" i="5"/>
  <c r="C439" i="5"/>
  <c r="D439" i="5" s="1"/>
  <c r="B439" i="5"/>
  <c r="C438" i="5"/>
  <c r="D438" i="5" s="1"/>
  <c r="B438" i="5"/>
  <c r="D437" i="5"/>
  <c r="B437" i="5"/>
  <c r="C437" i="5" s="1"/>
  <c r="D436" i="5"/>
  <c r="C436" i="5"/>
  <c r="B436" i="5"/>
  <c r="C435" i="5"/>
  <c r="D435" i="5" s="1"/>
  <c r="B435" i="5"/>
  <c r="C434" i="5"/>
  <c r="D434" i="5" s="1"/>
  <c r="B434" i="5"/>
  <c r="D433" i="5"/>
  <c r="B433" i="5"/>
  <c r="C433" i="5" s="1"/>
  <c r="D432" i="5"/>
  <c r="C432" i="5"/>
  <c r="B432" i="5"/>
  <c r="C431" i="5"/>
  <c r="D431" i="5" s="1"/>
  <c r="B431" i="5"/>
  <c r="C430" i="5"/>
  <c r="D430" i="5" s="1"/>
  <c r="B430" i="5"/>
  <c r="D429" i="5"/>
  <c r="B429" i="5"/>
  <c r="C429" i="5" s="1"/>
  <c r="D428" i="5"/>
  <c r="C428" i="5"/>
  <c r="B428" i="5"/>
  <c r="C427" i="5"/>
  <c r="D427" i="5" s="1"/>
  <c r="B427" i="5"/>
  <c r="C426" i="5"/>
  <c r="D426" i="5" s="1"/>
  <c r="H426" i="1" s="1"/>
  <c r="B426" i="5"/>
  <c r="D425" i="5"/>
  <c r="B425" i="5"/>
  <c r="C425" i="5" s="1"/>
  <c r="D424" i="5"/>
  <c r="H424" i="1" s="1"/>
  <c r="C424" i="5"/>
  <c r="B424" i="5"/>
  <c r="C423" i="5"/>
  <c r="D423" i="5" s="1"/>
  <c r="B423" i="5"/>
  <c r="C422" i="5"/>
  <c r="D422" i="5" s="1"/>
  <c r="B422" i="5"/>
  <c r="D421" i="5"/>
  <c r="B421" i="5"/>
  <c r="C421" i="5" s="1"/>
  <c r="D420" i="5"/>
  <c r="C420" i="5"/>
  <c r="B420" i="5"/>
  <c r="C419" i="5"/>
  <c r="D419" i="5" s="1"/>
  <c r="B419" i="5"/>
  <c r="C418" i="5"/>
  <c r="D418" i="5" s="1"/>
  <c r="B418" i="5"/>
  <c r="D417" i="5"/>
  <c r="B417" i="5"/>
  <c r="C417" i="5" s="1"/>
  <c r="D416" i="5"/>
  <c r="C416" i="5"/>
  <c r="B416" i="5"/>
  <c r="C415" i="5"/>
  <c r="D415" i="5" s="1"/>
  <c r="B415" i="5"/>
  <c r="C414" i="5"/>
  <c r="D414" i="5" s="1"/>
  <c r="B414" i="5"/>
  <c r="D413" i="5"/>
  <c r="B413" i="5"/>
  <c r="C413" i="5" s="1"/>
  <c r="D412" i="5"/>
  <c r="C412" i="5"/>
  <c r="B412" i="5"/>
  <c r="C411" i="5"/>
  <c r="D411" i="5" s="1"/>
  <c r="B411" i="5"/>
  <c r="C410" i="5"/>
  <c r="D410" i="5" s="1"/>
  <c r="H410" i="1" s="1"/>
  <c r="B410" i="5"/>
  <c r="D409" i="5"/>
  <c r="B409" i="5"/>
  <c r="C409" i="5" s="1"/>
  <c r="D408" i="5"/>
  <c r="H408" i="1" s="1"/>
  <c r="C408" i="5"/>
  <c r="B408" i="5"/>
  <c r="C407" i="5"/>
  <c r="D407" i="5" s="1"/>
  <c r="B407" i="5"/>
  <c r="C406" i="5"/>
  <c r="D406" i="5" s="1"/>
  <c r="B406" i="5"/>
  <c r="D405" i="5"/>
  <c r="B405" i="5"/>
  <c r="C405" i="5" s="1"/>
  <c r="D404" i="5"/>
  <c r="C404" i="5"/>
  <c r="B404" i="5"/>
  <c r="C403" i="5"/>
  <c r="D403" i="5" s="1"/>
  <c r="B403" i="5"/>
  <c r="C402" i="5"/>
  <c r="D402" i="5" s="1"/>
  <c r="B402" i="5"/>
  <c r="D401" i="5"/>
  <c r="B401" i="5"/>
  <c r="C401" i="5" s="1"/>
  <c r="D400" i="5"/>
  <c r="C400" i="5"/>
  <c r="B400" i="5"/>
  <c r="C399" i="5"/>
  <c r="D399" i="5" s="1"/>
  <c r="B399" i="5"/>
  <c r="C398" i="5"/>
  <c r="D398" i="5" s="1"/>
  <c r="B398" i="5"/>
  <c r="D397" i="5"/>
  <c r="B397" i="5"/>
  <c r="C397" i="5" s="1"/>
  <c r="D396" i="5"/>
  <c r="C396" i="5"/>
  <c r="B396" i="5"/>
  <c r="C395" i="5"/>
  <c r="D395" i="5" s="1"/>
  <c r="B395" i="5"/>
  <c r="C394" i="5"/>
  <c r="D394" i="5" s="1"/>
  <c r="H394" i="1" s="1"/>
  <c r="B394" i="5"/>
  <c r="D393" i="5"/>
  <c r="B393" i="5"/>
  <c r="C393" i="5" s="1"/>
  <c r="D392" i="5"/>
  <c r="H392" i="1" s="1"/>
  <c r="C392" i="5"/>
  <c r="B392" i="5"/>
  <c r="C391" i="5"/>
  <c r="D391" i="5" s="1"/>
  <c r="B391" i="5"/>
  <c r="C390" i="5"/>
  <c r="D390" i="5" s="1"/>
  <c r="B390" i="5"/>
  <c r="D389" i="5"/>
  <c r="B389" i="5"/>
  <c r="C389" i="5" s="1"/>
  <c r="D388" i="5"/>
  <c r="C388" i="5"/>
  <c r="B388" i="5"/>
  <c r="C387" i="5"/>
  <c r="D387" i="5" s="1"/>
  <c r="B387" i="5"/>
  <c r="C386" i="5"/>
  <c r="D386" i="5" s="1"/>
  <c r="B386" i="5"/>
  <c r="D385" i="5"/>
  <c r="B385" i="5"/>
  <c r="C385" i="5" s="1"/>
  <c r="D384" i="5"/>
  <c r="C384" i="5"/>
  <c r="B384" i="5"/>
  <c r="C383" i="5"/>
  <c r="D383" i="5" s="1"/>
  <c r="B383" i="5"/>
  <c r="C382" i="5"/>
  <c r="D382" i="5" s="1"/>
  <c r="B382" i="5"/>
  <c r="D381" i="5"/>
  <c r="B381" i="5"/>
  <c r="C381" i="5" s="1"/>
  <c r="D380" i="5"/>
  <c r="C380" i="5"/>
  <c r="B380" i="5"/>
  <c r="C379" i="5"/>
  <c r="D379" i="5" s="1"/>
  <c r="B379" i="5"/>
  <c r="C378" i="5"/>
  <c r="D378" i="5" s="1"/>
  <c r="H378" i="1" s="1"/>
  <c r="B378" i="5"/>
  <c r="D377" i="5"/>
  <c r="B377" i="5"/>
  <c r="C377" i="5" s="1"/>
  <c r="D376" i="5"/>
  <c r="H376" i="1" s="1"/>
  <c r="C376" i="5"/>
  <c r="B376" i="5"/>
  <c r="C375" i="5"/>
  <c r="D375" i="5" s="1"/>
  <c r="B375" i="5"/>
  <c r="C374" i="5"/>
  <c r="D374" i="5" s="1"/>
  <c r="B374" i="5"/>
  <c r="D373" i="5"/>
  <c r="B373" i="5"/>
  <c r="C373" i="5" s="1"/>
  <c r="D372" i="5"/>
  <c r="C372" i="5"/>
  <c r="B372" i="5"/>
  <c r="C371" i="5"/>
  <c r="D371" i="5" s="1"/>
  <c r="B371" i="5"/>
  <c r="C370" i="5"/>
  <c r="D370" i="5" s="1"/>
  <c r="B370" i="5"/>
  <c r="D369" i="5"/>
  <c r="B369" i="5"/>
  <c r="C369" i="5" s="1"/>
  <c r="D368" i="5"/>
  <c r="C368" i="5"/>
  <c r="B368" i="5"/>
  <c r="C367" i="5"/>
  <c r="D367" i="5" s="1"/>
  <c r="B367" i="5"/>
  <c r="C366" i="5"/>
  <c r="D366" i="5" s="1"/>
  <c r="B366" i="5"/>
  <c r="D365" i="5"/>
  <c r="B365" i="5"/>
  <c r="C365" i="5" s="1"/>
  <c r="D364" i="5"/>
  <c r="C364" i="5"/>
  <c r="B364" i="5"/>
  <c r="C363" i="5"/>
  <c r="D363" i="5" s="1"/>
  <c r="B363" i="5"/>
  <c r="C362" i="5"/>
  <c r="D362" i="5" s="1"/>
  <c r="H362" i="1" s="1"/>
  <c r="B362" i="5"/>
  <c r="D361" i="5"/>
  <c r="B361" i="5"/>
  <c r="C361" i="5" s="1"/>
  <c r="D360" i="5"/>
  <c r="H360" i="1" s="1"/>
  <c r="C360" i="5"/>
  <c r="B360" i="5"/>
  <c r="C359" i="5"/>
  <c r="D359" i="5" s="1"/>
  <c r="B359" i="5"/>
  <c r="C358" i="5"/>
  <c r="D358" i="5" s="1"/>
  <c r="B358" i="5"/>
  <c r="D357" i="5"/>
  <c r="B357" i="5"/>
  <c r="C357" i="5" s="1"/>
  <c r="D356" i="5"/>
  <c r="C356" i="5"/>
  <c r="B356" i="5"/>
  <c r="C355" i="5"/>
  <c r="D355" i="5" s="1"/>
  <c r="B355" i="5"/>
  <c r="C354" i="5"/>
  <c r="D354" i="5" s="1"/>
  <c r="B354" i="5"/>
  <c r="D353" i="5"/>
  <c r="B353" i="5"/>
  <c r="C353" i="5" s="1"/>
  <c r="D352" i="5"/>
  <c r="C352" i="5"/>
  <c r="B352" i="5"/>
  <c r="C351" i="5"/>
  <c r="D351" i="5" s="1"/>
  <c r="B351" i="5"/>
  <c r="C350" i="5"/>
  <c r="D350" i="5" s="1"/>
  <c r="B350" i="5"/>
  <c r="D349" i="5"/>
  <c r="B349" i="5"/>
  <c r="C349" i="5" s="1"/>
  <c r="D348" i="5"/>
  <c r="C348" i="5"/>
  <c r="B348" i="5"/>
  <c r="C347" i="5"/>
  <c r="D347" i="5" s="1"/>
  <c r="B347" i="5"/>
  <c r="C346" i="5"/>
  <c r="D346" i="5" s="1"/>
  <c r="H346" i="1" s="1"/>
  <c r="B346" i="5"/>
  <c r="D345" i="5"/>
  <c r="B345" i="5"/>
  <c r="C345" i="5" s="1"/>
  <c r="D344" i="5"/>
  <c r="H344" i="1" s="1"/>
  <c r="C344" i="5"/>
  <c r="B344" i="5"/>
  <c r="C343" i="5"/>
  <c r="D343" i="5" s="1"/>
  <c r="B343" i="5"/>
  <c r="C342" i="5"/>
  <c r="D342" i="5" s="1"/>
  <c r="B342" i="5"/>
  <c r="D341" i="5"/>
  <c r="B341" i="5"/>
  <c r="C341" i="5" s="1"/>
  <c r="D340" i="5"/>
  <c r="C340" i="5"/>
  <c r="B340" i="5"/>
  <c r="C339" i="5"/>
  <c r="D339" i="5" s="1"/>
  <c r="B339" i="5"/>
  <c r="C338" i="5"/>
  <c r="D338" i="5" s="1"/>
  <c r="B338" i="5"/>
  <c r="D337" i="5"/>
  <c r="B337" i="5"/>
  <c r="C337" i="5" s="1"/>
  <c r="D336" i="5"/>
  <c r="C336" i="5"/>
  <c r="B336" i="5"/>
  <c r="C335" i="5"/>
  <c r="D335" i="5" s="1"/>
  <c r="B335" i="5"/>
  <c r="C334" i="5"/>
  <c r="D334" i="5" s="1"/>
  <c r="B334" i="5"/>
  <c r="D333" i="5"/>
  <c r="B333" i="5"/>
  <c r="C333" i="5" s="1"/>
  <c r="D332" i="5"/>
  <c r="C332" i="5"/>
  <c r="B332" i="5"/>
  <c r="C331" i="5"/>
  <c r="D331" i="5" s="1"/>
  <c r="B331" i="5"/>
  <c r="C330" i="5"/>
  <c r="D330" i="5" s="1"/>
  <c r="H330" i="1" s="1"/>
  <c r="B330" i="5"/>
  <c r="D329" i="5"/>
  <c r="B329" i="5"/>
  <c r="C329" i="5" s="1"/>
  <c r="D328" i="5"/>
  <c r="H328" i="1" s="1"/>
  <c r="C328" i="5"/>
  <c r="B328" i="5"/>
  <c r="C327" i="5"/>
  <c r="D327" i="5" s="1"/>
  <c r="B327" i="5"/>
  <c r="C326" i="5"/>
  <c r="D326" i="5" s="1"/>
  <c r="B326" i="5"/>
  <c r="D325" i="5"/>
  <c r="B325" i="5"/>
  <c r="C325" i="5" s="1"/>
  <c r="D324" i="5"/>
  <c r="C324" i="5"/>
  <c r="B324" i="5"/>
  <c r="C323" i="5"/>
  <c r="D323" i="5" s="1"/>
  <c r="H323" i="1" s="1"/>
  <c r="B323" i="5"/>
  <c r="C322" i="5"/>
  <c r="D322" i="5" s="1"/>
  <c r="B322" i="5"/>
  <c r="D321" i="5"/>
  <c r="B321" i="5"/>
  <c r="C321" i="5" s="1"/>
  <c r="D320" i="5"/>
  <c r="C320" i="5"/>
  <c r="B320" i="5"/>
  <c r="C319" i="5"/>
  <c r="D319" i="5" s="1"/>
  <c r="B319" i="5"/>
  <c r="C318" i="5"/>
  <c r="D318" i="5" s="1"/>
  <c r="B318" i="5"/>
  <c r="D317" i="5"/>
  <c r="B317" i="5"/>
  <c r="C317" i="5" s="1"/>
  <c r="D316" i="5"/>
  <c r="C316" i="5"/>
  <c r="B316" i="5"/>
  <c r="C315" i="5"/>
  <c r="D315" i="5" s="1"/>
  <c r="B315" i="5"/>
  <c r="C314" i="5"/>
  <c r="D314" i="5" s="1"/>
  <c r="H314" i="1" s="1"/>
  <c r="B314" i="5"/>
  <c r="D313" i="5"/>
  <c r="B313" i="5"/>
  <c r="C313" i="5" s="1"/>
  <c r="D312" i="5"/>
  <c r="H312" i="1" s="1"/>
  <c r="C312" i="5"/>
  <c r="B312" i="5"/>
  <c r="C311" i="5"/>
  <c r="D311" i="5" s="1"/>
  <c r="B311" i="5"/>
  <c r="C310" i="5"/>
  <c r="D310" i="5" s="1"/>
  <c r="B310" i="5"/>
  <c r="D309" i="5"/>
  <c r="B309" i="5"/>
  <c r="C309" i="5" s="1"/>
  <c r="D308" i="5"/>
  <c r="C308" i="5"/>
  <c r="B308" i="5"/>
  <c r="C307" i="5"/>
  <c r="D307" i="5" s="1"/>
  <c r="H307" i="1" s="1"/>
  <c r="B307" i="5"/>
  <c r="C306" i="5"/>
  <c r="D306" i="5" s="1"/>
  <c r="B306" i="5"/>
  <c r="D305" i="5"/>
  <c r="B305" i="5"/>
  <c r="C305" i="5" s="1"/>
  <c r="B304" i="5"/>
  <c r="C304" i="5" s="1"/>
  <c r="D304" i="5" s="1"/>
  <c r="C303" i="5"/>
  <c r="D303" i="5" s="1"/>
  <c r="B303" i="5"/>
  <c r="B302" i="5"/>
  <c r="C302" i="5" s="1"/>
  <c r="D302" i="5" s="1"/>
  <c r="C301" i="5"/>
  <c r="D301" i="5" s="1"/>
  <c r="B301" i="5"/>
  <c r="B300" i="5"/>
  <c r="C300" i="5" s="1"/>
  <c r="D300" i="5" s="1"/>
  <c r="H300" i="1" s="1"/>
  <c r="C299" i="5"/>
  <c r="D299" i="5" s="1"/>
  <c r="B299" i="5"/>
  <c r="B298" i="5"/>
  <c r="C298" i="5" s="1"/>
  <c r="D298" i="5" s="1"/>
  <c r="C297" i="5"/>
  <c r="D297" i="5" s="1"/>
  <c r="B297" i="5"/>
  <c r="D296" i="5"/>
  <c r="B296" i="5"/>
  <c r="C296" i="5" s="1"/>
  <c r="C295" i="5"/>
  <c r="D295" i="5" s="1"/>
  <c r="B295" i="5"/>
  <c r="B294" i="5"/>
  <c r="C294" i="5" s="1"/>
  <c r="D294" i="5" s="1"/>
  <c r="C293" i="5"/>
  <c r="D293" i="5" s="1"/>
  <c r="B293" i="5"/>
  <c r="B292" i="5"/>
  <c r="C292" i="5" s="1"/>
  <c r="D292" i="5" s="1"/>
  <c r="C291" i="5"/>
  <c r="D291" i="5" s="1"/>
  <c r="B291" i="5"/>
  <c r="B290" i="5"/>
  <c r="C290" i="5" s="1"/>
  <c r="D290" i="5" s="1"/>
  <c r="C289" i="5"/>
  <c r="D289" i="5" s="1"/>
  <c r="B289" i="5"/>
  <c r="B288" i="5"/>
  <c r="C288" i="5" s="1"/>
  <c r="D288" i="5" s="1"/>
  <c r="C287" i="5"/>
  <c r="D287" i="5" s="1"/>
  <c r="B287" i="5"/>
  <c r="B286" i="5"/>
  <c r="C286" i="5" s="1"/>
  <c r="D286" i="5" s="1"/>
  <c r="C285" i="5"/>
  <c r="D285" i="5" s="1"/>
  <c r="B285" i="5"/>
  <c r="B284" i="5"/>
  <c r="C284" i="5" s="1"/>
  <c r="D284" i="5" s="1"/>
  <c r="C283" i="5"/>
  <c r="D283" i="5" s="1"/>
  <c r="B283" i="5"/>
  <c r="B282" i="5"/>
  <c r="C282" i="5" s="1"/>
  <c r="D282" i="5" s="1"/>
  <c r="C281" i="5"/>
  <c r="D281" i="5" s="1"/>
  <c r="B281" i="5"/>
  <c r="D280" i="5"/>
  <c r="B280" i="5"/>
  <c r="C280" i="5" s="1"/>
  <c r="C279" i="5"/>
  <c r="D279" i="5" s="1"/>
  <c r="B279" i="5"/>
  <c r="B278" i="5"/>
  <c r="C278" i="5" s="1"/>
  <c r="D278" i="5" s="1"/>
  <c r="C277" i="5"/>
  <c r="D277" i="5" s="1"/>
  <c r="B277" i="5"/>
  <c r="B276" i="5"/>
  <c r="C276" i="5" s="1"/>
  <c r="D276" i="5" s="1"/>
  <c r="C275" i="5"/>
  <c r="D275" i="5" s="1"/>
  <c r="B275" i="5"/>
  <c r="B274" i="5"/>
  <c r="C274" i="5" s="1"/>
  <c r="D274" i="5" s="1"/>
  <c r="C273" i="5"/>
  <c r="D273" i="5" s="1"/>
  <c r="B273" i="5"/>
  <c r="B272" i="5"/>
  <c r="C272" i="5" s="1"/>
  <c r="D272" i="5" s="1"/>
  <c r="H272" i="1" s="1"/>
  <c r="C271" i="5"/>
  <c r="D271" i="5" s="1"/>
  <c r="B271" i="5"/>
  <c r="B270" i="5"/>
  <c r="C270" i="5" s="1"/>
  <c r="D270" i="5" s="1"/>
  <c r="C269" i="5"/>
  <c r="D269" i="5" s="1"/>
  <c r="B269" i="5"/>
  <c r="B268" i="5"/>
  <c r="C268" i="5" s="1"/>
  <c r="D268" i="5" s="1"/>
  <c r="C267" i="5"/>
  <c r="D267" i="5" s="1"/>
  <c r="B267" i="5"/>
  <c r="B266" i="5"/>
  <c r="C266" i="5" s="1"/>
  <c r="D266" i="5" s="1"/>
  <c r="C265" i="5"/>
  <c r="D265" i="5" s="1"/>
  <c r="B265" i="5"/>
  <c r="D264" i="5"/>
  <c r="H264" i="1" s="1"/>
  <c r="B264" i="5"/>
  <c r="C264" i="5" s="1"/>
  <c r="C263" i="5"/>
  <c r="D263" i="5" s="1"/>
  <c r="B263" i="5"/>
  <c r="B262" i="5"/>
  <c r="C262" i="5" s="1"/>
  <c r="D262" i="5" s="1"/>
  <c r="H262" i="1" s="1"/>
  <c r="C261" i="5"/>
  <c r="D261" i="5" s="1"/>
  <c r="B261" i="5"/>
  <c r="B260" i="5"/>
  <c r="C260" i="5" s="1"/>
  <c r="D260" i="5" s="1"/>
  <c r="C259" i="5"/>
  <c r="D259" i="5" s="1"/>
  <c r="B259" i="5"/>
  <c r="B258" i="5"/>
  <c r="C258" i="5" s="1"/>
  <c r="D258" i="5" s="1"/>
  <c r="C257" i="5"/>
  <c r="D257" i="5" s="1"/>
  <c r="B257" i="5"/>
  <c r="B256" i="5"/>
  <c r="C256" i="5" s="1"/>
  <c r="D256" i="5" s="1"/>
  <c r="C255" i="5"/>
  <c r="D255" i="5" s="1"/>
  <c r="B255" i="5"/>
  <c r="B254" i="5"/>
  <c r="C254" i="5" s="1"/>
  <c r="D254" i="5" s="1"/>
  <c r="C253" i="5"/>
  <c r="D253" i="5" s="1"/>
  <c r="B253" i="5"/>
  <c r="B252" i="5"/>
  <c r="C252" i="5" s="1"/>
  <c r="D252" i="5" s="1"/>
  <c r="C251" i="5"/>
  <c r="D251" i="5" s="1"/>
  <c r="B251" i="5"/>
  <c r="B250" i="5"/>
  <c r="C250" i="5" s="1"/>
  <c r="D250" i="5" s="1"/>
  <c r="C249" i="5"/>
  <c r="D249" i="5" s="1"/>
  <c r="B249" i="5"/>
  <c r="D248" i="5"/>
  <c r="B248" i="5"/>
  <c r="C248" i="5" s="1"/>
  <c r="C247" i="5"/>
  <c r="D247" i="5" s="1"/>
  <c r="B247" i="5"/>
  <c r="B246" i="5"/>
  <c r="C246" i="5" s="1"/>
  <c r="D246" i="5" s="1"/>
  <c r="C245" i="5"/>
  <c r="D245" i="5" s="1"/>
  <c r="B245" i="5"/>
  <c r="B244" i="5"/>
  <c r="C244" i="5" s="1"/>
  <c r="D244" i="5" s="1"/>
  <c r="H244" i="1" s="1"/>
  <c r="C243" i="5"/>
  <c r="D243" i="5" s="1"/>
  <c r="B243" i="5"/>
  <c r="B242" i="5"/>
  <c r="C242" i="5" s="1"/>
  <c r="D242" i="5" s="1"/>
  <c r="C241" i="5"/>
  <c r="D241" i="5" s="1"/>
  <c r="B241" i="5"/>
  <c r="B240" i="5"/>
  <c r="C240" i="5" s="1"/>
  <c r="D240" i="5" s="1"/>
  <c r="C239" i="5"/>
  <c r="D239" i="5" s="1"/>
  <c r="B239" i="5"/>
  <c r="B238" i="5"/>
  <c r="C238" i="5" s="1"/>
  <c r="D238" i="5" s="1"/>
  <c r="C237" i="5"/>
  <c r="D237" i="5" s="1"/>
  <c r="B237" i="5"/>
  <c r="B236" i="5"/>
  <c r="C236" i="5" s="1"/>
  <c r="D236" i="5" s="1"/>
  <c r="H236" i="1" s="1"/>
  <c r="C235" i="5"/>
  <c r="D235" i="5" s="1"/>
  <c r="B235" i="5"/>
  <c r="B234" i="5"/>
  <c r="C234" i="5" s="1"/>
  <c r="D234" i="5" s="1"/>
  <c r="C233" i="5"/>
  <c r="D233" i="5" s="1"/>
  <c r="B233" i="5"/>
  <c r="D232" i="5"/>
  <c r="B232" i="5"/>
  <c r="C232" i="5" s="1"/>
  <c r="C231" i="5"/>
  <c r="D231" i="5" s="1"/>
  <c r="B231" i="5"/>
  <c r="B230" i="5"/>
  <c r="C230" i="5" s="1"/>
  <c r="D230" i="5" s="1"/>
  <c r="C229" i="5"/>
  <c r="D229" i="5" s="1"/>
  <c r="B229" i="5"/>
  <c r="B228" i="5"/>
  <c r="C228" i="5" s="1"/>
  <c r="D228" i="5" s="1"/>
  <c r="C227" i="5"/>
  <c r="D227" i="5" s="1"/>
  <c r="B227" i="5"/>
  <c r="B226" i="5"/>
  <c r="C226" i="5" s="1"/>
  <c r="D226" i="5" s="1"/>
  <c r="C225" i="5"/>
  <c r="D225" i="5" s="1"/>
  <c r="B225" i="5"/>
  <c r="B224" i="5"/>
  <c r="C224" i="5" s="1"/>
  <c r="D224" i="5" s="1"/>
  <c r="C223" i="5"/>
  <c r="D223" i="5" s="1"/>
  <c r="B223" i="5"/>
  <c r="B222" i="5"/>
  <c r="C222" i="5" s="1"/>
  <c r="D222" i="5" s="1"/>
  <c r="C221" i="5"/>
  <c r="D221" i="5" s="1"/>
  <c r="B221" i="5"/>
  <c r="B220" i="5"/>
  <c r="C220" i="5" s="1"/>
  <c r="D220" i="5" s="1"/>
  <c r="C219" i="5"/>
  <c r="D219" i="5" s="1"/>
  <c r="B219" i="5"/>
  <c r="B218" i="5"/>
  <c r="C218" i="5" s="1"/>
  <c r="D218" i="5" s="1"/>
  <c r="C217" i="5"/>
  <c r="D217" i="5" s="1"/>
  <c r="B217" i="5"/>
  <c r="D216" i="5"/>
  <c r="B216" i="5"/>
  <c r="C216" i="5" s="1"/>
  <c r="C215" i="5"/>
  <c r="D215" i="5" s="1"/>
  <c r="B215" i="5"/>
  <c r="B214" i="5"/>
  <c r="C214" i="5" s="1"/>
  <c r="D214" i="5" s="1"/>
  <c r="C213" i="5"/>
  <c r="D213" i="5" s="1"/>
  <c r="B213" i="5"/>
  <c r="B212" i="5"/>
  <c r="C212" i="5" s="1"/>
  <c r="D212" i="5" s="1"/>
  <c r="C211" i="5"/>
  <c r="D211" i="5" s="1"/>
  <c r="B211" i="5"/>
  <c r="B210" i="5"/>
  <c r="C210" i="5" s="1"/>
  <c r="D210" i="5" s="1"/>
  <c r="C209" i="5"/>
  <c r="D209" i="5" s="1"/>
  <c r="B209" i="5"/>
  <c r="B208" i="5"/>
  <c r="C208" i="5" s="1"/>
  <c r="D208" i="5" s="1"/>
  <c r="H208" i="1" s="1"/>
  <c r="C207" i="5"/>
  <c r="D207" i="5" s="1"/>
  <c r="B207" i="5"/>
  <c r="B206" i="5"/>
  <c r="C206" i="5" s="1"/>
  <c r="D206" i="5" s="1"/>
  <c r="C205" i="5"/>
  <c r="D205" i="5" s="1"/>
  <c r="B205" i="5"/>
  <c r="B204" i="5"/>
  <c r="C204" i="5" s="1"/>
  <c r="D204" i="5" s="1"/>
  <c r="C203" i="5"/>
  <c r="D203" i="5" s="1"/>
  <c r="B203" i="5"/>
  <c r="B202" i="5"/>
  <c r="C202" i="5" s="1"/>
  <c r="D202" i="5" s="1"/>
  <c r="C201" i="5"/>
  <c r="D201" i="5" s="1"/>
  <c r="B201" i="5"/>
  <c r="D200" i="5"/>
  <c r="H200" i="1" s="1"/>
  <c r="B200" i="5"/>
  <c r="C200" i="5" s="1"/>
  <c r="C199" i="5"/>
  <c r="D199" i="5" s="1"/>
  <c r="B199" i="5"/>
  <c r="B198" i="5"/>
  <c r="C198" i="5" s="1"/>
  <c r="D198" i="5" s="1"/>
  <c r="H198" i="1" s="1"/>
  <c r="C197" i="5"/>
  <c r="D197" i="5" s="1"/>
  <c r="B197" i="5"/>
  <c r="B196" i="5"/>
  <c r="C196" i="5" s="1"/>
  <c r="D196" i="5" s="1"/>
  <c r="C195" i="5"/>
  <c r="D195" i="5" s="1"/>
  <c r="B195" i="5"/>
  <c r="B194" i="5"/>
  <c r="C194" i="5" s="1"/>
  <c r="D194" i="5" s="1"/>
  <c r="C193" i="5"/>
  <c r="D193" i="5" s="1"/>
  <c r="B193" i="5"/>
  <c r="B192" i="5"/>
  <c r="C192" i="5" s="1"/>
  <c r="D192" i="5" s="1"/>
  <c r="C191" i="5"/>
  <c r="D191" i="5" s="1"/>
  <c r="B191" i="5"/>
  <c r="B190" i="5"/>
  <c r="C190" i="5" s="1"/>
  <c r="D190" i="5" s="1"/>
  <c r="C189" i="5"/>
  <c r="D189" i="5" s="1"/>
  <c r="B189" i="5"/>
  <c r="B188" i="5"/>
  <c r="C188" i="5" s="1"/>
  <c r="D188" i="5" s="1"/>
  <c r="C187" i="5"/>
  <c r="D187" i="5" s="1"/>
  <c r="B187" i="5"/>
  <c r="B186" i="5"/>
  <c r="C186" i="5" s="1"/>
  <c r="D186" i="5" s="1"/>
  <c r="C185" i="5"/>
  <c r="D185" i="5" s="1"/>
  <c r="B185" i="5"/>
  <c r="D184" i="5"/>
  <c r="B184" i="5"/>
  <c r="C184" i="5" s="1"/>
  <c r="C183" i="5"/>
  <c r="D183" i="5" s="1"/>
  <c r="B183" i="5"/>
  <c r="B182" i="5"/>
  <c r="C182" i="5" s="1"/>
  <c r="D182" i="5" s="1"/>
  <c r="C181" i="5"/>
  <c r="D181" i="5" s="1"/>
  <c r="B181" i="5"/>
  <c r="B180" i="5"/>
  <c r="C180" i="5" s="1"/>
  <c r="D180" i="5" s="1"/>
  <c r="H180" i="1" s="1"/>
  <c r="C179" i="5"/>
  <c r="D179" i="5" s="1"/>
  <c r="B179" i="5"/>
  <c r="B178" i="5"/>
  <c r="C178" i="5" s="1"/>
  <c r="D178" i="5" s="1"/>
  <c r="C177" i="5"/>
  <c r="D177" i="5" s="1"/>
  <c r="B177" i="5"/>
  <c r="B176" i="5"/>
  <c r="C176" i="5" s="1"/>
  <c r="D176" i="5" s="1"/>
  <c r="C175" i="5"/>
  <c r="D175" i="5" s="1"/>
  <c r="B175" i="5"/>
  <c r="B174" i="5"/>
  <c r="C174" i="5" s="1"/>
  <c r="D174" i="5" s="1"/>
  <c r="C173" i="5"/>
  <c r="D173" i="5" s="1"/>
  <c r="B173" i="5"/>
  <c r="B172" i="5"/>
  <c r="C172" i="5" s="1"/>
  <c r="D172" i="5" s="1"/>
  <c r="H172" i="1" s="1"/>
  <c r="C171" i="5"/>
  <c r="D171" i="5" s="1"/>
  <c r="B171" i="5"/>
  <c r="B170" i="5"/>
  <c r="C170" i="5" s="1"/>
  <c r="D170" i="5" s="1"/>
  <c r="C169" i="5"/>
  <c r="D169" i="5" s="1"/>
  <c r="B169" i="5"/>
  <c r="D168" i="5"/>
  <c r="B168" i="5"/>
  <c r="C168" i="5" s="1"/>
  <c r="C167" i="5"/>
  <c r="D167" i="5" s="1"/>
  <c r="B167" i="5"/>
  <c r="B166" i="5"/>
  <c r="C166" i="5" s="1"/>
  <c r="D166" i="5" s="1"/>
  <c r="C165" i="5"/>
  <c r="D165" i="5" s="1"/>
  <c r="B165" i="5"/>
  <c r="B164" i="5"/>
  <c r="C164" i="5" s="1"/>
  <c r="D164" i="5" s="1"/>
  <c r="C163" i="5"/>
  <c r="D163" i="5" s="1"/>
  <c r="B163" i="5"/>
  <c r="B162" i="5"/>
  <c r="C162" i="5" s="1"/>
  <c r="D162" i="5" s="1"/>
  <c r="C161" i="5"/>
  <c r="D161" i="5" s="1"/>
  <c r="B161" i="5"/>
  <c r="B160" i="5"/>
  <c r="C160" i="5" s="1"/>
  <c r="D160" i="5" s="1"/>
  <c r="C159" i="5"/>
  <c r="D159" i="5" s="1"/>
  <c r="B159" i="5"/>
  <c r="B158" i="5"/>
  <c r="C158" i="5" s="1"/>
  <c r="D158" i="5" s="1"/>
  <c r="C157" i="5"/>
  <c r="D157" i="5" s="1"/>
  <c r="B157" i="5"/>
  <c r="B156" i="5"/>
  <c r="C156" i="5" s="1"/>
  <c r="D156" i="5" s="1"/>
  <c r="C155" i="5"/>
  <c r="D155" i="5" s="1"/>
  <c r="B155" i="5"/>
  <c r="B154" i="5"/>
  <c r="C154" i="5" s="1"/>
  <c r="D154" i="5" s="1"/>
  <c r="C153" i="5"/>
  <c r="D153" i="5" s="1"/>
  <c r="B153" i="5"/>
  <c r="D152" i="5"/>
  <c r="B152" i="5"/>
  <c r="C152" i="5" s="1"/>
  <c r="C151" i="5"/>
  <c r="D151" i="5" s="1"/>
  <c r="B151" i="5"/>
  <c r="B150" i="5"/>
  <c r="C150" i="5" s="1"/>
  <c r="D150" i="5" s="1"/>
  <c r="C149" i="5"/>
  <c r="D149" i="5" s="1"/>
  <c r="B149" i="5"/>
  <c r="B148" i="5"/>
  <c r="C148" i="5" s="1"/>
  <c r="D148" i="5" s="1"/>
  <c r="C147" i="5"/>
  <c r="D147" i="5" s="1"/>
  <c r="B147" i="5"/>
  <c r="B146" i="5"/>
  <c r="C146" i="5" s="1"/>
  <c r="D146" i="5" s="1"/>
  <c r="C145" i="5"/>
  <c r="D145" i="5" s="1"/>
  <c r="B145" i="5"/>
  <c r="B144" i="5"/>
  <c r="C144" i="5" s="1"/>
  <c r="D144" i="5" s="1"/>
  <c r="H144" i="1" s="1"/>
  <c r="C143" i="5"/>
  <c r="D143" i="5" s="1"/>
  <c r="B143" i="5"/>
  <c r="B142" i="5"/>
  <c r="C142" i="5" s="1"/>
  <c r="D142" i="5" s="1"/>
  <c r="C141" i="5"/>
  <c r="D141" i="5" s="1"/>
  <c r="B141" i="5"/>
  <c r="B140" i="5"/>
  <c r="C140" i="5" s="1"/>
  <c r="D140" i="5" s="1"/>
  <c r="C139" i="5"/>
  <c r="D139" i="5" s="1"/>
  <c r="B139" i="5"/>
  <c r="B138" i="5"/>
  <c r="C138" i="5" s="1"/>
  <c r="D138" i="5" s="1"/>
  <c r="C137" i="5"/>
  <c r="D137" i="5" s="1"/>
  <c r="B137" i="5"/>
  <c r="D136" i="5"/>
  <c r="H136" i="1" s="1"/>
  <c r="B136" i="5"/>
  <c r="C136" i="5" s="1"/>
  <c r="C135" i="5"/>
  <c r="D135" i="5" s="1"/>
  <c r="B135" i="5"/>
  <c r="B134" i="5"/>
  <c r="C134" i="5" s="1"/>
  <c r="D134" i="5" s="1"/>
  <c r="H134" i="1" s="1"/>
  <c r="C133" i="5"/>
  <c r="D133" i="5" s="1"/>
  <c r="B133" i="5"/>
  <c r="B132" i="5"/>
  <c r="C132" i="5" s="1"/>
  <c r="D132" i="5" s="1"/>
  <c r="C131" i="5"/>
  <c r="D131" i="5" s="1"/>
  <c r="B131" i="5"/>
  <c r="B130" i="5"/>
  <c r="C130" i="5" s="1"/>
  <c r="D130" i="5" s="1"/>
  <c r="C129" i="5"/>
  <c r="D129" i="5" s="1"/>
  <c r="B129" i="5"/>
  <c r="B128" i="5"/>
  <c r="C128" i="5" s="1"/>
  <c r="D128" i="5" s="1"/>
  <c r="C127" i="5"/>
  <c r="D127" i="5" s="1"/>
  <c r="B127" i="5"/>
  <c r="B126" i="5"/>
  <c r="C126" i="5" s="1"/>
  <c r="D126" i="5" s="1"/>
  <c r="C125" i="5"/>
  <c r="D125" i="5" s="1"/>
  <c r="B125" i="5"/>
  <c r="B124" i="5"/>
  <c r="C124" i="5" s="1"/>
  <c r="D124" i="5" s="1"/>
  <c r="C123" i="5"/>
  <c r="D123" i="5" s="1"/>
  <c r="B123" i="5"/>
  <c r="B122" i="5"/>
  <c r="C122" i="5" s="1"/>
  <c r="D122" i="5" s="1"/>
  <c r="C121" i="5"/>
  <c r="D121" i="5" s="1"/>
  <c r="B121" i="5"/>
  <c r="D120" i="5"/>
  <c r="B120" i="5"/>
  <c r="C120" i="5" s="1"/>
  <c r="C119" i="5"/>
  <c r="D119" i="5" s="1"/>
  <c r="B119" i="5"/>
  <c r="B118" i="5"/>
  <c r="C118" i="5" s="1"/>
  <c r="D118" i="5" s="1"/>
  <c r="C117" i="5"/>
  <c r="D117" i="5" s="1"/>
  <c r="B117" i="5"/>
  <c r="B116" i="5"/>
  <c r="C116" i="5" s="1"/>
  <c r="D116" i="5" s="1"/>
  <c r="H116" i="1" s="1"/>
  <c r="C115" i="5"/>
  <c r="D115" i="5" s="1"/>
  <c r="B115" i="5"/>
  <c r="B114" i="5"/>
  <c r="C114" i="5" s="1"/>
  <c r="D114" i="5" s="1"/>
  <c r="C113" i="5"/>
  <c r="D113" i="5" s="1"/>
  <c r="B113" i="5"/>
  <c r="B112" i="5"/>
  <c r="C112" i="5" s="1"/>
  <c r="D112" i="5" s="1"/>
  <c r="C111" i="5"/>
  <c r="D111" i="5" s="1"/>
  <c r="B111" i="5"/>
  <c r="B110" i="5"/>
  <c r="C110" i="5" s="1"/>
  <c r="D110" i="5" s="1"/>
  <c r="C109" i="5"/>
  <c r="D109" i="5" s="1"/>
  <c r="B109" i="5"/>
  <c r="B108" i="5"/>
  <c r="C108" i="5" s="1"/>
  <c r="D108" i="5" s="1"/>
  <c r="H108" i="1" s="1"/>
  <c r="C107" i="5"/>
  <c r="D107" i="5" s="1"/>
  <c r="B107" i="5"/>
  <c r="B106" i="5"/>
  <c r="C106" i="5" s="1"/>
  <c r="D106" i="5" s="1"/>
  <c r="C105" i="5"/>
  <c r="D105" i="5" s="1"/>
  <c r="B105" i="5"/>
  <c r="D104" i="5"/>
  <c r="B104" i="5"/>
  <c r="C104" i="5" s="1"/>
  <c r="C103" i="5"/>
  <c r="D103" i="5" s="1"/>
  <c r="B103" i="5"/>
  <c r="B102" i="5"/>
  <c r="C102" i="5" s="1"/>
  <c r="D102" i="5" s="1"/>
  <c r="C101" i="5"/>
  <c r="D101" i="5" s="1"/>
  <c r="B101" i="5"/>
  <c r="B100" i="5"/>
  <c r="C100" i="5" s="1"/>
  <c r="D100" i="5" s="1"/>
  <c r="C99" i="5"/>
  <c r="D99" i="5" s="1"/>
  <c r="B99" i="5"/>
  <c r="B98" i="5"/>
  <c r="C98" i="5" s="1"/>
  <c r="D98" i="5" s="1"/>
  <c r="C97" i="5"/>
  <c r="D97" i="5" s="1"/>
  <c r="B97" i="5"/>
  <c r="B96" i="5"/>
  <c r="C96" i="5" s="1"/>
  <c r="D96" i="5" s="1"/>
  <c r="C95" i="5"/>
  <c r="D95" i="5" s="1"/>
  <c r="B95" i="5"/>
  <c r="B94" i="5"/>
  <c r="C94" i="5" s="1"/>
  <c r="D94" i="5" s="1"/>
  <c r="C93" i="5"/>
  <c r="D93" i="5" s="1"/>
  <c r="B93" i="5"/>
  <c r="B92" i="5"/>
  <c r="C92" i="5" s="1"/>
  <c r="D92" i="5" s="1"/>
  <c r="C91" i="5"/>
  <c r="D91" i="5" s="1"/>
  <c r="B91" i="5"/>
  <c r="B90" i="5"/>
  <c r="C90" i="5" s="1"/>
  <c r="D90" i="5" s="1"/>
  <c r="C89" i="5"/>
  <c r="D89" i="5" s="1"/>
  <c r="B89" i="5"/>
  <c r="D88" i="5"/>
  <c r="B88" i="5"/>
  <c r="C88" i="5" s="1"/>
  <c r="C87" i="5"/>
  <c r="D87" i="5" s="1"/>
  <c r="B87" i="5"/>
  <c r="B86" i="5"/>
  <c r="C86" i="5" s="1"/>
  <c r="D86" i="5" s="1"/>
  <c r="C85" i="5"/>
  <c r="D85" i="5" s="1"/>
  <c r="B85" i="5"/>
  <c r="B84" i="5"/>
  <c r="C84" i="5" s="1"/>
  <c r="D84" i="5" s="1"/>
  <c r="C83" i="5"/>
  <c r="D83" i="5" s="1"/>
  <c r="B83" i="5"/>
  <c r="B82" i="5"/>
  <c r="C82" i="5" s="1"/>
  <c r="D82" i="5" s="1"/>
  <c r="C81" i="5"/>
  <c r="D81" i="5" s="1"/>
  <c r="B81" i="5"/>
  <c r="B80" i="5"/>
  <c r="C80" i="5" s="1"/>
  <c r="D80" i="5" s="1"/>
  <c r="H80" i="1" s="1"/>
  <c r="C79" i="5"/>
  <c r="D79" i="5" s="1"/>
  <c r="B79" i="5"/>
  <c r="B78" i="5"/>
  <c r="C78" i="5" s="1"/>
  <c r="D78" i="5" s="1"/>
  <c r="C77" i="5"/>
  <c r="D77" i="5" s="1"/>
  <c r="B77" i="5"/>
  <c r="B76" i="5"/>
  <c r="C76" i="5" s="1"/>
  <c r="D76" i="5" s="1"/>
  <c r="C75" i="5"/>
  <c r="D75" i="5" s="1"/>
  <c r="B75" i="5"/>
  <c r="B74" i="5"/>
  <c r="C74" i="5" s="1"/>
  <c r="D74" i="5" s="1"/>
  <c r="C73" i="5"/>
  <c r="D73" i="5" s="1"/>
  <c r="B73" i="5"/>
  <c r="D72" i="5"/>
  <c r="H72" i="1" s="1"/>
  <c r="B72" i="5"/>
  <c r="C72" i="5" s="1"/>
  <c r="C71" i="5"/>
  <c r="D71" i="5" s="1"/>
  <c r="B71" i="5"/>
  <c r="B70" i="5"/>
  <c r="C70" i="5" s="1"/>
  <c r="D70" i="5" s="1"/>
  <c r="H70" i="1" s="1"/>
  <c r="C69" i="5"/>
  <c r="D69" i="5" s="1"/>
  <c r="B69" i="5"/>
  <c r="B68" i="5"/>
  <c r="C68" i="5" s="1"/>
  <c r="D68" i="5" s="1"/>
  <c r="C67" i="5"/>
  <c r="D67" i="5" s="1"/>
  <c r="B67" i="5"/>
  <c r="B66" i="5"/>
  <c r="C66" i="5" s="1"/>
  <c r="D66" i="5" s="1"/>
  <c r="C65" i="5"/>
  <c r="D65" i="5" s="1"/>
  <c r="B65" i="5"/>
  <c r="B64" i="5"/>
  <c r="C64" i="5" s="1"/>
  <c r="D64" i="5" s="1"/>
  <c r="C63" i="5"/>
  <c r="D63" i="5" s="1"/>
  <c r="B63" i="5"/>
  <c r="B62" i="5"/>
  <c r="C62" i="5" s="1"/>
  <c r="D62" i="5" s="1"/>
  <c r="C61" i="5"/>
  <c r="D61" i="5" s="1"/>
  <c r="B61" i="5"/>
  <c r="B60" i="5"/>
  <c r="C60" i="5" s="1"/>
  <c r="D60" i="5" s="1"/>
  <c r="C59" i="5"/>
  <c r="D59" i="5" s="1"/>
  <c r="B59" i="5"/>
  <c r="B58" i="5"/>
  <c r="C58" i="5" s="1"/>
  <c r="D58" i="5" s="1"/>
  <c r="C57" i="5"/>
  <c r="D57" i="5" s="1"/>
  <c r="B57" i="5"/>
  <c r="D56" i="5"/>
  <c r="B56" i="5"/>
  <c r="C56" i="5" s="1"/>
  <c r="C55" i="5"/>
  <c r="D55" i="5" s="1"/>
  <c r="B55" i="5"/>
  <c r="B54" i="5"/>
  <c r="C54" i="5" s="1"/>
  <c r="D54" i="5" s="1"/>
  <c r="C53" i="5"/>
  <c r="D53" i="5" s="1"/>
  <c r="B53" i="5"/>
  <c r="B52" i="5"/>
  <c r="C52" i="5" s="1"/>
  <c r="D52" i="5" s="1"/>
  <c r="H52" i="1" s="1"/>
  <c r="C51" i="5"/>
  <c r="D51" i="5" s="1"/>
  <c r="B51" i="5"/>
  <c r="B50" i="5"/>
  <c r="C50" i="5" s="1"/>
  <c r="D50" i="5" s="1"/>
  <c r="C49" i="5"/>
  <c r="D49" i="5" s="1"/>
  <c r="B49" i="5"/>
  <c r="B48" i="5"/>
  <c r="C48" i="5" s="1"/>
  <c r="D48" i="5" s="1"/>
  <c r="C47" i="5"/>
  <c r="D47" i="5" s="1"/>
  <c r="B47" i="5"/>
  <c r="B46" i="5"/>
  <c r="C46" i="5" s="1"/>
  <c r="D46" i="5" s="1"/>
  <c r="C45" i="5"/>
  <c r="D45" i="5" s="1"/>
  <c r="B45" i="5"/>
  <c r="B44" i="5"/>
  <c r="C44" i="5" s="1"/>
  <c r="D44" i="5" s="1"/>
  <c r="H44" i="1" s="1"/>
  <c r="C43" i="5"/>
  <c r="D43" i="5" s="1"/>
  <c r="B43" i="5"/>
  <c r="B42" i="5"/>
  <c r="C42" i="5" s="1"/>
  <c r="D42" i="5" s="1"/>
  <c r="C41" i="5"/>
  <c r="D41" i="5" s="1"/>
  <c r="B41" i="5"/>
  <c r="D40" i="5"/>
  <c r="B40" i="5"/>
  <c r="C40" i="5" s="1"/>
  <c r="C39" i="5"/>
  <c r="D39" i="5" s="1"/>
  <c r="B39" i="5"/>
  <c r="B38" i="5"/>
  <c r="C38" i="5" s="1"/>
  <c r="D38" i="5" s="1"/>
  <c r="C37" i="5"/>
  <c r="D37" i="5" s="1"/>
  <c r="B37" i="5"/>
  <c r="B36" i="5"/>
  <c r="C36" i="5" s="1"/>
  <c r="D36" i="5" s="1"/>
  <c r="C35" i="5"/>
  <c r="D35" i="5" s="1"/>
  <c r="B35" i="5"/>
  <c r="B34" i="5"/>
  <c r="C34" i="5" s="1"/>
  <c r="D34" i="5" s="1"/>
  <c r="C33" i="5"/>
  <c r="D33" i="5" s="1"/>
  <c r="B33" i="5"/>
  <c r="B32" i="5"/>
  <c r="C32" i="5" s="1"/>
  <c r="D32" i="5" s="1"/>
  <c r="C31" i="5"/>
  <c r="D31" i="5" s="1"/>
  <c r="B31" i="5"/>
  <c r="B30" i="5"/>
  <c r="C30" i="5" s="1"/>
  <c r="D30" i="5" s="1"/>
  <c r="C29" i="5"/>
  <c r="D29" i="5" s="1"/>
  <c r="B29" i="5"/>
  <c r="B28" i="5"/>
  <c r="C28" i="5" s="1"/>
  <c r="D28" i="5" s="1"/>
  <c r="C27" i="5"/>
  <c r="D27" i="5" s="1"/>
  <c r="B27" i="5"/>
  <c r="B26" i="5"/>
  <c r="C26" i="5" s="1"/>
  <c r="D26" i="5" s="1"/>
  <c r="C25" i="5"/>
  <c r="D25" i="5" s="1"/>
  <c r="B25" i="5"/>
  <c r="D24" i="5"/>
  <c r="B24" i="5"/>
  <c r="C24" i="5" s="1"/>
  <c r="C23" i="5"/>
  <c r="D23" i="5" s="1"/>
  <c r="B23" i="5"/>
  <c r="B22" i="5"/>
  <c r="C22" i="5" s="1"/>
  <c r="D22" i="5" s="1"/>
  <c r="C21" i="5"/>
  <c r="D21" i="5" s="1"/>
  <c r="B21" i="5"/>
  <c r="B20" i="5"/>
  <c r="C20" i="5" s="1"/>
  <c r="D20" i="5" s="1"/>
  <c r="C19" i="5"/>
  <c r="D19" i="5" s="1"/>
  <c r="B19" i="5"/>
  <c r="B18" i="5"/>
  <c r="C18" i="5" s="1"/>
  <c r="D18" i="5" s="1"/>
  <c r="C17" i="5"/>
  <c r="D17" i="5" s="1"/>
  <c r="B17" i="5"/>
  <c r="B16" i="5"/>
  <c r="C16" i="5" s="1"/>
  <c r="D16" i="5" s="1"/>
  <c r="H16" i="1" s="1"/>
  <c r="C15" i="5"/>
  <c r="D15" i="5" s="1"/>
  <c r="B15" i="5"/>
  <c r="B14" i="5"/>
  <c r="C14" i="5" s="1"/>
  <c r="D14" i="5" s="1"/>
  <c r="C13" i="5"/>
  <c r="D13" i="5" s="1"/>
  <c r="B13" i="5"/>
  <c r="B12" i="5"/>
  <c r="C12" i="5" s="1"/>
  <c r="D12" i="5" s="1"/>
  <c r="C11" i="5"/>
  <c r="D11" i="5" s="1"/>
  <c r="B11" i="5"/>
  <c r="B10" i="5"/>
  <c r="C10" i="5" s="1"/>
  <c r="D10" i="5" s="1"/>
  <c r="C9" i="5"/>
  <c r="D9" i="5" s="1"/>
  <c r="B9" i="5"/>
  <c r="D8" i="5"/>
  <c r="H8" i="1" s="1"/>
  <c r="B8" i="5"/>
  <c r="C8" i="5" s="1"/>
  <c r="C7" i="5"/>
  <c r="D7" i="5" s="1"/>
  <c r="B7" i="5"/>
  <c r="B6" i="5"/>
  <c r="C6" i="5" s="1"/>
  <c r="D6" i="5" s="1"/>
  <c r="H6" i="1" s="1"/>
  <c r="C5" i="5"/>
  <c r="D5" i="5" s="1"/>
  <c r="B5" i="5"/>
  <c r="B4" i="5"/>
  <c r="C4" i="5" s="1"/>
  <c r="D4" i="5" s="1"/>
  <c r="C3" i="5"/>
  <c r="D3" i="5" s="1"/>
  <c r="B3" i="5"/>
  <c r="B2" i="5"/>
  <c r="C2" i="5" s="1"/>
  <c r="D2" i="5" s="1"/>
  <c r="C901" i="4"/>
  <c r="B901" i="4"/>
  <c r="C901" i="8" s="1"/>
  <c r="E901" i="8" s="1"/>
  <c r="L901" i="1" s="1"/>
  <c r="M901" i="1" s="1"/>
  <c r="N901" i="1" s="1"/>
  <c r="C900" i="4"/>
  <c r="B900" i="4"/>
  <c r="C899" i="4"/>
  <c r="B899" i="4"/>
  <c r="C899" i="8" s="1"/>
  <c r="E899" i="8" s="1"/>
  <c r="L899" i="1" s="1"/>
  <c r="C898" i="4"/>
  <c r="B898" i="4"/>
  <c r="C897" i="4"/>
  <c r="B897" i="4"/>
  <c r="C897" i="8" s="1"/>
  <c r="E897" i="8" s="1"/>
  <c r="L897" i="1" s="1"/>
  <c r="M897" i="1" s="1"/>
  <c r="N897" i="1" s="1"/>
  <c r="C896" i="4"/>
  <c r="B896" i="4"/>
  <c r="C895" i="4"/>
  <c r="B895" i="4"/>
  <c r="C895" i="8" s="1"/>
  <c r="E895" i="8" s="1"/>
  <c r="L895" i="1" s="1"/>
  <c r="C894" i="4"/>
  <c r="B894" i="4"/>
  <c r="C893" i="4"/>
  <c r="B893" i="4"/>
  <c r="C893" i="8" s="1"/>
  <c r="E893" i="8" s="1"/>
  <c r="L893" i="1" s="1"/>
  <c r="M893" i="1" s="1"/>
  <c r="N893" i="1" s="1"/>
  <c r="C892" i="4"/>
  <c r="B892" i="4"/>
  <c r="C891" i="4"/>
  <c r="B891" i="4"/>
  <c r="C891" i="8" s="1"/>
  <c r="E891" i="8" s="1"/>
  <c r="L891" i="1" s="1"/>
  <c r="C890" i="4"/>
  <c r="B890" i="4"/>
  <c r="C889" i="4"/>
  <c r="B889" i="4"/>
  <c r="C889" i="8" s="1"/>
  <c r="E889" i="8" s="1"/>
  <c r="L889" i="1" s="1"/>
  <c r="C888" i="4"/>
  <c r="B888" i="4"/>
  <c r="C887" i="4"/>
  <c r="B887" i="4"/>
  <c r="C887" i="8" s="1"/>
  <c r="E887" i="8" s="1"/>
  <c r="L887" i="1" s="1"/>
  <c r="C886" i="4"/>
  <c r="B886" i="4"/>
  <c r="C885" i="4"/>
  <c r="B885" i="4"/>
  <c r="C885" i="8" s="1"/>
  <c r="E885" i="8" s="1"/>
  <c r="L885" i="1" s="1"/>
  <c r="C884" i="4"/>
  <c r="B884" i="4"/>
  <c r="C883" i="4"/>
  <c r="B883" i="4"/>
  <c r="C883" i="8" s="1"/>
  <c r="E883" i="8" s="1"/>
  <c r="L883" i="1" s="1"/>
  <c r="C882" i="4"/>
  <c r="B882" i="4"/>
  <c r="C881" i="4"/>
  <c r="B881" i="4"/>
  <c r="C881" i="8" s="1"/>
  <c r="E881" i="8" s="1"/>
  <c r="L881" i="1" s="1"/>
  <c r="C880" i="4"/>
  <c r="B880" i="4"/>
  <c r="C879" i="4"/>
  <c r="B879" i="4"/>
  <c r="C879" i="8" s="1"/>
  <c r="E879" i="8" s="1"/>
  <c r="L879" i="1" s="1"/>
  <c r="C878" i="4"/>
  <c r="B878" i="4"/>
  <c r="C877" i="4"/>
  <c r="B877" i="4"/>
  <c r="C877" i="8" s="1"/>
  <c r="E877" i="8" s="1"/>
  <c r="L877" i="1" s="1"/>
  <c r="C876" i="4"/>
  <c r="B876" i="4"/>
  <c r="C875" i="4"/>
  <c r="B875" i="4"/>
  <c r="C875" i="8" s="1"/>
  <c r="E875" i="8" s="1"/>
  <c r="L875" i="1" s="1"/>
  <c r="C874" i="4"/>
  <c r="B874" i="4"/>
  <c r="C873" i="4"/>
  <c r="B873" i="4"/>
  <c r="C873" i="8" s="1"/>
  <c r="E873" i="8" s="1"/>
  <c r="L873" i="1" s="1"/>
  <c r="C872" i="4"/>
  <c r="B872" i="4"/>
  <c r="C871" i="4"/>
  <c r="B871" i="4"/>
  <c r="C871" i="8" s="1"/>
  <c r="E871" i="8" s="1"/>
  <c r="L871" i="1" s="1"/>
  <c r="M871" i="1" s="1"/>
  <c r="N871" i="1" s="1"/>
  <c r="C870" i="4"/>
  <c r="B870" i="4"/>
  <c r="C869" i="4"/>
  <c r="B869" i="4"/>
  <c r="C869" i="8" s="1"/>
  <c r="E869" i="8" s="1"/>
  <c r="L869" i="1" s="1"/>
  <c r="C868" i="4"/>
  <c r="B868" i="4"/>
  <c r="C867" i="4"/>
  <c r="B867" i="4"/>
  <c r="C867" i="8" s="1"/>
  <c r="E867" i="8" s="1"/>
  <c r="L867" i="1" s="1"/>
  <c r="M867" i="1" s="1"/>
  <c r="N867" i="1" s="1"/>
  <c r="C866" i="4"/>
  <c r="B866" i="4"/>
  <c r="C865" i="4"/>
  <c r="B865" i="4"/>
  <c r="C865" i="8" s="1"/>
  <c r="E865" i="8" s="1"/>
  <c r="L865" i="1" s="1"/>
  <c r="C864" i="4"/>
  <c r="B864" i="4"/>
  <c r="C863" i="4"/>
  <c r="B863" i="4"/>
  <c r="C863" i="8" s="1"/>
  <c r="E863" i="8" s="1"/>
  <c r="L863" i="1" s="1"/>
  <c r="M863" i="1" s="1"/>
  <c r="N863" i="1" s="1"/>
  <c r="C862" i="4"/>
  <c r="B862" i="4"/>
  <c r="C861" i="4"/>
  <c r="B861" i="4"/>
  <c r="C861" i="8" s="1"/>
  <c r="E861" i="8" s="1"/>
  <c r="L861" i="1" s="1"/>
  <c r="C860" i="4"/>
  <c r="B860" i="4"/>
  <c r="C859" i="4"/>
  <c r="B859" i="4"/>
  <c r="C859" i="8" s="1"/>
  <c r="E859" i="8" s="1"/>
  <c r="L859" i="1" s="1"/>
  <c r="C858" i="4"/>
  <c r="B858" i="4"/>
  <c r="C857" i="4"/>
  <c r="B857" i="4"/>
  <c r="C857" i="8" s="1"/>
  <c r="E857" i="8" s="1"/>
  <c r="L857" i="1" s="1"/>
  <c r="C856" i="4"/>
  <c r="B856" i="4"/>
  <c r="C855" i="4"/>
  <c r="B855" i="4"/>
  <c r="C855" i="8" s="1"/>
  <c r="E855" i="8" s="1"/>
  <c r="L855" i="1" s="1"/>
  <c r="C854" i="4"/>
  <c r="B854" i="4"/>
  <c r="C853" i="4"/>
  <c r="B853" i="4"/>
  <c r="C853" i="8" s="1"/>
  <c r="E853" i="8" s="1"/>
  <c r="L853" i="1" s="1"/>
  <c r="C852" i="4"/>
  <c r="B852" i="4"/>
  <c r="C851" i="4"/>
  <c r="B851" i="4"/>
  <c r="C851" i="8" s="1"/>
  <c r="E851" i="8" s="1"/>
  <c r="L851" i="1" s="1"/>
  <c r="C850" i="4"/>
  <c r="B850" i="4"/>
  <c r="C849" i="4"/>
  <c r="B849" i="4"/>
  <c r="C849" i="8" s="1"/>
  <c r="E849" i="8" s="1"/>
  <c r="L849" i="1" s="1"/>
  <c r="C848" i="4"/>
  <c r="B848" i="4"/>
  <c r="C847" i="4"/>
  <c r="B847" i="4"/>
  <c r="C847" i="8" s="1"/>
  <c r="E847" i="8" s="1"/>
  <c r="L847" i="1" s="1"/>
  <c r="C846" i="4"/>
  <c r="B846" i="4"/>
  <c r="C845" i="4"/>
  <c r="B845" i="4"/>
  <c r="C845" i="8" s="1"/>
  <c r="E845" i="8" s="1"/>
  <c r="L845" i="1" s="1"/>
  <c r="C844" i="4"/>
  <c r="B844" i="4"/>
  <c r="C843" i="4"/>
  <c r="B843" i="4"/>
  <c r="C843" i="8" s="1"/>
  <c r="E843" i="8" s="1"/>
  <c r="L843" i="1" s="1"/>
  <c r="M843" i="1" s="1"/>
  <c r="N843" i="1" s="1"/>
  <c r="C842" i="4"/>
  <c r="B842" i="4"/>
  <c r="C841" i="4"/>
  <c r="B841" i="4"/>
  <c r="C841" i="8" s="1"/>
  <c r="E841" i="8" s="1"/>
  <c r="L841" i="1" s="1"/>
  <c r="C840" i="4"/>
  <c r="B840" i="4"/>
  <c r="C839" i="4"/>
  <c r="B839" i="4"/>
  <c r="C839" i="8" s="1"/>
  <c r="E839" i="8" s="1"/>
  <c r="L839" i="1" s="1"/>
  <c r="M839" i="1" s="1"/>
  <c r="N839" i="1" s="1"/>
  <c r="C838" i="4"/>
  <c r="B838" i="4"/>
  <c r="C837" i="4"/>
  <c r="B837" i="4"/>
  <c r="C837" i="8" s="1"/>
  <c r="E837" i="8" s="1"/>
  <c r="L837" i="1" s="1"/>
  <c r="C836" i="4"/>
  <c r="B836" i="4"/>
  <c r="C835" i="4"/>
  <c r="B835" i="4"/>
  <c r="C835" i="8" s="1"/>
  <c r="E835" i="8" s="1"/>
  <c r="L835" i="1" s="1"/>
  <c r="M835" i="1" s="1"/>
  <c r="N835" i="1" s="1"/>
  <c r="C834" i="4"/>
  <c r="B834" i="4"/>
  <c r="C833" i="4"/>
  <c r="B833" i="4"/>
  <c r="C833" i="8" s="1"/>
  <c r="E833" i="8" s="1"/>
  <c r="L833" i="1" s="1"/>
  <c r="C832" i="4"/>
  <c r="B832" i="4"/>
  <c r="C831" i="4"/>
  <c r="B831" i="4"/>
  <c r="C831" i="8" s="1"/>
  <c r="E831" i="8" s="1"/>
  <c r="L831" i="1" s="1"/>
  <c r="M831" i="1" s="1"/>
  <c r="N831" i="1" s="1"/>
  <c r="C830" i="4"/>
  <c r="B830" i="4"/>
  <c r="C829" i="4"/>
  <c r="B829" i="4"/>
  <c r="C829" i="8" s="1"/>
  <c r="E829" i="8" s="1"/>
  <c r="L829" i="1" s="1"/>
  <c r="C828" i="4"/>
  <c r="B828" i="4"/>
  <c r="C827" i="4"/>
  <c r="B827" i="4"/>
  <c r="C827" i="8" s="1"/>
  <c r="E827" i="8" s="1"/>
  <c r="L827" i="1" s="1"/>
  <c r="C826" i="4"/>
  <c r="B826" i="4"/>
  <c r="C825" i="4"/>
  <c r="B825" i="4"/>
  <c r="C825" i="8" s="1"/>
  <c r="E825" i="8" s="1"/>
  <c r="L825" i="1" s="1"/>
  <c r="C824" i="4"/>
  <c r="B824" i="4"/>
  <c r="C823" i="4"/>
  <c r="B823" i="4"/>
  <c r="C823" i="8" s="1"/>
  <c r="E823" i="8" s="1"/>
  <c r="L823" i="1" s="1"/>
  <c r="C822" i="4"/>
  <c r="B822" i="4"/>
  <c r="C821" i="4"/>
  <c r="B821" i="4"/>
  <c r="C821" i="8" s="1"/>
  <c r="E821" i="8" s="1"/>
  <c r="L821" i="1" s="1"/>
  <c r="C820" i="4"/>
  <c r="B820" i="4"/>
  <c r="C819" i="4"/>
  <c r="B819" i="4"/>
  <c r="C819" i="8" s="1"/>
  <c r="E819" i="8" s="1"/>
  <c r="L819" i="1" s="1"/>
  <c r="C818" i="4"/>
  <c r="B818" i="4"/>
  <c r="C817" i="4"/>
  <c r="B817" i="4"/>
  <c r="C817" i="8" s="1"/>
  <c r="E817" i="8" s="1"/>
  <c r="L817" i="1" s="1"/>
  <c r="C816" i="4"/>
  <c r="B816" i="4"/>
  <c r="C815" i="4"/>
  <c r="B815" i="4"/>
  <c r="C815" i="8" s="1"/>
  <c r="C814" i="4"/>
  <c r="B814" i="4"/>
  <c r="C813" i="4"/>
  <c r="B813" i="4"/>
  <c r="C813" i="8" s="1"/>
  <c r="E813" i="8" s="1"/>
  <c r="L813" i="1" s="1"/>
  <c r="M813" i="1" s="1"/>
  <c r="N813" i="1" s="1"/>
  <c r="C812" i="4"/>
  <c r="B812" i="4"/>
  <c r="C811" i="4"/>
  <c r="B811" i="4"/>
  <c r="C811" i="8" s="1"/>
  <c r="C810" i="4"/>
  <c r="B810" i="4"/>
  <c r="C809" i="4"/>
  <c r="B809" i="4"/>
  <c r="C809" i="8" s="1"/>
  <c r="E809" i="8" s="1"/>
  <c r="L809" i="1" s="1"/>
  <c r="C808" i="4"/>
  <c r="B808" i="4"/>
  <c r="C807" i="4"/>
  <c r="B807" i="4"/>
  <c r="C807" i="8" s="1"/>
  <c r="C806" i="4"/>
  <c r="B806" i="4"/>
  <c r="C805" i="4"/>
  <c r="B805" i="4"/>
  <c r="C805" i="8" s="1"/>
  <c r="E805" i="8" s="1"/>
  <c r="L805" i="1" s="1"/>
  <c r="M805" i="1" s="1"/>
  <c r="N805" i="1" s="1"/>
  <c r="C804" i="4"/>
  <c r="B804" i="4"/>
  <c r="C803" i="4"/>
  <c r="B803" i="4"/>
  <c r="C803" i="8" s="1"/>
  <c r="C802" i="4"/>
  <c r="B802" i="4"/>
  <c r="C801" i="4"/>
  <c r="B801" i="4"/>
  <c r="C801" i="8" s="1"/>
  <c r="E801" i="8" s="1"/>
  <c r="L801" i="1" s="1"/>
  <c r="C800" i="4"/>
  <c r="B800" i="4"/>
  <c r="C799" i="4"/>
  <c r="B799" i="4"/>
  <c r="C799" i="8" s="1"/>
  <c r="C798" i="4"/>
  <c r="B798" i="4"/>
  <c r="C797" i="4"/>
  <c r="B797" i="4"/>
  <c r="C797" i="8" s="1"/>
  <c r="E797" i="8" s="1"/>
  <c r="L797" i="1" s="1"/>
  <c r="M797" i="1" s="1"/>
  <c r="N797" i="1" s="1"/>
  <c r="C796" i="4"/>
  <c r="B796" i="4"/>
  <c r="C795" i="4"/>
  <c r="B795" i="4"/>
  <c r="C795" i="8" s="1"/>
  <c r="C794" i="4"/>
  <c r="B794" i="4"/>
  <c r="C793" i="4"/>
  <c r="B793" i="4"/>
  <c r="C793" i="8" s="1"/>
  <c r="C792" i="4"/>
  <c r="B792" i="4"/>
  <c r="C791" i="4"/>
  <c r="B791" i="4"/>
  <c r="C791" i="8" s="1"/>
  <c r="C790" i="4"/>
  <c r="B790" i="4"/>
  <c r="C789" i="4"/>
  <c r="B789" i="4"/>
  <c r="C789" i="8" s="1"/>
  <c r="C788" i="4"/>
  <c r="B788" i="4"/>
  <c r="C787" i="4"/>
  <c r="B787" i="4"/>
  <c r="C787" i="8" s="1"/>
  <c r="C786" i="4"/>
  <c r="B786" i="4"/>
  <c r="C785" i="4"/>
  <c r="B785" i="4"/>
  <c r="C785" i="8" s="1"/>
  <c r="E785" i="8" s="1"/>
  <c r="L785" i="1" s="1"/>
  <c r="M785" i="1" s="1"/>
  <c r="N785" i="1" s="1"/>
  <c r="C784" i="4"/>
  <c r="B784" i="4"/>
  <c r="C783" i="4"/>
  <c r="B783" i="4"/>
  <c r="C783" i="8" s="1"/>
  <c r="C782" i="4"/>
  <c r="B782" i="4"/>
  <c r="C781" i="4"/>
  <c r="B781" i="4"/>
  <c r="C781" i="8" s="1"/>
  <c r="C780" i="4"/>
  <c r="B780" i="4"/>
  <c r="C779" i="4"/>
  <c r="B779" i="4"/>
  <c r="C779" i="8" s="1"/>
  <c r="C778" i="4"/>
  <c r="B778" i="4"/>
  <c r="C777" i="4"/>
  <c r="B777" i="4"/>
  <c r="C777" i="8" s="1"/>
  <c r="C776" i="4"/>
  <c r="B776" i="4"/>
  <c r="C775" i="4"/>
  <c r="B775" i="4"/>
  <c r="C775" i="8" s="1"/>
  <c r="C774" i="4"/>
  <c r="B774" i="4"/>
  <c r="C773" i="4"/>
  <c r="B773" i="4"/>
  <c r="C773" i="8" s="1"/>
  <c r="C772" i="4"/>
  <c r="B772" i="4"/>
  <c r="C771" i="4"/>
  <c r="B771" i="4"/>
  <c r="C771" i="8" s="1"/>
  <c r="C770" i="4"/>
  <c r="B770" i="4"/>
  <c r="C769" i="4"/>
  <c r="B769" i="4"/>
  <c r="C769" i="8" s="1"/>
  <c r="E769" i="8" s="1"/>
  <c r="L769" i="1" s="1"/>
  <c r="C768" i="4"/>
  <c r="B768" i="4"/>
  <c r="C767" i="4"/>
  <c r="B767" i="4"/>
  <c r="C767" i="8" s="1"/>
  <c r="C766" i="4"/>
  <c r="B766" i="4"/>
  <c r="C765" i="4"/>
  <c r="B765" i="4"/>
  <c r="C765" i="8" s="1"/>
  <c r="C764" i="4"/>
  <c r="B764" i="4"/>
  <c r="C763" i="4"/>
  <c r="B763" i="4"/>
  <c r="C763" i="8" s="1"/>
  <c r="C762" i="4"/>
  <c r="B762" i="4"/>
  <c r="C761" i="4"/>
  <c r="B761" i="4"/>
  <c r="C761" i="8" s="1"/>
  <c r="C760" i="4"/>
  <c r="B760" i="4"/>
  <c r="C759" i="4"/>
  <c r="B759" i="4"/>
  <c r="C759" i="8" s="1"/>
  <c r="C758" i="4"/>
  <c r="B758" i="4"/>
  <c r="C757" i="4"/>
  <c r="B757" i="4"/>
  <c r="C757" i="8" s="1"/>
  <c r="C756" i="4"/>
  <c r="B756" i="4"/>
  <c r="C755" i="4"/>
  <c r="B755" i="4"/>
  <c r="C755" i="8" s="1"/>
  <c r="C754" i="4"/>
  <c r="B754" i="4"/>
  <c r="C753" i="4"/>
  <c r="B753" i="4"/>
  <c r="C753" i="8" s="1"/>
  <c r="E753" i="8" s="1"/>
  <c r="L753" i="1" s="1"/>
  <c r="C752" i="4"/>
  <c r="B752" i="4"/>
  <c r="C751" i="4"/>
  <c r="B751" i="4"/>
  <c r="C751" i="8" s="1"/>
  <c r="C750" i="4"/>
  <c r="B750" i="4"/>
  <c r="C749" i="4"/>
  <c r="B749" i="4"/>
  <c r="C749" i="8" s="1"/>
  <c r="C748" i="4"/>
  <c r="B748" i="4"/>
  <c r="C747" i="4"/>
  <c r="B747" i="4"/>
  <c r="C747" i="8" s="1"/>
  <c r="C746" i="4"/>
  <c r="B746" i="4"/>
  <c r="C745" i="4"/>
  <c r="B745" i="4"/>
  <c r="C745" i="8" s="1"/>
  <c r="C744" i="4"/>
  <c r="B744" i="4"/>
  <c r="C743" i="4"/>
  <c r="B743" i="4"/>
  <c r="C743" i="8" s="1"/>
  <c r="C742" i="4"/>
  <c r="B742" i="4"/>
  <c r="C741" i="4"/>
  <c r="B741" i="4"/>
  <c r="C741" i="8" s="1"/>
  <c r="C740" i="4"/>
  <c r="B740" i="4"/>
  <c r="C739" i="4"/>
  <c r="B739" i="4"/>
  <c r="C739" i="8" s="1"/>
  <c r="C738" i="4"/>
  <c r="B738" i="4"/>
  <c r="C737" i="4"/>
  <c r="B737" i="4"/>
  <c r="C737" i="8" s="1"/>
  <c r="E737" i="8" s="1"/>
  <c r="L737" i="1" s="1"/>
  <c r="C736" i="4"/>
  <c r="B736" i="4"/>
  <c r="C735" i="4"/>
  <c r="B735" i="4"/>
  <c r="C735" i="8" s="1"/>
  <c r="C734" i="4"/>
  <c r="B734" i="4"/>
  <c r="C733" i="4"/>
  <c r="B733" i="4"/>
  <c r="C733" i="8" s="1"/>
  <c r="C732" i="4"/>
  <c r="B732" i="4"/>
  <c r="C731" i="4"/>
  <c r="B731" i="4"/>
  <c r="C731" i="8" s="1"/>
  <c r="C730" i="4"/>
  <c r="B730" i="4"/>
  <c r="C729" i="4"/>
  <c r="B729" i="4"/>
  <c r="C729" i="8" s="1"/>
  <c r="C728" i="4"/>
  <c r="B728" i="4"/>
  <c r="C727" i="4"/>
  <c r="B727" i="4"/>
  <c r="C727" i="8" s="1"/>
  <c r="C726" i="4"/>
  <c r="B726" i="4"/>
  <c r="C725" i="4"/>
  <c r="B725" i="4"/>
  <c r="C725" i="8" s="1"/>
  <c r="C724" i="4"/>
  <c r="B724" i="4"/>
  <c r="C723" i="4"/>
  <c r="B723" i="4"/>
  <c r="C723" i="8" s="1"/>
  <c r="C722" i="4"/>
  <c r="B722" i="4"/>
  <c r="C721" i="4"/>
  <c r="B721" i="4"/>
  <c r="C721" i="8" s="1"/>
  <c r="E721" i="8" s="1"/>
  <c r="L721" i="1" s="1"/>
  <c r="C720" i="4"/>
  <c r="B720" i="4"/>
  <c r="C719" i="4"/>
  <c r="B719" i="4"/>
  <c r="C719" i="8" s="1"/>
  <c r="C718" i="4"/>
  <c r="B718" i="4"/>
  <c r="C717" i="4"/>
  <c r="B717" i="4"/>
  <c r="C717" i="8" s="1"/>
  <c r="C716" i="4"/>
  <c r="B716" i="4"/>
  <c r="C715" i="4"/>
  <c r="B715" i="4"/>
  <c r="C715" i="8" s="1"/>
  <c r="C714" i="4"/>
  <c r="B714" i="4"/>
  <c r="C713" i="4"/>
  <c r="B713" i="4"/>
  <c r="C713" i="8" s="1"/>
  <c r="C712" i="4"/>
  <c r="B712" i="4"/>
  <c r="C711" i="4"/>
  <c r="B711" i="4"/>
  <c r="C711" i="8" s="1"/>
  <c r="C710" i="4"/>
  <c r="B710" i="4"/>
  <c r="C709" i="4"/>
  <c r="B709" i="4"/>
  <c r="C709" i="8" s="1"/>
  <c r="C708" i="4"/>
  <c r="B708" i="4"/>
  <c r="C707" i="4"/>
  <c r="B707" i="4"/>
  <c r="C707" i="8" s="1"/>
  <c r="C706" i="4"/>
  <c r="B706" i="4"/>
  <c r="C705" i="4"/>
  <c r="B705" i="4"/>
  <c r="C705" i="8" s="1"/>
  <c r="E705" i="8" s="1"/>
  <c r="L705" i="1" s="1"/>
  <c r="C704" i="4"/>
  <c r="B704" i="4"/>
  <c r="C703" i="4"/>
  <c r="B703" i="4"/>
  <c r="C703" i="8" s="1"/>
  <c r="C702" i="4"/>
  <c r="B702" i="4"/>
  <c r="C701" i="4"/>
  <c r="B701" i="4"/>
  <c r="C701" i="8" s="1"/>
  <c r="C700" i="4"/>
  <c r="B700" i="4"/>
  <c r="C699" i="4"/>
  <c r="B699" i="4"/>
  <c r="C699" i="8" s="1"/>
  <c r="C698" i="4"/>
  <c r="B698" i="4"/>
  <c r="C697" i="4"/>
  <c r="B697" i="4"/>
  <c r="C697" i="8" s="1"/>
  <c r="C696" i="4"/>
  <c r="B696" i="4"/>
  <c r="C695" i="4"/>
  <c r="B695" i="4"/>
  <c r="C695" i="8" s="1"/>
  <c r="C694" i="4"/>
  <c r="B694" i="4"/>
  <c r="C693" i="4"/>
  <c r="B693" i="4"/>
  <c r="C693" i="8" s="1"/>
  <c r="C692" i="4"/>
  <c r="B692" i="4"/>
  <c r="C691" i="4"/>
  <c r="B691" i="4"/>
  <c r="C691" i="8" s="1"/>
  <c r="C690" i="4"/>
  <c r="B690" i="4"/>
  <c r="C689" i="4"/>
  <c r="B689" i="4"/>
  <c r="C689" i="8" s="1"/>
  <c r="E689" i="8" s="1"/>
  <c r="L689" i="1" s="1"/>
  <c r="C688" i="4"/>
  <c r="B688" i="4"/>
  <c r="C687" i="4"/>
  <c r="B687" i="4"/>
  <c r="C687" i="8" s="1"/>
  <c r="E687" i="8" s="1"/>
  <c r="L687" i="1" s="1"/>
  <c r="C686" i="4"/>
  <c r="B686" i="4"/>
  <c r="C685" i="4"/>
  <c r="B685" i="4"/>
  <c r="C685" i="8" s="1"/>
  <c r="C684" i="4"/>
  <c r="B684" i="4"/>
  <c r="C683" i="4"/>
  <c r="B683" i="4"/>
  <c r="C683" i="8" s="1"/>
  <c r="E683" i="8" s="1"/>
  <c r="L683" i="1" s="1"/>
  <c r="C682" i="4"/>
  <c r="B682" i="4"/>
  <c r="C681" i="4"/>
  <c r="B681" i="4"/>
  <c r="C681" i="8" s="1"/>
  <c r="E681" i="8" s="1"/>
  <c r="L681" i="1" s="1"/>
  <c r="C680" i="4"/>
  <c r="B680" i="4"/>
  <c r="C679" i="4"/>
  <c r="B679" i="4"/>
  <c r="C679" i="8" s="1"/>
  <c r="E679" i="8" s="1"/>
  <c r="L679" i="1" s="1"/>
  <c r="C678" i="4"/>
  <c r="B678" i="4"/>
  <c r="C677" i="4"/>
  <c r="B677" i="4"/>
  <c r="C677" i="8" s="1"/>
  <c r="C676" i="4"/>
  <c r="B676" i="4"/>
  <c r="C675" i="4"/>
  <c r="B675" i="4"/>
  <c r="C675" i="8" s="1"/>
  <c r="E675" i="8" s="1"/>
  <c r="L675" i="1" s="1"/>
  <c r="C674" i="4"/>
  <c r="B674" i="4"/>
  <c r="C673" i="4"/>
  <c r="B673" i="4"/>
  <c r="C673" i="8" s="1"/>
  <c r="E673" i="8" s="1"/>
  <c r="L673" i="1" s="1"/>
  <c r="C672" i="4"/>
  <c r="B672" i="4"/>
  <c r="C671" i="4"/>
  <c r="B671" i="4"/>
  <c r="C671" i="8" s="1"/>
  <c r="E671" i="8" s="1"/>
  <c r="L671" i="1" s="1"/>
  <c r="C670" i="4"/>
  <c r="B670" i="4"/>
  <c r="C669" i="4"/>
  <c r="B669" i="4"/>
  <c r="C669" i="8" s="1"/>
  <c r="C668" i="4"/>
  <c r="B668" i="4"/>
  <c r="C667" i="4"/>
  <c r="B667" i="4"/>
  <c r="C667" i="8" s="1"/>
  <c r="E667" i="8" s="1"/>
  <c r="L667" i="1" s="1"/>
  <c r="C666" i="4"/>
  <c r="B666" i="4"/>
  <c r="C665" i="4"/>
  <c r="B665" i="4"/>
  <c r="C665" i="8" s="1"/>
  <c r="E665" i="8" s="1"/>
  <c r="L665" i="1" s="1"/>
  <c r="C664" i="4"/>
  <c r="B664" i="4"/>
  <c r="C663" i="4"/>
  <c r="B663" i="4"/>
  <c r="C663" i="8" s="1"/>
  <c r="E663" i="8" s="1"/>
  <c r="L663" i="1" s="1"/>
  <c r="C662" i="4"/>
  <c r="B662" i="4"/>
  <c r="C661" i="4"/>
  <c r="B661" i="4"/>
  <c r="C661" i="8" s="1"/>
  <c r="C660" i="4"/>
  <c r="B660" i="4"/>
  <c r="C659" i="4"/>
  <c r="B659" i="4"/>
  <c r="C659" i="8" s="1"/>
  <c r="E659" i="8" s="1"/>
  <c r="L659" i="1" s="1"/>
  <c r="M659" i="1" s="1"/>
  <c r="N659" i="1" s="1"/>
  <c r="C658" i="4"/>
  <c r="B658" i="4"/>
  <c r="C657" i="4"/>
  <c r="B657" i="4"/>
  <c r="C657" i="8" s="1"/>
  <c r="E657" i="8" s="1"/>
  <c r="L657" i="1" s="1"/>
  <c r="C656" i="4"/>
  <c r="B656" i="4"/>
  <c r="C655" i="4"/>
  <c r="B655" i="4"/>
  <c r="C655" i="8" s="1"/>
  <c r="E655" i="8" s="1"/>
  <c r="L655" i="1" s="1"/>
  <c r="C654" i="4"/>
  <c r="B654" i="4"/>
  <c r="C653" i="4"/>
  <c r="B653" i="4"/>
  <c r="C653" i="8" s="1"/>
  <c r="C652" i="4"/>
  <c r="B652" i="4"/>
  <c r="C651" i="4"/>
  <c r="B651" i="4"/>
  <c r="C651" i="8" s="1"/>
  <c r="E651" i="8" s="1"/>
  <c r="L651" i="1" s="1"/>
  <c r="C650" i="4"/>
  <c r="B650" i="4"/>
  <c r="C649" i="4"/>
  <c r="B649" i="4"/>
  <c r="C649" i="8" s="1"/>
  <c r="C648" i="4"/>
  <c r="B648" i="4"/>
  <c r="C647" i="4"/>
  <c r="B647" i="4"/>
  <c r="C647" i="8" s="1"/>
  <c r="E647" i="8" s="1"/>
  <c r="L647" i="1" s="1"/>
  <c r="C646" i="4"/>
  <c r="B646" i="4"/>
  <c r="C645" i="4"/>
  <c r="B645" i="4"/>
  <c r="C645" i="8" s="1"/>
  <c r="C644" i="4"/>
  <c r="B644" i="4"/>
  <c r="C643" i="4"/>
  <c r="B643" i="4"/>
  <c r="C643" i="8" s="1"/>
  <c r="E643" i="8" s="1"/>
  <c r="L643" i="1" s="1"/>
  <c r="M643" i="1" s="1"/>
  <c r="N643" i="1" s="1"/>
  <c r="C642" i="4"/>
  <c r="B642" i="4"/>
  <c r="C641" i="4"/>
  <c r="B641" i="4"/>
  <c r="C641" i="8" s="1"/>
  <c r="C640" i="4"/>
  <c r="B640" i="4"/>
  <c r="C639" i="4"/>
  <c r="B639" i="4"/>
  <c r="C639" i="8" s="1"/>
  <c r="E639" i="8" s="1"/>
  <c r="L639" i="1" s="1"/>
  <c r="M639" i="1" s="1"/>
  <c r="N639" i="1" s="1"/>
  <c r="C638" i="4"/>
  <c r="B638" i="4"/>
  <c r="C637" i="4"/>
  <c r="B637" i="4"/>
  <c r="C637" i="8" s="1"/>
  <c r="E637" i="8" s="1"/>
  <c r="L637" i="1" s="1"/>
  <c r="M637" i="1" s="1"/>
  <c r="N637" i="1" s="1"/>
  <c r="C636" i="4"/>
  <c r="B636" i="4"/>
  <c r="C635" i="4"/>
  <c r="B635" i="4"/>
  <c r="C635" i="8" s="1"/>
  <c r="E635" i="8" s="1"/>
  <c r="L635" i="1" s="1"/>
  <c r="C634" i="4"/>
  <c r="B634" i="4"/>
  <c r="C633" i="4"/>
  <c r="B633" i="4"/>
  <c r="C633" i="8" s="1"/>
  <c r="E633" i="8" s="1"/>
  <c r="L633" i="1" s="1"/>
  <c r="C632" i="4"/>
  <c r="B632" i="4"/>
  <c r="C631" i="4"/>
  <c r="B631" i="4"/>
  <c r="C631" i="8" s="1"/>
  <c r="E631" i="8" s="1"/>
  <c r="L631" i="1" s="1"/>
  <c r="M631" i="1" s="1"/>
  <c r="N631" i="1" s="1"/>
  <c r="C630" i="4"/>
  <c r="B630" i="4"/>
  <c r="C629" i="4"/>
  <c r="B629" i="4"/>
  <c r="C629" i="8" s="1"/>
  <c r="E629" i="8" s="1"/>
  <c r="L629" i="1" s="1"/>
  <c r="M629" i="1" s="1"/>
  <c r="N629" i="1" s="1"/>
  <c r="C628" i="4"/>
  <c r="B628" i="4"/>
  <c r="C627" i="4"/>
  <c r="B627" i="4"/>
  <c r="C627" i="8" s="1"/>
  <c r="E627" i="8" s="1"/>
  <c r="L627" i="1" s="1"/>
  <c r="C626" i="4"/>
  <c r="B626" i="4"/>
  <c r="C625" i="4"/>
  <c r="B625" i="4"/>
  <c r="C625" i="8" s="1"/>
  <c r="E625" i="8" s="1"/>
  <c r="L625" i="1" s="1"/>
  <c r="C624" i="4"/>
  <c r="B624" i="4"/>
  <c r="C623" i="4"/>
  <c r="B623" i="4"/>
  <c r="C623" i="8" s="1"/>
  <c r="E623" i="8" s="1"/>
  <c r="L623" i="1" s="1"/>
  <c r="M623" i="1" s="1"/>
  <c r="N623" i="1" s="1"/>
  <c r="C622" i="4"/>
  <c r="B622" i="4"/>
  <c r="C621" i="4"/>
  <c r="B621" i="4"/>
  <c r="C621" i="8" s="1"/>
  <c r="E621" i="8" s="1"/>
  <c r="L621" i="1" s="1"/>
  <c r="M621" i="1" s="1"/>
  <c r="N621" i="1" s="1"/>
  <c r="C620" i="4"/>
  <c r="B620" i="4"/>
  <c r="C619" i="4"/>
  <c r="B619" i="4"/>
  <c r="C619" i="8" s="1"/>
  <c r="E619" i="8" s="1"/>
  <c r="L619" i="1" s="1"/>
  <c r="C618" i="4"/>
  <c r="B618" i="4"/>
  <c r="C617" i="4"/>
  <c r="B617" i="4"/>
  <c r="C617" i="8" s="1"/>
  <c r="E617" i="8" s="1"/>
  <c r="L617" i="1" s="1"/>
  <c r="C616" i="4"/>
  <c r="B616" i="4"/>
  <c r="C615" i="4"/>
  <c r="B615" i="4"/>
  <c r="C615" i="8" s="1"/>
  <c r="E615" i="8" s="1"/>
  <c r="L615" i="1" s="1"/>
  <c r="M615" i="1" s="1"/>
  <c r="N615" i="1" s="1"/>
  <c r="C614" i="4"/>
  <c r="B614" i="4"/>
  <c r="C613" i="4"/>
  <c r="B613" i="4"/>
  <c r="C613" i="8" s="1"/>
  <c r="E613" i="8" s="1"/>
  <c r="L613" i="1" s="1"/>
  <c r="M613" i="1" s="1"/>
  <c r="N613" i="1" s="1"/>
  <c r="C612" i="4"/>
  <c r="B612" i="4"/>
  <c r="C611" i="4"/>
  <c r="B611" i="4"/>
  <c r="C611" i="8" s="1"/>
  <c r="E611" i="8" s="1"/>
  <c r="L611" i="1" s="1"/>
  <c r="C610" i="4"/>
  <c r="B610" i="4"/>
  <c r="C609" i="4"/>
  <c r="B609" i="4"/>
  <c r="C609" i="8" s="1"/>
  <c r="E609" i="8" s="1"/>
  <c r="L609" i="1" s="1"/>
  <c r="C608" i="4"/>
  <c r="B608" i="4"/>
  <c r="C607" i="4"/>
  <c r="B607" i="4"/>
  <c r="C607" i="8" s="1"/>
  <c r="E607" i="8" s="1"/>
  <c r="L607" i="1" s="1"/>
  <c r="M607" i="1" s="1"/>
  <c r="N607" i="1" s="1"/>
  <c r="C606" i="4"/>
  <c r="B606" i="4"/>
  <c r="C605" i="4"/>
  <c r="B605" i="4"/>
  <c r="C605" i="8" s="1"/>
  <c r="E605" i="8" s="1"/>
  <c r="L605" i="1" s="1"/>
  <c r="M605" i="1" s="1"/>
  <c r="N605" i="1" s="1"/>
  <c r="C604" i="4"/>
  <c r="B604" i="4"/>
  <c r="C603" i="4"/>
  <c r="B603" i="4"/>
  <c r="C603" i="8" s="1"/>
  <c r="E603" i="8" s="1"/>
  <c r="L603" i="1" s="1"/>
  <c r="C602" i="4"/>
  <c r="B602" i="4"/>
  <c r="C601" i="4"/>
  <c r="B601" i="4"/>
  <c r="C601" i="8" s="1"/>
  <c r="E601" i="8" s="1"/>
  <c r="L601" i="1" s="1"/>
  <c r="C600" i="4"/>
  <c r="B600" i="4"/>
  <c r="C599" i="4"/>
  <c r="B599" i="4"/>
  <c r="C599" i="8" s="1"/>
  <c r="E599" i="8" s="1"/>
  <c r="L599" i="1" s="1"/>
  <c r="M599" i="1" s="1"/>
  <c r="N599" i="1" s="1"/>
  <c r="C598" i="4"/>
  <c r="B598" i="4"/>
  <c r="C597" i="4"/>
  <c r="B597" i="4"/>
  <c r="C597" i="8" s="1"/>
  <c r="E597" i="8" s="1"/>
  <c r="L597" i="1" s="1"/>
  <c r="C596" i="4"/>
  <c r="B596" i="4"/>
  <c r="C595" i="4"/>
  <c r="B595" i="4"/>
  <c r="C595" i="8" s="1"/>
  <c r="E595" i="8" s="1"/>
  <c r="L595" i="1" s="1"/>
  <c r="C594" i="4"/>
  <c r="B594" i="4"/>
  <c r="C593" i="4"/>
  <c r="B593" i="4"/>
  <c r="C593" i="8" s="1"/>
  <c r="E593" i="8" s="1"/>
  <c r="L593" i="1" s="1"/>
  <c r="C592" i="4"/>
  <c r="B592" i="4"/>
  <c r="C591" i="4"/>
  <c r="B591" i="4"/>
  <c r="C591" i="8" s="1"/>
  <c r="E591" i="8" s="1"/>
  <c r="L591" i="1" s="1"/>
  <c r="C590" i="4"/>
  <c r="B590" i="4"/>
  <c r="C589" i="4"/>
  <c r="B589" i="4"/>
  <c r="C589" i="8" s="1"/>
  <c r="E589" i="8" s="1"/>
  <c r="L589" i="1" s="1"/>
  <c r="C588" i="4"/>
  <c r="B588" i="4"/>
  <c r="C587" i="4"/>
  <c r="B587" i="4"/>
  <c r="C587" i="8" s="1"/>
  <c r="E587" i="8" s="1"/>
  <c r="L587" i="1" s="1"/>
  <c r="C586" i="4"/>
  <c r="B586" i="4"/>
  <c r="C585" i="4"/>
  <c r="B585" i="4"/>
  <c r="C585" i="8" s="1"/>
  <c r="E585" i="8" s="1"/>
  <c r="L585" i="1" s="1"/>
  <c r="C584" i="4"/>
  <c r="B584" i="4"/>
  <c r="C583" i="4"/>
  <c r="B583" i="4"/>
  <c r="C583" i="8" s="1"/>
  <c r="E583" i="8" s="1"/>
  <c r="L583" i="1" s="1"/>
  <c r="C582" i="4"/>
  <c r="B582" i="4"/>
  <c r="C581" i="4"/>
  <c r="B581" i="4"/>
  <c r="C581" i="8" s="1"/>
  <c r="E581" i="8" s="1"/>
  <c r="L581" i="1" s="1"/>
  <c r="C580" i="4"/>
  <c r="B580" i="4"/>
  <c r="C579" i="4"/>
  <c r="B579" i="4"/>
  <c r="C579" i="8" s="1"/>
  <c r="E579" i="8" s="1"/>
  <c r="L579" i="1" s="1"/>
  <c r="C578" i="4"/>
  <c r="B578" i="4"/>
  <c r="C577" i="4"/>
  <c r="B577" i="4"/>
  <c r="C577" i="8" s="1"/>
  <c r="E577" i="8" s="1"/>
  <c r="L577" i="1" s="1"/>
  <c r="C576" i="4"/>
  <c r="B576" i="4"/>
  <c r="C575" i="4"/>
  <c r="B575" i="4"/>
  <c r="C575" i="8" s="1"/>
  <c r="E575" i="8" s="1"/>
  <c r="L575" i="1" s="1"/>
  <c r="C574" i="4"/>
  <c r="B574" i="4"/>
  <c r="C573" i="4"/>
  <c r="B573" i="4"/>
  <c r="C573" i="8" s="1"/>
  <c r="E573" i="8" s="1"/>
  <c r="L573" i="1" s="1"/>
  <c r="C572" i="4"/>
  <c r="B572" i="4"/>
  <c r="C571" i="4"/>
  <c r="B571" i="4"/>
  <c r="C571" i="8" s="1"/>
  <c r="E571" i="8" s="1"/>
  <c r="L571" i="1" s="1"/>
  <c r="C570" i="4"/>
  <c r="B570" i="4"/>
  <c r="C569" i="4"/>
  <c r="B569" i="4"/>
  <c r="C569" i="8" s="1"/>
  <c r="E569" i="8" s="1"/>
  <c r="L569" i="1" s="1"/>
  <c r="C568" i="4"/>
  <c r="B568" i="4"/>
  <c r="C567" i="4"/>
  <c r="B567" i="4"/>
  <c r="C567" i="8" s="1"/>
  <c r="E567" i="8" s="1"/>
  <c r="L567" i="1" s="1"/>
  <c r="C566" i="4"/>
  <c r="B566" i="4"/>
  <c r="C565" i="4"/>
  <c r="B565" i="4"/>
  <c r="C565" i="8" s="1"/>
  <c r="E565" i="8" s="1"/>
  <c r="L565" i="1" s="1"/>
  <c r="M565" i="1" s="1"/>
  <c r="N565" i="1" s="1"/>
  <c r="C564" i="4"/>
  <c r="B564" i="4"/>
  <c r="C564" i="8" s="1"/>
  <c r="E564" i="8" s="1"/>
  <c r="L564" i="1" s="1"/>
  <c r="C563" i="4"/>
  <c r="B563" i="4"/>
  <c r="C563" i="8" s="1"/>
  <c r="E563" i="8" s="1"/>
  <c r="L563" i="1" s="1"/>
  <c r="C562" i="4"/>
  <c r="B562" i="4"/>
  <c r="C562" i="8" s="1"/>
  <c r="C561" i="4"/>
  <c r="B561" i="4"/>
  <c r="C561" i="8" s="1"/>
  <c r="E561" i="8" s="1"/>
  <c r="L561" i="1" s="1"/>
  <c r="C560" i="4"/>
  <c r="B560" i="4"/>
  <c r="C560" i="8" s="1"/>
  <c r="E560" i="8" s="1"/>
  <c r="C559" i="4"/>
  <c r="B559" i="4"/>
  <c r="C559" i="8" s="1"/>
  <c r="E559" i="8" s="1"/>
  <c r="L559" i="1" s="1"/>
  <c r="C558" i="4"/>
  <c r="B558" i="4"/>
  <c r="C558" i="8" s="1"/>
  <c r="C557" i="4"/>
  <c r="B557" i="4"/>
  <c r="C557" i="8" s="1"/>
  <c r="E557" i="8" s="1"/>
  <c r="L557" i="1" s="1"/>
  <c r="C556" i="4"/>
  <c r="B556" i="4"/>
  <c r="C556" i="8" s="1"/>
  <c r="E556" i="8" s="1"/>
  <c r="C555" i="4"/>
  <c r="B555" i="4"/>
  <c r="C555" i="8" s="1"/>
  <c r="E555" i="8" s="1"/>
  <c r="L555" i="1" s="1"/>
  <c r="C554" i="4"/>
  <c r="B554" i="4"/>
  <c r="C554" i="8" s="1"/>
  <c r="C553" i="4"/>
  <c r="B553" i="4"/>
  <c r="C553" i="8" s="1"/>
  <c r="E553" i="8" s="1"/>
  <c r="L553" i="1" s="1"/>
  <c r="C552" i="4"/>
  <c r="B552" i="4"/>
  <c r="C552" i="8" s="1"/>
  <c r="E552" i="8" s="1"/>
  <c r="C551" i="4"/>
  <c r="B551" i="4"/>
  <c r="C551" i="8" s="1"/>
  <c r="E551" i="8" s="1"/>
  <c r="L551" i="1" s="1"/>
  <c r="C550" i="4"/>
  <c r="B550" i="4"/>
  <c r="C550" i="8" s="1"/>
  <c r="C549" i="4"/>
  <c r="B549" i="4"/>
  <c r="C549" i="8" s="1"/>
  <c r="E549" i="8" s="1"/>
  <c r="L549" i="1" s="1"/>
  <c r="C548" i="4"/>
  <c r="B548" i="4"/>
  <c r="C548" i="8" s="1"/>
  <c r="E548" i="8" s="1"/>
  <c r="C547" i="4"/>
  <c r="B547" i="4"/>
  <c r="C547" i="8" s="1"/>
  <c r="E547" i="8" s="1"/>
  <c r="L547" i="1" s="1"/>
  <c r="C546" i="4"/>
  <c r="B546" i="4"/>
  <c r="C546" i="8" s="1"/>
  <c r="C545" i="4"/>
  <c r="B545" i="4"/>
  <c r="C545" i="8" s="1"/>
  <c r="E545" i="8" s="1"/>
  <c r="L545" i="1" s="1"/>
  <c r="C544" i="4"/>
  <c r="B544" i="4"/>
  <c r="C544" i="8" s="1"/>
  <c r="E544" i="8" s="1"/>
  <c r="C543" i="4"/>
  <c r="B543" i="4"/>
  <c r="C542" i="4"/>
  <c r="B542" i="4"/>
  <c r="C542" i="8" s="1"/>
  <c r="C541" i="4"/>
  <c r="B541" i="4"/>
  <c r="C541" i="8" s="1"/>
  <c r="E541" i="8" s="1"/>
  <c r="L541" i="1" s="1"/>
  <c r="C540" i="4"/>
  <c r="B540" i="4"/>
  <c r="C540" i="8" s="1"/>
  <c r="E540" i="8" s="1"/>
  <c r="C539" i="4"/>
  <c r="B539" i="4"/>
  <c r="C539" i="8" s="1"/>
  <c r="E539" i="8" s="1"/>
  <c r="L539" i="1" s="1"/>
  <c r="C538" i="4"/>
  <c r="B538" i="4"/>
  <c r="C538" i="8" s="1"/>
  <c r="C537" i="4"/>
  <c r="B537" i="4"/>
  <c r="C537" i="8" s="1"/>
  <c r="E537" i="8" s="1"/>
  <c r="L537" i="1" s="1"/>
  <c r="C536" i="4"/>
  <c r="B536" i="4"/>
  <c r="C536" i="8" s="1"/>
  <c r="E536" i="8" s="1"/>
  <c r="C535" i="4"/>
  <c r="B535" i="4"/>
  <c r="C535" i="8" s="1"/>
  <c r="E535" i="8" s="1"/>
  <c r="L535" i="1" s="1"/>
  <c r="C534" i="4"/>
  <c r="B534" i="4"/>
  <c r="C534" i="8" s="1"/>
  <c r="C533" i="4"/>
  <c r="B533" i="4"/>
  <c r="C533" i="8" s="1"/>
  <c r="E533" i="8" s="1"/>
  <c r="L533" i="1" s="1"/>
  <c r="C532" i="4"/>
  <c r="B532" i="4"/>
  <c r="C532" i="8" s="1"/>
  <c r="E532" i="8" s="1"/>
  <c r="C531" i="4"/>
  <c r="B531" i="4"/>
  <c r="C531" i="8" s="1"/>
  <c r="E531" i="8" s="1"/>
  <c r="L531" i="1" s="1"/>
  <c r="C530" i="4"/>
  <c r="B530" i="4"/>
  <c r="C530" i="8" s="1"/>
  <c r="C529" i="4"/>
  <c r="B529" i="4"/>
  <c r="C529" i="8" s="1"/>
  <c r="E529" i="8" s="1"/>
  <c r="L529" i="1" s="1"/>
  <c r="C528" i="4"/>
  <c r="B528" i="4"/>
  <c r="C528" i="8" s="1"/>
  <c r="E528" i="8" s="1"/>
  <c r="C527" i="4"/>
  <c r="B527" i="4"/>
  <c r="C526" i="4"/>
  <c r="B526" i="4"/>
  <c r="C526" i="8" s="1"/>
  <c r="C525" i="4"/>
  <c r="B525" i="4"/>
  <c r="C525" i="8" s="1"/>
  <c r="E525" i="8" s="1"/>
  <c r="L525" i="1" s="1"/>
  <c r="C524" i="4"/>
  <c r="B524" i="4"/>
  <c r="C524" i="8" s="1"/>
  <c r="E524" i="8" s="1"/>
  <c r="C523" i="4"/>
  <c r="B523" i="4"/>
  <c r="C523" i="8" s="1"/>
  <c r="E523" i="8" s="1"/>
  <c r="L523" i="1" s="1"/>
  <c r="C522" i="4"/>
  <c r="B522" i="4"/>
  <c r="C522" i="8" s="1"/>
  <c r="C521" i="4"/>
  <c r="B521" i="4"/>
  <c r="C521" i="8" s="1"/>
  <c r="E521" i="8" s="1"/>
  <c r="L521" i="1" s="1"/>
  <c r="C520" i="4"/>
  <c r="B520" i="4"/>
  <c r="C520" i="8" s="1"/>
  <c r="E520" i="8" s="1"/>
  <c r="C519" i="4"/>
  <c r="B519" i="4"/>
  <c r="C519" i="8" s="1"/>
  <c r="E519" i="8" s="1"/>
  <c r="L519" i="1" s="1"/>
  <c r="C518" i="4"/>
  <c r="B518" i="4"/>
  <c r="C518" i="8" s="1"/>
  <c r="C517" i="4"/>
  <c r="B517" i="4"/>
  <c r="C517" i="8" s="1"/>
  <c r="E517" i="8" s="1"/>
  <c r="L517" i="1" s="1"/>
  <c r="C516" i="4"/>
  <c r="B516" i="4"/>
  <c r="C516" i="8" s="1"/>
  <c r="E516" i="8" s="1"/>
  <c r="C515" i="4"/>
  <c r="B515" i="4"/>
  <c r="C515" i="8" s="1"/>
  <c r="E515" i="8" s="1"/>
  <c r="L515" i="1" s="1"/>
  <c r="C514" i="4"/>
  <c r="B514" i="4"/>
  <c r="C514" i="8" s="1"/>
  <c r="C513" i="4"/>
  <c r="B513" i="4"/>
  <c r="C513" i="8" s="1"/>
  <c r="E513" i="8" s="1"/>
  <c r="L513" i="1" s="1"/>
  <c r="C512" i="4"/>
  <c r="B512" i="4"/>
  <c r="C512" i="8" s="1"/>
  <c r="E512" i="8" s="1"/>
  <c r="C511" i="4"/>
  <c r="B511" i="4"/>
  <c r="C511" i="8" s="1"/>
  <c r="E511" i="8" s="1"/>
  <c r="L511" i="1" s="1"/>
  <c r="C510" i="4"/>
  <c r="B510" i="4"/>
  <c r="C510" i="8" s="1"/>
  <c r="C509" i="4"/>
  <c r="B509" i="4"/>
  <c r="C509" i="8" s="1"/>
  <c r="E509" i="8" s="1"/>
  <c r="L509" i="1" s="1"/>
  <c r="C508" i="4"/>
  <c r="B508" i="4"/>
  <c r="C508" i="8" s="1"/>
  <c r="E508" i="8" s="1"/>
  <c r="C507" i="4"/>
  <c r="B507" i="4"/>
  <c r="C507" i="8" s="1"/>
  <c r="E507" i="8" s="1"/>
  <c r="L507" i="1" s="1"/>
  <c r="C506" i="4"/>
  <c r="B506" i="4"/>
  <c r="C506" i="8" s="1"/>
  <c r="C505" i="4"/>
  <c r="B505" i="4"/>
  <c r="C505" i="8" s="1"/>
  <c r="E505" i="8" s="1"/>
  <c r="L505" i="1" s="1"/>
  <c r="C504" i="4"/>
  <c r="B504" i="4"/>
  <c r="C504" i="8" s="1"/>
  <c r="E504" i="8" s="1"/>
  <c r="C503" i="4"/>
  <c r="B503" i="4"/>
  <c r="C503" i="8" s="1"/>
  <c r="E503" i="8" s="1"/>
  <c r="L503" i="1" s="1"/>
  <c r="C502" i="4"/>
  <c r="B502" i="4"/>
  <c r="C502" i="8" s="1"/>
  <c r="C501" i="4"/>
  <c r="B501" i="4"/>
  <c r="C501" i="8" s="1"/>
  <c r="E501" i="8" s="1"/>
  <c r="L501" i="1" s="1"/>
  <c r="C500" i="4"/>
  <c r="B500" i="4"/>
  <c r="C500" i="8" s="1"/>
  <c r="E500" i="8" s="1"/>
  <c r="C499" i="4"/>
  <c r="B499" i="4"/>
  <c r="C499" i="8" s="1"/>
  <c r="E499" i="8" s="1"/>
  <c r="L499" i="1" s="1"/>
  <c r="C498" i="4"/>
  <c r="B498" i="4"/>
  <c r="C498" i="8" s="1"/>
  <c r="C497" i="4"/>
  <c r="B497" i="4"/>
  <c r="C497" i="8" s="1"/>
  <c r="E497" i="8" s="1"/>
  <c r="L497" i="1" s="1"/>
  <c r="C496" i="4"/>
  <c r="B496" i="4"/>
  <c r="C496" i="8" s="1"/>
  <c r="E496" i="8" s="1"/>
  <c r="C495" i="4"/>
  <c r="B495" i="4"/>
  <c r="C495" i="8" s="1"/>
  <c r="E495" i="8" s="1"/>
  <c r="L495" i="1" s="1"/>
  <c r="C494" i="4"/>
  <c r="B494" i="4"/>
  <c r="C494" i="8" s="1"/>
  <c r="C493" i="4"/>
  <c r="B493" i="4"/>
  <c r="C493" i="8" s="1"/>
  <c r="E493" i="8" s="1"/>
  <c r="L493" i="1" s="1"/>
  <c r="C492" i="4"/>
  <c r="B492" i="4"/>
  <c r="C492" i="8" s="1"/>
  <c r="E492" i="8" s="1"/>
  <c r="C491" i="4"/>
  <c r="B491" i="4"/>
  <c r="C491" i="8" s="1"/>
  <c r="E491" i="8" s="1"/>
  <c r="L491" i="1" s="1"/>
  <c r="C490" i="4"/>
  <c r="B490" i="4"/>
  <c r="C490" i="8" s="1"/>
  <c r="C489" i="4"/>
  <c r="B489" i="4"/>
  <c r="C489" i="8" s="1"/>
  <c r="E489" i="8" s="1"/>
  <c r="L489" i="1" s="1"/>
  <c r="C488" i="4"/>
  <c r="B488" i="4"/>
  <c r="C488" i="8" s="1"/>
  <c r="E488" i="8" s="1"/>
  <c r="C487" i="4"/>
  <c r="B487" i="4"/>
  <c r="C487" i="8" s="1"/>
  <c r="E487" i="8" s="1"/>
  <c r="L487" i="1" s="1"/>
  <c r="C486" i="4"/>
  <c r="B486" i="4"/>
  <c r="C486" i="8" s="1"/>
  <c r="C485" i="4"/>
  <c r="B485" i="4"/>
  <c r="C485" i="8" s="1"/>
  <c r="E485" i="8" s="1"/>
  <c r="L485" i="1" s="1"/>
  <c r="C484" i="4"/>
  <c r="B484" i="4"/>
  <c r="C484" i="8" s="1"/>
  <c r="E484" i="8" s="1"/>
  <c r="C483" i="4"/>
  <c r="B483" i="4"/>
  <c r="C483" i="8" s="1"/>
  <c r="E483" i="8" s="1"/>
  <c r="C482" i="4"/>
  <c r="B482" i="4"/>
  <c r="C482" i="8" s="1"/>
  <c r="C481" i="4"/>
  <c r="B481" i="4"/>
  <c r="C481" i="8" s="1"/>
  <c r="E481" i="8" s="1"/>
  <c r="L481" i="1" s="1"/>
  <c r="C480" i="4"/>
  <c r="B480" i="4"/>
  <c r="C480" i="8" s="1"/>
  <c r="E480" i="8" s="1"/>
  <c r="C479" i="4"/>
  <c r="B479" i="4"/>
  <c r="C479" i="8" s="1"/>
  <c r="E479" i="8" s="1"/>
  <c r="L479" i="1" s="1"/>
  <c r="C478" i="4"/>
  <c r="B478" i="4"/>
  <c r="C478" i="8" s="1"/>
  <c r="C477" i="4"/>
  <c r="B477" i="4"/>
  <c r="C477" i="8" s="1"/>
  <c r="E477" i="8" s="1"/>
  <c r="L477" i="1" s="1"/>
  <c r="C476" i="4"/>
  <c r="B476" i="4"/>
  <c r="C476" i="8" s="1"/>
  <c r="E476" i="8" s="1"/>
  <c r="C475" i="4"/>
  <c r="B475" i="4"/>
  <c r="C475" i="8" s="1"/>
  <c r="E475" i="8" s="1"/>
  <c r="L475" i="1" s="1"/>
  <c r="C474" i="4"/>
  <c r="B474" i="4"/>
  <c r="C474" i="8" s="1"/>
  <c r="C473" i="4"/>
  <c r="B473" i="4"/>
  <c r="C473" i="8" s="1"/>
  <c r="E473" i="8" s="1"/>
  <c r="L473" i="1" s="1"/>
  <c r="C472" i="4"/>
  <c r="B472" i="4"/>
  <c r="C472" i="8" s="1"/>
  <c r="E472" i="8" s="1"/>
  <c r="C471" i="4"/>
  <c r="B471" i="4"/>
  <c r="C471" i="8" s="1"/>
  <c r="E471" i="8" s="1"/>
  <c r="L471" i="1" s="1"/>
  <c r="C470" i="4"/>
  <c r="B470" i="4"/>
  <c r="C470" i="8" s="1"/>
  <c r="C469" i="4"/>
  <c r="B469" i="4"/>
  <c r="C469" i="8" s="1"/>
  <c r="E469" i="8" s="1"/>
  <c r="L469" i="1" s="1"/>
  <c r="C468" i="4"/>
  <c r="B468" i="4"/>
  <c r="C468" i="8" s="1"/>
  <c r="E468" i="8" s="1"/>
  <c r="C467" i="4"/>
  <c r="B467" i="4"/>
  <c r="C467" i="8" s="1"/>
  <c r="E467" i="8" s="1"/>
  <c r="L467" i="1" s="1"/>
  <c r="C466" i="4"/>
  <c r="B466" i="4"/>
  <c r="C466" i="8" s="1"/>
  <c r="C465" i="4"/>
  <c r="B465" i="4"/>
  <c r="C465" i="8" s="1"/>
  <c r="E465" i="8" s="1"/>
  <c r="L465" i="1" s="1"/>
  <c r="C464" i="4"/>
  <c r="B464" i="4"/>
  <c r="C464" i="8" s="1"/>
  <c r="E464" i="8" s="1"/>
  <c r="C463" i="4"/>
  <c r="B463" i="4"/>
  <c r="C463" i="8" s="1"/>
  <c r="E463" i="8" s="1"/>
  <c r="L463" i="1" s="1"/>
  <c r="C462" i="4"/>
  <c r="B462" i="4"/>
  <c r="C462" i="8" s="1"/>
  <c r="C461" i="4"/>
  <c r="B461" i="4"/>
  <c r="C461" i="8" s="1"/>
  <c r="E461" i="8" s="1"/>
  <c r="L461" i="1" s="1"/>
  <c r="C460" i="4"/>
  <c r="B460" i="4"/>
  <c r="C460" i="8" s="1"/>
  <c r="E460" i="8" s="1"/>
  <c r="C459" i="4"/>
  <c r="B459" i="4"/>
  <c r="C459" i="8" s="1"/>
  <c r="E459" i="8" s="1"/>
  <c r="L459" i="1" s="1"/>
  <c r="C458" i="4"/>
  <c r="B458" i="4"/>
  <c r="C458" i="8" s="1"/>
  <c r="C457" i="4"/>
  <c r="B457" i="4"/>
  <c r="C457" i="8" s="1"/>
  <c r="E457" i="8" s="1"/>
  <c r="L457" i="1" s="1"/>
  <c r="C456" i="4"/>
  <c r="B456" i="4"/>
  <c r="C456" i="8" s="1"/>
  <c r="E456" i="8" s="1"/>
  <c r="C455" i="4"/>
  <c r="B455" i="4"/>
  <c r="C455" i="8" s="1"/>
  <c r="E455" i="8" s="1"/>
  <c r="L455" i="1" s="1"/>
  <c r="C454" i="4"/>
  <c r="B454" i="4"/>
  <c r="C454" i="8" s="1"/>
  <c r="C453" i="4"/>
  <c r="B453" i="4"/>
  <c r="C453" i="8" s="1"/>
  <c r="E453" i="8" s="1"/>
  <c r="L453" i="1" s="1"/>
  <c r="C452" i="4"/>
  <c r="B452" i="4"/>
  <c r="C452" i="8" s="1"/>
  <c r="E452" i="8" s="1"/>
  <c r="C451" i="4"/>
  <c r="B451" i="4"/>
  <c r="C451" i="8" s="1"/>
  <c r="E451" i="8" s="1"/>
  <c r="C450" i="4"/>
  <c r="B450" i="4"/>
  <c r="C450" i="8" s="1"/>
  <c r="C449" i="4"/>
  <c r="B449" i="4"/>
  <c r="C449" i="8" s="1"/>
  <c r="E449" i="8" s="1"/>
  <c r="L449" i="1" s="1"/>
  <c r="C448" i="4"/>
  <c r="B448" i="4"/>
  <c r="C448" i="8" s="1"/>
  <c r="E448" i="8" s="1"/>
  <c r="C447" i="4"/>
  <c r="B447" i="4"/>
  <c r="C447" i="8" s="1"/>
  <c r="C446" i="4"/>
  <c r="B446" i="4"/>
  <c r="C446" i="8" s="1"/>
  <c r="C445" i="4"/>
  <c r="B445" i="4"/>
  <c r="C445" i="8" s="1"/>
  <c r="C444" i="4"/>
  <c r="B444" i="4"/>
  <c r="C444" i="8" s="1"/>
  <c r="E444" i="8" s="1"/>
  <c r="C443" i="4"/>
  <c r="B443" i="4"/>
  <c r="C443" i="8" s="1"/>
  <c r="C442" i="4"/>
  <c r="B442" i="4"/>
  <c r="C442" i="8" s="1"/>
  <c r="C441" i="4"/>
  <c r="B441" i="4"/>
  <c r="C441" i="8" s="1"/>
  <c r="E441" i="8" s="1"/>
  <c r="L441" i="1" s="1"/>
  <c r="C440" i="4"/>
  <c r="B440" i="4"/>
  <c r="C440" i="8" s="1"/>
  <c r="E440" i="8" s="1"/>
  <c r="C439" i="4"/>
  <c r="B439" i="4"/>
  <c r="C439" i="8" s="1"/>
  <c r="C438" i="4"/>
  <c r="B438" i="4"/>
  <c r="C438" i="8" s="1"/>
  <c r="C437" i="4"/>
  <c r="B437" i="4"/>
  <c r="C437" i="8" s="1"/>
  <c r="C436" i="4"/>
  <c r="B436" i="4"/>
  <c r="C436" i="8" s="1"/>
  <c r="E436" i="8" s="1"/>
  <c r="C435" i="4"/>
  <c r="B435" i="4"/>
  <c r="C435" i="8" s="1"/>
  <c r="C434" i="4"/>
  <c r="B434" i="4"/>
  <c r="C434" i="8" s="1"/>
  <c r="C433" i="4"/>
  <c r="B433" i="4"/>
  <c r="C433" i="8" s="1"/>
  <c r="E433" i="8" s="1"/>
  <c r="C432" i="4"/>
  <c r="B432" i="4"/>
  <c r="C432" i="8" s="1"/>
  <c r="E432" i="8" s="1"/>
  <c r="C431" i="4"/>
  <c r="B431" i="4"/>
  <c r="C431" i="8" s="1"/>
  <c r="C430" i="4"/>
  <c r="B430" i="4"/>
  <c r="C430" i="8" s="1"/>
  <c r="C429" i="4"/>
  <c r="B429" i="4"/>
  <c r="C429" i="8" s="1"/>
  <c r="C428" i="4"/>
  <c r="B428" i="4"/>
  <c r="C428" i="8" s="1"/>
  <c r="E428" i="8" s="1"/>
  <c r="C427" i="4"/>
  <c r="B427" i="4"/>
  <c r="C427" i="8" s="1"/>
  <c r="C426" i="4"/>
  <c r="B426" i="4"/>
  <c r="C426" i="8" s="1"/>
  <c r="C425" i="4"/>
  <c r="B425" i="4"/>
  <c r="C425" i="8" s="1"/>
  <c r="E425" i="8" s="1"/>
  <c r="L425" i="1" s="1"/>
  <c r="C424" i="4"/>
  <c r="B424" i="4"/>
  <c r="C424" i="8" s="1"/>
  <c r="E424" i="8" s="1"/>
  <c r="C423" i="4"/>
  <c r="B423" i="4"/>
  <c r="C423" i="8" s="1"/>
  <c r="C422" i="4"/>
  <c r="B422" i="4"/>
  <c r="C422" i="8" s="1"/>
  <c r="C421" i="4"/>
  <c r="B421" i="4"/>
  <c r="C421" i="8" s="1"/>
  <c r="C420" i="4"/>
  <c r="B420" i="4"/>
  <c r="C420" i="8" s="1"/>
  <c r="E420" i="8" s="1"/>
  <c r="C419" i="4"/>
  <c r="B419" i="4"/>
  <c r="C419" i="8" s="1"/>
  <c r="C418" i="4"/>
  <c r="B418" i="4"/>
  <c r="C418" i="8" s="1"/>
  <c r="C417" i="4"/>
  <c r="B417" i="4"/>
  <c r="C417" i="8" s="1"/>
  <c r="E417" i="8" s="1"/>
  <c r="L417" i="1" s="1"/>
  <c r="C416" i="4"/>
  <c r="B416" i="4"/>
  <c r="C416" i="8" s="1"/>
  <c r="E416" i="8" s="1"/>
  <c r="C415" i="4"/>
  <c r="B415" i="4"/>
  <c r="C415" i="8" s="1"/>
  <c r="C414" i="4"/>
  <c r="B414" i="4"/>
  <c r="C414" i="8" s="1"/>
  <c r="C413" i="4"/>
  <c r="B413" i="4"/>
  <c r="C413" i="8" s="1"/>
  <c r="C412" i="4"/>
  <c r="B412" i="4"/>
  <c r="C412" i="8" s="1"/>
  <c r="E412" i="8" s="1"/>
  <c r="C411" i="4"/>
  <c r="B411" i="4"/>
  <c r="C411" i="8" s="1"/>
  <c r="C410" i="4"/>
  <c r="B410" i="4"/>
  <c r="C410" i="8" s="1"/>
  <c r="C409" i="4"/>
  <c r="B409" i="4"/>
  <c r="C409" i="8" s="1"/>
  <c r="E409" i="8" s="1"/>
  <c r="L409" i="1" s="1"/>
  <c r="C408" i="4"/>
  <c r="B408" i="4"/>
  <c r="C408" i="8" s="1"/>
  <c r="E408" i="8" s="1"/>
  <c r="C407" i="4"/>
  <c r="B407" i="4"/>
  <c r="C407" i="8" s="1"/>
  <c r="C406" i="4"/>
  <c r="B406" i="4"/>
  <c r="C406" i="8" s="1"/>
  <c r="C405" i="4"/>
  <c r="B405" i="4"/>
  <c r="C405" i="8" s="1"/>
  <c r="C404" i="4"/>
  <c r="B404" i="4"/>
  <c r="C404" i="8" s="1"/>
  <c r="E404" i="8" s="1"/>
  <c r="C403" i="4"/>
  <c r="B403" i="4"/>
  <c r="C403" i="8" s="1"/>
  <c r="C402" i="4"/>
  <c r="B402" i="4"/>
  <c r="C402" i="8" s="1"/>
  <c r="C401" i="4"/>
  <c r="B401" i="4"/>
  <c r="C401" i="8" s="1"/>
  <c r="E401" i="8" s="1"/>
  <c r="L401" i="1" s="1"/>
  <c r="C400" i="4"/>
  <c r="B400" i="4"/>
  <c r="C400" i="8" s="1"/>
  <c r="E400" i="8" s="1"/>
  <c r="C399" i="4"/>
  <c r="B399" i="4"/>
  <c r="C399" i="8" s="1"/>
  <c r="C398" i="4"/>
  <c r="B398" i="4"/>
  <c r="C398" i="8" s="1"/>
  <c r="C397" i="4"/>
  <c r="B397" i="4"/>
  <c r="C397" i="8" s="1"/>
  <c r="C396" i="4"/>
  <c r="B396" i="4"/>
  <c r="C396" i="8" s="1"/>
  <c r="E396" i="8" s="1"/>
  <c r="C395" i="4"/>
  <c r="B395" i="4"/>
  <c r="C395" i="8" s="1"/>
  <c r="C394" i="4"/>
  <c r="B394" i="4"/>
  <c r="C394" i="8" s="1"/>
  <c r="C393" i="4"/>
  <c r="B393" i="4"/>
  <c r="C393" i="8" s="1"/>
  <c r="E393" i="8" s="1"/>
  <c r="L393" i="1" s="1"/>
  <c r="C392" i="4"/>
  <c r="B392" i="4"/>
  <c r="C392" i="8" s="1"/>
  <c r="E392" i="8" s="1"/>
  <c r="C391" i="4"/>
  <c r="B391" i="4"/>
  <c r="C391" i="8" s="1"/>
  <c r="C390" i="4"/>
  <c r="B390" i="4"/>
  <c r="C390" i="8" s="1"/>
  <c r="C389" i="4"/>
  <c r="B389" i="4"/>
  <c r="C389" i="8" s="1"/>
  <c r="E389" i="8" s="1"/>
  <c r="L389" i="1" s="1"/>
  <c r="C388" i="4"/>
  <c r="B388" i="4"/>
  <c r="C388" i="8" s="1"/>
  <c r="E388" i="8" s="1"/>
  <c r="C387" i="4"/>
  <c r="B387" i="4"/>
  <c r="C387" i="8" s="1"/>
  <c r="C386" i="4"/>
  <c r="B386" i="4"/>
  <c r="C386" i="8" s="1"/>
  <c r="C385" i="4"/>
  <c r="B385" i="4"/>
  <c r="C385" i="8" s="1"/>
  <c r="E385" i="8" s="1"/>
  <c r="L385" i="1" s="1"/>
  <c r="C384" i="4"/>
  <c r="B384" i="4"/>
  <c r="C384" i="8" s="1"/>
  <c r="E384" i="8" s="1"/>
  <c r="C383" i="4"/>
  <c r="B383" i="4"/>
  <c r="C383" i="8" s="1"/>
  <c r="C382" i="4"/>
  <c r="B382" i="4"/>
  <c r="C382" i="8" s="1"/>
  <c r="C381" i="4"/>
  <c r="B381" i="4"/>
  <c r="C381" i="8" s="1"/>
  <c r="E381" i="8" s="1"/>
  <c r="L381" i="1" s="1"/>
  <c r="C380" i="4"/>
  <c r="B380" i="4"/>
  <c r="C380" i="8" s="1"/>
  <c r="E380" i="8" s="1"/>
  <c r="C379" i="4"/>
  <c r="B379" i="4"/>
  <c r="C379" i="8" s="1"/>
  <c r="C378" i="4"/>
  <c r="B378" i="4"/>
  <c r="C378" i="8" s="1"/>
  <c r="C377" i="4"/>
  <c r="B377" i="4"/>
  <c r="C377" i="8" s="1"/>
  <c r="E377" i="8" s="1"/>
  <c r="L377" i="1" s="1"/>
  <c r="C376" i="4"/>
  <c r="B376" i="4"/>
  <c r="C376" i="8" s="1"/>
  <c r="E376" i="8" s="1"/>
  <c r="C375" i="4"/>
  <c r="B375" i="4"/>
  <c r="C375" i="8" s="1"/>
  <c r="C374" i="4"/>
  <c r="B374" i="4"/>
  <c r="C374" i="8" s="1"/>
  <c r="C373" i="4"/>
  <c r="B373" i="4"/>
  <c r="C373" i="8" s="1"/>
  <c r="E373" i="8" s="1"/>
  <c r="L373" i="1" s="1"/>
  <c r="C372" i="4"/>
  <c r="B372" i="4"/>
  <c r="C372" i="8" s="1"/>
  <c r="E372" i="8" s="1"/>
  <c r="C371" i="4"/>
  <c r="B371" i="4"/>
  <c r="C371" i="8" s="1"/>
  <c r="C370" i="4"/>
  <c r="B370" i="4"/>
  <c r="C370" i="8" s="1"/>
  <c r="C369" i="4"/>
  <c r="B369" i="4"/>
  <c r="C369" i="8" s="1"/>
  <c r="E369" i="8" s="1"/>
  <c r="L369" i="1" s="1"/>
  <c r="C368" i="4"/>
  <c r="B368" i="4"/>
  <c r="C368" i="8" s="1"/>
  <c r="E368" i="8" s="1"/>
  <c r="C367" i="4"/>
  <c r="B367" i="4"/>
  <c r="C367" i="8" s="1"/>
  <c r="C366" i="4"/>
  <c r="B366" i="4"/>
  <c r="C366" i="8" s="1"/>
  <c r="C365" i="4"/>
  <c r="B365" i="4"/>
  <c r="C365" i="8" s="1"/>
  <c r="E365" i="8" s="1"/>
  <c r="L365" i="1" s="1"/>
  <c r="C364" i="4"/>
  <c r="B364" i="4"/>
  <c r="C364" i="8" s="1"/>
  <c r="E364" i="8" s="1"/>
  <c r="C363" i="4"/>
  <c r="B363" i="4"/>
  <c r="C363" i="8" s="1"/>
  <c r="C362" i="4"/>
  <c r="B362" i="4"/>
  <c r="C362" i="8" s="1"/>
  <c r="C361" i="4"/>
  <c r="B361" i="4"/>
  <c r="C361" i="8" s="1"/>
  <c r="E361" i="8" s="1"/>
  <c r="L361" i="1" s="1"/>
  <c r="C360" i="4"/>
  <c r="B360" i="4"/>
  <c r="C360" i="8" s="1"/>
  <c r="E360" i="8" s="1"/>
  <c r="C359" i="4"/>
  <c r="B359" i="4"/>
  <c r="C359" i="8" s="1"/>
  <c r="C358" i="4"/>
  <c r="B358" i="4"/>
  <c r="C358" i="8" s="1"/>
  <c r="C357" i="4"/>
  <c r="B357" i="4"/>
  <c r="C357" i="8" s="1"/>
  <c r="E357" i="8" s="1"/>
  <c r="L357" i="1" s="1"/>
  <c r="C356" i="4"/>
  <c r="B356" i="4"/>
  <c r="C356" i="8" s="1"/>
  <c r="E356" i="8" s="1"/>
  <c r="C355" i="4"/>
  <c r="B355" i="4"/>
  <c r="C355" i="8" s="1"/>
  <c r="C354" i="4"/>
  <c r="B354" i="4"/>
  <c r="C354" i="8" s="1"/>
  <c r="C353" i="4"/>
  <c r="B353" i="4"/>
  <c r="C353" i="8" s="1"/>
  <c r="E353" i="8" s="1"/>
  <c r="L353" i="1" s="1"/>
  <c r="C352" i="4"/>
  <c r="B352" i="4"/>
  <c r="C352" i="8" s="1"/>
  <c r="E352" i="8" s="1"/>
  <c r="C351" i="4"/>
  <c r="B351" i="4"/>
  <c r="C351" i="8" s="1"/>
  <c r="C350" i="4"/>
  <c r="B350" i="4"/>
  <c r="C350" i="8" s="1"/>
  <c r="C349" i="4"/>
  <c r="B349" i="4"/>
  <c r="C349" i="8" s="1"/>
  <c r="E349" i="8" s="1"/>
  <c r="L349" i="1" s="1"/>
  <c r="C348" i="4"/>
  <c r="B348" i="4"/>
  <c r="C348" i="8" s="1"/>
  <c r="E348" i="8" s="1"/>
  <c r="C347" i="4"/>
  <c r="B347" i="4"/>
  <c r="C347" i="8" s="1"/>
  <c r="C346" i="4"/>
  <c r="B346" i="4"/>
  <c r="C346" i="8" s="1"/>
  <c r="C345" i="4"/>
  <c r="B345" i="4"/>
  <c r="C345" i="8" s="1"/>
  <c r="E345" i="8" s="1"/>
  <c r="L345" i="1" s="1"/>
  <c r="C344" i="4"/>
  <c r="B344" i="4"/>
  <c r="C344" i="8" s="1"/>
  <c r="E344" i="8" s="1"/>
  <c r="C343" i="4"/>
  <c r="B343" i="4"/>
  <c r="C343" i="8" s="1"/>
  <c r="C342" i="4"/>
  <c r="B342" i="4"/>
  <c r="C342" i="8" s="1"/>
  <c r="C341" i="4"/>
  <c r="B341" i="4"/>
  <c r="C341" i="8" s="1"/>
  <c r="E341" i="8" s="1"/>
  <c r="L341" i="1" s="1"/>
  <c r="C340" i="4"/>
  <c r="B340" i="4"/>
  <c r="C340" i="8" s="1"/>
  <c r="E340" i="8" s="1"/>
  <c r="C339" i="4"/>
  <c r="B339" i="4"/>
  <c r="C339" i="8" s="1"/>
  <c r="C338" i="4"/>
  <c r="B338" i="4"/>
  <c r="C338" i="8" s="1"/>
  <c r="C337" i="4"/>
  <c r="B337" i="4"/>
  <c r="C337" i="8" s="1"/>
  <c r="E337" i="8" s="1"/>
  <c r="L337" i="1" s="1"/>
  <c r="C336" i="4"/>
  <c r="B336" i="4"/>
  <c r="C336" i="8" s="1"/>
  <c r="E336" i="8" s="1"/>
  <c r="C335" i="4"/>
  <c r="B335" i="4"/>
  <c r="C335" i="8" s="1"/>
  <c r="C334" i="4"/>
  <c r="B334" i="4"/>
  <c r="C334" i="8" s="1"/>
  <c r="C333" i="4"/>
  <c r="B333" i="4"/>
  <c r="C333" i="8" s="1"/>
  <c r="E333" i="8" s="1"/>
  <c r="L333" i="1" s="1"/>
  <c r="C332" i="4"/>
  <c r="B332" i="4"/>
  <c r="C332" i="8" s="1"/>
  <c r="E332" i="8" s="1"/>
  <c r="C331" i="4"/>
  <c r="B331" i="4"/>
  <c r="C331" i="8" s="1"/>
  <c r="C330" i="4"/>
  <c r="B330" i="4"/>
  <c r="C330" i="8" s="1"/>
  <c r="C329" i="4"/>
  <c r="B329" i="4"/>
  <c r="C329" i="8" s="1"/>
  <c r="E329" i="8" s="1"/>
  <c r="L329" i="1" s="1"/>
  <c r="C328" i="4"/>
  <c r="B328" i="4"/>
  <c r="C328" i="8" s="1"/>
  <c r="E328" i="8" s="1"/>
  <c r="C327" i="4"/>
  <c r="B327" i="4"/>
  <c r="C327" i="8" s="1"/>
  <c r="C326" i="4"/>
  <c r="B326" i="4"/>
  <c r="C326" i="8" s="1"/>
  <c r="C325" i="4"/>
  <c r="B325" i="4"/>
  <c r="C325" i="8" s="1"/>
  <c r="E325" i="8" s="1"/>
  <c r="L325" i="1" s="1"/>
  <c r="C324" i="4"/>
  <c r="B324" i="4"/>
  <c r="C324" i="8" s="1"/>
  <c r="E324" i="8" s="1"/>
  <c r="C323" i="4"/>
  <c r="B323" i="4"/>
  <c r="C323" i="8" s="1"/>
  <c r="C322" i="4"/>
  <c r="B322" i="4"/>
  <c r="C322" i="8" s="1"/>
  <c r="C321" i="4"/>
  <c r="B321" i="4"/>
  <c r="C321" i="8" s="1"/>
  <c r="E321" i="8" s="1"/>
  <c r="C320" i="4"/>
  <c r="B320" i="4"/>
  <c r="C320" i="8" s="1"/>
  <c r="E320" i="8" s="1"/>
  <c r="C319" i="4"/>
  <c r="B319" i="4"/>
  <c r="C319" i="8" s="1"/>
  <c r="E319" i="8" s="1"/>
  <c r="L319" i="1" s="1"/>
  <c r="C318" i="4"/>
  <c r="B318" i="4"/>
  <c r="C318" i="8" s="1"/>
  <c r="C317" i="4"/>
  <c r="B317" i="4"/>
  <c r="C317" i="8" s="1"/>
  <c r="E317" i="8" s="1"/>
  <c r="L317" i="1" s="1"/>
  <c r="C316" i="4"/>
  <c r="B316" i="4"/>
  <c r="C316" i="8" s="1"/>
  <c r="E316" i="8" s="1"/>
  <c r="C315" i="4"/>
  <c r="B315" i="4"/>
  <c r="C315" i="8" s="1"/>
  <c r="C314" i="4"/>
  <c r="B314" i="4"/>
  <c r="C314" i="8" s="1"/>
  <c r="C313" i="4"/>
  <c r="B313" i="4"/>
  <c r="C313" i="8" s="1"/>
  <c r="E313" i="8" s="1"/>
  <c r="L313" i="1" s="1"/>
  <c r="C312" i="4"/>
  <c r="B312" i="4"/>
  <c r="C312" i="8" s="1"/>
  <c r="E312" i="8" s="1"/>
  <c r="C311" i="4"/>
  <c r="B311" i="4"/>
  <c r="C311" i="8" s="1"/>
  <c r="E311" i="8" s="1"/>
  <c r="L311" i="1" s="1"/>
  <c r="C310" i="4"/>
  <c r="B310" i="4"/>
  <c r="C310" i="8" s="1"/>
  <c r="C309" i="4"/>
  <c r="B309" i="4"/>
  <c r="C309" i="8" s="1"/>
  <c r="E309" i="8" s="1"/>
  <c r="L309" i="1" s="1"/>
  <c r="C308" i="4"/>
  <c r="B308" i="4"/>
  <c r="C308" i="8" s="1"/>
  <c r="E308" i="8" s="1"/>
  <c r="C307" i="4"/>
  <c r="B307" i="4"/>
  <c r="C307" i="8" s="1"/>
  <c r="C306" i="4"/>
  <c r="B306" i="4"/>
  <c r="C306" i="8" s="1"/>
  <c r="C305" i="4"/>
  <c r="B305" i="4"/>
  <c r="C305" i="8" s="1"/>
  <c r="E305" i="8" s="1"/>
  <c r="L305" i="1" s="1"/>
  <c r="C304" i="4"/>
  <c r="B304" i="4"/>
  <c r="C304" i="8" s="1"/>
  <c r="E304" i="8" s="1"/>
  <c r="C303" i="4"/>
  <c r="B303" i="4"/>
  <c r="C303" i="8" s="1"/>
  <c r="E303" i="8" s="1"/>
  <c r="L303" i="1" s="1"/>
  <c r="C302" i="4"/>
  <c r="B302" i="4"/>
  <c r="C302" i="8" s="1"/>
  <c r="C301" i="4"/>
  <c r="B301" i="4"/>
  <c r="C301" i="8" s="1"/>
  <c r="E301" i="8" s="1"/>
  <c r="L301" i="1" s="1"/>
  <c r="C300" i="4"/>
  <c r="B300" i="4"/>
  <c r="C300" i="8" s="1"/>
  <c r="E300" i="8" s="1"/>
  <c r="C299" i="4"/>
  <c r="B299" i="4"/>
  <c r="C299" i="8" s="1"/>
  <c r="C298" i="4"/>
  <c r="B298" i="4"/>
  <c r="C298" i="8" s="1"/>
  <c r="C297" i="4"/>
  <c r="B297" i="4"/>
  <c r="C297" i="8" s="1"/>
  <c r="C296" i="4"/>
  <c r="B296" i="4"/>
  <c r="C296" i="8" s="1"/>
  <c r="E296" i="8" s="1"/>
  <c r="C295" i="4"/>
  <c r="B295" i="4"/>
  <c r="C295" i="8" s="1"/>
  <c r="E295" i="8" s="1"/>
  <c r="L295" i="1" s="1"/>
  <c r="C294" i="4"/>
  <c r="B294" i="4"/>
  <c r="C294" i="8" s="1"/>
  <c r="C293" i="4"/>
  <c r="B293" i="4"/>
  <c r="C293" i="8" s="1"/>
  <c r="E293" i="8" s="1"/>
  <c r="L293" i="1" s="1"/>
  <c r="C292" i="4"/>
  <c r="B292" i="4"/>
  <c r="C292" i="8" s="1"/>
  <c r="E292" i="8" s="1"/>
  <c r="C291" i="4"/>
  <c r="B291" i="4"/>
  <c r="C291" i="8" s="1"/>
  <c r="C290" i="4"/>
  <c r="B290" i="4"/>
  <c r="C290" i="8" s="1"/>
  <c r="C289" i="4"/>
  <c r="B289" i="4"/>
  <c r="C289" i="8" s="1"/>
  <c r="C288" i="4"/>
  <c r="B288" i="4"/>
  <c r="C288" i="8" s="1"/>
  <c r="E288" i="8" s="1"/>
  <c r="C287" i="4"/>
  <c r="B287" i="4"/>
  <c r="C287" i="8" s="1"/>
  <c r="E287" i="8" s="1"/>
  <c r="L287" i="1" s="1"/>
  <c r="C286" i="4"/>
  <c r="B286" i="4"/>
  <c r="C286" i="8" s="1"/>
  <c r="C285" i="4"/>
  <c r="B285" i="4"/>
  <c r="C285" i="8" s="1"/>
  <c r="E285" i="8" s="1"/>
  <c r="L285" i="1" s="1"/>
  <c r="C284" i="4"/>
  <c r="B284" i="4"/>
  <c r="C284" i="8" s="1"/>
  <c r="E284" i="8" s="1"/>
  <c r="C283" i="4"/>
  <c r="B283" i="4"/>
  <c r="C283" i="8" s="1"/>
  <c r="C282" i="4"/>
  <c r="B282" i="4"/>
  <c r="C282" i="8" s="1"/>
  <c r="C281" i="4"/>
  <c r="B281" i="4"/>
  <c r="C281" i="8" s="1"/>
  <c r="C280" i="4"/>
  <c r="B280" i="4"/>
  <c r="C280" i="8" s="1"/>
  <c r="E280" i="8" s="1"/>
  <c r="C279" i="4"/>
  <c r="B279" i="4"/>
  <c r="C279" i="8" s="1"/>
  <c r="E279" i="8" s="1"/>
  <c r="L279" i="1" s="1"/>
  <c r="C278" i="4"/>
  <c r="B278" i="4"/>
  <c r="C278" i="8" s="1"/>
  <c r="C277" i="4"/>
  <c r="B277" i="4"/>
  <c r="C277" i="8" s="1"/>
  <c r="E277" i="8" s="1"/>
  <c r="L277" i="1" s="1"/>
  <c r="C276" i="4"/>
  <c r="B276" i="4"/>
  <c r="C276" i="8" s="1"/>
  <c r="E276" i="8" s="1"/>
  <c r="C275" i="4"/>
  <c r="B275" i="4"/>
  <c r="C275" i="8" s="1"/>
  <c r="C274" i="4"/>
  <c r="B274" i="4"/>
  <c r="C274" i="8" s="1"/>
  <c r="C273" i="4"/>
  <c r="B273" i="4"/>
  <c r="C273" i="8" s="1"/>
  <c r="E273" i="8" s="1"/>
  <c r="L273" i="1" s="1"/>
  <c r="C272" i="4"/>
  <c r="B272" i="4"/>
  <c r="C272" i="8" s="1"/>
  <c r="E272" i="8" s="1"/>
  <c r="C271" i="4"/>
  <c r="B271" i="4"/>
  <c r="C271" i="8" s="1"/>
  <c r="E271" i="8" s="1"/>
  <c r="L271" i="1" s="1"/>
  <c r="C270" i="4"/>
  <c r="B270" i="4"/>
  <c r="C270" i="8" s="1"/>
  <c r="C269" i="4"/>
  <c r="B269" i="4"/>
  <c r="C269" i="8" s="1"/>
  <c r="C268" i="4"/>
  <c r="B268" i="4"/>
  <c r="C268" i="8" s="1"/>
  <c r="E268" i="8" s="1"/>
  <c r="C267" i="4"/>
  <c r="B267" i="4"/>
  <c r="C267" i="8" s="1"/>
  <c r="E267" i="8" s="1"/>
  <c r="L267" i="1" s="1"/>
  <c r="C266" i="4"/>
  <c r="B266" i="4"/>
  <c r="C266" i="8" s="1"/>
  <c r="C265" i="4"/>
  <c r="B265" i="4"/>
  <c r="C265" i="8" s="1"/>
  <c r="E265" i="8" s="1"/>
  <c r="L265" i="1" s="1"/>
  <c r="C264" i="4"/>
  <c r="B264" i="4"/>
  <c r="C264" i="8" s="1"/>
  <c r="E264" i="8" s="1"/>
  <c r="C263" i="4"/>
  <c r="B263" i="4"/>
  <c r="C263" i="8" s="1"/>
  <c r="E263" i="8" s="1"/>
  <c r="L263" i="1" s="1"/>
  <c r="C262" i="4"/>
  <c r="B262" i="4"/>
  <c r="C262" i="8" s="1"/>
  <c r="C261" i="4"/>
  <c r="B261" i="4"/>
  <c r="C261" i="8" s="1"/>
  <c r="C260" i="4"/>
  <c r="B260" i="4"/>
  <c r="C260" i="8" s="1"/>
  <c r="E260" i="8" s="1"/>
  <c r="C259" i="4"/>
  <c r="B259" i="4"/>
  <c r="C259" i="8" s="1"/>
  <c r="E259" i="8" s="1"/>
  <c r="L259" i="1" s="1"/>
  <c r="C258" i="4"/>
  <c r="B258" i="4"/>
  <c r="C258" i="8" s="1"/>
  <c r="C257" i="4"/>
  <c r="B257" i="4"/>
  <c r="C257" i="8" s="1"/>
  <c r="E257" i="8" s="1"/>
  <c r="L257" i="1" s="1"/>
  <c r="C256" i="4"/>
  <c r="B256" i="4"/>
  <c r="C256" i="8" s="1"/>
  <c r="E256" i="8" s="1"/>
  <c r="C255" i="4"/>
  <c r="B255" i="4"/>
  <c r="C255" i="8" s="1"/>
  <c r="E255" i="8" s="1"/>
  <c r="L255" i="1" s="1"/>
  <c r="C254" i="4"/>
  <c r="B254" i="4"/>
  <c r="C254" i="8" s="1"/>
  <c r="C253" i="4"/>
  <c r="B253" i="4"/>
  <c r="C253" i="8" s="1"/>
  <c r="C252" i="4"/>
  <c r="B252" i="4"/>
  <c r="C252" i="8" s="1"/>
  <c r="E252" i="8" s="1"/>
  <c r="C251" i="4"/>
  <c r="B251" i="4"/>
  <c r="C251" i="8" s="1"/>
  <c r="E251" i="8" s="1"/>
  <c r="L251" i="1" s="1"/>
  <c r="C250" i="4"/>
  <c r="B250" i="4"/>
  <c r="C250" i="8" s="1"/>
  <c r="C249" i="4"/>
  <c r="B249" i="4"/>
  <c r="C249" i="8" s="1"/>
  <c r="E249" i="8" s="1"/>
  <c r="L249" i="1" s="1"/>
  <c r="C248" i="4"/>
  <c r="B248" i="4"/>
  <c r="C248" i="8" s="1"/>
  <c r="E248" i="8" s="1"/>
  <c r="C247" i="4"/>
  <c r="B247" i="4"/>
  <c r="C247" i="8" s="1"/>
  <c r="E247" i="8" s="1"/>
  <c r="L247" i="1" s="1"/>
  <c r="C246" i="4"/>
  <c r="B246" i="4"/>
  <c r="C246" i="8" s="1"/>
  <c r="C245" i="4"/>
  <c r="B245" i="4"/>
  <c r="C245" i="8" s="1"/>
  <c r="C244" i="4"/>
  <c r="B244" i="4"/>
  <c r="C244" i="8" s="1"/>
  <c r="E244" i="8" s="1"/>
  <c r="C243" i="4"/>
  <c r="B243" i="4"/>
  <c r="C243" i="8" s="1"/>
  <c r="E243" i="8" s="1"/>
  <c r="L243" i="1" s="1"/>
  <c r="C242" i="4"/>
  <c r="B242" i="4"/>
  <c r="C242" i="8" s="1"/>
  <c r="C241" i="4"/>
  <c r="B241" i="4"/>
  <c r="C241" i="8" s="1"/>
  <c r="E241" i="8" s="1"/>
  <c r="L241" i="1" s="1"/>
  <c r="C240" i="4"/>
  <c r="B240" i="4"/>
  <c r="C240" i="8" s="1"/>
  <c r="E240" i="8" s="1"/>
  <c r="C239" i="4"/>
  <c r="B239" i="4"/>
  <c r="C239" i="8" s="1"/>
  <c r="E239" i="8" s="1"/>
  <c r="L239" i="1" s="1"/>
  <c r="C238" i="4"/>
  <c r="B238" i="4"/>
  <c r="C238" i="8" s="1"/>
  <c r="C237" i="4"/>
  <c r="B237" i="4"/>
  <c r="C237" i="8" s="1"/>
  <c r="E237" i="8" s="1"/>
  <c r="L237" i="1" s="1"/>
  <c r="C236" i="4"/>
  <c r="B236" i="4"/>
  <c r="C236" i="8" s="1"/>
  <c r="E236" i="8" s="1"/>
  <c r="C235" i="4"/>
  <c r="B235" i="4"/>
  <c r="C235" i="8" s="1"/>
  <c r="E235" i="8" s="1"/>
  <c r="L235" i="1" s="1"/>
  <c r="C234" i="4"/>
  <c r="B234" i="4"/>
  <c r="C234" i="8" s="1"/>
  <c r="C233" i="4"/>
  <c r="B233" i="4"/>
  <c r="C233" i="8" s="1"/>
  <c r="C232" i="4"/>
  <c r="B232" i="4"/>
  <c r="C232" i="8" s="1"/>
  <c r="E232" i="8" s="1"/>
  <c r="C231" i="4"/>
  <c r="B231" i="4"/>
  <c r="C231" i="8" s="1"/>
  <c r="E231" i="8" s="1"/>
  <c r="L231" i="1" s="1"/>
  <c r="C230" i="4"/>
  <c r="B230" i="4"/>
  <c r="C230" i="8" s="1"/>
  <c r="C229" i="4"/>
  <c r="B229" i="4"/>
  <c r="C229" i="8" s="1"/>
  <c r="E229" i="8" s="1"/>
  <c r="L229" i="1" s="1"/>
  <c r="C228" i="4"/>
  <c r="B228" i="4"/>
  <c r="C228" i="8" s="1"/>
  <c r="E228" i="8" s="1"/>
  <c r="C227" i="4"/>
  <c r="B227" i="4"/>
  <c r="C227" i="8" s="1"/>
  <c r="E227" i="8" s="1"/>
  <c r="L227" i="1" s="1"/>
  <c r="C226" i="4"/>
  <c r="B226" i="4"/>
  <c r="C226" i="8" s="1"/>
  <c r="C225" i="4"/>
  <c r="B225" i="4"/>
  <c r="C225" i="8" s="1"/>
  <c r="C224" i="4"/>
  <c r="B224" i="4"/>
  <c r="C224" i="8" s="1"/>
  <c r="E224" i="8" s="1"/>
  <c r="C223" i="4"/>
  <c r="B223" i="4"/>
  <c r="C223" i="8" s="1"/>
  <c r="E223" i="8" s="1"/>
  <c r="L223" i="1" s="1"/>
  <c r="C222" i="4"/>
  <c r="B222" i="4"/>
  <c r="C222" i="8" s="1"/>
  <c r="C221" i="4"/>
  <c r="B221" i="4"/>
  <c r="C221" i="8" s="1"/>
  <c r="E221" i="8" s="1"/>
  <c r="L221" i="1" s="1"/>
  <c r="C220" i="4"/>
  <c r="B220" i="4"/>
  <c r="C220" i="8" s="1"/>
  <c r="E220" i="8" s="1"/>
  <c r="C219" i="4"/>
  <c r="B219" i="4"/>
  <c r="C219" i="8" s="1"/>
  <c r="E219" i="8" s="1"/>
  <c r="L219" i="1" s="1"/>
  <c r="C218" i="4"/>
  <c r="B218" i="4"/>
  <c r="C218" i="8" s="1"/>
  <c r="C217" i="4"/>
  <c r="B217" i="4"/>
  <c r="C217" i="8" s="1"/>
  <c r="C216" i="4"/>
  <c r="B216" i="4"/>
  <c r="C216" i="8" s="1"/>
  <c r="E216" i="8" s="1"/>
  <c r="C215" i="4"/>
  <c r="B215" i="4"/>
  <c r="C215" i="8" s="1"/>
  <c r="E215" i="8" s="1"/>
  <c r="L215" i="1" s="1"/>
  <c r="C214" i="4"/>
  <c r="B214" i="4"/>
  <c r="C214" i="8" s="1"/>
  <c r="C213" i="4"/>
  <c r="B213" i="4"/>
  <c r="C213" i="8" s="1"/>
  <c r="E213" i="8" s="1"/>
  <c r="L213" i="1" s="1"/>
  <c r="C212" i="4"/>
  <c r="B212" i="4"/>
  <c r="C212" i="8" s="1"/>
  <c r="E212" i="8" s="1"/>
  <c r="C211" i="4"/>
  <c r="B211" i="4"/>
  <c r="C211" i="8" s="1"/>
  <c r="E211" i="8" s="1"/>
  <c r="L211" i="1" s="1"/>
  <c r="C210" i="4"/>
  <c r="B210" i="4"/>
  <c r="C210" i="8" s="1"/>
  <c r="C209" i="4"/>
  <c r="B209" i="4"/>
  <c r="C209" i="8" s="1"/>
  <c r="C208" i="4"/>
  <c r="B208" i="4"/>
  <c r="C208" i="8" s="1"/>
  <c r="E208" i="8" s="1"/>
  <c r="C207" i="4"/>
  <c r="B207" i="4"/>
  <c r="C207" i="8" s="1"/>
  <c r="E207" i="8" s="1"/>
  <c r="L207" i="1" s="1"/>
  <c r="C206" i="4"/>
  <c r="B206" i="4"/>
  <c r="C206" i="8" s="1"/>
  <c r="C205" i="4"/>
  <c r="B205" i="4"/>
  <c r="C205" i="8" s="1"/>
  <c r="E205" i="8" s="1"/>
  <c r="L205" i="1" s="1"/>
  <c r="C204" i="4"/>
  <c r="B204" i="4"/>
  <c r="C204" i="8" s="1"/>
  <c r="E204" i="8" s="1"/>
  <c r="C203" i="4"/>
  <c r="B203" i="4"/>
  <c r="C203" i="8" s="1"/>
  <c r="E203" i="8" s="1"/>
  <c r="L203" i="1" s="1"/>
  <c r="C202" i="4"/>
  <c r="B202" i="4"/>
  <c r="C202" i="8" s="1"/>
  <c r="C201" i="4"/>
  <c r="B201" i="4"/>
  <c r="C201" i="8" s="1"/>
  <c r="C200" i="4"/>
  <c r="B200" i="4"/>
  <c r="C200" i="8" s="1"/>
  <c r="E200" i="8" s="1"/>
  <c r="C199" i="4"/>
  <c r="B199" i="4"/>
  <c r="C199" i="8" s="1"/>
  <c r="E199" i="8" s="1"/>
  <c r="L199" i="1" s="1"/>
  <c r="C198" i="4"/>
  <c r="B198" i="4"/>
  <c r="C198" i="8" s="1"/>
  <c r="C197" i="4"/>
  <c r="B197" i="4"/>
  <c r="C197" i="8" s="1"/>
  <c r="E197" i="8" s="1"/>
  <c r="L197" i="1" s="1"/>
  <c r="C196" i="4"/>
  <c r="B196" i="4"/>
  <c r="C196" i="8" s="1"/>
  <c r="E196" i="8" s="1"/>
  <c r="C195" i="4"/>
  <c r="B195" i="4"/>
  <c r="C195" i="8" s="1"/>
  <c r="E195" i="8" s="1"/>
  <c r="L195" i="1" s="1"/>
  <c r="C194" i="4"/>
  <c r="B194" i="4"/>
  <c r="C194" i="8" s="1"/>
  <c r="C193" i="4"/>
  <c r="B193" i="4"/>
  <c r="C193" i="8" s="1"/>
  <c r="C192" i="4"/>
  <c r="B192" i="4"/>
  <c r="C192" i="8" s="1"/>
  <c r="E192" i="8" s="1"/>
  <c r="C191" i="4"/>
  <c r="B191" i="4"/>
  <c r="C191" i="8" s="1"/>
  <c r="E191" i="8" s="1"/>
  <c r="L191" i="1" s="1"/>
  <c r="C190" i="4"/>
  <c r="B190" i="4"/>
  <c r="C190" i="8" s="1"/>
  <c r="C189" i="4"/>
  <c r="B189" i="4"/>
  <c r="C189" i="8" s="1"/>
  <c r="E189" i="8" s="1"/>
  <c r="L189" i="1" s="1"/>
  <c r="C188" i="4"/>
  <c r="B188" i="4"/>
  <c r="C188" i="8" s="1"/>
  <c r="E188" i="8" s="1"/>
  <c r="C187" i="4"/>
  <c r="B187" i="4"/>
  <c r="C187" i="8" s="1"/>
  <c r="E187" i="8" s="1"/>
  <c r="L187" i="1" s="1"/>
  <c r="C186" i="4"/>
  <c r="B186" i="4"/>
  <c r="C186" i="8" s="1"/>
  <c r="C185" i="4"/>
  <c r="B185" i="4"/>
  <c r="C185" i="8" s="1"/>
  <c r="C184" i="4"/>
  <c r="B184" i="4"/>
  <c r="C184" i="8" s="1"/>
  <c r="E184" i="8" s="1"/>
  <c r="C183" i="4"/>
  <c r="B183" i="4"/>
  <c r="C183" i="8" s="1"/>
  <c r="E183" i="8" s="1"/>
  <c r="L183" i="1" s="1"/>
  <c r="C182" i="4"/>
  <c r="B182" i="4"/>
  <c r="C182" i="8" s="1"/>
  <c r="C181" i="4"/>
  <c r="B181" i="4"/>
  <c r="C181" i="8" s="1"/>
  <c r="E181" i="8" s="1"/>
  <c r="L181" i="1" s="1"/>
  <c r="C180" i="4"/>
  <c r="B180" i="4"/>
  <c r="C180" i="8" s="1"/>
  <c r="E180" i="8" s="1"/>
  <c r="C179" i="4"/>
  <c r="B179" i="4"/>
  <c r="C179" i="8" s="1"/>
  <c r="E179" i="8" s="1"/>
  <c r="L179" i="1" s="1"/>
  <c r="C178" i="4"/>
  <c r="B178" i="4"/>
  <c r="C178" i="8" s="1"/>
  <c r="C177" i="4"/>
  <c r="B177" i="4"/>
  <c r="C177" i="8" s="1"/>
  <c r="C176" i="4"/>
  <c r="B176" i="4"/>
  <c r="C176" i="8" s="1"/>
  <c r="E176" i="8" s="1"/>
  <c r="C175" i="4"/>
  <c r="B175" i="4"/>
  <c r="C175" i="8" s="1"/>
  <c r="E175" i="8" s="1"/>
  <c r="L175" i="1" s="1"/>
  <c r="C174" i="4"/>
  <c r="B174" i="4"/>
  <c r="C174" i="8" s="1"/>
  <c r="C173" i="4"/>
  <c r="B173" i="4"/>
  <c r="C173" i="8" s="1"/>
  <c r="E173" i="8" s="1"/>
  <c r="L173" i="1" s="1"/>
  <c r="C172" i="4"/>
  <c r="B172" i="4"/>
  <c r="C172" i="8" s="1"/>
  <c r="E172" i="8" s="1"/>
  <c r="C171" i="4"/>
  <c r="B171" i="4"/>
  <c r="C171" i="8" s="1"/>
  <c r="E171" i="8" s="1"/>
  <c r="L171" i="1" s="1"/>
  <c r="C170" i="4"/>
  <c r="B170" i="4"/>
  <c r="C170" i="8" s="1"/>
  <c r="C169" i="4"/>
  <c r="B169" i="4"/>
  <c r="C169" i="8" s="1"/>
  <c r="C168" i="4"/>
  <c r="B168" i="4"/>
  <c r="C168" i="8" s="1"/>
  <c r="E168" i="8" s="1"/>
  <c r="C167" i="4"/>
  <c r="B167" i="4"/>
  <c r="C167" i="8" s="1"/>
  <c r="E167" i="8" s="1"/>
  <c r="L167" i="1" s="1"/>
  <c r="C166" i="4"/>
  <c r="B166" i="4"/>
  <c r="C166" i="8" s="1"/>
  <c r="C165" i="4"/>
  <c r="B165" i="4"/>
  <c r="C165" i="8" s="1"/>
  <c r="E165" i="8" s="1"/>
  <c r="L165" i="1" s="1"/>
  <c r="C164" i="4"/>
  <c r="B164" i="4"/>
  <c r="C164" i="8" s="1"/>
  <c r="E164" i="8" s="1"/>
  <c r="C163" i="4"/>
  <c r="B163" i="4"/>
  <c r="C163" i="8" s="1"/>
  <c r="E163" i="8" s="1"/>
  <c r="L163" i="1" s="1"/>
  <c r="C162" i="4"/>
  <c r="B162" i="4"/>
  <c r="C162" i="8" s="1"/>
  <c r="C161" i="4"/>
  <c r="B161" i="4"/>
  <c r="C161" i="8" s="1"/>
  <c r="C160" i="4"/>
  <c r="B160" i="4"/>
  <c r="C160" i="8" s="1"/>
  <c r="E160" i="8" s="1"/>
  <c r="C159" i="4"/>
  <c r="B159" i="4"/>
  <c r="C159" i="8" s="1"/>
  <c r="E159" i="8" s="1"/>
  <c r="L159" i="1" s="1"/>
  <c r="C158" i="4"/>
  <c r="B158" i="4"/>
  <c r="C158" i="8" s="1"/>
  <c r="C157" i="4"/>
  <c r="B157" i="4"/>
  <c r="C157" i="8" s="1"/>
  <c r="E157" i="8" s="1"/>
  <c r="L157" i="1" s="1"/>
  <c r="C156" i="4"/>
  <c r="B156" i="4"/>
  <c r="C156" i="8" s="1"/>
  <c r="E156" i="8" s="1"/>
  <c r="C155" i="4"/>
  <c r="B155" i="4"/>
  <c r="C155" i="8" s="1"/>
  <c r="E155" i="8" s="1"/>
  <c r="L155" i="1" s="1"/>
  <c r="C154" i="4"/>
  <c r="B154" i="4"/>
  <c r="C154" i="8" s="1"/>
  <c r="C153" i="4"/>
  <c r="B153" i="4"/>
  <c r="C153" i="8" s="1"/>
  <c r="C152" i="4"/>
  <c r="B152" i="4"/>
  <c r="C152" i="8" s="1"/>
  <c r="E152" i="8" s="1"/>
  <c r="C151" i="4"/>
  <c r="B151" i="4"/>
  <c r="C151" i="8" s="1"/>
  <c r="E151" i="8" s="1"/>
  <c r="L151" i="1" s="1"/>
  <c r="C150" i="4"/>
  <c r="B150" i="4"/>
  <c r="C150" i="8" s="1"/>
  <c r="C149" i="4"/>
  <c r="B149" i="4"/>
  <c r="C149" i="8" s="1"/>
  <c r="E149" i="8" s="1"/>
  <c r="L149" i="1" s="1"/>
  <c r="C148" i="4"/>
  <c r="B148" i="4"/>
  <c r="C148" i="8" s="1"/>
  <c r="E148" i="8" s="1"/>
  <c r="C147" i="4"/>
  <c r="B147" i="4"/>
  <c r="C147" i="8" s="1"/>
  <c r="E147" i="8" s="1"/>
  <c r="L147" i="1" s="1"/>
  <c r="C146" i="4"/>
  <c r="B146" i="4"/>
  <c r="C146" i="8" s="1"/>
  <c r="C145" i="4"/>
  <c r="B145" i="4"/>
  <c r="C145" i="8" s="1"/>
  <c r="C144" i="4"/>
  <c r="B144" i="4"/>
  <c r="C144" i="8" s="1"/>
  <c r="E144" i="8" s="1"/>
  <c r="C143" i="4"/>
  <c r="B143" i="4"/>
  <c r="C143" i="8" s="1"/>
  <c r="E143" i="8" s="1"/>
  <c r="L143" i="1" s="1"/>
  <c r="C142" i="4"/>
  <c r="B142" i="4"/>
  <c r="C142" i="8" s="1"/>
  <c r="C141" i="4"/>
  <c r="B141" i="4"/>
  <c r="C141" i="8" s="1"/>
  <c r="E141" i="8" s="1"/>
  <c r="L141" i="1" s="1"/>
  <c r="C140" i="4"/>
  <c r="B140" i="4"/>
  <c r="C140" i="8" s="1"/>
  <c r="E140" i="8" s="1"/>
  <c r="C139" i="4"/>
  <c r="B139" i="4"/>
  <c r="C139" i="8" s="1"/>
  <c r="E139" i="8" s="1"/>
  <c r="L139" i="1" s="1"/>
  <c r="C138" i="4"/>
  <c r="B138" i="4"/>
  <c r="C138" i="8" s="1"/>
  <c r="C137" i="4"/>
  <c r="B137" i="4"/>
  <c r="C137" i="8" s="1"/>
  <c r="C136" i="4"/>
  <c r="B136" i="4"/>
  <c r="C136" i="8" s="1"/>
  <c r="E136" i="8" s="1"/>
  <c r="C135" i="4"/>
  <c r="B135" i="4"/>
  <c r="C135" i="8" s="1"/>
  <c r="E135" i="8" s="1"/>
  <c r="L135" i="1" s="1"/>
  <c r="C134" i="4"/>
  <c r="B134" i="4"/>
  <c r="C134" i="8" s="1"/>
  <c r="C133" i="4"/>
  <c r="B133" i="4"/>
  <c r="C133" i="8" s="1"/>
  <c r="E133" i="8" s="1"/>
  <c r="L133" i="1" s="1"/>
  <c r="C132" i="4"/>
  <c r="B132" i="4"/>
  <c r="C132" i="8" s="1"/>
  <c r="E132" i="8" s="1"/>
  <c r="C131" i="4"/>
  <c r="B131" i="4"/>
  <c r="C131" i="8" s="1"/>
  <c r="E131" i="8" s="1"/>
  <c r="L131" i="1" s="1"/>
  <c r="C130" i="4"/>
  <c r="B130" i="4"/>
  <c r="C130" i="8" s="1"/>
  <c r="C129" i="4"/>
  <c r="B129" i="4"/>
  <c r="C129" i="8" s="1"/>
  <c r="C128" i="4"/>
  <c r="B128" i="4"/>
  <c r="C128" i="8" s="1"/>
  <c r="E128" i="8" s="1"/>
  <c r="C127" i="4"/>
  <c r="B127" i="4"/>
  <c r="C127" i="8" s="1"/>
  <c r="E127" i="8" s="1"/>
  <c r="L127" i="1" s="1"/>
  <c r="C126" i="4"/>
  <c r="B126" i="4"/>
  <c r="C126" i="8" s="1"/>
  <c r="C125" i="4"/>
  <c r="B125" i="4"/>
  <c r="C125" i="8" s="1"/>
  <c r="E125" i="8" s="1"/>
  <c r="L125" i="1" s="1"/>
  <c r="C124" i="4"/>
  <c r="B124" i="4"/>
  <c r="C124" i="8" s="1"/>
  <c r="E124" i="8" s="1"/>
  <c r="C123" i="4"/>
  <c r="B123" i="4"/>
  <c r="C123" i="8" s="1"/>
  <c r="E123" i="8" s="1"/>
  <c r="L123" i="1" s="1"/>
  <c r="C122" i="4"/>
  <c r="B122" i="4"/>
  <c r="C122" i="8" s="1"/>
  <c r="C121" i="4"/>
  <c r="B121" i="4"/>
  <c r="C121" i="8" s="1"/>
  <c r="C120" i="4"/>
  <c r="B120" i="4"/>
  <c r="C120" i="8" s="1"/>
  <c r="E120" i="8" s="1"/>
  <c r="C119" i="4"/>
  <c r="B119" i="4"/>
  <c r="C119" i="8" s="1"/>
  <c r="E119" i="8" s="1"/>
  <c r="L119" i="1" s="1"/>
  <c r="C118" i="4"/>
  <c r="B118" i="4"/>
  <c r="C118" i="8" s="1"/>
  <c r="C117" i="4"/>
  <c r="B117" i="4"/>
  <c r="C117" i="8" s="1"/>
  <c r="E117" i="8" s="1"/>
  <c r="L117" i="1" s="1"/>
  <c r="C116" i="4"/>
  <c r="B116" i="4"/>
  <c r="C116" i="8" s="1"/>
  <c r="E116" i="8" s="1"/>
  <c r="C115" i="4"/>
  <c r="B115" i="4"/>
  <c r="C115" i="8" s="1"/>
  <c r="E115" i="8" s="1"/>
  <c r="L115" i="1" s="1"/>
  <c r="C114" i="4"/>
  <c r="B114" i="4"/>
  <c r="C114" i="8" s="1"/>
  <c r="C113" i="4"/>
  <c r="B113" i="4"/>
  <c r="C113" i="8" s="1"/>
  <c r="E113" i="8" s="1"/>
  <c r="L113" i="1" s="1"/>
  <c r="C112" i="4"/>
  <c r="B112" i="4"/>
  <c r="C112" i="8" s="1"/>
  <c r="E112" i="8" s="1"/>
  <c r="C111" i="4"/>
  <c r="B111" i="4"/>
  <c r="C111" i="8" s="1"/>
  <c r="E111" i="8" s="1"/>
  <c r="L111" i="1" s="1"/>
  <c r="C110" i="4"/>
  <c r="B110" i="4"/>
  <c r="C110" i="8" s="1"/>
  <c r="C109" i="4"/>
  <c r="B109" i="4"/>
  <c r="C109" i="8" s="1"/>
  <c r="E109" i="8" s="1"/>
  <c r="L109" i="1" s="1"/>
  <c r="C108" i="4"/>
  <c r="B108" i="4"/>
  <c r="C108" i="8" s="1"/>
  <c r="E108" i="8" s="1"/>
  <c r="C107" i="4"/>
  <c r="B107" i="4"/>
  <c r="C107" i="8" s="1"/>
  <c r="E107" i="8" s="1"/>
  <c r="L107" i="1" s="1"/>
  <c r="C106" i="4"/>
  <c r="B106" i="4"/>
  <c r="C106" i="8" s="1"/>
  <c r="C105" i="4"/>
  <c r="B105" i="4"/>
  <c r="C105" i="8" s="1"/>
  <c r="E105" i="8" s="1"/>
  <c r="L105" i="1" s="1"/>
  <c r="C104" i="4"/>
  <c r="B104" i="4"/>
  <c r="C104" i="8" s="1"/>
  <c r="E104" i="8" s="1"/>
  <c r="C103" i="4"/>
  <c r="B103" i="4"/>
  <c r="C103" i="8" s="1"/>
  <c r="E103" i="8" s="1"/>
  <c r="L103" i="1" s="1"/>
  <c r="C102" i="4"/>
  <c r="B102" i="4"/>
  <c r="C102" i="8" s="1"/>
  <c r="C101" i="4"/>
  <c r="B101" i="4"/>
  <c r="C101" i="8" s="1"/>
  <c r="E101" i="8" s="1"/>
  <c r="L101" i="1" s="1"/>
  <c r="C100" i="4"/>
  <c r="B100" i="4"/>
  <c r="C100" i="8" s="1"/>
  <c r="E100" i="8" s="1"/>
  <c r="C99" i="4"/>
  <c r="B99" i="4"/>
  <c r="C99" i="8" s="1"/>
  <c r="E99" i="8" s="1"/>
  <c r="L99" i="1" s="1"/>
  <c r="C98" i="4"/>
  <c r="B98" i="4"/>
  <c r="C98" i="8" s="1"/>
  <c r="C97" i="4"/>
  <c r="B97" i="4"/>
  <c r="C97" i="8" s="1"/>
  <c r="E97" i="8" s="1"/>
  <c r="L97" i="1" s="1"/>
  <c r="C96" i="4"/>
  <c r="B96" i="4"/>
  <c r="C96" i="8" s="1"/>
  <c r="E96" i="8" s="1"/>
  <c r="C95" i="4"/>
  <c r="B95" i="4"/>
  <c r="C95" i="8" s="1"/>
  <c r="E95" i="8" s="1"/>
  <c r="L95" i="1" s="1"/>
  <c r="C94" i="4"/>
  <c r="B94" i="4"/>
  <c r="C94" i="8" s="1"/>
  <c r="C93" i="4"/>
  <c r="B93" i="4"/>
  <c r="C93" i="8" s="1"/>
  <c r="E93" i="8" s="1"/>
  <c r="L93" i="1" s="1"/>
  <c r="C92" i="4"/>
  <c r="B92" i="4"/>
  <c r="C92" i="8" s="1"/>
  <c r="E92" i="8" s="1"/>
  <c r="C91" i="4"/>
  <c r="B91" i="4"/>
  <c r="C91" i="8" s="1"/>
  <c r="E91" i="8" s="1"/>
  <c r="L91" i="1" s="1"/>
  <c r="C90" i="4"/>
  <c r="B90" i="4"/>
  <c r="C90" i="8" s="1"/>
  <c r="C89" i="4"/>
  <c r="B89" i="4"/>
  <c r="C89" i="8" s="1"/>
  <c r="E89" i="8" s="1"/>
  <c r="L89" i="1" s="1"/>
  <c r="C88" i="4"/>
  <c r="B88" i="4"/>
  <c r="C88" i="8" s="1"/>
  <c r="E88" i="8" s="1"/>
  <c r="C87" i="4"/>
  <c r="B87" i="4"/>
  <c r="C87" i="8" s="1"/>
  <c r="E87" i="8" s="1"/>
  <c r="L87" i="1" s="1"/>
  <c r="C86" i="4"/>
  <c r="B86" i="4"/>
  <c r="C86" i="8" s="1"/>
  <c r="C85" i="4"/>
  <c r="B85" i="4"/>
  <c r="C85" i="8" s="1"/>
  <c r="E85" i="8" s="1"/>
  <c r="L85" i="1" s="1"/>
  <c r="C84" i="4"/>
  <c r="B84" i="4"/>
  <c r="C84" i="8" s="1"/>
  <c r="E84" i="8" s="1"/>
  <c r="C83" i="4"/>
  <c r="B83" i="4"/>
  <c r="C83" i="8" s="1"/>
  <c r="E83" i="8" s="1"/>
  <c r="L83" i="1" s="1"/>
  <c r="C82" i="4"/>
  <c r="B82" i="4"/>
  <c r="C82" i="8" s="1"/>
  <c r="C81" i="4"/>
  <c r="B81" i="4"/>
  <c r="C81" i="8" s="1"/>
  <c r="C80" i="4"/>
  <c r="B80" i="4"/>
  <c r="C80" i="8" s="1"/>
  <c r="E80" i="8" s="1"/>
  <c r="C79" i="4"/>
  <c r="B79" i="4"/>
  <c r="C79" i="8" s="1"/>
  <c r="C78" i="4"/>
  <c r="B78" i="4"/>
  <c r="C78" i="8" s="1"/>
  <c r="C77" i="4"/>
  <c r="B77" i="4"/>
  <c r="C77" i="8" s="1"/>
  <c r="E77" i="8" s="1"/>
  <c r="L77" i="1" s="1"/>
  <c r="C76" i="4"/>
  <c r="B76" i="4"/>
  <c r="C76" i="8" s="1"/>
  <c r="E76" i="8" s="1"/>
  <c r="C75" i="4"/>
  <c r="B75" i="4"/>
  <c r="C75" i="8" s="1"/>
  <c r="E75" i="8" s="1"/>
  <c r="L75" i="1" s="1"/>
  <c r="C74" i="4"/>
  <c r="B74" i="4"/>
  <c r="C74" i="8" s="1"/>
  <c r="C73" i="4"/>
  <c r="B73" i="4"/>
  <c r="C73" i="8" s="1"/>
  <c r="C72" i="4"/>
  <c r="B72" i="4"/>
  <c r="C72" i="8" s="1"/>
  <c r="E72" i="8" s="1"/>
  <c r="C71" i="4"/>
  <c r="B71" i="4"/>
  <c r="C71" i="8" s="1"/>
  <c r="C70" i="4"/>
  <c r="B70" i="4"/>
  <c r="C70" i="8" s="1"/>
  <c r="C69" i="4"/>
  <c r="B69" i="4"/>
  <c r="C69" i="8" s="1"/>
  <c r="E69" i="8" s="1"/>
  <c r="L69" i="1" s="1"/>
  <c r="C68" i="4"/>
  <c r="B68" i="4"/>
  <c r="C68" i="8" s="1"/>
  <c r="E68" i="8" s="1"/>
  <c r="C67" i="4"/>
  <c r="B67" i="4"/>
  <c r="C67" i="8" s="1"/>
  <c r="E67" i="8" s="1"/>
  <c r="L67" i="1" s="1"/>
  <c r="C66" i="4"/>
  <c r="B66" i="4"/>
  <c r="C66" i="8" s="1"/>
  <c r="C65" i="4"/>
  <c r="B65" i="4"/>
  <c r="C65" i="8" s="1"/>
  <c r="C64" i="4"/>
  <c r="B64" i="4"/>
  <c r="C64" i="8" s="1"/>
  <c r="E64" i="8" s="1"/>
  <c r="C63" i="4"/>
  <c r="B63" i="4"/>
  <c r="C63" i="8" s="1"/>
  <c r="C62" i="4"/>
  <c r="B62" i="4"/>
  <c r="C62" i="8" s="1"/>
  <c r="C61" i="4"/>
  <c r="B61" i="4"/>
  <c r="C61" i="8" s="1"/>
  <c r="E61" i="8" s="1"/>
  <c r="L61" i="1" s="1"/>
  <c r="C60" i="4"/>
  <c r="B60" i="4"/>
  <c r="C60" i="8" s="1"/>
  <c r="E60" i="8" s="1"/>
  <c r="C59" i="4"/>
  <c r="B59" i="4"/>
  <c r="C59" i="8" s="1"/>
  <c r="E59" i="8" s="1"/>
  <c r="L59" i="1" s="1"/>
  <c r="C58" i="4"/>
  <c r="B58" i="4"/>
  <c r="C58" i="8" s="1"/>
  <c r="C57" i="4"/>
  <c r="B57" i="4"/>
  <c r="C57" i="8" s="1"/>
  <c r="C56" i="4"/>
  <c r="B56" i="4"/>
  <c r="C56" i="8" s="1"/>
  <c r="C55" i="4"/>
  <c r="B55" i="4"/>
  <c r="C55" i="8" s="1"/>
  <c r="E55" i="8" s="1"/>
  <c r="L55" i="1" s="1"/>
  <c r="C54" i="4"/>
  <c r="B54" i="4"/>
  <c r="C54" i="8" s="1"/>
  <c r="C53" i="4"/>
  <c r="B53" i="4"/>
  <c r="C53" i="8" s="1"/>
  <c r="C52" i="4"/>
  <c r="B52" i="4"/>
  <c r="C52" i="8" s="1"/>
  <c r="C51" i="4"/>
  <c r="B51" i="4"/>
  <c r="C51" i="8" s="1"/>
  <c r="E51" i="8" s="1"/>
  <c r="L51" i="1" s="1"/>
  <c r="C50" i="4"/>
  <c r="B50" i="4"/>
  <c r="C50" i="8" s="1"/>
  <c r="C49" i="4"/>
  <c r="B49" i="4"/>
  <c r="C49" i="8" s="1"/>
  <c r="C48" i="4"/>
  <c r="B48" i="4"/>
  <c r="C48" i="8" s="1"/>
  <c r="C47" i="4"/>
  <c r="B47" i="4"/>
  <c r="C47" i="8" s="1"/>
  <c r="E47" i="8" s="1"/>
  <c r="L47" i="1" s="1"/>
  <c r="C46" i="4"/>
  <c r="B46" i="4"/>
  <c r="C46" i="8" s="1"/>
  <c r="C45" i="4"/>
  <c r="B45" i="4"/>
  <c r="C45" i="8" s="1"/>
  <c r="C44" i="4"/>
  <c r="B44" i="4"/>
  <c r="C44" i="8" s="1"/>
  <c r="C43" i="4"/>
  <c r="B43" i="4"/>
  <c r="C43" i="8" s="1"/>
  <c r="E43" i="8" s="1"/>
  <c r="L43" i="1" s="1"/>
  <c r="C42" i="4"/>
  <c r="B42" i="4"/>
  <c r="C42" i="8" s="1"/>
  <c r="C41" i="4"/>
  <c r="B41" i="4"/>
  <c r="C41" i="8" s="1"/>
  <c r="C40" i="4"/>
  <c r="B40" i="4"/>
  <c r="C40" i="8" s="1"/>
  <c r="C39" i="4"/>
  <c r="B39" i="4"/>
  <c r="C39" i="8" s="1"/>
  <c r="E39" i="8" s="1"/>
  <c r="L39" i="1" s="1"/>
  <c r="C38" i="4"/>
  <c r="B38" i="4"/>
  <c r="C38" i="8" s="1"/>
  <c r="C37" i="4"/>
  <c r="B37" i="4"/>
  <c r="C37" i="8" s="1"/>
  <c r="C36" i="4"/>
  <c r="B36" i="4"/>
  <c r="C36" i="8" s="1"/>
  <c r="C35" i="4"/>
  <c r="B35" i="4"/>
  <c r="C35" i="8" s="1"/>
  <c r="E35" i="8" s="1"/>
  <c r="L35" i="1" s="1"/>
  <c r="C34" i="4"/>
  <c r="B34" i="4"/>
  <c r="C34" i="8" s="1"/>
  <c r="C33" i="4"/>
  <c r="B33" i="4"/>
  <c r="C33" i="8" s="1"/>
  <c r="C32" i="4"/>
  <c r="B32" i="4"/>
  <c r="C32" i="8" s="1"/>
  <c r="C31" i="4"/>
  <c r="B31" i="4"/>
  <c r="C31" i="8" s="1"/>
  <c r="E31" i="8" s="1"/>
  <c r="L31" i="1" s="1"/>
  <c r="C30" i="4"/>
  <c r="B30" i="4"/>
  <c r="C30" i="8" s="1"/>
  <c r="C29" i="4"/>
  <c r="B29" i="4"/>
  <c r="C29" i="8" s="1"/>
  <c r="C28" i="4"/>
  <c r="B28" i="4"/>
  <c r="C28" i="8" s="1"/>
  <c r="C27" i="4"/>
  <c r="B27" i="4"/>
  <c r="C27" i="8" s="1"/>
  <c r="E27" i="8" s="1"/>
  <c r="L27" i="1" s="1"/>
  <c r="C26" i="4"/>
  <c r="B26" i="4"/>
  <c r="C26" i="8" s="1"/>
  <c r="C25" i="4"/>
  <c r="B25" i="4"/>
  <c r="C25" i="8" s="1"/>
  <c r="C24" i="4"/>
  <c r="B24" i="4"/>
  <c r="C24" i="8" s="1"/>
  <c r="C23" i="4"/>
  <c r="B23" i="4"/>
  <c r="C23" i="8" s="1"/>
  <c r="E23" i="8" s="1"/>
  <c r="L23" i="1" s="1"/>
  <c r="C22" i="4"/>
  <c r="B22" i="4"/>
  <c r="C22" i="8" s="1"/>
  <c r="C21" i="4"/>
  <c r="B21" i="4"/>
  <c r="C21" i="8" s="1"/>
  <c r="C20" i="4"/>
  <c r="B20" i="4"/>
  <c r="C20" i="8" s="1"/>
  <c r="C19" i="4"/>
  <c r="B19" i="4"/>
  <c r="C19" i="8" s="1"/>
  <c r="E19" i="8" s="1"/>
  <c r="L19" i="1" s="1"/>
  <c r="C18" i="4"/>
  <c r="B18" i="4"/>
  <c r="C18" i="8" s="1"/>
  <c r="C17" i="4"/>
  <c r="B17" i="4"/>
  <c r="C17" i="8" s="1"/>
  <c r="C16" i="4"/>
  <c r="B16" i="4"/>
  <c r="C16" i="8" s="1"/>
  <c r="C15" i="4"/>
  <c r="B15" i="4"/>
  <c r="C15" i="8" s="1"/>
  <c r="E15" i="8" s="1"/>
  <c r="L15" i="1" s="1"/>
  <c r="C14" i="4"/>
  <c r="B14" i="4"/>
  <c r="C14" i="8" s="1"/>
  <c r="C13" i="4"/>
  <c r="B13" i="4"/>
  <c r="C13" i="8" s="1"/>
  <c r="C12" i="4"/>
  <c r="B12" i="4"/>
  <c r="C12" i="8" s="1"/>
  <c r="C11" i="4"/>
  <c r="B11" i="4"/>
  <c r="C11" i="8" s="1"/>
  <c r="E11" i="8" s="1"/>
  <c r="L11" i="1" s="1"/>
  <c r="C10" i="4"/>
  <c r="B10" i="4"/>
  <c r="C10" i="8" s="1"/>
  <c r="C9" i="4"/>
  <c r="B9" i="4"/>
  <c r="C9" i="8" s="1"/>
  <c r="C8" i="4"/>
  <c r="B8" i="4"/>
  <c r="C8" i="8" s="1"/>
  <c r="C7" i="4"/>
  <c r="B7" i="4"/>
  <c r="C7" i="8" s="1"/>
  <c r="E7" i="8" s="1"/>
  <c r="L7" i="1" s="1"/>
  <c r="C6" i="4"/>
  <c r="B6" i="4"/>
  <c r="C6" i="8" s="1"/>
  <c r="C5" i="4"/>
  <c r="B5" i="4"/>
  <c r="C5" i="8" s="1"/>
  <c r="C4" i="4"/>
  <c r="B4" i="4"/>
  <c r="C4" i="8" s="1"/>
  <c r="C3" i="4"/>
  <c r="B3" i="4"/>
  <c r="C3" i="8" s="1"/>
  <c r="E3" i="8" s="1"/>
  <c r="C2" i="4"/>
  <c r="B2" i="4"/>
  <c r="C2" i="8" s="1"/>
  <c r="K901" i="1"/>
  <c r="J901" i="1"/>
  <c r="H901" i="1"/>
  <c r="I901" i="1" s="1"/>
  <c r="G901" i="1"/>
  <c r="K900" i="1"/>
  <c r="J900" i="1"/>
  <c r="G900" i="1"/>
  <c r="K899" i="1"/>
  <c r="J899" i="1"/>
  <c r="H899" i="1"/>
  <c r="G899" i="1"/>
  <c r="K898" i="1"/>
  <c r="J898" i="1"/>
  <c r="G898" i="1"/>
  <c r="K897" i="1"/>
  <c r="J897" i="1"/>
  <c r="H897" i="1"/>
  <c r="I897" i="1" s="1"/>
  <c r="G897" i="1"/>
  <c r="K896" i="1"/>
  <c r="J896" i="1"/>
  <c r="G896" i="1"/>
  <c r="K895" i="1"/>
  <c r="J895" i="1"/>
  <c r="H895" i="1"/>
  <c r="G895" i="1"/>
  <c r="K894" i="1"/>
  <c r="J894" i="1"/>
  <c r="G894" i="1"/>
  <c r="K893" i="1"/>
  <c r="J893" i="1"/>
  <c r="G893" i="1"/>
  <c r="I893" i="1" s="1"/>
  <c r="K892" i="1"/>
  <c r="J892" i="1"/>
  <c r="G892" i="1"/>
  <c r="K891" i="1"/>
  <c r="J891" i="1"/>
  <c r="G891" i="1"/>
  <c r="K890" i="1"/>
  <c r="J890" i="1"/>
  <c r="G890" i="1"/>
  <c r="K889" i="1"/>
  <c r="J889" i="1"/>
  <c r="H889" i="1"/>
  <c r="G889" i="1"/>
  <c r="K888" i="1"/>
  <c r="J888" i="1"/>
  <c r="G888" i="1"/>
  <c r="K887" i="1"/>
  <c r="J887" i="1"/>
  <c r="H887" i="1"/>
  <c r="G887" i="1"/>
  <c r="K886" i="1"/>
  <c r="J886" i="1"/>
  <c r="G886" i="1"/>
  <c r="K885" i="1"/>
  <c r="J885" i="1"/>
  <c r="H885" i="1"/>
  <c r="G885" i="1"/>
  <c r="K884" i="1"/>
  <c r="J884" i="1"/>
  <c r="G884" i="1"/>
  <c r="K883" i="1"/>
  <c r="J883" i="1"/>
  <c r="H883" i="1"/>
  <c r="G883" i="1"/>
  <c r="K882" i="1"/>
  <c r="J882" i="1"/>
  <c r="G882" i="1"/>
  <c r="K881" i="1"/>
  <c r="J881" i="1"/>
  <c r="H881" i="1"/>
  <c r="G881" i="1"/>
  <c r="K880" i="1"/>
  <c r="J880" i="1"/>
  <c r="G880" i="1"/>
  <c r="K879" i="1"/>
  <c r="J879" i="1"/>
  <c r="H879" i="1"/>
  <c r="G879" i="1"/>
  <c r="K878" i="1"/>
  <c r="J878" i="1"/>
  <c r="G878" i="1"/>
  <c r="K877" i="1"/>
  <c r="J877" i="1"/>
  <c r="G877" i="1"/>
  <c r="K876" i="1"/>
  <c r="J876" i="1"/>
  <c r="G876" i="1"/>
  <c r="K875" i="1"/>
  <c r="J875" i="1"/>
  <c r="I875" i="1"/>
  <c r="G875" i="1"/>
  <c r="K874" i="1"/>
  <c r="J874" i="1"/>
  <c r="G874" i="1"/>
  <c r="K873" i="1"/>
  <c r="J873" i="1"/>
  <c r="H873" i="1"/>
  <c r="G873" i="1"/>
  <c r="K872" i="1"/>
  <c r="J872" i="1"/>
  <c r="G872" i="1"/>
  <c r="K871" i="1"/>
  <c r="J871" i="1"/>
  <c r="H871" i="1"/>
  <c r="I871" i="1" s="1"/>
  <c r="G871" i="1"/>
  <c r="K870" i="1"/>
  <c r="J870" i="1"/>
  <c r="G870" i="1"/>
  <c r="K869" i="1"/>
  <c r="J869" i="1"/>
  <c r="H869" i="1"/>
  <c r="G869" i="1"/>
  <c r="K868" i="1"/>
  <c r="J868" i="1"/>
  <c r="G868" i="1"/>
  <c r="K867" i="1"/>
  <c r="J867" i="1"/>
  <c r="H867" i="1"/>
  <c r="I867" i="1" s="1"/>
  <c r="G867" i="1"/>
  <c r="K866" i="1"/>
  <c r="J866" i="1"/>
  <c r="G866" i="1"/>
  <c r="K865" i="1"/>
  <c r="J865" i="1"/>
  <c r="H865" i="1"/>
  <c r="G865" i="1"/>
  <c r="K864" i="1"/>
  <c r="J864" i="1"/>
  <c r="G864" i="1"/>
  <c r="K863" i="1"/>
  <c r="J863" i="1"/>
  <c r="H863" i="1"/>
  <c r="I863" i="1" s="1"/>
  <c r="G863" i="1"/>
  <c r="K862" i="1"/>
  <c r="J862" i="1"/>
  <c r="G862" i="1"/>
  <c r="K861" i="1"/>
  <c r="J861" i="1"/>
  <c r="G861" i="1"/>
  <c r="K860" i="1"/>
  <c r="J860" i="1"/>
  <c r="G860" i="1"/>
  <c r="K859" i="1"/>
  <c r="J859" i="1"/>
  <c r="G859" i="1"/>
  <c r="K858" i="1"/>
  <c r="J858" i="1"/>
  <c r="G858" i="1"/>
  <c r="K857" i="1"/>
  <c r="J857" i="1"/>
  <c r="H857" i="1"/>
  <c r="G857" i="1"/>
  <c r="K856" i="1"/>
  <c r="J856" i="1"/>
  <c r="G856" i="1"/>
  <c r="K855" i="1"/>
  <c r="J855" i="1"/>
  <c r="H855" i="1"/>
  <c r="G855" i="1"/>
  <c r="K854" i="1"/>
  <c r="J854" i="1"/>
  <c r="G854" i="1"/>
  <c r="K853" i="1"/>
  <c r="J853" i="1"/>
  <c r="H853" i="1"/>
  <c r="G853" i="1"/>
  <c r="K852" i="1"/>
  <c r="J852" i="1"/>
  <c r="G852" i="1"/>
  <c r="K851" i="1"/>
  <c r="J851" i="1"/>
  <c r="H851" i="1"/>
  <c r="G851" i="1"/>
  <c r="K850" i="1"/>
  <c r="J850" i="1"/>
  <c r="G850" i="1"/>
  <c r="K849" i="1"/>
  <c r="J849" i="1"/>
  <c r="H849" i="1"/>
  <c r="G849" i="1"/>
  <c r="K848" i="1"/>
  <c r="J848" i="1"/>
  <c r="G848" i="1"/>
  <c r="K847" i="1"/>
  <c r="J847" i="1"/>
  <c r="H847" i="1"/>
  <c r="G847" i="1"/>
  <c r="K846" i="1"/>
  <c r="J846" i="1"/>
  <c r="G846" i="1"/>
  <c r="K845" i="1"/>
  <c r="J845" i="1"/>
  <c r="G845" i="1"/>
  <c r="I845" i="1" s="1"/>
  <c r="K844" i="1"/>
  <c r="J844" i="1"/>
  <c r="G844" i="1"/>
  <c r="K843" i="1"/>
  <c r="J843" i="1"/>
  <c r="I843" i="1"/>
  <c r="G843" i="1"/>
  <c r="K842" i="1"/>
  <c r="J842" i="1"/>
  <c r="G842" i="1"/>
  <c r="K841" i="1"/>
  <c r="J841" i="1"/>
  <c r="H841" i="1"/>
  <c r="G841" i="1"/>
  <c r="I841" i="1" s="1"/>
  <c r="K840" i="1"/>
  <c r="J840" i="1"/>
  <c r="G840" i="1"/>
  <c r="K839" i="1"/>
  <c r="J839" i="1"/>
  <c r="H839" i="1"/>
  <c r="I839" i="1" s="1"/>
  <c r="G839" i="1"/>
  <c r="K838" i="1"/>
  <c r="J838" i="1"/>
  <c r="G838" i="1"/>
  <c r="K837" i="1"/>
  <c r="J837" i="1"/>
  <c r="H837" i="1"/>
  <c r="G837" i="1"/>
  <c r="I837" i="1" s="1"/>
  <c r="K836" i="1"/>
  <c r="J836" i="1"/>
  <c r="G836" i="1"/>
  <c r="K835" i="1"/>
  <c r="J835" i="1"/>
  <c r="H835" i="1"/>
  <c r="I835" i="1" s="1"/>
  <c r="G835" i="1"/>
  <c r="K834" i="1"/>
  <c r="J834" i="1"/>
  <c r="G834" i="1"/>
  <c r="K833" i="1"/>
  <c r="J833" i="1"/>
  <c r="H833" i="1"/>
  <c r="G833" i="1"/>
  <c r="K832" i="1"/>
  <c r="J832" i="1"/>
  <c r="G832" i="1"/>
  <c r="K831" i="1"/>
  <c r="J831" i="1"/>
  <c r="H831" i="1"/>
  <c r="I831" i="1" s="1"/>
  <c r="G831" i="1"/>
  <c r="K830" i="1"/>
  <c r="J830" i="1"/>
  <c r="G830" i="1"/>
  <c r="K829" i="1"/>
  <c r="J829" i="1"/>
  <c r="G829" i="1"/>
  <c r="K828" i="1"/>
  <c r="J828" i="1"/>
  <c r="G828" i="1"/>
  <c r="K827" i="1"/>
  <c r="J827" i="1"/>
  <c r="G827" i="1"/>
  <c r="I827" i="1" s="1"/>
  <c r="K826" i="1"/>
  <c r="J826" i="1"/>
  <c r="G826" i="1"/>
  <c r="K825" i="1"/>
  <c r="J825" i="1"/>
  <c r="H825" i="1"/>
  <c r="G825" i="1"/>
  <c r="I825" i="1" s="1"/>
  <c r="K824" i="1"/>
  <c r="J824" i="1"/>
  <c r="G824" i="1"/>
  <c r="K823" i="1"/>
  <c r="J823" i="1"/>
  <c r="H823" i="1"/>
  <c r="G823" i="1"/>
  <c r="K822" i="1"/>
  <c r="J822" i="1"/>
  <c r="G822" i="1"/>
  <c r="K821" i="1"/>
  <c r="J821" i="1"/>
  <c r="H821" i="1"/>
  <c r="G821" i="1"/>
  <c r="I821" i="1" s="1"/>
  <c r="K820" i="1"/>
  <c r="J820" i="1"/>
  <c r="G820" i="1"/>
  <c r="K819" i="1"/>
  <c r="J819" i="1"/>
  <c r="H819" i="1"/>
  <c r="G819" i="1"/>
  <c r="K818" i="1"/>
  <c r="J818" i="1"/>
  <c r="G818" i="1"/>
  <c r="K817" i="1"/>
  <c r="J817" i="1"/>
  <c r="H817" i="1"/>
  <c r="G817" i="1"/>
  <c r="I817" i="1" s="1"/>
  <c r="K816" i="1"/>
  <c r="J816" i="1"/>
  <c r="G816" i="1"/>
  <c r="K815" i="1"/>
  <c r="J815" i="1"/>
  <c r="H815" i="1"/>
  <c r="G815" i="1"/>
  <c r="K814" i="1"/>
  <c r="J814" i="1"/>
  <c r="G814" i="1"/>
  <c r="K813" i="1"/>
  <c r="J813" i="1"/>
  <c r="I813" i="1" s="1"/>
  <c r="G813" i="1"/>
  <c r="K812" i="1"/>
  <c r="J812" i="1"/>
  <c r="G812" i="1"/>
  <c r="K811" i="1"/>
  <c r="J811" i="1"/>
  <c r="G811" i="1"/>
  <c r="I811" i="1" s="1"/>
  <c r="K810" i="1"/>
  <c r="J810" i="1"/>
  <c r="G810" i="1"/>
  <c r="K809" i="1"/>
  <c r="J809" i="1"/>
  <c r="H809" i="1"/>
  <c r="G809" i="1"/>
  <c r="I809" i="1" s="1"/>
  <c r="K808" i="1"/>
  <c r="J808" i="1"/>
  <c r="G808" i="1"/>
  <c r="K807" i="1"/>
  <c r="J807" i="1"/>
  <c r="H807" i="1"/>
  <c r="G807" i="1"/>
  <c r="K806" i="1"/>
  <c r="J806" i="1"/>
  <c r="G806" i="1"/>
  <c r="K805" i="1"/>
  <c r="J805" i="1"/>
  <c r="H805" i="1"/>
  <c r="I805" i="1" s="1"/>
  <c r="G805" i="1"/>
  <c r="K804" i="1"/>
  <c r="J804" i="1"/>
  <c r="G804" i="1"/>
  <c r="K803" i="1"/>
  <c r="J803" i="1"/>
  <c r="H803" i="1"/>
  <c r="I803" i="1" s="1"/>
  <c r="G803" i="1"/>
  <c r="K802" i="1"/>
  <c r="J802" i="1"/>
  <c r="G802" i="1"/>
  <c r="K801" i="1"/>
  <c r="J801" i="1"/>
  <c r="H801" i="1"/>
  <c r="G801" i="1"/>
  <c r="I801" i="1" s="1"/>
  <c r="K800" i="1"/>
  <c r="J800" i="1"/>
  <c r="G800" i="1"/>
  <c r="K799" i="1"/>
  <c r="J799" i="1"/>
  <c r="H799" i="1"/>
  <c r="G799" i="1"/>
  <c r="K798" i="1"/>
  <c r="J798" i="1"/>
  <c r="G798" i="1"/>
  <c r="K797" i="1"/>
  <c r="J797" i="1"/>
  <c r="G797" i="1"/>
  <c r="I797" i="1" s="1"/>
  <c r="K796" i="1"/>
  <c r="J796" i="1"/>
  <c r="G796" i="1"/>
  <c r="K795" i="1"/>
  <c r="J795" i="1"/>
  <c r="G795" i="1"/>
  <c r="K794" i="1"/>
  <c r="J794" i="1"/>
  <c r="G794" i="1"/>
  <c r="K793" i="1"/>
  <c r="J793" i="1"/>
  <c r="H793" i="1"/>
  <c r="G793" i="1"/>
  <c r="K792" i="1"/>
  <c r="J792" i="1"/>
  <c r="G792" i="1"/>
  <c r="K791" i="1"/>
  <c r="J791" i="1"/>
  <c r="H791" i="1"/>
  <c r="G791" i="1"/>
  <c r="K790" i="1"/>
  <c r="J790" i="1"/>
  <c r="G790" i="1"/>
  <c r="K789" i="1"/>
  <c r="J789" i="1"/>
  <c r="H789" i="1"/>
  <c r="G789" i="1"/>
  <c r="I789" i="1" s="1"/>
  <c r="K788" i="1"/>
  <c r="J788" i="1"/>
  <c r="G788" i="1"/>
  <c r="K787" i="1"/>
  <c r="J787" i="1"/>
  <c r="H787" i="1"/>
  <c r="G787" i="1"/>
  <c r="K786" i="1"/>
  <c r="J786" i="1"/>
  <c r="G786" i="1"/>
  <c r="K785" i="1"/>
  <c r="J785" i="1"/>
  <c r="H785" i="1"/>
  <c r="I785" i="1" s="1"/>
  <c r="G785" i="1"/>
  <c r="K784" i="1"/>
  <c r="J784" i="1"/>
  <c r="G784" i="1"/>
  <c r="K783" i="1"/>
  <c r="J783" i="1"/>
  <c r="H783" i="1"/>
  <c r="I783" i="1" s="1"/>
  <c r="G783" i="1"/>
  <c r="K782" i="1"/>
  <c r="J782" i="1"/>
  <c r="G782" i="1"/>
  <c r="K781" i="1"/>
  <c r="J781" i="1"/>
  <c r="G781" i="1"/>
  <c r="I781" i="1" s="1"/>
  <c r="K780" i="1"/>
  <c r="J780" i="1"/>
  <c r="G780" i="1"/>
  <c r="K779" i="1"/>
  <c r="J779" i="1"/>
  <c r="G779" i="1"/>
  <c r="I779" i="1" s="1"/>
  <c r="K778" i="1"/>
  <c r="J778" i="1"/>
  <c r="G778" i="1"/>
  <c r="K777" i="1"/>
  <c r="J777" i="1"/>
  <c r="H777" i="1"/>
  <c r="G777" i="1"/>
  <c r="K776" i="1"/>
  <c r="J776" i="1"/>
  <c r="G776" i="1"/>
  <c r="K775" i="1"/>
  <c r="J775" i="1"/>
  <c r="H775" i="1"/>
  <c r="G775" i="1"/>
  <c r="K774" i="1"/>
  <c r="J774" i="1"/>
  <c r="G774" i="1"/>
  <c r="K773" i="1"/>
  <c r="J773" i="1"/>
  <c r="H773" i="1"/>
  <c r="G773" i="1"/>
  <c r="I773" i="1" s="1"/>
  <c r="K772" i="1"/>
  <c r="J772" i="1"/>
  <c r="G772" i="1"/>
  <c r="K771" i="1"/>
  <c r="J771" i="1"/>
  <c r="H771" i="1"/>
  <c r="G771" i="1"/>
  <c r="K770" i="1"/>
  <c r="J770" i="1"/>
  <c r="G770" i="1"/>
  <c r="K769" i="1"/>
  <c r="J769" i="1"/>
  <c r="H769" i="1"/>
  <c r="G769" i="1"/>
  <c r="I769" i="1" s="1"/>
  <c r="K768" i="1"/>
  <c r="J768" i="1"/>
  <c r="G768" i="1"/>
  <c r="K767" i="1"/>
  <c r="J767" i="1"/>
  <c r="H767" i="1"/>
  <c r="G767" i="1"/>
  <c r="K766" i="1"/>
  <c r="J766" i="1"/>
  <c r="G766" i="1"/>
  <c r="K765" i="1"/>
  <c r="J765" i="1"/>
  <c r="I765" i="1"/>
  <c r="G765" i="1"/>
  <c r="K764" i="1"/>
  <c r="J764" i="1"/>
  <c r="G764" i="1"/>
  <c r="K763" i="1"/>
  <c r="J763" i="1"/>
  <c r="G763" i="1"/>
  <c r="I763" i="1" s="1"/>
  <c r="K762" i="1"/>
  <c r="J762" i="1"/>
  <c r="G762" i="1"/>
  <c r="K761" i="1"/>
  <c r="J761" i="1"/>
  <c r="H761" i="1"/>
  <c r="G761" i="1"/>
  <c r="K760" i="1"/>
  <c r="J760" i="1"/>
  <c r="G760" i="1"/>
  <c r="K759" i="1"/>
  <c r="J759" i="1"/>
  <c r="H759" i="1"/>
  <c r="I759" i="1" s="1"/>
  <c r="G759" i="1"/>
  <c r="K758" i="1"/>
  <c r="J758" i="1"/>
  <c r="G758" i="1"/>
  <c r="K757" i="1"/>
  <c r="J757" i="1"/>
  <c r="H757" i="1"/>
  <c r="I757" i="1" s="1"/>
  <c r="G757" i="1"/>
  <c r="K756" i="1"/>
  <c r="J756" i="1"/>
  <c r="G756" i="1"/>
  <c r="K755" i="1"/>
  <c r="J755" i="1"/>
  <c r="H755" i="1"/>
  <c r="G755" i="1"/>
  <c r="K754" i="1"/>
  <c r="J754" i="1"/>
  <c r="G754" i="1"/>
  <c r="K753" i="1"/>
  <c r="J753" i="1"/>
  <c r="H753" i="1"/>
  <c r="G753" i="1"/>
  <c r="K752" i="1"/>
  <c r="J752" i="1"/>
  <c r="G752" i="1"/>
  <c r="K751" i="1"/>
  <c r="J751" i="1"/>
  <c r="H751" i="1"/>
  <c r="I751" i="1" s="1"/>
  <c r="G751" i="1"/>
  <c r="K750" i="1"/>
  <c r="J750" i="1"/>
  <c r="G750" i="1"/>
  <c r="K749" i="1"/>
  <c r="J749" i="1"/>
  <c r="G749" i="1"/>
  <c r="I749" i="1" s="1"/>
  <c r="K748" i="1"/>
  <c r="J748" i="1"/>
  <c r="G748" i="1"/>
  <c r="K747" i="1"/>
  <c r="J747" i="1"/>
  <c r="G747" i="1"/>
  <c r="K746" i="1"/>
  <c r="J746" i="1"/>
  <c r="G746" i="1"/>
  <c r="K745" i="1"/>
  <c r="J745" i="1"/>
  <c r="H745" i="1"/>
  <c r="I745" i="1" s="1"/>
  <c r="G745" i="1"/>
  <c r="K744" i="1"/>
  <c r="J744" i="1"/>
  <c r="G744" i="1"/>
  <c r="K743" i="1"/>
  <c r="J743" i="1"/>
  <c r="H743" i="1"/>
  <c r="I743" i="1" s="1"/>
  <c r="G743" i="1"/>
  <c r="K742" i="1"/>
  <c r="J742" i="1"/>
  <c r="G742" i="1"/>
  <c r="K741" i="1"/>
  <c r="J741" i="1"/>
  <c r="H741" i="1"/>
  <c r="G741" i="1"/>
  <c r="K740" i="1"/>
  <c r="J740" i="1"/>
  <c r="G740" i="1"/>
  <c r="K739" i="1"/>
  <c r="J739" i="1"/>
  <c r="H739" i="1"/>
  <c r="G739" i="1"/>
  <c r="I739" i="1" s="1"/>
  <c r="K738" i="1"/>
  <c r="J738" i="1"/>
  <c r="G738" i="1"/>
  <c r="K737" i="1"/>
  <c r="J737" i="1"/>
  <c r="H737" i="1"/>
  <c r="G737" i="1"/>
  <c r="K736" i="1"/>
  <c r="J736" i="1"/>
  <c r="G736" i="1"/>
  <c r="K735" i="1"/>
  <c r="J735" i="1"/>
  <c r="H735" i="1"/>
  <c r="G735" i="1"/>
  <c r="I735" i="1" s="1"/>
  <c r="K734" i="1"/>
  <c r="J734" i="1"/>
  <c r="G734" i="1"/>
  <c r="K733" i="1"/>
  <c r="J733" i="1"/>
  <c r="G733" i="1"/>
  <c r="K732" i="1"/>
  <c r="J732" i="1"/>
  <c r="G732" i="1"/>
  <c r="K731" i="1"/>
  <c r="J731" i="1"/>
  <c r="I731" i="1"/>
  <c r="G731" i="1"/>
  <c r="K730" i="1"/>
  <c r="J730" i="1"/>
  <c r="G730" i="1"/>
  <c r="K729" i="1"/>
  <c r="J729" i="1"/>
  <c r="H729" i="1"/>
  <c r="G729" i="1"/>
  <c r="I729" i="1" s="1"/>
  <c r="K728" i="1"/>
  <c r="J728" i="1"/>
  <c r="G728" i="1"/>
  <c r="K727" i="1"/>
  <c r="J727" i="1"/>
  <c r="H727" i="1"/>
  <c r="G727" i="1"/>
  <c r="K726" i="1"/>
  <c r="J726" i="1"/>
  <c r="G726" i="1"/>
  <c r="K725" i="1"/>
  <c r="J725" i="1"/>
  <c r="I725" i="1" s="1"/>
  <c r="H725" i="1"/>
  <c r="G725" i="1"/>
  <c r="K724" i="1"/>
  <c r="J724" i="1"/>
  <c r="G724" i="1"/>
  <c r="K723" i="1"/>
  <c r="J723" i="1"/>
  <c r="H723" i="1"/>
  <c r="G723" i="1"/>
  <c r="K722" i="1"/>
  <c r="J722" i="1"/>
  <c r="G722" i="1"/>
  <c r="K721" i="1"/>
  <c r="M721" i="1" s="1"/>
  <c r="N721" i="1" s="1"/>
  <c r="J721" i="1"/>
  <c r="H721" i="1"/>
  <c r="G721" i="1"/>
  <c r="K720" i="1"/>
  <c r="J720" i="1"/>
  <c r="G720" i="1"/>
  <c r="K719" i="1"/>
  <c r="J719" i="1"/>
  <c r="H719" i="1"/>
  <c r="G719" i="1"/>
  <c r="K718" i="1"/>
  <c r="J718" i="1"/>
  <c r="G718" i="1"/>
  <c r="K717" i="1"/>
  <c r="J717" i="1"/>
  <c r="G717" i="1"/>
  <c r="I717" i="1" s="1"/>
  <c r="K716" i="1"/>
  <c r="J716" i="1"/>
  <c r="G716" i="1"/>
  <c r="K715" i="1"/>
  <c r="J715" i="1"/>
  <c r="G715" i="1"/>
  <c r="I715" i="1" s="1"/>
  <c r="K714" i="1"/>
  <c r="J714" i="1"/>
  <c r="G714" i="1"/>
  <c r="K713" i="1"/>
  <c r="J713" i="1"/>
  <c r="H713" i="1"/>
  <c r="G713" i="1"/>
  <c r="I713" i="1" s="1"/>
  <c r="K712" i="1"/>
  <c r="J712" i="1"/>
  <c r="G712" i="1"/>
  <c r="K711" i="1"/>
  <c r="J711" i="1"/>
  <c r="H711" i="1"/>
  <c r="G711" i="1"/>
  <c r="K710" i="1"/>
  <c r="J710" i="1"/>
  <c r="G710" i="1"/>
  <c r="K709" i="1"/>
  <c r="J709" i="1"/>
  <c r="H709" i="1"/>
  <c r="I709" i="1" s="1"/>
  <c r="G709" i="1"/>
  <c r="K708" i="1"/>
  <c r="J708" i="1"/>
  <c r="G708" i="1"/>
  <c r="K707" i="1"/>
  <c r="J707" i="1"/>
  <c r="H707" i="1"/>
  <c r="G707" i="1"/>
  <c r="K706" i="1"/>
  <c r="J706" i="1"/>
  <c r="G706" i="1"/>
  <c r="K705" i="1"/>
  <c r="J705" i="1"/>
  <c r="H705" i="1"/>
  <c r="G705" i="1"/>
  <c r="K704" i="1"/>
  <c r="J704" i="1"/>
  <c r="G704" i="1"/>
  <c r="K703" i="1"/>
  <c r="J703" i="1"/>
  <c r="H703" i="1"/>
  <c r="G703" i="1"/>
  <c r="K702" i="1"/>
  <c r="J702" i="1"/>
  <c r="G702" i="1"/>
  <c r="K701" i="1"/>
  <c r="J701" i="1"/>
  <c r="G701" i="1"/>
  <c r="I701" i="1" s="1"/>
  <c r="K700" i="1"/>
  <c r="J700" i="1"/>
  <c r="G700" i="1"/>
  <c r="K699" i="1"/>
  <c r="J699" i="1"/>
  <c r="G699" i="1"/>
  <c r="K698" i="1"/>
  <c r="J698" i="1"/>
  <c r="G698" i="1"/>
  <c r="K697" i="1"/>
  <c r="J697" i="1"/>
  <c r="H697" i="1"/>
  <c r="G697" i="1"/>
  <c r="K696" i="1"/>
  <c r="J696" i="1"/>
  <c r="G696" i="1"/>
  <c r="K695" i="1"/>
  <c r="J695" i="1"/>
  <c r="H695" i="1"/>
  <c r="G695" i="1"/>
  <c r="K694" i="1"/>
  <c r="J694" i="1"/>
  <c r="G694" i="1"/>
  <c r="K693" i="1"/>
  <c r="J693" i="1"/>
  <c r="H693" i="1"/>
  <c r="G693" i="1"/>
  <c r="K692" i="1"/>
  <c r="J692" i="1"/>
  <c r="G692" i="1"/>
  <c r="K691" i="1"/>
  <c r="J691" i="1"/>
  <c r="H691" i="1"/>
  <c r="G691" i="1"/>
  <c r="I691" i="1" s="1"/>
  <c r="K690" i="1"/>
  <c r="J690" i="1"/>
  <c r="G690" i="1"/>
  <c r="K689" i="1"/>
  <c r="J689" i="1"/>
  <c r="H689" i="1"/>
  <c r="G689" i="1"/>
  <c r="K688" i="1"/>
  <c r="J688" i="1"/>
  <c r="G688" i="1"/>
  <c r="K687" i="1"/>
  <c r="J687" i="1"/>
  <c r="H687" i="1"/>
  <c r="G687" i="1"/>
  <c r="I687" i="1" s="1"/>
  <c r="K686" i="1"/>
  <c r="J686" i="1"/>
  <c r="G686" i="1"/>
  <c r="K685" i="1"/>
  <c r="J685" i="1"/>
  <c r="G685" i="1"/>
  <c r="K684" i="1"/>
  <c r="J684" i="1"/>
  <c r="G684" i="1"/>
  <c r="K683" i="1"/>
  <c r="J683" i="1"/>
  <c r="G683" i="1"/>
  <c r="I683" i="1" s="1"/>
  <c r="K682" i="1"/>
  <c r="J682" i="1"/>
  <c r="G682" i="1"/>
  <c r="K681" i="1"/>
  <c r="J681" i="1"/>
  <c r="H681" i="1"/>
  <c r="G681" i="1"/>
  <c r="K680" i="1"/>
  <c r="J680" i="1"/>
  <c r="G680" i="1"/>
  <c r="K679" i="1"/>
  <c r="J679" i="1"/>
  <c r="H679" i="1"/>
  <c r="G679" i="1"/>
  <c r="I679" i="1" s="1"/>
  <c r="K678" i="1"/>
  <c r="J678" i="1"/>
  <c r="G678" i="1"/>
  <c r="K677" i="1"/>
  <c r="J677" i="1"/>
  <c r="H677" i="1"/>
  <c r="G677" i="1"/>
  <c r="K676" i="1"/>
  <c r="J676" i="1"/>
  <c r="G676" i="1"/>
  <c r="K675" i="1"/>
  <c r="J675" i="1"/>
  <c r="H675" i="1"/>
  <c r="G675" i="1"/>
  <c r="K674" i="1"/>
  <c r="J674" i="1"/>
  <c r="G674" i="1"/>
  <c r="K673" i="1"/>
  <c r="J673" i="1"/>
  <c r="H673" i="1"/>
  <c r="G673" i="1"/>
  <c r="K672" i="1"/>
  <c r="J672" i="1"/>
  <c r="G672" i="1"/>
  <c r="K671" i="1"/>
  <c r="J671" i="1"/>
  <c r="H671" i="1"/>
  <c r="G671" i="1"/>
  <c r="K670" i="1"/>
  <c r="J670" i="1"/>
  <c r="G670" i="1"/>
  <c r="K669" i="1"/>
  <c r="J669" i="1"/>
  <c r="I669" i="1"/>
  <c r="G669" i="1"/>
  <c r="K668" i="1"/>
  <c r="J668" i="1"/>
  <c r="G668" i="1"/>
  <c r="K667" i="1"/>
  <c r="J667" i="1"/>
  <c r="G667" i="1"/>
  <c r="K666" i="1"/>
  <c r="J666" i="1"/>
  <c r="G666" i="1"/>
  <c r="K665" i="1"/>
  <c r="J665" i="1"/>
  <c r="G665" i="1"/>
  <c r="K664" i="1"/>
  <c r="J664" i="1"/>
  <c r="G664" i="1"/>
  <c r="K663" i="1"/>
  <c r="J663" i="1"/>
  <c r="G663" i="1"/>
  <c r="K662" i="1"/>
  <c r="J662" i="1"/>
  <c r="G662" i="1"/>
  <c r="K661" i="1"/>
  <c r="J661" i="1"/>
  <c r="G661" i="1"/>
  <c r="K660" i="1"/>
  <c r="J660" i="1"/>
  <c r="G660" i="1"/>
  <c r="K659" i="1"/>
  <c r="J659" i="1"/>
  <c r="G659" i="1"/>
  <c r="K658" i="1"/>
  <c r="J658" i="1"/>
  <c r="G658" i="1"/>
  <c r="K657" i="1"/>
  <c r="J657" i="1"/>
  <c r="G657" i="1"/>
  <c r="I657" i="1" s="1"/>
  <c r="K656" i="1"/>
  <c r="J656" i="1"/>
  <c r="G656" i="1"/>
  <c r="M655" i="1"/>
  <c r="N655" i="1" s="1"/>
  <c r="K655" i="1"/>
  <c r="J655" i="1"/>
  <c r="I655" i="1"/>
  <c r="G655" i="1"/>
  <c r="K654" i="1"/>
  <c r="J654" i="1"/>
  <c r="G654" i="1"/>
  <c r="K653" i="1"/>
  <c r="J653" i="1"/>
  <c r="G653" i="1"/>
  <c r="K652" i="1"/>
  <c r="J652" i="1"/>
  <c r="G652" i="1"/>
  <c r="K651" i="1"/>
  <c r="J651" i="1"/>
  <c r="G651" i="1"/>
  <c r="K650" i="1"/>
  <c r="J650" i="1"/>
  <c r="G650" i="1"/>
  <c r="K649" i="1"/>
  <c r="J649" i="1"/>
  <c r="G649" i="1"/>
  <c r="I649" i="1" s="1"/>
  <c r="K648" i="1"/>
  <c r="J648" i="1"/>
  <c r="G648" i="1"/>
  <c r="K647" i="1"/>
  <c r="J647" i="1"/>
  <c r="G647" i="1"/>
  <c r="I647" i="1" s="1"/>
  <c r="K646" i="1"/>
  <c r="J646" i="1"/>
  <c r="G646" i="1"/>
  <c r="K645" i="1"/>
  <c r="J645" i="1"/>
  <c r="G645" i="1"/>
  <c r="K644" i="1"/>
  <c r="J644" i="1"/>
  <c r="G644" i="1"/>
  <c r="K643" i="1"/>
  <c r="J643" i="1"/>
  <c r="I643" i="1"/>
  <c r="G643" i="1"/>
  <c r="K642" i="1"/>
  <c r="J642" i="1"/>
  <c r="G642" i="1"/>
  <c r="K641" i="1"/>
  <c r="J641" i="1"/>
  <c r="G641" i="1"/>
  <c r="K640" i="1"/>
  <c r="J640" i="1"/>
  <c r="G640" i="1"/>
  <c r="K639" i="1"/>
  <c r="J639" i="1"/>
  <c r="G639" i="1"/>
  <c r="I639" i="1" s="1"/>
  <c r="K638" i="1"/>
  <c r="J638" i="1"/>
  <c r="G638" i="1"/>
  <c r="K637" i="1"/>
  <c r="J637" i="1"/>
  <c r="G637" i="1"/>
  <c r="K636" i="1"/>
  <c r="J636" i="1"/>
  <c r="G636" i="1"/>
  <c r="K635" i="1"/>
  <c r="J635" i="1"/>
  <c r="G635" i="1"/>
  <c r="I635" i="1" s="1"/>
  <c r="K634" i="1"/>
  <c r="J634" i="1"/>
  <c r="G634" i="1"/>
  <c r="K633" i="1"/>
  <c r="J633" i="1"/>
  <c r="G633" i="1"/>
  <c r="K632" i="1"/>
  <c r="J632" i="1"/>
  <c r="G632" i="1"/>
  <c r="K631" i="1"/>
  <c r="J631" i="1"/>
  <c r="G631" i="1"/>
  <c r="I631" i="1" s="1"/>
  <c r="K630" i="1"/>
  <c r="J630" i="1"/>
  <c r="G630" i="1"/>
  <c r="K629" i="1"/>
  <c r="J629" i="1"/>
  <c r="G629" i="1"/>
  <c r="K628" i="1"/>
  <c r="J628" i="1"/>
  <c r="G628" i="1"/>
  <c r="K627" i="1"/>
  <c r="J627" i="1"/>
  <c r="G627" i="1"/>
  <c r="I627" i="1" s="1"/>
  <c r="K626" i="1"/>
  <c r="J626" i="1"/>
  <c r="G626" i="1"/>
  <c r="K625" i="1"/>
  <c r="J625" i="1"/>
  <c r="G625" i="1"/>
  <c r="K624" i="1"/>
  <c r="J624" i="1"/>
  <c r="G624" i="1"/>
  <c r="K623" i="1"/>
  <c r="J623" i="1"/>
  <c r="G623" i="1"/>
  <c r="I623" i="1" s="1"/>
  <c r="K622" i="1"/>
  <c r="J622" i="1"/>
  <c r="G622" i="1"/>
  <c r="K621" i="1"/>
  <c r="J621" i="1"/>
  <c r="G621" i="1"/>
  <c r="K620" i="1"/>
  <c r="J620" i="1"/>
  <c r="G620" i="1"/>
  <c r="K619" i="1"/>
  <c r="J619" i="1"/>
  <c r="G619" i="1"/>
  <c r="I619" i="1" s="1"/>
  <c r="K618" i="1"/>
  <c r="J618" i="1"/>
  <c r="G618" i="1"/>
  <c r="K617" i="1"/>
  <c r="J617" i="1"/>
  <c r="G617" i="1"/>
  <c r="K616" i="1"/>
  <c r="J616" i="1"/>
  <c r="G616" i="1"/>
  <c r="K615" i="1"/>
  <c r="J615" i="1"/>
  <c r="G615" i="1"/>
  <c r="I615" i="1" s="1"/>
  <c r="K614" i="1"/>
  <c r="J614" i="1"/>
  <c r="G614" i="1"/>
  <c r="K613" i="1"/>
  <c r="J613" i="1"/>
  <c r="G613" i="1"/>
  <c r="K612" i="1"/>
  <c r="J612" i="1"/>
  <c r="G612" i="1"/>
  <c r="K611" i="1"/>
  <c r="J611" i="1"/>
  <c r="G611" i="1"/>
  <c r="I611" i="1" s="1"/>
  <c r="K610" i="1"/>
  <c r="J610" i="1"/>
  <c r="G610" i="1"/>
  <c r="K609" i="1"/>
  <c r="J609" i="1"/>
  <c r="G609" i="1"/>
  <c r="K608" i="1"/>
  <c r="J608" i="1"/>
  <c r="G608" i="1"/>
  <c r="K607" i="1"/>
  <c r="J607" i="1"/>
  <c r="G607" i="1"/>
  <c r="I607" i="1" s="1"/>
  <c r="K606" i="1"/>
  <c r="J606" i="1"/>
  <c r="G606" i="1"/>
  <c r="K605" i="1"/>
  <c r="J605" i="1"/>
  <c r="G605" i="1"/>
  <c r="K604" i="1"/>
  <c r="J604" i="1"/>
  <c r="G604" i="1"/>
  <c r="K603" i="1"/>
  <c r="J603" i="1"/>
  <c r="G603" i="1"/>
  <c r="I603" i="1" s="1"/>
  <c r="K602" i="1"/>
  <c r="J602" i="1"/>
  <c r="G602" i="1"/>
  <c r="K601" i="1"/>
  <c r="J601" i="1"/>
  <c r="G601" i="1"/>
  <c r="K600" i="1"/>
  <c r="J600" i="1"/>
  <c r="G600" i="1"/>
  <c r="K599" i="1"/>
  <c r="J599" i="1"/>
  <c r="G599" i="1"/>
  <c r="K598" i="1"/>
  <c r="J598" i="1"/>
  <c r="G598" i="1"/>
  <c r="K597" i="1"/>
  <c r="J597" i="1"/>
  <c r="G597" i="1"/>
  <c r="K596" i="1"/>
  <c r="J596" i="1"/>
  <c r="G596" i="1"/>
  <c r="K595" i="1"/>
  <c r="J595" i="1"/>
  <c r="G595" i="1"/>
  <c r="I595" i="1" s="1"/>
  <c r="K594" i="1"/>
  <c r="J594" i="1"/>
  <c r="G594" i="1"/>
  <c r="K593" i="1"/>
  <c r="J593" i="1"/>
  <c r="G593" i="1"/>
  <c r="K592" i="1"/>
  <c r="J592" i="1"/>
  <c r="G592" i="1"/>
  <c r="K591" i="1"/>
  <c r="J591" i="1"/>
  <c r="G591" i="1"/>
  <c r="K590" i="1"/>
  <c r="J590" i="1"/>
  <c r="G590" i="1"/>
  <c r="K589" i="1"/>
  <c r="J589" i="1"/>
  <c r="G589" i="1"/>
  <c r="I589" i="1" s="1"/>
  <c r="K588" i="1"/>
  <c r="J588" i="1"/>
  <c r="G588" i="1"/>
  <c r="K587" i="1"/>
  <c r="J587" i="1"/>
  <c r="G587" i="1"/>
  <c r="I587" i="1" s="1"/>
  <c r="K586" i="1"/>
  <c r="J586" i="1"/>
  <c r="G586" i="1"/>
  <c r="K585" i="1"/>
  <c r="J585" i="1"/>
  <c r="H585" i="1"/>
  <c r="G585" i="1"/>
  <c r="K584" i="1"/>
  <c r="J584" i="1"/>
  <c r="G584" i="1"/>
  <c r="K583" i="1"/>
  <c r="J583" i="1"/>
  <c r="G583" i="1"/>
  <c r="I583" i="1" s="1"/>
  <c r="K582" i="1"/>
  <c r="J582" i="1"/>
  <c r="G582" i="1"/>
  <c r="K581" i="1"/>
  <c r="J581" i="1"/>
  <c r="G581" i="1"/>
  <c r="K580" i="1"/>
  <c r="J580" i="1"/>
  <c r="G580" i="1"/>
  <c r="K579" i="1"/>
  <c r="J579" i="1"/>
  <c r="G579" i="1"/>
  <c r="K578" i="1"/>
  <c r="J578" i="1"/>
  <c r="G578" i="1"/>
  <c r="K577" i="1"/>
  <c r="M577" i="1" s="1"/>
  <c r="N577" i="1" s="1"/>
  <c r="J577" i="1"/>
  <c r="I577" i="1" s="1"/>
  <c r="H577" i="1"/>
  <c r="G577" i="1"/>
  <c r="K576" i="1"/>
  <c r="J576" i="1"/>
  <c r="G576" i="1"/>
  <c r="K575" i="1"/>
  <c r="J575" i="1"/>
  <c r="G575" i="1"/>
  <c r="K574" i="1"/>
  <c r="J574" i="1"/>
  <c r="G574" i="1"/>
  <c r="K573" i="1"/>
  <c r="J573" i="1"/>
  <c r="G573" i="1"/>
  <c r="I573" i="1" s="1"/>
  <c r="K572" i="1"/>
  <c r="J572" i="1"/>
  <c r="G572" i="1"/>
  <c r="K571" i="1"/>
  <c r="J571" i="1"/>
  <c r="G571" i="1"/>
  <c r="K570" i="1"/>
  <c r="J570" i="1"/>
  <c r="G570" i="1"/>
  <c r="K569" i="1"/>
  <c r="J569" i="1"/>
  <c r="H569" i="1"/>
  <c r="G569" i="1"/>
  <c r="K568" i="1"/>
  <c r="J568" i="1"/>
  <c r="G568" i="1"/>
  <c r="K567" i="1"/>
  <c r="J567" i="1"/>
  <c r="G567" i="1"/>
  <c r="I567" i="1" s="1"/>
  <c r="K566" i="1"/>
  <c r="J566" i="1"/>
  <c r="G566" i="1"/>
  <c r="K565" i="1"/>
  <c r="J565" i="1"/>
  <c r="G565" i="1"/>
  <c r="K564" i="1"/>
  <c r="M564" i="1" s="1"/>
  <c r="N564" i="1" s="1"/>
  <c r="J564" i="1"/>
  <c r="H564" i="1"/>
  <c r="G564" i="1"/>
  <c r="K563" i="1"/>
  <c r="J563" i="1"/>
  <c r="H563" i="1"/>
  <c r="G563" i="1"/>
  <c r="K562" i="1"/>
  <c r="J562" i="1"/>
  <c r="H562" i="1"/>
  <c r="G562" i="1"/>
  <c r="K561" i="1"/>
  <c r="J561" i="1"/>
  <c r="H561" i="1"/>
  <c r="G561" i="1"/>
  <c r="L560" i="1"/>
  <c r="K560" i="1"/>
  <c r="J560" i="1"/>
  <c r="H560" i="1"/>
  <c r="G560" i="1"/>
  <c r="K559" i="1"/>
  <c r="J559" i="1"/>
  <c r="H559" i="1"/>
  <c r="G559" i="1"/>
  <c r="K558" i="1"/>
  <c r="J558" i="1"/>
  <c r="H558" i="1"/>
  <c r="G558" i="1"/>
  <c r="K557" i="1"/>
  <c r="J557" i="1"/>
  <c r="H557" i="1"/>
  <c r="G557" i="1"/>
  <c r="L556" i="1"/>
  <c r="K556" i="1"/>
  <c r="M556" i="1" s="1"/>
  <c r="N556" i="1" s="1"/>
  <c r="J556" i="1"/>
  <c r="H556" i="1"/>
  <c r="G556" i="1"/>
  <c r="K555" i="1"/>
  <c r="J555" i="1"/>
  <c r="H555" i="1"/>
  <c r="G555" i="1"/>
  <c r="K554" i="1"/>
  <c r="J554" i="1"/>
  <c r="G554" i="1"/>
  <c r="K553" i="1"/>
  <c r="J553" i="1"/>
  <c r="H553" i="1"/>
  <c r="G553" i="1"/>
  <c r="L552" i="1"/>
  <c r="K552" i="1"/>
  <c r="M552" i="1" s="1"/>
  <c r="N552" i="1" s="1"/>
  <c r="J552" i="1"/>
  <c r="G552" i="1"/>
  <c r="K551" i="1"/>
  <c r="J551" i="1"/>
  <c r="H551" i="1"/>
  <c r="G551" i="1"/>
  <c r="K550" i="1"/>
  <c r="J550" i="1"/>
  <c r="H550" i="1"/>
  <c r="G550" i="1"/>
  <c r="K549" i="1"/>
  <c r="J549" i="1"/>
  <c r="H549" i="1"/>
  <c r="G549" i="1"/>
  <c r="L548" i="1"/>
  <c r="K548" i="1"/>
  <c r="M548" i="1" s="1"/>
  <c r="N548" i="1" s="1"/>
  <c r="J548" i="1"/>
  <c r="H548" i="1"/>
  <c r="G548" i="1"/>
  <c r="K547" i="1"/>
  <c r="J547" i="1"/>
  <c r="H547" i="1"/>
  <c r="G547" i="1"/>
  <c r="K546" i="1"/>
  <c r="J546" i="1"/>
  <c r="H546" i="1"/>
  <c r="G546" i="1"/>
  <c r="K545" i="1"/>
  <c r="J545" i="1"/>
  <c r="H545" i="1"/>
  <c r="G545" i="1"/>
  <c r="L544" i="1"/>
  <c r="K544" i="1"/>
  <c r="J544" i="1"/>
  <c r="H544" i="1"/>
  <c r="G544" i="1"/>
  <c r="K543" i="1"/>
  <c r="J543" i="1"/>
  <c r="H543" i="1"/>
  <c r="G543" i="1"/>
  <c r="K542" i="1"/>
  <c r="J542" i="1"/>
  <c r="H542" i="1"/>
  <c r="G542" i="1"/>
  <c r="K541" i="1"/>
  <c r="J541" i="1"/>
  <c r="H541" i="1"/>
  <c r="G541" i="1"/>
  <c r="L540" i="1"/>
  <c r="K540" i="1"/>
  <c r="M540" i="1" s="1"/>
  <c r="N540" i="1" s="1"/>
  <c r="J540" i="1"/>
  <c r="H540" i="1"/>
  <c r="G540" i="1"/>
  <c r="K539" i="1"/>
  <c r="J539" i="1"/>
  <c r="H539" i="1"/>
  <c r="G539" i="1"/>
  <c r="K538" i="1"/>
  <c r="J538" i="1"/>
  <c r="G538" i="1"/>
  <c r="K537" i="1"/>
  <c r="J537" i="1"/>
  <c r="H537" i="1"/>
  <c r="G537" i="1"/>
  <c r="L536" i="1"/>
  <c r="K536" i="1"/>
  <c r="M536" i="1" s="1"/>
  <c r="N536" i="1" s="1"/>
  <c r="J536" i="1"/>
  <c r="G536" i="1"/>
  <c r="K535" i="1"/>
  <c r="J535" i="1"/>
  <c r="H535" i="1"/>
  <c r="G535" i="1"/>
  <c r="K534" i="1"/>
  <c r="J534" i="1"/>
  <c r="H534" i="1"/>
  <c r="G534" i="1"/>
  <c r="K533" i="1"/>
  <c r="J533" i="1"/>
  <c r="H533" i="1"/>
  <c r="G533" i="1"/>
  <c r="L532" i="1"/>
  <c r="K532" i="1"/>
  <c r="M532" i="1" s="1"/>
  <c r="N532" i="1" s="1"/>
  <c r="J532" i="1"/>
  <c r="H532" i="1"/>
  <c r="G532" i="1"/>
  <c r="K531" i="1"/>
  <c r="J531" i="1"/>
  <c r="H531" i="1"/>
  <c r="G531" i="1"/>
  <c r="K530" i="1"/>
  <c r="J530" i="1"/>
  <c r="H530" i="1"/>
  <c r="G530" i="1"/>
  <c r="K529" i="1"/>
  <c r="J529" i="1"/>
  <c r="H529" i="1"/>
  <c r="G529" i="1"/>
  <c r="L528" i="1"/>
  <c r="K528" i="1"/>
  <c r="J528" i="1"/>
  <c r="H528" i="1"/>
  <c r="G528" i="1"/>
  <c r="K527" i="1"/>
  <c r="J527" i="1"/>
  <c r="H527" i="1"/>
  <c r="G527" i="1"/>
  <c r="K526" i="1"/>
  <c r="J526" i="1"/>
  <c r="H526" i="1"/>
  <c r="G526" i="1"/>
  <c r="K525" i="1"/>
  <c r="J525" i="1"/>
  <c r="H525" i="1"/>
  <c r="G525" i="1"/>
  <c r="L524" i="1"/>
  <c r="K524" i="1"/>
  <c r="M524" i="1" s="1"/>
  <c r="N524" i="1" s="1"/>
  <c r="J524" i="1"/>
  <c r="H524" i="1"/>
  <c r="G524" i="1"/>
  <c r="K523" i="1"/>
  <c r="J523" i="1"/>
  <c r="H523" i="1"/>
  <c r="G523" i="1"/>
  <c r="K522" i="1"/>
  <c r="J522" i="1"/>
  <c r="G522" i="1"/>
  <c r="K521" i="1"/>
  <c r="J521" i="1"/>
  <c r="H521" i="1"/>
  <c r="G521" i="1"/>
  <c r="L520" i="1"/>
  <c r="K520" i="1"/>
  <c r="M520" i="1" s="1"/>
  <c r="N520" i="1" s="1"/>
  <c r="J520" i="1"/>
  <c r="G520" i="1"/>
  <c r="K519" i="1"/>
  <c r="J519" i="1"/>
  <c r="H519" i="1"/>
  <c r="G519" i="1"/>
  <c r="K518" i="1"/>
  <c r="J518" i="1"/>
  <c r="H518" i="1"/>
  <c r="G518" i="1"/>
  <c r="K517" i="1"/>
  <c r="J517" i="1"/>
  <c r="H517" i="1"/>
  <c r="G517" i="1"/>
  <c r="L516" i="1"/>
  <c r="K516" i="1"/>
  <c r="M516" i="1" s="1"/>
  <c r="N516" i="1" s="1"/>
  <c r="J516" i="1"/>
  <c r="H516" i="1"/>
  <c r="G516" i="1"/>
  <c r="K515" i="1"/>
  <c r="J515" i="1"/>
  <c r="H515" i="1"/>
  <c r="G515" i="1"/>
  <c r="K514" i="1"/>
  <c r="J514" i="1"/>
  <c r="H514" i="1"/>
  <c r="G514" i="1"/>
  <c r="K513" i="1"/>
  <c r="J513" i="1"/>
  <c r="H513" i="1"/>
  <c r="G513" i="1"/>
  <c r="L512" i="1"/>
  <c r="K512" i="1"/>
  <c r="J512" i="1"/>
  <c r="H512" i="1"/>
  <c r="G512" i="1"/>
  <c r="K511" i="1"/>
  <c r="J511" i="1"/>
  <c r="H511" i="1"/>
  <c r="G511" i="1"/>
  <c r="K510" i="1"/>
  <c r="J510" i="1"/>
  <c r="H510" i="1"/>
  <c r="G510" i="1"/>
  <c r="K509" i="1"/>
  <c r="J509" i="1"/>
  <c r="H509" i="1"/>
  <c r="G509" i="1"/>
  <c r="L508" i="1"/>
  <c r="K508" i="1"/>
  <c r="M508" i="1" s="1"/>
  <c r="N508" i="1" s="1"/>
  <c r="J508" i="1"/>
  <c r="H508" i="1"/>
  <c r="G508" i="1"/>
  <c r="K507" i="1"/>
  <c r="J507" i="1"/>
  <c r="H507" i="1"/>
  <c r="G507" i="1"/>
  <c r="K506" i="1"/>
  <c r="J506" i="1"/>
  <c r="G506" i="1"/>
  <c r="K505" i="1"/>
  <c r="J505" i="1"/>
  <c r="H505" i="1"/>
  <c r="G505" i="1"/>
  <c r="L504" i="1"/>
  <c r="K504" i="1"/>
  <c r="M504" i="1" s="1"/>
  <c r="N504" i="1" s="1"/>
  <c r="J504" i="1"/>
  <c r="G504" i="1"/>
  <c r="K503" i="1"/>
  <c r="J503" i="1"/>
  <c r="H503" i="1"/>
  <c r="G503" i="1"/>
  <c r="K502" i="1"/>
  <c r="J502" i="1"/>
  <c r="H502" i="1"/>
  <c r="G502" i="1"/>
  <c r="K501" i="1"/>
  <c r="M501" i="1" s="1"/>
  <c r="N501" i="1" s="1"/>
  <c r="J501" i="1"/>
  <c r="H501" i="1"/>
  <c r="G501" i="1"/>
  <c r="L500" i="1"/>
  <c r="K500" i="1"/>
  <c r="J500" i="1"/>
  <c r="H500" i="1"/>
  <c r="G500" i="1"/>
  <c r="K499" i="1"/>
  <c r="J499" i="1"/>
  <c r="H499" i="1"/>
  <c r="G499" i="1"/>
  <c r="K498" i="1"/>
  <c r="J498" i="1"/>
  <c r="H498" i="1"/>
  <c r="G498" i="1"/>
  <c r="K497" i="1"/>
  <c r="J497" i="1"/>
  <c r="H497" i="1"/>
  <c r="G497" i="1"/>
  <c r="L496" i="1"/>
  <c r="K496" i="1"/>
  <c r="J496" i="1"/>
  <c r="H496" i="1"/>
  <c r="G496" i="1"/>
  <c r="K495" i="1"/>
  <c r="J495" i="1"/>
  <c r="H495" i="1"/>
  <c r="G495" i="1"/>
  <c r="K494" i="1"/>
  <c r="J494" i="1"/>
  <c r="H494" i="1"/>
  <c r="G494" i="1"/>
  <c r="K493" i="1"/>
  <c r="J493" i="1"/>
  <c r="H493" i="1"/>
  <c r="G493" i="1"/>
  <c r="L492" i="1"/>
  <c r="K492" i="1"/>
  <c r="M492" i="1" s="1"/>
  <c r="N492" i="1" s="1"/>
  <c r="J492" i="1"/>
  <c r="H492" i="1"/>
  <c r="G492" i="1"/>
  <c r="K491" i="1"/>
  <c r="J491" i="1"/>
  <c r="H491" i="1"/>
  <c r="G491" i="1"/>
  <c r="K490" i="1"/>
  <c r="J490" i="1"/>
  <c r="G490" i="1"/>
  <c r="K489" i="1"/>
  <c r="J489" i="1"/>
  <c r="H489" i="1"/>
  <c r="G489" i="1"/>
  <c r="L488" i="1"/>
  <c r="K488" i="1"/>
  <c r="M488" i="1" s="1"/>
  <c r="N488" i="1" s="1"/>
  <c r="J488" i="1"/>
  <c r="G488" i="1"/>
  <c r="K487" i="1"/>
  <c r="J487" i="1"/>
  <c r="H487" i="1"/>
  <c r="G487" i="1"/>
  <c r="K486" i="1"/>
  <c r="J486" i="1"/>
  <c r="H486" i="1"/>
  <c r="G486" i="1"/>
  <c r="K485" i="1"/>
  <c r="J485" i="1"/>
  <c r="H485" i="1"/>
  <c r="G485" i="1"/>
  <c r="L484" i="1"/>
  <c r="K484" i="1"/>
  <c r="M484" i="1" s="1"/>
  <c r="N484" i="1" s="1"/>
  <c r="J484" i="1"/>
  <c r="H484" i="1"/>
  <c r="G484" i="1"/>
  <c r="L483" i="1"/>
  <c r="K483" i="1"/>
  <c r="J483" i="1"/>
  <c r="H483" i="1"/>
  <c r="G483" i="1"/>
  <c r="K482" i="1"/>
  <c r="J482" i="1"/>
  <c r="H482" i="1"/>
  <c r="G482" i="1"/>
  <c r="K481" i="1"/>
  <c r="J481" i="1"/>
  <c r="H481" i="1"/>
  <c r="G481" i="1"/>
  <c r="L480" i="1"/>
  <c r="K480" i="1"/>
  <c r="M480" i="1" s="1"/>
  <c r="N480" i="1" s="1"/>
  <c r="J480" i="1"/>
  <c r="H480" i="1"/>
  <c r="G480" i="1"/>
  <c r="K479" i="1"/>
  <c r="J479" i="1"/>
  <c r="H479" i="1"/>
  <c r="G479" i="1"/>
  <c r="K478" i="1"/>
  <c r="J478" i="1"/>
  <c r="H478" i="1"/>
  <c r="G478" i="1"/>
  <c r="K477" i="1"/>
  <c r="J477" i="1"/>
  <c r="H477" i="1"/>
  <c r="G477" i="1"/>
  <c r="L476" i="1"/>
  <c r="K476" i="1"/>
  <c r="J476" i="1"/>
  <c r="H476" i="1"/>
  <c r="G476" i="1"/>
  <c r="K475" i="1"/>
  <c r="J475" i="1"/>
  <c r="H475" i="1"/>
  <c r="G475" i="1"/>
  <c r="K474" i="1"/>
  <c r="J474" i="1"/>
  <c r="G474" i="1"/>
  <c r="K473" i="1"/>
  <c r="J473" i="1"/>
  <c r="H473" i="1"/>
  <c r="G473" i="1"/>
  <c r="L472" i="1"/>
  <c r="K472" i="1"/>
  <c r="J472" i="1"/>
  <c r="G472" i="1"/>
  <c r="K471" i="1"/>
  <c r="J471" i="1"/>
  <c r="H471" i="1"/>
  <c r="G471" i="1"/>
  <c r="K470" i="1"/>
  <c r="J470" i="1"/>
  <c r="H470" i="1"/>
  <c r="G470" i="1"/>
  <c r="K469" i="1"/>
  <c r="M469" i="1" s="1"/>
  <c r="N469" i="1" s="1"/>
  <c r="J469" i="1"/>
  <c r="H469" i="1"/>
  <c r="G469" i="1"/>
  <c r="L468" i="1"/>
  <c r="K468" i="1"/>
  <c r="J468" i="1"/>
  <c r="H468" i="1"/>
  <c r="G468" i="1"/>
  <c r="K467" i="1"/>
  <c r="J467" i="1"/>
  <c r="H467" i="1"/>
  <c r="G467" i="1"/>
  <c r="K466" i="1"/>
  <c r="J466" i="1"/>
  <c r="H466" i="1"/>
  <c r="G466" i="1"/>
  <c r="K465" i="1"/>
  <c r="J465" i="1"/>
  <c r="H465" i="1"/>
  <c r="G465" i="1"/>
  <c r="L464" i="1"/>
  <c r="K464" i="1"/>
  <c r="J464" i="1"/>
  <c r="H464" i="1"/>
  <c r="G464" i="1"/>
  <c r="K463" i="1"/>
  <c r="J463" i="1"/>
  <c r="H463" i="1"/>
  <c r="G463" i="1"/>
  <c r="K462" i="1"/>
  <c r="J462" i="1"/>
  <c r="H462" i="1"/>
  <c r="G462" i="1"/>
  <c r="K461" i="1"/>
  <c r="J461" i="1"/>
  <c r="H461" i="1"/>
  <c r="G461" i="1"/>
  <c r="L460" i="1"/>
  <c r="K460" i="1"/>
  <c r="M460" i="1" s="1"/>
  <c r="N460" i="1" s="1"/>
  <c r="J460" i="1"/>
  <c r="H460" i="1"/>
  <c r="G460" i="1"/>
  <c r="K459" i="1"/>
  <c r="J459" i="1"/>
  <c r="H459" i="1"/>
  <c r="G459" i="1"/>
  <c r="K458" i="1"/>
  <c r="J458" i="1"/>
  <c r="G458" i="1"/>
  <c r="K457" i="1"/>
  <c r="J457" i="1"/>
  <c r="H457" i="1"/>
  <c r="G457" i="1"/>
  <c r="L456" i="1"/>
  <c r="K456" i="1"/>
  <c r="M456" i="1" s="1"/>
  <c r="N456" i="1" s="1"/>
  <c r="J456" i="1"/>
  <c r="G456" i="1"/>
  <c r="K455" i="1"/>
  <c r="J455" i="1"/>
  <c r="H455" i="1"/>
  <c r="G455" i="1"/>
  <c r="K454" i="1"/>
  <c r="J454" i="1"/>
  <c r="H454" i="1"/>
  <c r="G454" i="1"/>
  <c r="K453" i="1"/>
  <c r="J453" i="1"/>
  <c r="H453" i="1"/>
  <c r="G453" i="1"/>
  <c r="L452" i="1"/>
  <c r="K452" i="1"/>
  <c r="M452" i="1" s="1"/>
  <c r="N452" i="1" s="1"/>
  <c r="J452" i="1"/>
  <c r="H452" i="1"/>
  <c r="G452" i="1"/>
  <c r="L451" i="1"/>
  <c r="K451" i="1"/>
  <c r="J451" i="1"/>
  <c r="H451" i="1"/>
  <c r="G451" i="1"/>
  <c r="K450" i="1"/>
  <c r="J450" i="1"/>
  <c r="H450" i="1"/>
  <c r="G450" i="1"/>
  <c r="K449" i="1"/>
  <c r="J449" i="1"/>
  <c r="H449" i="1"/>
  <c r="G449" i="1"/>
  <c r="L448" i="1"/>
  <c r="K448" i="1"/>
  <c r="M448" i="1" s="1"/>
  <c r="N448" i="1" s="1"/>
  <c r="J448" i="1"/>
  <c r="H448" i="1"/>
  <c r="G448" i="1"/>
  <c r="K447" i="1"/>
  <c r="J447" i="1"/>
  <c r="H447" i="1"/>
  <c r="G447" i="1"/>
  <c r="K446" i="1"/>
  <c r="J446" i="1"/>
  <c r="H446" i="1"/>
  <c r="G446" i="1"/>
  <c r="K445" i="1"/>
  <c r="J445" i="1"/>
  <c r="H445" i="1"/>
  <c r="G445" i="1"/>
  <c r="L444" i="1"/>
  <c r="K444" i="1"/>
  <c r="J444" i="1"/>
  <c r="H444" i="1"/>
  <c r="G444" i="1"/>
  <c r="K443" i="1"/>
  <c r="J443" i="1"/>
  <c r="H443" i="1"/>
  <c r="G443" i="1"/>
  <c r="K442" i="1"/>
  <c r="J442" i="1"/>
  <c r="G442" i="1"/>
  <c r="K441" i="1"/>
  <c r="J441" i="1"/>
  <c r="H441" i="1"/>
  <c r="G441" i="1"/>
  <c r="L440" i="1"/>
  <c r="K440" i="1"/>
  <c r="M440" i="1" s="1"/>
  <c r="N440" i="1" s="1"/>
  <c r="J440" i="1"/>
  <c r="G440" i="1"/>
  <c r="K439" i="1"/>
  <c r="J439" i="1"/>
  <c r="H439" i="1"/>
  <c r="G439" i="1"/>
  <c r="K438" i="1"/>
  <c r="J438" i="1"/>
  <c r="H438" i="1"/>
  <c r="G438" i="1"/>
  <c r="K437" i="1"/>
  <c r="J437" i="1"/>
  <c r="H437" i="1"/>
  <c r="G437" i="1"/>
  <c r="L436" i="1"/>
  <c r="K436" i="1"/>
  <c r="M436" i="1" s="1"/>
  <c r="N436" i="1" s="1"/>
  <c r="J436" i="1"/>
  <c r="H436" i="1"/>
  <c r="G436" i="1"/>
  <c r="K435" i="1"/>
  <c r="J435" i="1"/>
  <c r="H435" i="1"/>
  <c r="G435" i="1"/>
  <c r="K434" i="1"/>
  <c r="J434" i="1"/>
  <c r="H434" i="1"/>
  <c r="G434" i="1"/>
  <c r="L433" i="1"/>
  <c r="K433" i="1"/>
  <c r="J433" i="1"/>
  <c r="H433" i="1"/>
  <c r="G433" i="1"/>
  <c r="L432" i="1"/>
  <c r="K432" i="1"/>
  <c r="J432" i="1"/>
  <c r="H432" i="1"/>
  <c r="G432" i="1"/>
  <c r="K431" i="1"/>
  <c r="J431" i="1"/>
  <c r="H431" i="1"/>
  <c r="G431" i="1"/>
  <c r="K430" i="1"/>
  <c r="J430" i="1"/>
  <c r="H430" i="1"/>
  <c r="G430" i="1"/>
  <c r="K429" i="1"/>
  <c r="J429" i="1"/>
  <c r="H429" i="1"/>
  <c r="G429" i="1"/>
  <c r="L428" i="1"/>
  <c r="K428" i="1"/>
  <c r="M428" i="1" s="1"/>
  <c r="N428" i="1" s="1"/>
  <c r="J428" i="1"/>
  <c r="H428" i="1"/>
  <c r="G428" i="1"/>
  <c r="K427" i="1"/>
  <c r="J427" i="1"/>
  <c r="H427" i="1"/>
  <c r="G427" i="1"/>
  <c r="K426" i="1"/>
  <c r="J426" i="1"/>
  <c r="G426" i="1"/>
  <c r="K425" i="1"/>
  <c r="J425" i="1"/>
  <c r="H425" i="1"/>
  <c r="G425" i="1"/>
  <c r="L424" i="1"/>
  <c r="K424" i="1"/>
  <c r="J424" i="1"/>
  <c r="G424" i="1"/>
  <c r="K423" i="1"/>
  <c r="J423" i="1"/>
  <c r="H423" i="1"/>
  <c r="G423" i="1"/>
  <c r="K422" i="1"/>
  <c r="J422" i="1"/>
  <c r="H422" i="1"/>
  <c r="G422" i="1"/>
  <c r="K421" i="1"/>
  <c r="J421" i="1"/>
  <c r="H421" i="1"/>
  <c r="G421" i="1"/>
  <c r="L420" i="1"/>
  <c r="K420" i="1"/>
  <c r="J420" i="1"/>
  <c r="H420" i="1"/>
  <c r="G420" i="1"/>
  <c r="K419" i="1"/>
  <c r="J419" i="1"/>
  <c r="H419" i="1"/>
  <c r="G419" i="1"/>
  <c r="K418" i="1"/>
  <c r="J418" i="1"/>
  <c r="H418" i="1"/>
  <c r="G418" i="1"/>
  <c r="K417" i="1"/>
  <c r="J417" i="1"/>
  <c r="H417" i="1"/>
  <c r="G417" i="1"/>
  <c r="L416" i="1"/>
  <c r="K416" i="1"/>
  <c r="M416" i="1" s="1"/>
  <c r="N416" i="1" s="1"/>
  <c r="J416" i="1"/>
  <c r="H416" i="1"/>
  <c r="G416" i="1"/>
  <c r="K415" i="1"/>
  <c r="J415" i="1"/>
  <c r="H415" i="1"/>
  <c r="G415" i="1"/>
  <c r="K414" i="1"/>
  <c r="J414" i="1"/>
  <c r="H414" i="1"/>
  <c r="G414" i="1"/>
  <c r="K413" i="1"/>
  <c r="J413" i="1"/>
  <c r="H413" i="1"/>
  <c r="G413" i="1"/>
  <c r="L412" i="1"/>
  <c r="K412" i="1"/>
  <c r="J412" i="1"/>
  <c r="H412" i="1"/>
  <c r="G412" i="1"/>
  <c r="K411" i="1"/>
  <c r="J411" i="1"/>
  <c r="H411" i="1"/>
  <c r="G411" i="1"/>
  <c r="K410" i="1"/>
  <c r="J410" i="1"/>
  <c r="G410" i="1"/>
  <c r="K409" i="1"/>
  <c r="J409" i="1"/>
  <c r="H409" i="1"/>
  <c r="G409" i="1"/>
  <c r="L408" i="1"/>
  <c r="K408" i="1"/>
  <c r="M408" i="1" s="1"/>
  <c r="N408" i="1" s="1"/>
  <c r="J408" i="1"/>
  <c r="G408" i="1"/>
  <c r="K407" i="1"/>
  <c r="J407" i="1"/>
  <c r="H407" i="1"/>
  <c r="G407" i="1"/>
  <c r="K406" i="1"/>
  <c r="J406" i="1"/>
  <c r="H406" i="1"/>
  <c r="G406" i="1"/>
  <c r="K405" i="1"/>
  <c r="J405" i="1"/>
  <c r="H405" i="1"/>
  <c r="G405" i="1"/>
  <c r="L404" i="1"/>
  <c r="K404" i="1"/>
  <c r="M404" i="1" s="1"/>
  <c r="N404" i="1" s="1"/>
  <c r="J404" i="1"/>
  <c r="H404" i="1"/>
  <c r="G404" i="1"/>
  <c r="K403" i="1"/>
  <c r="J403" i="1"/>
  <c r="H403" i="1"/>
  <c r="G403" i="1"/>
  <c r="K402" i="1"/>
  <c r="J402" i="1"/>
  <c r="H402" i="1"/>
  <c r="G402" i="1"/>
  <c r="K401" i="1"/>
  <c r="J401" i="1"/>
  <c r="H401" i="1"/>
  <c r="G401" i="1"/>
  <c r="L400" i="1"/>
  <c r="K400" i="1"/>
  <c r="J400" i="1"/>
  <c r="H400" i="1"/>
  <c r="G400" i="1"/>
  <c r="K399" i="1"/>
  <c r="J399" i="1"/>
  <c r="H399" i="1"/>
  <c r="G399" i="1"/>
  <c r="K398" i="1"/>
  <c r="J398" i="1"/>
  <c r="H398" i="1"/>
  <c r="G398" i="1"/>
  <c r="K397" i="1"/>
  <c r="J397" i="1"/>
  <c r="H397" i="1"/>
  <c r="G397" i="1"/>
  <c r="L396" i="1"/>
  <c r="K396" i="1"/>
  <c r="M396" i="1" s="1"/>
  <c r="N396" i="1" s="1"/>
  <c r="J396" i="1"/>
  <c r="H396" i="1"/>
  <c r="G396" i="1"/>
  <c r="K395" i="1"/>
  <c r="J395" i="1"/>
  <c r="H395" i="1"/>
  <c r="G395" i="1"/>
  <c r="K394" i="1"/>
  <c r="J394" i="1"/>
  <c r="G394" i="1"/>
  <c r="K393" i="1"/>
  <c r="M393" i="1" s="1"/>
  <c r="N393" i="1" s="1"/>
  <c r="J393" i="1"/>
  <c r="H393" i="1"/>
  <c r="G393" i="1"/>
  <c r="L392" i="1"/>
  <c r="K392" i="1"/>
  <c r="J392" i="1"/>
  <c r="G392" i="1"/>
  <c r="K391" i="1"/>
  <c r="J391" i="1"/>
  <c r="H391" i="1"/>
  <c r="G391" i="1"/>
  <c r="K390" i="1"/>
  <c r="J390" i="1"/>
  <c r="H390" i="1"/>
  <c r="G390" i="1"/>
  <c r="K389" i="1"/>
  <c r="J389" i="1"/>
  <c r="H389" i="1"/>
  <c r="G389" i="1"/>
  <c r="L388" i="1"/>
  <c r="K388" i="1"/>
  <c r="J388" i="1"/>
  <c r="H388" i="1"/>
  <c r="G388" i="1"/>
  <c r="K387" i="1"/>
  <c r="J387" i="1"/>
  <c r="H387" i="1"/>
  <c r="G387" i="1"/>
  <c r="K386" i="1"/>
  <c r="J386" i="1"/>
  <c r="H386" i="1"/>
  <c r="G386" i="1"/>
  <c r="K385" i="1"/>
  <c r="J385" i="1"/>
  <c r="H385" i="1"/>
  <c r="G385" i="1"/>
  <c r="L384" i="1"/>
  <c r="K384" i="1"/>
  <c r="J384" i="1"/>
  <c r="H384" i="1"/>
  <c r="G384" i="1"/>
  <c r="K383" i="1"/>
  <c r="J383" i="1"/>
  <c r="H383" i="1"/>
  <c r="G383" i="1"/>
  <c r="K382" i="1"/>
  <c r="J382" i="1"/>
  <c r="H382" i="1"/>
  <c r="G382" i="1"/>
  <c r="K381" i="1"/>
  <c r="M381" i="1" s="1"/>
  <c r="N381" i="1" s="1"/>
  <c r="J381" i="1"/>
  <c r="H381" i="1"/>
  <c r="G381" i="1"/>
  <c r="L380" i="1"/>
  <c r="K380" i="1"/>
  <c r="J380" i="1"/>
  <c r="H380" i="1"/>
  <c r="G380" i="1"/>
  <c r="K379" i="1"/>
  <c r="J379" i="1"/>
  <c r="H379" i="1"/>
  <c r="G379" i="1"/>
  <c r="K378" i="1"/>
  <c r="J378" i="1"/>
  <c r="G378" i="1"/>
  <c r="K377" i="1"/>
  <c r="J377" i="1"/>
  <c r="H377" i="1"/>
  <c r="G377" i="1"/>
  <c r="L376" i="1"/>
  <c r="K376" i="1"/>
  <c r="M376" i="1" s="1"/>
  <c r="N376" i="1" s="1"/>
  <c r="J376" i="1"/>
  <c r="G376" i="1"/>
  <c r="K375" i="1"/>
  <c r="J375" i="1"/>
  <c r="H375" i="1"/>
  <c r="G375" i="1"/>
  <c r="K374" i="1"/>
  <c r="J374" i="1"/>
  <c r="H374" i="1"/>
  <c r="G374" i="1"/>
  <c r="K373" i="1"/>
  <c r="J373" i="1"/>
  <c r="H373" i="1"/>
  <c r="G373" i="1"/>
  <c r="L372" i="1"/>
  <c r="K372" i="1"/>
  <c r="J372" i="1"/>
  <c r="H372" i="1"/>
  <c r="G372" i="1"/>
  <c r="K371" i="1"/>
  <c r="J371" i="1"/>
  <c r="H371" i="1"/>
  <c r="G371" i="1"/>
  <c r="K370" i="1"/>
  <c r="J370" i="1"/>
  <c r="H370" i="1"/>
  <c r="G370" i="1"/>
  <c r="K369" i="1"/>
  <c r="J369" i="1"/>
  <c r="H369" i="1"/>
  <c r="G369" i="1"/>
  <c r="L368" i="1"/>
  <c r="K368" i="1"/>
  <c r="M368" i="1" s="1"/>
  <c r="N368" i="1" s="1"/>
  <c r="J368" i="1"/>
  <c r="H368" i="1"/>
  <c r="G368" i="1"/>
  <c r="K367" i="1"/>
  <c r="J367" i="1"/>
  <c r="H367" i="1"/>
  <c r="G367" i="1"/>
  <c r="K366" i="1"/>
  <c r="J366" i="1"/>
  <c r="H366" i="1"/>
  <c r="G366" i="1"/>
  <c r="K365" i="1"/>
  <c r="J365" i="1"/>
  <c r="H365" i="1"/>
  <c r="G365" i="1"/>
  <c r="L364" i="1"/>
  <c r="K364" i="1"/>
  <c r="M364" i="1" s="1"/>
  <c r="N364" i="1" s="1"/>
  <c r="J364" i="1"/>
  <c r="H364" i="1"/>
  <c r="G364" i="1"/>
  <c r="K363" i="1"/>
  <c r="J363" i="1"/>
  <c r="H363" i="1"/>
  <c r="G363" i="1"/>
  <c r="K362" i="1"/>
  <c r="J362" i="1"/>
  <c r="G362" i="1"/>
  <c r="K361" i="1"/>
  <c r="M361" i="1" s="1"/>
  <c r="N361" i="1" s="1"/>
  <c r="J361" i="1"/>
  <c r="H361" i="1"/>
  <c r="G361" i="1"/>
  <c r="L360" i="1"/>
  <c r="K360" i="1"/>
  <c r="J360" i="1"/>
  <c r="G360" i="1"/>
  <c r="K359" i="1"/>
  <c r="J359" i="1"/>
  <c r="H359" i="1"/>
  <c r="G359" i="1"/>
  <c r="K358" i="1"/>
  <c r="J358" i="1"/>
  <c r="H358" i="1"/>
  <c r="G358" i="1"/>
  <c r="K357" i="1"/>
  <c r="J357" i="1"/>
  <c r="H357" i="1"/>
  <c r="G357" i="1"/>
  <c r="L356" i="1"/>
  <c r="K356" i="1"/>
  <c r="M356" i="1" s="1"/>
  <c r="N356" i="1" s="1"/>
  <c r="J356" i="1"/>
  <c r="H356" i="1"/>
  <c r="G356" i="1"/>
  <c r="K355" i="1"/>
  <c r="J355" i="1"/>
  <c r="H355" i="1"/>
  <c r="G355" i="1"/>
  <c r="K354" i="1"/>
  <c r="J354" i="1"/>
  <c r="H354" i="1"/>
  <c r="G354" i="1"/>
  <c r="K353" i="1"/>
  <c r="J353" i="1"/>
  <c r="H353" i="1"/>
  <c r="G353" i="1"/>
  <c r="L352" i="1"/>
  <c r="K352" i="1"/>
  <c r="J352" i="1"/>
  <c r="H352" i="1"/>
  <c r="G352" i="1"/>
  <c r="K351" i="1"/>
  <c r="J351" i="1"/>
  <c r="H351" i="1"/>
  <c r="G351" i="1"/>
  <c r="K350" i="1"/>
  <c r="J350" i="1"/>
  <c r="H350" i="1"/>
  <c r="G350" i="1"/>
  <c r="K349" i="1"/>
  <c r="M349" i="1" s="1"/>
  <c r="N349" i="1" s="1"/>
  <c r="J349" i="1"/>
  <c r="H349" i="1"/>
  <c r="G349" i="1"/>
  <c r="L348" i="1"/>
  <c r="K348" i="1"/>
  <c r="J348" i="1"/>
  <c r="H348" i="1"/>
  <c r="G348" i="1"/>
  <c r="K347" i="1"/>
  <c r="J347" i="1"/>
  <c r="H347" i="1"/>
  <c r="G347" i="1"/>
  <c r="K346" i="1"/>
  <c r="J346" i="1"/>
  <c r="G346" i="1"/>
  <c r="K345" i="1"/>
  <c r="J345" i="1"/>
  <c r="H345" i="1"/>
  <c r="G345" i="1"/>
  <c r="L344" i="1"/>
  <c r="K344" i="1"/>
  <c r="M344" i="1" s="1"/>
  <c r="N344" i="1" s="1"/>
  <c r="J344" i="1"/>
  <c r="G344" i="1"/>
  <c r="K343" i="1"/>
  <c r="J343" i="1"/>
  <c r="H343" i="1"/>
  <c r="G343" i="1"/>
  <c r="K342" i="1"/>
  <c r="J342" i="1"/>
  <c r="H342" i="1"/>
  <c r="G342" i="1"/>
  <c r="K341" i="1"/>
  <c r="J341" i="1"/>
  <c r="H341" i="1"/>
  <c r="G341" i="1"/>
  <c r="L340" i="1"/>
  <c r="K340" i="1"/>
  <c r="J340" i="1"/>
  <c r="H340" i="1"/>
  <c r="G340" i="1"/>
  <c r="K339" i="1"/>
  <c r="J339" i="1"/>
  <c r="H339" i="1"/>
  <c r="G339" i="1"/>
  <c r="K338" i="1"/>
  <c r="J338" i="1"/>
  <c r="H338" i="1"/>
  <c r="G338" i="1"/>
  <c r="K337" i="1"/>
  <c r="J337" i="1"/>
  <c r="H337" i="1"/>
  <c r="G337" i="1"/>
  <c r="L336" i="1"/>
  <c r="K336" i="1"/>
  <c r="M336" i="1" s="1"/>
  <c r="N336" i="1" s="1"/>
  <c r="J336" i="1"/>
  <c r="H336" i="1"/>
  <c r="G336" i="1"/>
  <c r="K335" i="1"/>
  <c r="J335" i="1"/>
  <c r="H335" i="1"/>
  <c r="G335" i="1"/>
  <c r="K334" i="1"/>
  <c r="J334" i="1"/>
  <c r="H334" i="1"/>
  <c r="G334" i="1"/>
  <c r="K333" i="1"/>
  <c r="J333" i="1"/>
  <c r="H333" i="1"/>
  <c r="G333" i="1"/>
  <c r="L332" i="1"/>
  <c r="K332" i="1"/>
  <c r="M332" i="1" s="1"/>
  <c r="N332" i="1" s="1"/>
  <c r="J332" i="1"/>
  <c r="H332" i="1"/>
  <c r="G332" i="1"/>
  <c r="K331" i="1"/>
  <c r="J331" i="1"/>
  <c r="H331" i="1"/>
  <c r="G331" i="1"/>
  <c r="K330" i="1"/>
  <c r="J330" i="1"/>
  <c r="G330" i="1"/>
  <c r="K329" i="1"/>
  <c r="J329" i="1"/>
  <c r="H329" i="1"/>
  <c r="G329" i="1"/>
  <c r="L328" i="1"/>
  <c r="K328" i="1"/>
  <c r="M328" i="1" s="1"/>
  <c r="N328" i="1" s="1"/>
  <c r="J328" i="1"/>
  <c r="G328" i="1"/>
  <c r="K327" i="1"/>
  <c r="J327" i="1"/>
  <c r="H327" i="1"/>
  <c r="G327" i="1"/>
  <c r="K326" i="1"/>
  <c r="J326" i="1"/>
  <c r="H326" i="1"/>
  <c r="G326" i="1"/>
  <c r="K325" i="1"/>
  <c r="M325" i="1" s="1"/>
  <c r="N325" i="1" s="1"/>
  <c r="J325" i="1"/>
  <c r="H325" i="1"/>
  <c r="G325" i="1"/>
  <c r="L324" i="1"/>
  <c r="K324" i="1"/>
  <c r="J324" i="1"/>
  <c r="H324" i="1"/>
  <c r="G324" i="1"/>
  <c r="K323" i="1"/>
  <c r="J323" i="1"/>
  <c r="G323" i="1"/>
  <c r="K322" i="1"/>
  <c r="J322" i="1"/>
  <c r="H322" i="1"/>
  <c r="G322" i="1"/>
  <c r="L321" i="1"/>
  <c r="K321" i="1"/>
  <c r="J321" i="1"/>
  <c r="H321" i="1"/>
  <c r="G321" i="1"/>
  <c r="I321" i="1" s="1"/>
  <c r="L320" i="1"/>
  <c r="K320" i="1"/>
  <c r="J320" i="1"/>
  <c r="H320" i="1"/>
  <c r="G320" i="1"/>
  <c r="K319" i="1"/>
  <c r="J319" i="1"/>
  <c r="H319" i="1"/>
  <c r="G319" i="1"/>
  <c r="K318" i="1"/>
  <c r="J318" i="1"/>
  <c r="H318" i="1"/>
  <c r="G318" i="1"/>
  <c r="K317" i="1"/>
  <c r="J317" i="1"/>
  <c r="H317" i="1"/>
  <c r="G317" i="1"/>
  <c r="L316" i="1"/>
  <c r="K316" i="1"/>
  <c r="J316" i="1"/>
  <c r="H316" i="1"/>
  <c r="G316" i="1"/>
  <c r="I316" i="1" s="1"/>
  <c r="K315" i="1"/>
  <c r="J315" i="1"/>
  <c r="H315" i="1"/>
  <c r="G315" i="1"/>
  <c r="I315" i="1" s="1"/>
  <c r="K314" i="1"/>
  <c r="J314" i="1"/>
  <c r="G314" i="1"/>
  <c r="K313" i="1"/>
  <c r="J313" i="1"/>
  <c r="H313" i="1"/>
  <c r="G313" i="1"/>
  <c r="L312" i="1"/>
  <c r="K312" i="1"/>
  <c r="J312" i="1"/>
  <c r="G312" i="1"/>
  <c r="K311" i="1"/>
  <c r="J311" i="1"/>
  <c r="H311" i="1"/>
  <c r="G311" i="1"/>
  <c r="K310" i="1"/>
  <c r="J310" i="1"/>
  <c r="H310" i="1"/>
  <c r="G310" i="1"/>
  <c r="K309" i="1"/>
  <c r="J309" i="1"/>
  <c r="H309" i="1"/>
  <c r="G309" i="1"/>
  <c r="L308" i="1"/>
  <c r="K308" i="1"/>
  <c r="M308" i="1" s="1"/>
  <c r="N308" i="1" s="1"/>
  <c r="J308" i="1"/>
  <c r="H308" i="1"/>
  <c r="G308" i="1"/>
  <c r="K307" i="1"/>
  <c r="J307" i="1"/>
  <c r="G307" i="1"/>
  <c r="K306" i="1"/>
  <c r="J306" i="1"/>
  <c r="H306" i="1"/>
  <c r="G306" i="1"/>
  <c r="K305" i="1"/>
  <c r="J305" i="1"/>
  <c r="G305" i="1"/>
  <c r="L304" i="1"/>
  <c r="K304" i="1"/>
  <c r="M304" i="1" s="1"/>
  <c r="N304" i="1" s="1"/>
  <c r="J304" i="1"/>
  <c r="H304" i="1"/>
  <c r="G304" i="1"/>
  <c r="K303" i="1"/>
  <c r="J303" i="1"/>
  <c r="G303" i="1"/>
  <c r="K302" i="1"/>
  <c r="J302" i="1"/>
  <c r="H302" i="1"/>
  <c r="G302" i="1"/>
  <c r="K301" i="1"/>
  <c r="J301" i="1"/>
  <c r="G301" i="1"/>
  <c r="L300" i="1"/>
  <c r="K300" i="1"/>
  <c r="M300" i="1" s="1"/>
  <c r="N300" i="1" s="1"/>
  <c r="J300" i="1"/>
  <c r="G300" i="1"/>
  <c r="K299" i="1"/>
  <c r="J299" i="1"/>
  <c r="G299" i="1"/>
  <c r="K298" i="1"/>
  <c r="J298" i="1"/>
  <c r="H298" i="1"/>
  <c r="G298" i="1"/>
  <c r="K297" i="1"/>
  <c r="J297" i="1"/>
  <c r="G297" i="1"/>
  <c r="L296" i="1"/>
  <c r="K296" i="1"/>
  <c r="M296" i="1" s="1"/>
  <c r="N296" i="1" s="1"/>
  <c r="J296" i="1"/>
  <c r="H296" i="1"/>
  <c r="G296" i="1"/>
  <c r="K295" i="1"/>
  <c r="J295" i="1"/>
  <c r="G295" i="1"/>
  <c r="K294" i="1"/>
  <c r="J294" i="1"/>
  <c r="H294" i="1"/>
  <c r="G294" i="1"/>
  <c r="K293" i="1"/>
  <c r="J293" i="1"/>
  <c r="G293" i="1"/>
  <c r="L292" i="1"/>
  <c r="K292" i="1"/>
  <c r="M292" i="1" s="1"/>
  <c r="N292" i="1" s="1"/>
  <c r="J292" i="1"/>
  <c r="H292" i="1"/>
  <c r="G292" i="1"/>
  <c r="K291" i="1"/>
  <c r="J291" i="1"/>
  <c r="G291" i="1"/>
  <c r="K290" i="1"/>
  <c r="J290" i="1"/>
  <c r="H290" i="1"/>
  <c r="G290" i="1"/>
  <c r="K289" i="1"/>
  <c r="J289" i="1"/>
  <c r="G289" i="1"/>
  <c r="L288" i="1"/>
  <c r="K288" i="1"/>
  <c r="M288" i="1" s="1"/>
  <c r="N288" i="1" s="1"/>
  <c r="J288" i="1"/>
  <c r="H288" i="1"/>
  <c r="G288" i="1"/>
  <c r="K287" i="1"/>
  <c r="J287" i="1"/>
  <c r="G287" i="1"/>
  <c r="K286" i="1"/>
  <c r="J286" i="1"/>
  <c r="H286" i="1"/>
  <c r="G286" i="1"/>
  <c r="K285" i="1"/>
  <c r="J285" i="1"/>
  <c r="G285" i="1"/>
  <c r="L284" i="1"/>
  <c r="K284" i="1"/>
  <c r="J284" i="1"/>
  <c r="H284" i="1"/>
  <c r="G284" i="1"/>
  <c r="K283" i="1"/>
  <c r="J283" i="1"/>
  <c r="G283" i="1"/>
  <c r="K282" i="1"/>
  <c r="J282" i="1"/>
  <c r="H282" i="1"/>
  <c r="G282" i="1"/>
  <c r="I282" i="1" s="1"/>
  <c r="K281" i="1"/>
  <c r="J281" i="1"/>
  <c r="G281" i="1"/>
  <c r="L280" i="1"/>
  <c r="K280" i="1"/>
  <c r="M280" i="1" s="1"/>
  <c r="N280" i="1" s="1"/>
  <c r="J280" i="1"/>
  <c r="H280" i="1"/>
  <c r="G280" i="1"/>
  <c r="I280" i="1" s="1"/>
  <c r="K279" i="1"/>
  <c r="J279" i="1"/>
  <c r="G279" i="1"/>
  <c r="K278" i="1"/>
  <c r="J278" i="1"/>
  <c r="H278" i="1"/>
  <c r="G278" i="1"/>
  <c r="K277" i="1"/>
  <c r="J277" i="1"/>
  <c r="G277" i="1"/>
  <c r="L276" i="1"/>
  <c r="K276" i="1"/>
  <c r="M276" i="1" s="1"/>
  <c r="N276" i="1" s="1"/>
  <c r="J276" i="1"/>
  <c r="H276" i="1"/>
  <c r="G276" i="1"/>
  <c r="K275" i="1"/>
  <c r="J275" i="1"/>
  <c r="G275" i="1"/>
  <c r="K274" i="1"/>
  <c r="J274" i="1"/>
  <c r="H274" i="1"/>
  <c r="G274" i="1"/>
  <c r="K273" i="1"/>
  <c r="J273" i="1"/>
  <c r="G273" i="1"/>
  <c r="L272" i="1"/>
  <c r="K272" i="1"/>
  <c r="M272" i="1" s="1"/>
  <c r="N272" i="1" s="1"/>
  <c r="J272" i="1"/>
  <c r="G272" i="1"/>
  <c r="K271" i="1"/>
  <c r="J271" i="1"/>
  <c r="G271" i="1"/>
  <c r="K270" i="1"/>
  <c r="J270" i="1"/>
  <c r="H270" i="1"/>
  <c r="G270" i="1"/>
  <c r="K269" i="1"/>
  <c r="J269" i="1"/>
  <c r="G269" i="1"/>
  <c r="L268" i="1"/>
  <c r="K268" i="1"/>
  <c r="M268" i="1" s="1"/>
  <c r="N268" i="1" s="1"/>
  <c r="J268" i="1"/>
  <c r="H268" i="1"/>
  <c r="G268" i="1"/>
  <c r="K267" i="1"/>
  <c r="J267" i="1"/>
  <c r="G267" i="1"/>
  <c r="K266" i="1"/>
  <c r="J266" i="1"/>
  <c r="H266" i="1"/>
  <c r="G266" i="1"/>
  <c r="K265" i="1"/>
  <c r="J265" i="1"/>
  <c r="G265" i="1"/>
  <c r="L264" i="1"/>
  <c r="K264" i="1"/>
  <c r="J264" i="1"/>
  <c r="G264" i="1"/>
  <c r="K263" i="1"/>
  <c r="J263" i="1"/>
  <c r="G263" i="1"/>
  <c r="K262" i="1"/>
  <c r="J262" i="1"/>
  <c r="G262" i="1"/>
  <c r="K261" i="1"/>
  <c r="J261" i="1"/>
  <c r="G261" i="1"/>
  <c r="L260" i="1"/>
  <c r="K260" i="1"/>
  <c r="M260" i="1" s="1"/>
  <c r="N260" i="1" s="1"/>
  <c r="J260" i="1"/>
  <c r="H260" i="1"/>
  <c r="G260" i="1"/>
  <c r="K259" i="1"/>
  <c r="J259" i="1"/>
  <c r="G259" i="1"/>
  <c r="K258" i="1"/>
  <c r="J258" i="1"/>
  <c r="H258" i="1"/>
  <c r="G258" i="1"/>
  <c r="K257" i="1"/>
  <c r="J257" i="1"/>
  <c r="G257" i="1"/>
  <c r="L256" i="1"/>
  <c r="K256" i="1"/>
  <c r="J256" i="1"/>
  <c r="H256" i="1"/>
  <c r="G256" i="1"/>
  <c r="K255" i="1"/>
  <c r="J255" i="1"/>
  <c r="G255" i="1"/>
  <c r="K254" i="1"/>
  <c r="J254" i="1"/>
  <c r="H254" i="1"/>
  <c r="G254" i="1"/>
  <c r="K253" i="1"/>
  <c r="J253" i="1"/>
  <c r="G253" i="1"/>
  <c r="L252" i="1"/>
  <c r="K252" i="1"/>
  <c r="M252" i="1" s="1"/>
  <c r="N252" i="1" s="1"/>
  <c r="J252" i="1"/>
  <c r="H252" i="1"/>
  <c r="G252" i="1"/>
  <c r="K251" i="1"/>
  <c r="J251" i="1"/>
  <c r="G251" i="1"/>
  <c r="K250" i="1"/>
  <c r="J250" i="1"/>
  <c r="H250" i="1"/>
  <c r="G250" i="1"/>
  <c r="K249" i="1"/>
  <c r="J249" i="1"/>
  <c r="G249" i="1"/>
  <c r="L248" i="1"/>
  <c r="K248" i="1"/>
  <c r="J248" i="1"/>
  <c r="H248" i="1"/>
  <c r="G248" i="1"/>
  <c r="K247" i="1"/>
  <c r="J247" i="1"/>
  <c r="G247" i="1"/>
  <c r="K246" i="1"/>
  <c r="J246" i="1"/>
  <c r="H246" i="1"/>
  <c r="G246" i="1"/>
  <c r="K245" i="1"/>
  <c r="J245" i="1"/>
  <c r="G245" i="1"/>
  <c r="L244" i="1"/>
  <c r="K244" i="1"/>
  <c r="M244" i="1" s="1"/>
  <c r="N244" i="1" s="1"/>
  <c r="J244" i="1"/>
  <c r="G244" i="1"/>
  <c r="K243" i="1"/>
  <c r="J243" i="1"/>
  <c r="G243" i="1"/>
  <c r="K242" i="1"/>
  <c r="J242" i="1"/>
  <c r="H242" i="1"/>
  <c r="G242" i="1"/>
  <c r="K241" i="1"/>
  <c r="J241" i="1"/>
  <c r="G241" i="1"/>
  <c r="L240" i="1"/>
  <c r="K240" i="1"/>
  <c r="M240" i="1" s="1"/>
  <c r="N240" i="1" s="1"/>
  <c r="J240" i="1"/>
  <c r="H240" i="1"/>
  <c r="G240" i="1"/>
  <c r="K239" i="1"/>
  <c r="J239" i="1"/>
  <c r="G239" i="1"/>
  <c r="K238" i="1"/>
  <c r="J238" i="1"/>
  <c r="H238" i="1"/>
  <c r="G238" i="1"/>
  <c r="K237" i="1"/>
  <c r="J237" i="1"/>
  <c r="G237" i="1"/>
  <c r="L236" i="1"/>
  <c r="K236" i="1"/>
  <c r="J236" i="1"/>
  <c r="G236" i="1"/>
  <c r="K235" i="1"/>
  <c r="J235" i="1"/>
  <c r="G235" i="1"/>
  <c r="K234" i="1"/>
  <c r="J234" i="1"/>
  <c r="H234" i="1"/>
  <c r="G234" i="1"/>
  <c r="K233" i="1"/>
  <c r="J233" i="1"/>
  <c r="G233" i="1"/>
  <c r="L232" i="1"/>
  <c r="K232" i="1"/>
  <c r="J232" i="1"/>
  <c r="H232" i="1"/>
  <c r="G232" i="1"/>
  <c r="K231" i="1"/>
  <c r="J231" i="1"/>
  <c r="G231" i="1"/>
  <c r="K230" i="1"/>
  <c r="J230" i="1"/>
  <c r="H230" i="1"/>
  <c r="G230" i="1"/>
  <c r="K229" i="1"/>
  <c r="J229" i="1"/>
  <c r="G229" i="1"/>
  <c r="L228" i="1"/>
  <c r="K228" i="1"/>
  <c r="M228" i="1" s="1"/>
  <c r="N228" i="1" s="1"/>
  <c r="J228" i="1"/>
  <c r="H228" i="1"/>
  <c r="G228" i="1"/>
  <c r="K227" i="1"/>
  <c r="J227" i="1"/>
  <c r="G227" i="1"/>
  <c r="K226" i="1"/>
  <c r="J226" i="1"/>
  <c r="H226" i="1"/>
  <c r="G226" i="1"/>
  <c r="K225" i="1"/>
  <c r="J225" i="1"/>
  <c r="G225" i="1"/>
  <c r="L224" i="1"/>
  <c r="K224" i="1"/>
  <c r="J224" i="1"/>
  <c r="H224" i="1"/>
  <c r="G224" i="1"/>
  <c r="K223" i="1"/>
  <c r="J223" i="1"/>
  <c r="G223" i="1"/>
  <c r="K222" i="1"/>
  <c r="J222" i="1"/>
  <c r="H222" i="1"/>
  <c r="G222" i="1"/>
  <c r="K221" i="1"/>
  <c r="J221" i="1"/>
  <c r="G221" i="1"/>
  <c r="L220" i="1"/>
  <c r="K220" i="1"/>
  <c r="M220" i="1" s="1"/>
  <c r="N220" i="1" s="1"/>
  <c r="J220" i="1"/>
  <c r="H220" i="1"/>
  <c r="G220" i="1"/>
  <c r="K219" i="1"/>
  <c r="J219" i="1"/>
  <c r="G219" i="1"/>
  <c r="K218" i="1"/>
  <c r="J218" i="1"/>
  <c r="H218" i="1"/>
  <c r="G218" i="1"/>
  <c r="K217" i="1"/>
  <c r="J217" i="1"/>
  <c r="G217" i="1"/>
  <c r="L216" i="1"/>
  <c r="K216" i="1"/>
  <c r="J216" i="1"/>
  <c r="H216" i="1"/>
  <c r="G216" i="1"/>
  <c r="K215" i="1"/>
  <c r="J215" i="1"/>
  <c r="G215" i="1"/>
  <c r="K214" i="1"/>
  <c r="J214" i="1"/>
  <c r="H214" i="1"/>
  <c r="G214" i="1"/>
  <c r="K213" i="1"/>
  <c r="J213" i="1"/>
  <c r="G213" i="1"/>
  <c r="L212" i="1"/>
  <c r="K212" i="1"/>
  <c r="M212" i="1" s="1"/>
  <c r="N212" i="1" s="1"/>
  <c r="J212" i="1"/>
  <c r="H212" i="1"/>
  <c r="G212" i="1"/>
  <c r="K211" i="1"/>
  <c r="J211" i="1"/>
  <c r="G211" i="1"/>
  <c r="K210" i="1"/>
  <c r="J210" i="1"/>
  <c r="H210" i="1"/>
  <c r="G210" i="1"/>
  <c r="K209" i="1"/>
  <c r="J209" i="1"/>
  <c r="G209" i="1"/>
  <c r="L208" i="1"/>
  <c r="K208" i="1"/>
  <c r="J208" i="1"/>
  <c r="G208" i="1"/>
  <c r="K207" i="1"/>
  <c r="J207" i="1"/>
  <c r="G207" i="1"/>
  <c r="K206" i="1"/>
  <c r="J206" i="1"/>
  <c r="H206" i="1"/>
  <c r="G206" i="1"/>
  <c r="K205" i="1"/>
  <c r="J205" i="1"/>
  <c r="G205" i="1"/>
  <c r="L204" i="1"/>
  <c r="K204" i="1"/>
  <c r="J204" i="1"/>
  <c r="H204" i="1"/>
  <c r="G204" i="1"/>
  <c r="K203" i="1"/>
  <c r="J203" i="1"/>
  <c r="G203" i="1"/>
  <c r="K202" i="1"/>
  <c r="J202" i="1"/>
  <c r="H202" i="1"/>
  <c r="G202" i="1"/>
  <c r="K201" i="1"/>
  <c r="J201" i="1"/>
  <c r="G201" i="1"/>
  <c r="L200" i="1"/>
  <c r="K200" i="1"/>
  <c r="M200" i="1" s="1"/>
  <c r="N200" i="1" s="1"/>
  <c r="J200" i="1"/>
  <c r="G200" i="1"/>
  <c r="K199" i="1"/>
  <c r="J199" i="1"/>
  <c r="G199" i="1"/>
  <c r="K198" i="1"/>
  <c r="J198" i="1"/>
  <c r="G198" i="1"/>
  <c r="K197" i="1"/>
  <c r="J197" i="1"/>
  <c r="G197" i="1"/>
  <c r="L196" i="1"/>
  <c r="K196" i="1"/>
  <c r="J196" i="1"/>
  <c r="H196" i="1"/>
  <c r="G196" i="1"/>
  <c r="K195" i="1"/>
  <c r="J195" i="1"/>
  <c r="G195" i="1"/>
  <c r="K194" i="1"/>
  <c r="J194" i="1"/>
  <c r="H194" i="1"/>
  <c r="G194" i="1"/>
  <c r="K193" i="1"/>
  <c r="J193" i="1"/>
  <c r="G193" i="1"/>
  <c r="L192" i="1"/>
  <c r="K192" i="1"/>
  <c r="M192" i="1" s="1"/>
  <c r="N192" i="1" s="1"/>
  <c r="J192" i="1"/>
  <c r="H192" i="1"/>
  <c r="G192" i="1"/>
  <c r="K191" i="1"/>
  <c r="J191" i="1"/>
  <c r="G191" i="1"/>
  <c r="K190" i="1"/>
  <c r="J190" i="1"/>
  <c r="H190" i="1"/>
  <c r="G190" i="1"/>
  <c r="K189" i="1"/>
  <c r="J189" i="1"/>
  <c r="G189" i="1"/>
  <c r="L188" i="1"/>
  <c r="K188" i="1"/>
  <c r="J188" i="1"/>
  <c r="H188" i="1"/>
  <c r="G188" i="1"/>
  <c r="K187" i="1"/>
  <c r="J187" i="1"/>
  <c r="G187" i="1"/>
  <c r="K186" i="1"/>
  <c r="J186" i="1"/>
  <c r="H186" i="1"/>
  <c r="G186" i="1"/>
  <c r="K185" i="1"/>
  <c r="J185" i="1"/>
  <c r="G185" i="1"/>
  <c r="L184" i="1"/>
  <c r="K184" i="1"/>
  <c r="M184" i="1" s="1"/>
  <c r="N184" i="1" s="1"/>
  <c r="J184" i="1"/>
  <c r="H184" i="1"/>
  <c r="G184" i="1"/>
  <c r="K183" i="1"/>
  <c r="J183" i="1"/>
  <c r="G183" i="1"/>
  <c r="K182" i="1"/>
  <c r="J182" i="1"/>
  <c r="H182" i="1"/>
  <c r="G182" i="1"/>
  <c r="K181" i="1"/>
  <c r="J181" i="1"/>
  <c r="G181" i="1"/>
  <c r="L180" i="1"/>
  <c r="K180" i="1"/>
  <c r="J180" i="1"/>
  <c r="G180" i="1"/>
  <c r="K179" i="1"/>
  <c r="J179" i="1"/>
  <c r="G179" i="1"/>
  <c r="K178" i="1"/>
  <c r="J178" i="1"/>
  <c r="H178" i="1"/>
  <c r="G178" i="1"/>
  <c r="K177" i="1"/>
  <c r="J177" i="1"/>
  <c r="G177" i="1"/>
  <c r="L176" i="1"/>
  <c r="K176" i="1"/>
  <c r="J176" i="1"/>
  <c r="H176" i="1"/>
  <c r="G176" i="1"/>
  <c r="K175" i="1"/>
  <c r="J175" i="1"/>
  <c r="G175" i="1"/>
  <c r="K174" i="1"/>
  <c r="J174" i="1"/>
  <c r="H174" i="1"/>
  <c r="G174" i="1"/>
  <c r="K173" i="1"/>
  <c r="J173" i="1"/>
  <c r="G173" i="1"/>
  <c r="L172" i="1"/>
  <c r="K172" i="1"/>
  <c r="M172" i="1" s="1"/>
  <c r="N172" i="1" s="1"/>
  <c r="J172" i="1"/>
  <c r="G172" i="1"/>
  <c r="K171" i="1"/>
  <c r="J171" i="1"/>
  <c r="G171" i="1"/>
  <c r="K170" i="1"/>
  <c r="J170" i="1"/>
  <c r="H170" i="1"/>
  <c r="G170" i="1"/>
  <c r="K169" i="1"/>
  <c r="J169" i="1"/>
  <c r="G169" i="1"/>
  <c r="L168" i="1"/>
  <c r="K168" i="1"/>
  <c r="M168" i="1" s="1"/>
  <c r="N168" i="1" s="1"/>
  <c r="J168" i="1"/>
  <c r="H168" i="1"/>
  <c r="G168" i="1"/>
  <c r="K167" i="1"/>
  <c r="J167" i="1"/>
  <c r="G167" i="1"/>
  <c r="K166" i="1"/>
  <c r="J166" i="1"/>
  <c r="H166" i="1"/>
  <c r="G166" i="1"/>
  <c r="K165" i="1"/>
  <c r="J165" i="1"/>
  <c r="G165" i="1"/>
  <c r="L164" i="1"/>
  <c r="K164" i="1"/>
  <c r="J164" i="1"/>
  <c r="H164" i="1"/>
  <c r="G164" i="1"/>
  <c r="K163" i="1"/>
  <c r="J163" i="1"/>
  <c r="G163" i="1"/>
  <c r="K162" i="1"/>
  <c r="J162" i="1"/>
  <c r="H162" i="1"/>
  <c r="G162" i="1"/>
  <c r="K161" i="1"/>
  <c r="J161" i="1"/>
  <c r="G161" i="1"/>
  <c r="L160" i="1"/>
  <c r="K160" i="1"/>
  <c r="M160" i="1" s="1"/>
  <c r="N160" i="1" s="1"/>
  <c r="J160" i="1"/>
  <c r="H160" i="1"/>
  <c r="G160" i="1"/>
  <c r="K159" i="1"/>
  <c r="J159" i="1"/>
  <c r="G159" i="1"/>
  <c r="K158" i="1"/>
  <c r="J158" i="1"/>
  <c r="H158" i="1"/>
  <c r="G158" i="1"/>
  <c r="K157" i="1"/>
  <c r="J157" i="1"/>
  <c r="G157" i="1"/>
  <c r="L156" i="1"/>
  <c r="K156" i="1"/>
  <c r="J156" i="1"/>
  <c r="H156" i="1"/>
  <c r="G156" i="1"/>
  <c r="K155" i="1"/>
  <c r="J155" i="1"/>
  <c r="G155" i="1"/>
  <c r="K154" i="1"/>
  <c r="J154" i="1"/>
  <c r="H154" i="1"/>
  <c r="G154" i="1"/>
  <c r="K153" i="1"/>
  <c r="J153" i="1"/>
  <c r="G153" i="1"/>
  <c r="L152" i="1"/>
  <c r="K152" i="1"/>
  <c r="M152" i="1" s="1"/>
  <c r="N152" i="1" s="1"/>
  <c r="J152" i="1"/>
  <c r="H152" i="1"/>
  <c r="G152" i="1"/>
  <c r="K151" i="1"/>
  <c r="J151" i="1"/>
  <c r="G151" i="1"/>
  <c r="K150" i="1"/>
  <c r="J150" i="1"/>
  <c r="H150" i="1"/>
  <c r="G150" i="1"/>
  <c r="K149" i="1"/>
  <c r="J149" i="1"/>
  <c r="G149" i="1"/>
  <c r="L148" i="1"/>
  <c r="K148" i="1"/>
  <c r="J148" i="1"/>
  <c r="H148" i="1"/>
  <c r="G148" i="1"/>
  <c r="K147" i="1"/>
  <c r="J147" i="1"/>
  <c r="G147" i="1"/>
  <c r="K146" i="1"/>
  <c r="J146" i="1"/>
  <c r="H146" i="1"/>
  <c r="G146" i="1"/>
  <c r="K145" i="1"/>
  <c r="J145" i="1"/>
  <c r="G145" i="1"/>
  <c r="L144" i="1"/>
  <c r="K144" i="1"/>
  <c r="M144" i="1" s="1"/>
  <c r="N144" i="1" s="1"/>
  <c r="J144" i="1"/>
  <c r="G144" i="1"/>
  <c r="K143" i="1"/>
  <c r="J143" i="1"/>
  <c r="G143" i="1"/>
  <c r="K142" i="1"/>
  <c r="J142" i="1"/>
  <c r="H142" i="1"/>
  <c r="G142" i="1"/>
  <c r="K141" i="1"/>
  <c r="J141" i="1"/>
  <c r="G141" i="1"/>
  <c r="L140" i="1"/>
  <c r="K140" i="1"/>
  <c r="M140" i="1" s="1"/>
  <c r="N140" i="1" s="1"/>
  <c r="J140" i="1"/>
  <c r="H140" i="1"/>
  <c r="G140" i="1"/>
  <c r="K139" i="1"/>
  <c r="J139" i="1"/>
  <c r="G139" i="1"/>
  <c r="K138" i="1"/>
  <c r="J138" i="1"/>
  <c r="H138" i="1"/>
  <c r="G138" i="1"/>
  <c r="K137" i="1"/>
  <c r="J137" i="1"/>
  <c r="G137" i="1"/>
  <c r="L136" i="1"/>
  <c r="K136" i="1"/>
  <c r="J136" i="1"/>
  <c r="G136" i="1"/>
  <c r="K135" i="1"/>
  <c r="J135" i="1"/>
  <c r="G135" i="1"/>
  <c r="K134" i="1"/>
  <c r="J134" i="1"/>
  <c r="G134" i="1"/>
  <c r="K133" i="1"/>
  <c r="J133" i="1"/>
  <c r="G133" i="1"/>
  <c r="L132" i="1"/>
  <c r="K132" i="1"/>
  <c r="M132" i="1" s="1"/>
  <c r="N132" i="1" s="1"/>
  <c r="J132" i="1"/>
  <c r="H132" i="1"/>
  <c r="G132" i="1"/>
  <c r="K131" i="1"/>
  <c r="J131" i="1"/>
  <c r="G131" i="1"/>
  <c r="K130" i="1"/>
  <c r="J130" i="1"/>
  <c r="H130" i="1"/>
  <c r="G130" i="1"/>
  <c r="K129" i="1"/>
  <c r="J129" i="1"/>
  <c r="G129" i="1"/>
  <c r="L128" i="1"/>
  <c r="K128" i="1"/>
  <c r="J128" i="1"/>
  <c r="H128" i="1"/>
  <c r="G128" i="1"/>
  <c r="K127" i="1"/>
  <c r="J127" i="1"/>
  <c r="G127" i="1"/>
  <c r="K126" i="1"/>
  <c r="J126" i="1"/>
  <c r="H126" i="1"/>
  <c r="G126" i="1"/>
  <c r="K125" i="1"/>
  <c r="J125" i="1"/>
  <c r="G125" i="1"/>
  <c r="L124" i="1"/>
  <c r="K124" i="1"/>
  <c r="M124" i="1" s="1"/>
  <c r="N124" i="1" s="1"/>
  <c r="J124" i="1"/>
  <c r="H124" i="1"/>
  <c r="G124" i="1"/>
  <c r="K123" i="1"/>
  <c r="J123" i="1"/>
  <c r="G123" i="1"/>
  <c r="K122" i="1"/>
  <c r="J122" i="1"/>
  <c r="H122" i="1"/>
  <c r="G122" i="1"/>
  <c r="K121" i="1"/>
  <c r="J121" i="1"/>
  <c r="G121" i="1"/>
  <c r="L120" i="1"/>
  <c r="K120" i="1"/>
  <c r="J120" i="1"/>
  <c r="H120" i="1"/>
  <c r="G120" i="1"/>
  <c r="K119" i="1"/>
  <c r="J119" i="1"/>
  <c r="G119" i="1"/>
  <c r="K118" i="1"/>
  <c r="J118" i="1"/>
  <c r="H118" i="1"/>
  <c r="G118" i="1"/>
  <c r="K117" i="1"/>
  <c r="J117" i="1"/>
  <c r="G117" i="1"/>
  <c r="L116" i="1"/>
  <c r="K116" i="1"/>
  <c r="M116" i="1" s="1"/>
  <c r="N116" i="1" s="1"/>
  <c r="J116" i="1"/>
  <c r="G116" i="1"/>
  <c r="K115" i="1"/>
  <c r="J115" i="1"/>
  <c r="G115" i="1"/>
  <c r="K114" i="1"/>
  <c r="J114" i="1"/>
  <c r="H114" i="1"/>
  <c r="G114" i="1"/>
  <c r="K113" i="1"/>
  <c r="J113" i="1"/>
  <c r="G113" i="1"/>
  <c r="L112" i="1"/>
  <c r="K112" i="1"/>
  <c r="M112" i="1" s="1"/>
  <c r="N112" i="1" s="1"/>
  <c r="J112" i="1"/>
  <c r="H112" i="1"/>
  <c r="G112" i="1"/>
  <c r="K111" i="1"/>
  <c r="J111" i="1"/>
  <c r="G111" i="1"/>
  <c r="K110" i="1"/>
  <c r="J110" i="1"/>
  <c r="H110" i="1"/>
  <c r="G110" i="1"/>
  <c r="K109" i="1"/>
  <c r="J109" i="1"/>
  <c r="G109" i="1"/>
  <c r="L108" i="1"/>
  <c r="K108" i="1"/>
  <c r="J108" i="1"/>
  <c r="G108" i="1"/>
  <c r="K107" i="1"/>
  <c r="J107" i="1"/>
  <c r="G107" i="1"/>
  <c r="K106" i="1"/>
  <c r="J106" i="1"/>
  <c r="H106" i="1"/>
  <c r="G106" i="1"/>
  <c r="K105" i="1"/>
  <c r="J105" i="1"/>
  <c r="G105" i="1"/>
  <c r="L104" i="1"/>
  <c r="K104" i="1"/>
  <c r="J104" i="1"/>
  <c r="H104" i="1"/>
  <c r="G104" i="1"/>
  <c r="K103" i="1"/>
  <c r="J103" i="1"/>
  <c r="G103" i="1"/>
  <c r="K102" i="1"/>
  <c r="J102" i="1"/>
  <c r="H102" i="1"/>
  <c r="G102" i="1"/>
  <c r="K101" i="1"/>
  <c r="J101" i="1"/>
  <c r="G101" i="1"/>
  <c r="L100" i="1"/>
  <c r="K100" i="1"/>
  <c r="M100" i="1" s="1"/>
  <c r="N100" i="1" s="1"/>
  <c r="J100" i="1"/>
  <c r="H100" i="1"/>
  <c r="G100" i="1"/>
  <c r="K99" i="1"/>
  <c r="J99" i="1"/>
  <c r="G99" i="1"/>
  <c r="K98" i="1"/>
  <c r="J98" i="1"/>
  <c r="H98" i="1"/>
  <c r="G98" i="1"/>
  <c r="K97" i="1"/>
  <c r="J97" i="1"/>
  <c r="G97" i="1"/>
  <c r="L96" i="1"/>
  <c r="K96" i="1"/>
  <c r="J96" i="1"/>
  <c r="H96" i="1"/>
  <c r="G96" i="1"/>
  <c r="K95" i="1"/>
  <c r="J95" i="1"/>
  <c r="G95" i="1"/>
  <c r="K94" i="1"/>
  <c r="J94" i="1"/>
  <c r="H94" i="1"/>
  <c r="G94" i="1"/>
  <c r="K93" i="1"/>
  <c r="J93" i="1"/>
  <c r="G93" i="1"/>
  <c r="L92" i="1"/>
  <c r="K92" i="1"/>
  <c r="M92" i="1" s="1"/>
  <c r="N92" i="1" s="1"/>
  <c r="J92" i="1"/>
  <c r="H92" i="1"/>
  <c r="G92" i="1"/>
  <c r="K91" i="1"/>
  <c r="J91" i="1"/>
  <c r="G91" i="1"/>
  <c r="K90" i="1"/>
  <c r="J90" i="1"/>
  <c r="H90" i="1"/>
  <c r="G90" i="1"/>
  <c r="K89" i="1"/>
  <c r="J89" i="1"/>
  <c r="G89" i="1"/>
  <c r="L88" i="1"/>
  <c r="K88" i="1"/>
  <c r="J88" i="1"/>
  <c r="H88" i="1"/>
  <c r="G88" i="1"/>
  <c r="K87" i="1"/>
  <c r="J87" i="1"/>
  <c r="G87" i="1"/>
  <c r="K86" i="1"/>
  <c r="J86" i="1"/>
  <c r="H86" i="1"/>
  <c r="G86" i="1"/>
  <c r="K85" i="1"/>
  <c r="J85" i="1"/>
  <c r="G85" i="1"/>
  <c r="L84" i="1"/>
  <c r="K84" i="1"/>
  <c r="M84" i="1" s="1"/>
  <c r="N84" i="1" s="1"/>
  <c r="J84" i="1"/>
  <c r="H84" i="1"/>
  <c r="G84" i="1"/>
  <c r="K83" i="1"/>
  <c r="J83" i="1"/>
  <c r="G83" i="1"/>
  <c r="K82" i="1"/>
  <c r="J82" i="1"/>
  <c r="H82" i="1"/>
  <c r="G82" i="1"/>
  <c r="K81" i="1"/>
  <c r="J81" i="1"/>
  <c r="G81" i="1"/>
  <c r="L80" i="1"/>
  <c r="K80" i="1"/>
  <c r="J80" i="1"/>
  <c r="G80" i="1"/>
  <c r="K79" i="1"/>
  <c r="J79" i="1"/>
  <c r="G79" i="1"/>
  <c r="K78" i="1"/>
  <c r="J78" i="1"/>
  <c r="H78" i="1"/>
  <c r="G78" i="1"/>
  <c r="K77" i="1"/>
  <c r="J77" i="1"/>
  <c r="G77" i="1"/>
  <c r="L76" i="1"/>
  <c r="K76" i="1"/>
  <c r="J76" i="1"/>
  <c r="H76" i="1"/>
  <c r="G76" i="1"/>
  <c r="K75" i="1"/>
  <c r="J75" i="1"/>
  <c r="G75" i="1"/>
  <c r="K74" i="1"/>
  <c r="J74" i="1"/>
  <c r="H74" i="1"/>
  <c r="G74" i="1"/>
  <c r="K73" i="1"/>
  <c r="J73" i="1"/>
  <c r="G73" i="1"/>
  <c r="L72" i="1"/>
  <c r="K72" i="1"/>
  <c r="M72" i="1" s="1"/>
  <c r="N72" i="1" s="1"/>
  <c r="J72" i="1"/>
  <c r="G72" i="1"/>
  <c r="K71" i="1"/>
  <c r="J71" i="1"/>
  <c r="G71" i="1"/>
  <c r="K70" i="1"/>
  <c r="J70" i="1"/>
  <c r="G70" i="1"/>
  <c r="K69" i="1"/>
  <c r="J69" i="1"/>
  <c r="G69" i="1"/>
  <c r="L68" i="1"/>
  <c r="K68" i="1"/>
  <c r="J68" i="1"/>
  <c r="H68" i="1"/>
  <c r="G68" i="1"/>
  <c r="K67" i="1"/>
  <c r="J67" i="1"/>
  <c r="G67" i="1"/>
  <c r="K66" i="1"/>
  <c r="J66" i="1"/>
  <c r="H66" i="1"/>
  <c r="G66" i="1"/>
  <c r="K65" i="1"/>
  <c r="J65" i="1"/>
  <c r="G65" i="1"/>
  <c r="L64" i="1"/>
  <c r="K64" i="1"/>
  <c r="M64" i="1" s="1"/>
  <c r="N64" i="1" s="1"/>
  <c r="J64" i="1"/>
  <c r="H64" i="1"/>
  <c r="G64" i="1"/>
  <c r="K63" i="1"/>
  <c r="J63" i="1"/>
  <c r="G63" i="1"/>
  <c r="K62" i="1"/>
  <c r="J62" i="1"/>
  <c r="H62" i="1"/>
  <c r="G62" i="1"/>
  <c r="K61" i="1"/>
  <c r="J61" i="1"/>
  <c r="G61" i="1"/>
  <c r="L60" i="1"/>
  <c r="K60" i="1"/>
  <c r="J60" i="1"/>
  <c r="H60" i="1"/>
  <c r="G60" i="1"/>
  <c r="K59" i="1"/>
  <c r="J59" i="1"/>
  <c r="G59" i="1"/>
  <c r="K58" i="1"/>
  <c r="J58" i="1"/>
  <c r="H58" i="1"/>
  <c r="G58" i="1"/>
  <c r="K57" i="1"/>
  <c r="J57" i="1"/>
  <c r="G57" i="1"/>
  <c r="K56" i="1"/>
  <c r="J56" i="1"/>
  <c r="H56" i="1"/>
  <c r="G56" i="1"/>
  <c r="K55" i="1"/>
  <c r="J55" i="1"/>
  <c r="G55" i="1"/>
  <c r="K54" i="1"/>
  <c r="J54" i="1"/>
  <c r="H54" i="1"/>
  <c r="G54" i="1"/>
  <c r="K53" i="1"/>
  <c r="J53" i="1"/>
  <c r="G53" i="1"/>
  <c r="K52" i="1"/>
  <c r="J52" i="1"/>
  <c r="G52" i="1"/>
  <c r="K51" i="1"/>
  <c r="J51" i="1"/>
  <c r="G51" i="1"/>
  <c r="K50" i="1"/>
  <c r="J50" i="1"/>
  <c r="H50" i="1"/>
  <c r="G50" i="1"/>
  <c r="K49" i="1"/>
  <c r="J49" i="1"/>
  <c r="G49" i="1"/>
  <c r="K48" i="1"/>
  <c r="J48" i="1"/>
  <c r="H48" i="1"/>
  <c r="G48" i="1"/>
  <c r="K47" i="1"/>
  <c r="J47" i="1"/>
  <c r="G47" i="1"/>
  <c r="K46" i="1"/>
  <c r="J46" i="1"/>
  <c r="H46" i="1"/>
  <c r="G46" i="1"/>
  <c r="K45" i="1"/>
  <c r="J45" i="1"/>
  <c r="G45" i="1"/>
  <c r="K44" i="1"/>
  <c r="J44" i="1"/>
  <c r="G44" i="1"/>
  <c r="K43" i="1"/>
  <c r="J43" i="1"/>
  <c r="G43" i="1"/>
  <c r="K42" i="1"/>
  <c r="J42" i="1"/>
  <c r="H42" i="1"/>
  <c r="G42" i="1"/>
  <c r="I42" i="1" s="1"/>
  <c r="K41" i="1"/>
  <c r="J41" i="1"/>
  <c r="G41" i="1"/>
  <c r="K40" i="1"/>
  <c r="J40" i="1"/>
  <c r="H40" i="1"/>
  <c r="G40" i="1"/>
  <c r="K39" i="1"/>
  <c r="J39" i="1"/>
  <c r="G39" i="1"/>
  <c r="K38" i="1"/>
  <c r="J38" i="1"/>
  <c r="H38" i="1"/>
  <c r="G38" i="1"/>
  <c r="K37" i="1"/>
  <c r="J37" i="1"/>
  <c r="G37" i="1"/>
  <c r="K36" i="1"/>
  <c r="J36" i="1"/>
  <c r="H36" i="1"/>
  <c r="G36" i="1"/>
  <c r="K35" i="1"/>
  <c r="J35" i="1"/>
  <c r="G35" i="1"/>
  <c r="K34" i="1"/>
  <c r="J34" i="1"/>
  <c r="H34" i="1"/>
  <c r="G34" i="1"/>
  <c r="K33" i="1"/>
  <c r="J33" i="1"/>
  <c r="G33" i="1"/>
  <c r="K32" i="1"/>
  <c r="J32" i="1"/>
  <c r="H32" i="1"/>
  <c r="G32" i="1"/>
  <c r="K31" i="1"/>
  <c r="J31" i="1"/>
  <c r="G31" i="1"/>
  <c r="K30" i="1"/>
  <c r="J30" i="1"/>
  <c r="H30" i="1"/>
  <c r="G30" i="1"/>
  <c r="K29" i="1"/>
  <c r="J29" i="1"/>
  <c r="G29" i="1"/>
  <c r="K28" i="1"/>
  <c r="J28" i="1"/>
  <c r="H28" i="1"/>
  <c r="G28" i="1"/>
  <c r="K27" i="1"/>
  <c r="J27" i="1"/>
  <c r="G27" i="1"/>
  <c r="K26" i="1"/>
  <c r="J26" i="1"/>
  <c r="H26" i="1"/>
  <c r="G26" i="1"/>
  <c r="I26" i="1" s="1"/>
  <c r="K25" i="1"/>
  <c r="J25" i="1"/>
  <c r="G25" i="1"/>
  <c r="K24" i="1"/>
  <c r="J24" i="1"/>
  <c r="H24" i="1"/>
  <c r="G24" i="1"/>
  <c r="K23" i="1"/>
  <c r="J23" i="1"/>
  <c r="G23" i="1"/>
  <c r="K22" i="1"/>
  <c r="J22" i="1"/>
  <c r="H22" i="1"/>
  <c r="G22" i="1"/>
  <c r="K21" i="1"/>
  <c r="J21" i="1"/>
  <c r="G21" i="1"/>
  <c r="K20" i="1"/>
  <c r="J20" i="1"/>
  <c r="H20" i="1"/>
  <c r="G20" i="1"/>
  <c r="K19" i="1"/>
  <c r="J19" i="1"/>
  <c r="G19" i="1"/>
  <c r="K18" i="1"/>
  <c r="J18" i="1"/>
  <c r="H18" i="1"/>
  <c r="G18" i="1"/>
  <c r="K17" i="1"/>
  <c r="J17" i="1"/>
  <c r="G17" i="1"/>
  <c r="K16" i="1"/>
  <c r="J16" i="1"/>
  <c r="G16" i="1"/>
  <c r="K15" i="1"/>
  <c r="J15" i="1"/>
  <c r="G15" i="1"/>
  <c r="K14" i="1"/>
  <c r="J14" i="1"/>
  <c r="H14" i="1"/>
  <c r="G14" i="1"/>
  <c r="K13" i="1"/>
  <c r="J13" i="1"/>
  <c r="G13" i="1"/>
  <c r="K12" i="1"/>
  <c r="J12" i="1"/>
  <c r="H12" i="1"/>
  <c r="G12" i="1"/>
  <c r="K11" i="1"/>
  <c r="J11" i="1"/>
  <c r="G11" i="1"/>
  <c r="K10" i="1"/>
  <c r="J10" i="1"/>
  <c r="H10" i="1"/>
  <c r="G10" i="1"/>
  <c r="K9" i="1"/>
  <c r="J9" i="1"/>
  <c r="G9" i="1"/>
  <c r="K8" i="1"/>
  <c r="J8" i="1"/>
  <c r="G8" i="1"/>
  <c r="K7" i="1"/>
  <c r="J7" i="1"/>
  <c r="G7" i="1"/>
  <c r="K6" i="1"/>
  <c r="J6" i="1"/>
  <c r="G6" i="1"/>
  <c r="K5" i="1"/>
  <c r="J5" i="1"/>
  <c r="G5" i="1"/>
  <c r="K4" i="1"/>
  <c r="J4" i="1"/>
  <c r="H4" i="1"/>
  <c r="G4" i="1"/>
  <c r="K3" i="1"/>
  <c r="J3" i="1"/>
  <c r="G3" i="1"/>
  <c r="K2" i="1"/>
  <c r="J2" i="1"/>
  <c r="H2" i="1"/>
  <c r="G2" i="1"/>
  <c r="L3" i="1" l="1"/>
  <c r="I313" i="1"/>
  <c r="I689" i="1"/>
  <c r="I697" i="1"/>
  <c r="I737" i="1"/>
  <c r="I775" i="1"/>
  <c r="I791" i="1"/>
  <c r="I815" i="1"/>
  <c r="I823" i="1"/>
  <c r="I895" i="1"/>
  <c r="I324" i="1"/>
  <c r="I14" i="1"/>
  <c r="I28" i="1"/>
  <c r="I68" i="1"/>
  <c r="I76" i="1"/>
  <c r="I78" i="1"/>
  <c r="I88" i="1"/>
  <c r="I90" i="1"/>
  <c r="I104" i="1"/>
  <c r="I106" i="1"/>
  <c r="I128" i="1"/>
  <c r="I130" i="1"/>
  <c r="I138" i="1"/>
  <c r="I148" i="1"/>
  <c r="I150" i="1"/>
  <c r="I164" i="1"/>
  <c r="I166" i="1"/>
  <c r="I176" i="1"/>
  <c r="I178" i="1"/>
  <c r="I188" i="1"/>
  <c r="I190" i="1"/>
  <c r="I210" i="1"/>
  <c r="I224" i="1"/>
  <c r="I226" i="1"/>
  <c r="I238" i="1"/>
  <c r="I248" i="1"/>
  <c r="I250" i="1"/>
  <c r="I284" i="1"/>
  <c r="I286" i="1"/>
  <c r="I322" i="1"/>
  <c r="I325" i="1"/>
  <c r="I681" i="1"/>
  <c r="I693" i="1"/>
  <c r="I719" i="1"/>
  <c r="I723" i="1"/>
  <c r="I741" i="1"/>
  <c r="I771" i="1"/>
  <c r="I799" i="1"/>
  <c r="I807" i="1"/>
  <c r="I819" i="1"/>
  <c r="I873" i="1"/>
  <c r="I2" i="1"/>
  <c r="I4" i="1"/>
  <c r="I10" i="1"/>
  <c r="I12" i="1"/>
  <c r="M19" i="1"/>
  <c r="N19" i="1" s="1"/>
  <c r="I22" i="1"/>
  <c r="I24" i="1"/>
  <c r="M35" i="1"/>
  <c r="N35" i="1" s="1"/>
  <c r="I38" i="1"/>
  <c r="I40" i="1"/>
  <c r="M47" i="1"/>
  <c r="N47" i="1" s="1"/>
  <c r="I50" i="1"/>
  <c r="I52" i="1"/>
  <c r="M59" i="1"/>
  <c r="N59" i="1" s="1"/>
  <c r="M60" i="1"/>
  <c r="N60" i="1" s="1"/>
  <c r="M61" i="1"/>
  <c r="N61" i="1" s="1"/>
  <c r="I64" i="1"/>
  <c r="I66" i="1"/>
  <c r="I74" i="1"/>
  <c r="M80" i="1"/>
  <c r="N80" i="1" s="1"/>
  <c r="I84" i="1"/>
  <c r="I86" i="1"/>
  <c r="M95" i="1"/>
  <c r="N95" i="1" s="1"/>
  <c r="M96" i="1"/>
  <c r="N96" i="1" s="1"/>
  <c r="M97" i="1"/>
  <c r="N97" i="1" s="1"/>
  <c r="I100" i="1"/>
  <c r="I102" i="1"/>
  <c r="M108" i="1"/>
  <c r="N108" i="1" s="1"/>
  <c r="M109" i="1"/>
  <c r="N109" i="1" s="1"/>
  <c r="I112" i="1"/>
  <c r="I114" i="1"/>
  <c r="M119" i="1"/>
  <c r="N119" i="1" s="1"/>
  <c r="M120" i="1"/>
  <c r="N120" i="1" s="1"/>
  <c r="I124" i="1"/>
  <c r="I126" i="1"/>
  <c r="I136" i="1"/>
  <c r="M143" i="1"/>
  <c r="N143" i="1" s="1"/>
  <c r="I146" i="1"/>
  <c r="M155" i="1"/>
  <c r="N155" i="1" s="1"/>
  <c r="M156" i="1"/>
  <c r="N156" i="1" s="1"/>
  <c r="M157" i="1"/>
  <c r="N157" i="1" s="1"/>
  <c r="I160" i="1"/>
  <c r="I162" i="1"/>
  <c r="M171" i="1"/>
  <c r="N171" i="1" s="1"/>
  <c r="I174" i="1"/>
  <c r="M180" i="1"/>
  <c r="N180" i="1" s="1"/>
  <c r="M181" i="1"/>
  <c r="N181" i="1" s="1"/>
  <c r="I184" i="1"/>
  <c r="I186" i="1"/>
  <c r="M195" i="1"/>
  <c r="N195" i="1" s="1"/>
  <c r="M196" i="1"/>
  <c r="N196" i="1" s="1"/>
  <c r="M197" i="1"/>
  <c r="N197" i="1" s="1"/>
  <c r="M203" i="1"/>
  <c r="N203" i="1" s="1"/>
  <c r="M204" i="1"/>
  <c r="N204" i="1" s="1"/>
  <c r="M205" i="1"/>
  <c r="N205" i="1" s="1"/>
  <c r="I208" i="1"/>
  <c r="M215" i="1"/>
  <c r="N215" i="1" s="1"/>
  <c r="M216" i="1"/>
  <c r="N216" i="1" s="1"/>
  <c r="I220" i="1"/>
  <c r="I222" i="1"/>
  <c r="M231" i="1"/>
  <c r="N231" i="1" s="1"/>
  <c r="M232" i="1"/>
  <c r="N232" i="1" s="1"/>
  <c r="I236" i="1"/>
  <c r="M243" i="1"/>
  <c r="N243" i="1" s="1"/>
  <c r="I246" i="1"/>
  <c r="M255" i="1"/>
  <c r="N255" i="1" s="1"/>
  <c r="M256" i="1"/>
  <c r="N256" i="1" s="1"/>
  <c r="M257" i="1"/>
  <c r="N257" i="1" s="1"/>
  <c r="I260" i="1"/>
  <c r="I262" i="1"/>
  <c r="M264" i="1"/>
  <c r="N264" i="1" s="1"/>
  <c r="M265" i="1"/>
  <c r="N265" i="1" s="1"/>
  <c r="I268" i="1"/>
  <c r="I270" i="1"/>
  <c r="M463" i="1"/>
  <c r="N463" i="1" s="1"/>
  <c r="M473" i="1"/>
  <c r="N473" i="1" s="1"/>
  <c r="M477" i="1"/>
  <c r="N477" i="1" s="1"/>
  <c r="M495" i="1"/>
  <c r="N495" i="1" s="1"/>
  <c r="M571" i="1"/>
  <c r="N571" i="1" s="1"/>
  <c r="I18" i="1"/>
  <c r="I20" i="1"/>
  <c r="I34" i="1"/>
  <c r="I36" i="1"/>
  <c r="I46" i="1"/>
  <c r="I48" i="1"/>
  <c r="I58" i="1"/>
  <c r="I60" i="1"/>
  <c r="I62" i="1"/>
  <c r="I82" i="1"/>
  <c r="I96" i="1"/>
  <c r="I98" i="1"/>
  <c r="I110" i="1"/>
  <c r="I120" i="1"/>
  <c r="I122" i="1"/>
  <c r="I156" i="1"/>
  <c r="I158" i="1"/>
  <c r="I182" i="1"/>
  <c r="I196" i="1"/>
  <c r="I204" i="1"/>
  <c r="I206" i="1"/>
  <c r="I216" i="1"/>
  <c r="I218" i="1"/>
  <c r="I232" i="1"/>
  <c r="I234" i="1"/>
  <c r="I256" i="1"/>
  <c r="I258" i="1"/>
  <c r="I266" i="1"/>
  <c r="M317" i="1"/>
  <c r="N317" i="1" s="1"/>
  <c r="M425" i="1"/>
  <c r="N425" i="1" s="1"/>
  <c r="M455" i="1"/>
  <c r="N455" i="1" s="1"/>
  <c r="M487" i="1"/>
  <c r="N487" i="1" s="1"/>
  <c r="M14" i="1"/>
  <c r="N14" i="1" s="1"/>
  <c r="I30" i="1"/>
  <c r="I32" i="1"/>
  <c r="M42" i="1"/>
  <c r="N42" i="1" s="1"/>
  <c r="I54" i="1"/>
  <c r="I56" i="1"/>
  <c r="M68" i="1"/>
  <c r="N68" i="1" s="1"/>
  <c r="M76" i="1"/>
  <c r="N76" i="1" s="1"/>
  <c r="M88" i="1"/>
  <c r="N88" i="1" s="1"/>
  <c r="I92" i="1"/>
  <c r="I94" i="1"/>
  <c r="M104" i="1"/>
  <c r="N104" i="1" s="1"/>
  <c r="I118" i="1"/>
  <c r="M128" i="1"/>
  <c r="N128" i="1" s="1"/>
  <c r="I132" i="1"/>
  <c r="M136" i="1"/>
  <c r="N136" i="1" s="1"/>
  <c r="I140" i="1"/>
  <c r="I142" i="1"/>
  <c r="M148" i="1"/>
  <c r="N148" i="1" s="1"/>
  <c r="I152" i="1"/>
  <c r="I154" i="1"/>
  <c r="M164" i="1"/>
  <c r="N164" i="1" s="1"/>
  <c r="I168" i="1"/>
  <c r="I170" i="1"/>
  <c r="M176" i="1"/>
  <c r="N176" i="1" s="1"/>
  <c r="M188" i="1"/>
  <c r="N188" i="1" s="1"/>
  <c r="I192" i="1"/>
  <c r="I194" i="1"/>
  <c r="I202" i="1"/>
  <c r="M208" i="1"/>
  <c r="N208" i="1" s="1"/>
  <c r="I212" i="1"/>
  <c r="I214" i="1"/>
  <c r="M224" i="1"/>
  <c r="N224" i="1" s="1"/>
  <c r="I228" i="1"/>
  <c r="I230" i="1"/>
  <c r="M236" i="1"/>
  <c r="N236" i="1" s="1"/>
  <c r="I240" i="1"/>
  <c r="I242" i="1"/>
  <c r="M248" i="1"/>
  <c r="N248" i="1" s="1"/>
  <c r="I252" i="1"/>
  <c r="I254" i="1"/>
  <c r="M341" i="1"/>
  <c r="N341" i="1" s="1"/>
  <c r="M373" i="1"/>
  <c r="N373" i="1" s="1"/>
  <c r="M513" i="1"/>
  <c r="N513" i="1" s="1"/>
  <c r="M561" i="1"/>
  <c r="N561" i="1" s="1"/>
  <c r="M587" i="1"/>
  <c r="N587" i="1" s="1"/>
  <c r="M591" i="1"/>
  <c r="N591" i="1" s="1"/>
  <c r="M595" i="1"/>
  <c r="N595" i="1" s="1"/>
  <c r="M603" i="1"/>
  <c r="N603" i="1" s="1"/>
  <c r="M277" i="1"/>
  <c r="N277" i="1" s="1"/>
  <c r="M293" i="1"/>
  <c r="N293" i="1" s="1"/>
  <c r="I296" i="1"/>
  <c r="I298" i="1"/>
  <c r="M303" i="1"/>
  <c r="N303" i="1" s="1"/>
  <c r="M305" i="1"/>
  <c r="N305" i="1" s="1"/>
  <c r="I308" i="1"/>
  <c r="M309" i="1"/>
  <c r="N309" i="1" s="1"/>
  <c r="I314" i="1"/>
  <c r="I317" i="1"/>
  <c r="M319" i="1"/>
  <c r="N319" i="1" s="1"/>
  <c r="I323" i="1"/>
  <c r="M329" i="1"/>
  <c r="N329" i="1" s="1"/>
  <c r="M337" i="1"/>
  <c r="N337" i="1" s="1"/>
  <c r="M369" i="1"/>
  <c r="N369" i="1" s="1"/>
  <c r="M388" i="1"/>
  <c r="N388" i="1" s="1"/>
  <c r="M417" i="1"/>
  <c r="N417" i="1" s="1"/>
  <c r="M449" i="1"/>
  <c r="N449" i="1" s="1"/>
  <c r="M467" i="1"/>
  <c r="N467" i="1" s="1"/>
  <c r="M475" i="1"/>
  <c r="N475" i="1" s="1"/>
  <c r="M481" i="1"/>
  <c r="N481" i="1" s="1"/>
  <c r="M499" i="1"/>
  <c r="N499" i="1" s="1"/>
  <c r="M515" i="1"/>
  <c r="N515" i="1" s="1"/>
  <c r="M523" i="1"/>
  <c r="N523" i="1" s="1"/>
  <c r="M529" i="1"/>
  <c r="N529" i="1" s="1"/>
  <c r="M555" i="1"/>
  <c r="N555" i="1" s="1"/>
  <c r="I579" i="1"/>
  <c r="M673" i="1"/>
  <c r="N673" i="1" s="1"/>
  <c r="M859" i="1"/>
  <c r="N859" i="1" s="1"/>
  <c r="I276" i="1"/>
  <c r="I278" i="1"/>
  <c r="I292" i="1"/>
  <c r="I294" i="1"/>
  <c r="I304" i="1"/>
  <c r="I306" i="1"/>
  <c r="I309" i="1"/>
  <c r="M311" i="1"/>
  <c r="N311" i="1" s="1"/>
  <c r="M312" i="1"/>
  <c r="N312" i="1" s="1"/>
  <c r="I318" i="1"/>
  <c r="I319" i="1"/>
  <c r="M320" i="1"/>
  <c r="N320" i="1" s="1"/>
  <c r="I326" i="1"/>
  <c r="I327" i="1"/>
  <c r="I329" i="1"/>
  <c r="M333" i="1"/>
  <c r="N333" i="1" s="1"/>
  <c r="M345" i="1"/>
  <c r="N345" i="1" s="1"/>
  <c r="M352" i="1"/>
  <c r="N352" i="1" s="1"/>
  <c r="M357" i="1"/>
  <c r="N357" i="1" s="1"/>
  <c r="M365" i="1"/>
  <c r="N365" i="1" s="1"/>
  <c r="M377" i="1"/>
  <c r="N377" i="1" s="1"/>
  <c r="M384" i="1"/>
  <c r="N384" i="1" s="1"/>
  <c r="M389" i="1"/>
  <c r="N389" i="1" s="1"/>
  <c r="M400" i="1"/>
  <c r="N400" i="1" s="1"/>
  <c r="M409" i="1"/>
  <c r="N409" i="1" s="1"/>
  <c r="M432" i="1"/>
  <c r="N432" i="1" s="1"/>
  <c r="M441" i="1"/>
  <c r="N441" i="1" s="1"/>
  <c r="M453" i="1"/>
  <c r="N453" i="1" s="1"/>
  <c r="M457" i="1"/>
  <c r="N457" i="1" s="1"/>
  <c r="M461" i="1"/>
  <c r="N461" i="1" s="1"/>
  <c r="M464" i="1"/>
  <c r="N464" i="1" s="1"/>
  <c r="M471" i="1"/>
  <c r="N471" i="1" s="1"/>
  <c r="M479" i="1"/>
  <c r="N479" i="1" s="1"/>
  <c r="M485" i="1"/>
  <c r="N485" i="1" s="1"/>
  <c r="M489" i="1"/>
  <c r="N489" i="1" s="1"/>
  <c r="M493" i="1"/>
  <c r="N493" i="1" s="1"/>
  <c r="M496" i="1"/>
  <c r="N496" i="1" s="1"/>
  <c r="M503" i="1"/>
  <c r="N503" i="1" s="1"/>
  <c r="M531" i="1"/>
  <c r="N531" i="1" s="1"/>
  <c r="M539" i="1"/>
  <c r="N539" i="1" s="1"/>
  <c r="M545" i="1"/>
  <c r="N545" i="1" s="1"/>
  <c r="M569" i="1"/>
  <c r="N569" i="1" s="1"/>
  <c r="M589" i="1"/>
  <c r="N589" i="1" s="1"/>
  <c r="I591" i="1"/>
  <c r="M597" i="1"/>
  <c r="N597" i="1" s="1"/>
  <c r="I599" i="1"/>
  <c r="M627" i="1"/>
  <c r="N627" i="1" s="1"/>
  <c r="M635" i="1"/>
  <c r="N635" i="1" s="1"/>
  <c r="M651" i="1"/>
  <c r="N651" i="1" s="1"/>
  <c r="I274" i="1"/>
  <c r="M284" i="1"/>
  <c r="N284" i="1" s="1"/>
  <c r="I288" i="1"/>
  <c r="I290" i="1"/>
  <c r="I302" i="1"/>
  <c r="I310" i="1"/>
  <c r="I311" i="1"/>
  <c r="M313" i="1"/>
  <c r="N313" i="1" s="1"/>
  <c r="M316" i="1"/>
  <c r="N316" i="1" s="1"/>
  <c r="I320" i="1"/>
  <c r="M321" i="1"/>
  <c r="N321" i="1" s="1"/>
  <c r="M324" i="1"/>
  <c r="N324" i="1" s="1"/>
  <c r="M340" i="1"/>
  <c r="N340" i="1" s="1"/>
  <c r="M348" i="1"/>
  <c r="N348" i="1" s="1"/>
  <c r="M353" i="1"/>
  <c r="N353" i="1" s="1"/>
  <c r="M360" i="1"/>
  <c r="N360" i="1" s="1"/>
  <c r="M372" i="1"/>
  <c r="N372" i="1" s="1"/>
  <c r="M380" i="1"/>
  <c r="N380" i="1" s="1"/>
  <c r="M385" i="1"/>
  <c r="N385" i="1" s="1"/>
  <c r="M392" i="1"/>
  <c r="N392" i="1" s="1"/>
  <c r="M401" i="1"/>
  <c r="N401" i="1" s="1"/>
  <c r="M412" i="1"/>
  <c r="N412" i="1" s="1"/>
  <c r="M420" i="1"/>
  <c r="N420" i="1" s="1"/>
  <c r="M424" i="1"/>
  <c r="N424" i="1" s="1"/>
  <c r="M433" i="1"/>
  <c r="N433" i="1" s="1"/>
  <c r="M444" i="1"/>
  <c r="N444" i="1" s="1"/>
  <c r="M451" i="1"/>
  <c r="N451" i="1" s="1"/>
  <c r="M459" i="1"/>
  <c r="N459" i="1" s="1"/>
  <c r="M465" i="1"/>
  <c r="N465" i="1" s="1"/>
  <c r="M468" i="1"/>
  <c r="N468" i="1" s="1"/>
  <c r="M472" i="1"/>
  <c r="N472" i="1" s="1"/>
  <c r="M476" i="1"/>
  <c r="N476" i="1" s="1"/>
  <c r="M483" i="1"/>
  <c r="N483" i="1" s="1"/>
  <c r="M491" i="1"/>
  <c r="N491" i="1" s="1"/>
  <c r="M497" i="1"/>
  <c r="N497" i="1" s="1"/>
  <c r="M500" i="1"/>
  <c r="N500" i="1" s="1"/>
  <c r="M507" i="1"/>
  <c r="N507" i="1" s="1"/>
  <c r="M547" i="1"/>
  <c r="N547" i="1" s="1"/>
  <c r="M567" i="1"/>
  <c r="N567" i="1" s="1"/>
  <c r="I569" i="1"/>
  <c r="M611" i="1"/>
  <c r="N611" i="1" s="1"/>
  <c r="M619" i="1"/>
  <c r="N619" i="1" s="1"/>
  <c r="M683" i="1"/>
  <c r="N683" i="1" s="1"/>
  <c r="M833" i="1"/>
  <c r="N833" i="1" s="1"/>
  <c r="M869" i="1"/>
  <c r="N869" i="1" s="1"/>
  <c r="M891" i="1"/>
  <c r="N891" i="1" s="1"/>
  <c r="M505" i="1"/>
  <c r="N505" i="1" s="1"/>
  <c r="M509" i="1"/>
  <c r="N509" i="1" s="1"/>
  <c r="M512" i="1"/>
  <c r="N512" i="1" s="1"/>
  <c r="M519" i="1"/>
  <c r="N519" i="1" s="1"/>
  <c r="M528" i="1"/>
  <c r="N528" i="1" s="1"/>
  <c r="M535" i="1"/>
  <c r="N535" i="1" s="1"/>
  <c r="M544" i="1"/>
  <c r="N544" i="1" s="1"/>
  <c r="M551" i="1"/>
  <c r="N551" i="1" s="1"/>
  <c r="M559" i="1"/>
  <c r="N559" i="1" s="1"/>
  <c r="I565" i="1"/>
  <c r="M575" i="1"/>
  <c r="N575" i="1" s="1"/>
  <c r="M581" i="1"/>
  <c r="N581" i="1" s="1"/>
  <c r="M583" i="1"/>
  <c r="N583" i="1" s="1"/>
  <c r="M585" i="1"/>
  <c r="N585" i="1" s="1"/>
  <c r="M593" i="1"/>
  <c r="N593" i="1" s="1"/>
  <c r="M601" i="1"/>
  <c r="N601" i="1" s="1"/>
  <c r="I605" i="1"/>
  <c r="I609" i="1"/>
  <c r="I621" i="1"/>
  <c r="I625" i="1"/>
  <c r="I637" i="1"/>
  <c r="I641" i="1"/>
  <c r="I653" i="1"/>
  <c r="M665" i="1"/>
  <c r="N665" i="1" s="1"/>
  <c r="I667" i="1"/>
  <c r="M671" i="1"/>
  <c r="N671" i="1" s="1"/>
  <c r="M679" i="1"/>
  <c r="N679" i="1" s="1"/>
  <c r="M681" i="1"/>
  <c r="N681" i="1" s="1"/>
  <c r="I685" i="1"/>
  <c r="I695" i="1"/>
  <c r="I721" i="1"/>
  <c r="M769" i="1"/>
  <c r="N769" i="1" s="1"/>
  <c r="M829" i="1"/>
  <c r="N829" i="1" s="1"/>
  <c r="I833" i="1"/>
  <c r="M865" i="1"/>
  <c r="N865" i="1" s="1"/>
  <c r="I869" i="1"/>
  <c r="M899" i="1"/>
  <c r="N899" i="1" s="1"/>
  <c r="M563" i="1"/>
  <c r="N563" i="1" s="1"/>
  <c r="M573" i="1"/>
  <c r="N573" i="1" s="1"/>
  <c r="M579" i="1"/>
  <c r="N579" i="1" s="1"/>
  <c r="I585" i="1"/>
  <c r="I597" i="1"/>
  <c r="M657" i="1"/>
  <c r="N657" i="1" s="1"/>
  <c r="M687" i="1"/>
  <c r="N687" i="1" s="1"/>
  <c r="M689" i="1"/>
  <c r="N689" i="1" s="1"/>
  <c r="M737" i="1"/>
  <c r="N737" i="1" s="1"/>
  <c r="M841" i="1"/>
  <c r="N841" i="1" s="1"/>
  <c r="M861" i="1"/>
  <c r="N861" i="1" s="1"/>
  <c r="I865" i="1"/>
  <c r="M895" i="1"/>
  <c r="N895" i="1" s="1"/>
  <c r="I899" i="1"/>
  <c r="M511" i="1"/>
  <c r="N511" i="1" s="1"/>
  <c r="M517" i="1"/>
  <c r="N517" i="1" s="1"/>
  <c r="M521" i="1"/>
  <c r="N521" i="1" s="1"/>
  <c r="M525" i="1"/>
  <c r="N525" i="1" s="1"/>
  <c r="M533" i="1"/>
  <c r="N533" i="1" s="1"/>
  <c r="M537" i="1"/>
  <c r="N537" i="1" s="1"/>
  <c r="M541" i="1"/>
  <c r="N541" i="1" s="1"/>
  <c r="M549" i="1"/>
  <c r="N549" i="1" s="1"/>
  <c r="M553" i="1"/>
  <c r="N553" i="1" s="1"/>
  <c r="M557" i="1"/>
  <c r="N557" i="1" s="1"/>
  <c r="M560" i="1"/>
  <c r="N560" i="1" s="1"/>
  <c r="I571" i="1"/>
  <c r="I575" i="1"/>
  <c r="I581" i="1"/>
  <c r="I593" i="1"/>
  <c r="I601" i="1"/>
  <c r="I613" i="1"/>
  <c r="I617" i="1"/>
  <c r="I629" i="1"/>
  <c r="I633" i="1"/>
  <c r="M647" i="1"/>
  <c r="N647" i="1" s="1"/>
  <c r="I659" i="1"/>
  <c r="I661" i="1"/>
  <c r="M663" i="1"/>
  <c r="N663" i="1" s="1"/>
  <c r="I665" i="1"/>
  <c r="M667" i="1"/>
  <c r="N667" i="1" s="1"/>
  <c r="M675" i="1"/>
  <c r="N675" i="1" s="1"/>
  <c r="I703" i="1"/>
  <c r="I787" i="1"/>
  <c r="I795" i="1"/>
  <c r="M801" i="1"/>
  <c r="N801" i="1" s="1"/>
  <c r="M809" i="1"/>
  <c r="N809" i="1" s="1"/>
  <c r="M837" i="1"/>
  <c r="N837" i="1" s="1"/>
  <c r="M873" i="1"/>
  <c r="N873" i="1" s="1"/>
  <c r="M877" i="1"/>
  <c r="N877" i="1" s="1"/>
  <c r="M879" i="1"/>
  <c r="N879" i="1" s="1"/>
  <c r="M881" i="1"/>
  <c r="N881" i="1" s="1"/>
  <c r="M883" i="1"/>
  <c r="N883" i="1" s="1"/>
  <c r="M885" i="1"/>
  <c r="N885" i="1" s="1"/>
  <c r="M887" i="1"/>
  <c r="N887" i="1" s="1"/>
  <c r="M889" i="1"/>
  <c r="N889" i="1" s="1"/>
  <c r="I671" i="1"/>
  <c r="I673" i="1"/>
  <c r="I675" i="1"/>
  <c r="I677" i="1"/>
  <c r="M705" i="1"/>
  <c r="N705" i="1" s="1"/>
  <c r="I711" i="1"/>
  <c r="I727" i="1"/>
  <c r="M753" i="1"/>
  <c r="N753" i="1" s="1"/>
  <c r="I761" i="1"/>
  <c r="I767" i="1"/>
  <c r="M827" i="1"/>
  <c r="N827" i="1" s="1"/>
  <c r="M845" i="1"/>
  <c r="N845" i="1" s="1"/>
  <c r="M847" i="1"/>
  <c r="N847" i="1" s="1"/>
  <c r="M849" i="1"/>
  <c r="N849" i="1" s="1"/>
  <c r="M851" i="1"/>
  <c r="N851" i="1" s="1"/>
  <c r="M853" i="1"/>
  <c r="N853" i="1" s="1"/>
  <c r="M855" i="1"/>
  <c r="N855" i="1" s="1"/>
  <c r="M857" i="1"/>
  <c r="N857" i="1" s="1"/>
  <c r="M875" i="1"/>
  <c r="N875" i="1" s="1"/>
  <c r="I879" i="1"/>
  <c r="I881" i="1"/>
  <c r="I883" i="1"/>
  <c r="I885" i="1"/>
  <c r="I887" i="1"/>
  <c r="I889" i="1"/>
  <c r="I891" i="1"/>
  <c r="E2" i="8"/>
  <c r="E6" i="8"/>
  <c r="L6" i="1" s="1"/>
  <c r="M6" i="1" s="1"/>
  <c r="N6" i="1" s="1"/>
  <c r="E10" i="8"/>
  <c r="L10" i="1" s="1"/>
  <c r="M10" i="1" s="1"/>
  <c r="N10" i="1" s="1"/>
  <c r="E14" i="8"/>
  <c r="L14" i="1" s="1"/>
  <c r="E18" i="8"/>
  <c r="L18" i="1" s="1"/>
  <c r="M18" i="1" s="1"/>
  <c r="N18" i="1" s="1"/>
  <c r="E22" i="8"/>
  <c r="L22" i="1" s="1"/>
  <c r="M22" i="1" s="1"/>
  <c r="N22" i="1" s="1"/>
  <c r="E26" i="8"/>
  <c r="L26" i="1" s="1"/>
  <c r="M26" i="1" s="1"/>
  <c r="N26" i="1" s="1"/>
  <c r="E30" i="8"/>
  <c r="L30" i="1" s="1"/>
  <c r="M30" i="1" s="1"/>
  <c r="N30" i="1" s="1"/>
  <c r="E34" i="8"/>
  <c r="L34" i="1" s="1"/>
  <c r="M34" i="1" s="1"/>
  <c r="N34" i="1" s="1"/>
  <c r="E38" i="8"/>
  <c r="L38" i="1" s="1"/>
  <c r="M38" i="1" s="1"/>
  <c r="N38" i="1" s="1"/>
  <c r="E42" i="8"/>
  <c r="L42" i="1" s="1"/>
  <c r="E46" i="8"/>
  <c r="L46" i="1" s="1"/>
  <c r="M46" i="1" s="1"/>
  <c r="N46" i="1" s="1"/>
  <c r="E50" i="8"/>
  <c r="L50" i="1" s="1"/>
  <c r="M50" i="1" s="1"/>
  <c r="N50" i="1" s="1"/>
  <c r="E54" i="8"/>
  <c r="L54" i="1" s="1"/>
  <c r="M54" i="1" s="1"/>
  <c r="N54" i="1" s="1"/>
  <c r="E58" i="8"/>
  <c r="L58" i="1" s="1"/>
  <c r="M58" i="1" s="1"/>
  <c r="N58" i="1" s="1"/>
  <c r="M609" i="1"/>
  <c r="N609" i="1" s="1"/>
  <c r="M617" i="1"/>
  <c r="N617" i="1" s="1"/>
  <c r="M625" i="1"/>
  <c r="N625" i="1" s="1"/>
  <c r="M633" i="1"/>
  <c r="N633" i="1" s="1"/>
  <c r="I651" i="1"/>
  <c r="I663" i="1"/>
  <c r="I699" i="1"/>
  <c r="I705" i="1"/>
  <c r="I707" i="1"/>
  <c r="I733" i="1"/>
  <c r="I747" i="1"/>
  <c r="I753" i="1"/>
  <c r="I755" i="1"/>
  <c r="I777" i="1"/>
  <c r="I793" i="1"/>
  <c r="M817" i="1"/>
  <c r="N817" i="1" s="1"/>
  <c r="M819" i="1"/>
  <c r="N819" i="1" s="1"/>
  <c r="M821" i="1"/>
  <c r="N821" i="1" s="1"/>
  <c r="M823" i="1"/>
  <c r="N823" i="1" s="1"/>
  <c r="M825" i="1"/>
  <c r="N825" i="1" s="1"/>
  <c r="I829" i="1"/>
  <c r="I847" i="1"/>
  <c r="I849" i="1"/>
  <c r="I851" i="1"/>
  <c r="I853" i="1"/>
  <c r="I855" i="1"/>
  <c r="I857" i="1"/>
  <c r="I859" i="1"/>
  <c r="I861" i="1"/>
  <c r="I877" i="1"/>
  <c r="M7" i="1"/>
  <c r="N7" i="1" s="1"/>
  <c r="M44" i="1"/>
  <c r="N44" i="1" s="1"/>
  <c r="M91" i="1"/>
  <c r="N91" i="1" s="1"/>
  <c r="M93" i="1"/>
  <c r="N93" i="1" s="1"/>
  <c r="M107" i="1"/>
  <c r="N107" i="1" s="1"/>
  <c r="M117" i="1"/>
  <c r="N117" i="1" s="1"/>
  <c r="I144" i="1"/>
  <c r="M151" i="1"/>
  <c r="N151" i="1" s="1"/>
  <c r="I198" i="1"/>
  <c r="M211" i="1"/>
  <c r="N211" i="1" s="1"/>
  <c r="M213" i="1"/>
  <c r="N213" i="1" s="1"/>
  <c r="M214" i="1"/>
  <c r="N214" i="1" s="1"/>
  <c r="M227" i="1"/>
  <c r="N227" i="1" s="1"/>
  <c r="M263" i="1"/>
  <c r="N263" i="1" s="1"/>
  <c r="M287" i="1"/>
  <c r="N287" i="1" s="1"/>
  <c r="M301" i="1"/>
  <c r="N301" i="1" s="1"/>
  <c r="I328" i="1"/>
  <c r="I8" i="1"/>
  <c r="M15" i="1"/>
  <c r="N15" i="1" s="1"/>
  <c r="M27" i="1"/>
  <c r="N27" i="1" s="1"/>
  <c r="M43" i="1"/>
  <c r="N43" i="1" s="1"/>
  <c r="M67" i="1"/>
  <c r="N67" i="1" s="1"/>
  <c r="M69" i="1"/>
  <c r="N69" i="1" s="1"/>
  <c r="M75" i="1"/>
  <c r="N75" i="1" s="1"/>
  <c r="M77" i="1"/>
  <c r="N77" i="1" s="1"/>
  <c r="M78" i="1"/>
  <c r="N78" i="1" s="1"/>
  <c r="I80" i="1"/>
  <c r="M87" i="1"/>
  <c r="N87" i="1" s="1"/>
  <c r="M89" i="1"/>
  <c r="N89" i="1" s="1"/>
  <c r="M103" i="1"/>
  <c r="N103" i="1" s="1"/>
  <c r="M105" i="1"/>
  <c r="N105" i="1" s="1"/>
  <c r="I108" i="1"/>
  <c r="I109" i="1"/>
  <c r="M115" i="1"/>
  <c r="N115" i="1" s="1"/>
  <c r="M127" i="1"/>
  <c r="N127" i="1" s="1"/>
  <c r="I134" i="1"/>
  <c r="M137" i="1"/>
  <c r="N137" i="1" s="1"/>
  <c r="M147" i="1"/>
  <c r="N147" i="1" s="1"/>
  <c r="M149" i="1"/>
  <c r="N149" i="1" s="1"/>
  <c r="M150" i="1"/>
  <c r="N150" i="1" s="1"/>
  <c r="M163" i="1"/>
  <c r="N163" i="1" s="1"/>
  <c r="M165" i="1"/>
  <c r="N165" i="1" s="1"/>
  <c r="M175" i="1"/>
  <c r="N175" i="1" s="1"/>
  <c r="I180" i="1"/>
  <c r="M187" i="1"/>
  <c r="N187" i="1" s="1"/>
  <c r="M189" i="1"/>
  <c r="N189" i="1" s="1"/>
  <c r="M199" i="1"/>
  <c r="N199" i="1" s="1"/>
  <c r="M223" i="1"/>
  <c r="N223" i="1" s="1"/>
  <c r="M237" i="1"/>
  <c r="N237" i="1" s="1"/>
  <c r="M247" i="1"/>
  <c r="N247" i="1" s="1"/>
  <c r="M249" i="1"/>
  <c r="N249" i="1" s="1"/>
  <c r="I264" i="1"/>
  <c r="M271" i="1"/>
  <c r="N271" i="1" s="1"/>
  <c r="M285" i="1"/>
  <c r="N285" i="1" s="1"/>
  <c r="I330" i="1"/>
  <c r="M783" i="1"/>
  <c r="N783" i="1" s="1"/>
  <c r="M278" i="1"/>
  <c r="N278" i="1" s="1"/>
  <c r="M31" i="1"/>
  <c r="N31" i="1" s="1"/>
  <c r="M55" i="1"/>
  <c r="N55" i="1" s="1"/>
  <c r="M70" i="1"/>
  <c r="N70" i="1" s="1"/>
  <c r="I72" i="1"/>
  <c r="M131" i="1"/>
  <c r="N131" i="1" s="1"/>
  <c r="M133" i="1"/>
  <c r="N133" i="1" s="1"/>
  <c r="M139" i="1"/>
  <c r="N139" i="1" s="1"/>
  <c r="M141" i="1"/>
  <c r="N141" i="1" s="1"/>
  <c r="M167" i="1"/>
  <c r="N167" i="1" s="1"/>
  <c r="I172" i="1"/>
  <c r="M179" i="1"/>
  <c r="N179" i="1" s="1"/>
  <c r="M191" i="1"/>
  <c r="N191" i="1" s="1"/>
  <c r="M229" i="1"/>
  <c r="N229" i="1" s="1"/>
  <c r="M239" i="1"/>
  <c r="N239" i="1" s="1"/>
  <c r="M241" i="1"/>
  <c r="N241" i="1" s="1"/>
  <c r="I244" i="1"/>
  <c r="M251" i="1"/>
  <c r="N251" i="1" s="1"/>
  <c r="M273" i="1"/>
  <c r="N273" i="1" s="1"/>
  <c r="M302" i="1"/>
  <c r="N302" i="1" s="1"/>
  <c r="I307" i="1"/>
  <c r="M3" i="1"/>
  <c r="N3" i="1" s="1"/>
  <c r="M4" i="1"/>
  <c r="N4" i="1" s="1"/>
  <c r="I6" i="1"/>
  <c r="M11" i="1"/>
  <c r="N11" i="1" s="1"/>
  <c r="I16" i="1"/>
  <c r="M21" i="1"/>
  <c r="N21" i="1" s="1"/>
  <c r="M23" i="1"/>
  <c r="N23" i="1" s="1"/>
  <c r="M39" i="1"/>
  <c r="N39" i="1" s="1"/>
  <c r="I44" i="1"/>
  <c r="M51" i="1"/>
  <c r="N51" i="1" s="1"/>
  <c r="I70" i="1"/>
  <c r="M83" i="1"/>
  <c r="N83" i="1" s="1"/>
  <c r="M85" i="1"/>
  <c r="N85" i="1" s="1"/>
  <c r="M99" i="1"/>
  <c r="N99" i="1" s="1"/>
  <c r="M101" i="1"/>
  <c r="N101" i="1" s="1"/>
  <c r="M111" i="1"/>
  <c r="N111" i="1" s="1"/>
  <c r="M113" i="1"/>
  <c r="N113" i="1" s="1"/>
  <c r="I116" i="1"/>
  <c r="M123" i="1"/>
  <c r="N123" i="1" s="1"/>
  <c r="M125" i="1"/>
  <c r="N125" i="1" s="1"/>
  <c r="M135" i="1"/>
  <c r="N135" i="1" s="1"/>
  <c r="I141" i="1"/>
  <c r="M159" i="1"/>
  <c r="N159" i="1" s="1"/>
  <c r="M173" i="1"/>
  <c r="N173" i="1" s="1"/>
  <c r="M183" i="1"/>
  <c r="N183" i="1" s="1"/>
  <c r="I200" i="1"/>
  <c r="M207" i="1"/>
  <c r="N207" i="1" s="1"/>
  <c r="M219" i="1"/>
  <c r="N219" i="1" s="1"/>
  <c r="M221" i="1"/>
  <c r="N221" i="1" s="1"/>
  <c r="M235" i="1"/>
  <c r="N235" i="1" s="1"/>
  <c r="M259" i="1"/>
  <c r="N259" i="1" s="1"/>
  <c r="M267" i="1"/>
  <c r="N267" i="1" s="1"/>
  <c r="I272" i="1"/>
  <c r="M279" i="1"/>
  <c r="N279" i="1" s="1"/>
  <c r="M295" i="1"/>
  <c r="N295" i="1" s="1"/>
  <c r="I300" i="1"/>
  <c r="I312" i="1"/>
  <c r="M720" i="1"/>
  <c r="N720" i="1" s="1"/>
  <c r="M526" i="1"/>
  <c r="N526" i="1" s="1"/>
  <c r="E5" i="8"/>
  <c r="L5" i="1" s="1"/>
  <c r="M5" i="1" s="1"/>
  <c r="N5" i="1" s="1"/>
  <c r="D5" i="8"/>
  <c r="E9" i="8"/>
  <c r="L9" i="1" s="1"/>
  <c r="M9" i="1" s="1"/>
  <c r="N9" i="1" s="1"/>
  <c r="D9" i="8"/>
  <c r="E29" i="8"/>
  <c r="L29" i="1" s="1"/>
  <c r="M29" i="1" s="1"/>
  <c r="N29" i="1" s="1"/>
  <c r="D29" i="8"/>
  <c r="E33" i="8"/>
  <c r="L33" i="1" s="1"/>
  <c r="M33" i="1" s="1"/>
  <c r="N33" i="1" s="1"/>
  <c r="D33" i="8"/>
  <c r="E45" i="8"/>
  <c r="L45" i="1" s="1"/>
  <c r="M45" i="1" s="1"/>
  <c r="N45" i="1" s="1"/>
  <c r="D45" i="8"/>
  <c r="E57" i="8"/>
  <c r="L57" i="1" s="1"/>
  <c r="M57" i="1" s="1"/>
  <c r="N57" i="1" s="1"/>
  <c r="D57" i="8"/>
  <c r="E63" i="8"/>
  <c r="L63" i="1" s="1"/>
  <c r="M63" i="1" s="1"/>
  <c r="N63" i="1" s="1"/>
  <c r="D63" i="8"/>
  <c r="E65" i="8"/>
  <c r="L65" i="1" s="1"/>
  <c r="M65" i="1" s="1"/>
  <c r="N65" i="1" s="1"/>
  <c r="D65" i="8"/>
  <c r="E71" i="8"/>
  <c r="L71" i="1" s="1"/>
  <c r="M71" i="1" s="1"/>
  <c r="N71" i="1" s="1"/>
  <c r="D71" i="8"/>
  <c r="E121" i="8"/>
  <c r="L121" i="1" s="1"/>
  <c r="M121" i="1" s="1"/>
  <c r="N121" i="1" s="1"/>
  <c r="D121" i="8"/>
  <c r="E145" i="8"/>
  <c r="L145" i="1" s="1"/>
  <c r="M145" i="1" s="1"/>
  <c r="N145" i="1" s="1"/>
  <c r="D145" i="8"/>
  <c r="E161" i="8"/>
  <c r="L161" i="1" s="1"/>
  <c r="M161" i="1" s="1"/>
  <c r="N161" i="1" s="1"/>
  <c r="D161" i="8"/>
  <c r="E193" i="8"/>
  <c r="L193" i="1" s="1"/>
  <c r="M193" i="1" s="1"/>
  <c r="N193" i="1" s="1"/>
  <c r="D193" i="8"/>
  <c r="E217" i="8"/>
  <c r="L217" i="1" s="1"/>
  <c r="M217" i="1" s="1"/>
  <c r="N217" i="1" s="1"/>
  <c r="D217" i="8"/>
  <c r="E233" i="8"/>
  <c r="L233" i="1" s="1"/>
  <c r="M233" i="1" s="1"/>
  <c r="N233" i="1" s="1"/>
  <c r="D233" i="8"/>
  <c r="E245" i="8"/>
  <c r="L245" i="1" s="1"/>
  <c r="M245" i="1" s="1"/>
  <c r="N245" i="1" s="1"/>
  <c r="D245" i="8"/>
  <c r="E261" i="8"/>
  <c r="L261" i="1" s="1"/>
  <c r="M261" i="1" s="1"/>
  <c r="N261" i="1" s="1"/>
  <c r="D261" i="8"/>
  <c r="E269" i="8"/>
  <c r="L269" i="1" s="1"/>
  <c r="M269" i="1" s="1"/>
  <c r="N269" i="1" s="1"/>
  <c r="D269" i="8"/>
  <c r="E275" i="8"/>
  <c r="L275" i="1" s="1"/>
  <c r="M275" i="1" s="1"/>
  <c r="N275" i="1" s="1"/>
  <c r="D275" i="8"/>
  <c r="E281" i="8"/>
  <c r="L281" i="1" s="1"/>
  <c r="M281" i="1" s="1"/>
  <c r="N281" i="1" s="1"/>
  <c r="D281" i="8"/>
  <c r="E283" i="8"/>
  <c r="L283" i="1" s="1"/>
  <c r="M283" i="1" s="1"/>
  <c r="N283" i="1" s="1"/>
  <c r="D283" i="8"/>
  <c r="E289" i="8"/>
  <c r="L289" i="1" s="1"/>
  <c r="M289" i="1" s="1"/>
  <c r="N289" i="1" s="1"/>
  <c r="D289" i="8"/>
  <c r="E291" i="8"/>
  <c r="L291" i="1" s="1"/>
  <c r="M291" i="1" s="1"/>
  <c r="N291" i="1" s="1"/>
  <c r="D291" i="8"/>
  <c r="E297" i="8"/>
  <c r="L297" i="1" s="1"/>
  <c r="M297" i="1" s="1"/>
  <c r="N297" i="1" s="1"/>
  <c r="D297" i="8"/>
  <c r="E299" i="8"/>
  <c r="L299" i="1" s="1"/>
  <c r="M299" i="1" s="1"/>
  <c r="N299" i="1" s="1"/>
  <c r="D299" i="8"/>
  <c r="H3" i="1"/>
  <c r="I3" i="1" s="1"/>
  <c r="H5" i="1"/>
  <c r="I5" i="1" s="1"/>
  <c r="H7" i="1"/>
  <c r="I7" i="1" s="1"/>
  <c r="H9" i="1"/>
  <c r="I9" i="1" s="1"/>
  <c r="H11" i="1"/>
  <c r="I11" i="1" s="1"/>
  <c r="H13" i="1"/>
  <c r="I13" i="1" s="1"/>
  <c r="H15" i="1"/>
  <c r="I15" i="1" s="1"/>
  <c r="H17" i="1"/>
  <c r="I17" i="1" s="1"/>
  <c r="H19" i="1"/>
  <c r="I19" i="1" s="1"/>
  <c r="H21" i="1"/>
  <c r="I21" i="1" s="1"/>
  <c r="H23" i="1"/>
  <c r="I23" i="1" s="1"/>
  <c r="H25" i="1"/>
  <c r="I25" i="1" s="1"/>
  <c r="H27" i="1"/>
  <c r="I27" i="1" s="1"/>
  <c r="H29" i="1"/>
  <c r="I29" i="1" s="1"/>
  <c r="H31" i="1"/>
  <c r="I31" i="1" s="1"/>
  <c r="H33" i="1"/>
  <c r="I33" i="1" s="1"/>
  <c r="H35" i="1"/>
  <c r="I35" i="1" s="1"/>
  <c r="H37" i="1"/>
  <c r="I37" i="1" s="1"/>
  <c r="H39" i="1"/>
  <c r="I39" i="1" s="1"/>
  <c r="H41" i="1"/>
  <c r="I41" i="1" s="1"/>
  <c r="H43" i="1"/>
  <c r="I43" i="1" s="1"/>
  <c r="H45" i="1"/>
  <c r="I45" i="1" s="1"/>
  <c r="H47" i="1"/>
  <c r="I47" i="1" s="1"/>
  <c r="H49" i="1"/>
  <c r="I49" i="1" s="1"/>
  <c r="H51" i="1"/>
  <c r="I51" i="1" s="1"/>
  <c r="H53" i="1"/>
  <c r="I53" i="1" s="1"/>
  <c r="H55" i="1"/>
  <c r="I55" i="1" s="1"/>
  <c r="H57" i="1"/>
  <c r="I57" i="1" s="1"/>
  <c r="H59" i="1"/>
  <c r="I59" i="1" s="1"/>
  <c r="H61" i="1"/>
  <c r="I61" i="1" s="1"/>
  <c r="H63" i="1"/>
  <c r="I63" i="1" s="1"/>
  <c r="H65" i="1"/>
  <c r="I65" i="1" s="1"/>
  <c r="H67" i="1"/>
  <c r="I67" i="1" s="1"/>
  <c r="H69" i="1"/>
  <c r="I69" i="1" s="1"/>
  <c r="H71" i="1"/>
  <c r="I71" i="1" s="1"/>
  <c r="H73" i="1"/>
  <c r="I73" i="1" s="1"/>
  <c r="H75" i="1"/>
  <c r="I75" i="1" s="1"/>
  <c r="H77" i="1"/>
  <c r="I77" i="1" s="1"/>
  <c r="H79" i="1"/>
  <c r="I79" i="1" s="1"/>
  <c r="H81" i="1"/>
  <c r="I81" i="1" s="1"/>
  <c r="H83" i="1"/>
  <c r="I83" i="1" s="1"/>
  <c r="H85" i="1"/>
  <c r="I85" i="1" s="1"/>
  <c r="H87" i="1"/>
  <c r="I87" i="1" s="1"/>
  <c r="H89" i="1"/>
  <c r="I89" i="1" s="1"/>
  <c r="H91" i="1"/>
  <c r="I91" i="1" s="1"/>
  <c r="H93" i="1"/>
  <c r="I93" i="1" s="1"/>
  <c r="H95" i="1"/>
  <c r="I95" i="1" s="1"/>
  <c r="H97" i="1"/>
  <c r="I97" i="1" s="1"/>
  <c r="H99" i="1"/>
  <c r="I99" i="1" s="1"/>
  <c r="H101" i="1"/>
  <c r="I101" i="1" s="1"/>
  <c r="H103" i="1"/>
  <c r="I103" i="1" s="1"/>
  <c r="H105" i="1"/>
  <c r="I105" i="1" s="1"/>
  <c r="H107" i="1"/>
  <c r="I107" i="1" s="1"/>
  <c r="H109" i="1"/>
  <c r="H111" i="1"/>
  <c r="I111" i="1" s="1"/>
  <c r="H113" i="1"/>
  <c r="I113" i="1" s="1"/>
  <c r="H115" i="1"/>
  <c r="I115" i="1" s="1"/>
  <c r="H117" i="1"/>
  <c r="I117" i="1" s="1"/>
  <c r="H119" i="1"/>
  <c r="I119" i="1" s="1"/>
  <c r="H121" i="1"/>
  <c r="I121" i="1" s="1"/>
  <c r="H123" i="1"/>
  <c r="I123" i="1" s="1"/>
  <c r="H125" i="1"/>
  <c r="I125" i="1" s="1"/>
  <c r="H127" i="1"/>
  <c r="I127" i="1" s="1"/>
  <c r="H129" i="1"/>
  <c r="I129" i="1" s="1"/>
  <c r="H131" i="1"/>
  <c r="I131" i="1" s="1"/>
  <c r="H133" i="1"/>
  <c r="I133" i="1" s="1"/>
  <c r="H135" i="1"/>
  <c r="I135" i="1" s="1"/>
  <c r="H137" i="1"/>
  <c r="I137" i="1" s="1"/>
  <c r="H139" i="1"/>
  <c r="I139" i="1" s="1"/>
  <c r="H141" i="1"/>
  <c r="H143" i="1"/>
  <c r="I143" i="1" s="1"/>
  <c r="H145" i="1"/>
  <c r="I145" i="1" s="1"/>
  <c r="H147" i="1"/>
  <c r="I147" i="1" s="1"/>
  <c r="H149" i="1"/>
  <c r="I149" i="1" s="1"/>
  <c r="H151" i="1"/>
  <c r="I151" i="1" s="1"/>
  <c r="H153" i="1"/>
  <c r="I153" i="1" s="1"/>
  <c r="H155" i="1"/>
  <c r="I155" i="1" s="1"/>
  <c r="H157" i="1"/>
  <c r="I157" i="1" s="1"/>
  <c r="H159" i="1"/>
  <c r="I159" i="1" s="1"/>
  <c r="H161" i="1"/>
  <c r="I161" i="1" s="1"/>
  <c r="H163" i="1"/>
  <c r="I163" i="1" s="1"/>
  <c r="H165" i="1"/>
  <c r="I165" i="1" s="1"/>
  <c r="H167" i="1"/>
  <c r="I167" i="1" s="1"/>
  <c r="H169" i="1"/>
  <c r="I169" i="1" s="1"/>
  <c r="H171" i="1"/>
  <c r="I171" i="1" s="1"/>
  <c r="H173" i="1"/>
  <c r="I173" i="1" s="1"/>
  <c r="H175" i="1"/>
  <c r="I175" i="1" s="1"/>
  <c r="H177" i="1"/>
  <c r="I177" i="1" s="1"/>
  <c r="H179" i="1"/>
  <c r="I179" i="1" s="1"/>
  <c r="H181" i="1"/>
  <c r="I181" i="1" s="1"/>
  <c r="H183" i="1"/>
  <c r="I183" i="1" s="1"/>
  <c r="H185" i="1"/>
  <c r="I185" i="1" s="1"/>
  <c r="H187" i="1"/>
  <c r="I187" i="1" s="1"/>
  <c r="H189" i="1"/>
  <c r="I189" i="1" s="1"/>
  <c r="H191" i="1"/>
  <c r="I191" i="1" s="1"/>
  <c r="H193" i="1"/>
  <c r="I193" i="1" s="1"/>
  <c r="H195" i="1"/>
  <c r="I195" i="1" s="1"/>
  <c r="H197" i="1"/>
  <c r="I197" i="1" s="1"/>
  <c r="H199" i="1"/>
  <c r="I199" i="1" s="1"/>
  <c r="H201" i="1"/>
  <c r="I201" i="1" s="1"/>
  <c r="H203" i="1"/>
  <c r="I203" i="1" s="1"/>
  <c r="H205" i="1"/>
  <c r="I205" i="1" s="1"/>
  <c r="H207" i="1"/>
  <c r="I207" i="1" s="1"/>
  <c r="H209" i="1"/>
  <c r="I209" i="1" s="1"/>
  <c r="H211" i="1"/>
  <c r="I211" i="1" s="1"/>
  <c r="H213" i="1"/>
  <c r="I213" i="1" s="1"/>
  <c r="H215" i="1"/>
  <c r="I215" i="1" s="1"/>
  <c r="H217" i="1"/>
  <c r="I217" i="1" s="1"/>
  <c r="H219" i="1"/>
  <c r="I219" i="1" s="1"/>
  <c r="H221" i="1"/>
  <c r="I221" i="1" s="1"/>
  <c r="H223" i="1"/>
  <c r="I223" i="1" s="1"/>
  <c r="H225" i="1"/>
  <c r="I225" i="1" s="1"/>
  <c r="H227" i="1"/>
  <c r="I227" i="1" s="1"/>
  <c r="H229" i="1"/>
  <c r="I229" i="1" s="1"/>
  <c r="H231" i="1"/>
  <c r="I231" i="1" s="1"/>
  <c r="H233" i="1"/>
  <c r="I233" i="1" s="1"/>
  <c r="H235" i="1"/>
  <c r="I235" i="1" s="1"/>
  <c r="H237" i="1"/>
  <c r="I237" i="1" s="1"/>
  <c r="H239" i="1"/>
  <c r="I239" i="1" s="1"/>
  <c r="H241" i="1"/>
  <c r="I241" i="1" s="1"/>
  <c r="H243" i="1"/>
  <c r="I243" i="1" s="1"/>
  <c r="H245" i="1"/>
  <c r="I245" i="1" s="1"/>
  <c r="H247" i="1"/>
  <c r="I247" i="1" s="1"/>
  <c r="H249" i="1"/>
  <c r="I249" i="1" s="1"/>
  <c r="H251" i="1"/>
  <c r="I251" i="1" s="1"/>
  <c r="H253" i="1"/>
  <c r="I253" i="1" s="1"/>
  <c r="H255" i="1"/>
  <c r="I255" i="1" s="1"/>
  <c r="H257" i="1"/>
  <c r="I257" i="1" s="1"/>
  <c r="H259" i="1"/>
  <c r="I259" i="1" s="1"/>
  <c r="H261" i="1"/>
  <c r="I261" i="1" s="1"/>
  <c r="H263" i="1"/>
  <c r="I263" i="1" s="1"/>
  <c r="H265" i="1"/>
  <c r="I265" i="1" s="1"/>
  <c r="H267" i="1"/>
  <c r="I267" i="1" s="1"/>
  <c r="H269" i="1"/>
  <c r="I269" i="1" s="1"/>
  <c r="H271" i="1"/>
  <c r="I271" i="1" s="1"/>
  <c r="H273" i="1"/>
  <c r="I273" i="1" s="1"/>
  <c r="H275" i="1"/>
  <c r="I275" i="1" s="1"/>
  <c r="H277" i="1"/>
  <c r="I277" i="1" s="1"/>
  <c r="H279" i="1"/>
  <c r="I279" i="1" s="1"/>
  <c r="H281" i="1"/>
  <c r="I281" i="1" s="1"/>
  <c r="H283" i="1"/>
  <c r="I283" i="1" s="1"/>
  <c r="H285" i="1"/>
  <c r="I285" i="1" s="1"/>
  <c r="H287" i="1"/>
  <c r="I287" i="1" s="1"/>
  <c r="H289" i="1"/>
  <c r="I289" i="1" s="1"/>
  <c r="H291" i="1"/>
  <c r="I291" i="1" s="1"/>
  <c r="H293" i="1"/>
  <c r="I293" i="1" s="1"/>
  <c r="H295" i="1"/>
  <c r="I295" i="1" s="1"/>
  <c r="H297" i="1"/>
  <c r="I297" i="1" s="1"/>
  <c r="H299" i="1"/>
  <c r="I299" i="1" s="1"/>
  <c r="H301" i="1"/>
  <c r="I301" i="1" s="1"/>
  <c r="H303" i="1"/>
  <c r="I303" i="1" s="1"/>
  <c r="H305" i="1"/>
  <c r="I305" i="1" s="1"/>
  <c r="I332" i="1"/>
  <c r="I334" i="1"/>
  <c r="I336" i="1"/>
  <c r="I338" i="1"/>
  <c r="I340" i="1"/>
  <c r="I342" i="1"/>
  <c r="I344" i="1"/>
  <c r="I346" i="1"/>
  <c r="I348" i="1"/>
  <c r="I350" i="1"/>
  <c r="I352" i="1"/>
  <c r="I354" i="1"/>
  <c r="I356" i="1"/>
  <c r="I358" i="1"/>
  <c r="I360" i="1"/>
  <c r="I362" i="1"/>
  <c r="I364" i="1"/>
  <c r="I366" i="1"/>
  <c r="I368" i="1"/>
  <c r="I370" i="1"/>
  <c r="I372" i="1"/>
  <c r="I374" i="1"/>
  <c r="I376" i="1"/>
  <c r="I378" i="1"/>
  <c r="I380" i="1"/>
  <c r="I382" i="1"/>
  <c r="I384" i="1"/>
  <c r="I386" i="1"/>
  <c r="I388" i="1"/>
  <c r="I390" i="1"/>
  <c r="I392" i="1"/>
  <c r="I394" i="1"/>
  <c r="I396" i="1"/>
  <c r="I398" i="1"/>
  <c r="I400" i="1"/>
  <c r="I402" i="1"/>
  <c r="I404" i="1"/>
  <c r="I406" i="1"/>
  <c r="I408" i="1"/>
  <c r="I410" i="1"/>
  <c r="I412" i="1"/>
  <c r="I414" i="1"/>
  <c r="I416" i="1"/>
  <c r="I418" i="1"/>
  <c r="I420" i="1"/>
  <c r="I422" i="1"/>
  <c r="I424" i="1"/>
  <c r="I426" i="1"/>
  <c r="I428" i="1"/>
  <c r="I430" i="1"/>
  <c r="I432" i="1"/>
  <c r="I434" i="1"/>
  <c r="I436" i="1"/>
  <c r="I438" i="1"/>
  <c r="I440" i="1"/>
  <c r="I442" i="1"/>
  <c r="I444" i="1"/>
  <c r="I446" i="1"/>
  <c r="I448" i="1"/>
  <c r="I450" i="1"/>
  <c r="I452" i="1"/>
  <c r="I454" i="1"/>
  <c r="I456" i="1"/>
  <c r="I458" i="1"/>
  <c r="I460" i="1"/>
  <c r="I462" i="1"/>
  <c r="I464" i="1"/>
  <c r="I466" i="1"/>
  <c r="I468" i="1"/>
  <c r="I470" i="1"/>
  <c r="I472" i="1"/>
  <c r="I474" i="1"/>
  <c r="I476" i="1"/>
  <c r="I478" i="1"/>
  <c r="I480" i="1"/>
  <c r="I482" i="1"/>
  <c r="I484" i="1"/>
  <c r="I486" i="1"/>
  <c r="I488" i="1"/>
  <c r="I490" i="1"/>
  <c r="I492" i="1"/>
  <c r="I494" i="1"/>
  <c r="I496" i="1"/>
  <c r="I498" i="1"/>
  <c r="I500" i="1"/>
  <c r="I502" i="1"/>
  <c r="I504" i="1"/>
  <c r="I506" i="1"/>
  <c r="I508" i="1"/>
  <c r="I510" i="1"/>
  <c r="I512" i="1"/>
  <c r="I514" i="1"/>
  <c r="I516" i="1"/>
  <c r="I518" i="1"/>
  <c r="I520" i="1"/>
  <c r="I522" i="1"/>
  <c r="I524" i="1"/>
  <c r="I526" i="1"/>
  <c r="I528" i="1"/>
  <c r="I530" i="1"/>
  <c r="I532" i="1"/>
  <c r="I534" i="1"/>
  <c r="I536" i="1"/>
  <c r="I538" i="1"/>
  <c r="I540" i="1"/>
  <c r="I542" i="1"/>
  <c r="I544" i="1"/>
  <c r="I546" i="1"/>
  <c r="I548" i="1"/>
  <c r="I550" i="1"/>
  <c r="I552" i="1"/>
  <c r="I554" i="1"/>
  <c r="I556" i="1"/>
  <c r="I558" i="1"/>
  <c r="I560" i="1"/>
  <c r="I562" i="1"/>
  <c r="I564" i="1"/>
  <c r="E13" i="8"/>
  <c r="L13" i="1" s="1"/>
  <c r="M13" i="1" s="1"/>
  <c r="N13" i="1" s="1"/>
  <c r="D13" i="8"/>
  <c r="E25" i="8"/>
  <c r="L25" i="1" s="1"/>
  <c r="M25" i="1" s="1"/>
  <c r="N25" i="1" s="1"/>
  <c r="D25" i="8"/>
  <c r="E37" i="8"/>
  <c r="L37" i="1" s="1"/>
  <c r="M37" i="1" s="1"/>
  <c r="N37" i="1" s="1"/>
  <c r="D37" i="8"/>
  <c r="E49" i="8"/>
  <c r="L49" i="1" s="1"/>
  <c r="M49" i="1" s="1"/>
  <c r="N49" i="1" s="1"/>
  <c r="D49" i="8"/>
  <c r="E53" i="8"/>
  <c r="L53" i="1" s="1"/>
  <c r="M53" i="1" s="1"/>
  <c r="N53" i="1" s="1"/>
  <c r="D53" i="8"/>
  <c r="E81" i="8"/>
  <c r="L81" i="1" s="1"/>
  <c r="M81" i="1" s="1"/>
  <c r="N81" i="1" s="1"/>
  <c r="D81" i="8"/>
  <c r="E137" i="8"/>
  <c r="L137" i="1" s="1"/>
  <c r="D137" i="8"/>
  <c r="E177" i="8"/>
  <c r="L177" i="1" s="1"/>
  <c r="M177" i="1" s="1"/>
  <c r="N177" i="1" s="1"/>
  <c r="D177" i="8"/>
  <c r="E185" i="8"/>
  <c r="L185" i="1" s="1"/>
  <c r="M185" i="1" s="1"/>
  <c r="N185" i="1" s="1"/>
  <c r="D185" i="8"/>
  <c r="E209" i="8"/>
  <c r="L209" i="1" s="1"/>
  <c r="M209" i="1" s="1"/>
  <c r="N209" i="1" s="1"/>
  <c r="D209" i="8"/>
  <c r="E253" i="8"/>
  <c r="L253" i="1" s="1"/>
  <c r="M253" i="1" s="1"/>
  <c r="N253" i="1" s="1"/>
  <c r="D253" i="8"/>
  <c r="M407" i="1"/>
  <c r="N407" i="1" s="1"/>
  <c r="M527" i="1"/>
  <c r="N527" i="1" s="1"/>
  <c r="I830" i="1"/>
  <c r="E4" i="8"/>
  <c r="L4" i="1" s="1"/>
  <c r="D4" i="8"/>
  <c r="E8" i="8"/>
  <c r="L8" i="1" s="1"/>
  <c r="M8" i="1" s="1"/>
  <c r="N8" i="1" s="1"/>
  <c r="D8" i="8"/>
  <c r="E12" i="8"/>
  <c r="L12" i="1" s="1"/>
  <c r="M12" i="1" s="1"/>
  <c r="N12" i="1" s="1"/>
  <c r="D12" i="8"/>
  <c r="E16" i="8"/>
  <c r="L16" i="1" s="1"/>
  <c r="M16" i="1" s="1"/>
  <c r="N16" i="1" s="1"/>
  <c r="D16" i="8"/>
  <c r="E20" i="8"/>
  <c r="L20" i="1" s="1"/>
  <c r="M20" i="1" s="1"/>
  <c r="N20" i="1" s="1"/>
  <c r="D20" i="8"/>
  <c r="E24" i="8"/>
  <c r="L24" i="1" s="1"/>
  <c r="M24" i="1" s="1"/>
  <c r="N24" i="1" s="1"/>
  <c r="D24" i="8"/>
  <c r="E28" i="8"/>
  <c r="L28" i="1" s="1"/>
  <c r="M28" i="1" s="1"/>
  <c r="N28" i="1" s="1"/>
  <c r="D28" i="8"/>
  <c r="E32" i="8"/>
  <c r="L32" i="1" s="1"/>
  <c r="M32" i="1" s="1"/>
  <c r="N32" i="1" s="1"/>
  <c r="D32" i="8"/>
  <c r="E36" i="8"/>
  <c r="L36" i="1" s="1"/>
  <c r="M36" i="1" s="1"/>
  <c r="N36" i="1" s="1"/>
  <c r="D36" i="8"/>
  <c r="E40" i="8"/>
  <c r="L40" i="1" s="1"/>
  <c r="M40" i="1" s="1"/>
  <c r="N40" i="1" s="1"/>
  <c r="D40" i="8"/>
  <c r="E44" i="8"/>
  <c r="L44" i="1" s="1"/>
  <c r="D44" i="8"/>
  <c r="E48" i="8"/>
  <c r="L48" i="1" s="1"/>
  <c r="M48" i="1" s="1"/>
  <c r="N48" i="1" s="1"/>
  <c r="D48" i="8"/>
  <c r="E52" i="8"/>
  <c r="L52" i="1" s="1"/>
  <c r="M52" i="1" s="1"/>
  <c r="N52" i="1" s="1"/>
  <c r="D52" i="8"/>
  <c r="E56" i="8"/>
  <c r="L56" i="1" s="1"/>
  <c r="M56" i="1" s="1"/>
  <c r="N56" i="1" s="1"/>
  <c r="D56" i="8"/>
  <c r="E62" i="8"/>
  <c r="L62" i="1" s="1"/>
  <c r="M62" i="1" s="1"/>
  <c r="N62" i="1" s="1"/>
  <c r="D62" i="8"/>
  <c r="E66" i="8"/>
  <c r="L66" i="1" s="1"/>
  <c r="M66" i="1" s="1"/>
  <c r="N66" i="1" s="1"/>
  <c r="D66" i="8"/>
  <c r="E70" i="8"/>
  <c r="L70" i="1" s="1"/>
  <c r="D70" i="8"/>
  <c r="E74" i="8"/>
  <c r="L74" i="1" s="1"/>
  <c r="M74" i="1" s="1"/>
  <c r="N74" i="1" s="1"/>
  <c r="D74" i="8"/>
  <c r="E78" i="8"/>
  <c r="L78" i="1" s="1"/>
  <c r="D78" i="8"/>
  <c r="E82" i="8"/>
  <c r="L82" i="1" s="1"/>
  <c r="M82" i="1" s="1"/>
  <c r="N82" i="1" s="1"/>
  <c r="D82" i="8"/>
  <c r="E86" i="8"/>
  <c r="L86" i="1" s="1"/>
  <c r="M86" i="1" s="1"/>
  <c r="N86" i="1" s="1"/>
  <c r="D86" i="8"/>
  <c r="E90" i="8"/>
  <c r="L90" i="1" s="1"/>
  <c r="M90" i="1" s="1"/>
  <c r="N90" i="1" s="1"/>
  <c r="D90" i="8"/>
  <c r="E94" i="8"/>
  <c r="L94" i="1" s="1"/>
  <c r="M94" i="1" s="1"/>
  <c r="N94" i="1" s="1"/>
  <c r="D94" i="8"/>
  <c r="E98" i="8"/>
  <c r="L98" i="1" s="1"/>
  <c r="M98" i="1" s="1"/>
  <c r="N98" i="1" s="1"/>
  <c r="D98" i="8"/>
  <c r="E102" i="8"/>
  <c r="L102" i="1" s="1"/>
  <c r="M102" i="1" s="1"/>
  <c r="N102" i="1" s="1"/>
  <c r="D102" i="8"/>
  <c r="E106" i="8"/>
  <c r="L106" i="1" s="1"/>
  <c r="M106" i="1" s="1"/>
  <c r="N106" i="1" s="1"/>
  <c r="D106" i="8"/>
  <c r="E110" i="8"/>
  <c r="L110" i="1" s="1"/>
  <c r="M110" i="1" s="1"/>
  <c r="N110" i="1" s="1"/>
  <c r="D110" i="8"/>
  <c r="E114" i="8"/>
  <c r="L114" i="1" s="1"/>
  <c r="M114" i="1" s="1"/>
  <c r="N114" i="1" s="1"/>
  <c r="D114" i="8"/>
  <c r="E118" i="8"/>
  <c r="L118" i="1" s="1"/>
  <c r="M118" i="1" s="1"/>
  <c r="N118" i="1" s="1"/>
  <c r="D118" i="8"/>
  <c r="E122" i="8"/>
  <c r="L122" i="1" s="1"/>
  <c r="M122" i="1" s="1"/>
  <c r="N122" i="1" s="1"/>
  <c r="D122" i="8"/>
  <c r="E126" i="8"/>
  <c r="L126" i="1" s="1"/>
  <c r="M126" i="1" s="1"/>
  <c r="N126" i="1" s="1"/>
  <c r="D126" i="8"/>
  <c r="E130" i="8"/>
  <c r="L130" i="1" s="1"/>
  <c r="M130" i="1" s="1"/>
  <c r="N130" i="1" s="1"/>
  <c r="D130" i="8"/>
  <c r="E134" i="8"/>
  <c r="L134" i="1" s="1"/>
  <c r="M134" i="1" s="1"/>
  <c r="N134" i="1" s="1"/>
  <c r="D134" i="8"/>
  <c r="E138" i="8"/>
  <c r="L138" i="1" s="1"/>
  <c r="M138" i="1" s="1"/>
  <c r="N138" i="1" s="1"/>
  <c r="D138" i="8"/>
  <c r="E142" i="8"/>
  <c r="L142" i="1" s="1"/>
  <c r="M142" i="1" s="1"/>
  <c r="N142" i="1" s="1"/>
  <c r="D142" i="8"/>
  <c r="E146" i="8"/>
  <c r="L146" i="1" s="1"/>
  <c r="M146" i="1" s="1"/>
  <c r="N146" i="1" s="1"/>
  <c r="D146" i="8"/>
  <c r="E150" i="8"/>
  <c r="L150" i="1" s="1"/>
  <c r="D150" i="8"/>
  <c r="E154" i="8"/>
  <c r="L154" i="1" s="1"/>
  <c r="M154" i="1" s="1"/>
  <c r="N154" i="1" s="1"/>
  <c r="D154" i="8"/>
  <c r="E158" i="8"/>
  <c r="L158" i="1" s="1"/>
  <c r="M158" i="1" s="1"/>
  <c r="N158" i="1" s="1"/>
  <c r="D158" i="8"/>
  <c r="E162" i="8"/>
  <c r="L162" i="1" s="1"/>
  <c r="M162" i="1" s="1"/>
  <c r="N162" i="1" s="1"/>
  <c r="D162" i="8"/>
  <c r="E166" i="8"/>
  <c r="L166" i="1" s="1"/>
  <c r="M166" i="1" s="1"/>
  <c r="N166" i="1" s="1"/>
  <c r="D166" i="8"/>
  <c r="E170" i="8"/>
  <c r="L170" i="1" s="1"/>
  <c r="M170" i="1" s="1"/>
  <c r="N170" i="1" s="1"/>
  <c r="D170" i="8"/>
  <c r="E174" i="8"/>
  <c r="L174" i="1" s="1"/>
  <c r="M174" i="1" s="1"/>
  <c r="N174" i="1" s="1"/>
  <c r="D174" i="8"/>
  <c r="E178" i="8"/>
  <c r="L178" i="1" s="1"/>
  <c r="M178" i="1" s="1"/>
  <c r="N178" i="1" s="1"/>
  <c r="D178" i="8"/>
  <c r="E182" i="8"/>
  <c r="L182" i="1" s="1"/>
  <c r="M182" i="1" s="1"/>
  <c r="N182" i="1" s="1"/>
  <c r="D182" i="8"/>
  <c r="E186" i="8"/>
  <c r="L186" i="1" s="1"/>
  <c r="M186" i="1" s="1"/>
  <c r="N186" i="1" s="1"/>
  <c r="D186" i="8"/>
  <c r="E190" i="8"/>
  <c r="L190" i="1" s="1"/>
  <c r="M190" i="1" s="1"/>
  <c r="N190" i="1" s="1"/>
  <c r="D190" i="8"/>
  <c r="E194" i="8"/>
  <c r="L194" i="1" s="1"/>
  <c r="M194" i="1" s="1"/>
  <c r="N194" i="1" s="1"/>
  <c r="D194" i="8"/>
  <c r="E198" i="8"/>
  <c r="L198" i="1" s="1"/>
  <c r="M198" i="1" s="1"/>
  <c r="N198" i="1" s="1"/>
  <c r="D198" i="8"/>
  <c r="E202" i="8"/>
  <c r="L202" i="1" s="1"/>
  <c r="M202" i="1" s="1"/>
  <c r="N202" i="1" s="1"/>
  <c r="D202" i="8"/>
  <c r="E206" i="8"/>
  <c r="L206" i="1" s="1"/>
  <c r="M206" i="1" s="1"/>
  <c r="N206" i="1" s="1"/>
  <c r="D206" i="8"/>
  <c r="E210" i="8"/>
  <c r="L210" i="1" s="1"/>
  <c r="M210" i="1" s="1"/>
  <c r="N210" i="1" s="1"/>
  <c r="D210" i="8"/>
  <c r="E214" i="8"/>
  <c r="L214" i="1" s="1"/>
  <c r="D214" i="8"/>
  <c r="E218" i="8"/>
  <c r="L218" i="1" s="1"/>
  <c r="M218" i="1" s="1"/>
  <c r="N218" i="1" s="1"/>
  <c r="D218" i="8"/>
  <c r="E222" i="8"/>
  <c r="L222" i="1" s="1"/>
  <c r="M222" i="1" s="1"/>
  <c r="N222" i="1" s="1"/>
  <c r="D222" i="8"/>
  <c r="E226" i="8"/>
  <c r="L226" i="1" s="1"/>
  <c r="M226" i="1" s="1"/>
  <c r="N226" i="1" s="1"/>
  <c r="D226" i="8"/>
  <c r="E230" i="8"/>
  <c r="L230" i="1" s="1"/>
  <c r="M230" i="1" s="1"/>
  <c r="N230" i="1" s="1"/>
  <c r="D230" i="8"/>
  <c r="E234" i="8"/>
  <c r="L234" i="1" s="1"/>
  <c r="M234" i="1" s="1"/>
  <c r="N234" i="1" s="1"/>
  <c r="D234" i="8"/>
  <c r="E238" i="8"/>
  <c r="L238" i="1" s="1"/>
  <c r="M238" i="1" s="1"/>
  <c r="N238" i="1" s="1"/>
  <c r="D238" i="8"/>
  <c r="E242" i="8"/>
  <c r="L242" i="1" s="1"/>
  <c r="M242" i="1" s="1"/>
  <c r="N242" i="1" s="1"/>
  <c r="D242" i="8"/>
  <c r="E246" i="8"/>
  <c r="L246" i="1" s="1"/>
  <c r="M246" i="1" s="1"/>
  <c r="N246" i="1" s="1"/>
  <c r="D246" i="8"/>
  <c r="E250" i="8"/>
  <c r="L250" i="1" s="1"/>
  <c r="M250" i="1" s="1"/>
  <c r="N250" i="1" s="1"/>
  <c r="D250" i="8"/>
  <c r="E254" i="8"/>
  <c r="L254" i="1" s="1"/>
  <c r="M254" i="1" s="1"/>
  <c r="N254" i="1" s="1"/>
  <c r="D254" i="8"/>
  <c r="E258" i="8"/>
  <c r="L258" i="1" s="1"/>
  <c r="M258" i="1" s="1"/>
  <c r="N258" i="1" s="1"/>
  <c r="D258" i="8"/>
  <c r="E262" i="8"/>
  <c r="L262" i="1" s="1"/>
  <c r="M262" i="1" s="1"/>
  <c r="N262" i="1" s="1"/>
  <c r="D262" i="8"/>
  <c r="E266" i="8"/>
  <c r="L266" i="1" s="1"/>
  <c r="M266" i="1" s="1"/>
  <c r="N266" i="1" s="1"/>
  <c r="D266" i="8"/>
  <c r="E270" i="8"/>
  <c r="L270" i="1" s="1"/>
  <c r="M270" i="1" s="1"/>
  <c r="N270" i="1" s="1"/>
  <c r="D270" i="8"/>
  <c r="E274" i="8"/>
  <c r="L274" i="1" s="1"/>
  <c r="M274" i="1" s="1"/>
  <c r="N274" i="1" s="1"/>
  <c r="D274" i="8"/>
  <c r="E278" i="8"/>
  <c r="L278" i="1" s="1"/>
  <c r="D278" i="8"/>
  <c r="E282" i="8"/>
  <c r="L282" i="1" s="1"/>
  <c r="M282" i="1" s="1"/>
  <c r="N282" i="1" s="1"/>
  <c r="D282" i="8"/>
  <c r="E286" i="8"/>
  <c r="L286" i="1" s="1"/>
  <c r="M286" i="1" s="1"/>
  <c r="N286" i="1" s="1"/>
  <c r="D286" i="8"/>
  <c r="E290" i="8"/>
  <c r="L290" i="1" s="1"/>
  <c r="M290" i="1" s="1"/>
  <c r="N290" i="1" s="1"/>
  <c r="D290" i="8"/>
  <c r="E294" i="8"/>
  <c r="L294" i="1" s="1"/>
  <c r="M294" i="1" s="1"/>
  <c r="N294" i="1" s="1"/>
  <c r="D294" i="8"/>
  <c r="E298" i="8"/>
  <c r="L298" i="1" s="1"/>
  <c r="M298" i="1" s="1"/>
  <c r="N298" i="1" s="1"/>
  <c r="D298" i="8"/>
  <c r="E302" i="8"/>
  <c r="L302" i="1" s="1"/>
  <c r="D302" i="8"/>
  <c r="E306" i="8"/>
  <c r="L306" i="1" s="1"/>
  <c r="M306" i="1" s="1"/>
  <c r="N306" i="1" s="1"/>
  <c r="D306" i="8"/>
  <c r="E310" i="8"/>
  <c r="L310" i="1" s="1"/>
  <c r="M310" i="1" s="1"/>
  <c r="N310" i="1" s="1"/>
  <c r="D310" i="8"/>
  <c r="E314" i="8"/>
  <c r="L314" i="1" s="1"/>
  <c r="M314" i="1" s="1"/>
  <c r="N314" i="1" s="1"/>
  <c r="D314" i="8"/>
  <c r="E318" i="8"/>
  <c r="L318" i="1" s="1"/>
  <c r="M318" i="1" s="1"/>
  <c r="N318" i="1" s="1"/>
  <c r="D318" i="8"/>
  <c r="E322" i="8"/>
  <c r="L322" i="1" s="1"/>
  <c r="M322" i="1" s="1"/>
  <c r="N322" i="1" s="1"/>
  <c r="D322" i="8"/>
  <c r="E326" i="8"/>
  <c r="L326" i="1" s="1"/>
  <c r="M326" i="1" s="1"/>
  <c r="N326" i="1" s="1"/>
  <c r="D326" i="8"/>
  <c r="E330" i="8"/>
  <c r="L330" i="1" s="1"/>
  <c r="D330" i="8"/>
  <c r="E334" i="8"/>
  <c r="L334" i="1" s="1"/>
  <c r="M334" i="1" s="1"/>
  <c r="N334" i="1" s="1"/>
  <c r="D334" i="8"/>
  <c r="E338" i="8"/>
  <c r="L338" i="1" s="1"/>
  <c r="M338" i="1" s="1"/>
  <c r="N338" i="1" s="1"/>
  <c r="D338" i="8"/>
  <c r="E342" i="8"/>
  <c r="L342" i="1" s="1"/>
  <c r="M342" i="1" s="1"/>
  <c r="N342" i="1" s="1"/>
  <c r="D342" i="8"/>
  <c r="E346" i="8"/>
  <c r="L346" i="1" s="1"/>
  <c r="M346" i="1" s="1"/>
  <c r="N346" i="1" s="1"/>
  <c r="D346" i="8"/>
  <c r="E350" i="8"/>
  <c r="L350" i="1" s="1"/>
  <c r="M350" i="1" s="1"/>
  <c r="N350" i="1" s="1"/>
  <c r="D350" i="8"/>
  <c r="E354" i="8"/>
  <c r="L354" i="1" s="1"/>
  <c r="M354" i="1" s="1"/>
  <c r="N354" i="1" s="1"/>
  <c r="D354" i="8"/>
  <c r="E358" i="8"/>
  <c r="L358" i="1" s="1"/>
  <c r="D358" i="8"/>
  <c r="E362" i="8"/>
  <c r="L362" i="1" s="1"/>
  <c r="M362" i="1" s="1"/>
  <c r="N362" i="1" s="1"/>
  <c r="D362" i="8"/>
  <c r="E366" i="8"/>
  <c r="L366" i="1" s="1"/>
  <c r="D366" i="8"/>
  <c r="E370" i="8"/>
  <c r="L370" i="1" s="1"/>
  <c r="M370" i="1" s="1"/>
  <c r="N370" i="1" s="1"/>
  <c r="D370" i="8"/>
  <c r="E374" i="8"/>
  <c r="L374" i="1" s="1"/>
  <c r="M374" i="1" s="1"/>
  <c r="N374" i="1" s="1"/>
  <c r="D374" i="8"/>
  <c r="E378" i="8"/>
  <c r="L378" i="1" s="1"/>
  <c r="M378" i="1" s="1"/>
  <c r="N378" i="1" s="1"/>
  <c r="D378" i="8"/>
  <c r="E382" i="8"/>
  <c r="L382" i="1" s="1"/>
  <c r="M382" i="1" s="1"/>
  <c r="N382" i="1" s="1"/>
  <c r="D382" i="8"/>
  <c r="E386" i="8"/>
  <c r="L386" i="1" s="1"/>
  <c r="M386" i="1" s="1"/>
  <c r="N386" i="1" s="1"/>
  <c r="D386" i="8"/>
  <c r="E390" i="8"/>
  <c r="L390" i="1" s="1"/>
  <c r="D390" i="8"/>
  <c r="E394" i="8"/>
  <c r="L394" i="1" s="1"/>
  <c r="M394" i="1" s="1"/>
  <c r="N394" i="1" s="1"/>
  <c r="D394" i="8"/>
  <c r="E398" i="8"/>
  <c r="L398" i="1" s="1"/>
  <c r="M398" i="1" s="1"/>
  <c r="N398" i="1" s="1"/>
  <c r="D398" i="8"/>
  <c r="E402" i="8"/>
  <c r="L402" i="1" s="1"/>
  <c r="M402" i="1" s="1"/>
  <c r="N402" i="1" s="1"/>
  <c r="D402" i="8"/>
  <c r="E406" i="8"/>
  <c r="L406" i="1" s="1"/>
  <c r="M406" i="1" s="1"/>
  <c r="N406" i="1" s="1"/>
  <c r="D406" i="8"/>
  <c r="E410" i="8"/>
  <c r="L410" i="1" s="1"/>
  <c r="M410" i="1" s="1"/>
  <c r="N410" i="1" s="1"/>
  <c r="D410" i="8"/>
  <c r="E414" i="8"/>
  <c r="L414" i="1" s="1"/>
  <c r="M414" i="1" s="1"/>
  <c r="N414" i="1" s="1"/>
  <c r="D414" i="8"/>
  <c r="E418" i="8"/>
  <c r="L418" i="1" s="1"/>
  <c r="M418" i="1" s="1"/>
  <c r="N418" i="1" s="1"/>
  <c r="D418" i="8"/>
  <c r="E422" i="8"/>
  <c r="L422" i="1" s="1"/>
  <c r="M422" i="1" s="1"/>
  <c r="N422" i="1" s="1"/>
  <c r="D422" i="8"/>
  <c r="E426" i="8"/>
  <c r="L426" i="1" s="1"/>
  <c r="M426" i="1" s="1"/>
  <c r="N426" i="1" s="1"/>
  <c r="D426" i="8"/>
  <c r="E430" i="8"/>
  <c r="L430" i="1" s="1"/>
  <c r="M430" i="1" s="1"/>
  <c r="N430" i="1" s="1"/>
  <c r="D430" i="8"/>
  <c r="E434" i="8"/>
  <c r="L434" i="1" s="1"/>
  <c r="M434" i="1" s="1"/>
  <c r="N434" i="1" s="1"/>
  <c r="D434" i="8"/>
  <c r="E438" i="8"/>
  <c r="L438" i="1" s="1"/>
  <c r="M438" i="1" s="1"/>
  <c r="N438" i="1" s="1"/>
  <c r="D438" i="8"/>
  <c r="E442" i="8"/>
  <c r="L442" i="1" s="1"/>
  <c r="M442" i="1" s="1"/>
  <c r="N442" i="1" s="1"/>
  <c r="D442" i="8"/>
  <c r="E446" i="8"/>
  <c r="L446" i="1" s="1"/>
  <c r="D446" i="8"/>
  <c r="E450" i="8"/>
  <c r="L450" i="1" s="1"/>
  <c r="M450" i="1" s="1"/>
  <c r="N450" i="1" s="1"/>
  <c r="D450" i="8"/>
  <c r="E454" i="8"/>
  <c r="L454" i="1" s="1"/>
  <c r="M454" i="1" s="1"/>
  <c r="N454" i="1" s="1"/>
  <c r="D454" i="8"/>
  <c r="E458" i="8"/>
  <c r="L458" i="1" s="1"/>
  <c r="M458" i="1" s="1"/>
  <c r="N458" i="1" s="1"/>
  <c r="D458" i="8"/>
  <c r="E462" i="8"/>
  <c r="L462" i="1" s="1"/>
  <c r="D462" i="8"/>
  <c r="E466" i="8"/>
  <c r="L466" i="1" s="1"/>
  <c r="M466" i="1" s="1"/>
  <c r="N466" i="1" s="1"/>
  <c r="D466" i="8"/>
  <c r="E470" i="8"/>
  <c r="L470" i="1" s="1"/>
  <c r="M470" i="1" s="1"/>
  <c r="N470" i="1" s="1"/>
  <c r="D470" i="8"/>
  <c r="E474" i="8"/>
  <c r="L474" i="1" s="1"/>
  <c r="M474" i="1" s="1"/>
  <c r="N474" i="1" s="1"/>
  <c r="D474" i="8"/>
  <c r="E478" i="8"/>
  <c r="L478" i="1" s="1"/>
  <c r="D478" i="8"/>
  <c r="E482" i="8"/>
  <c r="L482" i="1" s="1"/>
  <c r="M482" i="1" s="1"/>
  <c r="N482" i="1" s="1"/>
  <c r="D482" i="8"/>
  <c r="E486" i="8"/>
  <c r="L486" i="1" s="1"/>
  <c r="D486" i="8"/>
  <c r="E490" i="8"/>
  <c r="L490" i="1" s="1"/>
  <c r="M490" i="1" s="1"/>
  <c r="N490" i="1" s="1"/>
  <c r="D490" i="8"/>
  <c r="E494" i="8"/>
  <c r="L494" i="1" s="1"/>
  <c r="M494" i="1" s="1"/>
  <c r="N494" i="1" s="1"/>
  <c r="D494" i="8"/>
  <c r="E498" i="8"/>
  <c r="L498" i="1" s="1"/>
  <c r="M498" i="1" s="1"/>
  <c r="N498" i="1" s="1"/>
  <c r="D498" i="8"/>
  <c r="E502" i="8"/>
  <c r="L502" i="1" s="1"/>
  <c r="D502" i="8"/>
  <c r="E506" i="8"/>
  <c r="L506" i="1" s="1"/>
  <c r="M506" i="1" s="1"/>
  <c r="N506" i="1" s="1"/>
  <c r="D506" i="8"/>
  <c r="E510" i="8"/>
  <c r="L510" i="1" s="1"/>
  <c r="M510" i="1" s="1"/>
  <c r="N510" i="1" s="1"/>
  <c r="D510" i="8"/>
  <c r="E514" i="8"/>
  <c r="L514" i="1" s="1"/>
  <c r="M514" i="1" s="1"/>
  <c r="N514" i="1" s="1"/>
  <c r="D514" i="8"/>
  <c r="E518" i="8"/>
  <c r="L518" i="1" s="1"/>
  <c r="D518" i="8"/>
  <c r="E522" i="8"/>
  <c r="L522" i="1" s="1"/>
  <c r="M522" i="1" s="1"/>
  <c r="N522" i="1" s="1"/>
  <c r="D522" i="8"/>
  <c r="E526" i="8"/>
  <c r="L526" i="1" s="1"/>
  <c r="D526" i="8"/>
  <c r="E530" i="8"/>
  <c r="L530" i="1" s="1"/>
  <c r="M530" i="1" s="1"/>
  <c r="N530" i="1" s="1"/>
  <c r="D530" i="8"/>
  <c r="E534" i="8"/>
  <c r="L534" i="1" s="1"/>
  <c r="M534" i="1" s="1"/>
  <c r="N534" i="1" s="1"/>
  <c r="D534" i="8"/>
  <c r="E538" i="8"/>
  <c r="L538" i="1" s="1"/>
  <c r="M538" i="1" s="1"/>
  <c r="N538" i="1" s="1"/>
  <c r="D538" i="8"/>
  <c r="E542" i="8"/>
  <c r="L542" i="1" s="1"/>
  <c r="M542" i="1" s="1"/>
  <c r="N542" i="1" s="1"/>
  <c r="D542" i="8"/>
  <c r="E546" i="8"/>
  <c r="L546" i="1" s="1"/>
  <c r="M546" i="1" s="1"/>
  <c r="N546" i="1" s="1"/>
  <c r="D546" i="8"/>
  <c r="E550" i="8"/>
  <c r="L550" i="1" s="1"/>
  <c r="D550" i="8"/>
  <c r="E554" i="8"/>
  <c r="L554" i="1" s="1"/>
  <c r="M554" i="1" s="1"/>
  <c r="N554" i="1" s="1"/>
  <c r="D554" i="8"/>
  <c r="E558" i="8"/>
  <c r="L558" i="1" s="1"/>
  <c r="M558" i="1" s="1"/>
  <c r="N558" i="1" s="1"/>
  <c r="D558" i="8"/>
  <c r="E562" i="8"/>
  <c r="L562" i="1" s="1"/>
  <c r="M562" i="1" s="1"/>
  <c r="N562" i="1" s="1"/>
  <c r="D562" i="8"/>
  <c r="C566" i="8"/>
  <c r="H566" i="1"/>
  <c r="I566" i="1" s="1"/>
  <c r="C568" i="8"/>
  <c r="E568" i="8" s="1"/>
  <c r="L568" i="1" s="1"/>
  <c r="M568" i="1" s="1"/>
  <c r="N568" i="1" s="1"/>
  <c r="H568" i="1"/>
  <c r="I568" i="1" s="1"/>
  <c r="C570" i="8"/>
  <c r="H570" i="1"/>
  <c r="I570" i="1" s="1"/>
  <c r="C572" i="8"/>
  <c r="E572" i="8" s="1"/>
  <c r="L572" i="1" s="1"/>
  <c r="M572" i="1" s="1"/>
  <c r="N572" i="1" s="1"/>
  <c r="H572" i="1"/>
  <c r="I572" i="1" s="1"/>
  <c r="C574" i="8"/>
  <c r="H574" i="1"/>
  <c r="I574" i="1" s="1"/>
  <c r="C576" i="8"/>
  <c r="E576" i="8" s="1"/>
  <c r="L576" i="1" s="1"/>
  <c r="M576" i="1" s="1"/>
  <c r="N576" i="1" s="1"/>
  <c r="H576" i="1"/>
  <c r="I576" i="1" s="1"/>
  <c r="C578" i="8"/>
  <c r="H578" i="1"/>
  <c r="I578" i="1" s="1"/>
  <c r="C580" i="8"/>
  <c r="E580" i="8" s="1"/>
  <c r="L580" i="1" s="1"/>
  <c r="M580" i="1" s="1"/>
  <c r="N580" i="1" s="1"/>
  <c r="H580" i="1"/>
  <c r="I580" i="1" s="1"/>
  <c r="C582" i="8"/>
  <c r="H582" i="1"/>
  <c r="I582" i="1" s="1"/>
  <c r="C584" i="8"/>
  <c r="E584" i="8" s="1"/>
  <c r="L584" i="1" s="1"/>
  <c r="M584" i="1" s="1"/>
  <c r="N584" i="1" s="1"/>
  <c r="H584" i="1"/>
  <c r="I584" i="1" s="1"/>
  <c r="C586" i="8"/>
  <c r="H586" i="1"/>
  <c r="I586" i="1" s="1"/>
  <c r="C588" i="8"/>
  <c r="E588" i="8" s="1"/>
  <c r="L588" i="1" s="1"/>
  <c r="M588" i="1" s="1"/>
  <c r="N588" i="1" s="1"/>
  <c r="H588" i="1"/>
  <c r="I588" i="1" s="1"/>
  <c r="C590" i="8"/>
  <c r="H590" i="1"/>
  <c r="I590" i="1" s="1"/>
  <c r="C592" i="8"/>
  <c r="E592" i="8" s="1"/>
  <c r="L592" i="1" s="1"/>
  <c r="M592" i="1" s="1"/>
  <c r="N592" i="1" s="1"/>
  <c r="H592" i="1"/>
  <c r="I592" i="1" s="1"/>
  <c r="C594" i="8"/>
  <c r="H594" i="1"/>
  <c r="I594" i="1" s="1"/>
  <c r="C596" i="8"/>
  <c r="E596" i="8" s="1"/>
  <c r="L596" i="1" s="1"/>
  <c r="M596" i="1" s="1"/>
  <c r="N596" i="1" s="1"/>
  <c r="H596" i="1"/>
  <c r="I596" i="1" s="1"/>
  <c r="C598" i="8"/>
  <c r="H598" i="1"/>
  <c r="I598" i="1" s="1"/>
  <c r="C600" i="8"/>
  <c r="E600" i="8" s="1"/>
  <c r="L600" i="1" s="1"/>
  <c r="M600" i="1" s="1"/>
  <c r="N600" i="1" s="1"/>
  <c r="H600" i="1"/>
  <c r="I600" i="1" s="1"/>
  <c r="C602" i="8"/>
  <c r="H602" i="1"/>
  <c r="I602" i="1" s="1"/>
  <c r="C604" i="8"/>
  <c r="E604" i="8" s="1"/>
  <c r="L604" i="1" s="1"/>
  <c r="M604" i="1" s="1"/>
  <c r="N604" i="1" s="1"/>
  <c r="H604" i="1"/>
  <c r="I604" i="1" s="1"/>
  <c r="C606" i="8"/>
  <c r="H606" i="1"/>
  <c r="C608" i="8"/>
  <c r="E608" i="8" s="1"/>
  <c r="L608" i="1" s="1"/>
  <c r="M608" i="1" s="1"/>
  <c r="N608" i="1" s="1"/>
  <c r="H608" i="1"/>
  <c r="I608" i="1" s="1"/>
  <c r="C610" i="8"/>
  <c r="H610" i="1"/>
  <c r="I610" i="1" s="1"/>
  <c r="C612" i="8"/>
  <c r="E612" i="8" s="1"/>
  <c r="L612" i="1" s="1"/>
  <c r="M612" i="1" s="1"/>
  <c r="N612" i="1" s="1"/>
  <c r="H612" i="1"/>
  <c r="I612" i="1" s="1"/>
  <c r="C614" i="8"/>
  <c r="H614" i="1"/>
  <c r="I614" i="1" s="1"/>
  <c r="C616" i="8"/>
  <c r="E616" i="8" s="1"/>
  <c r="L616" i="1" s="1"/>
  <c r="M616" i="1" s="1"/>
  <c r="N616" i="1" s="1"/>
  <c r="H616" i="1"/>
  <c r="I616" i="1" s="1"/>
  <c r="C618" i="8"/>
  <c r="H618" i="1"/>
  <c r="I618" i="1" s="1"/>
  <c r="C620" i="8"/>
  <c r="E620" i="8" s="1"/>
  <c r="L620" i="1" s="1"/>
  <c r="M620" i="1" s="1"/>
  <c r="N620" i="1" s="1"/>
  <c r="H620" i="1"/>
  <c r="I620" i="1" s="1"/>
  <c r="C622" i="8"/>
  <c r="H622" i="1"/>
  <c r="I622" i="1" s="1"/>
  <c r="C624" i="8"/>
  <c r="E624" i="8" s="1"/>
  <c r="L624" i="1" s="1"/>
  <c r="M624" i="1" s="1"/>
  <c r="N624" i="1" s="1"/>
  <c r="H624" i="1"/>
  <c r="I624" i="1" s="1"/>
  <c r="C626" i="8"/>
  <c r="H626" i="1"/>
  <c r="I626" i="1" s="1"/>
  <c r="C628" i="8"/>
  <c r="E628" i="8" s="1"/>
  <c r="L628" i="1" s="1"/>
  <c r="M628" i="1" s="1"/>
  <c r="N628" i="1" s="1"/>
  <c r="H628" i="1"/>
  <c r="I628" i="1" s="1"/>
  <c r="C630" i="8"/>
  <c r="H630" i="1"/>
  <c r="I630" i="1" s="1"/>
  <c r="C632" i="8"/>
  <c r="E632" i="8" s="1"/>
  <c r="L632" i="1" s="1"/>
  <c r="M632" i="1" s="1"/>
  <c r="N632" i="1" s="1"/>
  <c r="H632" i="1"/>
  <c r="I632" i="1" s="1"/>
  <c r="C634" i="8"/>
  <c r="H634" i="1"/>
  <c r="I634" i="1" s="1"/>
  <c r="C636" i="8"/>
  <c r="E636" i="8" s="1"/>
  <c r="L636" i="1" s="1"/>
  <c r="M636" i="1" s="1"/>
  <c r="N636" i="1" s="1"/>
  <c r="H636" i="1"/>
  <c r="I636" i="1" s="1"/>
  <c r="C638" i="8"/>
  <c r="H638" i="1"/>
  <c r="I638" i="1" s="1"/>
  <c r="C640" i="8"/>
  <c r="E640" i="8" s="1"/>
  <c r="L640" i="1" s="1"/>
  <c r="M640" i="1" s="1"/>
  <c r="N640" i="1" s="1"/>
  <c r="H640" i="1"/>
  <c r="I640" i="1" s="1"/>
  <c r="C642" i="8"/>
  <c r="H642" i="1"/>
  <c r="I642" i="1" s="1"/>
  <c r="C644" i="8"/>
  <c r="E644" i="8" s="1"/>
  <c r="L644" i="1" s="1"/>
  <c r="M644" i="1" s="1"/>
  <c r="N644" i="1" s="1"/>
  <c r="H644" i="1"/>
  <c r="I644" i="1" s="1"/>
  <c r="C646" i="8"/>
  <c r="H646" i="1"/>
  <c r="I646" i="1" s="1"/>
  <c r="C648" i="8"/>
  <c r="E648" i="8" s="1"/>
  <c r="L648" i="1" s="1"/>
  <c r="M648" i="1" s="1"/>
  <c r="N648" i="1" s="1"/>
  <c r="H648" i="1"/>
  <c r="I648" i="1" s="1"/>
  <c r="C650" i="8"/>
  <c r="H650" i="1"/>
  <c r="I650" i="1" s="1"/>
  <c r="C652" i="8"/>
  <c r="E652" i="8" s="1"/>
  <c r="L652" i="1" s="1"/>
  <c r="M652" i="1" s="1"/>
  <c r="N652" i="1" s="1"/>
  <c r="H652" i="1"/>
  <c r="I652" i="1" s="1"/>
  <c r="C654" i="8"/>
  <c r="H654" i="1"/>
  <c r="I654" i="1" s="1"/>
  <c r="C656" i="8"/>
  <c r="E656" i="8" s="1"/>
  <c r="L656" i="1" s="1"/>
  <c r="M656" i="1" s="1"/>
  <c r="N656" i="1" s="1"/>
  <c r="H656" i="1"/>
  <c r="I656" i="1" s="1"/>
  <c r="C658" i="8"/>
  <c r="H658" i="1"/>
  <c r="I658" i="1" s="1"/>
  <c r="C660" i="8"/>
  <c r="E660" i="8" s="1"/>
  <c r="L660" i="1" s="1"/>
  <c r="M660" i="1" s="1"/>
  <c r="N660" i="1" s="1"/>
  <c r="H660" i="1"/>
  <c r="I660" i="1" s="1"/>
  <c r="C662" i="8"/>
  <c r="H662" i="1"/>
  <c r="I662" i="1" s="1"/>
  <c r="C664" i="8"/>
  <c r="E664" i="8" s="1"/>
  <c r="L664" i="1" s="1"/>
  <c r="M664" i="1" s="1"/>
  <c r="N664" i="1" s="1"/>
  <c r="H664" i="1"/>
  <c r="I664" i="1" s="1"/>
  <c r="C666" i="8"/>
  <c r="H666" i="1"/>
  <c r="I666" i="1" s="1"/>
  <c r="C668" i="8"/>
  <c r="E668" i="8" s="1"/>
  <c r="L668" i="1" s="1"/>
  <c r="M668" i="1" s="1"/>
  <c r="N668" i="1" s="1"/>
  <c r="H668" i="1"/>
  <c r="I668" i="1" s="1"/>
  <c r="C670" i="8"/>
  <c r="H670" i="1"/>
  <c r="I670" i="1" s="1"/>
  <c r="C672" i="8"/>
  <c r="E672" i="8" s="1"/>
  <c r="L672" i="1" s="1"/>
  <c r="M672" i="1" s="1"/>
  <c r="N672" i="1" s="1"/>
  <c r="H672" i="1"/>
  <c r="I672" i="1" s="1"/>
  <c r="C674" i="8"/>
  <c r="H674" i="1"/>
  <c r="I674" i="1" s="1"/>
  <c r="C676" i="8"/>
  <c r="E676" i="8" s="1"/>
  <c r="L676" i="1" s="1"/>
  <c r="M676" i="1" s="1"/>
  <c r="N676" i="1" s="1"/>
  <c r="H676" i="1"/>
  <c r="I676" i="1" s="1"/>
  <c r="C678" i="8"/>
  <c r="H678" i="1"/>
  <c r="I678" i="1" s="1"/>
  <c r="C680" i="8"/>
  <c r="E680" i="8" s="1"/>
  <c r="L680" i="1" s="1"/>
  <c r="M680" i="1" s="1"/>
  <c r="N680" i="1" s="1"/>
  <c r="H680" i="1"/>
  <c r="I680" i="1" s="1"/>
  <c r="C682" i="8"/>
  <c r="H682" i="1"/>
  <c r="I682" i="1" s="1"/>
  <c r="C684" i="8"/>
  <c r="E684" i="8" s="1"/>
  <c r="L684" i="1" s="1"/>
  <c r="M684" i="1" s="1"/>
  <c r="N684" i="1" s="1"/>
  <c r="H684" i="1"/>
  <c r="I684" i="1" s="1"/>
  <c r="C686" i="8"/>
  <c r="H686" i="1"/>
  <c r="I686" i="1" s="1"/>
  <c r="C688" i="8"/>
  <c r="E688" i="8" s="1"/>
  <c r="L688" i="1" s="1"/>
  <c r="M688" i="1" s="1"/>
  <c r="N688" i="1" s="1"/>
  <c r="H688" i="1"/>
  <c r="I688" i="1" s="1"/>
  <c r="C690" i="8"/>
  <c r="H690" i="1"/>
  <c r="I690" i="1" s="1"/>
  <c r="C692" i="8"/>
  <c r="E692" i="8" s="1"/>
  <c r="L692" i="1" s="1"/>
  <c r="M692" i="1" s="1"/>
  <c r="N692" i="1" s="1"/>
  <c r="H692" i="1"/>
  <c r="I692" i="1" s="1"/>
  <c r="C694" i="8"/>
  <c r="E694" i="8" s="1"/>
  <c r="L694" i="1" s="1"/>
  <c r="M694" i="1" s="1"/>
  <c r="N694" i="1" s="1"/>
  <c r="H694" i="1"/>
  <c r="I694" i="1" s="1"/>
  <c r="C696" i="8"/>
  <c r="E696" i="8" s="1"/>
  <c r="L696" i="1" s="1"/>
  <c r="M696" i="1" s="1"/>
  <c r="N696" i="1" s="1"/>
  <c r="H696" i="1"/>
  <c r="I696" i="1" s="1"/>
  <c r="C698" i="8"/>
  <c r="H698" i="1"/>
  <c r="I698" i="1" s="1"/>
  <c r="C700" i="8"/>
  <c r="E700" i="8" s="1"/>
  <c r="L700" i="1" s="1"/>
  <c r="M700" i="1" s="1"/>
  <c r="N700" i="1" s="1"/>
  <c r="H700" i="1"/>
  <c r="I700" i="1" s="1"/>
  <c r="C702" i="8"/>
  <c r="E702" i="8" s="1"/>
  <c r="L702" i="1" s="1"/>
  <c r="M702" i="1" s="1"/>
  <c r="N702" i="1" s="1"/>
  <c r="H702" i="1"/>
  <c r="I702" i="1" s="1"/>
  <c r="C704" i="8"/>
  <c r="E704" i="8" s="1"/>
  <c r="L704" i="1" s="1"/>
  <c r="M704" i="1" s="1"/>
  <c r="N704" i="1" s="1"/>
  <c r="H704" i="1"/>
  <c r="I704" i="1" s="1"/>
  <c r="C706" i="8"/>
  <c r="H706" i="1"/>
  <c r="I706" i="1" s="1"/>
  <c r="M330" i="1"/>
  <c r="N330" i="1" s="1"/>
  <c r="M358" i="1"/>
  <c r="N358" i="1" s="1"/>
  <c r="M366" i="1"/>
  <c r="N366" i="1" s="1"/>
  <c r="M390" i="1"/>
  <c r="N390" i="1" s="1"/>
  <c r="M446" i="1"/>
  <c r="N446" i="1" s="1"/>
  <c r="M462" i="1"/>
  <c r="N462" i="1" s="1"/>
  <c r="M478" i="1"/>
  <c r="N478" i="1" s="1"/>
  <c r="M486" i="1"/>
  <c r="N486" i="1" s="1"/>
  <c r="M502" i="1"/>
  <c r="N502" i="1" s="1"/>
  <c r="M518" i="1"/>
  <c r="N518" i="1" s="1"/>
  <c r="M550" i="1"/>
  <c r="N550" i="1" s="1"/>
  <c r="I606" i="1"/>
  <c r="E17" i="8"/>
  <c r="L17" i="1" s="1"/>
  <c r="M17" i="1" s="1"/>
  <c r="N17" i="1" s="1"/>
  <c r="D17" i="8"/>
  <c r="E21" i="8"/>
  <c r="L21" i="1" s="1"/>
  <c r="D21" i="8"/>
  <c r="E41" i="8"/>
  <c r="L41" i="1" s="1"/>
  <c r="M41" i="1" s="1"/>
  <c r="N41" i="1" s="1"/>
  <c r="D41" i="8"/>
  <c r="E73" i="8"/>
  <c r="L73" i="1" s="1"/>
  <c r="M73" i="1" s="1"/>
  <c r="N73" i="1" s="1"/>
  <c r="D73" i="8"/>
  <c r="E79" i="8"/>
  <c r="L79" i="1" s="1"/>
  <c r="M79" i="1" s="1"/>
  <c r="N79" i="1" s="1"/>
  <c r="D79" i="8"/>
  <c r="E129" i="8"/>
  <c r="L129" i="1" s="1"/>
  <c r="M129" i="1" s="1"/>
  <c r="N129" i="1" s="1"/>
  <c r="D129" i="8"/>
  <c r="E153" i="8"/>
  <c r="L153" i="1" s="1"/>
  <c r="M153" i="1" s="1"/>
  <c r="N153" i="1" s="1"/>
  <c r="D153" i="8"/>
  <c r="E169" i="8"/>
  <c r="L169" i="1" s="1"/>
  <c r="M169" i="1" s="1"/>
  <c r="N169" i="1" s="1"/>
  <c r="D169" i="8"/>
  <c r="E201" i="8"/>
  <c r="L201" i="1" s="1"/>
  <c r="M201" i="1" s="1"/>
  <c r="N201" i="1" s="1"/>
  <c r="D201" i="8"/>
  <c r="E225" i="8"/>
  <c r="L225" i="1" s="1"/>
  <c r="M225" i="1" s="1"/>
  <c r="N225" i="1" s="1"/>
  <c r="D225" i="8"/>
  <c r="M335" i="1"/>
  <c r="N335" i="1" s="1"/>
  <c r="I331" i="1"/>
  <c r="I333" i="1"/>
  <c r="I335" i="1"/>
  <c r="I337" i="1"/>
  <c r="I339" i="1"/>
  <c r="I341" i="1"/>
  <c r="I343" i="1"/>
  <c r="I345" i="1"/>
  <c r="I347" i="1"/>
  <c r="I349" i="1"/>
  <c r="I351" i="1"/>
  <c r="I353" i="1"/>
  <c r="I355" i="1"/>
  <c r="I357" i="1"/>
  <c r="I359" i="1"/>
  <c r="I361" i="1"/>
  <c r="I363" i="1"/>
  <c r="I365" i="1"/>
  <c r="I367" i="1"/>
  <c r="I369" i="1"/>
  <c r="I371" i="1"/>
  <c r="I373" i="1"/>
  <c r="I375" i="1"/>
  <c r="I377" i="1"/>
  <c r="I379" i="1"/>
  <c r="I381" i="1"/>
  <c r="I383" i="1"/>
  <c r="I385" i="1"/>
  <c r="I387" i="1"/>
  <c r="I389" i="1"/>
  <c r="I391" i="1"/>
  <c r="I393" i="1"/>
  <c r="I395" i="1"/>
  <c r="I397" i="1"/>
  <c r="I399" i="1"/>
  <c r="I401" i="1"/>
  <c r="I403" i="1"/>
  <c r="I405" i="1"/>
  <c r="I407" i="1"/>
  <c r="I409" i="1"/>
  <c r="I411" i="1"/>
  <c r="I413" i="1"/>
  <c r="I415" i="1"/>
  <c r="I417" i="1"/>
  <c r="I419" i="1"/>
  <c r="I421" i="1"/>
  <c r="I423" i="1"/>
  <c r="I425" i="1"/>
  <c r="I427" i="1"/>
  <c r="I429" i="1"/>
  <c r="I431" i="1"/>
  <c r="I433" i="1"/>
  <c r="I435" i="1"/>
  <c r="I437" i="1"/>
  <c r="I439" i="1"/>
  <c r="I441" i="1"/>
  <c r="I443" i="1"/>
  <c r="I445" i="1"/>
  <c r="I447" i="1"/>
  <c r="I449" i="1"/>
  <c r="I451" i="1"/>
  <c r="I453" i="1"/>
  <c r="I455" i="1"/>
  <c r="I457" i="1"/>
  <c r="I459" i="1"/>
  <c r="I461" i="1"/>
  <c r="I463" i="1"/>
  <c r="I465" i="1"/>
  <c r="I467" i="1"/>
  <c r="I469" i="1"/>
  <c r="I471" i="1"/>
  <c r="I473" i="1"/>
  <c r="I475" i="1"/>
  <c r="I477" i="1"/>
  <c r="I479" i="1"/>
  <c r="I481" i="1"/>
  <c r="I483" i="1"/>
  <c r="I485" i="1"/>
  <c r="I487" i="1"/>
  <c r="I489" i="1"/>
  <c r="I491" i="1"/>
  <c r="I493" i="1"/>
  <c r="I495" i="1"/>
  <c r="I497" i="1"/>
  <c r="I499" i="1"/>
  <c r="I501" i="1"/>
  <c r="I503" i="1"/>
  <c r="I505" i="1"/>
  <c r="I507" i="1"/>
  <c r="I509" i="1"/>
  <c r="I511" i="1"/>
  <c r="I513" i="1"/>
  <c r="I515" i="1"/>
  <c r="I517" i="1"/>
  <c r="I519" i="1"/>
  <c r="I521" i="1"/>
  <c r="I523" i="1"/>
  <c r="I525" i="1"/>
  <c r="I527" i="1"/>
  <c r="I529" i="1"/>
  <c r="I531" i="1"/>
  <c r="I533" i="1"/>
  <c r="I535" i="1"/>
  <c r="I537" i="1"/>
  <c r="I539" i="1"/>
  <c r="I541" i="1"/>
  <c r="I543" i="1"/>
  <c r="I545" i="1"/>
  <c r="I547" i="1"/>
  <c r="I549" i="1"/>
  <c r="I551" i="1"/>
  <c r="I553" i="1"/>
  <c r="I555" i="1"/>
  <c r="I557" i="1"/>
  <c r="I559" i="1"/>
  <c r="I561" i="1"/>
  <c r="I563" i="1"/>
  <c r="C708" i="8"/>
  <c r="E708" i="8" s="1"/>
  <c r="L708" i="1" s="1"/>
  <c r="M708" i="1" s="1"/>
  <c r="N708" i="1" s="1"/>
  <c r="H708" i="1"/>
  <c r="I708" i="1" s="1"/>
  <c r="C710" i="8"/>
  <c r="E710" i="8" s="1"/>
  <c r="L710" i="1" s="1"/>
  <c r="M710" i="1" s="1"/>
  <c r="N710" i="1" s="1"/>
  <c r="H710" i="1"/>
  <c r="I710" i="1" s="1"/>
  <c r="C712" i="8"/>
  <c r="E712" i="8" s="1"/>
  <c r="L712" i="1" s="1"/>
  <c r="M712" i="1" s="1"/>
  <c r="N712" i="1" s="1"/>
  <c r="H712" i="1"/>
  <c r="I712" i="1" s="1"/>
  <c r="C714" i="8"/>
  <c r="H714" i="1"/>
  <c r="I714" i="1" s="1"/>
  <c r="C716" i="8"/>
  <c r="E716" i="8" s="1"/>
  <c r="L716" i="1" s="1"/>
  <c r="M716" i="1" s="1"/>
  <c r="N716" i="1" s="1"/>
  <c r="H716" i="1"/>
  <c r="I716" i="1" s="1"/>
  <c r="C718" i="8"/>
  <c r="E718" i="8" s="1"/>
  <c r="L718" i="1" s="1"/>
  <c r="M718" i="1" s="1"/>
  <c r="N718" i="1" s="1"/>
  <c r="H718" i="1"/>
  <c r="I718" i="1" s="1"/>
  <c r="C720" i="8"/>
  <c r="E720" i="8" s="1"/>
  <c r="L720" i="1" s="1"/>
  <c r="H720" i="1"/>
  <c r="I720" i="1" s="1"/>
  <c r="C722" i="8"/>
  <c r="H722" i="1"/>
  <c r="I722" i="1" s="1"/>
  <c r="C724" i="8"/>
  <c r="E724" i="8" s="1"/>
  <c r="L724" i="1" s="1"/>
  <c r="M724" i="1" s="1"/>
  <c r="N724" i="1" s="1"/>
  <c r="H724" i="1"/>
  <c r="I724" i="1" s="1"/>
  <c r="C726" i="8"/>
  <c r="E726" i="8" s="1"/>
  <c r="L726" i="1" s="1"/>
  <c r="M726" i="1" s="1"/>
  <c r="N726" i="1" s="1"/>
  <c r="H726" i="1"/>
  <c r="I726" i="1" s="1"/>
  <c r="C728" i="8"/>
  <c r="E728" i="8" s="1"/>
  <c r="L728" i="1" s="1"/>
  <c r="M728" i="1" s="1"/>
  <c r="N728" i="1" s="1"/>
  <c r="H728" i="1"/>
  <c r="I728" i="1" s="1"/>
  <c r="C730" i="8"/>
  <c r="H730" i="1"/>
  <c r="I730" i="1" s="1"/>
  <c r="C732" i="8"/>
  <c r="E732" i="8" s="1"/>
  <c r="L732" i="1" s="1"/>
  <c r="M732" i="1" s="1"/>
  <c r="N732" i="1" s="1"/>
  <c r="H732" i="1"/>
  <c r="I732" i="1" s="1"/>
  <c r="C734" i="8"/>
  <c r="E734" i="8" s="1"/>
  <c r="L734" i="1" s="1"/>
  <c r="M734" i="1" s="1"/>
  <c r="N734" i="1" s="1"/>
  <c r="H734" i="1"/>
  <c r="I734" i="1" s="1"/>
  <c r="C736" i="8"/>
  <c r="E736" i="8" s="1"/>
  <c r="L736" i="1" s="1"/>
  <c r="M736" i="1" s="1"/>
  <c r="N736" i="1" s="1"/>
  <c r="H736" i="1"/>
  <c r="I736" i="1" s="1"/>
  <c r="C738" i="8"/>
  <c r="H738" i="1"/>
  <c r="I738" i="1" s="1"/>
  <c r="C740" i="8"/>
  <c r="E740" i="8" s="1"/>
  <c r="L740" i="1" s="1"/>
  <c r="M740" i="1" s="1"/>
  <c r="N740" i="1" s="1"/>
  <c r="H740" i="1"/>
  <c r="I740" i="1" s="1"/>
  <c r="C742" i="8"/>
  <c r="E742" i="8" s="1"/>
  <c r="L742" i="1" s="1"/>
  <c r="M742" i="1" s="1"/>
  <c r="N742" i="1" s="1"/>
  <c r="H742" i="1"/>
  <c r="I742" i="1" s="1"/>
  <c r="C744" i="8"/>
  <c r="E744" i="8" s="1"/>
  <c r="L744" i="1" s="1"/>
  <c r="M744" i="1" s="1"/>
  <c r="N744" i="1" s="1"/>
  <c r="H744" i="1"/>
  <c r="I744" i="1" s="1"/>
  <c r="C746" i="8"/>
  <c r="H746" i="1"/>
  <c r="I746" i="1" s="1"/>
  <c r="C748" i="8"/>
  <c r="E748" i="8" s="1"/>
  <c r="L748" i="1" s="1"/>
  <c r="M748" i="1" s="1"/>
  <c r="N748" i="1" s="1"/>
  <c r="H748" i="1"/>
  <c r="I748" i="1" s="1"/>
  <c r="C750" i="8"/>
  <c r="E750" i="8" s="1"/>
  <c r="L750" i="1" s="1"/>
  <c r="M750" i="1" s="1"/>
  <c r="N750" i="1" s="1"/>
  <c r="H750" i="1"/>
  <c r="I750" i="1" s="1"/>
  <c r="C752" i="8"/>
  <c r="E752" i="8" s="1"/>
  <c r="L752" i="1" s="1"/>
  <c r="M752" i="1" s="1"/>
  <c r="N752" i="1" s="1"/>
  <c r="H752" i="1"/>
  <c r="I752" i="1" s="1"/>
  <c r="C754" i="8"/>
  <c r="H754" i="1"/>
  <c r="I754" i="1" s="1"/>
  <c r="C756" i="8"/>
  <c r="E756" i="8" s="1"/>
  <c r="L756" i="1" s="1"/>
  <c r="M756" i="1" s="1"/>
  <c r="N756" i="1" s="1"/>
  <c r="H756" i="1"/>
  <c r="I756" i="1" s="1"/>
  <c r="C758" i="8"/>
  <c r="E758" i="8" s="1"/>
  <c r="L758" i="1" s="1"/>
  <c r="M758" i="1" s="1"/>
  <c r="N758" i="1" s="1"/>
  <c r="H758" i="1"/>
  <c r="I758" i="1" s="1"/>
  <c r="C760" i="8"/>
  <c r="E760" i="8" s="1"/>
  <c r="L760" i="1" s="1"/>
  <c r="M760" i="1" s="1"/>
  <c r="N760" i="1" s="1"/>
  <c r="H760" i="1"/>
  <c r="I760" i="1" s="1"/>
  <c r="C762" i="8"/>
  <c r="H762" i="1"/>
  <c r="I762" i="1" s="1"/>
  <c r="C764" i="8"/>
  <c r="E764" i="8" s="1"/>
  <c r="L764" i="1" s="1"/>
  <c r="M764" i="1" s="1"/>
  <c r="N764" i="1" s="1"/>
  <c r="H764" i="1"/>
  <c r="I764" i="1" s="1"/>
  <c r="C766" i="8"/>
  <c r="E766" i="8" s="1"/>
  <c r="L766" i="1" s="1"/>
  <c r="M766" i="1" s="1"/>
  <c r="N766" i="1" s="1"/>
  <c r="H766" i="1"/>
  <c r="I766" i="1" s="1"/>
  <c r="C768" i="8"/>
  <c r="E768" i="8" s="1"/>
  <c r="L768" i="1" s="1"/>
  <c r="M768" i="1" s="1"/>
  <c r="N768" i="1" s="1"/>
  <c r="H768" i="1"/>
  <c r="I768" i="1" s="1"/>
  <c r="C770" i="8"/>
  <c r="H770" i="1"/>
  <c r="I770" i="1" s="1"/>
  <c r="C772" i="8"/>
  <c r="E772" i="8" s="1"/>
  <c r="L772" i="1" s="1"/>
  <c r="M772" i="1" s="1"/>
  <c r="N772" i="1" s="1"/>
  <c r="H772" i="1"/>
  <c r="I772" i="1" s="1"/>
  <c r="C774" i="8"/>
  <c r="E774" i="8" s="1"/>
  <c r="L774" i="1" s="1"/>
  <c r="M774" i="1" s="1"/>
  <c r="N774" i="1" s="1"/>
  <c r="H774" i="1"/>
  <c r="I774" i="1" s="1"/>
  <c r="C776" i="8"/>
  <c r="E776" i="8" s="1"/>
  <c r="L776" i="1" s="1"/>
  <c r="M776" i="1" s="1"/>
  <c r="N776" i="1" s="1"/>
  <c r="H776" i="1"/>
  <c r="I776" i="1" s="1"/>
  <c r="C778" i="8"/>
  <c r="H778" i="1"/>
  <c r="I778" i="1" s="1"/>
  <c r="C780" i="8"/>
  <c r="E780" i="8" s="1"/>
  <c r="L780" i="1" s="1"/>
  <c r="M780" i="1" s="1"/>
  <c r="N780" i="1" s="1"/>
  <c r="H780" i="1"/>
  <c r="I780" i="1" s="1"/>
  <c r="C782" i="8"/>
  <c r="E782" i="8" s="1"/>
  <c r="L782" i="1" s="1"/>
  <c r="M782" i="1" s="1"/>
  <c r="N782" i="1" s="1"/>
  <c r="H782" i="1"/>
  <c r="I782" i="1" s="1"/>
  <c r="C784" i="8"/>
  <c r="E784" i="8" s="1"/>
  <c r="L784" i="1" s="1"/>
  <c r="M784" i="1" s="1"/>
  <c r="N784" i="1" s="1"/>
  <c r="H784" i="1"/>
  <c r="I784" i="1" s="1"/>
  <c r="C786" i="8"/>
  <c r="H786" i="1"/>
  <c r="I786" i="1" s="1"/>
  <c r="C788" i="8"/>
  <c r="E788" i="8" s="1"/>
  <c r="L788" i="1" s="1"/>
  <c r="M788" i="1" s="1"/>
  <c r="N788" i="1" s="1"/>
  <c r="H788" i="1"/>
  <c r="I788" i="1" s="1"/>
  <c r="C790" i="8"/>
  <c r="E790" i="8" s="1"/>
  <c r="L790" i="1" s="1"/>
  <c r="M790" i="1" s="1"/>
  <c r="N790" i="1" s="1"/>
  <c r="H790" i="1"/>
  <c r="I790" i="1" s="1"/>
  <c r="C792" i="8"/>
  <c r="E792" i="8" s="1"/>
  <c r="L792" i="1" s="1"/>
  <c r="M792" i="1" s="1"/>
  <c r="N792" i="1" s="1"/>
  <c r="H792" i="1"/>
  <c r="I792" i="1" s="1"/>
  <c r="C794" i="8"/>
  <c r="H794" i="1"/>
  <c r="I794" i="1" s="1"/>
  <c r="C796" i="8"/>
  <c r="E796" i="8" s="1"/>
  <c r="L796" i="1" s="1"/>
  <c r="M796" i="1" s="1"/>
  <c r="N796" i="1" s="1"/>
  <c r="H796" i="1"/>
  <c r="I796" i="1" s="1"/>
  <c r="C798" i="8"/>
  <c r="E798" i="8" s="1"/>
  <c r="L798" i="1" s="1"/>
  <c r="M798" i="1" s="1"/>
  <c r="N798" i="1" s="1"/>
  <c r="H798" i="1"/>
  <c r="I798" i="1" s="1"/>
  <c r="C800" i="8"/>
  <c r="E800" i="8" s="1"/>
  <c r="L800" i="1" s="1"/>
  <c r="M800" i="1" s="1"/>
  <c r="N800" i="1" s="1"/>
  <c r="H800" i="1"/>
  <c r="I800" i="1" s="1"/>
  <c r="C802" i="8"/>
  <c r="H802" i="1"/>
  <c r="I802" i="1" s="1"/>
  <c r="C804" i="8"/>
  <c r="E804" i="8" s="1"/>
  <c r="L804" i="1" s="1"/>
  <c r="M804" i="1" s="1"/>
  <c r="N804" i="1" s="1"/>
  <c r="H804" i="1"/>
  <c r="I804" i="1" s="1"/>
  <c r="C806" i="8"/>
  <c r="E806" i="8" s="1"/>
  <c r="L806" i="1" s="1"/>
  <c r="M806" i="1" s="1"/>
  <c r="N806" i="1" s="1"/>
  <c r="H806" i="1"/>
  <c r="I806" i="1" s="1"/>
  <c r="C808" i="8"/>
  <c r="E808" i="8" s="1"/>
  <c r="L808" i="1" s="1"/>
  <c r="M808" i="1" s="1"/>
  <c r="N808" i="1" s="1"/>
  <c r="H808" i="1"/>
  <c r="I808" i="1" s="1"/>
  <c r="C810" i="8"/>
  <c r="H810" i="1"/>
  <c r="I810" i="1" s="1"/>
  <c r="C812" i="8"/>
  <c r="E812" i="8" s="1"/>
  <c r="L812" i="1" s="1"/>
  <c r="M812" i="1" s="1"/>
  <c r="N812" i="1" s="1"/>
  <c r="H812" i="1"/>
  <c r="I812" i="1" s="1"/>
  <c r="C814" i="8"/>
  <c r="E814" i="8" s="1"/>
  <c r="L814" i="1" s="1"/>
  <c r="M814" i="1" s="1"/>
  <c r="N814" i="1" s="1"/>
  <c r="H814" i="1"/>
  <c r="I814" i="1" s="1"/>
  <c r="C816" i="8"/>
  <c r="E816" i="8" s="1"/>
  <c r="L816" i="1" s="1"/>
  <c r="M816" i="1" s="1"/>
  <c r="N816" i="1" s="1"/>
  <c r="H816" i="1"/>
  <c r="I816" i="1" s="1"/>
  <c r="C818" i="8"/>
  <c r="E818" i="8" s="1"/>
  <c r="L818" i="1" s="1"/>
  <c r="M818" i="1" s="1"/>
  <c r="N818" i="1" s="1"/>
  <c r="H818" i="1"/>
  <c r="I818" i="1" s="1"/>
  <c r="C820" i="8"/>
  <c r="E820" i="8" s="1"/>
  <c r="L820" i="1" s="1"/>
  <c r="M820" i="1" s="1"/>
  <c r="N820" i="1" s="1"/>
  <c r="H820" i="1"/>
  <c r="I820" i="1" s="1"/>
  <c r="C822" i="8"/>
  <c r="E822" i="8" s="1"/>
  <c r="L822" i="1" s="1"/>
  <c r="M822" i="1" s="1"/>
  <c r="N822" i="1" s="1"/>
  <c r="H822" i="1"/>
  <c r="I822" i="1" s="1"/>
  <c r="C824" i="8"/>
  <c r="E824" i="8" s="1"/>
  <c r="L824" i="1" s="1"/>
  <c r="M824" i="1" s="1"/>
  <c r="N824" i="1" s="1"/>
  <c r="H824" i="1"/>
  <c r="I824" i="1" s="1"/>
  <c r="C826" i="8"/>
  <c r="E826" i="8" s="1"/>
  <c r="L826" i="1" s="1"/>
  <c r="M826" i="1" s="1"/>
  <c r="N826" i="1" s="1"/>
  <c r="H826" i="1"/>
  <c r="I826" i="1" s="1"/>
  <c r="C828" i="8"/>
  <c r="E828" i="8" s="1"/>
  <c r="L828" i="1" s="1"/>
  <c r="M828" i="1" s="1"/>
  <c r="N828" i="1" s="1"/>
  <c r="H828" i="1"/>
  <c r="I828" i="1" s="1"/>
  <c r="C830" i="8"/>
  <c r="E830" i="8" s="1"/>
  <c r="L830" i="1" s="1"/>
  <c r="M830" i="1" s="1"/>
  <c r="N830" i="1" s="1"/>
  <c r="H830" i="1"/>
  <c r="C832" i="8"/>
  <c r="E832" i="8" s="1"/>
  <c r="L832" i="1" s="1"/>
  <c r="M832" i="1" s="1"/>
  <c r="N832" i="1" s="1"/>
  <c r="H832" i="1"/>
  <c r="I832" i="1" s="1"/>
  <c r="C834" i="8"/>
  <c r="E834" i="8" s="1"/>
  <c r="L834" i="1" s="1"/>
  <c r="M834" i="1" s="1"/>
  <c r="N834" i="1" s="1"/>
  <c r="H834" i="1"/>
  <c r="I834" i="1" s="1"/>
  <c r="C836" i="8"/>
  <c r="E836" i="8" s="1"/>
  <c r="L836" i="1" s="1"/>
  <c r="M836" i="1" s="1"/>
  <c r="N836" i="1" s="1"/>
  <c r="H836" i="1"/>
  <c r="I836" i="1" s="1"/>
  <c r="C838" i="8"/>
  <c r="E838" i="8" s="1"/>
  <c r="L838" i="1" s="1"/>
  <c r="M838" i="1" s="1"/>
  <c r="N838" i="1" s="1"/>
  <c r="H838" i="1"/>
  <c r="I838" i="1" s="1"/>
  <c r="C840" i="8"/>
  <c r="E840" i="8" s="1"/>
  <c r="L840" i="1" s="1"/>
  <c r="M840" i="1" s="1"/>
  <c r="N840" i="1" s="1"/>
  <c r="H840" i="1"/>
  <c r="I840" i="1" s="1"/>
  <c r="C842" i="8"/>
  <c r="E842" i="8" s="1"/>
  <c r="L842" i="1" s="1"/>
  <c r="M842" i="1" s="1"/>
  <c r="N842" i="1" s="1"/>
  <c r="H842" i="1"/>
  <c r="I842" i="1" s="1"/>
  <c r="C844" i="8"/>
  <c r="E844" i="8" s="1"/>
  <c r="L844" i="1" s="1"/>
  <c r="M844" i="1" s="1"/>
  <c r="N844" i="1" s="1"/>
  <c r="H844" i="1"/>
  <c r="I844" i="1" s="1"/>
  <c r="C846" i="8"/>
  <c r="E846" i="8" s="1"/>
  <c r="L846" i="1" s="1"/>
  <c r="M846" i="1" s="1"/>
  <c r="N846" i="1" s="1"/>
  <c r="H846" i="1"/>
  <c r="I846" i="1" s="1"/>
  <c r="C848" i="8"/>
  <c r="E848" i="8" s="1"/>
  <c r="L848" i="1" s="1"/>
  <c r="M848" i="1" s="1"/>
  <c r="N848" i="1" s="1"/>
  <c r="H848" i="1"/>
  <c r="I848" i="1" s="1"/>
  <c r="C850" i="8"/>
  <c r="E850" i="8" s="1"/>
  <c r="L850" i="1" s="1"/>
  <c r="M850" i="1" s="1"/>
  <c r="N850" i="1" s="1"/>
  <c r="H850" i="1"/>
  <c r="I850" i="1" s="1"/>
  <c r="C852" i="8"/>
  <c r="E852" i="8" s="1"/>
  <c r="L852" i="1" s="1"/>
  <c r="M852" i="1" s="1"/>
  <c r="N852" i="1" s="1"/>
  <c r="H852" i="1"/>
  <c r="I852" i="1" s="1"/>
  <c r="C854" i="8"/>
  <c r="E854" i="8" s="1"/>
  <c r="L854" i="1" s="1"/>
  <c r="M854" i="1" s="1"/>
  <c r="N854" i="1" s="1"/>
  <c r="H854" i="1"/>
  <c r="I854" i="1" s="1"/>
  <c r="C856" i="8"/>
  <c r="E856" i="8" s="1"/>
  <c r="L856" i="1" s="1"/>
  <c r="M856" i="1" s="1"/>
  <c r="N856" i="1" s="1"/>
  <c r="H856" i="1"/>
  <c r="I856" i="1" s="1"/>
  <c r="C858" i="8"/>
  <c r="E858" i="8" s="1"/>
  <c r="L858" i="1" s="1"/>
  <c r="M858" i="1" s="1"/>
  <c r="N858" i="1" s="1"/>
  <c r="H858" i="1"/>
  <c r="I858" i="1" s="1"/>
  <c r="C860" i="8"/>
  <c r="E860" i="8" s="1"/>
  <c r="L860" i="1" s="1"/>
  <c r="M860" i="1" s="1"/>
  <c r="N860" i="1" s="1"/>
  <c r="H860" i="1"/>
  <c r="I860" i="1" s="1"/>
  <c r="C862" i="8"/>
  <c r="E862" i="8" s="1"/>
  <c r="L862" i="1" s="1"/>
  <c r="M862" i="1" s="1"/>
  <c r="N862" i="1" s="1"/>
  <c r="H862" i="1"/>
  <c r="I862" i="1" s="1"/>
  <c r="C864" i="8"/>
  <c r="E864" i="8" s="1"/>
  <c r="L864" i="1" s="1"/>
  <c r="M864" i="1" s="1"/>
  <c r="N864" i="1" s="1"/>
  <c r="H864" i="1"/>
  <c r="I864" i="1" s="1"/>
  <c r="C866" i="8"/>
  <c r="E866" i="8" s="1"/>
  <c r="L866" i="1" s="1"/>
  <c r="M866" i="1" s="1"/>
  <c r="N866" i="1" s="1"/>
  <c r="H866" i="1"/>
  <c r="I866" i="1" s="1"/>
  <c r="C868" i="8"/>
  <c r="E868" i="8" s="1"/>
  <c r="L868" i="1" s="1"/>
  <c r="M868" i="1" s="1"/>
  <c r="N868" i="1" s="1"/>
  <c r="H868" i="1"/>
  <c r="I868" i="1" s="1"/>
  <c r="C870" i="8"/>
  <c r="E870" i="8" s="1"/>
  <c r="L870" i="1" s="1"/>
  <c r="M870" i="1" s="1"/>
  <c r="N870" i="1" s="1"/>
  <c r="H870" i="1"/>
  <c r="I870" i="1" s="1"/>
  <c r="C872" i="8"/>
  <c r="E872" i="8" s="1"/>
  <c r="L872" i="1" s="1"/>
  <c r="M872" i="1" s="1"/>
  <c r="N872" i="1" s="1"/>
  <c r="H872" i="1"/>
  <c r="I872" i="1" s="1"/>
  <c r="C874" i="8"/>
  <c r="E874" i="8" s="1"/>
  <c r="L874" i="1" s="1"/>
  <c r="M874" i="1" s="1"/>
  <c r="N874" i="1" s="1"/>
  <c r="H874" i="1"/>
  <c r="I874" i="1" s="1"/>
  <c r="C876" i="8"/>
  <c r="E876" i="8" s="1"/>
  <c r="L876" i="1" s="1"/>
  <c r="M876" i="1" s="1"/>
  <c r="N876" i="1" s="1"/>
  <c r="H876" i="1"/>
  <c r="I876" i="1" s="1"/>
  <c r="C878" i="8"/>
  <c r="E878" i="8" s="1"/>
  <c r="L878" i="1" s="1"/>
  <c r="M878" i="1" s="1"/>
  <c r="N878" i="1" s="1"/>
  <c r="H878" i="1"/>
  <c r="I878" i="1" s="1"/>
  <c r="C880" i="8"/>
  <c r="E880" i="8" s="1"/>
  <c r="L880" i="1" s="1"/>
  <c r="M880" i="1" s="1"/>
  <c r="N880" i="1" s="1"/>
  <c r="H880" i="1"/>
  <c r="I880" i="1" s="1"/>
  <c r="C882" i="8"/>
  <c r="E882" i="8" s="1"/>
  <c r="L882" i="1" s="1"/>
  <c r="M882" i="1" s="1"/>
  <c r="N882" i="1" s="1"/>
  <c r="H882" i="1"/>
  <c r="I882" i="1" s="1"/>
  <c r="C884" i="8"/>
  <c r="E884" i="8" s="1"/>
  <c r="L884" i="1" s="1"/>
  <c r="M884" i="1" s="1"/>
  <c r="N884" i="1" s="1"/>
  <c r="H884" i="1"/>
  <c r="I884" i="1" s="1"/>
  <c r="C886" i="8"/>
  <c r="E886" i="8" s="1"/>
  <c r="L886" i="1" s="1"/>
  <c r="M886" i="1" s="1"/>
  <c r="N886" i="1" s="1"/>
  <c r="H886" i="1"/>
  <c r="I886" i="1" s="1"/>
  <c r="C888" i="8"/>
  <c r="E888" i="8" s="1"/>
  <c r="L888" i="1" s="1"/>
  <c r="M888" i="1" s="1"/>
  <c r="N888" i="1" s="1"/>
  <c r="H888" i="1"/>
  <c r="I888" i="1" s="1"/>
  <c r="C890" i="8"/>
  <c r="E890" i="8" s="1"/>
  <c r="L890" i="1" s="1"/>
  <c r="M890" i="1" s="1"/>
  <c r="N890" i="1" s="1"/>
  <c r="H890" i="1"/>
  <c r="I890" i="1" s="1"/>
  <c r="C892" i="8"/>
  <c r="E892" i="8" s="1"/>
  <c r="L892" i="1" s="1"/>
  <c r="M892" i="1" s="1"/>
  <c r="N892" i="1" s="1"/>
  <c r="H892" i="1"/>
  <c r="I892" i="1" s="1"/>
  <c r="C894" i="8"/>
  <c r="E894" i="8" s="1"/>
  <c r="L894" i="1" s="1"/>
  <c r="M894" i="1" s="1"/>
  <c r="N894" i="1" s="1"/>
  <c r="H894" i="1"/>
  <c r="I894" i="1" s="1"/>
  <c r="C896" i="8"/>
  <c r="E896" i="8" s="1"/>
  <c r="L896" i="1" s="1"/>
  <c r="M896" i="1" s="1"/>
  <c r="N896" i="1" s="1"/>
  <c r="H896" i="1"/>
  <c r="I896" i="1" s="1"/>
  <c r="C898" i="8"/>
  <c r="E898" i="8" s="1"/>
  <c r="L898" i="1" s="1"/>
  <c r="M898" i="1" s="1"/>
  <c r="N898" i="1" s="1"/>
  <c r="H898" i="1"/>
  <c r="I898" i="1" s="1"/>
  <c r="C900" i="8"/>
  <c r="E900" i="8" s="1"/>
  <c r="L900" i="1" s="1"/>
  <c r="M900" i="1" s="1"/>
  <c r="N900" i="1" s="1"/>
  <c r="H900" i="1"/>
  <c r="I900" i="1" s="1"/>
  <c r="D7" i="8"/>
  <c r="D15" i="8"/>
  <c r="D23" i="8"/>
  <c r="D31" i="8"/>
  <c r="D39" i="8"/>
  <c r="D47" i="8"/>
  <c r="D55" i="8"/>
  <c r="E307" i="8"/>
  <c r="L307" i="1" s="1"/>
  <c r="M307" i="1" s="1"/>
  <c r="N307" i="1" s="1"/>
  <c r="D307" i="8"/>
  <c r="E315" i="8"/>
  <c r="L315" i="1" s="1"/>
  <c r="M315" i="1" s="1"/>
  <c r="N315" i="1" s="1"/>
  <c r="D315" i="8"/>
  <c r="E323" i="8"/>
  <c r="L323" i="1" s="1"/>
  <c r="M323" i="1" s="1"/>
  <c r="N323" i="1" s="1"/>
  <c r="D323" i="8"/>
  <c r="E327" i="8"/>
  <c r="L327" i="1" s="1"/>
  <c r="M327" i="1" s="1"/>
  <c r="N327" i="1" s="1"/>
  <c r="D327" i="8"/>
  <c r="E331" i="8"/>
  <c r="L331" i="1" s="1"/>
  <c r="M331" i="1" s="1"/>
  <c r="N331" i="1" s="1"/>
  <c r="D331" i="8"/>
  <c r="E335" i="8"/>
  <c r="L335" i="1" s="1"/>
  <c r="D335" i="8"/>
  <c r="E339" i="8"/>
  <c r="L339" i="1" s="1"/>
  <c r="M339" i="1" s="1"/>
  <c r="N339" i="1" s="1"/>
  <c r="D339" i="8"/>
  <c r="E343" i="8"/>
  <c r="L343" i="1" s="1"/>
  <c r="M343" i="1" s="1"/>
  <c r="N343" i="1" s="1"/>
  <c r="D343" i="8"/>
  <c r="E347" i="8"/>
  <c r="L347" i="1" s="1"/>
  <c r="M347" i="1" s="1"/>
  <c r="N347" i="1" s="1"/>
  <c r="D347" i="8"/>
  <c r="E351" i="8"/>
  <c r="L351" i="1" s="1"/>
  <c r="M351" i="1" s="1"/>
  <c r="N351" i="1" s="1"/>
  <c r="D351" i="8"/>
  <c r="E355" i="8"/>
  <c r="L355" i="1" s="1"/>
  <c r="M355" i="1" s="1"/>
  <c r="N355" i="1" s="1"/>
  <c r="D355" i="8"/>
  <c r="E359" i="8"/>
  <c r="L359" i="1" s="1"/>
  <c r="M359" i="1" s="1"/>
  <c r="N359" i="1" s="1"/>
  <c r="D359" i="8"/>
  <c r="E363" i="8"/>
  <c r="L363" i="1" s="1"/>
  <c r="M363" i="1" s="1"/>
  <c r="N363" i="1" s="1"/>
  <c r="D363" i="8"/>
  <c r="E367" i="8"/>
  <c r="L367" i="1" s="1"/>
  <c r="M367" i="1" s="1"/>
  <c r="N367" i="1" s="1"/>
  <c r="D367" i="8"/>
  <c r="E371" i="8"/>
  <c r="L371" i="1" s="1"/>
  <c r="M371" i="1" s="1"/>
  <c r="N371" i="1" s="1"/>
  <c r="D371" i="8"/>
  <c r="E375" i="8"/>
  <c r="L375" i="1" s="1"/>
  <c r="M375" i="1" s="1"/>
  <c r="N375" i="1" s="1"/>
  <c r="D375" i="8"/>
  <c r="E379" i="8"/>
  <c r="L379" i="1" s="1"/>
  <c r="M379" i="1" s="1"/>
  <c r="N379" i="1" s="1"/>
  <c r="D379" i="8"/>
  <c r="E383" i="8"/>
  <c r="L383" i="1" s="1"/>
  <c r="M383" i="1" s="1"/>
  <c r="N383" i="1" s="1"/>
  <c r="D383" i="8"/>
  <c r="E387" i="8"/>
  <c r="L387" i="1" s="1"/>
  <c r="M387" i="1" s="1"/>
  <c r="N387" i="1" s="1"/>
  <c r="D387" i="8"/>
  <c r="E391" i="8"/>
  <c r="L391" i="1" s="1"/>
  <c r="M391" i="1" s="1"/>
  <c r="N391" i="1" s="1"/>
  <c r="D391" i="8"/>
  <c r="E395" i="8"/>
  <c r="L395" i="1" s="1"/>
  <c r="M395" i="1" s="1"/>
  <c r="N395" i="1" s="1"/>
  <c r="D395" i="8"/>
  <c r="E397" i="8"/>
  <c r="L397" i="1" s="1"/>
  <c r="M397" i="1" s="1"/>
  <c r="N397" i="1" s="1"/>
  <c r="D397" i="8"/>
  <c r="E399" i="8"/>
  <c r="L399" i="1" s="1"/>
  <c r="M399" i="1" s="1"/>
  <c r="N399" i="1" s="1"/>
  <c r="D399" i="8"/>
  <c r="E403" i="8"/>
  <c r="L403" i="1" s="1"/>
  <c r="M403" i="1" s="1"/>
  <c r="N403" i="1" s="1"/>
  <c r="D403" i="8"/>
  <c r="E405" i="8"/>
  <c r="L405" i="1" s="1"/>
  <c r="M405" i="1" s="1"/>
  <c r="N405" i="1" s="1"/>
  <c r="D405" i="8"/>
  <c r="E407" i="8"/>
  <c r="L407" i="1" s="1"/>
  <c r="D407" i="8"/>
  <c r="E411" i="8"/>
  <c r="L411" i="1" s="1"/>
  <c r="M411" i="1" s="1"/>
  <c r="N411" i="1" s="1"/>
  <c r="D411" i="8"/>
  <c r="E413" i="8"/>
  <c r="L413" i="1" s="1"/>
  <c r="M413" i="1" s="1"/>
  <c r="N413" i="1" s="1"/>
  <c r="D413" i="8"/>
  <c r="E415" i="8"/>
  <c r="L415" i="1" s="1"/>
  <c r="M415" i="1" s="1"/>
  <c r="N415" i="1" s="1"/>
  <c r="D415" i="8"/>
  <c r="E419" i="8"/>
  <c r="L419" i="1" s="1"/>
  <c r="M419" i="1" s="1"/>
  <c r="N419" i="1" s="1"/>
  <c r="D419" i="8"/>
  <c r="E421" i="8"/>
  <c r="L421" i="1" s="1"/>
  <c r="M421" i="1" s="1"/>
  <c r="N421" i="1" s="1"/>
  <c r="D421" i="8"/>
  <c r="E423" i="8"/>
  <c r="L423" i="1" s="1"/>
  <c r="M423" i="1" s="1"/>
  <c r="N423" i="1" s="1"/>
  <c r="D423" i="8"/>
  <c r="E427" i="8"/>
  <c r="L427" i="1" s="1"/>
  <c r="M427" i="1" s="1"/>
  <c r="N427" i="1" s="1"/>
  <c r="D427" i="8"/>
  <c r="E429" i="8"/>
  <c r="L429" i="1" s="1"/>
  <c r="M429" i="1" s="1"/>
  <c r="N429" i="1" s="1"/>
  <c r="D429" i="8"/>
  <c r="E431" i="8"/>
  <c r="L431" i="1" s="1"/>
  <c r="M431" i="1" s="1"/>
  <c r="N431" i="1" s="1"/>
  <c r="D431" i="8"/>
  <c r="E435" i="8"/>
  <c r="L435" i="1" s="1"/>
  <c r="M435" i="1" s="1"/>
  <c r="N435" i="1" s="1"/>
  <c r="D435" i="8"/>
  <c r="E437" i="8"/>
  <c r="L437" i="1" s="1"/>
  <c r="M437" i="1" s="1"/>
  <c r="N437" i="1" s="1"/>
  <c r="D437" i="8"/>
  <c r="E439" i="8"/>
  <c r="L439" i="1" s="1"/>
  <c r="M439" i="1" s="1"/>
  <c r="N439" i="1" s="1"/>
  <c r="D439" i="8"/>
  <c r="E443" i="8"/>
  <c r="L443" i="1" s="1"/>
  <c r="M443" i="1" s="1"/>
  <c r="N443" i="1" s="1"/>
  <c r="D443" i="8"/>
  <c r="E445" i="8"/>
  <c r="L445" i="1" s="1"/>
  <c r="M445" i="1" s="1"/>
  <c r="N445" i="1" s="1"/>
  <c r="D445" i="8"/>
  <c r="E447" i="8"/>
  <c r="L447" i="1" s="1"/>
  <c r="M447" i="1" s="1"/>
  <c r="N447" i="1" s="1"/>
  <c r="D447" i="8"/>
  <c r="D252" i="8"/>
  <c r="C527" i="8"/>
  <c r="E527" i="8" s="1"/>
  <c r="L527" i="1" s="1"/>
  <c r="C543" i="8"/>
  <c r="E543" i="8" s="1"/>
  <c r="L543" i="1" s="1"/>
  <c r="M543" i="1" s="1"/>
  <c r="N543" i="1" s="1"/>
  <c r="E641" i="8"/>
  <c r="L641" i="1" s="1"/>
  <c r="M641" i="1" s="1"/>
  <c r="N641" i="1" s="1"/>
  <c r="D641" i="8"/>
  <c r="E645" i="8"/>
  <c r="L645" i="1" s="1"/>
  <c r="M645" i="1" s="1"/>
  <c r="N645" i="1" s="1"/>
  <c r="D645" i="8"/>
  <c r="E649" i="8"/>
  <c r="L649" i="1" s="1"/>
  <c r="M649" i="1" s="1"/>
  <c r="N649" i="1" s="1"/>
  <c r="D649" i="8"/>
  <c r="E653" i="8"/>
  <c r="L653" i="1" s="1"/>
  <c r="M653" i="1" s="1"/>
  <c r="N653" i="1" s="1"/>
  <c r="D653" i="8"/>
  <c r="E661" i="8"/>
  <c r="L661" i="1" s="1"/>
  <c r="M661" i="1" s="1"/>
  <c r="N661" i="1" s="1"/>
  <c r="D661" i="8"/>
  <c r="E669" i="8"/>
  <c r="L669" i="1" s="1"/>
  <c r="M669" i="1" s="1"/>
  <c r="N669" i="1" s="1"/>
  <c r="D669" i="8"/>
  <c r="E677" i="8"/>
  <c r="L677" i="1" s="1"/>
  <c r="M677" i="1" s="1"/>
  <c r="N677" i="1" s="1"/>
  <c r="D677" i="8"/>
  <c r="E685" i="8"/>
  <c r="L685" i="1" s="1"/>
  <c r="M685" i="1" s="1"/>
  <c r="N685" i="1" s="1"/>
  <c r="D685" i="8"/>
  <c r="D691" i="8"/>
  <c r="E691" i="8"/>
  <c r="L691" i="1" s="1"/>
  <c r="M691" i="1" s="1"/>
  <c r="N691" i="1" s="1"/>
  <c r="E693" i="8"/>
  <c r="L693" i="1" s="1"/>
  <c r="M693" i="1" s="1"/>
  <c r="N693" i="1" s="1"/>
  <c r="D693" i="8"/>
  <c r="D695" i="8"/>
  <c r="E695" i="8"/>
  <c r="L695" i="1" s="1"/>
  <c r="M695" i="1" s="1"/>
  <c r="N695" i="1" s="1"/>
  <c r="E697" i="8"/>
  <c r="L697" i="1" s="1"/>
  <c r="M697" i="1" s="1"/>
  <c r="N697" i="1" s="1"/>
  <c r="D697" i="8"/>
  <c r="D699" i="8"/>
  <c r="E699" i="8"/>
  <c r="L699" i="1" s="1"/>
  <c r="M699" i="1" s="1"/>
  <c r="N699" i="1" s="1"/>
  <c r="E701" i="8"/>
  <c r="L701" i="1" s="1"/>
  <c r="M701" i="1" s="1"/>
  <c r="N701" i="1" s="1"/>
  <c r="D701" i="8"/>
  <c r="E703" i="8"/>
  <c r="L703" i="1" s="1"/>
  <c r="M703" i="1" s="1"/>
  <c r="N703" i="1" s="1"/>
  <c r="D703" i="8"/>
  <c r="D707" i="8"/>
  <c r="E707" i="8"/>
  <c r="L707" i="1" s="1"/>
  <c r="M707" i="1" s="1"/>
  <c r="N707" i="1" s="1"/>
  <c r="E709" i="8"/>
  <c r="L709" i="1" s="1"/>
  <c r="M709" i="1" s="1"/>
  <c r="N709" i="1" s="1"/>
  <c r="D709" i="8"/>
  <c r="D711" i="8"/>
  <c r="E711" i="8"/>
  <c r="L711" i="1" s="1"/>
  <c r="M711" i="1" s="1"/>
  <c r="N711" i="1" s="1"/>
  <c r="E713" i="8"/>
  <c r="L713" i="1" s="1"/>
  <c r="M713" i="1" s="1"/>
  <c r="N713" i="1" s="1"/>
  <c r="D713" i="8"/>
  <c r="D715" i="8"/>
  <c r="E715" i="8"/>
  <c r="L715" i="1" s="1"/>
  <c r="M715" i="1" s="1"/>
  <c r="N715" i="1" s="1"/>
  <c r="E717" i="8"/>
  <c r="L717" i="1" s="1"/>
  <c r="M717" i="1" s="1"/>
  <c r="N717" i="1" s="1"/>
  <c r="D717" i="8"/>
  <c r="E719" i="8"/>
  <c r="L719" i="1" s="1"/>
  <c r="M719" i="1" s="1"/>
  <c r="N719" i="1" s="1"/>
  <c r="D719" i="8"/>
  <c r="D723" i="8"/>
  <c r="E723" i="8"/>
  <c r="L723" i="1" s="1"/>
  <c r="M723" i="1" s="1"/>
  <c r="N723" i="1" s="1"/>
  <c r="E725" i="8"/>
  <c r="L725" i="1" s="1"/>
  <c r="M725" i="1" s="1"/>
  <c r="N725" i="1" s="1"/>
  <c r="D725" i="8"/>
  <c r="D727" i="8"/>
  <c r="E727" i="8"/>
  <c r="L727" i="1" s="1"/>
  <c r="M727" i="1" s="1"/>
  <c r="N727" i="1" s="1"/>
  <c r="E729" i="8"/>
  <c r="L729" i="1" s="1"/>
  <c r="M729" i="1" s="1"/>
  <c r="N729" i="1" s="1"/>
  <c r="D729" i="8"/>
  <c r="D731" i="8"/>
  <c r="E731" i="8"/>
  <c r="L731" i="1" s="1"/>
  <c r="M731" i="1" s="1"/>
  <c r="N731" i="1" s="1"/>
  <c r="E733" i="8"/>
  <c r="L733" i="1" s="1"/>
  <c r="M733" i="1" s="1"/>
  <c r="N733" i="1" s="1"/>
  <c r="D733" i="8"/>
  <c r="E735" i="8"/>
  <c r="L735" i="1" s="1"/>
  <c r="M735" i="1" s="1"/>
  <c r="N735" i="1" s="1"/>
  <c r="D735" i="8"/>
  <c r="D739" i="8"/>
  <c r="E739" i="8"/>
  <c r="L739" i="1" s="1"/>
  <c r="M739" i="1" s="1"/>
  <c r="N739" i="1" s="1"/>
  <c r="E741" i="8"/>
  <c r="L741" i="1" s="1"/>
  <c r="M741" i="1" s="1"/>
  <c r="N741" i="1" s="1"/>
  <c r="D741" i="8"/>
  <c r="D743" i="8"/>
  <c r="E743" i="8"/>
  <c r="L743" i="1" s="1"/>
  <c r="M743" i="1" s="1"/>
  <c r="N743" i="1" s="1"/>
  <c r="E745" i="8"/>
  <c r="L745" i="1" s="1"/>
  <c r="M745" i="1" s="1"/>
  <c r="N745" i="1" s="1"/>
  <c r="D745" i="8"/>
  <c r="D747" i="8"/>
  <c r="E747" i="8"/>
  <c r="L747" i="1" s="1"/>
  <c r="M747" i="1" s="1"/>
  <c r="N747" i="1" s="1"/>
  <c r="E749" i="8"/>
  <c r="L749" i="1" s="1"/>
  <c r="M749" i="1" s="1"/>
  <c r="N749" i="1" s="1"/>
  <c r="D749" i="8"/>
  <c r="E751" i="8"/>
  <c r="L751" i="1" s="1"/>
  <c r="M751" i="1" s="1"/>
  <c r="N751" i="1" s="1"/>
  <c r="D751" i="8"/>
  <c r="D755" i="8"/>
  <c r="E755" i="8"/>
  <c r="L755" i="1" s="1"/>
  <c r="M755" i="1" s="1"/>
  <c r="N755" i="1" s="1"/>
  <c r="E757" i="8"/>
  <c r="L757" i="1" s="1"/>
  <c r="M757" i="1" s="1"/>
  <c r="N757" i="1" s="1"/>
  <c r="D757" i="8"/>
  <c r="D759" i="8"/>
  <c r="E759" i="8"/>
  <c r="L759" i="1" s="1"/>
  <c r="M759" i="1" s="1"/>
  <c r="N759" i="1" s="1"/>
  <c r="E761" i="8"/>
  <c r="L761" i="1" s="1"/>
  <c r="M761" i="1" s="1"/>
  <c r="N761" i="1" s="1"/>
  <c r="D761" i="8"/>
  <c r="D763" i="8"/>
  <c r="E763" i="8"/>
  <c r="L763" i="1" s="1"/>
  <c r="M763" i="1" s="1"/>
  <c r="N763" i="1" s="1"/>
  <c r="E765" i="8"/>
  <c r="L765" i="1" s="1"/>
  <c r="M765" i="1" s="1"/>
  <c r="N765" i="1" s="1"/>
  <c r="D765" i="8"/>
  <c r="E767" i="8"/>
  <c r="L767" i="1" s="1"/>
  <c r="M767" i="1" s="1"/>
  <c r="N767" i="1" s="1"/>
  <c r="D767" i="8"/>
  <c r="D771" i="8"/>
  <c r="E771" i="8"/>
  <c r="L771" i="1" s="1"/>
  <c r="M771" i="1" s="1"/>
  <c r="N771" i="1" s="1"/>
  <c r="E773" i="8"/>
  <c r="L773" i="1" s="1"/>
  <c r="M773" i="1" s="1"/>
  <c r="N773" i="1" s="1"/>
  <c r="D773" i="8"/>
  <c r="D775" i="8"/>
  <c r="E775" i="8"/>
  <c r="L775" i="1" s="1"/>
  <c r="M775" i="1" s="1"/>
  <c r="N775" i="1" s="1"/>
  <c r="E777" i="8"/>
  <c r="L777" i="1" s="1"/>
  <c r="M777" i="1" s="1"/>
  <c r="N777" i="1" s="1"/>
  <c r="D777" i="8"/>
  <c r="D779" i="8"/>
  <c r="E779" i="8"/>
  <c r="L779" i="1" s="1"/>
  <c r="M779" i="1" s="1"/>
  <c r="N779" i="1" s="1"/>
  <c r="E781" i="8"/>
  <c r="L781" i="1" s="1"/>
  <c r="M781" i="1" s="1"/>
  <c r="N781" i="1" s="1"/>
  <c r="D781" i="8"/>
  <c r="E783" i="8"/>
  <c r="L783" i="1" s="1"/>
  <c r="D783" i="8"/>
  <c r="D787" i="8"/>
  <c r="E787" i="8"/>
  <c r="L787" i="1" s="1"/>
  <c r="M787" i="1" s="1"/>
  <c r="N787" i="1" s="1"/>
  <c r="E789" i="8"/>
  <c r="L789" i="1" s="1"/>
  <c r="M789" i="1" s="1"/>
  <c r="N789" i="1" s="1"/>
  <c r="D789" i="8"/>
  <c r="D791" i="8"/>
  <c r="E791" i="8"/>
  <c r="L791" i="1" s="1"/>
  <c r="M791" i="1" s="1"/>
  <c r="N791" i="1" s="1"/>
  <c r="E793" i="8"/>
  <c r="L793" i="1" s="1"/>
  <c r="M793" i="1" s="1"/>
  <c r="N793" i="1" s="1"/>
  <c r="D793" i="8"/>
  <c r="D795" i="8"/>
  <c r="E795" i="8"/>
  <c r="L795" i="1" s="1"/>
  <c r="M795" i="1" s="1"/>
  <c r="N795" i="1" s="1"/>
  <c r="E799" i="8"/>
  <c r="L799" i="1" s="1"/>
  <c r="M799" i="1" s="1"/>
  <c r="N799" i="1" s="1"/>
  <c r="D799" i="8"/>
  <c r="D803" i="8"/>
  <c r="E803" i="8"/>
  <c r="L803" i="1" s="1"/>
  <c r="M803" i="1" s="1"/>
  <c r="N803" i="1" s="1"/>
  <c r="E807" i="8"/>
  <c r="L807" i="1" s="1"/>
  <c r="M807" i="1" s="1"/>
  <c r="N807" i="1" s="1"/>
  <c r="D807" i="8"/>
  <c r="D811" i="8"/>
  <c r="E811" i="8"/>
  <c r="L811" i="1" s="1"/>
  <c r="M811" i="1" s="1"/>
  <c r="N811" i="1" s="1"/>
  <c r="E815" i="8"/>
  <c r="L815" i="1" s="1"/>
  <c r="M815" i="1" s="1"/>
  <c r="N815" i="1" s="1"/>
  <c r="D815" i="8"/>
  <c r="D2" i="8"/>
  <c r="D10" i="8"/>
  <c r="D18" i="8"/>
  <c r="D26" i="8"/>
  <c r="D34" i="8"/>
  <c r="D42" i="8"/>
  <c r="D50" i="8"/>
  <c r="D58" i="8"/>
  <c r="D61" i="8"/>
  <c r="D64" i="8"/>
  <c r="D67" i="8"/>
  <c r="D77" i="8"/>
  <c r="D80" i="8"/>
  <c r="D83" i="8"/>
  <c r="D87" i="8"/>
  <c r="D91" i="8"/>
  <c r="D95" i="8"/>
  <c r="D99" i="8"/>
  <c r="D103" i="8"/>
  <c r="D107" i="8"/>
  <c r="D111" i="8"/>
  <c r="D115" i="8"/>
  <c r="D119" i="8"/>
  <c r="D127" i="8"/>
  <c r="D135" i="8"/>
  <c r="D143" i="8"/>
  <c r="D151" i="8"/>
  <c r="D159" i="8"/>
  <c r="D167" i="8"/>
  <c r="D175" i="8"/>
  <c r="D183" i="8"/>
  <c r="D191" i="8"/>
  <c r="D199" i="8"/>
  <c r="D207" i="8"/>
  <c r="D215" i="8"/>
  <c r="D223" i="8"/>
  <c r="D231" i="8"/>
  <c r="D239" i="8"/>
  <c r="D249" i="8"/>
  <c r="D271" i="8"/>
  <c r="D3" i="8"/>
  <c r="D11" i="8"/>
  <c r="D19" i="8"/>
  <c r="D27" i="8"/>
  <c r="D35" i="8"/>
  <c r="D43" i="8"/>
  <c r="D51" i="8"/>
  <c r="D59" i="8"/>
  <c r="D268" i="8"/>
  <c r="D301" i="8"/>
  <c r="D309" i="8"/>
  <c r="D317" i="8"/>
  <c r="D325" i="8"/>
  <c r="D333" i="8"/>
  <c r="D341" i="8"/>
  <c r="D349" i="8"/>
  <c r="D357" i="8"/>
  <c r="D365" i="8"/>
  <c r="D373" i="8"/>
  <c r="D381" i="8"/>
  <c r="D389" i="8"/>
  <c r="D705" i="8"/>
  <c r="D6" i="8"/>
  <c r="D14" i="8"/>
  <c r="D22" i="8"/>
  <c r="D30" i="8"/>
  <c r="D38" i="8"/>
  <c r="D46" i="8"/>
  <c r="D54" i="8"/>
  <c r="D69" i="8"/>
  <c r="D72" i="8"/>
  <c r="D75" i="8"/>
  <c r="D85" i="8"/>
  <c r="D89" i="8"/>
  <c r="D93" i="8"/>
  <c r="D97" i="8"/>
  <c r="D101" i="8"/>
  <c r="D105" i="8"/>
  <c r="D109" i="8"/>
  <c r="D113" i="8"/>
  <c r="D117" i="8"/>
  <c r="D125" i="8"/>
  <c r="D133" i="8"/>
  <c r="D141" i="8"/>
  <c r="D149" i="8"/>
  <c r="D157" i="8"/>
  <c r="D165" i="8"/>
  <c r="D173" i="8"/>
  <c r="D181" i="8"/>
  <c r="D189" i="8"/>
  <c r="D197" i="8"/>
  <c r="D205" i="8"/>
  <c r="D213" i="8"/>
  <c r="D221" i="8"/>
  <c r="D229" i="8"/>
  <c r="D237" i="8"/>
  <c r="D255" i="8"/>
  <c r="D265" i="8"/>
  <c r="D120" i="8"/>
  <c r="D128" i="8"/>
  <c r="D136" i="8"/>
  <c r="D144" i="8"/>
  <c r="D152" i="8"/>
  <c r="D160" i="8"/>
  <c r="D168" i="8"/>
  <c r="D176" i="8"/>
  <c r="D184" i="8"/>
  <c r="D192" i="8"/>
  <c r="D200" i="8"/>
  <c r="D208" i="8"/>
  <c r="D216" i="8"/>
  <c r="D224" i="8"/>
  <c r="D232" i="8"/>
  <c r="D240" i="8"/>
  <c r="D243" i="8"/>
  <c r="D259" i="8"/>
  <c r="D293" i="8"/>
  <c r="D769" i="8"/>
  <c r="D60" i="8"/>
  <c r="D68" i="8"/>
  <c r="D76" i="8"/>
  <c r="D84" i="8"/>
  <c r="D88" i="8"/>
  <c r="D92" i="8"/>
  <c r="D96" i="8"/>
  <c r="D100" i="8"/>
  <c r="D104" i="8"/>
  <c r="D108" i="8"/>
  <c r="D112" i="8"/>
  <c r="D116" i="8"/>
  <c r="D123" i="8"/>
  <c r="D131" i="8"/>
  <c r="D139" i="8"/>
  <c r="D147" i="8"/>
  <c r="D155" i="8"/>
  <c r="D163" i="8"/>
  <c r="D171" i="8"/>
  <c r="D179" i="8"/>
  <c r="D187" i="8"/>
  <c r="D195" i="8"/>
  <c r="D203" i="8"/>
  <c r="D211" i="8"/>
  <c r="D219" i="8"/>
  <c r="D227" i="8"/>
  <c r="D235" i="8"/>
  <c r="D241" i="8"/>
  <c r="D244" i="8"/>
  <c r="D247" i="8"/>
  <c r="D257" i="8"/>
  <c r="D260" i="8"/>
  <c r="D263" i="8"/>
  <c r="D273" i="8"/>
  <c r="D285" i="8"/>
  <c r="D303" i="8"/>
  <c r="D311" i="8"/>
  <c r="D319" i="8"/>
  <c r="D750" i="8"/>
  <c r="D124" i="8"/>
  <c r="D132" i="8"/>
  <c r="D140" i="8"/>
  <c r="D148" i="8"/>
  <c r="D156" i="8"/>
  <c r="D164" i="8"/>
  <c r="D172" i="8"/>
  <c r="D180" i="8"/>
  <c r="D188" i="8"/>
  <c r="D196" i="8"/>
  <c r="D204" i="8"/>
  <c r="D212" i="8"/>
  <c r="D220" i="8"/>
  <c r="D228" i="8"/>
  <c r="D236" i="8"/>
  <c r="D251" i="8"/>
  <c r="D267" i="8"/>
  <c r="D277" i="8"/>
  <c r="D676" i="8"/>
  <c r="D724" i="8"/>
  <c r="D455" i="8"/>
  <c r="D463" i="8"/>
  <c r="D471" i="8"/>
  <c r="D479" i="8"/>
  <c r="D487" i="8"/>
  <c r="D495" i="8"/>
  <c r="D503" i="8"/>
  <c r="D511" i="8"/>
  <c r="D519" i="8"/>
  <c r="D535" i="8"/>
  <c r="D551" i="8"/>
  <c r="D559" i="8"/>
  <c r="D567" i="8"/>
  <c r="D575" i="8"/>
  <c r="D583" i="8"/>
  <c r="D591" i="8"/>
  <c r="D599" i="8"/>
  <c r="D607" i="8"/>
  <c r="D615" i="8"/>
  <c r="D623" i="8"/>
  <c r="D631" i="8"/>
  <c r="D639" i="8"/>
  <c r="D663" i="8"/>
  <c r="D673" i="8"/>
  <c r="D702" i="8"/>
  <c r="D721" i="8"/>
  <c r="D740" i="8"/>
  <c r="D766" i="8"/>
  <c r="D785" i="8"/>
  <c r="D808" i="8"/>
  <c r="D865" i="8"/>
  <c r="D248" i="8"/>
  <c r="D256" i="8"/>
  <c r="D264" i="8"/>
  <c r="D272" i="8"/>
  <c r="D279" i="8"/>
  <c r="D287" i="8"/>
  <c r="D295" i="8"/>
  <c r="D452" i="8"/>
  <c r="D456" i="8"/>
  <c r="D460" i="8"/>
  <c r="D464" i="8"/>
  <c r="D468" i="8"/>
  <c r="D472" i="8"/>
  <c r="D476" i="8"/>
  <c r="D480" i="8"/>
  <c r="D484" i="8"/>
  <c r="D488" i="8"/>
  <c r="D492" i="8"/>
  <c r="D496" i="8"/>
  <c r="D500" i="8"/>
  <c r="D504" i="8"/>
  <c r="D508" i="8"/>
  <c r="D512" i="8"/>
  <c r="D516" i="8"/>
  <c r="D520" i="8"/>
  <c r="D524" i="8"/>
  <c r="D528" i="8"/>
  <c r="D532" i="8"/>
  <c r="D536" i="8"/>
  <c r="D540" i="8"/>
  <c r="D544" i="8"/>
  <c r="D548" i="8"/>
  <c r="D552" i="8"/>
  <c r="D556" i="8"/>
  <c r="D560" i="8"/>
  <c r="D564" i="8"/>
  <c r="D568" i="8"/>
  <c r="D572" i="8"/>
  <c r="D576" i="8"/>
  <c r="D580" i="8"/>
  <c r="D584" i="8"/>
  <c r="D588" i="8"/>
  <c r="D592" i="8"/>
  <c r="D596" i="8"/>
  <c r="D600" i="8"/>
  <c r="D604" i="8"/>
  <c r="D608" i="8"/>
  <c r="D612" i="8"/>
  <c r="D616" i="8"/>
  <c r="D620" i="8"/>
  <c r="D624" i="8"/>
  <c r="D628" i="8"/>
  <c r="D636" i="8"/>
  <c r="D640" i="8"/>
  <c r="D660" i="8"/>
  <c r="D718" i="8"/>
  <c r="D737" i="8"/>
  <c r="D756" i="8"/>
  <c r="D782" i="8"/>
  <c r="D825" i="8"/>
  <c r="D276" i="8"/>
  <c r="D280" i="8"/>
  <c r="D284" i="8"/>
  <c r="D288" i="8"/>
  <c r="D292" i="8"/>
  <c r="D296" i="8"/>
  <c r="D305" i="8"/>
  <c r="D313" i="8"/>
  <c r="D321" i="8"/>
  <c r="D329" i="8"/>
  <c r="D337" i="8"/>
  <c r="D345" i="8"/>
  <c r="D353" i="8"/>
  <c r="D361" i="8"/>
  <c r="D369" i="8"/>
  <c r="D377" i="8"/>
  <c r="D385" i="8"/>
  <c r="D393" i="8"/>
  <c r="D401" i="8"/>
  <c r="D409" i="8"/>
  <c r="D417" i="8"/>
  <c r="D425" i="8"/>
  <c r="D433" i="8"/>
  <c r="D441" i="8"/>
  <c r="D449" i="8"/>
  <c r="D453" i="8"/>
  <c r="D457" i="8"/>
  <c r="D461" i="8"/>
  <c r="D465" i="8"/>
  <c r="D469" i="8"/>
  <c r="D473" i="8"/>
  <c r="D477" i="8"/>
  <c r="D481" i="8"/>
  <c r="D485" i="8"/>
  <c r="D489" i="8"/>
  <c r="D493" i="8"/>
  <c r="D497" i="8"/>
  <c r="D501" i="8"/>
  <c r="D505" i="8"/>
  <c r="D509" i="8"/>
  <c r="D513" i="8"/>
  <c r="D517" i="8"/>
  <c r="D521" i="8"/>
  <c r="D525" i="8"/>
  <c r="D529" i="8"/>
  <c r="D533" i="8"/>
  <c r="D537" i="8"/>
  <c r="D541" i="8"/>
  <c r="D545" i="8"/>
  <c r="D549" i="8"/>
  <c r="D553" i="8"/>
  <c r="D557" i="8"/>
  <c r="D561" i="8"/>
  <c r="D565" i="8"/>
  <c r="D569" i="8"/>
  <c r="D573" i="8"/>
  <c r="D577" i="8"/>
  <c r="D581" i="8"/>
  <c r="D585" i="8"/>
  <c r="D589" i="8"/>
  <c r="D593" i="8"/>
  <c r="D597" i="8"/>
  <c r="D601" i="8"/>
  <c r="D605" i="8"/>
  <c r="D609" i="8"/>
  <c r="D613" i="8"/>
  <c r="D617" i="8"/>
  <c r="D621" i="8"/>
  <c r="D625" i="8"/>
  <c r="D629" i="8"/>
  <c r="D633" i="8"/>
  <c r="D637" i="8"/>
  <c r="D657" i="8"/>
  <c r="D679" i="8"/>
  <c r="D689" i="8"/>
  <c r="D708" i="8"/>
  <c r="D734" i="8"/>
  <c r="D753" i="8"/>
  <c r="D798" i="8"/>
  <c r="D300" i="8"/>
  <c r="D308" i="8"/>
  <c r="D316" i="8"/>
  <c r="D324" i="8"/>
  <c r="D332" i="8"/>
  <c r="D340" i="8"/>
  <c r="D348" i="8"/>
  <c r="D356" i="8"/>
  <c r="D364" i="8"/>
  <c r="D372" i="8"/>
  <c r="D380" i="8"/>
  <c r="D388" i="8"/>
  <c r="D396" i="8"/>
  <c r="D404" i="8"/>
  <c r="D412" i="8"/>
  <c r="D420" i="8"/>
  <c r="D428" i="8"/>
  <c r="D436" i="8"/>
  <c r="D444" i="8"/>
  <c r="D643" i="8"/>
  <c r="D651" i="8"/>
  <c r="D667" i="8"/>
  <c r="D683" i="8"/>
  <c r="D805" i="8"/>
  <c r="D812" i="8"/>
  <c r="D833" i="8"/>
  <c r="D652" i="8"/>
  <c r="D655" i="8"/>
  <c r="D665" i="8"/>
  <c r="D671" i="8"/>
  <c r="D681" i="8"/>
  <c r="D684" i="8"/>
  <c r="D687" i="8"/>
  <c r="D694" i="8"/>
  <c r="D710" i="8"/>
  <c r="D726" i="8"/>
  <c r="D742" i="8"/>
  <c r="D758" i="8"/>
  <c r="D774" i="8"/>
  <c r="D790" i="8"/>
  <c r="D889" i="8"/>
  <c r="D304" i="8"/>
  <c r="D312" i="8"/>
  <c r="D320" i="8"/>
  <c r="D328" i="8"/>
  <c r="D336" i="8"/>
  <c r="D344" i="8"/>
  <c r="D352" i="8"/>
  <c r="D360" i="8"/>
  <c r="D368" i="8"/>
  <c r="D376" i="8"/>
  <c r="D384" i="8"/>
  <c r="D392" i="8"/>
  <c r="D400" i="8"/>
  <c r="D408" i="8"/>
  <c r="D416" i="8"/>
  <c r="D424" i="8"/>
  <c r="D432" i="8"/>
  <c r="D440" i="8"/>
  <c r="D448" i="8"/>
  <c r="D451" i="8"/>
  <c r="D459" i="8"/>
  <c r="D467" i="8"/>
  <c r="D475" i="8"/>
  <c r="D483" i="8"/>
  <c r="D491" i="8"/>
  <c r="D499" i="8"/>
  <c r="D507" i="8"/>
  <c r="D515" i="8"/>
  <c r="D523" i="8"/>
  <c r="D531" i="8"/>
  <c r="D539" i="8"/>
  <c r="D547" i="8"/>
  <c r="D555" i="8"/>
  <c r="D563" i="8"/>
  <c r="D571" i="8"/>
  <c r="D579" i="8"/>
  <c r="D587" i="8"/>
  <c r="D595" i="8"/>
  <c r="D603" i="8"/>
  <c r="D611" i="8"/>
  <c r="D619" i="8"/>
  <c r="D627" i="8"/>
  <c r="D635" i="8"/>
  <c r="D647" i="8"/>
  <c r="D659" i="8"/>
  <c r="D675" i="8"/>
  <c r="D857" i="8"/>
  <c r="D897" i="8"/>
  <c r="D801" i="8"/>
  <c r="D806" i="8"/>
  <c r="D813" i="8"/>
  <c r="D838" i="8"/>
  <c r="D870" i="8"/>
  <c r="D656" i="8"/>
  <c r="D672" i="8"/>
  <c r="D680" i="8"/>
  <c r="D688" i="8"/>
  <c r="D716" i="8"/>
  <c r="D732" i="8"/>
  <c r="D748" i="8"/>
  <c r="D780" i="8"/>
  <c r="D796" i="8"/>
  <c r="D809" i="8"/>
  <c r="D814" i="8"/>
  <c r="D819" i="8"/>
  <c r="D843" i="8"/>
  <c r="D851" i="8"/>
  <c r="D875" i="8"/>
  <c r="D883" i="8"/>
  <c r="D797" i="8"/>
  <c r="D800" i="8"/>
  <c r="D817" i="8"/>
  <c r="D827" i="8"/>
  <c r="D849" i="8"/>
  <c r="D859" i="8"/>
  <c r="D881" i="8"/>
  <c r="D891" i="8"/>
  <c r="D696" i="8"/>
  <c r="D712" i="8"/>
  <c r="D720" i="8"/>
  <c r="D728" i="8"/>
  <c r="D744" i="8"/>
  <c r="D752" i="8"/>
  <c r="D760" i="8"/>
  <c r="D776" i="8"/>
  <c r="D784" i="8"/>
  <c r="D792" i="8"/>
  <c r="D822" i="8"/>
  <c r="D835" i="8"/>
  <c r="D841" i="8"/>
  <c r="D854" i="8"/>
  <c r="D867" i="8"/>
  <c r="D873" i="8"/>
  <c r="D886" i="8"/>
  <c r="D899" i="8"/>
  <c r="D830" i="8"/>
  <c r="D846" i="8"/>
  <c r="D862" i="8"/>
  <c r="D878" i="8"/>
  <c r="D894" i="8"/>
  <c r="D818" i="8"/>
  <c r="D821" i="8"/>
  <c r="D823" i="8"/>
  <c r="D826" i="8"/>
  <c r="D829" i="8"/>
  <c r="D831" i="8"/>
  <c r="D834" i="8"/>
  <c r="D837" i="8"/>
  <c r="D839" i="8"/>
  <c r="D842" i="8"/>
  <c r="D845" i="8"/>
  <c r="D847" i="8"/>
  <c r="D850" i="8"/>
  <c r="D853" i="8"/>
  <c r="D855" i="8"/>
  <c r="D858" i="8"/>
  <c r="D861" i="8"/>
  <c r="D863" i="8"/>
  <c r="D866" i="8"/>
  <c r="D869" i="8"/>
  <c r="D871" i="8"/>
  <c r="D874" i="8"/>
  <c r="D877" i="8"/>
  <c r="D879" i="8"/>
  <c r="D882" i="8"/>
  <c r="D885" i="8"/>
  <c r="D887" i="8"/>
  <c r="D890" i="8"/>
  <c r="D893" i="8"/>
  <c r="D895" i="8"/>
  <c r="D898" i="8"/>
  <c r="D901" i="8"/>
  <c r="D820" i="8"/>
  <c r="D824" i="8"/>
  <c r="D828" i="8"/>
  <c r="D836" i="8"/>
  <c r="D840" i="8"/>
  <c r="D844" i="8"/>
  <c r="D852" i="8"/>
  <c r="D856" i="8"/>
  <c r="D860" i="8"/>
  <c r="D868" i="8"/>
  <c r="D872" i="8"/>
  <c r="D876" i="8"/>
  <c r="D884" i="8"/>
  <c r="D888" i="8"/>
  <c r="D892" i="8"/>
  <c r="D900" i="8"/>
  <c r="L2" i="1" l="1"/>
  <c r="M2" i="1" s="1"/>
  <c r="N2" i="1" s="1"/>
  <c r="D543" i="8"/>
  <c r="D896" i="8"/>
  <c r="D880" i="8"/>
  <c r="D864" i="8"/>
  <c r="D848" i="8"/>
  <c r="D832" i="8"/>
  <c r="D768" i="8"/>
  <c r="D736" i="8"/>
  <c r="D704" i="8"/>
  <c r="D804" i="8"/>
  <c r="D764" i="8"/>
  <c r="D700" i="8"/>
  <c r="D664" i="8"/>
  <c r="D816" i="8"/>
  <c r="D668" i="8"/>
  <c r="D644" i="8"/>
  <c r="D772" i="8"/>
  <c r="D692" i="8"/>
  <c r="D632" i="8"/>
  <c r="D527" i="8"/>
  <c r="D648" i="8"/>
  <c r="D788" i="8"/>
  <c r="E810" i="8"/>
  <c r="L810" i="1" s="1"/>
  <c r="M810" i="1" s="1"/>
  <c r="N810" i="1" s="1"/>
  <c r="D810" i="8"/>
  <c r="D802" i="8"/>
  <c r="E802" i="8"/>
  <c r="L802" i="1" s="1"/>
  <c r="M802" i="1" s="1"/>
  <c r="N802" i="1" s="1"/>
  <c r="E794" i="8"/>
  <c r="L794" i="1" s="1"/>
  <c r="M794" i="1" s="1"/>
  <c r="N794" i="1" s="1"/>
  <c r="D794" i="8"/>
  <c r="E786" i="8"/>
  <c r="L786" i="1" s="1"/>
  <c r="M786" i="1" s="1"/>
  <c r="N786" i="1" s="1"/>
  <c r="D786" i="8"/>
  <c r="E778" i="8"/>
  <c r="L778" i="1" s="1"/>
  <c r="M778" i="1" s="1"/>
  <c r="N778" i="1" s="1"/>
  <c r="D778" i="8"/>
  <c r="E770" i="8"/>
  <c r="L770" i="1" s="1"/>
  <c r="M770" i="1" s="1"/>
  <c r="N770" i="1" s="1"/>
  <c r="D770" i="8"/>
  <c r="E762" i="8"/>
  <c r="L762" i="1" s="1"/>
  <c r="M762" i="1" s="1"/>
  <c r="N762" i="1" s="1"/>
  <c r="D762" i="8"/>
  <c r="E754" i="8"/>
  <c r="L754" i="1" s="1"/>
  <c r="M754" i="1" s="1"/>
  <c r="N754" i="1" s="1"/>
  <c r="D754" i="8"/>
  <c r="E746" i="8"/>
  <c r="L746" i="1" s="1"/>
  <c r="M746" i="1" s="1"/>
  <c r="N746" i="1" s="1"/>
  <c r="D746" i="8"/>
  <c r="E738" i="8"/>
  <c r="L738" i="1" s="1"/>
  <c r="M738" i="1" s="1"/>
  <c r="N738" i="1" s="1"/>
  <c r="D738" i="8"/>
  <c r="E730" i="8"/>
  <c r="L730" i="1" s="1"/>
  <c r="M730" i="1" s="1"/>
  <c r="N730" i="1" s="1"/>
  <c r="D730" i="8"/>
  <c r="E722" i="8"/>
  <c r="L722" i="1" s="1"/>
  <c r="M722" i="1" s="1"/>
  <c r="N722" i="1" s="1"/>
  <c r="D722" i="8"/>
  <c r="E714" i="8"/>
  <c r="L714" i="1" s="1"/>
  <c r="M714" i="1" s="1"/>
  <c r="N714" i="1" s="1"/>
  <c r="D714" i="8"/>
  <c r="E706" i="8"/>
  <c r="L706" i="1" s="1"/>
  <c r="M706" i="1" s="1"/>
  <c r="N706" i="1" s="1"/>
  <c r="D706" i="8"/>
  <c r="E698" i="8"/>
  <c r="L698" i="1" s="1"/>
  <c r="M698" i="1" s="1"/>
  <c r="N698" i="1" s="1"/>
  <c r="D698" i="8"/>
  <c r="E690" i="8"/>
  <c r="L690" i="1" s="1"/>
  <c r="M690" i="1" s="1"/>
  <c r="N690" i="1" s="1"/>
  <c r="D690" i="8"/>
  <c r="E686" i="8"/>
  <c r="L686" i="1" s="1"/>
  <c r="M686" i="1" s="1"/>
  <c r="N686" i="1" s="1"/>
  <c r="D686" i="8"/>
  <c r="E682" i="8"/>
  <c r="L682" i="1" s="1"/>
  <c r="M682" i="1" s="1"/>
  <c r="N682" i="1" s="1"/>
  <c r="D682" i="8"/>
  <c r="E678" i="8"/>
  <c r="L678" i="1" s="1"/>
  <c r="M678" i="1" s="1"/>
  <c r="N678" i="1" s="1"/>
  <c r="D678" i="8"/>
  <c r="E674" i="8"/>
  <c r="L674" i="1" s="1"/>
  <c r="M674" i="1" s="1"/>
  <c r="N674" i="1" s="1"/>
  <c r="D674" i="8"/>
  <c r="E670" i="8"/>
  <c r="L670" i="1" s="1"/>
  <c r="M670" i="1" s="1"/>
  <c r="N670" i="1" s="1"/>
  <c r="D670" i="8"/>
  <c r="E666" i="8"/>
  <c r="L666" i="1" s="1"/>
  <c r="M666" i="1" s="1"/>
  <c r="N666" i="1" s="1"/>
  <c r="D666" i="8"/>
  <c r="E662" i="8"/>
  <c r="L662" i="1" s="1"/>
  <c r="M662" i="1" s="1"/>
  <c r="N662" i="1" s="1"/>
  <c r="D662" i="8"/>
  <c r="E658" i="8"/>
  <c r="L658" i="1" s="1"/>
  <c r="M658" i="1" s="1"/>
  <c r="N658" i="1" s="1"/>
  <c r="D658" i="8"/>
  <c r="E654" i="8"/>
  <c r="L654" i="1" s="1"/>
  <c r="M654" i="1" s="1"/>
  <c r="N654" i="1" s="1"/>
  <c r="D654" i="8"/>
  <c r="E650" i="8"/>
  <c r="L650" i="1" s="1"/>
  <c r="M650" i="1" s="1"/>
  <c r="N650" i="1" s="1"/>
  <c r="D650" i="8"/>
  <c r="E646" i="8"/>
  <c r="L646" i="1" s="1"/>
  <c r="M646" i="1" s="1"/>
  <c r="N646" i="1" s="1"/>
  <c r="D646" i="8"/>
  <c r="E642" i="8"/>
  <c r="L642" i="1" s="1"/>
  <c r="M642" i="1" s="1"/>
  <c r="N642" i="1" s="1"/>
  <c r="D642" i="8"/>
  <c r="E638" i="8"/>
  <c r="L638" i="1" s="1"/>
  <c r="M638" i="1" s="1"/>
  <c r="N638" i="1" s="1"/>
  <c r="D638" i="8"/>
  <c r="E634" i="8"/>
  <c r="L634" i="1" s="1"/>
  <c r="M634" i="1" s="1"/>
  <c r="N634" i="1" s="1"/>
  <c r="D634" i="8"/>
  <c r="E630" i="8"/>
  <c r="L630" i="1" s="1"/>
  <c r="M630" i="1" s="1"/>
  <c r="N630" i="1" s="1"/>
  <c r="D630" i="8"/>
  <c r="E626" i="8"/>
  <c r="L626" i="1" s="1"/>
  <c r="M626" i="1" s="1"/>
  <c r="N626" i="1" s="1"/>
  <c r="D626" i="8"/>
  <c r="E622" i="8"/>
  <c r="L622" i="1" s="1"/>
  <c r="M622" i="1" s="1"/>
  <c r="N622" i="1" s="1"/>
  <c r="D622" i="8"/>
  <c r="E618" i="8"/>
  <c r="L618" i="1" s="1"/>
  <c r="M618" i="1" s="1"/>
  <c r="N618" i="1" s="1"/>
  <c r="D618" i="8"/>
  <c r="E614" i="8"/>
  <c r="L614" i="1" s="1"/>
  <c r="M614" i="1" s="1"/>
  <c r="N614" i="1" s="1"/>
  <c r="D614" i="8"/>
  <c r="E610" i="8"/>
  <c r="L610" i="1" s="1"/>
  <c r="M610" i="1" s="1"/>
  <c r="N610" i="1" s="1"/>
  <c r="D610" i="8"/>
  <c r="E606" i="8"/>
  <c r="L606" i="1" s="1"/>
  <c r="M606" i="1" s="1"/>
  <c r="N606" i="1" s="1"/>
  <c r="D606" i="8"/>
  <c r="E602" i="8"/>
  <c r="L602" i="1" s="1"/>
  <c r="M602" i="1" s="1"/>
  <c r="N602" i="1" s="1"/>
  <c r="D602" i="8"/>
  <c r="E598" i="8"/>
  <c r="L598" i="1" s="1"/>
  <c r="M598" i="1" s="1"/>
  <c r="N598" i="1" s="1"/>
  <c r="D598" i="8"/>
  <c r="E594" i="8"/>
  <c r="L594" i="1" s="1"/>
  <c r="M594" i="1" s="1"/>
  <c r="N594" i="1" s="1"/>
  <c r="D594" i="8"/>
  <c r="E590" i="8"/>
  <c r="L590" i="1" s="1"/>
  <c r="M590" i="1" s="1"/>
  <c r="N590" i="1" s="1"/>
  <c r="D590" i="8"/>
  <c r="E586" i="8"/>
  <c r="L586" i="1" s="1"/>
  <c r="M586" i="1" s="1"/>
  <c r="N586" i="1" s="1"/>
  <c r="D586" i="8"/>
  <c r="E582" i="8"/>
  <c r="L582" i="1" s="1"/>
  <c r="M582" i="1" s="1"/>
  <c r="N582" i="1" s="1"/>
  <c r="D582" i="8"/>
  <c r="E578" i="8"/>
  <c r="L578" i="1" s="1"/>
  <c r="M578" i="1" s="1"/>
  <c r="N578" i="1" s="1"/>
  <c r="D578" i="8"/>
  <c r="E574" i="8"/>
  <c r="L574" i="1" s="1"/>
  <c r="M574" i="1" s="1"/>
  <c r="N574" i="1" s="1"/>
  <c r="D574" i="8"/>
  <c r="E570" i="8"/>
  <c r="L570" i="1" s="1"/>
  <c r="M570" i="1" s="1"/>
  <c r="N570" i="1" s="1"/>
  <c r="D570" i="8"/>
  <c r="E566" i="8"/>
  <c r="L566" i="1" s="1"/>
  <c r="M566" i="1" s="1"/>
  <c r="N566" i="1" s="1"/>
  <c r="D566" i="8"/>
</calcChain>
</file>

<file path=xl/sharedStrings.xml><?xml version="1.0" encoding="utf-8"?>
<sst xmlns="http://schemas.openxmlformats.org/spreadsheetml/2006/main" count="14487" uniqueCount="995">
  <si>
    <t>Emp_ID</t>
  </si>
  <si>
    <t>Dept</t>
  </si>
  <si>
    <t>Role</t>
  </si>
  <si>
    <t>Gender</t>
  </si>
  <si>
    <t>Exp</t>
  </si>
  <si>
    <t>City</t>
  </si>
  <si>
    <t>Gross</t>
  </si>
  <si>
    <t>Deductions</t>
  </si>
  <si>
    <t>Net</t>
  </si>
  <si>
    <t>Overtime_Pay</t>
  </si>
  <si>
    <t>Base_Increment_%</t>
  </si>
  <si>
    <t>Performance_Adjustment_%</t>
  </si>
  <si>
    <t>Total_Increment_%</t>
  </si>
  <si>
    <t>Predicted_CTC</t>
  </si>
  <si>
    <t>E1</t>
  </si>
  <si>
    <t>Operations</t>
  </si>
  <si>
    <t>Junior</t>
  </si>
  <si>
    <t>Male</t>
  </si>
  <si>
    <t>Lucknow</t>
  </si>
  <si>
    <t>E2</t>
  </si>
  <si>
    <t>Sales</t>
  </si>
  <si>
    <t>Senior</t>
  </si>
  <si>
    <t>Female</t>
  </si>
  <si>
    <t>Delhi</t>
  </si>
  <si>
    <t>E3</t>
  </si>
  <si>
    <t>Jaipur</t>
  </si>
  <si>
    <t>E4</t>
  </si>
  <si>
    <t>HR</t>
  </si>
  <si>
    <t>Pune</t>
  </si>
  <si>
    <t>E5</t>
  </si>
  <si>
    <t>IT</t>
  </si>
  <si>
    <t>E6</t>
  </si>
  <si>
    <t>Mumbai</t>
  </si>
  <si>
    <t>E7</t>
  </si>
  <si>
    <t>Mid</t>
  </si>
  <si>
    <t>E8</t>
  </si>
  <si>
    <t>Finance</t>
  </si>
  <si>
    <t>E9</t>
  </si>
  <si>
    <t>Indore</t>
  </si>
  <si>
    <t>E10</t>
  </si>
  <si>
    <t>E11</t>
  </si>
  <si>
    <t>E12</t>
  </si>
  <si>
    <t>E13</t>
  </si>
  <si>
    <t>E14</t>
  </si>
  <si>
    <t>Manager</t>
  </si>
  <si>
    <t>Bangalore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</si>
  <si>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</si>
  <si>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</si>
  <si>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</si>
  <si>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</si>
  <si>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</si>
  <si>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</si>
  <si>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</si>
  <si>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</si>
  <si>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</si>
  <si>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</si>
  <si>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</si>
  <si>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</si>
  <si>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</si>
  <si>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</si>
  <si>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</si>
  <si>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</si>
  <si>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</si>
  <si>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</si>
  <si>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</si>
  <si>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</si>
  <si>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</si>
  <si>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</si>
  <si>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</si>
  <si>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</si>
  <si>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</si>
  <si>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Chennai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</si>
  <si>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</si>
  <si>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</si>
  <si>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</si>
  <si>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</si>
  <si>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</si>
  <si>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</si>
  <si>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</si>
  <si>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</si>
  <si>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</si>
  <si>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</si>
  <si>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</si>
  <si>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</si>
  <si>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</si>
  <si>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</si>
  <si>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</si>
  <si>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</si>
  <si>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</si>
  <si>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</si>
  <si>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</si>
  <si>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</si>
  <si>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</si>
  <si>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</si>
  <si>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</si>
  <si>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</si>
  <si>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</si>
  <si>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</si>
  <si>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</si>
  <si>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</si>
  <si>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</si>
  <si>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</si>
  <si>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</si>
  <si>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</si>
  <si>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</si>
  <si>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</si>
  <si>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</si>
  <si>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</si>
  <si>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</si>
  <si>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</si>
  <si>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</si>
  <si>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</si>
  <si>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</si>
  <si>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</si>
  <si>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</si>
  <si>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</si>
  <si>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</si>
  <si>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</si>
  <si>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</si>
  <si>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</si>
  <si>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</si>
  <si>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</si>
  <si>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</si>
  <si>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</si>
  <si>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</si>
  <si>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</si>
  <si>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</si>
  <si>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</si>
  <si>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</si>
  <si>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</si>
  <si>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</si>
  <si>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</si>
  <si>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</si>
  <si>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</si>
  <si>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</si>
  <si>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</si>
  <si>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</si>
  <si>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</si>
  <si>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</si>
  <si>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</si>
  <si>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</si>
  <si>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</si>
  <si>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</si>
  <si>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</si>
  <si>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</si>
  <si>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</si>
  <si>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</si>
  <si>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</si>
  <si>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</si>
  <si>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</si>
  <si>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</si>
  <si>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</si>
  <si>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</si>
  <si>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</si>
  <si>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</si>
  <si>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</si>
  <si>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</si>
  <si>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</si>
  <si>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</si>
  <si>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</si>
  <si>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</si>
  <si>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</si>
  <si>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</si>
  <si>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</si>
  <si>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</si>
  <si>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</si>
  <si>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</si>
  <si>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</si>
  <si>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</si>
  <si>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</si>
  <si>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</si>
  <si>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</si>
  <si>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</si>
  <si>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</si>
  <si>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</si>
  <si>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</si>
  <si>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</si>
  <si>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</si>
  <si>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</si>
  <si>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</si>
  <si>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</si>
  <si>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</si>
  <si>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</si>
  <si>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</si>
  <si>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</si>
  <si>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</si>
  <si>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</si>
  <si>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</si>
  <si>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</si>
  <si>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</si>
  <si>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</si>
  <si>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</si>
  <si>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</si>
  <si>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</si>
  <si>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</si>
  <si>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</si>
  <si>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</si>
  <si>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</si>
  <si>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</si>
  <si>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</si>
  <si>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</si>
  <si>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</si>
  <si>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</si>
  <si>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</si>
  <si>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</si>
  <si>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</si>
  <si>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</si>
  <si>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</si>
  <si>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</si>
  <si>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</si>
  <si>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</si>
  <si>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</si>
  <si>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</si>
  <si>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</si>
  <si>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</si>
  <si>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</si>
  <si>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</si>
  <si>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</si>
  <si>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</si>
  <si>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</si>
  <si>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</si>
  <si>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</si>
  <si>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</si>
  <si>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</si>
  <si>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</si>
  <si>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</si>
  <si>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</si>
  <si>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</si>
  <si>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</si>
  <si>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</si>
  <si>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</si>
  <si>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</si>
  <si>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</si>
  <si>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</si>
  <si>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</si>
  <si>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</si>
  <si>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</si>
  <si>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</si>
  <si>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</si>
  <si>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</si>
  <si>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</si>
  <si>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</si>
  <si>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</si>
  <si>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</si>
  <si>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</si>
  <si>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</si>
  <si>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</si>
  <si>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</si>
  <si>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</si>
  <si>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</si>
  <si>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</si>
  <si>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</si>
  <si>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</si>
  <si>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</si>
  <si>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</si>
  <si>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</si>
  <si>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</si>
  <si>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</si>
  <si>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</si>
  <si>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</si>
  <si>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</si>
  <si>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</si>
  <si>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</si>
  <si>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</si>
  <si>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</si>
  <si>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</si>
  <si>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</si>
  <si>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</si>
  <si>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</si>
  <si>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</si>
  <si>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</si>
  <si>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</si>
  <si>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</si>
  <si>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</si>
  <si>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</si>
  <si>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</si>
  <si>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</si>
  <si>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</si>
  <si>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</si>
  <si>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</si>
  <si>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</si>
  <si>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</si>
  <si>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</si>
  <si>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</si>
  <si>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</si>
  <si>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</si>
  <si>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</si>
  <si>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</si>
  <si>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</si>
  <si>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</si>
  <si>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</si>
  <si>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</si>
  <si>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</si>
  <si>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</si>
  <si>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</si>
  <si>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</si>
  <si>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</si>
  <si>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</si>
  <si>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</si>
  <si>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</si>
  <si>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</si>
  <si>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</si>
  <si>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</si>
  <si>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</si>
  <si>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</si>
  <si>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</si>
  <si>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</si>
  <si>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</si>
  <si>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</si>
  <si>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</si>
  <si>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</si>
  <si>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</si>
  <si>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</si>
  <si>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</si>
  <si>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</si>
  <si>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</si>
  <si>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</si>
  <si>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</si>
  <si>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</si>
  <si>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</si>
  <si>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</si>
  <si>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</si>
  <si>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</si>
  <si>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</si>
  <si>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</si>
  <si>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</si>
  <si>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</si>
  <si>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</si>
  <si>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</si>
  <si>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</si>
  <si>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</si>
  <si>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</si>
  <si>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</si>
  <si>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</si>
  <si>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</si>
  <si>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</si>
  <si>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</si>
  <si>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</si>
  <si>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</si>
  <si>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</si>
  <si>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</si>
  <si>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</si>
  <si>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</si>
  <si>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</si>
  <si>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</si>
  <si>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</si>
  <si>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</si>
  <si>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</si>
  <si>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</si>
  <si>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</si>
  <si>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</si>
  <si>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</si>
  <si>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</si>
  <si>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</si>
  <si>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</si>
  <si>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</si>
  <si>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</si>
  <si>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</si>
  <si>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</si>
  <si>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</si>
  <si>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</si>
  <si>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</si>
  <si>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</si>
  <si>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</si>
  <si>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</si>
  <si>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</si>
  <si>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</si>
  <si>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</si>
  <si>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</si>
  <si>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</si>
  <si>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</si>
  <si>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</si>
  <si>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</si>
  <si>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</si>
  <si>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</si>
  <si>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</si>
  <si>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</si>
  <si>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</si>
  <si>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</si>
  <si>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</si>
  <si>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</si>
  <si>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</si>
  <si>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</si>
  <si>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</si>
  <si>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</si>
  <si>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</si>
  <si>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</si>
  <si>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</si>
  <si>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</si>
  <si>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</si>
  <si>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</si>
  <si>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</si>
  <si>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</si>
  <si>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</si>
  <si>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</si>
  <si>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</si>
  <si>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</si>
  <si>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</si>
  <si>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</si>
  <si>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</si>
  <si>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</si>
  <si>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</si>
  <si>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</si>
  <si>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</si>
  <si>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</si>
  <si>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</si>
  <si>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</si>
  <si>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</si>
  <si>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</si>
  <si>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</si>
  <si>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</si>
  <si>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</si>
  <si>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</si>
  <si>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</si>
  <si>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</si>
  <si>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</si>
  <si>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</si>
  <si>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</si>
  <si>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</si>
  <si>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</si>
  <si>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</si>
  <si>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</si>
  <si>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</si>
  <si>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</si>
  <si>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</si>
  <si>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</si>
  <si>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</si>
  <si>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</si>
  <si>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</si>
  <si>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</si>
  <si>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</si>
  <si>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</si>
  <si>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</si>
  <si>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</si>
  <si>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</si>
  <si>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</si>
  <si>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</si>
  <si>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</si>
  <si>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</si>
  <si>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</si>
  <si>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</si>
  <si>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</si>
  <si>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</si>
  <si>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</si>
  <si>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</si>
  <si>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</si>
  <si>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</si>
  <si>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</si>
  <si>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</si>
  <si>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</si>
  <si>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</si>
  <si>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</si>
  <si>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</si>
  <si>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</si>
  <si>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</si>
  <si>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</si>
  <si>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</si>
  <si>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</si>
  <si>
    <t>E426</t>
  </si>
  <si>
    <t>E427</t>
  </si>
  <si>
    <t>E428</t>
  </si>
  <si>
    <t>E429</t>
  </si>
  <si>
    <t>E430</t>
  </si>
  <si>
    <t>E431</t>
  </si>
  <si>
    <t>E432</t>
  </si>
  <si>
    <t>E433</t>
  </si>
  <si>
    <t>E434</t>
  </si>
  <si>
    <t>E435</t>
  </si>
  <si>
    <t>E436</t>
  </si>
  <si>
    <t>E437</t>
  </si>
  <si>
    <t>E438</t>
  </si>
  <si>
    <t>E439</t>
  </si>
  <si>
    <t>E440</t>
  </si>
  <si>
    <t>E441</t>
  </si>
  <si>
    <t>E442</t>
  </si>
  <si>
    <t>E443</t>
  </si>
  <si>
    <t>E444</t>
  </si>
  <si>
    <t>E445</t>
  </si>
  <si>
    <t>E446</t>
  </si>
  <si>
    <t>E447</t>
  </si>
  <si>
    <t>E448</t>
  </si>
  <si>
    <t>E449</t>
  </si>
  <si>
    <t>E450</t>
  </si>
  <si>
    <t>E451</t>
  </si>
  <si>
    <t>E452</t>
  </si>
  <si>
    <t>E453</t>
  </si>
  <si>
    <t>E454</t>
  </si>
  <si>
    <t>E455</t>
  </si>
  <si>
    <t>E456</t>
  </si>
  <si>
    <t>E457</t>
  </si>
  <si>
    <t>E458</t>
  </si>
  <si>
    <t>E459</t>
  </si>
  <si>
    <t>E460</t>
  </si>
  <si>
    <t>E461</t>
  </si>
  <si>
    <t>E462</t>
  </si>
  <si>
    <t>E463</t>
  </si>
  <si>
    <t>E464</t>
  </si>
  <si>
    <t>E465</t>
  </si>
  <si>
    <t>E466</t>
  </si>
  <si>
    <t>E467</t>
  </si>
  <si>
    <t>E468</t>
  </si>
  <si>
    <t>E469</t>
  </si>
  <si>
    <t>E470</t>
  </si>
  <si>
    <t>E471</t>
  </si>
  <si>
    <t>E472</t>
  </si>
  <si>
    <t>E473</t>
  </si>
  <si>
    <t>E474</t>
  </si>
  <si>
    <t>E475</t>
  </si>
  <si>
    <t>E476</t>
  </si>
  <si>
    <t>E477</t>
  </si>
  <si>
    <t>E478</t>
  </si>
  <si>
    <t>E479</t>
  </si>
  <si>
    <t>E480</t>
  </si>
  <si>
    <t>E481</t>
  </si>
  <si>
    <t>E482</t>
  </si>
  <si>
    <t>E483</t>
  </si>
  <si>
    <t>E484</t>
  </si>
  <si>
    <t>E485</t>
  </si>
  <si>
    <t>E486</t>
  </si>
  <si>
    <t>E487</t>
  </si>
  <si>
    <t>E488</t>
  </si>
  <si>
    <t>E489</t>
  </si>
  <si>
    <t>E490</t>
  </si>
  <si>
    <t>E491</t>
  </si>
  <si>
    <t>E492</t>
  </si>
  <si>
    <t>E493</t>
  </si>
  <si>
    <t>E494</t>
  </si>
  <si>
    <t>E495</t>
  </si>
  <si>
    <t>E496</t>
  </si>
  <si>
    <t>E497</t>
  </si>
  <si>
    <t>E498</t>
  </si>
  <si>
    <t>E499</t>
  </si>
  <si>
    <t>E500</t>
  </si>
  <si>
    <t>E501</t>
  </si>
  <si>
    <t>E502</t>
  </si>
  <si>
    <t>E503</t>
  </si>
  <si>
    <t>E504</t>
  </si>
  <si>
    <t>E505</t>
  </si>
  <si>
    <t>E506</t>
  </si>
  <si>
    <t>E507</t>
  </si>
  <si>
    <t>E508</t>
  </si>
  <si>
    <t>E509</t>
  </si>
  <si>
    <t>E510</t>
  </si>
  <si>
    <t>E511</t>
  </si>
  <si>
    <t>E512</t>
  </si>
  <si>
    <t>E513</t>
  </si>
  <si>
    <t>E514</t>
  </si>
  <si>
    <t>E515</t>
  </si>
  <si>
    <t>E516</t>
  </si>
  <si>
    <t>E517</t>
  </si>
  <si>
    <t>E518</t>
  </si>
  <si>
    <t>E519</t>
  </si>
  <si>
    <t>E520</t>
  </si>
  <si>
    <t>E521</t>
  </si>
  <si>
    <t>E522</t>
  </si>
  <si>
    <t>E523</t>
  </si>
  <si>
    <t>E524</t>
  </si>
  <si>
    <t>E525</t>
  </si>
  <si>
    <t>E526</t>
  </si>
  <si>
    <t>E527</t>
  </si>
  <si>
    <t>E528</t>
  </si>
  <si>
    <t>E529</t>
  </si>
  <si>
    <t>E530</t>
  </si>
  <si>
    <t>E531</t>
  </si>
  <si>
    <t>E532</t>
  </si>
  <si>
    <t>E533</t>
  </si>
  <si>
    <t>E534</t>
  </si>
  <si>
    <t>E535</t>
  </si>
  <si>
    <t>E536</t>
  </si>
  <si>
    <t>E537</t>
  </si>
  <si>
    <t>E538</t>
  </si>
  <si>
    <t>E539</t>
  </si>
  <si>
    <t>E540</t>
  </si>
  <si>
    <t>E541</t>
  </si>
  <si>
    <t>E542</t>
  </si>
  <si>
    <t>E543</t>
  </si>
  <si>
    <t>E544</t>
  </si>
  <si>
    <t>E545</t>
  </si>
  <si>
    <t>E546</t>
  </si>
  <si>
    <t>E547</t>
  </si>
  <si>
    <t>E548</t>
  </si>
  <si>
    <t>E549</t>
  </si>
  <si>
    <t>E550</t>
  </si>
  <si>
    <t>E551</t>
  </si>
  <si>
    <t>E552</t>
  </si>
  <si>
    <t>E553</t>
  </si>
  <si>
    <t>E554</t>
  </si>
  <si>
    <t>E555</t>
  </si>
  <si>
    <t>E556</t>
  </si>
  <si>
    <t>E557</t>
  </si>
  <si>
    <t>E558</t>
  </si>
  <si>
    <t>E559</t>
  </si>
  <si>
    <t>E560</t>
  </si>
  <si>
    <t>E561</t>
  </si>
  <si>
    <t>E562</t>
  </si>
  <si>
    <t>E563</t>
  </si>
  <si>
    <t>E564</t>
  </si>
  <si>
    <t>E565</t>
  </si>
  <si>
    <t>E566</t>
  </si>
  <si>
    <t>E567</t>
  </si>
  <si>
    <t>E568</t>
  </si>
  <si>
    <t>E569</t>
  </si>
  <si>
    <t>E570</t>
  </si>
  <si>
    <t>E571</t>
  </si>
  <si>
    <t>E572</t>
  </si>
  <si>
    <t>E573</t>
  </si>
  <si>
    <t>E574</t>
  </si>
  <si>
    <t>E575</t>
  </si>
  <si>
    <t>E576</t>
  </si>
  <si>
    <t>E577</t>
  </si>
  <si>
    <t>E578</t>
  </si>
  <si>
    <t>E579</t>
  </si>
  <si>
    <t>E580</t>
  </si>
  <si>
    <t>E581</t>
  </si>
  <si>
    <t>E582</t>
  </si>
  <si>
    <t>E583</t>
  </si>
  <si>
    <t>E584</t>
  </si>
  <si>
    <t>E585</t>
  </si>
  <si>
    <t>E586</t>
  </si>
  <si>
    <t>E587</t>
  </si>
  <si>
    <t>E588</t>
  </si>
  <si>
    <t>E589</t>
  </si>
  <si>
    <t>E590</t>
  </si>
  <si>
    <t>E591</t>
  </si>
  <si>
    <t>E592</t>
  </si>
  <si>
    <t>E593</t>
  </si>
  <si>
    <t>E594</t>
  </si>
  <si>
    <t>E595</t>
  </si>
  <si>
    <t>E596</t>
  </si>
  <si>
    <t>E597</t>
  </si>
  <si>
    <t>E598</t>
  </si>
  <si>
    <t>E599</t>
  </si>
  <si>
    <t>E600</t>
  </si>
  <si>
    <t>E601</t>
  </si>
  <si>
    <t>E602</t>
  </si>
  <si>
    <t>E603</t>
  </si>
  <si>
    <t>E604</t>
  </si>
  <si>
    <t>E605</t>
  </si>
  <si>
    <t>E606</t>
  </si>
  <si>
    <t>E607</t>
  </si>
  <si>
    <t>E608</t>
  </si>
  <si>
    <t>E609</t>
  </si>
  <si>
    <t>E610</t>
  </si>
  <si>
    <t>E611</t>
  </si>
  <si>
    <t>E612</t>
  </si>
  <si>
    <t>E613</t>
  </si>
  <si>
    <t>E614</t>
  </si>
  <si>
    <t>E615</t>
  </si>
  <si>
    <t>E616</t>
  </si>
  <si>
    <t>E617</t>
  </si>
  <si>
    <t>E618</t>
  </si>
  <si>
    <t>E619</t>
  </si>
  <si>
    <t>E620</t>
  </si>
  <si>
    <t>E621</t>
  </si>
  <si>
    <t>E622</t>
  </si>
  <si>
    <t>E623</t>
  </si>
  <si>
    <t>E624</t>
  </si>
  <si>
    <t>E625</t>
  </si>
  <si>
    <t>E626</t>
  </si>
  <si>
    <t>E627</t>
  </si>
  <si>
    <t>E628</t>
  </si>
  <si>
    <t>E629</t>
  </si>
  <si>
    <t>E630</t>
  </si>
  <si>
    <t>E631</t>
  </si>
  <si>
    <t>E632</t>
  </si>
  <si>
    <t>E633</t>
  </si>
  <si>
    <t>E634</t>
  </si>
  <si>
    <t>E635</t>
  </si>
  <si>
    <t>E636</t>
  </si>
  <si>
    <t>E637</t>
  </si>
  <si>
    <t>E638</t>
  </si>
  <si>
    <t>E639</t>
  </si>
  <si>
    <t>E640</t>
  </si>
  <si>
    <t>E641</t>
  </si>
  <si>
    <t>E642</t>
  </si>
  <si>
    <t>E643</t>
  </si>
  <si>
    <t>E644</t>
  </si>
  <si>
    <t>E645</t>
  </si>
  <si>
    <t>E646</t>
  </si>
  <si>
    <t>E647</t>
  </si>
  <si>
    <t>E648</t>
  </si>
  <si>
    <t>E649</t>
  </si>
  <si>
    <t>E650</t>
  </si>
  <si>
    <t>E651</t>
  </si>
  <si>
    <t>E652</t>
  </si>
  <si>
    <t>E653</t>
  </si>
  <si>
    <t>E654</t>
  </si>
  <si>
    <t>E655</t>
  </si>
  <si>
    <t>E656</t>
  </si>
  <si>
    <t>E657</t>
  </si>
  <si>
    <t>E658</t>
  </si>
  <si>
    <t>E659</t>
  </si>
  <si>
    <t>E660</t>
  </si>
  <si>
    <t>E661</t>
  </si>
  <si>
    <t>E662</t>
  </si>
  <si>
    <t>E663</t>
  </si>
  <si>
    <t>E664</t>
  </si>
  <si>
    <t>E665</t>
  </si>
  <si>
    <t>E666</t>
  </si>
  <si>
    <t>E667</t>
  </si>
  <si>
    <t>E668</t>
  </si>
  <si>
    <t>E669</t>
  </si>
  <si>
    <t>E670</t>
  </si>
  <si>
    <t>E671</t>
  </si>
  <si>
    <t>E672</t>
  </si>
  <si>
    <t>E673</t>
  </si>
  <si>
    <t>E674</t>
  </si>
  <si>
    <t>E675</t>
  </si>
  <si>
    <t>E676</t>
  </si>
  <si>
    <t>E677</t>
  </si>
  <si>
    <t>E678</t>
  </si>
  <si>
    <t>E679</t>
  </si>
  <si>
    <t>E680</t>
  </si>
  <si>
    <t>E681</t>
  </si>
  <si>
    <t>E682</t>
  </si>
  <si>
    <t>E683</t>
  </si>
  <si>
    <t>E684</t>
  </si>
  <si>
    <t>E685</t>
  </si>
  <si>
    <t>E686</t>
  </si>
  <si>
    <t>E687</t>
  </si>
  <si>
    <t>E688</t>
  </si>
  <si>
    <t>E689</t>
  </si>
  <si>
    <t>E690</t>
  </si>
  <si>
    <t>E691</t>
  </si>
  <si>
    <t>E692</t>
  </si>
  <si>
    <t>E693</t>
  </si>
  <si>
    <t>E694</t>
  </si>
  <si>
    <t>E695</t>
  </si>
  <si>
    <t>E696</t>
  </si>
  <si>
    <t>E697</t>
  </si>
  <si>
    <t>E698</t>
  </si>
  <si>
    <t>E699</t>
  </si>
  <si>
    <t>E700</t>
  </si>
  <si>
    <t>E701</t>
  </si>
  <si>
    <t>E702</t>
  </si>
  <si>
    <t>E703</t>
  </si>
  <si>
    <t>E704</t>
  </si>
  <si>
    <t>E705</t>
  </si>
  <si>
    <t>E706</t>
  </si>
  <si>
    <t>E707</t>
  </si>
  <si>
    <t>E708</t>
  </si>
  <si>
    <t>E709</t>
  </si>
  <si>
    <t>E710</t>
  </si>
  <si>
    <t>E711</t>
  </si>
  <si>
    <t>E712</t>
  </si>
  <si>
    <t>E713</t>
  </si>
  <si>
    <t>E714</t>
  </si>
  <si>
    <t>E715</t>
  </si>
  <si>
    <t>E716</t>
  </si>
  <si>
    <t>E717</t>
  </si>
  <si>
    <t>E718</t>
  </si>
  <si>
    <t>E719</t>
  </si>
  <si>
    <t>E720</t>
  </si>
  <si>
    <t>E721</t>
  </si>
  <si>
    <t>E722</t>
  </si>
  <si>
    <t>E723</t>
  </si>
  <si>
    <t>E724</t>
  </si>
  <si>
    <t>E725</t>
  </si>
  <si>
    <t>E726</t>
  </si>
  <si>
    <t>E727</t>
  </si>
  <si>
    <t>E728</t>
  </si>
  <si>
    <t>E729</t>
  </si>
  <si>
    <t>E730</t>
  </si>
  <si>
    <t>E731</t>
  </si>
  <si>
    <t>E732</t>
  </si>
  <si>
    <t>E733</t>
  </si>
  <si>
    <t>E734</t>
  </si>
  <si>
    <t>E735</t>
  </si>
  <si>
    <t>E736</t>
  </si>
  <si>
    <t>E737</t>
  </si>
  <si>
    <t>E738</t>
  </si>
  <si>
    <t>E739</t>
  </si>
  <si>
    <t>E740</t>
  </si>
  <si>
    <t>E741</t>
  </si>
  <si>
    <t>E742</t>
  </si>
  <si>
    <t>E743</t>
  </si>
  <si>
    <t>E744</t>
  </si>
  <si>
    <t>E745</t>
  </si>
  <si>
    <t>E746</t>
  </si>
  <si>
    <t>E747</t>
  </si>
  <si>
    <t>E748</t>
  </si>
  <si>
    <t>E749</t>
  </si>
  <si>
    <t>E750</t>
  </si>
  <si>
    <t>E751</t>
  </si>
  <si>
    <t>E752</t>
  </si>
  <si>
    <t>E753</t>
  </si>
  <si>
    <t>E754</t>
  </si>
  <si>
    <t>E755</t>
  </si>
  <si>
    <t>E756</t>
  </si>
  <si>
    <t>E757</t>
  </si>
  <si>
    <t>E758</t>
  </si>
  <si>
    <t>E759</t>
  </si>
  <si>
    <t>E760</t>
  </si>
  <si>
    <t>E761</t>
  </si>
  <si>
    <t>E762</t>
  </si>
  <si>
    <t>E763</t>
  </si>
  <si>
    <t>E764</t>
  </si>
  <si>
    <t>E765</t>
  </si>
  <si>
    <t>E766</t>
  </si>
  <si>
    <t>E767</t>
  </si>
  <si>
    <t>E768</t>
  </si>
  <si>
    <t>E769</t>
  </si>
  <si>
    <t>E770</t>
  </si>
  <si>
    <t>E771</t>
  </si>
  <si>
    <t>E772</t>
  </si>
  <si>
    <t>E773</t>
  </si>
  <si>
    <t>E774</t>
  </si>
  <si>
    <t>E775</t>
  </si>
  <si>
    <t>E776</t>
  </si>
  <si>
    <t>E777</t>
  </si>
  <si>
    <t>E778</t>
  </si>
  <si>
    <t>E779</t>
  </si>
  <si>
    <t>E780</t>
  </si>
  <si>
    <t>E781</t>
  </si>
  <si>
    <t>E782</t>
  </si>
  <si>
    <t>E783</t>
  </si>
  <si>
    <t>E784</t>
  </si>
  <si>
    <t>E785</t>
  </si>
  <si>
    <t>E786</t>
  </si>
  <si>
    <t>E787</t>
  </si>
  <si>
    <t>E788</t>
  </si>
  <si>
    <t>E789</t>
  </si>
  <si>
    <t>E790</t>
  </si>
  <si>
    <t>E791</t>
  </si>
  <si>
    <t>E792</t>
  </si>
  <si>
    <t>E793</t>
  </si>
  <si>
    <t>E794</t>
  </si>
  <si>
    <t>E795</t>
  </si>
  <si>
    <t>E796</t>
  </si>
  <si>
    <t>E797</t>
  </si>
  <si>
    <t>E798</t>
  </si>
  <si>
    <t>E799</t>
  </si>
  <si>
    <t>E800</t>
  </si>
  <si>
    <t>E801</t>
  </si>
  <si>
    <t>E802</t>
  </si>
  <si>
    <t>E803</t>
  </si>
  <si>
    <t>E804</t>
  </si>
  <si>
    <t>E805</t>
  </si>
  <si>
    <t>E806</t>
  </si>
  <si>
    <t>E807</t>
  </si>
  <si>
    <t>E808</t>
  </si>
  <si>
    <t>E809</t>
  </si>
  <si>
    <t>E810</t>
  </si>
  <si>
    <t>E811</t>
  </si>
  <si>
    <t>E812</t>
  </si>
  <si>
    <t>E813</t>
  </si>
  <si>
    <t>E814</t>
  </si>
  <si>
    <t>E815</t>
  </si>
  <si>
    <t>E816</t>
  </si>
  <si>
    <t>E817</t>
  </si>
  <si>
    <t>E818</t>
  </si>
  <si>
    <t>E819</t>
  </si>
  <si>
    <t>E820</t>
  </si>
  <si>
    <t>E821</t>
  </si>
  <si>
    <t>E822</t>
  </si>
  <si>
    <t>E823</t>
  </si>
  <si>
    <t>E824</t>
  </si>
  <si>
    <t>E825</t>
  </si>
  <si>
    <t>E826</t>
  </si>
  <si>
    <t>E827</t>
  </si>
  <si>
    <t>E828</t>
  </si>
  <si>
    <t>E829</t>
  </si>
  <si>
    <t>E830</t>
  </si>
  <si>
    <t>E831</t>
  </si>
  <si>
    <t>E832</t>
  </si>
  <si>
    <t>E833</t>
  </si>
  <si>
    <t>E834</t>
  </si>
  <si>
    <t>E835</t>
  </si>
  <si>
    <t>E836</t>
  </si>
  <si>
    <t>E837</t>
  </si>
  <si>
    <t>E838</t>
  </si>
  <si>
    <t>E839</t>
  </si>
  <si>
    <t>E840</t>
  </si>
  <si>
    <t>E841</t>
  </si>
  <si>
    <t>E842</t>
  </si>
  <si>
    <t>E843</t>
  </si>
  <si>
    <t>E844</t>
  </si>
  <si>
    <t>E845</t>
  </si>
  <si>
    <t>E846</t>
  </si>
  <si>
    <t>E847</t>
  </si>
  <si>
    <t>E848</t>
  </si>
  <si>
    <t>E849</t>
  </si>
  <si>
    <t>E850</t>
  </si>
  <si>
    <t>E851</t>
  </si>
  <si>
    <t>E852</t>
  </si>
  <si>
    <t>E853</t>
  </si>
  <si>
    <t>E854</t>
  </si>
  <si>
    <t>E855</t>
  </si>
  <si>
    <t>E856</t>
  </si>
  <si>
    <t>E857</t>
  </si>
  <si>
    <t>E858</t>
  </si>
  <si>
    <t>E859</t>
  </si>
  <si>
    <t>E860</t>
  </si>
  <si>
    <t>E861</t>
  </si>
  <si>
    <t>E862</t>
  </si>
  <si>
    <t>E863</t>
  </si>
  <si>
    <t>E864</t>
  </si>
  <si>
    <t>E865</t>
  </si>
  <si>
    <t>E866</t>
  </si>
  <si>
    <t>E867</t>
  </si>
  <si>
    <t>E868</t>
  </si>
  <si>
    <t>E869</t>
  </si>
  <si>
    <t>E870</t>
  </si>
  <si>
    <t>E871</t>
  </si>
  <si>
    <t>E872</t>
  </si>
  <si>
    <t>E873</t>
  </si>
  <si>
    <t>E874</t>
  </si>
  <si>
    <t>E875</t>
  </si>
  <si>
    <t>E876</t>
  </si>
  <si>
    <t>E877</t>
  </si>
  <si>
    <t>E878</t>
  </si>
  <si>
    <t>E879</t>
  </si>
  <si>
    <t>E880</t>
  </si>
  <si>
    <t>E881</t>
  </si>
  <si>
    <t>E882</t>
  </si>
  <si>
    <t>E883</t>
  </si>
  <si>
    <t>E884</t>
  </si>
  <si>
    <t>E885</t>
  </si>
  <si>
    <t>E886</t>
  </si>
  <si>
    <t>E887</t>
  </si>
  <si>
    <t>E888</t>
  </si>
  <si>
    <t>E889</t>
  </si>
  <si>
    <t>E890</t>
  </si>
  <si>
    <t>E891</t>
  </si>
  <si>
    <t>E892</t>
  </si>
  <si>
    <t>E893</t>
  </si>
  <si>
    <t>E894</t>
  </si>
  <si>
    <t>E895</t>
  </si>
  <si>
    <t>E896</t>
  </si>
  <si>
    <t>E897</t>
  </si>
  <si>
    <t>E898</t>
  </si>
  <si>
    <t>E899</t>
  </si>
  <si>
    <t>E900</t>
  </si>
  <si>
    <t>Department</t>
  </si>
  <si>
    <t>Experience</t>
  </si>
  <si>
    <t>Metro_Type</t>
  </si>
  <si>
    <t>Join_Date</t>
  </si>
  <si>
    <t>Non-Metro</t>
  </si>
  <si>
    <t>Metro</t>
  </si>
  <si>
    <t>CTC</t>
  </si>
  <si>
    <t>Basic</t>
  </si>
  <si>
    <t>HRA</t>
  </si>
  <si>
    <t>Allowance</t>
  </si>
  <si>
    <t>Bonus</t>
  </si>
  <si>
    <t>PF</t>
  </si>
  <si>
    <t>ESI</t>
  </si>
  <si>
    <t>PT</t>
  </si>
  <si>
    <t>Annual</t>
  </si>
  <si>
    <t>Tax</t>
  </si>
  <si>
    <t>Monthly_TDS</t>
  </si>
  <si>
    <t>Rule</t>
  </si>
  <si>
    <t>Details</t>
  </si>
  <si>
    <t>Dept Salary Bands</t>
  </si>
  <si>
    <t>IT highest, Ops lowest</t>
  </si>
  <si>
    <t>Gender Pay Gap</t>
  </si>
  <si>
    <t>Female ~5% lower</t>
  </si>
  <si>
    <t>Metro HRA</t>
  </si>
  <si>
    <t>50% basic</t>
  </si>
  <si>
    <t>Non Metro HRA</t>
  </si>
  <si>
    <t>40% basic</t>
  </si>
  <si>
    <t>12% capped 1800</t>
  </si>
  <si>
    <t>&lt;=21000</t>
  </si>
  <si>
    <t>Tax Slabs</t>
  </si>
  <si>
    <t>0-2.5L 0%, 2.5-5L 5%, 5-10L 20%, 10L+ 30%</t>
  </si>
  <si>
    <t>Overtime Rule</t>
  </si>
  <si>
    <t>2x hourly wage for extra hours</t>
  </si>
  <si>
    <t>Hourly Rate Calculation</t>
  </si>
  <si>
    <t>Basic Salary / 160 hours per month</t>
  </si>
  <si>
    <t>--- Performance Analytics ---</t>
  </si>
  <si>
    <t>Value Generation Assumption</t>
  </si>
  <si>
    <t>Based on department multipliers (proxy model)</t>
  </si>
  <si>
    <t>Sales Multiplier</t>
  </si>
  <si>
    <t>~3x CTC</t>
  </si>
  <si>
    <t>IT Multiplier</t>
  </si>
  <si>
    <t>~2x CTC</t>
  </si>
  <si>
    <t>Finance Multiplier</t>
  </si>
  <si>
    <t>~1.5x CTC</t>
  </si>
  <si>
    <t>HR Multiplier</t>
  </si>
  <si>
    <t>~1.2x CTC</t>
  </si>
  <si>
    <t>Operations Multiplier</t>
  </si>
  <si>
    <t>~1.3x CTC</t>
  </si>
  <si>
    <t>Employer Cost</t>
  </si>
  <si>
    <t>CTC + PF + ESI + Overtime</t>
  </si>
  <si>
    <t>Net Value</t>
  </si>
  <si>
    <t>Value Generated - Employer Cost</t>
  </si>
  <si>
    <t>ROI</t>
  </si>
  <si>
    <t>Value Generated / Employer Cost</t>
  </si>
  <si>
    <t>Note</t>
  </si>
  <si>
    <t>Actual employee value cannot be directly measured; proxies are used</t>
  </si>
  <si>
    <t>Overtime_Hours</t>
  </si>
  <si>
    <t>Hourly_Rate</t>
  </si>
  <si>
    <t>OT_Pay</t>
  </si>
  <si>
    <t>Value_Generated</t>
  </si>
  <si>
    <t>Employer_Cost</t>
  </si>
  <si>
    <t>Net_Value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</si>
</sst>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01"/>
  <sheetViews>
    <sheetView workbookViewId="0"/>
  </sheetViews>
  <sheetFormatPr defaultRowHeight="14.5" x14ac:dyDescent="0.35"/>
  <sheetData>
    <row r="1" spans="1:8" x14ac:dyDescent="0.35">
      <c r="A1" t="s">
        <v>0</v>
      </c>
      <c r="B1" t="s">
        <v>3</v>
      </c>
      <c r="C1" t="s">
        <v>933</v>
      </c>
      <c r="D1" t="s">
        <v>2</v>
      </c>
      <c r="E1" t="s">
        <v>934</v>
      </c>
      <c r="F1" t="s">
        <v>5</v>
      </c>
      <c r="G1" t="s">
        <v>935</v>
      </c>
      <c r="H1" t="s">
        <v>936</v>
      </c>
    </row>
    <row r="2" spans="1:8" x14ac:dyDescent="0.35">
      <c r="A2" t="s">
        <v>14</v>
      </c>
      <c r="B2" t="s">
        <v>17</v>
      </c>
      <c r="C2" t="s">
        <v>15</v>
      </c>
      <c r="D2" t="s">
        <v>16</v>
      </c>
      <c r="E2">
        <v>7</v>
      </c>
      <c r="F2" t="s">
        <v>18</v>
      </c>
      <c r="G2" t="s">
        <v>937</v>
      </c>
      <c r="H2" s="1">
        <v>43459</v>
      </c>
    </row>
    <row r="3" spans="1:8" x14ac:dyDescent="0.35">
      <c r="A3" t="s">
        <v>19</v>
      </c>
      <c r="B3" t="s">
        <v>22</v>
      </c>
      <c r="C3" t="s">
        <v>20</v>
      </c>
      <c r="D3" t="s">
        <v>21</v>
      </c>
      <c r="E3">
        <v>14</v>
      </c>
      <c r="F3" t="s">
        <v>23</v>
      </c>
      <c r="G3" t="s">
        <v>938</v>
      </c>
      <c r="H3" s="1">
        <v>44206</v>
      </c>
    </row>
    <row r="4" spans="1:8" x14ac:dyDescent="0.35">
      <c r="A4" t="s">
        <v>24</v>
      </c>
      <c r="B4" t="s">
        <v>17</v>
      </c>
      <c r="C4" t="s">
        <v>15</v>
      </c>
      <c r="D4" t="s">
        <v>16</v>
      </c>
      <c r="E4">
        <v>8</v>
      </c>
      <c r="F4" t="s">
        <v>25</v>
      </c>
      <c r="G4" t="s">
        <v>937</v>
      </c>
      <c r="H4" s="1">
        <v>42452</v>
      </c>
    </row>
    <row r="5" spans="1:8" x14ac:dyDescent="0.35">
      <c r="A5" t="s">
        <v>26</v>
      </c>
      <c r="B5" t="s">
        <v>22</v>
      </c>
      <c r="C5" t="s">
        <v>27</v>
      </c>
      <c r="D5" t="s">
        <v>16</v>
      </c>
      <c r="E5">
        <v>11</v>
      </c>
      <c r="F5" t="s">
        <v>28</v>
      </c>
      <c r="G5" t="s">
        <v>937</v>
      </c>
      <c r="H5" s="1">
        <v>45247</v>
      </c>
    </row>
    <row r="6" spans="1:8" x14ac:dyDescent="0.35">
      <c r="A6" t="s">
        <v>29</v>
      </c>
      <c r="B6" t="s">
        <v>17</v>
      </c>
      <c r="C6" t="s">
        <v>30</v>
      </c>
      <c r="D6" t="s">
        <v>16</v>
      </c>
      <c r="E6">
        <v>5</v>
      </c>
      <c r="F6" t="s">
        <v>23</v>
      </c>
      <c r="G6" t="s">
        <v>938</v>
      </c>
      <c r="H6" s="1">
        <v>45546</v>
      </c>
    </row>
    <row r="7" spans="1:8" x14ac:dyDescent="0.35">
      <c r="A7" t="s">
        <v>31</v>
      </c>
      <c r="B7" t="s">
        <v>22</v>
      </c>
      <c r="C7" t="s">
        <v>20</v>
      </c>
      <c r="D7" t="s">
        <v>16</v>
      </c>
      <c r="E7">
        <v>2</v>
      </c>
      <c r="F7" t="s">
        <v>32</v>
      </c>
      <c r="G7" t="s">
        <v>938</v>
      </c>
      <c r="H7" s="1">
        <v>43575</v>
      </c>
    </row>
    <row r="8" spans="1:8" x14ac:dyDescent="0.35">
      <c r="A8" t="s">
        <v>33</v>
      </c>
      <c r="B8" t="s">
        <v>22</v>
      </c>
      <c r="C8" t="s">
        <v>27</v>
      </c>
      <c r="D8" t="s">
        <v>34</v>
      </c>
      <c r="E8">
        <v>11</v>
      </c>
      <c r="F8" t="s">
        <v>32</v>
      </c>
      <c r="G8" t="s">
        <v>938</v>
      </c>
      <c r="H8" s="1">
        <v>43170</v>
      </c>
    </row>
    <row r="9" spans="1:8" x14ac:dyDescent="0.35">
      <c r="A9" t="s">
        <v>35</v>
      </c>
      <c r="B9" t="s">
        <v>17</v>
      </c>
      <c r="C9" t="s">
        <v>36</v>
      </c>
      <c r="D9" t="s">
        <v>34</v>
      </c>
      <c r="E9">
        <v>3</v>
      </c>
      <c r="F9" t="s">
        <v>25</v>
      </c>
      <c r="G9" t="s">
        <v>937</v>
      </c>
      <c r="H9" s="1">
        <v>43882</v>
      </c>
    </row>
    <row r="10" spans="1:8" x14ac:dyDescent="0.35">
      <c r="A10" t="s">
        <v>37</v>
      </c>
      <c r="B10" t="s">
        <v>22</v>
      </c>
      <c r="C10" t="s">
        <v>36</v>
      </c>
      <c r="D10" t="s">
        <v>21</v>
      </c>
      <c r="E10">
        <v>10</v>
      </c>
      <c r="F10" t="s">
        <v>38</v>
      </c>
      <c r="G10" t="s">
        <v>937</v>
      </c>
      <c r="H10" s="1">
        <v>42262</v>
      </c>
    </row>
    <row r="11" spans="1:8" x14ac:dyDescent="0.35">
      <c r="A11" t="s">
        <v>39</v>
      </c>
      <c r="B11" t="s">
        <v>17</v>
      </c>
      <c r="C11" t="s">
        <v>20</v>
      </c>
      <c r="D11" t="s">
        <v>34</v>
      </c>
      <c r="E11">
        <v>6</v>
      </c>
      <c r="F11" t="s">
        <v>32</v>
      </c>
      <c r="G11" t="s">
        <v>938</v>
      </c>
      <c r="H11" s="1">
        <v>44856</v>
      </c>
    </row>
    <row r="12" spans="1:8" x14ac:dyDescent="0.35">
      <c r="A12" t="s">
        <v>40</v>
      </c>
      <c r="B12" t="s">
        <v>22</v>
      </c>
      <c r="C12" t="s">
        <v>27</v>
      </c>
      <c r="D12" t="s">
        <v>16</v>
      </c>
      <c r="E12">
        <v>6</v>
      </c>
      <c r="F12" t="s">
        <v>28</v>
      </c>
      <c r="G12" t="s">
        <v>937</v>
      </c>
      <c r="H12" s="1">
        <v>44713</v>
      </c>
    </row>
    <row r="13" spans="1:8" x14ac:dyDescent="0.35">
      <c r="A13" t="s">
        <v>41</v>
      </c>
      <c r="B13" t="s">
        <v>17</v>
      </c>
      <c r="C13" t="s">
        <v>30</v>
      </c>
      <c r="D13" t="s">
        <v>34</v>
      </c>
      <c r="E13">
        <v>7</v>
      </c>
      <c r="F13" t="s">
        <v>28</v>
      </c>
      <c r="G13" t="s">
        <v>937</v>
      </c>
      <c r="H13" s="1">
        <v>43492</v>
      </c>
    </row>
    <row r="14" spans="1:8" x14ac:dyDescent="0.35">
      <c r="A14" t="s">
        <v>42</v>
      </c>
      <c r="B14" t="s">
        <v>17</v>
      </c>
      <c r="C14" t="s">
        <v>15</v>
      </c>
      <c r="D14" t="s">
        <v>21</v>
      </c>
      <c r="E14">
        <v>14</v>
      </c>
      <c r="F14" t="s">
        <v>32</v>
      </c>
      <c r="G14" t="s">
        <v>938</v>
      </c>
      <c r="H14" s="1">
        <v>42608</v>
      </c>
    </row>
    <row r="15" spans="1:8" x14ac:dyDescent="0.35">
      <c r="A15" t="s">
        <v>43</v>
      </c>
      <c r="B15" t="s">
        <v>22</v>
      </c>
      <c r="C15" t="s">
        <v>15</v>
      </c>
      <c r="D15" t="s">
        <v>44</v>
      </c>
      <c r="E15">
        <v>11</v>
      </c>
      <c r="F15" t="s">
        <v>45</v>
      </c>
      <c r="G15" t="s">
        <v>938</v>
      </c>
      <c r="H15" s="1">
        <v>44194</v>
      </c>
    </row>
    <row r="16" spans="1:8" x14ac:dyDescent="0.35">
      <c r="A16" t="s">
        <v>46</v>
      </c>
      <c r="B16" t="s">
        <v>22</v>
      </c>
      <c r="C16" t="s">
        <v>36</v>
      </c>
      <c r="D16" t="s">
        <v>21</v>
      </c>
      <c r="E16">
        <v>8</v>
      </c>
      <c r="F16" t="s">
        <v>45</v>
      </c>
      <c r="G16" t="s">
        <v>938</v>
      </c>
      <c r="H16" s="1">
        <v>44607</v>
      </c>
    </row>
    <row r="17" spans="1:8" x14ac:dyDescent="0.35">
      <c r="A17" t="s">
        <v>47</v>
      </c>
      <c r="B17" t="s">
        <v>22</v>
      </c>
      <c r="C17" t="s">
        <v>36</v>
      </c>
      <c r="D17" t="s">
        <v>16</v>
      </c>
      <c r="E17">
        <v>11</v>
      </c>
      <c r="F17" t="s">
        <v>28</v>
      </c>
      <c r="G17" t="s">
        <v>937</v>
      </c>
      <c r="H17" s="1">
        <v>43083</v>
      </c>
    </row>
    <row r="18" spans="1:8" x14ac:dyDescent="0.35">
      <c r="A18" t="s">
        <v>48</v>
      </c>
      <c r="B18" t="s">
        <v>22</v>
      </c>
      <c r="C18" t="s">
        <v>27</v>
      </c>
      <c r="D18" t="s">
        <v>44</v>
      </c>
      <c r="E18">
        <v>0</v>
      </c>
      <c r="F18" t="s">
        <v>18</v>
      </c>
      <c r="G18" t="s">
        <v>937</v>
      </c>
      <c r="H18" s="1">
        <v>45347</v>
      </c>
    </row>
    <row r="19" spans="1:8" x14ac:dyDescent="0.35">
      <c r="A19" t="s">
        <v>49</v>
      </c>
      <c r="B19" t="s">
        <v>17</v>
      </c>
      <c r="C19" t="s">
        <v>36</v>
      </c>
      <c r="D19" t="s">
        <v>21</v>
      </c>
      <c r="E19">
        <v>3</v>
      </c>
      <c r="F19" t="s">
        <v>32</v>
      </c>
      <c r="G19" t="s">
        <v>938</v>
      </c>
      <c r="H19" s="1">
        <v>45589</v>
      </c>
    </row>
    <row r="20" spans="1:8" x14ac:dyDescent="0.35">
      <c r="A20" t="s">
        <v>50</v>
      </c>
      <c r="B20" t="s">
        <v>22</v>
      </c>
      <c r="C20" t="s">
        <v>15</v>
      </c>
      <c r="D20" t="s">
        <v>44</v>
      </c>
      <c r="E20">
        <v>15</v>
      </c>
      <c r="F20" t="s">
        <v>23</v>
      </c>
      <c r="G20" t="s">
        <v>938</v>
      </c>
      <c r="H20" s="1">
        <v>44824</v>
      </c>
    </row>
    <row r="21" spans="1:8" x14ac:dyDescent="0.35">
      <c r="A21" t="s">
        <v>51</v>
      </c>
      <c r="B21" t="s">
        <v>17</v>
      </c>
      <c r="C21" t="s">
        <v>36</v>
      </c>
      <c r="D21" t="s">
        <v>34</v>
      </c>
      <c r="E21">
        <v>1</v>
      </c>
      <c r="F21" t="s">
        <v>18</v>
      </c>
      <c r="G21" t="s">
        <v>937</v>
      </c>
      <c r="H21" s="1">
        <v>44114</v>
      </c>
    </row>
    <row r="22" spans="1:8" x14ac:dyDescent="0.35">
      <c r="A22" t="s">
        <v>52</v>
      </c>
      <c r="B22" t="s">
        <v>17</v>
      </c>
      <c r="C22" t="s">
        <v>36</v>
      </c>
      <c r="D22" t="s">
        <v>16</v>
      </c>
      <c r="E22">
        <v>6</v>
      </c>
      <c r="F22" t="s">
        <v>23</v>
      </c>
      <c r="G22" t="s">
        <v>938</v>
      </c>
      <c r="H22" s="1">
        <v>43296</v>
      </c>
    </row>
    <row r="23" spans="1:8" x14ac:dyDescent="0.35">
      <c r="A23" t="s">
        <v>53</v>
      </c>
      <c r="B23" t="s">
        <v>17</v>
      </c>
      <c r="C23" t="s">
        <v>20</v>
      </c>
      <c r="D23" t="s">
        <v>21</v>
      </c>
      <c r="E23">
        <v>8</v>
      </c>
      <c r="F23" t="s">
        <v>25</v>
      </c>
      <c r="G23" t="s">
        <v>937</v>
      </c>
      <c r="H23" s="1">
        <v>42524</v>
      </c>
    </row>
    <row r="24" spans="1:8" x14ac:dyDescent="0.35">
      <c r="A24" t="s">
        <v>54</v>
      </c>
      <c r="B24" t="s">
        <v>17</v>
      </c>
      <c r="C24" t="s">
        <v>20</v>
      </c>
      <c r="D24" t="s">
        <v>34</v>
      </c>
      <c r="E24">
        <v>8</v>
      </c>
      <c r="F24" t="s">
        <v>45</v>
      </c>
      <c r="G24" t="s">
        <v>938</v>
      </c>
      <c r="H24" s="1">
        <v>42149</v>
      </c>
    </row>
    <row r="25" spans="1:8" x14ac:dyDescent="0.35">
      <c r="A25" t="s">
        <v>55</v>
      </c>
      <c r="B25" t="s">
        <v>22</v>
      </c>
      <c r="C25" t="s">
        <v>36</v>
      </c>
      <c r="D25" t="s">
        <v>44</v>
      </c>
      <c r="E25">
        <v>9</v>
      </c>
      <c r="F25" t="s">
        <v>38</v>
      </c>
      <c r="G25" t="s">
        <v>937</v>
      </c>
      <c r="H25" s="1">
        <v>44311</v>
      </c>
    </row>
    <row r="26" spans="1:8" x14ac:dyDescent="0.35">
      <c r="A26" t="s">
        <v>56</v>
      </c>
      <c r="B26" t="s">
        <v>22</v>
      </c>
      <c r="C26" t="s">
        <v>27</v>
      </c>
      <c r="D26" t="s">
        <v>16</v>
      </c>
      <c r="E26">
        <v>14</v>
      </c>
      <c r="F26" t="s">
        <v>38</v>
      </c>
      <c r="G26" t="s">
        <v>937</v>
      </c>
      <c r="H26" s="1">
        <v>45118</v>
      </c>
    </row>
    <row r="27" spans="1:8" x14ac:dyDescent="0.35">
      <c r="A27" t="s">
        <v>57</v>
      </c>
      <c r="B27" t="s">
        <v>17</v>
      </c>
      <c r="C27" t="s">
        <v>15</v>
      </c>
      <c r="D27" t="s">
        <v>34</v>
      </c>
      <c r="E27">
        <v>7</v>
      </c>
      <c r="F27" t="s">
        <v>23</v>
      </c>
      <c r="G27" t="s">
        <v>938</v>
      </c>
      <c r="H27" s="1">
        <v>43933</v>
      </c>
    </row>
    <row r="28" spans="1:8" x14ac:dyDescent="0.35">
      <c r="A28" t="s">
        <v>58</v>
      </c>
      <c r="B28" t="s">
        <v>22</v>
      </c>
      <c r="C28" t="s">
        <v>27</v>
      </c>
      <c r="D28" t="s">
        <v>34</v>
      </c>
      <c r="E28">
        <v>1</v>
      </c>
      <c r="F28" t="s">
        <v>38</v>
      </c>
      <c r="G28" t="s">
        <v>937</v>
      </c>
      <c r="H28" s="1">
        <v>43894</v>
      </c>
    </row>
    <row r="29" spans="1:8" x14ac:dyDescent="0.35">
      <c r="A29" t="s">
        <v>59</v>
      </c>
      <c r="B29" t="s">
        <v>22</v>
      </c>
      <c r="C29" t="s">
        <v>15</v>
      </c>
      <c r="D29" t="s">
        <v>21</v>
      </c>
      <c r="E29">
        <v>0</v>
      </c>
      <c r="F29" t="s">
        <v>32</v>
      </c>
      <c r="G29" t="s">
        <v>938</v>
      </c>
      <c r="H29" s="1">
        <v>45650</v>
      </c>
    </row>
    <row r="30" spans="1:8" x14ac:dyDescent="0.35">
      <c r="A30" t="s">
        <v>60</v>
      </c>
      <c r="B30" t="s">
        <v>22</v>
      </c>
      <c r="C30" t="s">
        <v>30</v>
      </c>
      <c r="D30" t="s">
        <v>21</v>
      </c>
      <c r="E30">
        <v>0</v>
      </c>
      <c r="F30" t="s">
        <v>28</v>
      </c>
      <c r="G30" t="s">
        <v>937</v>
      </c>
      <c r="H30" s="1">
        <v>43179</v>
      </c>
    </row>
    <row r="31" spans="1:8" x14ac:dyDescent="0.35">
      <c r="A31" t="s">
        <v>61</v>
      </c>
      <c r="B31" t="s">
        <v>22</v>
      </c>
      <c r="C31" t="s">
        <v>15</v>
      </c>
      <c r="D31" t="s">
        <v>16</v>
      </c>
      <c r="E31">
        <v>8</v>
      </c>
      <c r="F31" t="s">
        <v>32</v>
      </c>
      <c r="G31" t="s">
        <v>938</v>
      </c>
      <c r="H31" s="1">
        <v>44821</v>
      </c>
    </row>
    <row r="32" spans="1:8" x14ac:dyDescent="0.35">
      <c r="A32" t="s">
        <v>62</v>
      </c>
      <c r="B32" t="s">
        <v>17</v>
      </c>
      <c r="C32" t="s">
        <v>20</v>
      </c>
      <c r="D32" t="s">
        <v>44</v>
      </c>
      <c r="E32">
        <v>13</v>
      </c>
      <c r="F32" t="s">
        <v>28</v>
      </c>
      <c r="G32" t="s">
        <v>937</v>
      </c>
      <c r="H32" s="1">
        <v>42845</v>
      </c>
    </row>
    <row r="33" spans="1:8" x14ac:dyDescent="0.35">
      <c r="A33" t="s">
        <v>63</v>
      </c>
      <c r="B33" t="s">
        <v>17</v>
      </c>
      <c r="C33" t="s">
        <v>36</v>
      </c>
      <c r="D33" t="s">
        <v>21</v>
      </c>
      <c r="E33">
        <v>5</v>
      </c>
      <c r="F33" t="s">
        <v>18</v>
      </c>
      <c r="G33" t="s">
        <v>937</v>
      </c>
      <c r="H33" s="1">
        <v>45078</v>
      </c>
    </row>
    <row r="34" spans="1:8" x14ac:dyDescent="0.35">
      <c r="A34" t="s">
        <v>64</v>
      </c>
      <c r="B34" t="s">
        <v>17</v>
      </c>
      <c r="C34" t="s">
        <v>20</v>
      </c>
      <c r="D34" t="s">
        <v>44</v>
      </c>
      <c r="E34">
        <v>15</v>
      </c>
      <c r="F34" t="s">
        <v>28</v>
      </c>
      <c r="G34" t="s">
        <v>937</v>
      </c>
      <c r="H34" s="1">
        <v>42874</v>
      </c>
    </row>
    <row r="35" spans="1:8" x14ac:dyDescent="0.35">
      <c r="A35" t="s">
        <v>65</v>
      </c>
      <c r="B35" t="s">
        <v>22</v>
      </c>
      <c r="C35" t="s">
        <v>20</v>
      </c>
      <c r="D35" t="s">
        <v>44</v>
      </c>
      <c r="E35">
        <v>1</v>
      </c>
      <c r="F35" t="s">
        <v>28</v>
      </c>
      <c r="G35" t="s">
        <v>937</v>
      </c>
      <c r="H35" s="1">
        <v>45225</v>
      </c>
    </row>
    <row r="36" spans="1:8" x14ac:dyDescent="0.35">
      <c r="A36" t="s">
        <v>66</v>
      </c>
      <c r="B36" t="s">
        <v>22</v>
      </c>
      <c r="C36" t="s">
        <v>27</v>
      </c>
      <c r="D36" t="s">
        <v>16</v>
      </c>
      <c r="E36">
        <v>6</v>
      </c>
      <c r="F36" t="s">
        <v>18</v>
      </c>
      <c r="G36" t="s">
        <v>937</v>
      </c>
      <c r="H36" s="1">
        <v>42408</v>
      </c>
    </row>
    <row r="37" spans="1:8" x14ac:dyDescent="0.35">
      <c r="A37" t="s">
        <v>67</v>
      </c>
      <c r="B37" t="s">
        <v>22</v>
      </c>
      <c r="C37" t="s">
        <v>36</v>
      </c>
      <c r="D37" t="s">
        <v>16</v>
      </c>
      <c r="E37">
        <v>3</v>
      </c>
      <c r="F37" t="s">
        <v>18</v>
      </c>
      <c r="G37" t="s">
        <v>937</v>
      </c>
      <c r="H37" s="1">
        <v>43104</v>
      </c>
    </row>
    <row r="38" spans="1:8" x14ac:dyDescent="0.35">
      <c r="A38" t="s">
        <v>68</v>
      </c>
      <c r="B38" t="s">
        <v>17</v>
      </c>
      <c r="C38" t="s">
        <v>36</v>
      </c>
      <c r="D38" t="s">
        <v>16</v>
      </c>
      <c r="E38">
        <v>1</v>
      </c>
      <c r="F38" t="s">
        <v>23</v>
      </c>
      <c r="G38" t="s">
        <v>938</v>
      </c>
      <c r="H38" s="1">
        <v>42492</v>
      </c>
    </row>
    <row r="39" spans="1:8" x14ac:dyDescent="0.35">
      <c r="A39" t="s">
        <v>69</v>
      </c>
      <c r="B39" t="s">
        <v>22</v>
      </c>
      <c r="C39" t="s">
        <v>20</v>
      </c>
      <c r="D39" t="s">
        <v>21</v>
      </c>
      <c r="E39">
        <v>3</v>
      </c>
      <c r="F39" t="s">
        <v>45</v>
      </c>
      <c r="G39" t="s">
        <v>938</v>
      </c>
      <c r="H39" s="1">
        <v>43547</v>
      </c>
    </row>
    <row r="40" spans="1:8" x14ac:dyDescent="0.35">
      <c r="A40" t="s">
        <v>70</v>
      </c>
      <c r="B40" t="s">
        <v>22</v>
      </c>
      <c r="C40" t="s">
        <v>30</v>
      </c>
      <c r="D40" t="s">
        <v>34</v>
      </c>
      <c r="E40">
        <v>6</v>
      </c>
      <c r="F40" t="s">
        <v>71</v>
      </c>
      <c r="G40" t="s">
        <v>938</v>
      </c>
      <c r="H40" s="1">
        <v>43907</v>
      </c>
    </row>
    <row r="41" spans="1:8" x14ac:dyDescent="0.35">
      <c r="A41" t="s">
        <v>72</v>
      </c>
      <c r="B41" t="s">
        <v>17</v>
      </c>
      <c r="C41" t="s">
        <v>15</v>
      </c>
      <c r="D41" t="s">
        <v>21</v>
      </c>
      <c r="E41">
        <v>5</v>
      </c>
      <c r="F41" t="s">
        <v>45</v>
      </c>
      <c r="G41" t="s">
        <v>938</v>
      </c>
      <c r="H41" s="1">
        <v>43413</v>
      </c>
    </row>
    <row r="42" spans="1:8" x14ac:dyDescent="0.35">
      <c r="A42" t="s">
        <v>73</v>
      </c>
      <c r="B42" t="s">
        <v>17</v>
      </c>
      <c r="C42" t="s">
        <v>20</v>
      </c>
      <c r="D42" t="s">
        <v>34</v>
      </c>
      <c r="E42">
        <v>6</v>
      </c>
      <c r="F42" t="s">
        <v>32</v>
      </c>
      <c r="G42" t="s">
        <v>938</v>
      </c>
      <c r="H42" s="1">
        <v>43865</v>
      </c>
    </row>
    <row r="43" spans="1:8" x14ac:dyDescent="0.35">
      <c r="A43" t="s">
        <v>74</v>
      </c>
      <c r="B43" t="s">
        <v>17</v>
      </c>
      <c r="C43" t="s">
        <v>30</v>
      </c>
      <c r="D43" t="s">
        <v>21</v>
      </c>
      <c r="E43">
        <v>6</v>
      </c>
      <c r="F43" t="s">
        <v>28</v>
      </c>
      <c r="G43" t="s">
        <v>937</v>
      </c>
      <c r="H43" s="1">
        <v>43200</v>
      </c>
    </row>
    <row r="44" spans="1:8" x14ac:dyDescent="0.35">
      <c r="A44" t="s">
        <v>75</v>
      </c>
      <c r="B44" t="s">
        <v>17</v>
      </c>
      <c r="C44" t="s">
        <v>36</v>
      </c>
      <c r="D44" t="s">
        <v>44</v>
      </c>
      <c r="E44">
        <v>13</v>
      </c>
      <c r="F44" t="s">
        <v>28</v>
      </c>
      <c r="G44" t="s">
        <v>937</v>
      </c>
      <c r="H44" s="1">
        <v>45159</v>
      </c>
    </row>
    <row r="45" spans="1:8" x14ac:dyDescent="0.35">
      <c r="A45" t="s">
        <v>76</v>
      </c>
      <c r="B45" t="s">
        <v>17</v>
      </c>
      <c r="C45" t="s">
        <v>15</v>
      </c>
      <c r="D45" t="s">
        <v>16</v>
      </c>
      <c r="E45">
        <v>0</v>
      </c>
      <c r="F45" t="s">
        <v>45</v>
      </c>
      <c r="G45" t="s">
        <v>938</v>
      </c>
      <c r="H45" s="1">
        <v>43506</v>
      </c>
    </row>
    <row r="46" spans="1:8" x14ac:dyDescent="0.35">
      <c r="A46" t="s">
        <v>77</v>
      </c>
      <c r="B46" t="s">
        <v>17</v>
      </c>
      <c r="C46" t="s">
        <v>30</v>
      </c>
      <c r="D46" t="s">
        <v>21</v>
      </c>
      <c r="E46">
        <v>10</v>
      </c>
      <c r="F46" t="s">
        <v>45</v>
      </c>
      <c r="G46" t="s">
        <v>938</v>
      </c>
      <c r="H46" s="1">
        <v>42071</v>
      </c>
    </row>
    <row r="47" spans="1:8" x14ac:dyDescent="0.35">
      <c r="A47" t="s">
        <v>78</v>
      </c>
      <c r="B47" t="s">
        <v>17</v>
      </c>
      <c r="C47" t="s">
        <v>27</v>
      </c>
      <c r="D47" t="s">
        <v>21</v>
      </c>
      <c r="E47">
        <v>12</v>
      </c>
      <c r="F47" t="s">
        <v>18</v>
      </c>
      <c r="G47" t="s">
        <v>937</v>
      </c>
      <c r="H47" s="1">
        <v>45478</v>
      </c>
    </row>
    <row r="48" spans="1:8" x14ac:dyDescent="0.35">
      <c r="A48" t="s">
        <v>79</v>
      </c>
      <c r="B48" t="s">
        <v>17</v>
      </c>
      <c r="C48" t="s">
        <v>27</v>
      </c>
      <c r="D48" t="s">
        <v>34</v>
      </c>
      <c r="E48">
        <v>7</v>
      </c>
      <c r="F48" t="s">
        <v>25</v>
      </c>
      <c r="G48" t="s">
        <v>937</v>
      </c>
      <c r="H48" s="1">
        <v>44383</v>
      </c>
    </row>
    <row r="49" spans="1:8" x14ac:dyDescent="0.35">
      <c r="A49" t="s">
        <v>80</v>
      </c>
      <c r="B49" t="s">
        <v>17</v>
      </c>
      <c r="C49" t="s">
        <v>15</v>
      </c>
      <c r="D49" t="s">
        <v>21</v>
      </c>
      <c r="E49">
        <v>9</v>
      </c>
      <c r="F49" t="s">
        <v>25</v>
      </c>
      <c r="G49" t="s">
        <v>937</v>
      </c>
      <c r="H49" s="1">
        <v>42645</v>
      </c>
    </row>
    <row r="50" spans="1:8" x14ac:dyDescent="0.35">
      <c r="A50" t="s">
        <v>81</v>
      </c>
      <c r="B50" t="s">
        <v>22</v>
      </c>
      <c r="C50" t="s">
        <v>36</v>
      </c>
      <c r="D50" t="s">
        <v>16</v>
      </c>
      <c r="E50">
        <v>15</v>
      </c>
      <c r="F50" t="s">
        <v>32</v>
      </c>
      <c r="G50" t="s">
        <v>938</v>
      </c>
      <c r="H50" s="1">
        <v>43038</v>
      </c>
    </row>
    <row r="51" spans="1:8" x14ac:dyDescent="0.35">
      <c r="A51" t="s">
        <v>82</v>
      </c>
      <c r="B51" t="s">
        <v>17</v>
      </c>
      <c r="C51" t="s">
        <v>30</v>
      </c>
      <c r="D51" t="s">
        <v>16</v>
      </c>
      <c r="E51">
        <v>12</v>
      </c>
      <c r="F51" t="s">
        <v>71</v>
      </c>
      <c r="G51" t="s">
        <v>938</v>
      </c>
      <c r="H51" s="1">
        <v>44117</v>
      </c>
    </row>
    <row r="52" spans="1:8" x14ac:dyDescent="0.35">
      <c r="A52" t="s">
        <v>83</v>
      </c>
      <c r="B52" t="s">
        <v>17</v>
      </c>
      <c r="C52" t="s">
        <v>20</v>
      </c>
      <c r="D52" t="s">
        <v>44</v>
      </c>
      <c r="E52">
        <v>11</v>
      </c>
      <c r="F52" t="s">
        <v>71</v>
      </c>
      <c r="G52" t="s">
        <v>938</v>
      </c>
      <c r="H52" s="1">
        <v>42383</v>
      </c>
    </row>
    <row r="53" spans="1:8" x14ac:dyDescent="0.35">
      <c r="A53" t="s">
        <v>84</v>
      </c>
      <c r="B53" t="s">
        <v>17</v>
      </c>
      <c r="C53" t="s">
        <v>30</v>
      </c>
      <c r="D53" t="s">
        <v>16</v>
      </c>
      <c r="E53">
        <v>1</v>
      </c>
      <c r="F53" t="s">
        <v>71</v>
      </c>
      <c r="G53" t="s">
        <v>938</v>
      </c>
      <c r="H53" s="1">
        <v>44247</v>
      </c>
    </row>
    <row r="54" spans="1:8" x14ac:dyDescent="0.35">
      <c r="A54" t="s">
        <v>85</v>
      </c>
      <c r="B54" t="s">
        <v>17</v>
      </c>
      <c r="C54" t="s">
        <v>20</v>
      </c>
      <c r="D54" t="s">
        <v>44</v>
      </c>
      <c r="E54">
        <v>5</v>
      </c>
      <c r="F54" t="s">
        <v>32</v>
      </c>
      <c r="G54" t="s">
        <v>938</v>
      </c>
      <c r="H54" s="1">
        <v>44988</v>
      </c>
    </row>
    <row r="55" spans="1:8" x14ac:dyDescent="0.35">
      <c r="A55" t="s">
        <v>86</v>
      </c>
      <c r="B55" t="s">
        <v>17</v>
      </c>
      <c r="C55" t="s">
        <v>30</v>
      </c>
      <c r="D55" t="s">
        <v>16</v>
      </c>
      <c r="E55">
        <v>4</v>
      </c>
      <c r="F55" t="s">
        <v>32</v>
      </c>
      <c r="G55" t="s">
        <v>938</v>
      </c>
      <c r="H55" s="1">
        <v>42937</v>
      </c>
    </row>
    <row r="56" spans="1:8" x14ac:dyDescent="0.35">
      <c r="A56" t="s">
        <v>87</v>
      </c>
      <c r="B56" t="s">
        <v>22</v>
      </c>
      <c r="C56" t="s">
        <v>30</v>
      </c>
      <c r="D56" t="s">
        <v>16</v>
      </c>
      <c r="E56">
        <v>13</v>
      </c>
      <c r="F56" t="s">
        <v>23</v>
      </c>
      <c r="G56" t="s">
        <v>938</v>
      </c>
      <c r="H56" s="1">
        <v>42447</v>
      </c>
    </row>
    <row r="57" spans="1:8" x14ac:dyDescent="0.35">
      <c r="A57" t="s">
        <v>88</v>
      </c>
      <c r="B57" t="s">
        <v>22</v>
      </c>
      <c r="C57" t="s">
        <v>20</v>
      </c>
      <c r="D57" t="s">
        <v>16</v>
      </c>
      <c r="E57">
        <v>8</v>
      </c>
      <c r="F57" t="s">
        <v>18</v>
      </c>
      <c r="G57" t="s">
        <v>937</v>
      </c>
      <c r="H57" s="1">
        <v>43633</v>
      </c>
    </row>
    <row r="58" spans="1:8" x14ac:dyDescent="0.35">
      <c r="A58" t="s">
        <v>89</v>
      </c>
      <c r="B58" t="s">
        <v>17</v>
      </c>
      <c r="C58" t="s">
        <v>27</v>
      </c>
      <c r="D58" t="s">
        <v>16</v>
      </c>
      <c r="E58">
        <v>12</v>
      </c>
      <c r="F58" t="s">
        <v>23</v>
      </c>
      <c r="G58" t="s">
        <v>938</v>
      </c>
      <c r="H58" s="1">
        <v>44845</v>
      </c>
    </row>
    <row r="59" spans="1:8" x14ac:dyDescent="0.35">
      <c r="A59" t="s">
        <v>90</v>
      </c>
      <c r="B59" t="s">
        <v>22</v>
      </c>
      <c r="C59" t="s">
        <v>27</v>
      </c>
      <c r="D59" t="s">
        <v>16</v>
      </c>
      <c r="E59">
        <v>4</v>
      </c>
      <c r="F59" t="s">
        <v>38</v>
      </c>
      <c r="G59" t="s">
        <v>937</v>
      </c>
      <c r="H59" s="1">
        <v>42644</v>
      </c>
    </row>
    <row r="60" spans="1:8" x14ac:dyDescent="0.35">
      <c r="A60" t="s">
        <v>91</v>
      </c>
      <c r="B60" t="s">
        <v>22</v>
      </c>
      <c r="C60" t="s">
        <v>20</v>
      </c>
      <c r="D60" t="s">
        <v>34</v>
      </c>
      <c r="E60">
        <v>13</v>
      </c>
      <c r="F60" t="s">
        <v>28</v>
      </c>
      <c r="G60" t="s">
        <v>937</v>
      </c>
      <c r="H60" s="1">
        <v>45065</v>
      </c>
    </row>
    <row r="61" spans="1:8" x14ac:dyDescent="0.35">
      <c r="A61" t="s">
        <v>92</v>
      </c>
      <c r="B61" t="s">
        <v>22</v>
      </c>
      <c r="C61" t="s">
        <v>27</v>
      </c>
      <c r="D61" t="s">
        <v>44</v>
      </c>
      <c r="E61">
        <v>0</v>
      </c>
      <c r="F61" t="s">
        <v>45</v>
      </c>
      <c r="G61" t="s">
        <v>938</v>
      </c>
      <c r="H61" s="1">
        <v>44089</v>
      </c>
    </row>
    <row r="62" spans="1:8" x14ac:dyDescent="0.35">
      <c r="A62" t="s">
        <v>93</v>
      </c>
      <c r="B62" t="s">
        <v>17</v>
      </c>
      <c r="C62" t="s">
        <v>27</v>
      </c>
      <c r="D62" t="s">
        <v>16</v>
      </c>
      <c r="E62">
        <v>1</v>
      </c>
      <c r="F62" t="s">
        <v>32</v>
      </c>
      <c r="G62" t="s">
        <v>938</v>
      </c>
      <c r="H62" s="1">
        <v>42835</v>
      </c>
    </row>
    <row r="63" spans="1:8" x14ac:dyDescent="0.35">
      <c r="A63" t="s">
        <v>94</v>
      </c>
      <c r="B63" t="s">
        <v>22</v>
      </c>
      <c r="C63" t="s">
        <v>30</v>
      </c>
      <c r="D63" t="s">
        <v>21</v>
      </c>
      <c r="E63">
        <v>9</v>
      </c>
      <c r="F63" t="s">
        <v>45</v>
      </c>
      <c r="G63" t="s">
        <v>938</v>
      </c>
      <c r="H63" s="1">
        <v>42924</v>
      </c>
    </row>
    <row r="64" spans="1:8" x14ac:dyDescent="0.35">
      <c r="A64" t="s">
        <v>95</v>
      </c>
      <c r="B64" t="s">
        <v>22</v>
      </c>
      <c r="C64" t="s">
        <v>15</v>
      </c>
      <c r="D64" t="s">
        <v>44</v>
      </c>
      <c r="E64">
        <v>11</v>
      </c>
      <c r="F64" t="s">
        <v>28</v>
      </c>
      <c r="G64" t="s">
        <v>937</v>
      </c>
      <c r="H64" s="1">
        <v>45272</v>
      </c>
    </row>
    <row r="65" spans="1:8" x14ac:dyDescent="0.35">
      <c r="A65" t="s">
        <v>96</v>
      </c>
      <c r="B65" t="s">
        <v>17</v>
      </c>
      <c r="C65" t="s">
        <v>27</v>
      </c>
      <c r="D65" t="s">
        <v>21</v>
      </c>
      <c r="E65">
        <v>1</v>
      </c>
      <c r="F65" t="s">
        <v>23</v>
      </c>
      <c r="G65" t="s">
        <v>938</v>
      </c>
      <c r="H65" s="1">
        <v>43365</v>
      </c>
    </row>
    <row r="66" spans="1:8" x14ac:dyDescent="0.35">
      <c r="A66" t="s">
        <v>97</v>
      </c>
      <c r="B66" t="s">
        <v>17</v>
      </c>
      <c r="C66" t="s">
        <v>27</v>
      </c>
      <c r="D66" t="s">
        <v>44</v>
      </c>
      <c r="E66">
        <v>15</v>
      </c>
      <c r="F66" t="s">
        <v>38</v>
      </c>
      <c r="G66" t="s">
        <v>937</v>
      </c>
      <c r="H66" s="1">
        <v>43596</v>
      </c>
    </row>
    <row r="67" spans="1:8" x14ac:dyDescent="0.35">
      <c r="A67" t="s">
        <v>98</v>
      </c>
      <c r="B67" t="s">
        <v>17</v>
      </c>
      <c r="C67" t="s">
        <v>20</v>
      </c>
      <c r="D67" t="s">
        <v>21</v>
      </c>
      <c r="E67">
        <v>15</v>
      </c>
      <c r="F67" t="s">
        <v>45</v>
      </c>
      <c r="G67" t="s">
        <v>938</v>
      </c>
      <c r="H67" s="1">
        <v>42514</v>
      </c>
    </row>
    <row r="68" spans="1:8" x14ac:dyDescent="0.35">
      <c r="A68" t="s">
        <v>99</v>
      </c>
      <c r="B68" t="s">
        <v>17</v>
      </c>
      <c r="C68" t="s">
        <v>36</v>
      </c>
      <c r="D68" t="s">
        <v>34</v>
      </c>
      <c r="E68">
        <v>0</v>
      </c>
      <c r="F68" t="s">
        <v>32</v>
      </c>
      <c r="G68" t="s">
        <v>938</v>
      </c>
      <c r="H68" s="1">
        <v>44464</v>
      </c>
    </row>
    <row r="69" spans="1:8" x14ac:dyDescent="0.35">
      <c r="A69" t="s">
        <v>100</v>
      </c>
      <c r="B69" t="s">
        <v>22</v>
      </c>
      <c r="C69" t="s">
        <v>27</v>
      </c>
      <c r="D69" t="s">
        <v>21</v>
      </c>
      <c r="E69">
        <v>9</v>
      </c>
      <c r="F69" t="s">
        <v>28</v>
      </c>
      <c r="G69" t="s">
        <v>937</v>
      </c>
      <c r="H69" s="1">
        <v>44266</v>
      </c>
    </row>
    <row r="70" spans="1:8" x14ac:dyDescent="0.35">
      <c r="A70" t="s">
        <v>101</v>
      </c>
      <c r="B70" t="s">
        <v>22</v>
      </c>
      <c r="C70" t="s">
        <v>15</v>
      </c>
      <c r="D70" t="s">
        <v>16</v>
      </c>
      <c r="E70">
        <v>10</v>
      </c>
      <c r="F70" t="s">
        <v>23</v>
      </c>
      <c r="G70" t="s">
        <v>938</v>
      </c>
      <c r="H70" s="1">
        <v>43015</v>
      </c>
    </row>
    <row r="71" spans="1:8" x14ac:dyDescent="0.35">
      <c r="A71" t="s">
        <v>102</v>
      </c>
      <c r="B71" t="s">
        <v>22</v>
      </c>
      <c r="C71" t="s">
        <v>36</v>
      </c>
      <c r="D71" t="s">
        <v>21</v>
      </c>
      <c r="E71">
        <v>1</v>
      </c>
      <c r="F71" t="s">
        <v>38</v>
      </c>
      <c r="G71" t="s">
        <v>937</v>
      </c>
      <c r="H71" s="1">
        <v>44198</v>
      </c>
    </row>
    <row r="72" spans="1:8" x14ac:dyDescent="0.35">
      <c r="A72" t="s">
        <v>103</v>
      </c>
      <c r="B72" t="s">
        <v>17</v>
      </c>
      <c r="C72" t="s">
        <v>36</v>
      </c>
      <c r="D72" t="s">
        <v>21</v>
      </c>
      <c r="E72">
        <v>9</v>
      </c>
      <c r="F72" t="s">
        <v>25</v>
      </c>
      <c r="G72" t="s">
        <v>937</v>
      </c>
      <c r="H72" s="1">
        <v>43800</v>
      </c>
    </row>
    <row r="73" spans="1:8" x14ac:dyDescent="0.35">
      <c r="A73" t="s">
        <v>104</v>
      </c>
      <c r="B73" t="s">
        <v>22</v>
      </c>
      <c r="C73" t="s">
        <v>20</v>
      </c>
      <c r="D73" t="s">
        <v>44</v>
      </c>
      <c r="E73">
        <v>14</v>
      </c>
      <c r="F73" t="s">
        <v>23</v>
      </c>
      <c r="G73" t="s">
        <v>938</v>
      </c>
      <c r="H73" s="1">
        <v>43153</v>
      </c>
    </row>
    <row r="74" spans="1:8" x14ac:dyDescent="0.35">
      <c r="A74" t="s">
        <v>105</v>
      </c>
      <c r="B74" t="s">
        <v>22</v>
      </c>
      <c r="C74" t="s">
        <v>27</v>
      </c>
      <c r="D74" t="s">
        <v>34</v>
      </c>
      <c r="E74">
        <v>12</v>
      </c>
      <c r="F74" t="s">
        <v>18</v>
      </c>
      <c r="G74" t="s">
        <v>937</v>
      </c>
      <c r="H74" s="1">
        <v>45011</v>
      </c>
    </row>
    <row r="75" spans="1:8" x14ac:dyDescent="0.35">
      <c r="A75" t="s">
        <v>106</v>
      </c>
      <c r="B75" t="s">
        <v>17</v>
      </c>
      <c r="C75" t="s">
        <v>27</v>
      </c>
      <c r="D75" t="s">
        <v>44</v>
      </c>
      <c r="E75">
        <v>7</v>
      </c>
      <c r="F75" t="s">
        <v>25</v>
      </c>
      <c r="G75" t="s">
        <v>937</v>
      </c>
      <c r="H75" s="1">
        <v>42803</v>
      </c>
    </row>
    <row r="76" spans="1:8" x14ac:dyDescent="0.35">
      <c r="A76" t="s">
        <v>107</v>
      </c>
      <c r="B76" t="s">
        <v>22</v>
      </c>
      <c r="C76" t="s">
        <v>15</v>
      </c>
      <c r="D76" t="s">
        <v>34</v>
      </c>
      <c r="E76">
        <v>10</v>
      </c>
      <c r="F76" t="s">
        <v>18</v>
      </c>
      <c r="G76" t="s">
        <v>937</v>
      </c>
      <c r="H76" s="1">
        <v>43688</v>
      </c>
    </row>
    <row r="77" spans="1:8" x14ac:dyDescent="0.35">
      <c r="A77" t="s">
        <v>108</v>
      </c>
      <c r="B77" t="s">
        <v>17</v>
      </c>
      <c r="C77" t="s">
        <v>20</v>
      </c>
      <c r="D77" t="s">
        <v>21</v>
      </c>
      <c r="E77">
        <v>3</v>
      </c>
      <c r="F77" t="s">
        <v>32</v>
      </c>
      <c r="G77" t="s">
        <v>938</v>
      </c>
      <c r="H77" s="1">
        <v>45512</v>
      </c>
    </row>
    <row r="78" spans="1:8" x14ac:dyDescent="0.35">
      <c r="A78" t="s">
        <v>109</v>
      </c>
      <c r="B78" t="s">
        <v>22</v>
      </c>
      <c r="C78" t="s">
        <v>15</v>
      </c>
      <c r="D78" t="s">
        <v>34</v>
      </c>
      <c r="E78">
        <v>5</v>
      </c>
      <c r="F78" t="s">
        <v>23</v>
      </c>
      <c r="G78" t="s">
        <v>938</v>
      </c>
      <c r="H78" s="1">
        <v>44925</v>
      </c>
    </row>
    <row r="79" spans="1:8" x14ac:dyDescent="0.35">
      <c r="A79" t="s">
        <v>110</v>
      </c>
      <c r="B79" t="s">
        <v>22</v>
      </c>
      <c r="C79" t="s">
        <v>27</v>
      </c>
      <c r="D79" t="s">
        <v>44</v>
      </c>
      <c r="E79">
        <v>9</v>
      </c>
      <c r="F79" t="s">
        <v>32</v>
      </c>
      <c r="G79" t="s">
        <v>938</v>
      </c>
      <c r="H79" s="1">
        <v>42332</v>
      </c>
    </row>
    <row r="80" spans="1:8" x14ac:dyDescent="0.35">
      <c r="A80" t="s">
        <v>111</v>
      </c>
      <c r="B80" t="s">
        <v>17</v>
      </c>
      <c r="C80" t="s">
        <v>20</v>
      </c>
      <c r="D80" t="s">
        <v>44</v>
      </c>
      <c r="E80">
        <v>8</v>
      </c>
      <c r="F80" t="s">
        <v>71</v>
      </c>
      <c r="G80" t="s">
        <v>938</v>
      </c>
      <c r="H80" s="1">
        <v>45359</v>
      </c>
    </row>
    <row r="81" spans="1:8" x14ac:dyDescent="0.35">
      <c r="A81" t="s">
        <v>112</v>
      </c>
      <c r="B81" t="s">
        <v>17</v>
      </c>
      <c r="C81" t="s">
        <v>36</v>
      </c>
      <c r="D81" t="s">
        <v>44</v>
      </c>
      <c r="E81">
        <v>8</v>
      </c>
      <c r="F81" t="s">
        <v>38</v>
      </c>
      <c r="G81" t="s">
        <v>937</v>
      </c>
      <c r="H81" s="1">
        <v>43203</v>
      </c>
    </row>
    <row r="82" spans="1:8" x14ac:dyDescent="0.35">
      <c r="A82" t="s">
        <v>113</v>
      </c>
      <c r="B82" t="s">
        <v>22</v>
      </c>
      <c r="C82" t="s">
        <v>27</v>
      </c>
      <c r="D82" t="s">
        <v>34</v>
      </c>
      <c r="E82">
        <v>5</v>
      </c>
      <c r="F82" t="s">
        <v>45</v>
      </c>
      <c r="G82" t="s">
        <v>938</v>
      </c>
      <c r="H82" s="1">
        <v>42815</v>
      </c>
    </row>
    <row r="83" spans="1:8" x14ac:dyDescent="0.35">
      <c r="A83" t="s">
        <v>114</v>
      </c>
      <c r="B83" t="s">
        <v>22</v>
      </c>
      <c r="C83" t="s">
        <v>27</v>
      </c>
      <c r="D83" t="s">
        <v>21</v>
      </c>
      <c r="E83">
        <v>12</v>
      </c>
      <c r="F83" t="s">
        <v>18</v>
      </c>
      <c r="G83" t="s">
        <v>937</v>
      </c>
      <c r="H83" s="1">
        <v>43177</v>
      </c>
    </row>
    <row r="84" spans="1:8" x14ac:dyDescent="0.35">
      <c r="A84" t="s">
        <v>115</v>
      </c>
      <c r="B84" t="s">
        <v>17</v>
      </c>
      <c r="C84" t="s">
        <v>27</v>
      </c>
      <c r="D84" t="s">
        <v>16</v>
      </c>
      <c r="E84">
        <v>1</v>
      </c>
      <c r="F84" t="s">
        <v>28</v>
      </c>
      <c r="G84" t="s">
        <v>937</v>
      </c>
      <c r="H84" s="1">
        <v>42741</v>
      </c>
    </row>
    <row r="85" spans="1:8" x14ac:dyDescent="0.35">
      <c r="A85" t="s">
        <v>116</v>
      </c>
      <c r="B85" t="s">
        <v>22</v>
      </c>
      <c r="C85" t="s">
        <v>27</v>
      </c>
      <c r="D85" t="s">
        <v>21</v>
      </c>
      <c r="E85">
        <v>15</v>
      </c>
      <c r="F85" t="s">
        <v>18</v>
      </c>
      <c r="G85" t="s">
        <v>937</v>
      </c>
      <c r="H85" s="1">
        <v>43390</v>
      </c>
    </row>
    <row r="86" spans="1:8" x14ac:dyDescent="0.35">
      <c r="A86" t="s">
        <v>117</v>
      </c>
      <c r="B86" t="s">
        <v>17</v>
      </c>
      <c r="C86" t="s">
        <v>30</v>
      </c>
      <c r="D86" t="s">
        <v>16</v>
      </c>
      <c r="E86">
        <v>10</v>
      </c>
      <c r="F86" t="s">
        <v>28</v>
      </c>
      <c r="G86" t="s">
        <v>937</v>
      </c>
      <c r="H86" s="1">
        <v>42210</v>
      </c>
    </row>
    <row r="87" spans="1:8" x14ac:dyDescent="0.35">
      <c r="A87" t="s">
        <v>118</v>
      </c>
      <c r="B87" t="s">
        <v>17</v>
      </c>
      <c r="C87" t="s">
        <v>36</v>
      </c>
      <c r="D87" t="s">
        <v>16</v>
      </c>
      <c r="E87">
        <v>5</v>
      </c>
      <c r="F87" t="s">
        <v>32</v>
      </c>
      <c r="G87" t="s">
        <v>938</v>
      </c>
      <c r="H87" s="1">
        <v>42542</v>
      </c>
    </row>
    <row r="88" spans="1:8" x14ac:dyDescent="0.35">
      <c r="A88" t="s">
        <v>119</v>
      </c>
      <c r="B88" t="s">
        <v>17</v>
      </c>
      <c r="C88" t="s">
        <v>27</v>
      </c>
      <c r="D88" t="s">
        <v>16</v>
      </c>
      <c r="E88">
        <v>9</v>
      </c>
      <c r="F88" t="s">
        <v>32</v>
      </c>
      <c r="G88" t="s">
        <v>938</v>
      </c>
      <c r="H88" s="1">
        <v>42506</v>
      </c>
    </row>
    <row r="89" spans="1:8" x14ac:dyDescent="0.35">
      <c r="A89" t="s">
        <v>120</v>
      </c>
      <c r="B89" t="s">
        <v>17</v>
      </c>
      <c r="C89" t="s">
        <v>20</v>
      </c>
      <c r="D89" t="s">
        <v>44</v>
      </c>
      <c r="E89">
        <v>9</v>
      </c>
      <c r="F89" t="s">
        <v>71</v>
      </c>
      <c r="G89" t="s">
        <v>938</v>
      </c>
      <c r="H89" s="1">
        <v>45260</v>
      </c>
    </row>
    <row r="90" spans="1:8" x14ac:dyDescent="0.35">
      <c r="A90" t="s">
        <v>121</v>
      </c>
      <c r="B90" t="s">
        <v>17</v>
      </c>
      <c r="C90" t="s">
        <v>20</v>
      </c>
      <c r="D90" t="s">
        <v>34</v>
      </c>
      <c r="E90">
        <v>9</v>
      </c>
      <c r="F90" t="s">
        <v>71</v>
      </c>
      <c r="G90" t="s">
        <v>938</v>
      </c>
      <c r="H90" s="1">
        <v>44710</v>
      </c>
    </row>
    <row r="91" spans="1:8" x14ac:dyDescent="0.35">
      <c r="A91" t="s">
        <v>122</v>
      </c>
      <c r="B91" t="s">
        <v>17</v>
      </c>
      <c r="C91" t="s">
        <v>20</v>
      </c>
      <c r="D91" t="s">
        <v>21</v>
      </c>
      <c r="E91">
        <v>0</v>
      </c>
      <c r="F91" t="s">
        <v>45</v>
      </c>
      <c r="G91" t="s">
        <v>938</v>
      </c>
      <c r="H91" s="1">
        <v>45164</v>
      </c>
    </row>
    <row r="92" spans="1:8" x14ac:dyDescent="0.35">
      <c r="A92" t="s">
        <v>123</v>
      </c>
      <c r="B92" t="s">
        <v>17</v>
      </c>
      <c r="C92" t="s">
        <v>36</v>
      </c>
      <c r="D92" t="s">
        <v>44</v>
      </c>
      <c r="E92">
        <v>14</v>
      </c>
      <c r="F92" t="s">
        <v>32</v>
      </c>
      <c r="G92" t="s">
        <v>938</v>
      </c>
      <c r="H92" s="1">
        <v>45010</v>
      </c>
    </row>
    <row r="93" spans="1:8" x14ac:dyDescent="0.35">
      <c r="A93" t="s">
        <v>124</v>
      </c>
      <c r="B93" t="s">
        <v>17</v>
      </c>
      <c r="C93" t="s">
        <v>27</v>
      </c>
      <c r="D93" t="s">
        <v>16</v>
      </c>
      <c r="E93">
        <v>11</v>
      </c>
      <c r="F93" t="s">
        <v>25</v>
      </c>
      <c r="G93" t="s">
        <v>937</v>
      </c>
      <c r="H93" s="1">
        <v>43388</v>
      </c>
    </row>
    <row r="94" spans="1:8" x14ac:dyDescent="0.35">
      <c r="A94" t="s">
        <v>125</v>
      </c>
      <c r="B94" t="s">
        <v>22</v>
      </c>
      <c r="C94" t="s">
        <v>20</v>
      </c>
      <c r="D94" t="s">
        <v>34</v>
      </c>
      <c r="E94">
        <v>15</v>
      </c>
      <c r="F94" t="s">
        <v>38</v>
      </c>
      <c r="G94" t="s">
        <v>937</v>
      </c>
      <c r="H94" s="1">
        <v>44993</v>
      </c>
    </row>
    <row r="95" spans="1:8" x14ac:dyDescent="0.35">
      <c r="A95" t="s">
        <v>126</v>
      </c>
      <c r="B95" t="s">
        <v>22</v>
      </c>
      <c r="C95" t="s">
        <v>27</v>
      </c>
      <c r="D95" t="s">
        <v>34</v>
      </c>
      <c r="E95">
        <v>8</v>
      </c>
      <c r="F95" t="s">
        <v>38</v>
      </c>
      <c r="G95" t="s">
        <v>937</v>
      </c>
      <c r="H95" s="1">
        <v>44536</v>
      </c>
    </row>
    <row r="96" spans="1:8" x14ac:dyDescent="0.35">
      <c r="A96" t="s">
        <v>127</v>
      </c>
      <c r="B96" t="s">
        <v>17</v>
      </c>
      <c r="C96" t="s">
        <v>30</v>
      </c>
      <c r="D96" t="s">
        <v>34</v>
      </c>
      <c r="E96">
        <v>10</v>
      </c>
      <c r="F96" t="s">
        <v>38</v>
      </c>
      <c r="G96" t="s">
        <v>937</v>
      </c>
      <c r="H96" s="1">
        <v>44394</v>
      </c>
    </row>
    <row r="97" spans="1:8" x14ac:dyDescent="0.35">
      <c r="A97" t="s">
        <v>128</v>
      </c>
      <c r="B97" t="s">
        <v>22</v>
      </c>
      <c r="C97" t="s">
        <v>36</v>
      </c>
      <c r="D97" t="s">
        <v>44</v>
      </c>
      <c r="E97">
        <v>13</v>
      </c>
      <c r="F97" t="s">
        <v>45</v>
      </c>
      <c r="G97" t="s">
        <v>938</v>
      </c>
      <c r="H97" s="1">
        <v>43764</v>
      </c>
    </row>
    <row r="98" spans="1:8" x14ac:dyDescent="0.35">
      <c r="A98" t="s">
        <v>129</v>
      </c>
      <c r="B98" t="s">
        <v>22</v>
      </c>
      <c r="C98" t="s">
        <v>15</v>
      </c>
      <c r="D98" t="s">
        <v>21</v>
      </c>
      <c r="E98">
        <v>14</v>
      </c>
      <c r="F98" t="s">
        <v>18</v>
      </c>
      <c r="G98" t="s">
        <v>937</v>
      </c>
      <c r="H98" s="1">
        <v>45364</v>
      </c>
    </row>
    <row r="99" spans="1:8" x14ac:dyDescent="0.35">
      <c r="A99" t="s">
        <v>130</v>
      </c>
      <c r="B99" t="s">
        <v>22</v>
      </c>
      <c r="C99" t="s">
        <v>36</v>
      </c>
      <c r="D99" t="s">
        <v>34</v>
      </c>
      <c r="E99">
        <v>9</v>
      </c>
      <c r="F99" t="s">
        <v>45</v>
      </c>
      <c r="G99" t="s">
        <v>938</v>
      </c>
      <c r="H99" s="1">
        <v>45390</v>
      </c>
    </row>
    <row r="100" spans="1:8" x14ac:dyDescent="0.35">
      <c r="A100" t="s">
        <v>131</v>
      </c>
      <c r="B100" t="s">
        <v>22</v>
      </c>
      <c r="C100" t="s">
        <v>15</v>
      </c>
      <c r="D100" t="s">
        <v>21</v>
      </c>
      <c r="E100">
        <v>8</v>
      </c>
      <c r="F100" t="s">
        <v>45</v>
      </c>
      <c r="G100" t="s">
        <v>938</v>
      </c>
      <c r="H100" s="1">
        <v>45397</v>
      </c>
    </row>
    <row r="101" spans="1:8" x14ac:dyDescent="0.35">
      <c r="A101" t="s">
        <v>132</v>
      </c>
      <c r="B101" t="s">
        <v>22</v>
      </c>
      <c r="C101" t="s">
        <v>36</v>
      </c>
      <c r="D101" t="s">
        <v>21</v>
      </c>
      <c r="E101">
        <v>14</v>
      </c>
      <c r="F101" t="s">
        <v>45</v>
      </c>
      <c r="G101" t="s">
        <v>938</v>
      </c>
      <c r="H101" s="1">
        <v>45292</v>
      </c>
    </row>
    <row r="102" spans="1:8" x14ac:dyDescent="0.35">
      <c r="A102" t="s">
        <v>133</v>
      </c>
      <c r="B102" t="s">
        <v>22</v>
      </c>
      <c r="C102" t="s">
        <v>30</v>
      </c>
      <c r="D102" t="s">
        <v>21</v>
      </c>
      <c r="E102">
        <v>4</v>
      </c>
      <c r="F102" t="s">
        <v>71</v>
      </c>
      <c r="G102" t="s">
        <v>938</v>
      </c>
      <c r="H102" s="1">
        <v>44482</v>
      </c>
    </row>
    <row r="103" spans="1:8" x14ac:dyDescent="0.35">
      <c r="A103" t="s">
        <v>134</v>
      </c>
      <c r="B103" t="s">
        <v>17</v>
      </c>
      <c r="C103" t="s">
        <v>36</v>
      </c>
      <c r="D103" t="s">
        <v>21</v>
      </c>
      <c r="E103">
        <v>5</v>
      </c>
      <c r="F103" t="s">
        <v>45</v>
      </c>
      <c r="G103" t="s">
        <v>938</v>
      </c>
      <c r="H103" s="1">
        <v>44166</v>
      </c>
    </row>
    <row r="104" spans="1:8" x14ac:dyDescent="0.35">
      <c r="A104" t="s">
        <v>135</v>
      </c>
      <c r="B104" t="s">
        <v>17</v>
      </c>
      <c r="C104" t="s">
        <v>27</v>
      </c>
      <c r="D104" t="s">
        <v>34</v>
      </c>
      <c r="E104">
        <v>13</v>
      </c>
      <c r="F104" t="s">
        <v>32</v>
      </c>
      <c r="G104" t="s">
        <v>938</v>
      </c>
      <c r="H104" s="1">
        <v>44808</v>
      </c>
    </row>
    <row r="105" spans="1:8" x14ac:dyDescent="0.35">
      <c r="A105" t="s">
        <v>136</v>
      </c>
      <c r="B105" t="s">
        <v>22</v>
      </c>
      <c r="C105" t="s">
        <v>20</v>
      </c>
      <c r="D105" t="s">
        <v>16</v>
      </c>
      <c r="E105">
        <v>6</v>
      </c>
      <c r="F105" t="s">
        <v>28</v>
      </c>
      <c r="G105" t="s">
        <v>937</v>
      </c>
      <c r="H105" s="1">
        <v>42963</v>
      </c>
    </row>
    <row r="106" spans="1:8" x14ac:dyDescent="0.35">
      <c r="A106" t="s">
        <v>137</v>
      </c>
      <c r="B106" t="s">
        <v>17</v>
      </c>
      <c r="C106" t="s">
        <v>30</v>
      </c>
      <c r="D106" t="s">
        <v>44</v>
      </c>
      <c r="E106">
        <v>13</v>
      </c>
      <c r="F106" t="s">
        <v>38</v>
      </c>
      <c r="G106" t="s">
        <v>937</v>
      </c>
      <c r="H106" s="1">
        <v>43706</v>
      </c>
    </row>
    <row r="107" spans="1:8" x14ac:dyDescent="0.35">
      <c r="A107" t="s">
        <v>138</v>
      </c>
      <c r="B107" t="s">
        <v>17</v>
      </c>
      <c r="C107" t="s">
        <v>15</v>
      </c>
      <c r="D107" t="s">
        <v>16</v>
      </c>
      <c r="E107">
        <v>6</v>
      </c>
      <c r="F107" t="s">
        <v>25</v>
      </c>
      <c r="G107" t="s">
        <v>937</v>
      </c>
      <c r="H107" s="1">
        <v>43676</v>
      </c>
    </row>
    <row r="108" spans="1:8" x14ac:dyDescent="0.35">
      <c r="A108" t="s">
        <v>139</v>
      </c>
      <c r="B108" t="s">
        <v>17</v>
      </c>
      <c r="C108" t="s">
        <v>30</v>
      </c>
      <c r="D108" t="s">
        <v>16</v>
      </c>
      <c r="E108">
        <v>2</v>
      </c>
      <c r="F108" t="s">
        <v>25</v>
      </c>
      <c r="G108" t="s">
        <v>937</v>
      </c>
      <c r="H108" s="1">
        <v>44344</v>
      </c>
    </row>
    <row r="109" spans="1:8" x14ac:dyDescent="0.35">
      <c r="A109" t="s">
        <v>140</v>
      </c>
      <c r="B109" t="s">
        <v>17</v>
      </c>
      <c r="C109" t="s">
        <v>20</v>
      </c>
      <c r="D109" t="s">
        <v>44</v>
      </c>
      <c r="E109">
        <v>3</v>
      </c>
      <c r="F109" t="s">
        <v>32</v>
      </c>
      <c r="G109" t="s">
        <v>938</v>
      </c>
      <c r="H109" s="1">
        <v>42862</v>
      </c>
    </row>
    <row r="110" spans="1:8" x14ac:dyDescent="0.35">
      <c r="A110" t="s">
        <v>141</v>
      </c>
      <c r="B110" t="s">
        <v>22</v>
      </c>
      <c r="C110" t="s">
        <v>27</v>
      </c>
      <c r="D110" t="s">
        <v>34</v>
      </c>
      <c r="E110">
        <v>8</v>
      </c>
      <c r="F110" t="s">
        <v>38</v>
      </c>
      <c r="G110" t="s">
        <v>937</v>
      </c>
      <c r="H110" s="1">
        <v>44749</v>
      </c>
    </row>
    <row r="111" spans="1:8" x14ac:dyDescent="0.35">
      <c r="A111" t="s">
        <v>142</v>
      </c>
      <c r="B111" t="s">
        <v>17</v>
      </c>
      <c r="C111" t="s">
        <v>30</v>
      </c>
      <c r="D111" t="s">
        <v>44</v>
      </c>
      <c r="E111">
        <v>3</v>
      </c>
      <c r="F111" t="s">
        <v>18</v>
      </c>
      <c r="G111" t="s">
        <v>937</v>
      </c>
      <c r="H111" s="1">
        <v>43343</v>
      </c>
    </row>
    <row r="112" spans="1:8" x14ac:dyDescent="0.35">
      <c r="A112" t="s">
        <v>143</v>
      </c>
      <c r="B112" t="s">
        <v>22</v>
      </c>
      <c r="C112" t="s">
        <v>30</v>
      </c>
      <c r="D112" t="s">
        <v>44</v>
      </c>
      <c r="E112">
        <v>15</v>
      </c>
      <c r="F112" t="s">
        <v>45</v>
      </c>
      <c r="G112" t="s">
        <v>938</v>
      </c>
      <c r="H112" s="1">
        <v>42892</v>
      </c>
    </row>
    <row r="113" spans="1:8" x14ac:dyDescent="0.35">
      <c r="A113" t="s">
        <v>144</v>
      </c>
      <c r="B113" t="s">
        <v>22</v>
      </c>
      <c r="C113" t="s">
        <v>20</v>
      </c>
      <c r="D113" t="s">
        <v>44</v>
      </c>
      <c r="E113">
        <v>12</v>
      </c>
      <c r="F113" t="s">
        <v>28</v>
      </c>
      <c r="G113" t="s">
        <v>937</v>
      </c>
      <c r="H113" s="1">
        <v>42517</v>
      </c>
    </row>
    <row r="114" spans="1:8" x14ac:dyDescent="0.35">
      <c r="A114" t="s">
        <v>145</v>
      </c>
      <c r="B114" t="s">
        <v>22</v>
      </c>
      <c r="C114" t="s">
        <v>36</v>
      </c>
      <c r="D114" t="s">
        <v>16</v>
      </c>
      <c r="E114">
        <v>6</v>
      </c>
      <c r="F114" t="s">
        <v>25</v>
      </c>
      <c r="G114" t="s">
        <v>937</v>
      </c>
      <c r="H114" s="1">
        <v>43651</v>
      </c>
    </row>
    <row r="115" spans="1:8" x14ac:dyDescent="0.35">
      <c r="A115" t="s">
        <v>146</v>
      </c>
      <c r="B115" t="s">
        <v>17</v>
      </c>
      <c r="C115" t="s">
        <v>15</v>
      </c>
      <c r="D115" t="s">
        <v>16</v>
      </c>
      <c r="E115">
        <v>4</v>
      </c>
      <c r="F115" t="s">
        <v>18</v>
      </c>
      <c r="G115" t="s">
        <v>937</v>
      </c>
      <c r="H115" s="1">
        <v>44675</v>
      </c>
    </row>
    <row r="116" spans="1:8" x14ac:dyDescent="0.35">
      <c r="A116" t="s">
        <v>147</v>
      </c>
      <c r="B116" t="s">
        <v>17</v>
      </c>
      <c r="C116" t="s">
        <v>30</v>
      </c>
      <c r="D116" t="s">
        <v>16</v>
      </c>
      <c r="E116">
        <v>13</v>
      </c>
      <c r="F116" t="s">
        <v>23</v>
      </c>
      <c r="G116" t="s">
        <v>938</v>
      </c>
      <c r="H116" s="1">
        <v>45470</v>
      </c>
    </row>
    <row r="117" spans="1:8" x14ac:dyDescent="0.35">
      <c r="A117" t="s">
        <v>148</v>
      </c>
      <c r="B117" t="s">
        <v>17</v>
      </c>
      <c r="C117" t="s">
        <v>27</v>
      </c>
      <c r="D117" t="s">
        <v>34</v>
      </c>
      <c r="E117">
        <v>11</v>
      </c>
      <c r="F117" t="s">
        <v>71</v>
      </c>
      <c r="G117" t="s">
        <v>938</v>
      </c>
      <c r="H117" s="1">
        <v>44051</v>
      </c>
    </row>
    <row r="118" spans="1:8" x14ac:dyDescent="0.35">
      <c r="A118" t="s">
        <v>149</v>
      </c>
      <c r="B118" t="s">
        <v>22</v>
      </c>
      <c r="C118" t="s">
        <v>36</v>
      </c>
      <c r="D118" t="s">
        <v>16</v>
      </c>
      <c r="E118">
        <v>7</v>
      </c>
      <c r="F118" t="s">
        <v>28</v>
      </c>
      <c r="G118" t="s">
        <v>937</v>
      </c>
      <c r="H118" s="1">
        <v>43751</v>
      </c>
    </row>
    <row r="119" spans="1:8" x14ac:dyDescent="0.35">
      <c r="A119" t="s">
        <v>150</v>
      </c>
      <c r="B119" t="s">
        <v>22</v>
      </c>
      <c r="C119" t="s">
        <v>30</v>
      </c>
      <c r="D119" t="s">
        <v>44</v>
      </c>
      <c r="E119">
        <v>10</v>
      </c>
      <c r="F119" t="s">
        <v>38</v>
      </c>
      <c r="G119" t="s">
        <v>937</v>
      </c>
      <c r="H119" s="1">
        <v>44013</v>
      </c>
    </row>
    <row r="120" spans="1:8" x14ac:dyDescent="0.35">
      <c r="A120" t="s">
        <v>151</v>
      </c>
      <c r="B120" t="s">
        <v>17</v>
      </c>
      <c r="C120" t="s">
        <v>36</v>
      </c>
      <c r="D120" t="s">
        <v>21</v>
      </c>
      <c r="E120">
        <v>6</v>
      </c>
      <c r="F120" t="s">
        <v>25</v>
      </c>
      <c r="G120" t="s">
        <v>937</v>
      </c>
      <c r="H120" s="1">
        <v>42821</v>
      </c>
    </row>
    <row r="121" spans="1:8" x14ac:dyDescent="0.35">
      <c r="A121" t="s">
        <v>152</v>
      </c>
      <c r="B121" t="s">
        <v>17</v>
      </c>
      <c r="C121" t="s">
        <v>30</v>
      </c>
      <c r="D121" t="s">
        <v>16</v>
      </c>
      <c r="E121">
        <v>7</v>
      </c>
      <c r="F121" t="s">
        <v>23</v>
      </c>
      <c r="G121" t="s">
        <v>938</v>
      </c>
      <c r="H121" s="1">
        <v>43880</v>
      </c>
    </row>
    <row r="122" spans="1:8" x14ac:dyDescent="0.35">
      <c r="A122" t="s">
        <v>153</v>
      </c>
      <c r="B122" t="s">
        <v>22</v>
      </c>
      <c r="C122" t="s">
        <v>30</v>
      </c>
      <c r="D122" t="s">
        <v>34</v>
      </c>
      <c r="E122">
        <v>2</v>
      </c>
      <c r="F122" t="s">
        <v>25</v>
      </c>
      <c r="G122" t="s">
        <v>937</v>
      </c>
      <c r="H122" s="1">
        <v>44012</v>
      </c>
    </row>
    <row r="123" spans="1:8" x14ac:dyDescent="0.35">
      <c r="A123" t="s">
        <v>154</v>
      </c>
      <c r="B123" t="s">
        <v>17</v>
      </c>
      <c r="C123" t="s">
        <v>30</v>
      </c>
      <c r="D123" t="s">
        <v>16</v>
      </c>
      <c r="E123">
        <v>11</v>
      </c>
      <c r="F123" t="s">
        <v>32</v>
      </c>
      <c r="G123" t="s">
        <v>938</v>
      </c>
      <c r="H123" s="1">
        <v>43365</v>
      </c>
    </row>
    <row r="124" spans="1:8" x14ac:dyDescent="0.35">
      <c r="A124" t="s">
        <v>155</v>
      </c>
      <c r="B124" t="s">
        <v>22</v>
      </c>
      <c r="C124" t="s">
        <v>36</v>
      </c>
      <c r="D124" t="s">
        <v>21</v>
      </c>
      <c r="E124">
        <v>10</v>
      </c>
      <c r="F124" t="s">
        <v>71</v>
      </c>
      <c r="G124" t="s">
        <v>938</v>
      </c>
      <c r="H124" s="1">
        <v>44343</v>
      </c>
    </row>
    <row r="125" spans="1:8" x14ac:dyDescent="0.35">
      <c r="A125" t="s">
        <v>156</v>
      </c>
      <c r="B125" t="s">
        <v>22</v>
      </c>
      <c r="C125" t="s">
        <v>20</v>
      </c>
      <c r="D125" t="s">
        <v>16</v>
      </c>
      <c r="E125">
        <v>13</v>
      </c>
      <c r="F125" t="s">
        <v>25</v>
      </c>
      <c r="G125" t="s">
        <v>937</v>
      </c>
      <c r="H125" s="1">
        <v>42465</v>
      </c>
    </row>
    <row r="126" spans="1:8" x14ac:dyDescent="0.35">
      <c r="A126" t="s">
        <v>157</v>
      </c>
      <c r="B126" t="s">
        <v>22</v>
      </c>
      <c r="C126" t="s">
        <v>15</v>
      </c>
      <c r="D126" t="s">
        <v>21</v>
      </c>
      <c r="E126">
        <v>4</v>
      </c>
      <c r="F126" t="s">
        <v>23</v>
      </c>
      <c r="G126" t="s">
        <v>938</v>
      </c>
      <c r="H126" s="1">
        <v>42871</v>
      </c>
    </row>
    <row r="127" spans="1:8" x14ac:dyDescent="0.35">
      <c r="A127" t="s">
        <v>158</v>
      </c>
      <c r="B127" t="s">
        <v>17</v>
      </c>
      <c r="C127" t="s">
        <v>15</v>
      </c>
      <c r="D127" t="s">
        <v>34</v>
      </c>
      <c r="E127">
        <v>15</v>
      </c>
      <c r="F127" t="s">
        <v>28</v>
      </c>
      <c r="G127" t="s">
        <v>937</v>
      </c>
      <c r="H127" s="1">
        <v>44077</v>
      </c>
    </row>
    <row r="128" spans="1:8" x14ac:dyDescent="0.35">
      <c r="A128" t="s">
        <v>159</v>
      </c>
      <c r="B128" t="s">
        <v>17</v>
      </c>
      <c r="C128" t="s">
        <v>30</v>
      </c>
      <c r="D128" t="s">
        <v>44</v>
      </c>
      <c r="E128">
        <v>7</v>
      </c>
      <c r="F128" t="s">
        <v>28</v>
      </c>
      <c r="G128" t="s">
        <v>937</v>
      </c>
      <c r="H128" s="1">
        <v>43851</v>
      </c>
    </row>
    <row r="129" spans="1:8" x14ac:dyDescent="0.35">
      <c r="A129" t="s">
        <v>160</v>
      </c>
      <c r="B129" t="s">
        <v>17</v>
      </c>
      <c r="C129" t="s">
        <v>20</v>
      </c>
      <c r="D129" t="s">
        <v>16</v>
      </c>
      <c r="E129">
        <v>0</v>
      </c>
      <c r="F129" t="s">
        <v>18</v>
      </c>
      <c r="G129" t="s">
        <v>937</v>
      </c>
      <c r="H129" s="1">
        <v>44172</v>
      </c>
    </row>
    <row r="130" spans="1:8" x14ac:dyDescent="0.35">
      <c r="A130" t="s">
        <v>161</v>
      </c>
      <c r="B130" t="s">
        <v>17</v>
      </c>
      <c r="C130" t="s">
        <v>15</v>
      </c>
      <c r="D130" t="s">
        <v>34</v>
      </c>
      <c r="E130">
        <v>14</v>
      </c>
      <c r="F130" t="s">
        <v>23</v>
      </c>
      <c r="G130" t="s">
        <v>938</v>
      </c>
      <c r="H130" s="1">
        <v>44106</v>
      </c>
    </row>
    <row r="131" spans="1:8" x14ac:dyDescent="0.35">
      <c r="A131" t="s">
        <v>162</v>
      </c>
      <c r="B131" t="s">
        <v>17</v>
      </c>
      <c r="C131" t="s">
        <v>20</v>
      </c>
      <c r="D131" t="s">
        <v>16</v>
      </c>
      <c r="E131">
        <v>4</v>
      </c>
      <c r="F131" t="s">
        <v>71</v>
      </c>
      <c r="G131" t="s">
        <v>938</v>
      </c>
      <c r="H131" s="1">
        <v>42460</v>
      </c>
    </row>
    <row r="132" spans="1:8" x14ac:dyDescent="0.35">
      <c r="A132" t="s">
        <v>163</v>
      </c>
      <c r="B132" t="s">
        <v>22</v>
      </c>
      <c r="C132" t="s">
        <v>20</v>
      </c>
      <c r="D132" t="s">
        <v>21</v>
      </c>
      <c r="E132">
        <v>14</v>
      </c>
      <c r="F132" t="s">
        <v>23</v>
      </c>
      <c r="G132" t="s">
        <v>938</v>
      </c>
      <c r="H132" s="1">
        <v>43001</v>
      </c>
    </row>
    <row r="133" spans="1:8" x14ac:dyDescent="0.35">
      <c r="A133" t="s">
        <v>164</v>
      </c>
      <c r="B133" t="s">
        <v>22</v>
      </c>
      <c r="C133" t="s">
        <v>30</v>
      </c>
      <c r="D133" t="s">
        <v>34</v>
      </c>
      <c r="E133">
        <v>10</v>
      </c>
      <c r="F133" t="s">
        <v>38</v>
      </c>
      <c r="G133" t="s">
        <v>937</v>
      </c>
      <c r="H133" s="1">
        <v>45007</v>
      </c>
    </row>
    <row r="134" spans="1:8" x14ac:dyDescent="0.35">
      <c r="A134" t="s">
        <v>165</v>
      </c>
      <c r="B134" t="s">
        <v>22</v>
      </c>
      <c r="C134" t="s">
        <v>15</v>
      </c>
      <c r="D134" t="s">
        <v>44</v>
      </c>
      <c r="E134">
        <v>0</v>
      </c>
      <c r="F134" t="s">
        <v>38</v>
      </c>
      <c r="G134" t="s">
        <v>937</v>
      </c>
      <c r="H134" s="1">
        <v>44918</v>
      </c>
    </row>
    <row r="135" spans="1:8" x14ac:dyDescent="0.35">
      <c r="A135" t="s">
        <v>166</v>
      </c>
      <c r="B135" t="s">
        <v>22</v>
      </c>
      <c r="C135" t="s">
        <v>27</v>
      </c>
      <c r="D135" t="s">
        <v>16</v>
      </c>
      <c r="E135">
        <v>13</v>
      </c>
      <c r="F135" t="s">
        <v>32</v>
      </c>
      <c r="G135" t="s">
        <v>938</v>
      </c>
      <c r="H135" s="1">
        <v>43026</v>
      </c>
    </row>
    <row r="136" spans="1:8" x14ac:dyDescent="0.35">
      <c r="A136" t="s">
        <v>167</v>
      </c>
      <c r="B136" t="s">
        <v>22</v>
      </c>
      <c r="C136" t="s">
        <v>15</v>
      </c>
      <c r="D136" t="s">
        <v>21</v>
      </c>
      <c r="E136">
        <v>11</v>
      </c>
      <c r="F136" t="s">
        <v>71</v>
      </c>
      <c r="G136" t="s">
        <v>938</v>
      </c>
      <c r="H136" s="1">
        <v>42217</v>
      </c>
    </row>
    <row r="137" spans="1:8" x14ac:dyDescent="0.35">
      <c r="A137" t="s">
        <v>168</v>
      </c>
      <c r="B137" t="s">
        <v>17</v>
      </c>
      <c r="C137" t="s">
        <v>27</v>
      </c>
      <c r="D137" t="s">
        <v>34</v>
      </c>
      <c r="E137">
        <v>3</v>
      </c>
      <c r="F137" t="s">
        <v>25</v>
      </c>
      <c r="G137" t="s">
        <v>937</v>
      </c>
      <c r="H137" s="1">
        <v>44231</v>
      </c>
    </row>
    <row r="138" spans="1:8" x14ac:dyDescent="0.35">
      <c r="A138" t="s">
        <v>169</v>
      </c>
      <c r="B138" t="s">
        <v>22</v>
      </c>
      <c r="C138" t="s">
        <v>27</v>
      </c>
      <c r="D138" t="s">
        <v>34</v>
      </c>
      <c r="E138">
        <v>2</v>
      </c>
      <c r="F138" t="s">
        <v>38</v>
      </c>
      <c r="G138" t="s">
        <v>937</v>
      </c>
      <c r="H138" s="1">
        <v>43361</v>
      </c>
    </row>
    <row r="139" spans="1:8" x14ac:dyDescent="0.35">
      <c r="A139" t="s">
        <v>170</v>
      </c>
      <c r="B139" t="s">
        <v>17</v>
      </c>
      <c r="C139" t="s">
        <v>15</v>
      </c>
      <c r="D139" t="s">
        <v>44</v>
      </c>
      <c r="E139">
        <v>12</v>
      </c>
      <c r="F139" t="s">
        <v>32</v>
      </c>
      <c r="G139" t="s">
        <v>938</v>
      </c>
      <c r="H139" s="1">
        <v>44925</v>
      </c>
    </row>
    <row r="140" spans="1:8" x14ac:dyDescent="0.35">
      <c r="A140" t="s">
        <v>171</v>
      </c>
      <c r="B140" t="s">
        <v>17</v>
      </c>
      <c r="C140" t="s">
        <v>36</v>
      </c>
      <c r="D140" t="s">
        <v>44</v>
      </c>
      <c r="E140">
        <v>5</v>
      </c>
      <c r="F140" t="s">
        <v>18</v>
      </c>
      <c r="G140" t="s">
        <v>937</v>
      </c>
      <c r="H140" s="1">
        <v>43315</v>
      </c>
    </row>
    <row r="141" spans="1:8" x14ac:dyDescent="0.35">
      <c r="A141" t="s">
        <v>172</v>
      </c>
      <c r="B141" t="s">
        <v>17</v>
      </c>
      <c r="C141" t="s">
        <v>36</v>
      </c>
      <c r="D141" t="s">
        <v>34</v>
      </c>
      <c r="E141">
        <v>5</v>
      </c>
      <c r="F141" t="s">
        <v>23</v>
      </c>
      <c r="G141" t="s">
        <v>938</v>
      </c>
      <c r="H141" s="1">
        <v>45208</v>
      </c>
    </row>
    <row r="142" spans="1:8" x14ac:dyDescent="0.35">
      <c r="A142" t="s">
        <v>173</v>
      </c>
      <c r="B142" t="s">
        <v>22</v>
      </c>
      <c r="C142" t="s">
        <v>15</v>
      </c>
      <c r="D142" t="s">
        <v>16</v>
      </c>
      <c r="E142">
        <v>5</v>
      </c>
      <c r="F142" t="s">
        <v>28</v>
      </c>
      <c r="G142" t="s">
        <v>937</v>
      </c>
      <c r="H142" s="1">
        <v>44325</v>
      </c>
    </row>
    <row r="143" spans="1:8" x14ac:dyDescent="0.35">
      <c r="A143" t="s">
        <v>174</v>
      </c>
      <c r="B143" t="s">
        <v>22</v>
      </c>
      <c r="C143" t="s">
        <v>27</v>
      </c>
      <c r="D143" t="s">
        <v>16</v>
      </c>
      <c r="E143">
        <v>3</v>
      </c>
      <c r="F143" t="s">
        <v>25</v>
      </c>
      <c r="G143" t="s">
        <v>937</v>
      </c>
      <c r="H143" s="1">
        <v>45530</v>
      </c>
    </row>
    <row r="144" spans="1:8" x14ac:dyDescent="0.35">
      <c r="A144" t="s">
        <v>175</v>
      </c>
      <c r="B144" t="s">
        <v>17</v>
      </c>
      <c r="C144" t="s">
        <v>15</v>
      </c>
      <c r="D144" t="s">
        <v>16</v>
      </c>
      <c r="E144">
        <v>7</v>
      </c>
      <c r="F144" t="s">
        <v>32</v>
      </c>
      <c r="G144" t="s">
        <v>938</v>
      </c>
      <c r="H144" s="1">
        <v>43084</v>
      </c>
    </row>
    <row r="145" spans="1:8" x14ac:dyDescent="0.35">
      <c r="A145" t="s">
        <v>176</v>
      </c>
      <c r="B145" t="s">
        <v>22</v>
      </c>
      <c r="C145" t="s">
        <v>27</v>
      </c>
      <c r="D145" t="s">
        <v>44</v>
      </c>
      <c r="E145">
        <v>7</v>
      </c>
      <c r="F145" t="s">
        <v>71</v>
      </c>
      <c r="G145" t="s">
        <v>938</v>
      </c>
      <c r="H145" s="1">
        <v>42939</v>
      </c>
    </row>
    <row r="146" spans="1:8" x14ac:dyDescent="0.35">
      <c r="A146" t="s">
        <v>177</v>
      </c>
      <c r="B146" t="s">
        <v>22</v>
      </c>
      <c r="C146" t="s">
        <v>36</v>
      </c>
      <c r="D146" t="s">
        <v>21</v>
      </c>
      <c r="E146">
        <v>8</v>
      </c>
      <c r="F146" t="s">
        <v>18</v>
      </c>
      <c r="G146" t="s">
        <v>937</v>
      </c>
      <c r="H146" s="1">
        <v>44935</v>
      </c>
    </row>
    <row r="147" spans="1:8" x14ac:dyDescent="0.35">
      <c r="A147" t="s">
        <v>178</v>
      </c>
      <c r="B147" t="s">
        <v>17</v>
      </c>
      <c r="C147" t="s">
        <v>36</v>
      </c>
      <c r="D147" t="s">
        <v>34</v>
      </c>
      <c r="E147">
        <v>8</v>
      </c>
      <c r="F147" t="s">
        <v>25</v>
      </c>
      <c r="G147" t="s">
        <v>937</v>
      </c>
      <c r="H147" s="1">
        <v>44102</v>
      </c>
    </row>
    <row r="148" spans="1:8" x14ac:dyDescent="0.35">
      <c r="A148" t="s">
        <v>179</v>
      </c>
      <c r="B148" t="s">
        <v>22</v>
      </c>
      <c r="C148" t="s">
        <v>30</v>
      </c>
      <c r="D148" t="s">
        <v>16</v>
      </c>
      <c r="E148">
        <v>7</v>
      </c>
      <c r="F148" t="s">
        <v>32</v>
      </c>
      <c r="G148" t="s">
        <v>938</v>
      </c>
      <c r="H148" s="1">
        <v>42186</v>
      </c>
    </row>
    <row r="149" spans="1:8" x14ac:dyDescent="0.35">
      <c r="A149" t="s">
        <v>180</v>
      </c>
      <c r="B149" t="s">
        <v>17</v>
      </c>
      <c r="C149" t="s">
        <v>20</v>
      </c>
      <c r="D149" t="s">
        <v>16</v>
      </c>
      <c r="E149">
        <v>3</v>
      </c>
      <c r="F149" t="s">
        <v>18</v>
      </c>
      <c r="G149" t="s">
        <v>937</v>
      </c>
      <c r="H149" s="1">
        <v>42575</v>
      </c>
    </row>
    <row r="150" spans="1:8" x14ac:dyDescent="0.35">
      <c r="A150" t="s">
        <v>181</v>
      </c>
      <c r="B150" t="s">
        <v>22</v>
      </c>
      <c r="C150" t="s">
        <v>15</v>
      </c>
      <c r="D150" t="s">
        <v>16</v>
      </c>
      <c r="E150">
        <v>5</v>
      </c>
      <c r="F150" t="s">
        <v>25</v>
      </c>
      <c r="G150" t="s">
        <v>937</v>
      </c>
      <c r="H150" s="1">
        <v>42908</v>
      </c>
    </row>
    <row r="151" spans="1:8" x14ac:dyDescent="0.35">
      <c r="A151" t="s">
        <v>182</v>
      </c>
      <c r="B151" t="s">
        <v>22</v>
      </c>
      <c r="C151" t="s">
        <v>27</v>
      </c>
      <c r="D151" t="s">
        <v>16</v>
      </c>
      <c r="E151">
        <v>10</v>
      </c>
      <c r="F151" t="s">
        <v>23</v>
      </c>
      <c r="G151" t="s">
        <v>938</v>
      </c>
      <c r="H151" s="1">
        <v>42460</v>
      </c>
    </row>
    <row r="152" spans="1:8" x14ac:dyDescent="0.35">
      <c r="A152" t="s">
        <v>183</v>
      </c>
      <c r="B152" t="s">
        <v>22</v>
      </c>
      <c r="C152" t="s">
        <v>27</v>
      </c>
      <c r="D152" t="s">
        <v>34</v>
      </c>
      <c r="E152">
        <v>13</v>
      </c>
      <c r="F152" t="s">
        <v>71</v>
      </c>
      <c r="G152" t="s">
        <v>938</v>
      </c>
      <c r="H152" s="1">
        <v>43407</v>
      </c>
    </row>
    <row r="153" spans="1:8" x14ac:dyDescent="0.35">
      <c r="A153" t="s">
        <v>184</v>
      </c>
      <c r="B153" t="s">
        <v>17</v>
      </c>
      <c r="C153" t="s">
        <v>30</v>
      </c>
      <c r="D153" t="s">
        <v>34</v>
      </c>
      <c r="E153">
        <v>0</v>
      </c>
      <c r="F153" t="s">
        <v>71</v>
      </c>
      <c r="G153" t="s">
        <v>938</v>
      </c>
      <c r="H153" s="1">
        <v>43886</v>
      </c>
    </row>
    <row r="154" spans="1:8" x14ac:dyDescent="0.35">
      <c r="A154" t="s">
        <v>185</v>
      </c>
      <c r="B154" t="s">
        <v>17</v>
      </c>
      <c r="C154" t="s">
        <v>20</v>
      </c>
      <c r="D154" t="s">
        <v>21</v>
      </c>
      <c r="E154">
        <v>6</v>
      </c>
      <c r="F154" t="s">
        <v>71</v>
      </c>
      <c r="G154" t="s">
        <v>938</v>
      </c>
      <c r="H154" s="1">
        <v>43720</v>
      </c>
    </row>
    <row r="155" spans="1:8" x14ac:dyDescent="0.35">
      <c r="A155" t="s">
        <v>186</v>
      </c>
      <c r="B155" t="s">
        <v>17</v>
      </c>
      <c r="C155" t="s">
        <v>36</v>
      </c>
      <c r="D155" t="s">
        <v>44</v>
      </c>
      <c r="E155">
        <v>12</v>
      </c>
      <c r="F155" t="s">
        <v>45</v>
      </c>
      <c r="G155" t="s">
        <v>938</v>
      </c>
      <c r="H155" s="1">
        <v>43300</v>
      </c>
    </row>
    <row r="156" spans="1:8" x14ac:dyDescent="0.35">
      <c r="A156" t="s">
        <v>187</v>
      </c>
      <c r="B156" t="s">
        <v>22</v>
      </c>
      <c r="C156" t="s">
        <v>36</v>
      </c>
      <c r="D156" t="s">
        <v>34</v>
      </c>
      <c r="E156">
        <v>7</v>
      </c>
      <c r="F156" t="s">
        <v>71</v>
      </c>
      <c r="G156" t="s">
        <v>938</v>
      </c>
      <c r="H156" s="1">
        <v>44277</v>
      </c>
    </row>
    <row r="157" spans="1:8" x14ac:dyDescent="0.35">
      <c r="A157" t="s">
        <v>188</v>
      </c>
      <c r="B157" t="s">
        <v>22</v>
      </c>
      <c r="C157" t="s">
        <v>15</v>
      </c>
      <c r="D157" t="s">
        <v>21</v>
      </c>
      <c r="E157">
        <v>15</v>
      </c>
      <c r="F157" t="s">
        <v>71</v>
      </c>
      <c r="G157" t="s">
        <v>938</v>
      </c>
      <c r="H157" s="1">
        <v>44038</v>
      </c>
    </row>
    <row r="158" spans="1:8" x14ac:dyDescent="0.35">
      <c r="A158" t="s">
        <v>189</v>
      </c>
      <c r="B158" t="s">
        <v>22</v>
      </c>
      <c r="C158" t="s">
        <v>15</v>
      </c>
      <c r="D158" t="s">
        <v>21</v>
      </c>
      <c r="E158">
        <v>11</v>
      </c>
      <c r="F158" t="s">
        <v>18</v>
      </c>
      <c r="G158" t="s">
        <v>937</v>
      </c>
      <c r="H158" s="1">
        <v>42598</v>
      </c>
    </row>
    <row r="159" spans="1:8" x14ac:dyDescent="0.35">
      <c r="A159" t="s">
        <v>190</v>
      </c>
      <c r="B159" t="s">
        <v>22</v>
      </c>
      <c r="C159" t="s">
        <v>20</v>
      </c>
      <c r="D159" t="s">
        <v>34</v>
      </c>
      <c r="E159">
        <v>0</v>
      </c>
      <c r="F159" t="s">
        <v>45</v>
      </c>
      <c r="G159" t="s">
        <v>938</v>
      </c>
      <c r="H159" s="1">
        <v>43932</v>
      </c>
    </row>
    <row r="160" spans="1:8" x14ac:dyDescent="0.35">
      <c r="A160" t="s">
        <v>191</v>
      </c>
      <c r="B160" t="s">
        <v>22</v>
      </c>
      <c r="C160" t="s">
        <v>36</v>
      </c>
      <c r="D160" t="s">
        <v>21</v>
      </c>
      <c r="E160">
        <v>7</v>
      </c>
      <c r="F160" t="s">
        <v>23</v>
      </c>
      <c r="G160" t="s">
        <v>938</v>
      </c>
      <c r="H160" s="1">
        <v>42770</v>
      </c>
    </row>
    <row r="161" spans="1:8" x14ac:dyDescent="0.35">
      <c r="A161" t="s">
        <v>192</v>
      </c>
      <c r="B161" t="s">
        <v>17</v>
      </c>
      <c r="C161" t="s">
        <v>20</v>
      </c>
      <c r="D161" t="s">
        <v>44</v>
      </c>
      <c r="E161">
        <v>7</v>
      </c>
      <c r="F161" t="s">
        <v>71</v>
      </c>
      <c r="G161" t="s">
        <v>938</v>
      </c>
      <c r="H161" s="1">
        <v>45008</v>
      </c>
    </row>
    <row r="162" spans="1:8" x14ac:dyDescent="0.35">
      <c r="A162" t="s">
        <v>193</v>
      </c>
      <c r="B162" t="s">
        <v>17</v>
      </c>
      <c r="C162" t="s">
        <v>36</v>
      </c>
      <c r="D162" t="s">
        <v>16</v>
      </c>
      <c r="E162">
        <v>3</v>
      </c>
      <c r="F162" t="s">
        <v>28</v>
      </c>
      <c r="G162" t="s">
        <v>937</v>
      </c>
      <c r="H162" s="1">
        <v>42486</v>
      </c>
    </row>
    <row r="163" spans="1:8" x14ac:dyDescent="0.35">
      <c r="A163" t="s">
        <v>194</v>
      </c>
      <c r="B163" t="s">
        <v>17</v>
      </c>
      <c r="C163" t="s">
        <v>27</v>
      </c>
      <c r="D163" t="s">
        <v>21</v>
      </c>
      <c r="E163">
        <v>10</v>
      </c>
      <c r="F163" t="s">
        <v>25</v>
      </c>
      <c r="G163" t="s">
        <v>937</v>
      </c>
      <c r="H163" s="1">
        <v>42219</v>
      </c>
    </row>
    <row r="164" spans="1:8" x14ac:dyDescent="0.35">
      <c r="A164" t="s">
        <v>195</v>
      </c>
      <c r="B164" t="s">
        <v>22</v>
      </c>
      <c r="C164" t="s">
        <v>36</v>
      </c>
      <c r="D164" t="s">
        <v>21</v>
      </c>
      <c r="E164">
        <v>14</v>
      </c>
      <c r="F164" t="s">
        <v>28</v>
      </c>
      <c r="G164" t="s">
        <v>937</v>
      </c>
      <c r="H164" s="1">
        <v>44795</v>
      </c>
    </row>
    <row r="165" spans="1:8" x14ac:dyDescent="0.35">
      <c r="A165" t="s">
        <v>196</v>
      </c>
      <c r="B165" t="s">
        <v>17</v>
      </c>
      <c r="C165" t="s">
        <v>20</v>
      </c>
      <c r="D165" t="s">
        <v>44</v>
      </c>
      <c r="E165">
        <v>4</v>
      </c>
      <c r="F165" t="s">
        <v>25</v>
      </c>
      <c r="G165" t="s">
        <v>937</v>
      </c>
      <c r="H165" s="1">
        <v>42692</v>
      </c>
    </row>
    <row r="166" spans="1:8" x14ac:dyDescent="0.35">
      <c r="A166" t="s">
        <v>197</v>
      </c>
      <c r="B166" t="s">
        <v>17</v>
      </c>
      <c r="C166" t="s">
        <v>36</v>
      </c>
      <c r="D166" t="s">
        <v>44</v>
      </c>
      <c r="E166">
        <v>5</v>
      </c>
      <c r="F166" t="s">
        <v>71</v>
      </c>
      <c r="G166" t="s">
        <v>938</v>
      </c>
      <c r="H166" s="1">
        <v>43785</v>
      </c>
    </row>
    <row r="167" spans="1:8" x14ac:dyDescent="0.35">
      <c r="A167" t="s">
        <v>198</v>
      </c>
      <c r="B167" t="s">
        <v>22</v>
      </c>
      <c r="C167" t="s">
        <v>30</v>
      </c>
      <c r="D167" t="s">
        <v>16</v>
      </c>
      <c r="E167">
        <v>12</v>
      </c>
      <c r="F167" t="s">
        <v>38</v>
      </c>
      <c r="G167" t="s">
        <v>937</v>
      </c>
      <c r="H167" s="1">
        <v>44110</v>
      </c>
    </row>
    <row r="168" spans="1:8" x14ac:dyDescent="0.35">
      <c r="A168" t="s">
        <v>199</v>
      </c>
      <c r="B168" t="s">
        <v>22</v>
      </c>
      <c r="C168" t="s">
        <v>20</v>
      </c>
      <c r="D168" t="s">
        <v>16</v>
      </c>
      <c r="E168">
        <v>12</v>
      </c>
      <c r="F168" t="s">
        <v>23</v>
      </c>
      <c r="G168" t="s">
        <v>938</v>
      </c>
      <c r="H168" s="1">
        <v>45294</v>
      </c>
    </row>
    <row r="169" spans="1:8" x14ac:dyDescent="0.35">
      <c r="A169" t="s">
        <v>200</v>
      </c>
      <c r="B169" t="s">
        <v>22</v>
      </c>
      <c r="C169" t="s">
        <v>15</v>
      </c>
      <c r="D169" t="s">
        <v>34</v>
      </c>
      <c r="E169">
        <v>12</v>
      </c>
      <c r="F169" t="s">
        <v>32</v>
      </c>
      <c r="G169" t="s">
        <v>938</v>
      </c>
      <c r="H169" s="1">
        <v>43627</v>
      </c>
    </row>
    <row r="170" spans="1:8" x14ac:dyDescent="0.35">
      <c r="A170" t="s">
        <v>201</v>
      </c>
      <c r="B170" t="s">
        <v>17</v>
      </c>
      <c r="C170" t="s">
        <v>15</v>
      </c>
      <c r="D170" t="s">
        <v>34</v>
      </c>
      <c r="E170">
        <v>11</v>
      </c>
      <c r="F170" t="s">
        <v>23</v>
      </c>
      <c r="G170" t="s">
        <v>938</v>
      </c>
      <c r="H170" s="1">
        <v>43891</v>
      </c>
    </row>
    <row r="171" spans="1:8" x14ac:dyDescent="0.35">
      <c r="A171" t="s">
        <v>202</v>
      </c>
      <c r="B171" t="s">
        <v>22</v>
      </c>
      <c r="C171" t="s">
        <v>36</v>
      </c>
      <c r="D171" t="s">
        <v>21</v>
      </c>
      <c r="E171">
        <v>9</v>
      </c>
      <c r="F171" t="s">
        <v>25</v>
      </c>
      <c r="G171" t="s">
        <v>937</v>
      </c>
      <c r="H171" s="1">
        <v>43342</v>
      </c>
    </row>
    <row r="172" spans="1:8" x14ac:dyDescent="0.35">
      <c r="A172" t="s">
        <v>203</v>
      </c>
      <c r="B172" t="s">
        <v>17</v>
      </c>
      <c r="C172" t="s">
        <v>15</v>
      </c>
      <c r="D172" t="s">
        <v>21</v>
      </c>
      <c r="E172">
        <v>10</v>
      </c>
      <c r="F172" t="s">
        <v>32</v>
      </c>
      <c r="G172" t="s">
        <v>938</v>
      </c>
      <c r="H172" s="1">
        <v>44311</v>
      </c>
    </row>
    <row r="173" spans="1:8" x14ac:dyDescent="0.35">
      <c r="A173" t="s">
        <v>204</v>
      </c>
      <c r="B173" t="s">
        <v>17</v>
      </c>
      <c r="C173" t="s">
        <v>36</v>
      </c>
      <c r="D173" t="s">
        <v>44</v>
      </c>
      <c r="E173">
        <v>4</v>
      </c>
      <c r="F173" t="s">
        <v>23</v>
      </c>
      <c r="G173" t="s">
        <v>938</v>
      </c>
      <c r="H173" s="1">
        <v>44987</v>
      </c>
    </row>
    <row r="174" spans="1:8" x14ac:dyDescent="0.35">
      <c r="A174" t="s">
        <v>205</v>
      </c>
      <c r="B174" t="s">
        <v>22</v>
      </c>
      <c r="C174" t="s">
        <v>15</v>
      </c>
      <c r="D174" t="s">
        <v>44</v>
      </c>
      <c r="E174">
        <v>12</v>
      </c>
      <c r="F174" t="s">
        <v>71</v>
      </c>
      <c r="G174" t="s">
        <v>938</v>
      </c>
      <c r="H174" s="1">
        <v>42764</v>
      </c>
    </row>
    <row r="175" spans="1:8" x14ac:dyDescent="0.35">
      <c r="A175" t="s">
        <v>206</v>
      </c>
      <c r="B175" t="s">
        <v>17</v>
      </c>
      <c r="C175" t="s">
        <v>36</v>
      </c>
      <c r="D175" t="s">
        <v>34</v>
      </c>
      <c r="E175">
        <v>11</v>
      </c>
      <c r="F175" t="s">
        <v>25</v>
      </c>
      <c r="G175" t="s">
        <v>937</v>
      </c>
      <c r="H175" s="1">
        <v>42833</v>
      </c>
    </row>
    <row r="176" spans="1:8" x14ac:dyDescent="0.35">
      <c r="A176" t="s">
        <v>207</v>
      </c>
      <c r="B176" t="s">
        <v>22</v>
      </c>
      <c r="C176" t="s">
        <v>27</v>
      </c>
      <c r="D176" t="s">
        <v>16</v>
      </c>
      <c r="E176">
        <v>14</v>
      </c>
      <c r="F176" t="s">
        <v>38</v>
      </c>
      <c r="G176" t="s">
        <v>937</v>
      </c>
      <c r="H176" s="1">
        <v>44125</v>
      </c>
    </row>
    <row r="177" spans="1:8" x14ac:dyDescent="0.35">
      <c r="A177" t="s">
        <v>208</v>
      </c>
      <c r="B177" t="s">
        <v>22</v>
      </c>
      <c r="C177" t="s">
        <v>15</v>
      </c>
      <c r="D177" t="s">
        <v>16</v>
      </c>
      <c r="E177">
        <v>9</v>
      </c>
      <c r="F177" t="s">
        <v>38</v>
      </c>
      <c r="G177" t="s">
        <v>937</v>
      </c>
      <c r="H177" s="1">
        <v>45555</v>
      </c>
    </row>
    <row r="178" spans="1:8" x14ac:dyDescent="0.35">
      <c r="A178" t="s">
        <v>209</v>
      </c>
      <c r="B178" t="s">
        <v>17</v>
      </c>
      <c r="C178" t="s">
        <v>36</v>
      </c>
      <c r="D178" t="s">
        <v>21</v>
      </c>
      <c r="E178">
        <v>14</v>
      </c>
      <c r="F178" t="s">
        <v>71</v>
      </c>
      <c r="G178" t="s">
        <v>938</v>
      </c>
      <c r="H178" s="1">
        <v>43775</v>
      </c>
    </row>
    <row r="179" spans="1:8" x14ac:dyDescent="0.35">
      <c r="A179" t="s">
        <v>210</v>
      </c>
      <c r="B179" t="s">
        <v>22</v>
      </c>
      <c r="C179" t="s">
        <v>30</v>
      </c>
      <c r="D179" t="s">
        <v>16</v>
      </c>
      <c r="E179">
        <v>8</v>
      </c>
      <c r="F179" t="s">
        <v>28</v>
      </c>
      <c r="G179" t="s">
        <v>937</v>
      </c>
      <c r="H179" s="1">
        <v>45343</v>
      </c>
    </row>
    <row r="180" spans="1:8" x14ac:dyDescent="0.35">
      <c r="A180" t="s">
        <v>211</v>
      </c>
      <c r="B180" t="s">
        <v>22</v>
      </c>
      <c r="C180" t="s">
        <v>27</v>
      </c>
      <c r="D180" t="s">
        <v>44</v>
      </c>
      <c r="E180">
        <v>9</v>
      </c>
      <c r="F180" t="s">
        <v>38</v>
      </c>
      <c r="G180" t="s">
        <v>937</v>
      </c>
      <c r="H180" s="1">
        <v>44787</v>
      </c>
    </row>
    <row r="181" spans="1:8" x14ac:dyDescent="0.35">
      <c r="A181" t="s">
        <v>212</v>
      </c>
      <c r="B181" t="s">
        <v>22</v>
      </c>
      <c r="C181" t="s">
        <v>36</v>
      </c>
      <c r="D181" t="s">
        <v>16</v>
      </c>
      <c r="E181">
        <v>8</v>
      </c>
      <c r="F181" t="s">
        <v>18</v>
      </c>
      <c r="G181" t="s">
        <v>937</v>
      </c>
      <c r="H181" s="1">
        <v>43296</v>
      </c>
    </row>
    <row r="182" spans="1:8" x14ac:dyDescent="0.35">
      <c r="A182" t="s">
        <v>213</v>
      </c>
      <c r="B182" t="s">
        <v>22</v>
      </c>
      <c r="C182" t="s">
        <v>36</v>
      </c>
      <c r="D182" t="s">
        <v>44</v>
      </c>
      <c r="E182">
        <v>2</v>
      </c>
      <c r="F182" t="s">
        <v>38</v>
      </c>
      <c r="G182" t="s">
        <v>937</v>
      </c>
      <c r="H182" s="1">
        <v>42810</v>
      </c>
    </row>
    <row r="183" spans="1:8" x14ac:dyDescent="0.35">
      <c r="A183" t="s">
        <v>214</v>
      </c>
      <c r="B183" t="s">
        <v>17</v>
      </c>
      <c r="C183" t="s">
        <v>27</v>
      </c>
      <c r="D183" t="s">
        <v>34</v>
      </c>
      <c r="E183">
        <v>2</v>
      </c>
      <c r="F183" t="s">
        <v>71</v>
      </c>
      <c r="G183" t="s">
        <v>938</v>
      </c>
      <c r="H183" s="1">
        <v>43449</v>
      </c>
    </row>
    <row r="184" spans="1:8" x14ac:dyDescent="0.35">
      <c r="A184" t="s">
        <v>215</v>
      </c>
      <c r="B184" t="s">
        <v>22</v>
      </c>
      <c r="C184" t="s">
        <v>20</v>
      </c>
      <c r="D184" t="s">
        <v>44</v>
      </c>
      <c r="E184">
        <v>11</v>
      </c>
      <c r="F184" t="s">
        <v>71</v>
      </c>
      <c r="G184" t="s">
        <v>938</v>
      </c>
      <c r="H184" s="1">
        <v>43114</v>
      </c>
    </row>
    <row r="185" spans="1:8" x14ac:dyDescent="0.35">
      <c r="A185" t="s">
        <v>216</v>
      </c>
      <c r="B185" t="s">
        <v>22</v>
      </c>
      <c r="C185" t="s">
        <v>15</v>
      </c>
      <c r="D185" t="s">
        <v>21</v>
      </c>
      <c r="E185">
        <v>12</v>
      </c>
      <c r="F185" t="s">
        <v>23</v>
      </c>
      <c r="G185" t="s">
        <v>938</v>
      </c>
      <c r="H185" s="1">
        <v>45108</v>
      </c>
    </row>
    <row r="186" spans="1:8" x14ac:dyDescent="0.35">
      <c r="A186" t="s">
        <v>217</v>
      </c>
      <c r="B186" t="s">
        <v>17</v>
      </c>
      <c r="C186" t="s">
        <v>20</v>
      </c>
      <c r="D186" t="s">
        <v>21</v>
      </c>
      <c r="E186">
        <v>5</v>
      </c>
      <c r="F186" t="s">
        <v>23</v>
      </c>
      <c r="G186" t="s">
        <v>938</v>
      </c>
      <c r="H186" s="1">
        <v>43589</v>
      </c>
    </row>
    <row r="187" spans="1:8" x14ac:dyDescent="0.35">
      <c r="A187" t="s">
        <v>218</v>
      </c>
      <c r="B187" t="s">
        <v>22</v>
      </c>
      <c r="C187" t="s">
        <v>15</v>
      </c>
      <c r="D187" t="s">
        <v>21</v>
      </c>
      <c r="E187">
        <v>14</v>
      </c>
      <c r="F187" t="s">
        <v>45</v>
      </c>
      <c r="G187" t="s">
        <v>938</v>
      </c>
      <c r="H187" s="1">
        <v>43757</v>
      </c>
    </row>
    <row r="188" spans="1:8" x14ac:dyDescent="0.35">
      <c r="A188" t="s">
        <v>219</v>
      </c>
      <c r="B188" t="s">
        <v>17</v>
      </c>
      <c r="C188" t="s">
        <v>30</v>
      </c>
      <c r="D188" t="s">
        <v>16</v>
      </c>
      <c r="E188">
        <v>7</v>
      </c>
      <c r="F188" t="s">
        <v>45</v>
      </c>
      <c r="G188" t="s">
        <v>938</v>
      </c>
      <c r="H188" s="1">
        <v>42113</v>
      </c>
    </row>
    <row r="189" spans="1:8" x14ac:dyDescent="0.35">
      <c r="A189" t="s">
        <v>220</v>
      </c>
      <c r="B189" t="s">
        <v>22</v>
      </c>
      <c r="C189" t="s">
        <v>20</v>
      </c>
      <c r="D189" t="s">
        <v>34</v>
      </c>
      <c r="E189">
        <v>7</v>
      </c>
      <c r="F189" t="s">
        <v>45</v>
      </c>
      <c r="G189" t="s">
        <v>938</v>
      </c>
      <c r="H189" s="1">
        <v>43526</v>
      </c>
    </row>
    <row r="190" spans="1:8" x14ac:dyDescent="0.35">
      <c r="A190" t="s">
        <v>221</v>
      </c>
      <c r="B190" t="s">
        <v>22</v>
      </c>
      <c r="C190" t="s">
        <v>30</v>
      </c>
      <c r="D190" t="s">
        <v>44</v>
      </c>
      <c r="E190">
        <v>3</v>
      </c>
      <c r="F190" t="s">
        <v>71</v>
      </c>
      <c r="G190" t="s">
        <v>938</v>
      </c>
      <c r="H190" s="1">
        <v>44746</v>
      </c>
    </row>
    <row r="191" spans="1:8" x14ac:dyDescent="0.35">
      <c r="A191" t="s">
        <v>222</v>
      </c>
      <c r="B191" t="s">
        <v>22</v>
      </c>
      <c r="C191" t="s">
        <v>27</v>
      </c>
      <c r="D191" t="s">
        <v>16</v>
      </c>
      <c r="E191">
        <v>0</v>
      </c>
      <c r="F191" t="s">
        <v>71</v>
      </c>
      <c r="G191" t="s">
        <v>938</v>
      </c>
      <c r="H191" s="1">
        <v>44838</v>
      </c>
    </row>
    <row r="192" spans="1:8" x14ac:dyDescent="0.35">
      <c r="A192" t="s">
        <v>223</v>
      </c>
      <c r="B192" t="s">
        <v>22</v>
      </c>
      <c r="C192" t="s">
        <v>36</v>
      </c>
      <c r="D192" t="s">
        <v>16</v>
      </c>
      <c r="E192">
        <v>4</v>
      </c>
      <c r="F192" t="s">
        <v>25</v>
      </c>
      <c r="G192" t="s">
        <v>937</v>
      </c>
      <c r="H192" s="1">
        <v>44503</v>
      </c>
    </row>
    <row r="193" spans="1:8" x14ac:dyDescent="0.35">
      <c r="A193" t="s">
        <v>224</v>
      </c>
      <c r="B193" t="s">
        <v>22</v>
      </c>
      <c r="C193" t="s">
        <v>15</v>
      </c>
      <c r="D193" t="s">
        <v>16</v>
      </c>
      <c r="E193">
        <v>4</v>
      </c>
      <c r="F193" t="s">
        <v>25</v>
      </c>
      <c r="G193" t="s">
        <v>937</v>
      </c>
      <c r="H193" s="1">
        <v>42173</v>
      </c>
    </row>
    <row r="194" spans="1:8" x14ac:dyDescent="0.35">
      <c r="A194" t="s">
        <v>225</v>
      </c>
      <c r="B194" t="s">
        <v>22</v>
      </c>
      <c r="C194" t="s">
        <v>15</v>
      </c>
      <c r="D194" t="s">
        <v>21</v>
      </c>
      <c r="E194">
        <v>15</v>
      </c>
      <c r="F194" t="s">
        <v>18</v>
      </c>
      <c r="G194" t="s">
        <v>937</v>
      </c>
      <c r="H194" s="1">
        <v>42942</v>
      </c>
    </row>
    <row r="195" spans="1:8" x14ac:dyDescent="0.35">
      <c r="A195" t="s">
        <v>226</v>
      </c>
      <c r="B195" t="s">
        <v>22</v>
      </c>
      <c r="C195" t="s">
        <v>15</v>
      </c>
      <c r="D195" t="s">
        <v>44</v>
      </c>
      <c r="E195">
        <v>12</v>
      </c>
      <c r="F195" t="s">
        <v>23</v>
      </c>
      <c r="G195" t="s">
        <v>938</v>
      </c>
      <c r="H195" s="1">
        <v>45564</v>
      </c>
    </row>
    <row r="196" spans="1:8" x14ac:dyDescent="0.35">
      <c r="A196" t="s">
        <v>227</v>
      </c>
      <c r="B196" t="s">
        <v>17</v>
      </c>
      <c r="C196" t="s">
        <v>27</v>
      </c>
      <c r="D196" t="s">
        <v>44</v>
      </c>
      <c r="E196">
        <v>14</v>
      </c>
      <c r="F196" t="s">
        <v>23</v>
      </c>
      <c r="G196" t="s">
        <v>938</v>
      </c>
      <c r="H196" s="1">
        <v>43887</v>
      </c>
    </row>
    <row r="197" spans="1:8" x14ac:dyDescent="0.35">
      <c r="A197" t="s">
        <v>228</v>
      </c>
      <c r="B197" t="s">
        <v>17</v>
      </c>
      <c r="C197" t="s">
        <v>27</v>
      </c>
      <c r="D197" t="s">
        <v>44</v>
      </c>
      <c r="E197">
        <v>3</v>
      </c>
      <c r="F197" t="s">
        <v>28</v>
      </c>
      <c r="G197" t="s">
        <v>937</v>
      </c>
      <c r="H197" s="1">
        <v>43671</v>
      </c>
    </row>
    <row r="198" spans="1:8" x14ac:dyDescent="0.35">
      <c r="A198" t="s">
        <v>229</v>
      </c>
      <c r="B198" t="s">
        <v>17</v>
      </c>
      <c r="C198" t="s">
        <v>30</v>
      </c>
      <c r="D198" t="s">
        <v>21</v>
      </c>
      <c r="E198">
        <v>2</v>
      </c>
      <c r="F198" t="s">
        <v>23</v>
      </c>
      <c r="G198" t="s">
        <v>938</v>
      </c>
      <c r="H198" s="1">
        <v>44920</v>
      </c>
    </row>
    <row r="199" spans="1:8" x14ac:dyDescent="0.35">
      <c r="A199" t="s">
        <v>230</v>
      </c>
      <c r="B199" t="s">
        <v>17</v>
      </c>
      <c r="C199" t="s">
        <v>20</v>
      </c>
      <c r="D199" t="s">
        <v>34</v>
      </c>
      <c r="E199">
        <v>13</v>
      </c>
      <c r="F199" t="s">
        <v>23</v>
      </c>
      <c r="G199" t="s">
        <v>938</v>
      </c>
      <c r="H199" s="1">
        <v>42497</v>
      </c>
    </row>
    <row r="200" spans="1:8" x14ac:dyDescent="0.35">
      <c r="A200" t="s">
        <v>231</v>
      </c>
      <c r="B200" t="s">
        <v>17</v>
      </c>
      <c r="C200" t="s">
        <v>15</v>
      </c>
      <c r="D200" t="s">
        <v>44</v>
      </c>
      <c r="E200">
        <v>15</v>
      </c>
      <c r="F200" t="s">
        <v>25</v>
      </c>
      <c r="G200" t="s">
        <v>937</v>
      </c>
      <c r="H200" s="1">
        <v>43123</v>
      </c>
    </row>
    <row r="201" spans="1:8" x14ac:dyDescent="0.35">
      <c r="A201" t="s">
        <v>232</v>
      </c>
      <c r="B201" t="s">
        <v>17</v>
      </c>
      <c r="C201" t="s">
        <v>36</v>
      </c>
      <c r="D201" t="s">
        <v>16</v>
      </c>
      <c r="E201">
        <v>4</v>
      </c>
      <c r="F201" t="s">
        <v>45</v>
      </c>
      <c r="G201" t="s">
        <v>938</v>
      </c>
      <c r="H201" s="1">
        <v>44756</v>
      </c>
    </row>
    <row r="202" spans="1:8" x14ac:dyDescent="0.35">
      <c r="A202" t="s">
        <v>233</v>
      </c>
      <c r="B202" t="s">
        <v>22</v>
      </c>
      <c r="C202" t="s">
        <v>20</v>
      </c>
      <c r="D202" t="s">
        <v>44</v>
      </c>
      <c r="E202">
        <v>4</v>
      </c>
      <c r="F202" t="s">
        <v>71</v>
      </c>
      <c r="G202" t="s">
        <v>938</v>
      </c>
      <c r="H202" s="1">
        <v>43341</v>
      </c>
    </row>
    <row r="203" spans="1:8" x14ac:dyDescent="0.35">
      <c r="A203" t="s">
        <v>234</v>
      </c>
      <c r="B203" t="s">
        <v>22</v>
      </c>
      <c r="C203" t="s">
        <v>27</v>
      </c>
      <c r="D203" t="s">
        <v>44</v>
      </c>
      <c r="E203">
        <v>3</v>
      </c>
      <c r="F203" t="s">
        <v>71</v>
      </c>
      <c r="G203" t="s">
        <v>938</v>
      </c>
      <c r="H203" s="1">
        <v>42535</v>
      </c>
    </row>
    <row r="204" spans="1:8" x14ac:dyDescent="0.35">
      <c r="A204" t="s">
        <v>235</v>
      </c>
      <c r="B204" t="s">
        <v>22</v>
      </c>
      <c r="C204" t="s">
        <v>20</v>
      </c>
      <c r="D204" t="s">
        <v>21</v>
      </c>
      <c r="E204">
        <v>7</v>
      </c>
      <c r="F204" t="s">
        <v>28</v>
      </c>
      <c r="G204" t="s">
        <v>937</v>
      </c>
      <c r="H204" s="1">
        <v>43061</v>
      </c>
    </row>
    <row r="205" spans="1:8" x14ac:dyDescent="0.35">
      <c r="A205" t="s">
        <v>236</v>
      </c>
      <c r="B205" t="s">
        <v>22</v>
      </c>
      <c r="C205" t="s">
        <v>27</v>
      </c>
      <c r="D205" t="s">
        <v>34</v>
      </c>
      <c r="E205">
        <v>13</v>
      </c>
      <c r="F205" t="s">
        <v>32</v>
      </c>
      <c r="G205" t="s">
        <v>938</v>
      </c>
      <c r="H205" s="1">
        <v>43278</v>
      </c>
    </row>
    <row r="206" spans="1:8" x14ac:dyDescent="0.35">
      <c r="A206" t="s">
        <v>237</v>
      </c>
      <c r="B206" t="s">
        <v>22</v>
      </c>
      <c r="C206" t="s">
        <v>20</v>
      </c>
      <c r="D206" t="s">
        <v>34</v>
      </c>
      <c r="E206">
        <v>11</v>
      </c>
      <c r="F206" t="s">
        <v>45</v>
      </c>
      <c r="G206" t="s">
        <v>938</v>
      </c>
      <c r="H206" s="1">
        <v>42620</v>
      </c>
    </row>
    <row r="207" spans="1:8" x14ac:dyDescent="0.35">
      <c r="A207" t="s">
        <v>238</v>
      </c>
      <c r="B207" t="s">
        <v>22</v>
      </c>
      <c r="C207" t="s">
        <v>36</v>
      </c>
      <c r="D207" t="s">
        <v>34</v>
      </c>
      <c r="E207">
        <v>0</v>
      </c>
      <c r="F207" t="s">
        <v>18</v>
      </c>
      <c r="G207" t="s">
        <v>937</v>
      </c>
      <c r="H207" s="1">
        <v>43202</v>
      </c>
    </row>
    <row r="208" spans="1:8" x14ac:dyDescent="0.35">
      <c r="A208" t="s">
        <v>239</v>
      </c>
      <c r="B208" t="s">
        <v>22</v>
      </c>
      <c r="C208" t="s">
        <v>36</v>
      </c>
      <c r="D208" t="s">
        <v>21</v>
      </c>
      <c r="E208">
        <v>14</v>
      </c>
      <c r="F208" t="s">
        <v>28</v>
      </c>
      <c r="G208" t="s">
        <v>937</v>
      </c>
      <c r="H208" s="1">
        <v>44250</v>
      </c>
    </row>
    <row r="209" spans="1:8" x14ac:dyDescent="0.35">
      <c r="A209" t="s">
        <v>240</v>
      </c>
      <c r="B209" t="s">
        <v>22</v>
      </c>
      <c r="C209" t="s">
        <v>27</v>
      </c>
      <c r="D209" t="s">
        <v>34</v>
      </c>
      <c r="E209">
        <v>4</v>
      </c>
      <c r="F209" t="s">
        <v>25</v>
      </c>
      <c r="G209" t="s">
        <v>937</v>
      </c>
      <c r="H209" s="1">
        <v>45588</v>
      </c>
    </row>
    <row r="210" spans="1:8" x14ac:dyDescent="0.35">
      <c r="A210" t="s">
        <v>241</v>
      </c>
      <c r="B210" t="s">
        <v>17</v>
      </c>
      <c r="C210" t="s">
        <v>15</v>
      </c>
      <c r="D210" t="s">
        <v>21</v>
      </c>
      <c r="E210">
        <v>8</v>
      </c>
      <c r="F210" t="s">
        <v>32</v>
      </c>
      <c r="G210" t="s">
        <v>938</v>
      </c>
      <c r="H210" s="1">
        <v>45276</v>
      </c>
    </row>
    <row r="211" spans="1:8" x14ac:dyDescent="0.35">
      <c r="A211" t="s">
        <v>242</v>
      </c>
      <c r="B211" t="s">
        <v>22</v>
      </c>
      <c r="C211" t="s">
        <v>15</v>
      </c>
      <c r="D211" t="s">
        <v>16</v>
      </c>
      <c r="E211">
        <v>14</v>
      </c>
      <c r="F211" t="s">
        <v>25</v>
      </c>
      <c r="G211" t="s">
        <v>937</v>
      </c>
      <c r="H211" s="1">
        <v>44457</v>
      </c>
    </row>
    <row r="212" spans="1:8" x14ac:dyDescent="0.35">
      <c r="A212" t="s">
        <v>243</v>
      </c>
      <c r="B212" t="s">
        <v>22</v>
      </c>
      <c r="C212" t="s">
        <v>27</v>
      </c>
      <c r="D212" t="s">
        <v>16</v>
      </c>
      <c r="E212">
        <v>7</v>
      </c>
      <c r="F212" t="s">
        <v>71</v>
      </c>
      <c r="G212" t="s">
        <v>938</v>
      </c>
      <c r="H212" s="1">
        <v>45623</v>
      </c>
    </row>
    <row r="213" spans="1:8" x14ac:dyDescent="0.35">
      <c r="A213" t="s">
        <v>244</v>
      </c>
      <c r="B213" t="s">
        <v>17</v>
      </c>
      <c r="C213" t="s">
        <v>27</v>
      </c>
      <c r="D213" t="s">
        <v>16</v>
      </c>
      <c r="E213">
        <v>9</v>
      </c>
      <c r="F213" t="s">
        <v>45</v>
      </c>
      <c r="G213" t="s">
        <v>938</v>
      </c>
      <c r="H213" s="1">
        <v>44175</v>
      </c>
    </row>
    <row r="214" spans="1:8" x14ac:dyDescent="0.35">
      <c r="A214" t="s">
        <v>245</v>
      </c>
      <c r="B214" t="s">
        <v>17</v>
      </c>
      <c r="C214" t="s">
        <v>36</v>
      </c>
      <c r="D214" t="s">
        <v>44</v>
      </c>
      <c r="E214">
        <v>5</v>
      </c>
      <c r="F214" t="s">
        <v>18</v>
      </c>
      <c r="G214" t="s">
        <v>937</v>
      </c>
      <c r="H214" s="1">
        <v>45291</v>
      </c>
    </row>
    <row r="215" spans="1:8" x14ac:dyDescent="0.35">
      <c r="A215" t="s">
        <v>246</v>
      </c>
      <c r="B215" t="s">
        <v>17</v>
      </c>
      <c r="C215" t="s">
        <v>27</v>
      </c>
      <c r="D215" t="s">
        <v>34</v>
      </c>
      <c r="E215">
        <v>13</v>
      </c>
      <c r="F215" t="s">
        <v>71</v>
      </c>
      <c r="G215" t="s">
        <v>938</v>
      </c>
      <c r="H215" s="1">
        <v>43461</v>
      </c>
    </row>
    <row r="216" spans="1:8" x14ac:dyDescent="0.35">
      <c r="A216" t="s">
        <v>247</v>
      </c>
      <c r="B216" t="s">
        <v>17</v>
      </c>
      <c r="C216" t="s">
        <v>15</v>
      </c>
      <c r="D216" t="s">
        <v>16</v>
      </c>
      <c r="E216">
        <v>11</v>
      </c>
      <c r="F216" t="s">
        <v>71</v>
      </c>
      <c r="G216" t="s">
        <v>938</v>
      </c>
      <c r="H216" s="1">
        <v>43751</v>
      </c>
    </row>
    <row r="217" spans="1:8" x14ac:dyDescent="0.35">
      <c r="A217" t="s">
        <v>248</v>
      </c>
      <c r="B217" t="s">
        <v>22</v>
      </c>
      <c r="C217" t="s">
        <v>27</v>
      </c>
      <c r="D217" t="s">
        <v>44</v>
      </c>
      <c r="E217">
        <v>0</v>
      </c>
      <c r="F217" t="s">
        <v>28</v>
      </c>
      <c r="G217" t="s">
        <v>937</v>
      </c>
      <c r="H217" s="1">
        <v>43458</v>
      </c>
    </row>
    <row r="218" spans="1:8" x14ac:dyDescent="0.35">
      <c r="A218" t="s">
        <v>249</v>
      </c>
      <c r="B218" t="s">
        <v>17</v>
      </c>
      <c r="C218" t="s">
        <v>20</v>
      </c>
      <c r="D218" t="s">
        <v>21</v>
      </c>
      <c r="E218">
        <v>4</v>
      </c>
      <c r="F218" t="s">
        <v>45</v>
      </c>
      <c r="G218" t="s">
        <v>938</v>
      </c>
      <c r="H218" s="1">
        <v>44169</v>
      </c>
    </row>
    <row r="219" spans="1:8" x14ac:dyDescent="0.35">
      <c r="A219" t="s">
        <v>250</v>
      </c>
      <c r="B219" t="s">
        <v>22</v>
      </c>
      <c r="C219" t="s">
        <v>36</v>
      </c>
      <c r="D219" t="s">
        <v>34</v>
      </c>
      <c r="E219">
        <v>1</v>
      </c>
      <c r="F219" t="s">
        <v>38</v>
      </c>
      <c r="G219" t="s">
        <v>937</v>
      </c>
      <c r="H219" s="1">
        <v>45063</v>
      </c>
    </row>
    <row r="220" spans="1:8" x14ac:dyDescent="0.35">
      <c r="A220" t="s">
        <v>251</v>
      </c>
      <c r="B220" t="s">
        <v>22</v>
      </c>
      <c r="C220" t="s">
        <v>27</v>
      </c>
      <c r="D220" t="s">
        <v>34</v>
      </c>
      <c r="E220">
        <v>8</v>
      </c>
      <c r="F220" t="s">
        <v>28</v>
      </c>
      <c r="G220" t="s">
        <v>937</v>
      </c>
      <c r="H220" s="1">
        <v>44264</v>
      </c>
    </row>
    <row r="221" spans="1:8" x14ac:dyDescent="0.35">
      <c r="A221" t="s">
        <v>252</v>
      </c>
      <c r="B221" t="s">
        <v>17</v>
      </c>
      <c r="C221" t="s">
        <v>27</v>
      </c>
      <c r="D221" t="s">
        <v>44</v>
      </c>
      <c r="E221">
        <v>3</v>
      </c>
      <c r="F221" t="s">
        <v>18</v>
      </c>
      <c r="G221" t="s">
        <v>937</v>
      </c>
      <c r="H221" s="1">
        <v>43341</v>
      </c>
    </row>
    <row r="222" spans="1:8" x14ac:dyDescent="0.35">
      <c r="A222" t="s">
        <v>253</v>
      </c>
      <c r="B222" t="s">
        <v>17</v>
      </c>
      <c r="C222" t="s">
        <v>36</v>
      </c>
      <c r="D222" t="s">
        <v>44</v>
      </c>
      <c r="E222">
        <v>15</v>
      </c>
      <c r="F222" t="s">
        <v>18</v>
      </c>
      <c r="G222" t="s">
        <v>937</v>
      </c>
      <c r="H222" s="1">
        <v>44638</v>
      </c>
    </row>
    <row r="223" spans="1:8" x14ac:dyDescent="0.35">
      <c r="A223" t="s">
        <v>254</v>
      </c>
      <c r="B223" t="s">
        <v>22</v>
      </c>
      <c r="C223" t="s">
        <v>27</v>
      </c>
      <c r="D223" t="s">
        <v>34</v>
      </c>
      <c r="E223">
        <v>10</v>
      </c>
      <c r="F223" t="s">
        <v>71</v>
      </c>
      <c r="G223" t="s">
        <v>938</v>
      </c>
      <c r="H223" s="1">
        <v>44493</v>
      </c>
    </row>
    <row r="224" spans="1:8" x14ac:dyDescent="0.35">
      <c r="A224" t="s">
        <v>255</v>
      </c>
      <c r="B224" t="s">
        <v>17</v>
      </c>
      <c r="C224" t="s">
        <v>15</v>
      </c>
      <c r="D224" t="s">
        <v>16</v>
      </c>
      <c r="E224">
        <v>12</v>
      </c>
      <c r="F224" t="s">
        <v>32</v>
      </c>
      <c r="G224" t="s">
        <v>938</v>
      </c>
      <c r="H224" s="1">
        <v>42335</v>
      </c>
    </row>
    <row r="225" spans="1:8" x14ac:dyDescent="0.35">
      <c r="A225" t="s">
        <v>256</v>
      </c>
      <c r="B225" t="s">
        <v>17</v>
      </c>
      <c r="C225" t="s">
        <v>20</v>
      </c>
      <c r="D225" t="s">
        <v>21</v>
      </c>
      <c r="E225">
        <v>0</v>
      </c>
      <c r="F225" t="s">
        <v>71</v>
      </c>
      <c r="G225" t="s">
        <v>938</v>
      </c>
      <c r="H225" s="1">
        <v>42571</v>
      </c>
    </row>
    <row r="226" spans="1:8" x14ac:dyDescent="0.35">
      <c r="A226" t="s">
        <v>257</v>
      </c>
      <c r="B226" t="s">
        <v>17</v>
      </c>
      <c r="C226" t="s">
        <v>30</v>
      </c>
      <c r="D226" t="s">
        <v>21</v>
      </c>
      <c r="E226">
        <v>12</v>
      </c>
      <c r="F226" t="s">
        <v>71</v>
      </c>
      <c r="G226" t="s">
        <v>938</v>
      </c>
      <c r="H226" s="1">
        <v>43711</v>
      </c>
    </row>
    <row r="227" spans="1:8" x14ac:dyDescent="0.35">
      <c r="A227" t="s">
        <v>258</v>
      </c>
      <c r="B227" t="s">
        <v>17</v>
      </c>
      <c r="C227" t="s">
        <v>15</v>
      </c>
      <c r="D227" t="s">
        <v>16</v>
      </c>
      <c r="E227">
        <v>12</v>
      </c>
      <c r="F227" t="s">
        <v>38</v>
      </c>
      <c r="G227" t="s">
        <v>937</v>
      </c>
      <c r="H227" s="1">
        <v>42199</v>
      </c>
    </row>
    <row r="228" spans="1:8" x14ac:dyDescent="0.35">
      <c r="A228" t="s">
        <v>259</v>
      </c>
      <c r="B228" t="s">
        <v>22</v>
      </c>
      <c r="C228" t="s">
        <v>15</v>
      </c>
      <c r="D228" t="s">
        <v>21</v>
      </c>
      <c r="E228">
        <v>7</v>
      </c>
      <c r="F228" t="s">
        <v>45</v>
      </c>
      <c r="G228" t="s">
        <v>938</v>
      </c>
      <c r="H228" s="1">
        <v>42172</v>
      </c>
    </row>
    <row r="229" spans="1:8" x14ac:dyDescent="0.35">
      <c r="A229" t="s">
        <v>260</v>
      </c>
      <c r="B229" t="s">
        <v>22</v>
      </c>
      <c r="C229" t="s">
        <v>36</v>
      </c>
      <c r="D229" t="s">
        <v>16</v>
      </c>
      <c r="E229">
        <v>3</v>
      </c>
      <c r="F229" t="s">
        <v>71</v>
      </c>
      <c r="G229" t="s">
        <v>938</v>
      </c>
      <c r="H229" s="1">
        <v>44990</v>
      </c>
    </row>
    <row r="230" spans="1:8" x14ac:dyDescent="0.35">
      <c r="A230" t="s">
        <v>261</v>
      </c>
      <c r="B230" t="s">
        <v>17</v>
      </c>
      <c r="C230" t="s">
        <v>15</v>
      </c>
      <c r="D230" t="s">
        <v>34</v>
      </c>
      <c r="E230">
        <v>4</v>
      </c>
      <c r="F230" t="s">
        <v>45</v>
      </c>
      <c r="G230" t="s">
        <v>938</v>
      </c>
      <c r="H230" s="1">
        <v>45200</v>
      </c>
    </row>
    <row r="231" spans="1:8" x14ac:dyDescent="0.35">
      <c r="A231" t="s">
        <v>262</v>
      </c>
      <c r="B231" t="s">
        <v>17</v>
      </c>
      <c r="C231" t="s">
        <v>36</v>
      </c>
      <c r="D231" t="s">
        <v>16</v>
      </c>
      <c r="E231">
        <v>4</v>
      </c>
      <c r="F231" t="s">
        <v>18</v>
      </c>
      <c r="G231" t="s">
        <v>937</v>
      </c>
      <c r="H231" s="1">
        <v>42376</v>
      </c>
    </row>
    <row r="232" spans="1:8" x14ac:dyDescent="0.35">
      <c r="A232" t="s">
        <v>263</v>
      </c>
      <c r="B232" t="s">
        <v>17</v>
      </c>
      <c r="C232" t="s">
        <v>15</v>
      </c>
      <c r="D232" t="s">
        <v>21</v>
      </c>
      <c r="E232">
        <v>13</v>
      </c>
      <c r="F232" t="s">
        <v>45</v>
      </c>
      <c r="G232" t="s">
        <v>938</v>
      </c>
      <c r="H232" s="1">
        <v>45485</v>
      </c>
    </row>
    <row r="233" spans="1:8" x14ac:dyDescent="0.35">
      <c r="A233" t="s">
        <v>264</v>
      </c>
      <c r="B233" t="s">
        <v>17</v>
      </c>
      <c r="C233" t="s">
        <v>27</v>
      </c>
      <c r="D233" t="s">
        <v>21</v>
      </c>
      <c r="E233">
        <v>10</v>
      </c>
      <c r="F233" t="s">
        <v>71</v>
      </c>
      <c r="G233" t="s">
        <v>938</v>
      </c>
      <c r="H233" s="1">
        <v>42221</v>
      </c>
    </row>
    <row r="234" spans="1:8" x14ac:dyDescent="0.35">
      <c r="A234" t="s">
        <v>265</v>
      </c>
      <c r="B234" t="s">
        <v>17</v>
      </c>
      <c r="C234" t="s">
        <v>36</v>
      </c>
      <c r="D234" t="s">
        <v>21</v>
      </c>
      <c r="E234">
        <v>10</v>
      </c>
      <c r="F234" t="s">
        <v>18</v>
      </c>
      <c r="G234" t="s">
        <v>937</v>
      </c>
      <c r="H234" s="1">
        <v>45559</v>
      </c>
    </row>
    <row r="235" spans="1:8" x14ac:dyDescent="0.35">
      <c r="A235" t="s">
        <v>266</v>
      </c>
      <c r="B235" t="s">
        <v>22</v>
      </c>
      <c r="C235" t="s">
        <v>20</v>
      </c>
      <c r="D235" t="s">
        <v>16</v>
      </c>
      <c r="E235">
        <v>5</v>
      </c>
      <c r="F235" t="s">
        <v>45</v>
      </c>
      <c r="G235" t="s">
        <v>938</v>
      </c>
      <c r="H235" s="1">
        <v>43806</v>
      </c>
    </row>
    <row r="236" spans="1:8" x14ac:dyDescent="0.35">
      <c r="A236" t="s">
        <v>267</v>
      </c>
      <c r="B236" t="s">
        <v>17</v>
      </c>
      <c r="C236" t="s">
        <v>30</v>
      </c>
      <c r="D236" t="s">
        <v>21</v>
      </c>
      <c r="E236">
        <v>0</v>
      </c>
      <c r="F236" t="s">
        <v>45</v>
      </c>
      <c r="G236" t="s">
        <v>938</v>
      </c>
      <c r="H236" s="1">
        <v>44084</v>
      </c>
    </row>
    <row r="237" spans="1:8" x14ac:dyDescent="0.35">
      <c r="A237" t="s">
        <v>268</v>
      </c>
      <c r="B237" t="s">
        <v>17</v>
      </c>
      <c r="C237" t="s">
        <v>27</v>
      </c>
      <c r="D237" t="s">
        <v>21</v>
      </c>
      <c r="E237">
        <v>5</v>
      </c>
      <c r="F237" t="s">
        <v>28</v>
      </c>
      <c r="G237" t="s">
        <v>937</v>
      </c>
      <c r="H237" s="1">
        <v>43056</v>
      </c>
    </row>
    <row r="238" spans="1:8" x14ac:dyDescent="0.35">
      <c r="A238" t="s">
        <v>269</v>
      </c>
      <c r="B238" t="s">
        <v>17</v>
      </c>
      <c r="C238" t="s">
        <v>15</v>
      </c>
      <c r="D238" t="s">
        <v>34</v>
      </c>
      <c r="E238">
        <v>2</v>
      </c>
      <c r="F238" t="s">
        <v>32</v>
      </c>
      <c r="G238" t="s">
        <v>938</v>
      </c>
      <c r="H238" s="1">
        <v>43891</v>
      </c>
    </row>
    <row r="239" spans="1:8" x14ac:dyDescent="0.35">
      <c r="A239" t="s">
        <v>270</v>
      </c>
      <c r="B239" t="s">
        <v>22</v>
      </c>
      <c r="C239" t="s">
        <v>36</v>
      </c>
      <c r="D239" t="s">
        <v>21</v>
      </c>
      <c r="E239">
        <v>7</v>
      </c>
      <c r="F239" t="s">
        <v>25</v>
      </c>
      <c r="G239" t="s">
        <v>937</v>
      </c>
      <c r="H239" s="1">
        <v>43578</v>
      </c>
    </row>
    <row r="240" spans="1:8" x14ac:dyDescent="0.35">
      <c r="A240" t="s">
        <v>271</v>
      </c>
      <c r="B240" t="s">
        <v>22</v>
      </c>
      <c r="C240" t="s">
        <v>15</v>
      </c>
      <c r="D240" t="s">
        <v>44</v>
      </c>
      <c r="E240">
        <v>4</v>
      </c>
      <c r="F240" t="s">
        <v>25</v>
      </c>
      <c r="G240" t="s">
        <v>937</v>
      </c>
      <c r="H240" s="1">
        <v>43797</v>
      </c>
    </row>
    <row r="241" spans="1:8" x14ac:dyDescent="0.35">
      <c r="A241" t="s">
        <v>272</v>
      </c>
      <c r="B241" t="s">
        <v>22</v>
      </c>
      <c r="C241" t="s">
        <v>36</v>
      </c>
      <c r="D241" t="s">
        <v>16</v>
      </c>
      <c r="E241">
        <v>4</v>
      </c>
      <c r="F241" t="s">
        <v>71</v>
      </c>
      <c r="G241" t="s">
        <v>938</v>
      </c>
      <c r="H241" s="1">
        <v>45045</v>
      </c>
    </row>
    <row r="242" spans="1:8" x14ac:dyDescent="0.35">
      <c r="A242" t="s">
        <v>273</v>
      </c>
      <c r="B242" t="s">
        <v>22</v>
      </c>
      <c r="C242" t="s">
        <v>27</v>
      </c>
      <c r="D242" t="s">
        <v>21</v>
      </c>
      <c r="E242">
        <v>11</v>
      </c>
      <c r="F242" t="s">
        <v>23</v>
      </c>
      <c r="G242" t="s">
        <v>938</v>
      </c>
      <c r="H242" s="1">
        <v>45512</v>
      </c>
    </row>
    <row r="243" spans="1:8" x14ac:dyDescent="0.35">
      <c r="A243" t="s">
        <v>274</v>
      </c>
      <c r="B243" t="s">
        <v>22</v>
      </c>
      <c r="C243" t="s">
        <v>15</v>
      </c>
      <c r="D243" t="s">
        <v>44</v>
      </c>
      <c r="E243">
        <v>12</v>
      </c>
      <c r="F243" t="s">
        <v>23</v>
      </c>
      <c r="G243" t="s">
        <v>938</v>
      </c>
      <c r="H243" s="1">
        <v>42935</v>
      </c>
    </row>
    <row r="244" spans="1:8" x14ac:dyDescent="0.35">
      <c r="A244" t="s">
        <v>275</v>
      </c>
      <c r="B244" t="s">
        <v>17</v>
      </c>
      <c r="C244" t="s">
        <v>15</v>
      </c>
      <c r="D244" t="s">
        <v>16</v>
      </c>
      <c r="E244">
        <v>9</v>
      </c>
      <c r="F244" t="s">
        <v>25</v>
      </c>
      <c r="G244" t="s">
        <v>937</v>
      </c>
      <c r="H244" s="1">
        <v>45399</v>
      </c>
    </row>
    <row r="245" spans="1:8" x14ac:dyDescent="0.35">
      <c r="A245" t="s">
        <v>276</v>
      </c>
      <c r="B245" t="s">
        <v>22</v>
      </c>
      <c r="C245" t="s">
        <v>15</v>
      </c>
      <c r="D245" t="s">
        <v>21</v>
      </c>
      <c r="E245">
        <v>13</v>
      </c>
      <c r="F245" t="s">
        <v>25</v>
      </c>
      <c r="G245" t="s">
        <v>937</v>
      </c>
      <c r="H245" s="1">
        <v>44887</v>
      </c>
    </row>
    <row r="246" spans="1:8" x14ac:dyDescent="0.35">
      <c r="A246" t="s">
        <v>277</v>
      </c>
      <c r="B246" t="s">
        <v>22</v>
      </c>
      <c r="C246" t="s">
        <v>30</v>
      </c>
      <c r="D246" t="s">
        <v>21</v>
      </c>
      <c r="E246">
        <v>5</v>
      </c>
      <c r="F246" t="s">
        <v>71</v>
      </c>
      <c r="G246" t="s">
        <v>938</v>
      </c>
      <c r="H246" s="1">
        <v>44878</v>
      </c>
    </row>
    <row r="247" spans="1:8" x14ac:dyDescent="0.35">
      <c r="A247" t="s">
        <v>278</v>
      </c>
      <c r="B247" t="s">
        <v>22</v>
      </c>
      <c r="C247" t="s">
        <v>20</v>
      </c>
      <c r="D247" t="s">
        <v>21</v>
      </c>
      <c r="E247">
        <v>4</v>
      </c>
      <c r="F247" t="s">
        <v>25</v>
      </c>
      <c r="G247" t="s">
        <v>937</v>
      </c>
      <c r="H247" s="1">
        <v>44985</v>
      </c>
    </row>
    <row r="248" spans="1:8" x14ac:dyDescent="0.35">
      <c r="A248" t="s">
        <v>279</v>
      </c>
      <c r="B248" t="s">
        <v>17</v>
      </c>
      <c r="C248" t="s">
        <v>27</v>
      </c>
      <c r="D248" t="s">
        <v>44</v>
      </c>
      <c r="E248">
        <v>0</v>
      </c>
      <c r="F248" t="s">
        <v>71</v>
      </c>
      <c r="G248" t="s">
        <v>938</v>
      </c>
      <c r="H248" s="1">
        <v>42318</v>
      </c>
    </row>
    <row r="249" spans="1:8" x14ac:dyDescent="0.35">
      <c r="A249" t="s">
        <v>280</v>
      </c>
      <c r="B249" t="s">
        <v>17</v>
      </c>
      <c r="C249" t="s">
        <v>30</v>
      </c>
      <c r="D249" t="s">
        <v>16</v>
      </c>
      <c r="E249">
        <v>12</v>
      </c>
      <c r="F249" t="s">
        <v>28</v>
      </c>
      <c r="G249" t="s">
        <v>937</v>
      </c>
      <c r="H249" s="1">
        <v>42391</v>
      </c>
    </row>
    <row r="250" spans="1:8" x14ac:dyDescent="0.35">
      <c r="A250" t="s">
        <v>281</v>
      </c>
      <c r="B250" t="s">
        <v>17</v>
      </c>
      <c r="C250" t="s">
        <v>36</v>
      </c>
      <c r="D250" t="s">
        <v>16</v>
      </c>
      <c r="E250">
        <v>7</v>
      </c>
      <c r="F250" t="s">
        <v>45</v>
      </c>
      <c r="G250" t="s">
        <v>938</v>
      </c>
      <c r="H250" s="1">
        <v>44087</v>
      </c>
    </row>
    <row r="251" spans="1:8" x14ac:dyDescent="0.35">
      <c r="A251" t="s">
        <v>282</v>
      </c>
      <c r="B251" t="s">
        <v>17</v>
      </c>
      <c r="C251" t="s">
        <v>15</v>
      </c>
      <c r="D251" t="s">
        <v>44</v>
      </c>
      <c r="E251">
        <v>15</v>
      </c>
      <c r="F251" t="s">
        <v>25</v>
      </c>
      <c r="G251" t="s">
        <v>937</v>
      </c>
      <c r="H251" s="1">
        <v>42352</v>
      </c>
    </row>
    <row r="252" spans="1:8" x14ac:dyDescent="0.35">
      <c r="A252" t="s">
        <v>283</v>
      </c>
      <c r="B252" t="s">
        <v>17</v>
      </c>
      <c r="C252" t="s">
        <v>36</v>
      </c>
      <c r="D252" t="s">
        <v>44</v>
      </c>
      <c r="E252">
        <v>8</v>
      </c>
      <c r="F252" t="s">
        <v>32</v>
      </c>
      <c r="G252" t="s">
        <v>938</v>
      </c>
      <c r="H252" s="1">
        <v>44900</v>
      </c>
    </row>
    <row r="253" spans="1:8" x14ac:dyDescent="0.35">
      <c r="A253" t="s">
        <v>284</v>
      </c>
      <c r="B253" t="s">
        <v>22</v>
      </c>
      <c r="C253" t="s">
        <v>36</v>
      </c>
      <c r="D253" t="s">
        <v>44</v>
      </c>
      <c r="E253">
        <v>15</v>
      </c>
      <c r="F253" t="s">
        <v>23</v>
      </c>
      <c r="G253" t="s">
        <v>938</v>
      </c>
      <c r="H253" s="1">
        <v>42159</v>
      </c>
    </row>
    <row r="254" spans="1:8" x14ac:dyDescent="0.35">
      <c r="A254" t="s">
        <v>285</v>
      </c>
      <c r="B254" t="s">
        <v>17</v>
      </c>
      <c r="C254" t="s">
        <v>15</v>
      </c>
      <c r="D254" t="s">
        <v>34</v>
      </c>
      <c r="E254">
        <v>0</v>
      </c>
      <c r="F254" t="s">
        <v>23</v>
      </c>
      <c r="G254" t="s">
        <v>938</v>
      </c>
      <c r="H254" s="1">
        <v>42875</v>
      </c>
    </row>
    <row r="255" spans="1:8" x14ac:dyDescent="0.35">
      <c r="A255" t="s">
        <v>286</v>
      </c>
      <c r="B255" t="s">
        <v>17</v>
      </c>
      <c r="C255" t="s">
        <v>36</v>
      </c>
      <c r="D255" t="s">
        <v>44</v>
      </c>
      <c r="E255">
        <v>0</v>
      </c>
      <c r="F255" t="s">
        <v>45</v>
      </c>
      <c r="G255" t="s">
        <v>938</v>
      </c>
      <c r="H255" s="1">
        <v>43399</v>
      </c>
    </row>
    <row r="256" spans="1:8" x14ac:dyDescent="0.35">
      <c r="A256" t="s">
        <v>287</v>
      </c>
      <c r="B256" t="s">
        <v>17</v>
      </c>
      <c r="C256" t="s">
        <v>27</v>
      </c>
      <c r="D256" t="s">
        <v>34</v>
      </c>
      <c r="E256">
        <v>3</v>
      </c>
      <c r="F256" t="s">
        <v>18</v>
      </c>
      <c r="G256" t="s">
        <v>937</v>
      </c>
      <c r="H256" s="1">
        <v>43637</v>
      </c>
    </row>
    <row r="257" spans="1:8" x14ac:dyDescent="0.35">
      <c r="A257" t="s">
        <v>288</v>
      </c>
      <c r="B257" t="s">
        <v>22</v>
      </c>
      <c r="C257" t="s">
        <v>30</v>
      </c>
      <c r="D257" t="s">
        <v>44</v>
      </c>
      <c r="E257">
        <v>14</v>
      </c>
      <c r="F257" t="s">
        <v>18</v>
      </c>
      <c r="G257" t="s">
        <v>937</v>
      </c>
      <c r="H257" s="1">
        <v>43909</v>
      </c>
    </row>
    <row r="258" spans="1:8" x14ac:dyDescent="0.35">
      <c r="A258" t="s">
        <v>289</v>
      </c>
      <c r="B258" t="s">
        <v>22</v>
      </c>
      <c r="C258" t="s">
        <v>30</v>
      </c>
      <c r="D258" t="s">
        <v>44</v>
      </c>
      <c r="E258">
        <v>15</v>
      </c>
      <c r="F258" t="s">
        <v>23</v>
      </c>
      <c r="G258" t="s">
        <v>938</v>
      </c>
      <c r="H258" s="1">
        <v>43906</v>
      </c>
    </row>
    <row r="259" spans="1:8" x14ac:dyDescent="0.35">
      <c r="A259" t="s">
        <v>290</v>
      </c>
      <c r="B259" t="s">
        <v>22</v>
      </c>
      <c r="C259" t="s">
        <v>36</v>
      </c>
      <c r="D259" t="s">
        <v>44</v>
      </c>
      <c r="E259">
        <v>3</v>
      </c>
      <c r="F259" t="s">
        <v>25</v>
      </c>
      <c r="G259" t="s">
        <v>937</v>
      </c>
      <c r="H259" s="1">
        <v>43406</v>
      </c>
    </row>
    <row r="260" spans="1:8" x14ac:dyDescent="0.35">
      <c r="A260" t="s">
        <v>291</v>
      </c>
      <c r="B260" t="s">
        <v>22</v>
      </c>
      <c r="C260" t="s">
        <v>20</v>
      </c>
      <c r="D260" t="s">
        <v>21</v>
      </c>
      <c r="E260">
        <v>6</v>
      </c>
      <c r="F260" t="s">
        <v>18</v>
      </c>
      <c r="G260" t="s">
        <v>937</v>
      </c>
      <c r="H260" s="1">
        <v>42195</v>
      </c>
    </row>
    <row r="261" spans="1:8" x14ac:dyDescent="0.35">
      <c r="A261" t="s">
        <v>292</v>
      </c>
      <c r="B261" t="s">
        <v>17</v>
      </c>
      <c r="C261" t="s">
        <v>20</v>
      </c>
      <c r="D261" t="s">
        <v>16</v>
      </c>
      <c r="E261">
        <v>2</v>
      </c>
      <c r="F261" t="s">
        <v>45</v>
      </c>
      <c r="G261" t="s">
        <v>938</v>
      </c>
      <c r="H261" s="1">
        <v>43400</v>
      </c>
    </row>
    <row r="262" spans="1:8" x14ac:dyDescent="0.35">
      <c r="A262" t="s">
        <v>293</v>
      </c>
      <c r="B262" t="s">
        <v>22</v>
      </c>
      <c r="C262" t="s">
        <v>15</v>
      </c>
      <c r="D262" t="s">
        <v>44</v>
      </c>
      <c r="E262">
        <v>14</v>
      </c>
      <c r="F262" t="s">
        <v>45</v>
      </c>
      <c r="G262" t="s">
        <v>938</v>
      </c>
      <c r="H262" s="1">
        <v>45629</v>
      </c>
    </row>
    <row r="263" spans="1:8" x14ac:dyDescent="0.35">
      <c r="A263" t="s">
        <v>294</v>
      </c>
      <c r="B263" t="s">
        <v>17</v>
      </c>
      <c r="C263" t="s">
        <v>15</v>
      </c>
      <c r="D263" t="s">
        <v>21</v>
      </c>
      <c r="E263">
        <v>0</v>
      </c>
      <c r="F263" t="s">
        <v>28</v>
      </c>
      <c r="G263" t="s">
        <v>937</v>
      </c>
      <c r="H263" s="1">
        <v>42474</v>
      </c>
    </row>
    <row r="264" spans="1:8" x14ac:dyDescent="0.35">
      <c r="A264" t="s">
        <v>295</v>
      </c>
      <c r="B264" t="s">
        <v>17</v>
      </c>
      <c r="C264" t="s">
        <v>27</v>
      </c>
      <c r="D264" t="s">
        <v>44</v>
      </c>
      <c r="E264">
        <v>10</v>
      </c>
      <c r="F264" t="s">
        <v>45</v>
      </c>
      <c r="G264" t="s">
        <v>938</v>
      </c>
      <c r="H264" s="1">
        <v>42528</v>
      </c>
    </row>
    <row r="265" spans="1:8" x14ac:dyDescent="0.35">
      <c r="A265" t="s">
        <v>296</v>
      </c>
      <c r="B265" t="s">
        <v>17</v>
      </c>
      <c r="C265" t="s">
        <v>20</v>
      </c>
      <c r="D265" t="s">
        <v>34</v>
      </c>
      <c r="E265">
        <v>4</v>
      </c>
      <c r="F265" t="s">
        <v>45</v>
      </c>
      <c r="G265" t="s">
        <v>938</v>
      </c>
      <c r="H265" s="1">
        <v>45404</v>
      </c>
    </row>
    <row r="266" spans="1:8" x14ac:dyDescent="0.35">
      <c r="A266" t="s">
        <v>297</v>
      </c>
      <c r="B266" t="s">
        <v>17</v>
      </c>
      <c r="C266" t="s">
        <v>36</v>
      </c>
      <c r="D266" t="s">
        <v>44</v>
      </c>
      <c r="E266">
        <v>5</v>
      </c>
      <c r="F266" t="s">
        <v>18</v>
      </c>
      <c r="G266" t="s">
        <v>937</v>
      </c>
      <c r="H266" s="1">
        <v>43850</v>
      </c>
    </row>
    <row r="267" spans="1:8" x14ac:dyDescent="0.35">
      <c r="A267" t="s">
        <v>298</v>
      </c>
      <c r="B267" t="s">
        <v>22</v>
      </c>
      <c r="C267" t="s">
        <v>30</v>
      </c>
      <c r="D267" t="s">
        <v>34</v>
      </c>
      <c r="E267">
        <v>6</v>
      </c>
      <c r="F267" t="s">
        <v>71</v>
      </c>
      <c r="G267" t="s">
        <v>938</v>
      </c>
      <c r="H267" s="1">
        <v>43677</v>
      </c>
    </row>
    <row r="268" spans="1:8" x14ac:dyDescent="0.35">
      <c r="A268" t="s">
        <v>299</v>
      </c>
      <c r="B268" t="s">
        <v>17</v>
      </c>
      <c r="C268" t="s">
        <v>36</v>
      </c>
      <c r="D268" t="s">
        <v>16</v>
      </c>
      <c r="E268">
        <v>9</v>
      </c>
      <c r="F268" t="s">
        <v>45</v>
      </c>
      <c r="G268" t="s">
        <v>938</v>
      </c>
      <c r="H268" s="1">
        <v>42835</v>
      </c>
    </row>
    <row r="269" spans="1:8" x14ac:dyDescent="0.35">
      <c r="A269" t="s">
        <v>300</v>
      </c>
      <c r="B269" t="s">
        <v>22</v>
      </c>
      <c r="C269" t="s">
        <v>15</v>
      </c>
      <c r="D269" t="s">
        <v>21</v>
      </c>
      <c r="E269">
        <v>1</v>
      </c>
      <c r="F269" t="s">
        <v>18</v>
      </c>
      <c r="G269" t="s">
        <v>937</v>
      </c>
      <c r="H269" s="1">
        <v>44647</v>
      </c>
    </row>
    <row r="270" spans="1:8" x14ac:dyDescent="0.35">
      <c r="A270" t="s">
        <v>301</v>
      </c>
      <c r="B270" t="s">
        <v>22</v>
      </c>
      <c r="C270" t="s">
        <v>36</v>
      </c>
      <c r="D270" t="s">
        <v>16</v>
      </c>
      <c r="E270">
        <v>4</v>
      </c>
      <c r="F270" t="s">
        <v>45</v>
      </c>
      <c r="G270" t="s">
        <v>938</v>
      </c>
      <c r="H270" s="1">
        <v>44145</v>
      </c>
    </row>
    <row r="271" spans="1:8" x14ac:dyDescent="0.35">
      <c r="A271" t="s">
        <v>302</v>
      </c>
      <c r="B271" t="s">
        <v>22</v>
      </c>
      <c r="C271" t="s">
        <v>27</v>
      </c>
      <c r="D271" t="s">
        <v>16</v>
      </c>
      <c r="E271">
        <v>12</v>
      </c>
      <c r="F271" t="s">
        <v>25</v>
      </c>
      <c r="G271" t="s">
        <v>937</v>
      </c>
      <c r="H271" s="1">
        <v>43369</v>
      </c>
    </row>
    <row r="272" spans="1:8" x14ac:dyDescent="0.35">
      <c r="A272" t="s">
        <v>303</v>
      </c>
      <c r="B272" t="s">
        <v>22</v>
      </c>
      <c r="C272" t="s">
        <v>30</v>
      </c>
      <c r="D272" t="s">
        <v>44</v>
      </c>
      <c r="E272">
        <v>11</v>
      </c>
      <c r="F272" t="s">
        <v>45</v>
      </c>
      <c r="G272" t="s">
        <v>938</v>
      </c>
      <c r="H272" s="1">
        <v>42495</v>
      </c>
    </row>
    <row r="273" spans="1:8" x14ac:dyDescent="0.35">
      <c r="A273" t="s">
        <v>304</v>
      </c>
      <c r="B273" t="s">
        <v>17</v>
      </c>
      <c r="C273" t="s">
        <v>20</v>
      </c>
      <c r="D273" t="s">
        <v>34</v>
      </c>
      <c r="E273">
        <v>11</v>
      </c>
      <c r="F273" t="s">
        <v>71</v>
      </c>
      <c r="G273" t="s">
        <v>938</v>
      </c>
      <c r="H273" s="1">
        <v>45071</v>
      </c>
    </row>
    <row r="274" spans="1:8" x14ac:dyDescent="0.35">
      <c r="A274" t="s">
        <v>305</v>
      </c>
      <c r="B274" t="s">
        <v>17</v>
      </c>
      <c r="C274" t="s">
        <v>30</v>
      </c>
      <c r="D274" t="s">
        <v>34</v>
      </c>
      <c r="E274">
        <v>2</v>
      </c>
      <c r="F274" t="s">
        <v>28</v>
      </c>
      <c r="G274" t="s">
        <v>937</v>
      </c>
      <c r="H274" s="1">
        <v>43396</v>
      </c>
    </row>
    <row r="275" spans="1:8" x14ac:dyDescent="0.35">
      <c r="A275" t="s">
        <v>306</v>
      </c>
      <c r="B275" t="s">
        <v>17</v>
      </c>
      <c r="C275" t="s">
        <v>15</v>
      </c>
      <c r="D275" t="s">
        <v>16</v>
      </c>
      <c r="E275">
        <v>15</v>
      </c>
      <c r="F275" t="s">
        <v>23</v>
      </c>
      <c r="G275" t="s">
        <v>938</v>
      </c>
      <c r="H275" s="1">
        <v>45609</v>
      </c>
    </row>
    <row r="276" spans="1:8" x14ac:dyDescent="0.35">
      <c r="A276" t="s">
        <v>307</v>
      </c>
      <c r="B276" t="s">
        <v>22</v>
      </c>
      <c r="C276" t="s">
        <v>30</v>
      </c>
      <c r="D276" t="s">
        <v>44</v>
      </c>
      <c r="E276">
        <v>1</v>
      </c>
      <c r="F276" t="s">
        <v>45</v>
      </c>
      <c r="G276" t="s">
        <v>938</v>
      </c>
      <c r="H276" s="1">
        <v>43574</v>
      </c>
    </row>
    <row r="277" spans="1:8" x14ac:dyDescent="0.35">
      <c r="A277" t="s">
        <v>308</v>
      </c>
      <c r="B277" t="s">
        <v>17</v>
      </c>
      <c r="C277" t="s">
        <v>20</v>
      </c>
      <c r="D277" t="s">
        <v>16</v>
      </c>
      <c r="E277">
        <v>8</v>
      </c>
      <c r="F277" t="s">
        <v>23</v>
      </c>
      <c r="G277" t="s">
        <v>938</v>
      </c>
      <c r="H277" s="1">
        <v>44812</v>
      </c>
    </row>
    <row r="278" spans="1:8" x14ac:dyDescent="0.35">
      <c r="A278" t="s">
        <v>309</v>
      </c>
      <c r="B278" t="s">
        <v>22</v>
      </c>
      <c r="C278" t="s">
        <v>30</v>
      </c>
      <c r="D278" t="s">
        <v>16</v>
      </c>
      <c r="E278">
        <v>1</v>
      </c>
      <c r="F278" t="s">
        <v>18</v>
      </c>
      <c r="G278" t="s">
        <v>937</v>
      </c>
      <c r="H278" s="1">
        <v>43582</v>
      </c>
    </row>
    <row r="279" spans="1:8" x14ac:dyDescent="0.35">
      <c r="A279" t="s">
        <v>310</v>
      </c>
      <c r="B279" t="s">
        <v>17</v>
      </c>
      <c r="C279" t="s">
        <v>30</v>
      </c>
      <c r="D279" t="s">
        <v>16</v>
      </c>
      <c r="E279">
        <v>11</v>
      </c>
      <c r="F279" t="s">
        <v>23</v>
      </c>
      <c r="G279" t="s">
        <v>938</v>
      </c>
      <c r="H279" s="1">
        <v>43205</v>
      </c>
    </row>
    <row r="280" spans="1:8" x14ac:dyDescent="0.35">
      <c r="A280" t="s">
        <v>311</v>
      </c>
      <c r="B280" t="s">
        <v>22</v>
      </c>
      <c r="C280" t="s">
        <v>20</v>
      </c>
      <c r="D280" t="s">
        <v>21</v>
      </c>
      <c r="E280">
        <v>13</v>
      </c>
      <c r="F280" t="s">
        <v>32</v>
      </c>
      <c r="G280" t="s">
        <v>938</v>
      </c>
      <c r="H280" s="1">
        <v>43198</v>
      </c>
    </row>
    <row r="281" spans="1:8" x14ac:dyDescent="0.35">
      <c r="A281" t="s">
        <v>312</v>
      </c>
      <c r="B281" t="s">
        <v>17</v>
      </c>
      <c r="C281" t="s">
        <v>27</v>
      </c>
      <c r="D281" t="s">
        <v>21</v>
      </c>
      <c r="E281">
        <v>15</v>
      </c>
      <c r="F281" t="s">
        <v>45</v>
      </c>
      <c r="G281" t="s">
        <v>938</v>
      </c>
      <c r="H281" s="1">
        <v>43644</v>
      </c>
    </row>
    <row r="282" spans="1:8" x14ac:dyDescent="0.35">
      <c r="A282" t="s">
        <v>313</v>
      </c>
      <c r="B282" t="s">
        <v>17</v>
      </c>
      <c r="C282" t="s">
        <v>27</v>
      </c>
      <c r="D282" t="s">
        <v>34</v>
      </c>
      <c r="E282">
        <v>5</v>
      </c>
      <c r="F282" t="s">
        <v>25</v>
      </c>
      <c r="G282" t="s">
        <v>937</v>
      </c>
      <c r="H282" s="1">
        <v>44723</v>
      </c>
    </row>
    <row r="283" spans="1:8" x14ac:dyDescent="0.35">
      <c r="A283" t="s">
        <v>314</v>
      </c>
      <c r="B283" t="s">
        <v>22</v>
      </c>
      <c r="C283" t="s">
        <v>30</v>
      </c>
      <c r="D283" t="s">
        <v>16</v>
      </c>
      <c r="E283">
        <v>13</v>
      </c>
      <c r="F283" t="s">
        <v>18</v>
      </c>
      <c r="G283" t="s">
        <v>937</v>
      </c>
      <c r="H283" s="1">
        <v>42707</v>
      </c>
    </row>
    <row r="284" spans="1:8" x14ac:dyDescent="0.35">
      <c r="A284" t="s">
        <v>315</v>
      </c>
      <c r="B284" t="s">
        <v>22</v>
      </c>
      <c r="C284" t="s">
        <v>36</v>
      </c>
      <c r="D284" t="s">
        <v>16</v>
      </c>
      <c r="E284">
        <v>2</v>
      </c>
      <c r="F284" t="s">
        <v>18</v>
      </c>
      <c r="G284" t="s">
        <v>937</v>
      </c>
      <c r="H284" s="1">
        <v>43434</v>
      </c>
    </row>
    <row r="285" spans="1:8" x14ac:dyDescent="0.35">
      <c r="A285" t="s">
        <v>316</v>
      </c>
      <c r="B285" t="s">
        <v>17</v>
      </c>
      <c r="C285" t="s">
        <v>30</v>
      </c>
      <c r="D285" t="s">
        <v>16</v>
      </c>
      <c r="E285">
        <v>6</v>
      </c>
      <c r="F285" t="s">
        <v>25</v>
      </c>
      <c r="G285" t="s">
        <v>937</v>
      </c>
      <c r="H285" s="1">
        <v>44703</v>
      </c>
    </row>
    <row r="286" spans="1:8" x14ac:dyDescent="0.35">
      <c r="A286" t="s">
        <v>317</v>
      </c>
      <c r="B286" t="s">
        <v>22</v>
      </c>
      <c r="C286" t="s">
        <v>30</v>
      </c>
      <c r="D286" t="s">
        <v>44</v>
      </c>
      <c r="E286">
        <v>2</v>
      </c>
      <c r="F286" t="s">
        <v>28</v>
      </c>
      <c r="G286" t="s">
        <v>937</v>
      </c>
      <c r="H286" s="1">
        <v>44333</v>
      </c>
    </row>
    <row r="287" spans="1:8" x14ac:dyDescent="0.35">
      <c r="A287" t="s">
        <v>318</v>
      </c>
      <c r="B287" t="s">
        <v>22</v>
      </c>
      <c r="C287" t="s">
        <v>30</v>
      </c>
      <c r="D287" t="s">
        <v>44</v>
      </c>
      <c r="E287">
        <v>3</v>
      </c>
      <c r="F287" t="s">
        <v>38</v>
      </c>
      <c r="G287" t="s">
        <v>937</v>
      </c>
      <c r="H287" s="1">
        <v>42432</v>
      </c>
    </row>
    <row r="288" spans="1:8" x14ac:dyDescent="0.35">
      <c r="A288" t="s">
        <v>319</v>
      </c>
      <c r="B288" t="s">
        <v>22</v>
      </c>
      <c r="C288" t="s">
        <v>30</v>
      </c>
      <c r="D288" t="s">
        <v>34</v>
      </c>
      <c r="E288">
        <v>0</v>
      </c>
      <c r="F288" t="s">
        <v>32</v>
      </c>
      <c r="G288" t="s">
        <v>938</v>
      </c>
      <c r="H288" s="1">
        <v>44392</v>
      </c>
    </row>
    <row r="289" spans="1:8" x14ac:dyDescent="0.35">
      <c r="A289" t="s">
        <v>320</v>
      </c>
      <c r="B289" t="s">
        <v>17</v>
      </c>
      <c r="C289" t="s">
        <v>15</v>
      </c>
      <c r="D289" t="s">
        <v>34</v>
      </c>
      <c r="E289">
        <v>6</v>
      </c>
      <c r="F289" t="s">
        <v>71</v>
      </c>
      <c r="G289" t="s">
        <v>938</v>
      </c>
      <c r="H289" s="1">
        <v>43105</v>
      </c>
    </row>
    <row r="290" spans="1:8" x14ac:dyDescent="0.35">
      <c r="A290" t="s">
        <v>321</v>
      </c>
      <c r="B290" t="s">
        <v>22</v>
      </c>
      <c r="C290" t="s">
        <v>27</v>
      </c>
      <c r="D290" t="s">
        <v>21</v>
      </c>
      <c r="E290">
        <v>9</v>
      </c>
      <c r="F290" t="s">
        <v>25</v>
      </c>
      <c r="G290" t="s">
        <v>937</v>
      </c>
      <c r="H290" s="1">
        <v>43736</v>
      </c>
    </row>
    <row r="291" spans="1:8" x14ac:dyDescent="0.35">
      <c r="A291" t="s">
        <v>322</v>
      </c>
      <c r="B291" t="s">
        <v>17</v>
      </c>
      <c r="C291" t="s">
        <v>36</v>
      </c>
      <c r="D291" t="s">
        <v>16</v>
      </c>
      <c r="E291">
        <v>1</v>
      </c>
      <c r="F291" t="s">
        <v>28</v>
      </c>
      <c r="G291" t="s">
        <v>937</v>
      </c>
      <c r="H291" s="1">
        <v>43408</v>
      </c>
    </row>
    <row r="292" spans="1:8" x14ac:dyDescent="0.35">
      <c r="A292" t="s">
        <v>323</v>
      </c>
      <c r="B292" t="s">
        <v>17</v>
      </c>
      <c r="C292" t="s">
        <v>30</v>
      </c>
      <c r="D292" t="s">
        <v>44</v>
      </c>
      <c r="E292">
        <v>11</v>
      </c>
      <c r="F292" t="s">
        <v>32</v>
      </c>
      <c r="G292" t="s">
        <v>938</v>
      </c>
      <c r="H292" s="1">
        <v>44764</v>
      </c>
    </row>
    <row r="293" spans="1:8" x14ac:dyDescent="0.35">
      <c r="A293" t="s">
        <v>324</v>
      </c>
      <c r="B293" t="s">
        <v>17</v>
      </c>
      <c r="C293" t="s">
        <v>30</v>
      </c>
      <c r="D293" t="s">
        <v>34</v>
      </c>
      <c r="E293">
        <v>10</v>
      </c>
      <c r="F293" t="s">
        <v>28</v>
      </c>
      <c r="G293" t="s">
        <v>937</v>
      </c>
      <c r="H293" s="1">
        <v>44068</v>
      </c>
    </row>
    <row r="294" spans="1:8" x14ac:dyDescent="0.35">
      <c r="A294" t="s">
        <v>325</v>
      </c>
      <c r="B294" t="s">
        <v>22</v>
      </c>
      <c r="C294" t="s">
        <v>27</v>
      </c>
      <c r="D294" t="s">
        <v>16</v>
      </c>
      <c r="E294">
        <v>10</v>
      </c>
      <c r="F294" t="s">
        <v>23</v>
      </c>
      <c r="G294" t="s">
        <v>938</v>
      </c>
      <c r="H294" s="1">
        <v>43592</v>
      </c>
    </row>
    <row r="295" spans="1:8" x14ac:dyDescent="0.35">
      <c r="A295" t="s">
        <v>326</v>
      </c>
      <c r="B295" t="s">
        <v>22</v>
      </c>
      <c r="C295" t="s">
        <v>27</v>
      </c>
      <c r="D295" t="s">
        <v>44</v>
      </c>
      <c r="E295">
        <v>5</v>
      </c>
      <c r="F295" t="s">
        <v>32</v>
      </c>
      <c r="G295" t="s">
        <v>938</v>
      </c>
      <c r="H295" s="1">
        <v>42845</v>
      </c>
    </row>
    <row r="296" spans="1:8" x14ac:dyDescent="0.35">
      <c r="A296" t="s">
        <v>327</v>
      </c>
      <c r="B296" t="s">
        <v>17</v>
      </c>
      <c r="C296" t="s">
        <v>30</v>
      </c>
      <c r="D296" t="s">
        <v>21</v>
      </c>
      <c r="E296">
        <v>3</v>
      </c>
      <c r="F296" t="s">
        <v>38</v>
      </c>
      <c r="G296" t="s">
        <v>937</v>
      </c>
      <c r="H296" s="1">
        <v>44332</v>
      </c>
    </row>
    <row r="297" spans="1:8" x14ac:dyDescent="0.35">
      <c r="A297" t="s">
        <v>328</v>
      </c>
      <c r="B297" t="s">
        <v>22</v>
      </c>
      <c r="C297" t="s">
        <v>36</v>
      </c>
      <c r="D297" t="s">
        <v>16</v>
      </c>
      <c r="E297">
        <v>5</v>
      </c>
      <c r="F297" t="s">
        <v>18</v>
      </c>
      <c r="G297" t="s">
        <v>937</v>
      </c>
      <c r="H297" s="1">
        <v>44331</v>
      </c>
    </row>
    <row r="298" spans="1:8" x14ac:dyDescent="0.35">
      <c r="A298" t="s">
        <v>329</v>
      </c>
      <c r="B298" t="s">
        <v>17</v>
      </c>
      <c r="C298" t="s">
        <v>27</v>
      </c>
      <c r="D298" t="s">
        <v>44</v>
      </c>
      <c r="E298">
        <v>6</v>
      </c>
      <c r="F298" t="s">
        <v>23</v>
      </c>
      <c r="G298" t="s">
        <v>938</v>
      </c>
      <c r="H298" s="1">
        <v>45053</v>
      </c>
    </row>
    <row r="299" spans="1:8" x14ac:dyDescent="0.35">
      <c r="A299" t="s">
        <v>330</v>
      </c>
      <c r="B299" t="s">
        <v>22</v>
      </c>
      <c r="C299" t="s">
        <v>15</v>
      </c>
      <c r="D299" t="s">
        <v>44</v>
      </c>
      <c r="E299">
        <v>2</v>
      </c>
      <c r="F299" t="s">
        <v>45</v>
      </c>
      <c r="G299" t="s">
        <v>938</v>
      </c>
      <c r="H299" s="1">
        <v>45414</v>
      </c>
    </row>
    <row r="300" spans="1:8" x14ac:dyDescent="0.35">
      <c r="A300" t="s">
        <v>331</v>
      </c>
      <c r="B300" t="s">
        <v>17</v>
      </c>
      <c r="C300" t="s">
        <v>15</v>
      </c>
      <c r="D300" t="s">
        <v>34</v>
      </c>
      <c r="E300">
        <v>11</v>
      </c>
      <c r="F300" t="s">
        <v>38</v>
      </c>
      <c r="G300" t="s">
        <v>937</v>
      </c>
      <c r="H300" s="1">
        <v>45306</v>
      </c>
    </row>
    <row r="301" spans="1:8" x14ac:dyDescent="0.35">
      <c r="A301" t="s">
        <v>332</v>
      </c>
      <c r="B301" t="s">
        <v>17</v>
      </c>
      <c r="C301" t="s">
        <v>36</v>
      </c>
      <c r="D301" t="s">
        <v>34</v>
      </c>
      <c r="E301">
        <v>9</v>
      </c>
      <c r="F301" t="s">
        <v>45</v>
      </c>
      <c r="G301" t="s">
        <v>938</v>
      </c>
      <c r="H301" s="1">
        <v>43967</v>
      </c>
    </row>
    <row r="302" spans="1:8" x14ac:dyDescent="0.35">
      <c r="A302" t="s">
        <v>333</v>
      </c>
      <c r="B302" t="s">
        <v>17</v>
      </c>
      <c r="C302" t="s">
        <v>15</v>
      </c>
      <c r="D302" t="s">
        <v>44</v>
      </c>
      <c r="E302">
        <v>1</v>
      </c>
      <c r="F302" t="s">
        <v>23</v>
      </c>
      <c r="G302" t="s">
        <v>938</v>
      </c>
      <c r="H302" s="1">
        <v>43879</v>
      </c>
    </row>
    <row r="303" spans="1:8" x14ac:dyDescent="0.35">
      <c r="A303" t="s">
        <v>334</v>
      </c>
      <c r="B303" t="s">
        <v>17</v>
      </c>
      <c r="C303" t="s">
        <v>20</v>
      </c>
      <c r="D303" t="s">
        <v>44</v>
      </c>
      <c r="E303">
        <v>13</v>
      </c>
      <c r="F303" t="s">
        <v>32</v>
      </c>
      <c r="G303" t="s">
        <v>938</v>
      </c>
      <c r="H303" s="1">
        <v>43420</v>
      </c>
    </row>
    <row r="304" spans="1:8" x14ac:dyDescent="0.35">
      <c r="A304" t="s">
        <v>335</v>
      </c>
      <c r="B304" t="s">
        <v>22</v>
      </c>
      <c r="C304" t="s">
        <v>36</v>
      </c>
      <c r="D304" t="s">
        <v>16</v>
      </c>
      <c r="E304">
        <v>6</v>
      </c>
      <c r="F304" t="s">
        <v>28</v>
      </c>
      <c r="G304" t="s">
        <v>937</v>
      </c>
      <c r="H304" s="1">
        <v>42872</v>
      </c>
    </row>
    <row r="305" spans="1:8" x14ac:dyDescent="0.35">
      <c r="A305" t="s">
        <v>336</v>
      </c>
      <c r="B305" t="s">
        <v>22</v>
      </c>
      <c r="C305" t="s">
        <v>30</v>
      </c>
      <c r="D305" t="s">
        <v>34</v>
      </c>
      <c r="E305">
        <v>6</v>
      </c>
      <c r="F305" t="s">
        <v>18</v>
      </c>
      <c r="G305" t="s">
        <v>937</v>
      </c>
      <c r="H305" s="1">
        <v>44705</v>
      </c>
    </row>
    <row r="306" spans="1:8" x14ac:dyDescent="0.35">
      <c r="A306" t="s">
        <v>337</v>
      </c>
      <c r="B306" t="s">
        <v>22</v>
      </c>
      <c r="C306" t="s">
        <v>27</v>
      </c>
      <c r="D306" t="s">
        <v>16</v>
      </c>
      <c r="E306">
        <v>8</v>
      </c>
      <c r="F306" t="s">
        <v>71</v>
      </c>
      <c r="G306" t="s">
        <v>938</v>
      </c>
      <c r="H306" s="1">
        <v>43489</v>
      </c>
    </row>
    <row r="307" spans="1:8" x14ac:dyDescent="0.35">
      <c r="A307" t="s">
        <v>338</v>
      </c>
      <c r="B307" t="s">
        <v>22</v>
      </c>
      <c r="C307" t="s">
        <v>36</v>
      </c>
      <c r="D307" t="s">
        <v>34</v>
      </c>
      <c r="E307">
        <v>9</v>
      </c>
      <c r="F307" t="s">
        <v>23</v>
      </c>
      <c r="G307" t="s">
        <v>938</v>
      </c>
      <c r="H307" s="1">
        <v>44306</v>
      </c>
    </row>
    <row r="308" spans="1:8" x14ac:dyDescent="0.35">
      <c r="A308" t="s">
        <v>339</v>
      </c>
      <c r="B308" t="s">
        <v>17</v>
      </c>
      <c r="C308" t="s">
        <v>27</v>
      </c>
      <c r="D308" t="s">
        <v>21</v>
      </c>
      <c r="E308">
        <v>0</v>
      </c>
      <c r="F308" t="s">
        <v>23</v>
      </c>
      <c r="G308" t="s">
        <v>938</v>
      </c>
      <c r="H308" s="1">
        <v>42860</v>
      </c>
    </row>
    <row r="309" spans="1:8" x14ac:dyDescent="0.35">
      <c r="A309" t="s">
        <v>340</v>
      </c>
      <c r="B309" t="s">
        <v>22</v>
      </c>
      <c r="C309" t="s">
        <v>15</v>
      </c>
      <c r="D309" t="s">
        <v>44</v>
      </c>
      <c r="E309">
        <v>8</v>
      </c>
      <c r="F309" t="s">
        <v>71</v>
      </c>
      <c r="G309" t="s">
        <v>938</v>
      </c>
      <c r="H309" s="1">
        <v>45023</v>
      </c>
    </row>
    <row r="310" spans="1:8" x14ac:dyDescent="0.35">
      <c r="A310" t="s">
        <v>341</v>
      </c>
      <c r="B310" t="s">
        <v>22</v>
      </c>
      <c r="C310" t="s">
        <v>27</v>
      </c>
      <c r="D310" t="s">
        <v>21</v>
      </c>
      <c r="E310">
        <v>13</v>
      </c>
      <c r="F310" t="s">
        <v>25</v>
      </c>
      <c r="G310" t="s">
        <v>937</v>
      </c>
      <c r="H310" s="1">
        <v>43373</v>
      </c>
    </row>
    <row r="311" spans="1:8" x14ac:dyDescent="0.35">
      <c r="A311" t="s">
        <v>342</v>
      </c>
      <c r="B311" t="s">
        <v>22</v>
      </c>
      <c r="C311" t="s">
        <v>30</v>
      </c>
      <c r="D311" t="s">
        <v>34</v>
      </c>
      <c r="E311">
        <v>3</v>
      </c>
      <c r="F311" t="s">
        <v>32</v>
      </c>
      <c r="G311" t="s">
        <v>938</v>
      </c>
      <c r="H311" s="1">
        <v>43115</v>
      </c>
    </row>
    <row r="312" spans="1:8" x14ac:dyDescent="0.35">
      <c r="A312" t="s">
        <v>343</v>
      </c>
      <c r="B312" t="s">
        <v>22</v>
      </c>
      <c r="C312" t="s">
        <v>30</v>
      </c>
      <c r="D312" t="s">
        <v>21</v>
      </c>
      <c r="E312">
        <v>6</v>
      </c>
      <c r="F312" t="s">
        <v>28</v>
      </c>
      <c r="G312" t="s">
        <v>937</v>
      </c>
      <c r="H312" s="1">
        <v>42046</v>
      </c>
    </row>
    <row r="313" spans="1:8" x14ac:dyDescent="0.35">
      <c r="A313" t="s">
        <v>344</v>
      </c>
      <c r="B313" t="s">
        <v>22</v>
      </c>
      <c r="C313" t="s">
        <v>27</v>
      </c>
      <c r="D313" t="s">
        <v>34</v>
      </c>
      <c r="E313">
        <v>9</v>
      </c>
      <c r="F313" t="s">
        <v>18</v>
      </c>
      <c r="G313" t="s">
        <v>937</v>
      </c>
      <c r="H313" s="1">
        <v>44376</v>
      </c>
    </row>
    <row r="314" spans="1:8" x14ac:dyDescent="0.35">
      <c r="A314" t="s">
        <v>345</v>
      </c>
      <c r="B314" t="s">
        <v>22</v>
      </c>
      <c r="C314" t="s">
        <v>30</v>
      </c>
      <c r="D314" t="s">
        <v>21</v>
      </c>
      <c r="E314">
        <v>5</v>
      </c>
      <c r="F314" t="s">
        <v>28</v>
      </c>
      <c r="G314" t="s">
        <v>937</v>
      </c>
      <c r="H314" s="1">
        <v>44187</v>
      </c>
    </row>
    <row r="315" spans="1:8" x14ac:dyDescent="0.35">
      <c r="A315" t="s">
        <v>346</v>
      </c>
      <c r="B315" t="s">
        <v>22</v>
      </c>
      <c r="C315" t="s">
        <v>30</v>
      </c>
      <c r="D315" t="s">
        <v>21</v>
      </c>
      <c r="E315">
        <v>6</v>
      </c>
      <c r="F315" t="s">
        <v>25</v>
      </c>
      <c r="G315" t="s">
        <v>937</v>
      </c>
      <c r="H315" s="1">
        <v>44456</v>
      </c>
    </row>
    <row r="316" spans="1:8" x14ac:dyDescent="0.35">
      <c r="A316" t="s">
        <v>347</v>
      </c>
      <c r="B316" t="s">
        <v>17</v>
      </c>
      <c r="C316" t="s">
        <v>36</v>
      </c>
      <c r="D316" t="s">
        <v>44</v>
      </c>
      <c r="E316">
        <v>1</v>
      </c>
      <c r="F316" t="s">
        <v>38</v>
      </c>
      <c r="G316" t="s">
        <v>937</v>
      </c>
      <c r="H316" s="1">
        <v>43658</v>
      </c>
    </row>
    <row r="317" spans="1:8" x14ac:dyDescent="0.35">
      <c r="A317" t="s">
        <v>348</v>
      </c>
      <c r="B317" t="s">
        <v>22</v>
      </c>
      <c r="C317" t="s">
        <v>36</v>
      </c>
      <c r="D317" t="s">
        <v>21</v>
      </c>
      <c r="E317">
        <v>0</v>
      </c>
      <c r="F317" t="s">
        <v>45</v>
      </c>
      <c r="G317" t="s">
        <v>938</v>
      </c>
      <c r="H317" s="1">
        <v>44479</v>
      </c>
    </row>
    <row r="318" spans="1:8" x14ac:dyDescent="0.35">
      <c r="A318" t="s">
        <v>349</v>
      </c>
      <c r="B318" t="s">
        <v>22</v>
      </c>
      <c r="C318" t="s">
        <v>36</v>
      </c>
      <c r="D318" t="s">
        <v>34</v>
      </c>
      <c r="E318">
        <v>12</v>
      </c>
      <c r="F318" t="s">
        <v>71</v>
      </c>
      <c r="G318" t="s">
        <v>938</v>
      </c>
      <c r="H318" s="1">
        <v>43941</v>
      </c>
    </row>
    <row r="319" spans="1:8" x14ac:dyDescent="0.35">
      <c r="A319" t="s">
        <v>350</v>
      </c>
      <c r="B319" t="s">
        <v>22</v>
      </c>
      <c r="C319" t="s">
        <v>27</v>
      </c>
      <c r="D319" t="s">
        <v>34</v>
      </c>
      <c r="E319">
        <v>12</v>
      </c>
      <c r="F319" t="s">
        <v>18</v>
      </c>
      <c r="G319" t="s">
        <v>937</v>
      </c>
      <c r="H319" s="1">
        <v>42416</v>
      </c>
    </row>
    <row r="320" spans="1:8" x14ac:dyDescent="0.35">
      <c r="A320" t="s">
        <v>351</v>
      </c>
      <c r="B320" t="s">
        <v>17</v>
      </c>
      <c r="C320" t="s">
        <v>27</v>
      </c>
      <c r="D320" t="s">
        <v>44</v>
      </c>
      <c r="E320">
        <v>13</v>
      </c>
      <c r="F320" t="s">
        <v>38</v>
      </c>
      <c r="G320" t="s">
        <v>937</v>
      </c>
      <c r="H320" s="1">
        <v>42418</v>
      </c>
    </row>
    <row r="321" spans="1:8" x14ac:dyDescent="0.35">
      <c r="A321" t="s">
        <v>352</v>
      </c>
      <c r="B321" t="s">
        <v>17</v>
      </c>
      <c r="C321" t="s">
        <v>30</v>
      </c>
      <c r="D321" t="s">
        <v>44</v>
      </c>
      <c r="E321">
        <v>8</v>
      </c>
      <c r="F321" t="s">
        <v>18</v>
      </c>
      <c r="G321" t="s">
        <v>937</v>
      </c>
      <c r="H321" s="1">
        <v>44676</v>
      </c>
    </row>
    <row r="322" spans="1:8" x14ac:dyDescent="0.35">
      <c r="A322" t="s">
        <v>353</v>
      </c>
      <c r="B322" t="s">
        <v>22</v>
      </c>
      <c r="C322" t="s">
        <v>27</v>
      </c>
      <c r="D322" t="s">
        <v>44</v>
      </c>
      <c r="E322">
        <v>3</v>
      </c>
      <c r="F322" t="s">
        <v>45</v>
      </c>
      <c r="G322" t="s">
        <v>938</v>
      </c>
      <c r="H322" s="1">
        <v>45088</v>
      </c>
    </row>
    <row r="323" spans="1:8" x14ac:dyDescent="0.35">
      <c r="A323" t="s">
        <v>354</v>
      </c>
      <c r="B323" t="s">
        <v>22</v>
      </c>
      <c r="C323" t="s">
        <v>36</v>
      </c>
      <c r="D323" t="s">
        <v>16</v>
      </c>
      <c r="E323">
        <v>3</v>
      </c>
      <c r="F323" t="s">
        <v>38</v>
      </c>
      <c r="G323" t="s">
        <v>937</v>
      </c>
      <c r="H323" s="1">
        <v>43433</v>
      </c>
    </row>
    <row r="324" spans="1:8" x14ac:dyDescent="0.35">
      <c r="A324" t="s">
        <v>355</v>
      </c>
      <c r="B324" t="s">
        <v>17</v>
      </c>
      <c r="C324" t="s">
        <v>30</v>
      </c>
      <c r="D324" t="s">
        <v>16</v>
      </c>
      <c r="E324">
        <v>11</v>
      </c>
      <c r="F324" t="s">
        <v>25</v>
      </c>
      <c r="G324" t="s">
        <v>937</v>
      </c>
      <c r="H324" s="1">
        <v>42718</v>
      </c>
    </row>
    <row r="325" spans="1:8" x14ac:dyDescent="0.35">
      <c r="A325" t="s">
        <v>356</v>
      </c>
      <c r="B325" t="s">
        <v>17</v>
      </c>
      <c r="C325" t="s">
        <v>36</v>
      </c>
      <c r="D325" t="s">
        <v>34</v>
      </c>
      <c r="E325">
        <v>10</v>
      </c>
      <c r="F325" t="s">
        <v>32</v>
      </c>
      <c r="G325" t="s">
        <v>938</v>
      </c>
      <c r="H325" s="1">
        <v>44175</v>
      </c>
    </row>
    <row r="326" spans="1:8" x14ac:dyDescent="0.35">
      <c r="A326" t="s">
        <v>357</v>
      </c>
      <c r="B326" t="s">
        <v>22</v>
      </c>
      <c r="C326" t="s">
        <v>27</v>
      </c>
      <c r="D326" t="s">
        <v>16</v>
      </c>
      <c r="E326">
        <v>6</v>
      </c>
      <c r="F326" t="s">
        <v>18</v>
      </c>
      <c r="G326" t="s">
        <v>937</v>
      </c>
      <c r="H326" s="1">
        <v>42863</v>
      </c>
    </row>
    <row r="327" spans="1:8" x14ac:dyDescent="0.35">
      <c r="A327" t="s">
        <v>358</v>
      </c>
      <c r="B327" t="s">
        <v>22</v>
      </c>
      <c r="C327" t="s">
        <v>36</v>
      </c>
      <c r="D327" t="s">
        <v>34</v>
      </c>
      <c r="E327">
        <v>14</v>
      </c>
      <c r="F327" t="s">
        <v>32</v>
      </c>
      <c r="G327" t="s">
        <v>938</v>
      </c>
      <c r="H327" s="1">
        <v>43712</v>
      </c>
    </row>
    <row r="328" spans="1:8" x14ac:dyDescent="0.35">
      <c r="A328" t="s">
        <v>359</v>
      </c>
      <c r="B328" t="s">
        <v>22</v>
      </c>
      <c r="C328" t="s">
        <v>20</v>
      </c>
      <c r="D328" t="s">
        <v>44</v>
      </c>
      <c r="E328">
        <v>11</v>
      </c>
      <c r="F328" t="s">
        <v>23</v>
      </c>
      <c r="G328" t="s">
        <v>938</v>
      </c>
      <c r="H328" s="1">
        <v>43955</v>
      </c>
    </row>
    <row r="329" spans="1:8" x14ac:dyDescent="0.35">
      <c r="A329" t="s">
        <v>360</v>
      </c>
      <c r="B329" t="s">
        <v>22</v>
      </c>
      <c r="C329" t="s">
        <v>15</v>
      </c>
      <c r="D329" t="s">
        <v>21</v>
      </c>
      <c r="E329">
        <v>13</v>
      </c>
      <c r="F329" t="s">
        <v>45</v>
      </c>
      <c r="G329" t="s">
        <v>938</v>
      </c>
      <c r="H329" s="1">
        <v>44708</v>
      </c>
    </row>
    <row r="330" spans="1:8" x14ac:dyDescent="0.35">
      <c r="A330" t="s">
        <v>361</v>
      </c>
      <c r="B330" t="s">
        <v>22</v>
      </c>
      <c r="C330" t="s">
        <v>36</v>
      </c>
      <c r="D330" t="s">
        <v>16</v>
      </c>
      <c r="E330">
        <v>6</v>
      </c>
      <c r="F330" t="s">
        <v>45</v>
      </c>
      <c r="G330" t="s">
        <v>938</v>
      </c>
      <c r="H330" s="1">
        <v>45278</v>
      </c>
    </row>
    <row r="331" spans="1:8" x14ac:dyDescent="0.35">
      <c r="A331" t="s">
        <v>362</v>
      </c>
      <c r="B331" t="s">
        <v>17</v>
      </c>
      <c r="C331" t="s">
        <v>36</v>
      </c>
      <c r="D331" t="s">
        <v>34</v>
      </c>
      <c r="E331">
        <v>9</v>
      </c>
      <c r="F331" t="s">
        <v>28</v>
      </c>
      <c r="G331" t="s">
        <v>937</v>
      </c>
      <c r="H331" s="1">
        <v>45232</v>
      </c>
    </row>
    <row r="332" spans="1:8" x14ac:dyDescent="0.35">
      <c r="A332" t="s">
        <v>363</v>
      </c>
      <c r="B332" t="s">
        <v>22</v>
      </c>
      <c r="C332" t="s">
        <v>20</v>
      </c>
      <c r="D332" t="s">
        <v>21</v>
      </c>
      <c r="E332">
        <v>1</v>
      </c>
      <c r="F332" t="s">
        <v>18</v>
      </c>
      <c r="G332" t="s">
        <v>937</v>
      </c>
      <c r="H332" s="1">
        <v>44475</v>
      </c>
    </row>
    <row r="333" spans="1:8" x14ac:dyDescent="0.35">
      <c r="A333" t="s">
        <v>364</v>
      </c>
      <c r="B333" t="s">
        <v>22</v>
      </c>
      <c r="C333" t="s">
        <v>20</v>
      </c>
      <c r="D333" t="s">
        <v>21</v>
      </c>
      <c r="E333">
        <v>2</v>
      </c>
      <c r="F333" t="s">
        <v>45</v>
      </c>
      <c r="G333" t="s">
        <v>938</v>
      </c>
      <c r="H333" s="1">
        <v>42592</v>
      </c>
    </row>
    <row r="334" spans="1:8" x14ac:dyDescent="0.35">
      <c r="A334" t="s">
        <v>365</v>
      </c>
      <c r="B334" t="s">
        <v>17</v>
      </c>
      <c r="C334" t="s">
        <v>15</v>
      </c>
      <c r="D334" t="s">
        <v>21</v>
      </c>
      <c r="E334">
        <v>9</v>
      </c>
      <c r="F334" t="s">
        <v>28</v>
      </c>
      <c r="G334" t="s">
        <v>937</v>
      </c>
      <c r="H334" s="1">
        <v>43586</v>
      </c>
    </row>
    <row r="335" spans="1:8" x14ac:dyDescent="0.35">
      <c r="A335" t="s">
        <v>366</v>
      </c>
      <c r="B335" t="s">
        <v>17</v>
      </c>
      <c r="C335" t="s">
        <v>27</v>
      </c>
      <c r="D335" t="s">
        <v>44</v>
      </c>
      <c r="E335">
        <v>12</v>
      </c>
      <c r="F335" t="s">
        <v>18</v>
      </c>
      <c r="G335" t="s">
        <v>937</v>
      </c>
      <c r="H335" s="1">
        <v>44934</v>
      </c>
    </row>
    <row r="336" spans="1:8" x14ac:dyDescent="0.35">
      <c r="A336" t="s">
        <v>367</v>
      </c>
      <c r="B336" t="s">
        <v>17</v>
      </c>
      <c r="C336" t="s">
        <v>30</v>
      </c>
      <c r="D336" t="s">
        <v>21</v>
      </c>
      <c r="E336">
        <v>14</v>
      </c>
      <c r="F336" t="s">
        <v>32</v>
      </c>
      <c r="G336" t="s">
        <v>938</v>
      </c>
      <c r="H336" s="1">
        <v>44185</v>
      </c>
    </row>
    <row r="337" spans="1:8" x14ac:dyDescent="0.35">
      <c r="A337" t="s">
        <v>368</v>
      </c>
      <c r="B337" t="s">
        <v>17</v>
      </c>
      <c r="C337" t="s">
        <v>20</v>
      </c>
      <c r="D337" t="s">
        <v>34</v>
      </c>
      <c r="E337">
        <v>1</v>
      </c>
      <c r="F337" t="s">
        <v>45</v>
      </c>
      <c r="G337" t="s">
        <v>938</v>
      </c>
      <c r="H337" s="1">
        <v>42747</v>
      </c>
    </row>
    <row r="338" spans="1:8" x14ac:dyDescent="0.35">
      <c r="A338" t="s">
        <v>369</v>
      </c>
      <c r="B338" t="s">
        <v>22</v>
      </c>
      <c r="C338" t="s">
        <v>27</v>
      </c>
      <c r="D338" t="s">
        <v>34</v>
      </c>
      <c r="E338">
        <v>2</v>
      </c>
      <c r="F338" t="s">
        <v>71</v>
      </c>
      <c r="G338" t="s">
        <v>938</v>
      </c>
      <c r="H338" s="1">
        <v>45140</v>
      </c>
    </row>
    <row r="339" spans="1:8" x14ac:dyDescent="0.35">
      <c r="A339" t="s">
        <v>370</v>
      </c>
      <c r="B339" t="s">
        <v>17</v>
      </c>
      <c r="C339" t="s">
        <v>15</v>
      </c>
      <c r="D339" t="s">
        <v>44</v>
      </c>
      <c r="E339">
        <v>14</v>
      </c>
      <c r="F339" t="s">
        <v>28</v>
      </c>
      <c r="G339" t="s">
        <v>937</v>
      </c>
      <c r="H339" s="1">
        <v>44934</v>
      </c>
    </row>
    <row r="340" spans="1:8" x14ac:dyDescent="0.35">
      <c r="A340" t="s">
        <v>371</v>
      </c>
      <c r="B340" t="s">
        <v>22</v>
      </c>
      <c r="C340" t="s">
        <v>30</v>
      </c>
      <c r="D340" t="s">
        <v>21</v>
      </c>
      <c r="E340">
        <v>13</v>
      </c>
      <c r="F340" t="s">
        <v>18</v>
      </c>
      <c r="G340" t="s">
        <v>937</v>
      </c>
      <c r="H340" s="1">
        <v>42335</v>
      </c>
    </row>
    <row r="341" spans="1:8" x14ac:dyDescent="0.35">
      <c r="A341" t="s">
        <v>372</v>
      </c>
      <c r="B341" t="s">
        <v>22</v>
      </c>
      <c r="C341" t="s">
        <v>15</v>
      </c>
      <c r="D341" t="s">
        <v>16</v>
      </c>
      <c r="E341">
        <v>8</v>
      </c>
      <c r="F341" t="s">
        <v>18</v>
      </c>
      <c r="G341" t="s">
        <v>937</v>
      </c>
      <c r="H341" s="1">
        <v>45094</v>
      </c>
    </row>
    <row r="342" spans="1:8" x14ac:dyDescent="0.35">
      <c r="A342" t="s">
        <v>373</v>
      </c>
      <c r="B342" t="s">
        <v>17</v>
      </c>
      <c r="C342" t="s">
        <v>20</v>
      </c>
      <c r="D342" t="s">
        <v>21</v>
      </c>
      <c r="E342">
        <v>5</v>
      </c>
      <c r="F342" t="s">
        <v>18</v>
      </c>
      <c r="G342" t="s">
        <v>937</v>
      </c>
      <c r="H342" s="1">
        <v>43708</v>
      </c>
    </row>
    <row r="343" spans="1:8" x14ac:dyDescent="0.35">
      <c r="A343" t="s">
        <v>374</v>
      </c>
      <c r="B343" t="s">
        <v>22</v>
      </c>
      <c r="C343" t="s">
        <v>15</v>
      </c>
      <c r="D343" t="s">
        <v>16</v>
      </c>
      <c r="E343">
        <v>10</v>
      </c>
      <c r="F343" t="s">
        <v>23</v>
      </c>
      <c r="G343" t="s">
        <v>938</v>
      </c>
      <c r="H343" s="1">
        <v>45283</v>
      </c>
    </row>
    <row r="344" spans="1:8" x14ac:dyDescent="0.35">
      <c r="A344" t="s">
        <v>375</v>
      </c>
      <c r="B344" t="s">
        <v>17</v>
      </c>
      <c r="C344" t="s">
        <v>15</v>
      </c>
      <c r="D344" t="s">
        <v>44</v>
      </c>
      <c r="E344">
        <v>9</v>
      </c>
      <c r="F344" t="s">
        <v>71</v>
      </c>
      <c r="G344" t="s">
        <v>938</v>
      </c>
      <c r="H344" s="1">
        <v>43812</v>
      </c>
    </row>
    <row r="345" spans="1:8" x14ac:dyDescent="0.35">
      <c r="A345" t="s">
        <v>376</v>
      </c>
      <c r="B345" t="s">
        <v>22</v>
      </c>
      <c r="C345" t="s">
        <v>36</v>
      </c>
      <c r="D345" t="s">
        <v>44</v>
      </c>
      <c r="E345">
        <v>10</v>
      </c>
      <c r="F345" t="s">
        <v>32</v>
      </c>
      <c r="G345" t="s">
        <v>938</v>
      </c>
      <c r="H345" s="1">
        <v>43386</v>
      </c>
    </row>
    <row r="346" spans="1:8" x14ac:dyDescent="0.35">
      <c r="A346" t="s">
        <v>377</v>
      </c>
      <c r="B346" t="s">
        <v>22</v>
      </c>
      <c r="C346" t="s">
        <v>20</v>
      </c>
      <c r="D346" t="s">
        <v>44</v>
      </c>
      <c r="E346">
        <v>13</v>
      </c>
      <c r="F346" t="s">
        <v>28</v>
      </c>
      <c r="G346" t="s">
        <v>937</v>
      </c>
      <c r="H346" s="1">
        <v>44941</v>
      </c>
    </row>
    <row r="347" spans="1:8" x14ac:dyDescent="0.35">
      <c r="A347" t="s">
        <v>378</v>
      </c>
      <c r="B347" t="s">
        <v>17</v>
      </c>
      <c r="C347" t="s">
        <v>15</v>
      </c>
      <c r="D347" t="s">
        <v>34</v>
      </c>
      <c r="E347">
        <v>11</v>
      </c>
      <c r="F347" t="s">
        <v>28</v>
      </c>
      <c r="G347" t="s">
        <v>937</v>
      </c>
      <c r="H347" s="1">
        <v>44867</v>
      </c>
    </row>
    <row r="348" spans="1:8" x14ac:dyDescent="0.35">
      <c r="A348" t="s">
        <v>379</v>
      </c>
      <c r="B348" t="s">
        <v>17</v>
      </c>
      <c r="C348" t="s">
        <v>27</v>
      </c>
      <c r="D348" t="s">
        <v>21</v>
      </c>
      <c r="E348">
        <v>8</v>
      </c>
      <c r="F348" t="s">
        <v>23</v>
      </c>
      <c r="G348" t="s">
        <v>938</v>
      </c>
      <c r="H348" s="1">
        <v>45371</v>
      </c>
    </row>
    <row r="349" spans="1:8" x14ac:dyDescent="0.35">
      <c r="A349" t="s">
        <v>380</v>
      </c>
      <c r="B349" t="s">
        <v>22</v>
      </c>
      <c r="C349" t="s">
        <v>20</v>
      </c>
      <c r="D349" t="s">
        <v>44</v>
      </c>
      <c r="E349">
        <v>1</v>
      </c>
      <c r="F349" t="s">
        <v>18</v>
      </c>
      <c r="G349" t="s">
        <v>937</v>
      </c>
      <c r="H349" s="1">
        <v>44945</v>
      </c>
    </row>
    <row r="350" spans="1:8" x14ac:dyDescent="0.35">
      <c r="A350" t="s">
        <v>381</v>
      </c>
      <c r="B350" t="s">
        <v>22</v>
      </c>
      <c r="C350" t="s">
        <v>20</v>
      </c>
      <c r="D350" t="s">
        <v>21</v>
      </c>
      <c r="E350">
        <v>10</v>
      </c>
      <c r="F350" t="s">
        <v>71</v>
      </c>
      <c r="G350" t="s">
        <v>938</v>
      </c>
      <c r="H350" s="1">
        <v>43629</v>
      </c>
    </row>
    <row r="351" spans="1:8" x14ac:dyDescent="0.35">
      <c r="A351" t="s">
        <v>382</v>
      </c>
      <c r="B351" t="s">
        <v>22</v>
      </c>
      <c r="C351" t="s">
        <v>30</v>
      </c>
      <c r="D351" t="s">
        <v>34</v>
      </c>
      <c r="E351">
        <v>7</v>
      </c>
      <c r="F351" t="s">
        <v>25</v>
      </c>
      <c r="G351" t="s">
        <v>937</v>
      </c>
      <c r="H351" s="1">
        <v>42918</v>
      </c>
    </row>
    <row r="352" spans="1:8" x14ac:dyDescent="0.35">
      <c r="A352" t="s">
        <v>383</v>
      </c>
      <c r="B352" t="s">
        <v>17</v>
      </c>
      <c r="C352" t="s">
        <v>15</v>
      </c>
      <c r="D352" t="s">
        <v>21</v>
      </c>
      <c r="E352">
        <v>11</v>
      </c>
      <c r="F352" t="s">
        <v>28</v>
      </c>
      <c r="G352" t="s">
        <v>937</v>
      </c>
      <c r="H352" s="1">
        <v>43360</v>
      </c>
    </row>
    <row r="353" spans="1:8" x14ac:dyDescent="0.35">
      <c r="A353" t="s">
        <v>384</v>
      </c>
      <c r="B353" t="s">
        <v>17</v>
      </c>
      <c r="C353" t="s">
        <v>15</v>
      </c>
      <c r="D353" t="s">
        <v>21</v>
      </c>
      <c r="E353">
        <v>13</v>
      </c>
      <c r="F353" t="s">
        <v>28</v>
      </c>
      <c r="G353" t="s">
        <v>937</v>
      </c>
      <c r="H353" s="1">
        <v>42835</v>
      </c>
    </row>
    <row r="354" spans="1:8" x14ac:dyDescent="0.35">
      <c r="A354" t="s">
        <v>385</v>
      </c>
      <c r="B354" t="s">
        <v>22</v>
      </c>
      <c r="C354" t="s">
        <v>30</v>
      </c>
      <c r="D354" t="s">
        <v>44</v>
      </c>
      <c r="E354">
        <v>2</v>
      </c>
      <c r="F354" t="s">
        <v>32</v>
      </c>
      <c r="G354" t="s">
        <v>938</v>
      </c>
      <c r="H354" s="1">
        <v>42915</v>
      </c>
    </row>
    <row r="355" spans="1:8" x14ac:dyDescent="0.35">
      <c r="A355" t="s">
        <v>386</v>
      </c>
      <c r="B355" t="s">
        <v>17</v>
      </c>
      <c r="C355" t="s">
        <v>20</v>
      </c>
      <c r="D355" t="s">
        <v>16</v>
      </c>
      <c r="E355">
        <v>13</v>
      </c>
      <c r="F355" t="s">
        <v>23</v>
      </c>
      <c r="G355" t="s">
        <v>938</v>
      </c>
      <c r="H355" s="1">
        <v>42662</v>
      </c>
    </row>
    <row r="356" spans="1:8" x14ac:dyDescent="0.35">
      <c r="A356" t="s">
        <v>387</v>
      </c>
      <c r="B356" t="s">
        <v>22</v>
      </c>
      <c r="C356" t="s">
        <v>15</v>
      </c>
      <c r="D356" t="s">
        <v>16</v>
      </c>
      <c r="E356">
        <v>2</v>
      </c>
      <c r="F356" t="s">
        <v>25</v>
      </c>
      <c r="G356" t="s">
        <v>937</v>
      </c>
      <c r="H356" s="1">
        <v>44705</v>
      </c>
    </row>
    <row r="357" spans="1:8" x14ac:dyDescent="0.35">
      <c r="A357" t="s">
        <v>388</v>
      </c>
      <c r="B357" t="s">
        <v>22</v>
      </c>
      <c r="C357" t="s">
        <v>36</v>
      </c>
      <c r="D357" t="s">
        <v>16</v>
      </c>
      <c r="E357">
        <v>2</v>
      </c>
      <c r="F357" t="s">
        <v>32</v>
      </c>
      <c r="G357" t="s">
        <v>938</v>
      </c>
      <c r="H357" s="1">
        <v>42753</v>
      </c>
    </row>
    <row r="358" spans="1:8" x14ac:dyDescent="0.35">
      <c r="A358" t="s">
        <v>389</v>
      </c>
      <c r="B358" t="s">
        <v>22</v>
      </c>
      <c r="C358" t="s">
        <v>15</v>
      </c>
      <c r="D358" t="s">
        <v>21</v>
      </c>
      <c r="E358">
        <v>5</v>
      </c>
      <c r="F358" t="s">
        <v>25</v>
      </c>
      <c r="G358" t="s">
        <v>937</v>
      </c>
      <c r="H358" s="1">
        <v>44415</v>
      </c>
    </row>
    <row r="359" spans="1:8" x14ac:dyDescent="0.35">
      <c r="A359" t="s">
        <v>390</v>
      </c>
      <c r="B359" t="s">
        <v>17</v>
      </c>
      <c r="C359" t="s">
        <v>15</v>
      </c>
      <c r="D359" t="s">
        <v>21</v>
      </c>
      <c r="E359">
        <v>11</v>
      </c>
      <c r="F359" t="s">
        <v>25</v>
      </c>
      <c r="G359" t="s">
        <v>937</v>
      </c>
      <c r="H359" s="1">
        <v>45114</v>
      </c>
    </row>
    <row r="360" spans="1:8" x14ac:dyDescent="0.35">
      <c r="A360" t="s">
        <v>391</v>
      </c>
      <c r="B360" t="s">
        <v>17</v>
      </c>
      <c r="C360" t="s">
        <v>36</v>
      </c>
      <c r="D360" t="s">
        <v>21</v>
      </c>
      <c r="E360">
        <v>2</v>
      </c>
      <c r="F360" t="s">
        <v>45</v>
      </c>
      <c r="G360" t="s">
        <v>938</v>
      </c>
      <c r="H360" s="1">
        <v>44126</v>
      </c>
    </row>
    <row r="361" spans="1:8" x14ac:dyDescent="0.35">
      <c r="A361" t="s">
        <v>392</v>
      </c>
      <c r="B361" t="s">
        <v>22</v>
      </c>
      <c r="C361" t="s">
        <v>30</v>
      </c>
      <c r="D361" t="s">
        <v>21</v>
      </c>
      <c r="E361">
        <v>7</v>
      </c>
      <c r="F361" t="s">
        <v>32</v>
      </c>
      <c r="G361" t="s">
        <v>938</v>
      </c>
      <c r="H361" s="1">
        <v>44024</v>
      </c>
    </row>
    <row r="362" spans="1:8" x14ac:dyDescent="0.35">
      <c r="A362" t="s">
        <v>393</v>
      </c>
      <c r="B362" t="s">
        <v>22</v>
      </c>
      <c r="C362" t="s">
        <v>15</v>
      </c>
      <c r="D362" t="s">
        <v>16</v>
      </c>
      <c r="E362">
        <v>2</v>
      </c>
      <c r="F362" t="s">
        <v>32</v>
      </c>
      <c r="G362" t="s">
        <v>938</v>
      </c>
      <c r="H362" s="1">
        <v>42540</v>
      </c>
    </row>
    <row r="363" spans="1:8" x14ac:dyDescent="0.35">
      <c r="A363" t="s">
        <v>394</v>
      </c>
      <c r="B363" t="s">
        <v>17</v>
      </c>
      <c r="C363" t="s">
        <v>30</v>
      </c>
      <c r="D363" t="s">
        <v>44</v>
      </c>
      <c r="E363">
        <v>13</v>
      </c>
      <c r="F363" t="s">
        <v>25</v>
      </c>
      <c r="G363" t="s">
        <v>937</v>
      </c>
      <c r="H363" s="1">
        <v>44422</v>
      </c>
    </row>
    <row r="364" spans="1:8" x14ac:dyDescent="0.35">
      <c r="A364" t="s">
        <v>395</v>
      </c>
      <c r="B364" t="s">
        <v>17</v>
      </c>
      <c r="C364" t="s">
        <v>30</v>
      </c>
      <c r="D364" t="s">
        <v>34</v>
      </c>
      <c r="E364">
        <v>12</v>
      </c>
      <c r="F364" t="s">
        <v>71</v>
      </c>
      <c r="G364" t="s">
        <v>938</v>
      </c>
      <c r="H364" s="1">
        <v>44191</v>
      </c>
    </row>
    <row r="365" spans="1:8" x14ac:dyDescent="0.35">
      <c r="A365" t="s">
        <v>396</v>
      </c>
      <c r="B365" t="s">
        <v>17</v>
      </c>
      <c r="C365" t="s">
        <v>30</v>
      </c>
      <c r="D365" t="s">
        <v>16</v>
      </c>
      <c r="E365">
        <v>6</v>
      </c>
      <c r="F365" t="s">
        <v>32</v>
      </c>
      <c r="G365" t="s">
        <v>938</v>
      </c>
      <c r="H365" s="1">
        <v>45240</v>
      </c>
    </row>
    <row r="366" spans="1:8" x14ac:dyDescent="0.35">
      <c r="A366" t="s">
        <v>397</v>
      </c>
      <c r="B366" t="s">
        <v>22</v>
      </c>
      <c r="C366" t="s">
        <v>20</v>
      </c>
      <c r="D366" t="s">
        <v>44</v>
      </c>
      <c r="E366">
        <v>6</v>
      </c>
      <c r="F366" t="s">
        <v>32</v>
      </c>
      <c r="G366" t="s">
        <v>938</v>
      </c>
      <c r="H366" s="1">
        <v>44162</v>
      </c>
    </row>
    <row r="367" spans="1:8" x14ac:dyDescent="0.35">
      <c r="A367" t="s">
        <v>398</v>
      </c>
      <c r="B367" t="s">
        <v>17</v>
      </c>
      <c r="C367" t="s">
        <v>15</v>
      </c>
      <c r="D367" t="s">
        <v>16</v>
      </c>
      <c r="E367">
        <v>14</v>
      </c>
      <c r="F367" t="s">
        <v>38</v>
      </c>
      <c r="G367" t="s">
        <v>937</v>
      </c>
      <c r="H367" s="1">
        <v>42290</v>
      </c>
    </row>
    <row r="368" spans="1:8" x14ac:dyDescent="0.35">
      <c r="A368" t="s">
        <v>399</v>
      </c>
      <c r="B368" t="s">
        <v>22</v>
      </c>
      <c r="C368" t="s">
        <v>30</v>
      </c>
      <c r="D368" t="s">
        <v>44</v>
      </c>
      <c r="E368">
        <v>7</v>
      </c>
      <c r="F368" t="s">
        <v>25</v>
      </c>
      <c r="G368" t="s">
        <v>937</v>
      </c>
      <c r="H368" s="1">
        <v>45499</v>
      </c>
    </row>
    <row r="369" spans="1:8" x14ac:dyDescent="0.35">
      <c r="A369" t="s">
        <v>400</v>
      </c>
      <c r="B369" t="s">
        <v>22</v>
      </c>
      <c r="C369" t="s">
        <v>15</v>
      </c>
      <c r="D369" t="s">
        <v>21</v>
      </c>
      <c r="E369">
        <v>0</v>
      </c>
      <c r="F369" t="s">
        <v>23</v>
      </c>
      <c r="G369" t="s">
        <v>938</v>
      </c>
      <c r="H369" s="1">
        <v>42362</v>
      </c>
    </row>
    <row r="370" spans="1:8" x14ac:dyDescent="0.35">
      <c r="A370" t="s">
        <v>401</v>
      </c>
      <c r="B370" t="s">
        <v>22</v>
      </c>
      <c r="C370" t="s">
        <v>15</v>
      </c>
      <c r="D370" t="s">
        <v>44</v>
      </c>
      <c r="E370">
        <v>9</v>
      </c>
      <c r="F370" t="s">
        <v>45</v>
      </c>
      <c r="G370" t="s">
        <v>938</v>
      </c>
      <c r="H370" s="1">
        <v>43235</v>
      </c>
    </row>
    <row r="371" spans="1:8" x14ac:dyDescent="0.35">
      <c r="A371" t="s">
        <v>402</v>
      </c>
      <c r="B371" t="s">
        <v>22</v>
      </c>
      <c r="C371" t="s">
        <v>27</v>
      </c>
      <c r="D371" t="s">
        <v>16</v>
      </c>
      <c r="E371">
        <v>15</v>
      </c>
      <c r="F371" t="s">
        <v>32</v>
      </c>
      <c r="G371" t="s">
        <v>938</v>
      </c>
      <c r="H371" s="1">
        <v>44913</v>
      </c>
    </row>
    <row r="372" spans="1:8" x14ac:dyDescent="0.35">
      <c r="A372" t="s">
        <v>403</v>
      </c>
      <c r="B372" t="s">
        <v>17</v>
      </c>
      <c r="C372" t="s">
        <v>27</v>
      </c>
      <c r="D372" t="s">
        <v>21</v>
      </c>
      <c r="E372">
        <v>4</v>
      </c>
      <c r="F372" t="s">
        <v>18</v>
      </c>
      <c r="G372" t="s">
        <v>937</v>
      </c>
      <c r="H372" s="1">
        <v>44669</v>
      </c>
    </row>
    <row r="373" spans="1:8" x14ac:dyDescent="0.35">
      <c r="A373" t="s">
        <v>404</v>
      </c>
      <c r="B373" t="s">
        <v>17</v>
      </c>
      <c r="C373" t="s">
        <v>20</v>
      </c>
      <c r="D373" t="s">
        <v>34</v>
      </c>
      <c r="E373">
        <v>5</v>
      </c>
      <c r="F373" t="s">
        <v>23</v>
      </c>
      <c r="G373" t="s">
        <v>938</v>
      </c>
      <c r="H373" s="1">
        <v>42592</v>
      </c>
    </row>
    <row r="374" spans="1:8" x14ac:dyDescent="0.35">
      <c r="A374" t="s">
        <v>405</v>
      </c>
      <c r="B374" t="s">
        <v>22</v>
      </c>
      <c r="C374" t="s">
        <v>30</v>
      </c>
      <c r="D374" t="s">
        <v>34</v>
      </c>
      <c r="E374">
        <v>8</v>
      </c>
      <c r="F374" t="s">
        <v>18</v>
      </c>
      <c r="G374" t="s">
        <v>937</v>
      </c>
      <c r="H374" s="1">
        <v>43199</v>
      </c>
    </row>
    <row r="375" spans="1:8" x14ac:dyDescent="0.35">
      <c r="A375" t="s">
        <v>406</v>
      </c>
      <c r="B375" t="s">
        <v>22</v>
      </c>
      <c r="C375" t="s">
        <v>30</v>
      </c>
      <c r="D375" t="s">
        <v>44</v>
      </c>
      <c r="E375">
        <v>15</v>
      </c>
      <c r="F375" t="s">
        <v>32</v>
      </c>
      <c r="G375" t="s">
        <v>938</v>
      </c>
      <c r="H375" s="1">
        <v>43065</v>
      </c>
    </row>
    <row r="376" spans="1:8" x14ac:dyDescent="0.35">
      <c r="A376" t="s">
        <v>407</v>
      </c>
      <c r="B376" t="s">
        <v>22</v>
      </c>
      <c r="C376" t="s">
        <v>30</v>
      </c>
      <c r="D376" t="s">
        <v>21</v>
      </c>
      <c r="E376">
        <v>3</v>
      </c>
      <c r="F376" t="s">
        <v>25</v>
      </c>
      <c r="G376" t="s">
        <v>937</v>
      </c>
      <c r="H376" s="1">
        <v>45061</v>
      </c>
    </row>
    <row r="377" spans="1:8" x14ac:dyDescent="0.35">
      <c r="A377" t="s">
        <v>408</v>
      </c>
      <c r="B377" t="s">
        <v>22</v>
      </c>
      <c r="C377" t="s">
        <v>20</v>
      </c>
      <c r="D377" t="s">
        <v>16</v>
      </c>
      <c r="E377">
        <v>12</v>
      </c>
      <c r="F377" t="s">
        <v>38</v>
      </c>
      <c r="G377" t="s">
        <v>937</v>
      </c>
      <c r="H377" s="1">
        <v>42959</v>
      </c>
    </row>
    <row r="378" spans="1:8" x14ac:dyDescent="0.35">
      <c r="A378" t="s">
        <v>409</v>
      </c>
      <c r="B378" t="s">
        <v>17</v>
      </c>
      <c r="C378" t="s">
        <v>15</v>
      </c>
      <c r="D378" t="s">
        <v>44</v>
      </c>
      <c r="E378">
        <v>2</v>
      </c>
      <c r="F378" t="s">
        <v>25</v>
      </c>
      <c r="G378" t="s">
        <v>937</v>
      </c>
      <c r="H378" s="1">
        <v>43085</v>
      </c>
    </row>
    <row r="379" spans="1:8" x14ac:dyDescent="0.35">
      <c r="A379" t="s">
        <v>410</v>
      </c>
      <c r="B379" t="s">
        <v>22</v>
      </c>
      <c r="C379" t="s">
        <v>15</v>
      </c>
      <c r="D379" t="s">
        <v>21</v>
      </c>
      <c r="E379">
        <v>3</v>
      </c>
      <c r="F379" t="s">
        <v>71</v>
      </c>
      <c r="G379" t="s">
        <v>938</v>
      </c>
      <c r="H379" s="1">
        <v>43458</v>
      </c>
    </row>
    <row r="380" spans="1:8" x14ac:dyDescent="0.35">
      <c r="A380" t="s">
        <v>411</v>
      </c>
      <c r="B380" t="s">
        <v>22</v>
      </c>
      <c r="C380" t="s">
        <v>20</v>
      </c>
      <c r="D380" t="s">
        <v>44</v>
      </c>
      <c r="E380">
        <v>7</v>
      </c>
      <c r="F380" t="s">
        <v>45</v>
      </c>
      <c r="G380" t="s">
        <v>938</v>
      </c>
      <c r="H380" s="1">
        <v>42138</v>
      </c>
    </row>
    <row r="381" spans="1:8" x14ac:dyDescent="0.35">
      <c r="A381" t="s">
        <v>412</v>
      </c>
      <c r="B381" t="s">
        <v>22</v>
      </c>
      <c r="C381" t="s">
        <v>36</v>
      </c>
      <c r="D381" t="s">
        <v>21</v>
      </c>
      <c r="E381">
        <v>4</v>
      </c>
      <c r="F381" t="s">
        <v>32</v>
      </c>
      <c r="G381" t="s">
        <v>938</v>
      </c>
      <c r="H381" s="1">
        <v>43334</v>
      </c>
    </row>
    <row r="382" spans="1:8" x14ac:dyDescent="0.35">
      <c r="A382" t="s">
        <v>413</v>
      </c>
      <c r="B382" t="s">
        <v>17</v>
      </c>
      <c r="C382" t="s">
        <v>36</v>
      </c>
      <c r="D382" t="s">
        <v>21</v>
      </c>
      <c r="E382">
        <v>10</v>
      </c>
      <c r="F382" t="s">
        <v>45</v>
      </c>
      <c r="G382" t="s">
        <v>938</v>
      </c>
      <c r="H382" s="1">
        <v>45302</v>
      </c>
    </row>
    <row r="383" spans="1:8" x14ac:dyDescent="0.35">
      <c r="A383" t="s">
        <v>414</v>
      </c>
      <c r="B383" t="s">
        <v>17</v>
      </c>
      <c r="C383" t="s">
        <v>27</v>
      </c>
      <c r="D383" t="s">
        <v>16</v>
      </c>
      <c r="E383">
        <v>3</v>
      </c>
      <c r="F383" t="s">
        <v>18</v>
      </c>
      <c r="G383" t="s">
        <v>937</v>
      </c>
      <c r="H383" s="1">
        <v>43954</v>
      </c>
    </row>
    <row r="384" spans="1:8" x14ac:dyDescent="0.35">
      <c r="A384" t="s">
        <v>415</v>
      </c>
      <c r="B384" t="s">
        <v>17</v>
      </c>
      <c r="C384" t="s">
        <v>27</v>
      </c>
      <c r="D384" t="s">
        <v>16</v>
      </c>
      <c r="E384">
        <v>12</v>
      </c>
      <c r="F384" t="s">
        <v>38</v>
      </c>
      <c r="G384" t="s">
        <v>937</v>
      </c>
      <c r="H384" s="1">
        <v>42136</v>
      </c>
    </row>
    <row r="385" spans="1:8" x14ac:dyDescent="0.35">
      <c r="A385" t="s">
        <v>416</v>
      </c>
      <c r="B385" t="s">
        <v>17</v>
      </c>
      <c r="C385" t="s">
        <v>15</v>
      </c>
      <c r="D385" t="s">
        <v>34</v>
      </c>
      <c r="E385">
        <v>8</v>
      </c>
      <c r="F385" t="s">
        <v>25</v>
      </c>
      <c r="G385" t="s">
        <v>937</v>
      </c>
      <c r="H385" s="1">
        <v>42312</v>
      </c>
    </row>
    <row r="386" spans="1:8" x14ac:dyDescent="0.35">
      <c r="A386" t="s">
        <v>417</v>
      </c>
      <c r="B386" t="s">
        <v>22</v>
      </c>
      <c r="C386" t="s">
        <v>20</v>
      </c>
      <c r="D386" t="s">
        <v>44</v>
      </c>
      <c r="E386">
        <v>11</v>
      </c>
      <c r="F386" t="s">
        <v>18</v>
      </c>
      <c r="G386" t="s">
        <v>937</v>
      </c>
      <c r="H386" s="1">
        <v>45387</v>
      </c>
    </row>
    <row r="387" spans="1:8" x14ac:dyDescent="0.35">
      <c r="A387" t="s">
        <v>418</v>
      </c>
      <c r="B387" t="s">
        <v>22</v>
      </c>
      <c r="C387" t="s">
        <v>30</v>
      </c>
      <c r="D387" t="s">
        <v>21</v>
      </c>
      <c r="E387">
        <v>13</v>
      </c>
      <c r="F387" t="s">
        <v>38</v>
      </c>
      <c r="G387" t="s">
        <v>937</v>
      </c>
      <c r="H387" s="1">
        <v>44016</v>
      </c>
    </row>
    <row r="388" spans="1:8" x14ac:dyDescent="0.35">
      <c r="A388" t="s">
        <v>419</v>
      </c>
      <c r="B388" t="s">
        <v>22</v>
      </c>
      <c r="C388" t="s">
        <v>15</v>
      </c>
      <c r="D388" t="s">
        <v>16</v>
      </c>
      <c r="E388">
        <v>8</v>
      </c>
      <c r="F388" t="s">
        <v>32</v>
      </c>
      <c r="G388" t="s">
        <v>938</v>
      </c>
      <c r="H388" s="1">
        <v>44197</v>
      </c>
    </row>
    <row r="389" spans="1:8" x14ac:dyDescent="0.35">
      <c r="A389" t="s">
        <v>420</v>
      </c>
      <c r="B389" t="s">
        <v>22</v>
      </c>
      <c r="C389" t="s">
        <v>36</v>
      </c>
      <c r="D389" t="s">
        <v>34</v>
      </c>
      <c r="E389">
        <v>1</v>
      </c>
      <c r="F389" t="s">
        <v>45</v>
      </c>
      <c r="G389" t="s">
        <v>938</v>
      </c>
      <c r="H389" s="1">
        <v>44820</v>
      </c>
    </row>
    <row r="390" spans="1:8" x14ac:dyDescent="0.35">
      <c r="A390" t="s">
        <v>421</v>
      </c>
      <c r="B390" t="s">
        <v>17</v>
      </c>
      <c r="C390" t="s">
        <v>20</v>
      </c>
      <c r="D390" t="s">
        <v>44</v>
      </c>
      <c r="E390">
        <v>15</v>
      </c>
      <c r="F390" t="s">
        <v>18</v>
      </c>
      <c r="G390" t="s">
        <v>937</v>
      </c>
      <c r="H390" s="1">
        <v>42562</v>
      </c>
    </row>
    <row r="391" spans="1:8" x14ac:dyDescent="0.35">
      <c r="A391" t="s">
        <v>422</v>
      </c>
      <c r="B391" t="s">
        <v>22</v>
      </c>
      <c r="C391" t="s">
        <v>30</v>
      </c>
      <c r="D391" t="s">
        <v>21</v>
      </c>
      <c r="E391">
        <v>15</v>
      </c>
      <c r="F391" t="s">
        <v>25</v>
      </c>
      <c r="G391" t="s">
        <v>937</v>
      </c>
      <c r="H391" s="1">
        <v>43703</v>
      </c>
    </row>
    <row r="392" spans="1:8" x14ac:dyDescent="0.35">
      <c r="A392" t="s">
        <v>423</v>
      </c>
      <c r="B392" t="s">
        <v>22</v>
      </c>
      <c r="C392" t="s">
        <v>30</v>
      </c>
      <c r="D392" t="s">
        <v>21</v>
      </c>
      <c r="E392">
        <v>11</v>
      </c>
      <c r="F392" t="s">
        <v>45</v>
      </c>
      <c r="G392" t="s">
        <v>938</v>
      </c>
      <c r="H392" s="1">
        <v>44085</v>
      </c>
    </row>
    <row r="393" spans="1:8" x14ac:dyDescent="0.35">
      <c r="A393" t="s">
        <v>424</v>
      </c>
      <c r="B393" t="s">
        <v>17</v>
      </c>
      <c r="C393" t="s">
        <v>30</v>
      </c>
      <c r="D393" t="s">
        <v>16</v>
      </c>
      <c r="E393">
        <v>2</v>
      </c>
      <c r="F393" t="s">
        <v>28</v>
      </c>
      <c r="G393" t="s">
        <v>937</v>
      </c>
      <c r="H393" s="1">
        <v>43919</v>
      </c>
    </row>
    <row r="394" spans="1:8" x14ac:dyDescent="0.35">
      <c r="A394" t="s">
        <v>425</v>
      </c>
      <c r="B394" t="s">
        <v>22</v>
      </c>
      <c r="C394" t="s">
        <v>20</v>
      </c>
      <c r="D394" t="s">
        <v>44</v>
      </c>
      <c r="E394">
        <v>10</v>
      </c>
      <c r="F394" t="s">
        <v>38</v>
      </c>
      <c r="G394" t="s">
        <v>937</v>
      </c>
      <c r="H394" s="1">
        <v>45190</v>
      </c>
    </row>
    <row r="395" spans="1:8" x14ac:dyDescent="0.35">
      <c r="A395" t="s">
        <v>426</v>
      </c>
      <c r="B395" t="s">
        <v>22</v>
      </c>
      <c r="C395" t="s">
        <v>36</v>
      </c>
      <c r="D395" t="s">
        <v>44</v>
      </c>
      <c r="E395">
        <v>0</v>
      </c>
      <c r="F395" t="s">
        <v>38</v>
      </c>
      <c r="G395" t="s">
        <v>937</v>
      </c>
      <c r="H395" s="1">
        <v>42374</v>
      </c>
    </row>
    <row r="396" spans="1:8" x14ac:dyDescent="0.35">
      <c r="A396" t="s">
        <v>427</v>
      </c>
      <c r="B396" t="s">
        <v>17</v>
      </c>
      <c r="C396" t="s">
        <v>15</v>
      </c>
      <c r="D396" t="s">
        <v>44</v>
      </c>
      <c r="E396">
        <v>2</v>
      </c>
      <c r="F396" t="s">
        <v>45</v>
      </c>
      <c r="G396" t="s">
        <v>938</v>
      </c>
      <c r="H396" s="1">
        <v>44985</v>
      </c>
    </row>
    <row r="397" spans="1:8" x14ac:dyDescent="0.35">
      <c r="A397" t="s">
        <v>428</v>
      </c>
      <c r="B397" t="s">
        <v>22</v>
      </c>
      <c r="C397" t="s">
        <v>36</v>
      </c>
      <c r="D397" t="s">
        <v>44</v>
      </c>
      <c r="E397">
        <v>10</v>
      </c>
      <c r="F397" t="s">
        <v>25</v>
      </c>
      <c r="G397" t="s">
        <v>937</v>
      </c>
      <c r="H397" s="1">
        <v>44928</v>
      </c>
    </row>
    <row r="398" spans="1:8" x14ac:dyDescent="0.35">
      <c r="A398" t="s">
        <v>429</v>
      </c>
      <c r="B398" t="s">
        <v>17</v>
      </c>
      <c r="C398" t="s">
        <v>30</v>
      </c>
      <c r="D398" t="s">
        <v>21</v>
      </c>
      <c r="E398">
        <v>3</v>
      </c>
      <c r="F398" t="s">
        <v>71</v>
      </c>
      <c r="G398" t="s">
        <v>938</v>
      </c>
      <c r="H398" s="1">
        <v>44029</v>
      </c>
    </row>
    <row r="399" spans="1:8" x14ac:dyDescent="0.35">
      <c r="A399" t="s">
        <v>430</v>
      </c>
      <c r="B399" t="s">
        <v>22</v>
      </c>
      <c r="C399" t="s">
        <v>20</v>
      </c>
      <c r="D399" t="s">
        <v>16</v>
      </c>
      <c r="E399">
        <v>15</v>
      </c>
      <c r="F399" t="s">
        <v>45</v>
      </c>
      <c r="G399" t="s">
        <v>938</v>
      </c>
      <c r="H399" s="1">
        <v>44426</v>
      </c>
    </row>
    <row r="400" spans="1:8" x14ac:dyDescent="0.35">
      <c r="A400" t="s">
        <v>431</v>
      </c>
      <c r="B400" t="s">
        <v>22</v>
      </c>
      <c r="C400" t="s">
        <v>30</v>
      </c>
      <c r="D400" t="s">
        <v>16</v>
      </c>
      <c r="E400">
        <v>14</v>
      </c>
      <c r="F400" t="s">
        <v>38</v>
      </c>
      <c r="G400" t="s">
        <v>937</v>
      </c>
      <c r="H400" s="1">
        <v>45094</v>
      </c>
    </row>
    <row r="401" spans="1:8" x14ac:dyDescent="0.35">
      <c r="A401" t="s">
        <v>432</v>
      </c>
      <c r="B401" t="s">
        <v>22</v>
      </c>
      <c r="C401" t="s">
        <v>30</v>
      </c>
      <c r="D401" t="s">
        <v>44</v>
      </c>
      <c r="E401">
        <v>6</v>
      </c>
      <c r="F401" t="s">
        <v>45</v>
      </c>
      <c r="G401" t="s">
        <v>938</v>
      </c>
      <c r="H401" s="1">
        <v>42415</v>
      </c>
    </row>
    <row r="402" spans="1:8" x14ac:dyDescent="0.35">
      <c r="A402" t="s">
        <v>433</v>
      </c>
      <c r="B402" t="s">
        <v>22</v>
      </c>
      <c r="C402" t="s">
        <v>30</v>
      </c>
      <c r="D402" t="s">
        <v>16</v>
      </c>
      <c r="E402">
        <v>4</v>
      </c>
      <c r="F402" t="s">
        <v>45</v>
      </c>
      <c r="G402" t="s">
        <v>938</v>
      </c>
      <c r="H402" s="1">
        <v>44497</v>
      </c>
    </row>
    <row r="403" spans="1:8" x14ac:dyDescent="0.35">
      <c r="A403" t="s">
        <v>434</v>
      </c>
      <c r="B403" t="s">
        <v>22</v>
      </c>
      <c r="C403" t="s">
        <v>30</v>
      </c>
      <c r="D403" t="s">
        <v>21</v>
      </c>
      <c r="E403">
        <v>7</v>
      </c>
      <c r="F403" t="s">
        <v>25</v>
      </c>
      <c r="G403" t="s">
        <v>937</v>
      </c>
      <c r="H403" s="1">
        <v>44227</v>
      </c>
    </row>
    <row r="404" spans="1:8" x14ac:dyDescent="0.35">
      <c r="A404" t="s">
        <v>435</v>
      </c>
      <c r="B404" t="s">
        <v>17</v>
      </c>
      <c r="C404" t="s">
        <v>20</v>
      </c>
      <c r="D404" t="s">
        <v>16</v>
      </c>
      <c r="E404">
        <v>6</v>
      </c>
      <c r="F404" t="s">
        <v>38</v>
      </c>
      <c r="G404" t="s">
        <v>937</v>
      </c>
      <c r="H404" s="1">
        <v>42892</v>
      </c>
    </row>
    <row r="405" spans="1:8" x14ac:dyDescent="0.35">
      <c r="A405" t="s">
        <v>436</v>
      </c>
      <c r="B405" t="s">
        <v>17</v>
      </c>
      <c r="C405" t="s">
        <v>36</v>
      </c>
      <c r="D405" t="s">
        <v>44</v>
      </c>
      <c r="E405">
        <v>7</v>
      </c>
      <c r="F405" t="s">
        <v>71</v>
      </c>
      <c r="G405" t="s">
        <v>938</v>
      </c>
      <c r="H405" s="1">
        <v>44018</v>
      </c>
    </row>
    <row r="406" spans="1:8" x14ac:dyDescent="0.35">
      <c r="A406" t="s">
        <v>437</v>
      </c>
      <c r="B406" t="s">
        <v>17</v>
      </c>
      <c r="C406" t="s">
        <v>36</v>
      </c>
      <c r="D406" t="s">
        <v>16</v>
      </c>
      <c r="E406">
        <v>5</v>
      </c>
      <c r="F406" t="s">
        <v>28</v>
      </c>
      <c r="G406" t="s">
        <v>937</v>
      </c>
      <c r="H406" s="1">
        <v>45117</v>
      </c>
    </row>
    <row r="407" spans="1:8" x14ac:dyDescent="0.35">
      <c r="A407" t="s">
        <v>438</v>
      </c>
      <c r="B407" t="s">
        <v>22</v>
      </c>
      <c r="C407" t="s">
        <v>27</v>
      </c>
      <c r="D407" t="s">
        <v>16</v>
      </c>
      <c r="E407">
        <v>11</v>
      </c>
      <c r="F407" t="s">
        <v>38</v>
      </c>
      <c r="G407" t="s">
        <v>937</v>
      </c>
      <c r="H407" s="1">
        <v>44272</v>
      </c>
    </row>
    <row r="408" spans="1:8" x14ac:dyDescent="0.35">
      <c r="A408" t="s">
        <v>439</v>
      </c>
      <c r="B408" t="s">
        <v>17</v>
      </c>
      <c r="C408" t="s">
        <v>20</v>
      </c>
      <c r="D408" t="s">
        <v>21</v>
      </c>
      <c r="E408">
        <v>14</v>
      </c>
      <c r="F408" t="s">
        <v>45</v>
      </c>
      <c r="G408" t="s">
        <v>938</v>
      </c>
      <c r="H408" s="1">
        <v>42481</v>
      </c>
    </row>
    <row r="409" spans="1:8" x14ac:dyDescent="0.35">
      <c r="A409" t="s">
        <v>440</v>
      </c>
      <c r="B409" t="s">
        <v>17</v>
      </c>
      <c r="C409" t="s">
        <v>20</v>
      </c>
      <c r="D409" t="s">
        <v>44</v>
      </c>
      <c r="E409">
        <v>0</v>
      </c>
      <c r="F409" t="s">
        <v>45</v>
      </c>
      <c r="G409" t="s">
        <v>938</v>
      </c>
      <c r="H409" s="1">
        <v>44752</v>
      </c>
    </row>
    <row r="410" spans="1:8" x14ac:dyDescent="0.35">
      <c r="A410" t="s">
        <v>441</v>
      </c>
      <c r="B410" t="s">
        <v>17</v>
      </c>
      <c r="C410" t="s">
        <v>27</v>
      </c>
      <c r="D410" t="s">
        <v>16</v>
      </c>
      <c r="E410">
        <v>7</v>
      </c>
      <c r="F410" t="s">
        <v>38</v>
      </c>
      <c r="G410" t="s">
        <v>937</v>
      </c>
      <c r="H410" s="1">
        <v>43377</v>
      </c>
    </row>
    <row r="411" spans="1:8" x14ac:dyDescent="0.35">
      <c r="A411" t="s">
        <v>442</v>
      </c>
      <c r="B411" t="s">
        <v>22</v>
      </c>
      <c r="C411" t="s">
        <v>30</v>
      </c>
      <c r="D411" t="s">
        <v>34</v>
      </c>
      <c r="E411">
        <v>10</v>
      </c>
      <c r="F411" t="s">
        <v>23</v>
      </c>
      <c r="G411" t="s">
        <v>938</v>
      </c>
      <c r="H411" s="1">
        <v>45053</v>
      </c>
    </row>
    <row r="412" spans="1:8" x14ac:dyDescent="0.35">
      <c r="A412" t="s">
        <v>443</v>
      </c>
      <c r="B412" t="s">
        <v>22</v>
      </c>
      <c r="C412" t="s">
        <v>20</v>
      </c>
      <c r="D412" t="s">
        <v>21</v>
      </c>
      <c r="E412">
        <v>4</v>
      </c>
      <c r="F412" t="s">
        <v>25</v>
      </c>
      <c r="G412" t="s">
        <v>937</v>
      </c>
      <c r="H412" s="1">
        <v>44757</v>
      </c>
    </row>
    <row r="413" spans="1:8" x14ac:dyDescent="0.35">
      <c r="A413" t="s">
        <v>444</v>
      </c>
      <c r="B413" t="s">
        <v>17</v>
      </c>
      <c r="C413" t="s">
        <v>30</v>
      </c>
      <c r="D413" t="s">
        <v>34</v>
      </c>
      <c r="E413">
        <v>15</v>
      </c>
      <c r="F413" t="s">
        <v>71</v>
      </c>
      <c r="G413" t="s">
        <v>938</v>
      </c>
      <c r="H413" s="1">
        <v>42778</v>
      </c>
    </row>
    <row r="414" spans="1:8" x14ac:dyDescent="0.35">
      <c r="A414" t="s">
        <v>445</v>
      </c>
      <c r="B414" t="s">
        <v>17</v>
      </c>
      <c r="C414" t="s">
        <v>15</v>
      </c>
      <c r="D414" t="s">
        <v>44</v>
      </c>
      <c r="E414">
        <v>10</v>
      </c>
      <c r="F414" t="s">
        <v>32</v>
      </c>
      <c r="G414" t="s">
        <v>938</v>
      </c>
      <c r="H414" s="1">
        <v>42139</v>
      </c>
    </row>
    <row r="415" spans="1:8" x14ac:dyDescent="0.35">
      <c r="A415" t="s">
        <v>446</v>
      </c>
      <c r="B415" t="s">
        <v>17</v>
      </c>
      <c r="C415" t="s">
        <v>36</v>
      </c>
      <c r="D415" t="s">
        <v>34</v>
      </c>
      <c r="E415">
        <v>13</v>
      </c>
      <c r="F415" t="s">
        <v>45</v>
      </c>
      <c r="G415" t="s">
        <v>938</v>
      </c>
      <c r="H415" s="1">
        <v>44136</v>
      </c>
    </row>
    <row r="416" spans="1:8" x14ac:dyDescent="0.35">
      <c r="A416" t="s">
        <v>447</v>
      </c>
      <c r="B416" t="s">
        <v>22</v>
      </c>
      <c r="C416" t="s">
        <v>15</v>
      </c>
      <c r="D416" t="s">
        <v>21</v>
      </c>
      <c r="E416">
        <v>11</v>
      </c>
      <c r="F416" t="s">
        <v>45</v>
      </c>
      <c r="G416" t="s">
        <v>938</v>
      </c>
      <c r="H416" s="1">
        <v>44692</v>
      </c>
    </row>
    <row r="417" spans="1:8" x14ac:dyDescent="0.35">
      <c r="A417" t="s">
        <v>448</v>
      </c>
      <c r="B417" t="s">
        <v>22</v>
      </c>
      <c r="C417" t="s">
        <v>36</v>
      </c>
      <c r="D417" t="s">
        <v>34</v>
      </c>
      <c r="E417">
        <v>6</v>
      </c>
      <c r="F417" t="s">
        <v>38</v>
      </c>
      <c r="G417" t="s">
        <v>937</v>
      </c>
      <c r="H417" s="1">
        <v>44205</v>
      </c>
    </row>
    <row r="418" spans="1:8" x14ac:dyDescent="0.35">
      <c r="A418" t="s">
        <v>449</v>
      </c>
      <c r="B418" t="s">
        <v>17</v>
      </c>
      <c r="C418" t="s">
        <v>36</v>
      </c>
      <c r="D418" t="s">
        <v>44</v>
      </c>
      <c r="E418">
        <v>7</v>
      </c>
      <c r="F418" t="s">
        <v>45</v>
      </c>
      <c r="G418" t="s">
        <v>938</v>
      </c>
      <c r="H418" s="1">
        <v>42708</v>
      </c>
    </row>
    <row r="419" spans="1:8" x14ac:dyDescent="0.35">
      <c r="A419" t="s">
        <v>450</v>
      </c>
      <c r="B419" t="s">
        <v>17</v>
      </c>
      <c r="C419" t="s">
        <v>15</v>
      </c>
      <c r="D419" t="s">
        <v>21</v>
      </c>
      <c r="E419">
        <v>7</v>
      </c>
      <c r="F419" t="s">
        <v>45</v>
      </c>
      <c r="G419" t="s">
        <v>938</v>
      </c>
      <c r="H419" s="1">
        <v>43031</v>
      </c>
    </row>
    <row r="420" spans="1:8" x14ac:dyDescent="0.35">
      <c r="A420" t="s">
        <v>451</v>
      </c>
      <c r="B420" t="s">
        <v>17</v>
      </c>
      <c r="C420" t="s">
        <v>30</v>
      </c>
      <c r="D420" t="s">
        <v>21</v>
      </c>
      <c r="E420">
        <v>11</v>
      </c>
      <c r="F420" t="s">
        <v>45</v>
      </c>
      <c r="G420" t="s">
        <v>938</v>
      </c>
      <c r="H420" s="1">
        <v>45242</v>
      </c>
    </row>
    <row r="421" spans="1:8" x14ac:dyDescent="0.35">
      <c r="A421" t="s">
        <v>452</v>
      </c>
      <c r="B421" t="s">
        <v>22</v>
      </c>
      <c r="C421" t="s">
        <v>27</v>
      </c>
      <c r="D421" t="s">
        <v>21</v>
      </c>
      <c r="E421">
        <v>3</v>
      </c>
      <c r="F421" t="s">
        <v>45</v>
      </c>
      <c r="G421" t="s">
        <v>938</v>
      </c>
      <c r="H421" s="1">
        <v>45468</v>
      </c>
    </row>
    <row r="422" spans="1:8" x14ac:dyDescent="0.35">
      <c r="A422" t="s">
        <v>453</v>
      </c>
      <c r="B422" t="s">
        <v>17</v>
      </c>
      <c r="C422" t="s">
        <v>27</v>
      </c>
      <c r="D422" t="s">
        <v>16</v>
      </c>
      <c r="E422">
        <v>7</v>
      </c>
      <c r="F422" t="s">
        <v>32</v>
      </c>
      <c r="G422" t="s">
        <v>938</v>
      </c>
      <c r="H422" s="1">
        <v>45170</v>
      </c>
    </row>
    <row r="423" spans="1:8" x14ac:dyDescent="0.35">
      <c r="A423" t="s">
        <v>454</v>
      </c>
      <c r="B423" t="s">
        <v>22</v>
      </c>
      <c r="C423" t="s">
        <v>27</v>
      </c>
      <c r="D423" t="s">
        <v>16</v>
      </c>
      <c r="E423">
        <v>5</v>
      </c>
      <c r="F423" t="s">
        <v>23</v>
      </c>
      <c r="G423" t="s">
        <v>938</v>
      </c>
      <c r="H423" s="1">
        <v>45494</v>
      </c>
    </row>
    <row r="424" spans="1:8" x14ac:dyDescent="0.35">
      <c r="A424" t="s">
        <v>455</v>
      </c>
      <c r="B424" t="s">
        <v>22</v>
      </c>
      <c r="C424" t="s">
        <v>36</v>
      </c>
      <c r="D424" t="s">
        <v>34</v>
      </c>
      <c r="E424">
        <v>12</v>
      </c>
      <c r="F424" t="s">
        <v>71</v>
      </c>
      <c r="G424" t="s">
        <v>938</v>
      </c>
      <c r="H424" s="1">
        <v>42478</v>
      </c>
    </row>
    <row r="425" spans="1:8" x14ac:dyDescent="0.35">
      <c r="A425" t="s">
        <v>456</v>
      </c>
      <c r="B425" t="s">
        <v>22</v>
      </c>
      <c r="C425" t="s">
        <v>15</v>
      </c>
      <c r="D425" t="s">
        <v>34</v>
      </c>
      <c r="E425">
        <v>1</v>
      </c>
      <c r="F425" t="s">
        <v>38</v>
      </c>
      <c r="G425" t="s">
        <v>937</v>
      </c>
      <c r="H425" s="1">
        <v>43176</v>
      </c>
    </row>
    <row r="426" spans="1:8" x14ac:dyDescent="0.35">
      <c r="A426" t="s">
        <v>457</v>
      </c>
      <c r="B426" t="s">
        <v>22</v>
      </c>
      <c r="C426" t="s">
        <v>36</v>
      </c>
      <c r="D426" t="s">
        <v>44</v>
      </c>
      <c r="E426">
        <v>15</v>
      </c>
      <c r="F426" t="s">
        <v>71</v>
      </c>
      <c r="G426" t="s">
        <v>938</v>
      </c>
      <c r="H426" s="1">
        <v>42286</v>
      </c>
    </row>
    <row r="427" spans="1:8" x14ac:dyDescent="0.35">
      <c r="A427" t="s">
        <v>458</v>
      </c>
      <c r="B427" t="s">
        <v>22</v>
      </c>
      <c r="C427" t="s">
        <v>20</v>
      </c>
      <c r="D427" t="s">
        <v>16</v>
      </c>
      <c r="E427">
        <v>6</v>
      </c>
      <c r="F427" t="s">
        <v>28</v>
      </c>
      <c r="G427" t="s">
        <v>937</v>
      </c>
      <c r="H427" s="1">
        <v>43321</v>
      </c>
    </row>
    <row r="428" spans="1:8" x14ac:dyDescent="0.35">
      <c r="A428" t="s">
        <v>459</v>
      </c>
      <c r="B428" t="s">
        <v>22</v>
      </c>
      <c r="C428" t="s">
        <v>15</v>
      </c>
      <c r="D428" t="s">
        <v>34</v>
      </c>
      <c r="E428">
        <v>12</v>
      </c>
      <c r="F428" t="s">
        <v>32</v>
      </c>
      <c r="G428" t="s">
        <v>938</v>
      </c>
      <c r="H428" s="1">
        <v>42426</v>
      </c>
    </row>
    <row r="429" spans="1:8" x14ac:dyDescent="0.35">
      <c r="A429" t="s">
        <v>460</v>
      </c>
      <c r="B429" t="s">
        <v>17</v>
      </c>
      <c r="C429" t="s">
        <v>27</v>
      </c>
      <c r="D429" t="s">
        <v>44</v>
      </c>
      <c r="E429">
        <v>4</v>
      </c>
      <c r="F429" t="s">
        <v>28</v>
      </c>
      <c r="G429" t="s">
        <v>937</v>
      </c>
      <c r="H429" s="1">
        <v>43513</v>
      </c>
    </row>
    <row r="430" spans="1:8" x14ac:dyDescent="0.35">
      <c r="A430" t="s">
        <v>461</v>
      </c>
      <c r="B430" t="s">
        <v>22</v>
      </c>
      <c r="C430" t="s">
        <v>30</v>
      </c>
      <c r="D430" t="s">
        <v>44</v>
      </c>
      <c r="E430">
        <v>4</v>
      </c>
      <c r="F430" t="s">
        <v>28</v>
      </c>
      <c r="G430" t="s">
        <v>937</v>
      </c>
      <c r="H430" s="1">
        <v>42609</v>
      </c>
    </row>
    <row r="431" spans="1:8" x14ac:dyDescent="0.35">
      <c r="A431" t="s">
        <v>462</v>
      </c>
      <c r="B431" t="s">
        <v>22</v>
      </c>
      <c r="C431" t="s">
        <v>36</v>
      </c>
      <c r="D431" t="s">
        <v>44</v>
      </c>
      <c r="E431">
        <v>3</v>
      </c>
      <c r="F431" t="s">
        <v>23</v>
      </c>
      <c r="G431" t="s">
        <v>938</v>
      </c>
      <c r="H431" s="1">
        <v>43584</v>
      </c>
    </row>
    <row r="432" spans="1:8" x14ac:dyDescent="0.35">
      <c r="A432" t="s">
        <v>463</v>
      </c>
      <c r="B432" t="s">
        <v>22</v>
      </c>
      <c r="C432" t="s">
        <v>27</v>
      </c>
      <c r="D432" t="s">
        <v>34</v>
      </c>
      <c r="E432">
        <v>1</v>
      </c>
      <c r="F432" t="s">
        <v>28</v>
      </c>
      <c r="G432" t="s">
        <v>937</v>
      </c>
      <c r="H432" s="1">
        <v>44736</v>
      </c>
    </row>
    <row r="433" spans="1:8" x14ac:dyDescent="0.35">
      <c r="A433" t="s">
        <v>464</v>
      </c>
      <c r="B433" t="s">
        <v>17</v>
      </c>
      <c r="C433" t="s">
        <v>20</v>
      </c>
      <c r="D433" t="s">
        <v>34</v>
      </c>
      <c r="E433">
        <v>12</v>
      </c>
      <c r="F433" t="s">
        <v>45</v>
      </c>
      <c r="G433" t="s">
        <v>938</v>
      </c>
      <c r="H433" s="1">
        <v>45510</v>
      </c>
    </row>
    <row r="434" spans="1:8" x14ac:dyDescent="0.35">
      <c r="A434" t="s">
        <v>465</v>
      </c>
      <c r="B434" t="s">
        <v>17</v>
      </c>
      <c r="C434" t="s">
        <v>36</v>
      </c>
      <c r="D434" t="s">
        <v>34</v>
      </c>
      <c r="E434">
        <v>4</v>
      </c>
      <c r="F434" t="s">
        <v>28</v>
      </c>
      <c r="G434" t="s">
        <v>937</v>
      </c>
      <c r="H434" s="1">
        <v>43300</v>
      </c>
    </row>
    <row r="435" spans="1:8" x14ac:dyDescent="0.35">
      <c r="A435" t="s">
        <v>466</v>
      </c>
      <c r="B435" t="s">
        <v>22</v>
      </c>
      <c r="C435" t="s">
        <v>36</v>
      </c>
      <c r="D435" t="s">
        <v>16</v>
      </c>
      <c r="E435">
        <v>10</v>
      </c>
      <c r="F435" t="s">
        <v>45</v>
      </c>
      <c r="G435" t="s">
        <v>938</v>
      </c>
      <c r="H435" s="1">
        <v>42153</v>
      </c>
    </row>
    <row r="436" spans="1:8" x14ac:dyDescent="0.35">
      <c r="A436" t="s">
        <v>467</v>
      </c>
      <c r="B436" t="s">
        <v>17</v>
      </c>
      <c r="C436" t="s">
        <v>30</v>
      </c>
      <c r="D436" t="s">
        <v>34</v>
      </c>
      <c r="E436">
        <v>2</v>
      </c>
      <c r="F436" t="s">
        <v>25</v>
      </c>
      <c r="G436" t="s">
        <v>937</v>
      </c>
      <c r="H436" s="1">
        <v>44247</v>
      </c>
    </row>
    <row r="437" spans="1:8" x14ac:dyDescent="0.35">
      <c r="A437" t="s">
        <v>468</v>
      </c>
      <c r="B437" t="s">
        <v>17</v>
      </c>
      <c r="C437" t="s">
        <v>36</v>
      </c>
      <c r="D437" t="s">
        <v>21</v>
      </c>
      <c r="E437">
        <v>3</v>
      </c>
      <c r="F437" t="s">
        <v>18</v>
      </c>
      <c r="G437" t="s">
        <v>937</v>
      </c>
      <c r="H437" s="1">
        <v>43017</v>
      </c>
    </row>
    <row r="438" spans="1:8" x14ac:dyDescent="0.35">
      <c r="A438" t="s">
        <v>469</v>
      </c>
      <c r="B438" t="s">
        <v>17</v>
      </c>
      <c r="C438" t="s">
        <v>15</v>
      </c>
      <c r="D438" t="s">
        <v>16</v>
      </c>
      <c r="E438">
        <v>6</v>
      </c>
      <c r="F438" t="s">
        <v>28</v>
      </c>
      <c r="G438" t="s">
        <v>937</v>
      </c>
      <c r="H438" s="1">
        <v>44968</v>
      </c>
    </row>
    <row r="439" spans="1:8" x14ac:dyDescent="0.35">
      <c r="A439" t="s">
        <v>470</v>
      </c>
      <c r="B439" t="s">
        <v>22</v>
      </c>
      <c r="C439" t="s">
        <v>30</v>
      </c>
      <c r="D439" t="s">
        <v>44</v>
      </c>
      <c r="E439">
        <v>10</v>
      </c>
      <c r="F439" t="s">
        <v>28</v>
      </c>
      <c r="G439" t="s">
        <v>937</v>
      </c>
      <c r="H439" s="1">
        <v>43459</v>
      </c>
    </row>
    <row r="440" spans="1:8" x14ac:dyDescent="0.35">
      <c r="A440" t="s">
        <v>471</v>
      </c>
      <c r="B440" t="s">
        <v>22</v>
      </c>
      <c r="C440" t="s">
        <v>27</v>
      </c>
      <c r="D440" t="s">
        <v>44</v>
      </c>
      <c r="E440">
        <v>9</v>
      </c>
      <c r="F440" t="s">
        <v>32</v>
      </c>
      <c r="G440" t="s">
        <v>938</v>
      </c>
      <c r="H440" s="1">
        <v>44318</v>
      </c>
    </row>
    <row r="441" spans="1:8" x14ac:dyDescent="0.35">
      <c r="A441" t="s">
        <v>472</v>
      </c>
      <c r="B441" t="s">
        <v>17</v>
      </c>
      <c r="C441" t="s">
        <v>15</v>
      </c>
      <c r="D441" t="s">
        <v>34</v>
      </c>
      <c r="E441">
        <v>2</v>
      </c>
      <c r="F441" t="s">
        <v>38</v>
      </c>
      <c r="G441" t="s">
        <v>937</v>
      </c>
      <c r="H441" s="1">
        <v>42297</v>
      </c>
    </row>
    <row r="442" spans="1:8" x14ac:dyDescent="0.35">
      <c r="A442" t="s">
        <v>473</v>
      </c>
      <c r="B442" t="s">
        <v>17</v>
      </c>
      <c r="C442" t="s">
        <v>15</v>
      </c>
      <c r="D442" t="s">
        <v>34</v>
      </c>
      <c r="E442">
        <v>6</v>
      </c>
      <c r="F442" t="s">
        <v>38</v>
      </c>
      <c r="G442" t="s">
        <v>937</v>
      </c>
      <c r="H442" s="1">
        <v>45204</v>
      </c>
    </row>
    <row r="443" spans="1:8" x14ac:dyDescent="0.35">
      <c r="A443" t="s">
        <v>474</v>
      </c>
      <c r="B443" t="s">
        <v>17</v>
      </c>
      <c r="C443" t="s">
        <v>30</v>
      </c>
      <c r="D443" t="s">
        <v>16</v>
      </c>
      <c r="E443">
        <v>8</v>
      </c>
      <c r="F443" t="s">
        <v>23</v>
      </c>
      <c r="G443" t="s">
        <v>938</v>
      </c>
      <c r="H443" s="1">
        <v>43946</v>
      </c>
    </row>
    <row r="444" spans="1:8" x14ac:dyDescent="0.35">
      <c r="A444" t="s">
        <v>475</v>
      </c>
      <c r="B444" t="s">
        <v>17</v>
      </c>
      <c r="C444" t="s">
        <v>20</v>
      </c>
      <c r="D444" t="s">
        <v>21</v>
      </c>
      <c r="E444">
        <v>15</v>
      </c>
      <c r="F444" t="s">
        <v>25</v>
      </c>
      <c r="G444" t="s">
        <v>937</v>
      </c>
      <c r="H444" s="1">
        <v>42140</v>
      </c>
    </row>
    <row r="445" spans="1:8" x14ac:dyDescent="0.35">
      <c r="A445" t="s">
        <v>476</v>
      </c>
      <c r="B445" t="s">
        <v>22</v>
      </c>
      <c r="C445" t="s">
        <v>20</v>
      </c>
      <c r="D445" t="s">
        <v>44</v>
      </c>
      <c r="E445">
        <v>11</v>
      </c>
      <c r="F445" t="s">
        <v>32</v>
      </c>
      <c r="G445" t="s">
        <v>938</v>
      </c>
      <c r="H445" s="1">
        <v>43530</v>
      </c>
    </row>
    <row r="446" spans="1:8" x14ac:dyDescent="0.35">
      <c r="A446" t="s">
        <v>477</v>
      </c>
      <c r="B446" t="s">
        <v>22</v>
      </c>
      <c r="C446" t="s">
        <v>36</v>
      </c>
      <c r="D446" t="s">
        <v>21</v>
      </c>
      <c r="E446">
        <v>1</v>
      </c>
      <c r="F446" t="s">
        <v>28</v>
      </c>
      <c r="G446" t="s">
        <v>937</v>
      </c>
      <c r="H446" s="1">
        <v>44134</v>
      </c>
    </row>
    <row r="447" spans="1:8" x14ac:dyDescent="0.35">
      <c r="A447" t="s">
        <v>478</v>
      </c>
      <c r="B447" t="s">
        <v>22</v>
      </c>
      <c r="C447" t="s">
        <v>36</v>
      </c>
      <c r="D447" t="s">
        <v>21</v>
      </c>
      <c r="E447">
        <v>15</v>
      </c>
      <c r="F447" t="s">
        <v>28</v>
      </c>
      <c r="G447" t="s">
        <v>937</v>
      </c>
      <c r="H447" s="1">
        <v>43386</v>
      </c>
    </row>
    <row r="448" spans="1:8" x14ac:dyDescent="0.35">
      <c r="A448" t="s">
        <v>479</v>
      </c>
      <c r="B448" t="s">
        <v>22</v>
      </c>
      <c r="C448" t="s">
        <v>20</v>
      </c>
      <c r="D448" t="s">
        <v>21</v>
      </c>
      <c r="E448">
        <v>10</v>
      </c>
      <c r="F448" t="s">
        <v>38</v>
      </c>
      <c r="G448" t="s">
        <v>937</v>
      </c>
      <c r="H448" s="1">
        <v>44845</v>
      </c>
    </row>
    <row r="449" spans="1:8" x14ac:dyDescent="0.35">
      <c r="A449" t="s">
        <v>480</v>
      </c>
      <c r="B449" t="s">
        <v>17</v>
      </c>
      <c r="C449" t="s">
        <v>20</v>
      </c>
      <c r="D449" t="s">
        <v>44</v>
      </c>
      <c r="E449">
        <v>12</v>
      </c>
      <c r="F449" t="s">
        <v>28</v>
      </c>
      <c r="G449" t="s">
        <v>937</v>
      </c>
      <c r="H449" s="1">
        <v>42379</v>
      </c>
    </row>
    <row r="450" spans="1:8" x14ac:dyDescent="0.35">
      <c r="A450" t="s">
        <v>481</v>
      </c>
      <c r="B450" t="s">
        <v>17</v>
      </c>
      <c r="C450" t="s">
        <v>27</v>
      </c>
      <c r="D450" t="s">
        <v>44</v>
      </c>
      <c r="E450">
        <v>14</v>
      </c>
      <c r="F450" t="s">
        <v>45</v>
      </c>
      <c r="G450" t="s">
        <v>938</v>
      </c>
      <c r="H450" s="1">
        <v>42463</v>
      </c>
    </row>
    <row r="451" spans="1:8" x14ac:dyDescent="0.35">
      <c r="A451" t="s">
        <v>482</v>
      </c>
      <c r="B451" t="s">
        <v>22</v>
      </c>
      <c r="C451" t="s">
        <v>15</v>
      </c>
      <c r="D451" t="s">
        <v>16</v>
      </c>
      <c r="E451">
        <v>7</v>
      </c>
      <c r="F451" t="s">
        <v>18</v>
      </c>
      <c r="G451" t="s">
        <v>937</v>
      </c>
      <c r="H451" s="1">
        <v>42042</v>
      </c>
    </row>
    <row r="452" spans="1:8" x14ac:dyDescent="0.35">
      <c r="A452" t="s">
        <v>483</v>
      </c>
      <c r="B452" t="s">
        <v>22</v>
      </c>
      <c r="C452" t="s">
        <v>20</v>
      </c>
      <c r="D452" t="s">
        <v>34</v>
      </c>
      <c r="E452">
        <v>10</v>
      </c>
      <c r="F452" t="s">
        <v>23</v>
      </c>
      <c r="G452" t="s">
        <v>938</v>
      </c>
      <c r="H452" s="1">
        <v>44773</v>
      </c>
    </row>
    <row r="453" spans="1:8" x14ac:dyDescent="0.35">
      <c r="A453" t="s">
        <v>484</v>
      </c>
      <c r="B453" t="s">
        <v>22</v>
      </c>
      <c r="C453" t="s">
        <v>30</v>
      </c>
      <c r="D453" t="s">
        <v>16</v>
      </c>
      <c r="E453">
        <v>14</v>
      </c>
      <c r="F453" t="s">
        <v>18</v>
      </c>
      <c r="G453" t="s">
        <v>937</v>
      </c>
      <c r="H453" s="1">
        <v>44747</v>
      </c>
    </row>
    <row r="454" spans="1:8" x14ac:dyDescent="0.35">
      <c r="A454" t="s">
        <v>485</v>
      </c>
      <c r="B454" t="s">
        <v>22</v>
      </c>
      <c r="C454" t="s">
        <v>30</v>
      </c>
      <c r="D454" t="s">
        <v>16</v>
      </c>
      <c r="E454">
        <v>1</v>
      </c>
      <c r="F454" t="s">
        <v>45</v>
      </c>
      <c r="G454" t="s">
        <v>938</v>
      </c>
      <c r="H454" s="1">
        <v>43433</v>
      </c>
    </row>
    <row r="455" spans="1:8" x14ac:dyDescent="0.35">
      <c r="A455" t="s">
        <v>486</v>
      </c>
      <c r="B455" t="s">
        <v>22</v>
      </c>
      <c r="C455" t="s">
        <v>20</v>
      </c>
      <c r="D455" t="s">
        <v>16</v>
      </c>
      <c r="E455">
        <v>4</v>
      </c>
      <c r="F455" t="s">
        <v>25</v>
      </c>
      <c r="G455" t="s">
        <v>937</v>
      </c>
      <c r="H455" s="1">
        <v>44768</v>
      </c>
    </row>
    <row r="456" spans="1:8" x14ac:dyDescent="0.35">
      <c r="A456" t="s">
        <v>487</v>
      </c>
      <c r="B456" t="s">
        <v>22</v>
      </c>
      <c r="C456" t="s">
        <v>15</v>
      </c>
      <c r="D456" t="s">
        <v>44</v>
      </c>
      <c r="E456">
        <v>0</v>
      </c>
      <c r="F456" t="s">
        <v>28</v>
      </c>
      <c r="G456" t="s">
        <v>937</v>
      </c>
      <c r="H456" s="1">
        <v>42327</v>
      </c>
    </row>
    <row r="457" spans="1:8" x14ac:dyDescent="0.35">
      <c r="A457" t="s">
        <v>488</v>
      </c>
      <c r="B457" t="s">
        <v>17</v>
      </c>
      <c r="C457" t="s">
        <v>20</v>
      </c>
      <c r="D457" t="s">
        <v>16</v>
      </c>
      <c r="E457">
        <v>0</v>
      </c>
      <c r="F457" t="s">
        <v>38</v>
      </c>
      <c r="G457" t="s">
        <v>937</v>
      </c>
      <c r="H457" s="1">
        <v>42127</v>
      </c>
    </row>
    <row r="458" spans="1:8" x14ac:dyDescent="0.35">
      <c r="A458" t="s">
        <v>489</v>
      </c>
      <c r="B458" t="s">
        <v>22</v>
      </c>
      <c r="C458" t="s">
        <v>15</v>
      </c>
      <c r="D458" t="s">
        <v>34</v>
      </c>
      <c r="E458">
        <v>15</v>
      </c>
      <c r="F458" t="s">
        <v>32</v>
      </c>
      <c r="G458" t="s">
        <v>938</v>
      </c>
      <c r="H458" s="1">
        <v>42409</v>
      </c>
    </row>
    <row r="459" spans="1:8" x14ac:dyDescent="0.35">
      <c r="A459" t="s">
        <v>490</v>
      </c>
      <c r="B459" t="s">
        <v>17</v>
      </c>
      <c r="C459" t="s">
        <v>15</v>
      </c>
      <c r="D459" t="s">
        <v>21</v>
      </c>
      <c r="E459">
        <v>0</v>
      </c>
      <c r="F459" t="s">
        <v>23</v>
      </c>
      <c r="G459" t="s">
        <v>938</v>
      </c>
      <c r="H459" s="1">
        <v>45067</v>
      </c>
    </row>
    <row r="460" spans="1:8" x14ac:dyDescent="0.35">
      <c r="A460" t="s">
        <v>491</v>
      </c>
      <c r="B460" t="s">
        <v>17</v>
      </c>
      <c r="C460" t="s">
        <v>27</v>
      </c>
      <c r="D460" t="s">
        <v>16</v>
      </c>
      <c r="E460">
        <v>3</v>
      </c>
      <c r="F460" t="s">
        <v>23</v>
      </c>
      <c r="G460" t="s">
        <v>938</v>
      </c>
      <c r="H460" s="1">
        <v>45496</v>
      </c>
    </row>
    <row r="461" spans="1:8" x14ac:dyDescent="0.35">
      <c r="A461" t="s">
        <v>492</v>
      </c>
      <c r="B461" t="s">
        <v>22</v>
      </c>
      <c r="C461" t="s">
        <v>15</v>
      </c>
      <c r="D461" t="s">
        <v>44</v>
      </c>
      <c r="E461">
        <v>15</v>
      </c>
      <c r="F461" t="s">
        <v>18</v>
      </c>
      <c r="G461" t="s">
        <v>937</v>
      </c>
      <c r="H461" s="1">
        <v>45545</v>
      </c>
    </row>
    <row r="462" spans="1:8" x14ac:dyDescent="0.35">
      <c r="A462" t="s">
        <v>493</v>
      </c>
      <c r="B462" t="s">
        <v>22</v>
      </c>
      <c r="C462" t="s">
        <v>27</v>
      </c>
      <c r="D462" t="s">
        <v>21</v>
      </c>
      <c r="E462">
        <v>5</v>
      </c>
      <c r="F462" t="s">
        <v>38</v>
      </c>
      <c r="G462" t="s">
        <v>937</v>
      </c>
      <c r="H462" s="1">
        <v>44089</v>
      </c>
    </row>
    <row r="463" spans="1:8" x14ac:dyDescent="0.35">
      <c r="A463" t="s">
        <v>494</v>
      </c>
      <c r="B463" t="s">
        <v>22</v>
      </c>
      <c r="C463" t="s">
        <v>30</v>
      </c>
      <c r="D463" t="s">
        <v>34</v>
      </c>
      <c r="E463">
        <v>11</v>
      </c>
      <c r="F463" t="s">
        <v>28</v>
      </c>
      <c r="G463" t="s">
        <v>937</v>
      </c>
      <c r="H463" s="1">
        <v>42992</v>
      </c>
    </row>
    <row r="464" spans="1:8" x14ac:dyDescent="0.35">
      <c r="A464" t="s">
        <v>495</v>
      </c>
      <c r="B464" t="s">
        <v>22</v>
      </c>
      <c r="C464" t="s">
        <v>30</v>
      </c>
      <c r="D464" t="s">
        <v>34</v>
      </c>
      <c r="E464">
        <v>14</v>
      </c>
      <c r="F464" t="s">
        <v>32</v>
      </c>
      <c r="G464" t="s">
        <v>938</v>
      </c>
      <c r="H464" s="1">
        <v>42088</v>
      </c>
    </row>
    <row r="465" spans="1:8" x14ac:dyDescent="0.35">
      <c r="A465" t="s">
        <v>496</v>
      </c>
      <c r="B465" t="s">
        <v>22</v>
      </c>
      <c r="C465" t="s">
        <v>20</v>
      </c>
      <c r="D465" t="s">
        <v>44</v>
      </c>
      <c r="E465">
        <v>14</v>
      </c>
      <c r="F465" t="s">
        <v>25</v>
      </c>
      <c r="G465" t="s">
        <v>937</v>
      </c>
      <c r="H465" s="1">
        <v>43103</v>
      </c>
    </row>
    <row r="466" spans="1:8" x14ac:dyDescent="0.35">
      <c r="A466" t="s">
        <v>497</v>
      </c>
      <c r="B466" t="s">
        <v>17</v>
      </c>
      <c r="C466" t="s">
        <v>27</v>
      </c>
      <c r="D466" t="s">
        <v>34</v>
      </c>
      <c r="E466">
        <v>6</v>
      </c>
      <c r="F466" t="s">
        <v>18</v>
      </c>
      <c r="G466" t="s">
        <v>937</v>
      </c>
      <c r="H466" s="1">
        <v>43414</v>
      </c>
    </row>
    <row r="467" spans="1:8" x14ac:dyDescent="0.35">
      <c r="A467" t="s">
        <v>498</v>
      </c>
      <c r="B467" t="s">
        <v>22</v>
      </c>
      <c r="C467" t="s">
        <v>20</v>
      </c>
      <c r="D467" t="s">
        <v>16</v>
      </c>
      <c r="E467">
        <v>14</v>
      </c>
      <c r="F467" t="s">
        <v>45</v>
      </c>
      <c r="G467" t="s">
        <v>938</v>
      </c>
      <c r="H467" s="1">
        <v>43176</v>
      </c>
    </row>
    <row r="468" spans="1:8" x14ac:dyDescent="0.35">
      <c r="A468" t="s">
        <v>499</v>
      </c>
      <c r="B468" t="s">
        <v>22</v>
      </c>
      <c r="C468" t="s">
        <v>30</v>
      </c>
      <c r="D468" t="s">
        <v>44</v>
      </c>
      <c r="E468">
        <v>10</v>
      </c>
      <c r="F468" t="s">
        <v>71</v>
      </c>
      <c r="G468" t="s">
        <v>938</v>
      </c>
      <c r="H468" s="1">
        <v>43935</v>
      </c>
    </row>
    <row r="469" spans="1:8" x14ac:dyDescent="0.35">
      <c r="A469" t="s">
        <v>500</v>
      </c>
      <c r="B469" t="s">
        <v>17</v>
      </c>
      <c r="C469" t="s">
        <v>30</v>
      </c>
      <c r="D469" t="s">
        <v>44</v>
      </c>
      <c r="E469">
        <v>3</v>
      </c>
      <c r="F469" t="s">
        <v>23</v>
      </c>
      <c r="G469" t="s">
        <v>938</v>
      </c>
      <c r="H469" s="1">
        <v>43913</v>
      </c>
    </row>
    <row r="470" spans="1:8" x14ac:dyDescent="0.35">
      <c r="A470" t="s">
        <v>501</v>
      </c>
      <c r="B470" t="s">
        <v>22</v>
      </c>
      <c r="C470" t="s">
        <v>27</v>
      </c>
      <c r="D470" t="s">
        <v>34</v>
      </c>
      <c r="E470">
        <v>11</v>
      </c>
      <c r="F470" t="s">
        <v>28</v>
      </c>
      <c r="G470" t="s">
        <v>937</v>
      </c>
      <c r="H470" s="1">
        <v>42587</v>
      </c>
    </row>
    <row r="471" spans="1:8" x14ac:dyDescent="0.35">
      <c r="A471" t="s">
        <v>502</v>
      </c>
      <c r="B471" t="s">
        <v>22</v>
      </c>
      <c r="C471" t="s">
        <v>36</v>
      </c>
      <c r="D471" t="s">
        <v>44</v>
      </c>
      <c r="E471">
        <v>4</v>
      </c>
      <c r="F471" t="s">
        <v>45</v>
      </c>
      <c r="G471" t="s">
        <v>938</v>
      </c>
      <c r="H471" s="1">
        <v>44468</v>
      </c>
    </row>
    <row r="472" spans="1:8" x14ac:dyDescent="0.35">
      <c r="A472" t="s">
        <v>503</v>
      </c>
      <c r="B472" t="s">
        <v>22</v>
      </c>
      <c r="C472" t="s">
        <v>15</v>
      </c>
      <c r="D472" t="s">
        <v>16</v>
      </c>
      <c r="E472">
        <v>0</v>
      </c>
      <c r="F472" t="s">
        <v>71</v>
      </c>
      <c r="G472" t="s">
        <v>938</v>
      </c>
      <c r="H472" s="1">
        <v>44475</v>
      </c>
    </row>
    <row r="473" spans="1:8" x14ac:dyDescent="0.35">
      <c r="A473" t="s">
        <v>504</v>
      </c>
      <c r="B473" t="s">
        <v>17</v>
      </c>
      <c r="C473" t="s">
        <v>27</v>
      </c>
      <c r="D473" t="s">
        <v>44</v>
      </c>
      <c r="E473">
        <v>6</v>
      </c>
      <c r="F473" t="s">
        <v>25</v>
      </c>
      <c r="G473" t="s">
        <v>937</v>
      </c>
      <c r="H473" s="1">
        <v>44102</v>
      </c>
    </row>
    <row r="474" spans="1:8" x14ac:dyDescent="0.35">
      <c r="A474" t="s">
        <v>505</v>
      </c>
      <c r="B474" t="s">
        <v>17</v>
      </c>
      <c r="C474" t="s">
        <v>36</v>
      </c>
      <c r="D474" t="s">
        <v>16</v>
      </c>
      <c r="E474">
        <v>14</v>
      </c>
      <c r="F474" t="s">
        <v>18</v>
      </c>
      <c r="G474" t="s">
        <v>937</v>
      </c>
      <c r="H474" s="1">
        <v>44154</v>
      </c>
    </row>
    <row r="475" spans="1:8" x14ac:dyDescent="0.35">
      <c r="A475" t="s">
        <v>506</v>
      </c>
      <c r="B475" t="s">
        <v>17</v>
      </c>
      <c r="C475" t="s">
        <v>30</v>
      </c>
      <c r="D475" t="s">
        <v>16</v>
      </c>
      <c r="E475">
        <v>10</v>
      </c>
      <c r="F475" t="s">
        <v>23</v>
      </c>
      <c r="G475" t="s">
        <v>938</v>
      </c>
      <c r="H475" s="1">
        <v>44807</v>
      </c>
    </row>
    <row r="476" spans="1:8" x14ac:dyDescent="0.35">
      <c r="A476" t="s">
        <v>507</v>
      </c>
      <c r="B476" t="s">
        <v>22</v>
      </c>
      <c r="C476" t="s">
        <v>30</v>
      </c>
      <c r="D476" t="s">
        <v>21</v>
      </c>
      <c r="E476">
        <v>2</v>
      </c>
      <c r="F476" t="s">
        <v>23</v>
      </c>
      <c r="G476" t="s">
        <v>938</v>
      </c>
      <c r="H476" s="1">
        <v>44892</v>
      </c>
    </row>
    <row r="477" spans="1:8" x14ac:dyDescent="0.35">
      <c r="A477" t="s">
        <v>508</v>
      </c>
      <c r="B477" t="s">
        <v>17</v>
      </c>
      <c r="C477" t="s">
        <v>20</v>
      </c>
      <c r="D477" t="s">
        <v>34</v>
      </c>
      <c r="E477">
        <v>8</v>
      </c>
      <c r="F477" t="s">
        <v>32</v>
      </c>
      <c r="G477" t="s">
        <v>938</v>
      </c>
      <c r="H477" s="1">
        <v>44105</v>
      </c>
    </row>
    <row r="478" spans="1:8" x14ac:dyDescent="0.35">
      <c r="A478" t="s">
        <v>509</v>
      </c>
      <c r="B478" t="s">
        <v>22</v>
      </c>
      <c r="C478" t="s">
        <v>15</v>
      </c>
      <c r="D478" t="s">
        <v>21</v>
      </c>
      <c r="E478">
        <v>2</v>
      </c>
      <c r="F478" t="s">
        <v>18</v>
      </c>
      <c r="G478" t="s">
        <v>937</v>
      </c>
      <c r="H478" s="1">
        <v>43076</v>
      </c>
    </row>
    <row r="479" spans="1:8" x14ac:dyDescent="0.35">
      <c r="A479" t="s">
        <v>510</v>
      </c>
      <c r="B479" t="s">
        <v>22</v>
      </c>
      <c r="C479" t="s">
        <v>20</v>
      </c>
      <c r="D479" t="s">
        <v>44</v>
      </c>
      <c r="E479">
        <v>8</v>
      </c>
      <c r="F479" t="s">
        <v>45</v>
      </c>
      <c r="G479" t="s">
        <v>938</v>
      </c>
      <c r="H479" s="1">
        <v>42507</v>
      </c>
    </row>
    <row r="480" spans="1:8" x14ac:dyDescent="0.35">
      <c r="A480" t="s">
        <v>511</v>
      </c>
      <c r="B480" t="s">
        <v>22</v>
      </c>
      <c r="C480" t="s">
        <v>27</v>
      </c>
      <c r="D480" t="s">
        <v>44</v>
      </c>
      <c r="E480">
        <v>13</v>
      </c>
      <c r="F480" t="s">
        <v>18</v>
      </c>
      <c r="G480" t="s">
        <v>937</v>
      </c>
      <c r="H480" s="1">
        <v>42028</v>
      </c>
    </row>
    <row r="481" spans="1:8" x14ac:dyDescent="0.35">
      <c r="A481" t="s">
        <v>512</v>
      </c>
      <c r="B481" t="s">
        <v>17</v>
      </c>
      <c r="C481" t="s">
        <v>15</v>
      </c>
      <c r="D481" t="s">
        <v>44</v>
      </c>
      <c r="E481">
        <v>15</v>
      </c>
      <c r="F481" t="s">
        <v>28</v>
      </c>
      <c r="G481" t="s">
        <v>937</v>
      </c>
      <c r="H481" s="1">
        <v>43823</v>
      </c>
    </row>
    <row r="482" spans="1:8" x14ac:dyDescent="0.35">
      <c r="A482" t="s">
        <v>513</v>
      </c>
      <c r="B482" t="s">
        <v>22</v>
      </c>
      <c r="C482" t="s">
        <v>15</v>
      </c>
      <c r="D482" t="s">
        <v>34</v>
      </c>
      <c r="E482">
        <v>8</v>
      </c>
      <c r="F482" t="s">
        <v>18</v>
      </c>
      <c r="G482" t="s">
        <v>937</v>
      </c>
      <c r="H482" s="1">
        <v>44521</v>
      </c>
    </row>
    <row r="483" spans="1:8" x14ac:dyDescent="0.35">
      <c r="A483" t="s">
        <v>514</v>
      </c>
      <c r="B483" t="s">
        <v>17</v>
      </c>
      <c r="C483" t="s">
        <v>30</v>
      </c>
      <c r="D483" t="s">
        <v>34</v>
      </c>
      <c r="E483">
        <v>8</v>
      </c>
      <c r="F483" t="s">
        <v>23</v>
      </c>
      <c r="G483" t="s">
        <v>938</v>
      </c>
      <c r="H483" s="1">
        <v>45249</v>
      </c>
    </row>
    <row r="484" spans="1:8" x14ac:dyDescent="0.35">
      <c r="A484" t="s">
        <v>515</v>
      </c>
      <c r="B484" t="s">
        <v>22</v>
      </c>
      <c r="C484" t="s">
        <v>30</v>
      </c>
      <c r="D484" t="s">
        <v>34</v>
      </c>
      <c r="E484">
        <v>6</v>
      </c>
      <c r="F484" t="s">
        <v>71</v>
      </c>
      <c r="G484" t="s">
        <v>938</v>
      </c>
      <c r="H484" s="1">
        <v>42138</v>
      </c>
    </row>
    <row r="485" spans="1:8" x14ac:dyDescent="0.35">
      <c r="A485" t="s">
        <v>516</v>
      </c>
      <c r="B485" t="s">
        <v>22</v>
      </c>
      <c r="C485" t="s">
        <v>27</v>
      </c>
      <c r="D485" t="s">
        <v>34</v>
      </c>
      <c r="E485">
        <v>5</v>
      </c>
      <c r="F485" t="s">
        <v>28</v>
      </c>
      <c r="G485" t="s">
        <v>937</v>
      </c>
      <c r="H485" s="1">
        <v>42188</v>
      </c>
    </row>
    <row r="486" spans="1:8" x14ac:dyDescent="0.35">
      <c r="A486" t="s">
        <v>517</v>
      </c>
      <c r="B486" t="s">
        <v>17</v>
      </c>
      <c r="C486" t="s">
        <v>36</v>
      </c>
      <c r="D486" t="s">
        <v>44</v>
      </c>
      <c r="E486">
        <v>9</v>
      </c>
      <c r="F486" t="s">
        <v>45</v>
      </c>
      <c r="G486" t="s">
        <v>938</v>
      </c>
      <c r="H486" s="1">
        <v>44230</v>
      </c>
    </row>
    <row r="487" spans="1:8" x14ac:dyDescent="0.35">
      <c r="A487" t="s">
        <v>518</v>
      </c>
      <c r="B487" t="s">
        <v>22</v>
      </c>
      <c r="C487" t="s">
        <v>30</v>
      </c>
      <c r="D487" t="s">
        <v>21</v>
      </c>
      <c r="E487">
        <v>12</v>
      </c>
      <c r="F487" t="s">
        <v>23</v>
      </c>
      <c r="G487" t="s">
        <v>938</v>
      </c>
      <c r="H487" s="1">
        <v>42733</v>
      </c>
    </row>
    <row r="488" spans="1:8" x14ac:dyDescent="0.35">
      <c r="A488" t="s">
        <v>519</v>
      </c>
      <c r="B488" t="s">
        <v>17</v>
      </c>
      <c r="C488" t="s">
        <v>15</v>
      </c>
      <c r="D488" t="s">
        <v>21</v>
      </c>
      <c r="E488">
        <v>0</v>
      </c>
      <c r="F488" t="s">
        <v>18</v>
      </c>
      <c r="G488" t="s">
        <v>937</v>
      </c>
      <c r="H488" s="1">
        <v>42161</v>
      </c>
    </row>
    <row r="489" spans="1:8" x14ac:dyDescent="0.35">
      <c r="A489" t="s">
        <v>520</v>
      </c>
      <c r="B489" t="s">
        <v>22</v>
      </c>
      <c r="C489" t="s">
        <v>36</v>
      </c>
      <c r="D489" t="s">
        <v>44</v>
      </c>
      <c r="E489">
        <v>5</v>
      </c>
      <c r="F489" t="s">
        <v>45</v>
      </c>
      <c r="G489" t="s">
        <v>938</v>
      </c>
      <c r="H489" s="1">
        <v>45625</v>
      </c>
    </row>
    <row r="490" spans="1:8" x14ac:dyDescent="0.35">
      <c r="A490" t="s">
        <v>521</v>
      </c>
      <c r="B490" t="s">
        <v>22</v>
      </c>
      <c r="C490" t="s">
        <v>15</v>
      </c>
      <c r="D490" t="s">
        <v>44</v>
      </c>
      <c r="E490">
        <v>2</v>
      </c>
      <c r="F490" t="s">
        <v>23</v>
      </c>
      <c r="G490" t="s">
        <v>938</v>
      </c>
      <c r="H490" s="1">
        <v>44992</v>
      </c>
    </row>
    <row r="491" spans="1:8" x14ac:dyDescent="0.35">
      <c r="A491" t="s">
        <v>522</v>
      </c>
      <c r="B491" t="s">
        <v>17</v>
      </c>
      <c r="C491" t="s">
        <v>15</v>
      </c>
      <c r="D491" t="s">
        <v>21</v>
      </c>
      <c r="E491">
        <v>12</v>
      </c>
      <c r="F491" t="s">
        <v>45</v>
      </c>
      <c r="G491" t="s">
        <v>938</v>
      </c>
      <c r="H491" s="1">
        <v>45032</v>
      </c>
    </row>
    <row r="492" spans="1:8" x14ac:dyDescent="0.35">
      <c r="A492" t="s">
        <v>523</v>
      </c>
      <c r="B492" t="s">
        <v>22</v>
      </c>
      <c r="C492" t="s">
        <v>36</v>
      </c>
      <c r="D492" t="s">
        <v>44</v>
      </c>
      <c r="E492">
        <v>14</v>
      </c>
      <c r="F492" t="s">
        <v>28</v>
      </c>
      <c r="G492" t="s">
        <v>937</v>
      </c>
      <c r="H492" s="1">
        <v>44733</v>
      </c>
    </row>
    <row r="493" spans="1:8" x14ac:dyDescent="0.35">
      <c r="A493" t="s">
        <v>524</v>
      </c>
      <c r="B493" t="s">
        <v>17</v>
      </c>
      <c r="C493" t="s">
        <v>20</v>
      </c>
      <c r="D493" t="s">
        <v>16</v>
      </c>
      <c r="E493">
        <v>8</v>
      </c>
      <c r="F493" t="s">
        <v>71</v>
      </c>
      <c r="G493" t="s">
        <v>938</v>
      </c>
      <c r="H493" s="1">
        <v>43200</v>
      </c>
    </row>
    <row r="494" spans="1:8" x14ac:dyDescent="0.35">
      <c r="A494" t="s">
        <v>525</v>
      </c>
      <c r="B494" t="s">
        <v>22</v>
      </c>
      <c r="C494" t="s">
        <v>30</v>
      </c>
      <c r="D494" t="s">
        <v>34</v>
      </c>
      <c r="E494">
        <v>10</v>
      </c>
      <c r="F494" t="s">
        <v>32</v>
      </c>
      <c r="G494" t="s">
        <v>938</v>
      </c>
      <c r="H494" s="1">
        <v>45174</v>
      </c>
    </row>
    <row r="495" spans="1:8" x14ac:dyDescent="0.35">
      <c r="A495" t="s">
        <v>526</v>
      </c>
      <c r="B495" t="s">
        <v>17</v>
      </c>
      <c r="C495" t="s">
        <v>15</v>
      </c>
      <c r="D495" t="s">
        <v>44</v>
      </c>
      <c r="E495">
        <v>7</v>
      </c>
      <c r="F495" t="s">
        <v>28</v>
      </c>
      <c r="G495" t="s">
        <v>937</v>
      </c>
      <c r="H495" s="1">
        <v>42551</v>
      </c>
    </row>
    <row r="496" spans="1:8" x14ac:dyDescent="0.35">
      <c r="A496" t="s">
        <v>527</v>
      </c>
      <c r="B496" t="s">
        <v>22</v>
      </c>
      <c r="C496" t="s">
        <v>15</v>
      </c>
      <c r="D496" t="s">
        <v>21</v>
      </c>
      <c r="E496">
        <v>11</v>
      </c>
      <c r="F496" t="s">
        <v>71</v>
      </c>
      <c r="G496" t="s">
        <v>938</v>
      </c>
      <c r="H496" s="1">
        <v>43224</v>
      </c>
    </row>
    <row r="497" spans="1:8" x14ac:dyDescent="0.35">
      <c r="A497" t="s">
        <v>528</v>
      </c>
      <c r="B497" t="s">
        <v>22</v>
      </c>
      <c r="C497" t="s">
        <v>27</v>
      </c>
      <c r="D497" t="s">
        <v>44</v>
      </c>
      <c r="E497">
        <v>9</v>
      </c>
      <c r="F497" t="s">
        <v>28</v>
      </c>
      <c r="G497" t="s">
        <v>937</v>
      </c>
      <c r="H497" s="1">
        <v>45292</v>
      </c>
    </row>
    <row r="498" spans="1:8" x14ac:dyDescent="0.35">
      <c r="A498" t="s">
        <v>529</v>
      </c>
      <c r="B498" t="s">
        <v>17</v>
      </c>
      <c r="C498" t="s">
        <v>15</v>
      </c>
      <c r="D498" t="s">
        <v>16</v>
      </c>
      <c r="E498">
        <v>14</v>
      </c>
      <c r="F498" t="s">
        <v>38</v>
      </c>
      <c r="G498" t="s">
        <v>937</v>
      </c>
      <c r="H498" s="1">
        <v>43815</v>
      </c>
    </row>
    <row r="499" spans="1:8" x14ac:dyDescent="0.35">
      <c r="A499" t="s">
        <v>530</v>
      </c>
      <c r="B499" t="s">
        <v>22</v>
      </c>
      <c r="C499" t="s">
        <v>30</v>
      </c>
      <c r="D499" t="s">
        <v>34</v>
      </c>
      <c r="E499">
        <v>4</v>
      </c>
      <c r="F499" t="s">
        <v>28</v>
      </c>
      <c r="G499" t="s">
        <v>937</v>
      </c>
      <c r="H499" s="1">
        <v>44253</v>
      </c>
    </row>
    <row r="500" spans="1:8" x14ac:dyDescent="0.35">
      <c r="A500" t="s">
        <v>531</v>
      </c>
      <c r="B500" t="s">
        <v>17</v>
      </c>
      <c r="C500" t="s">
        <v>20</v>
      </c>
      <c r="D500" t="s">
        <v>16</v>
      </c>
      <c r="E500">
        <v>10</v>
      </c>
      <c r="F500" t="s">
        <v>28</v>
      </c>
      <c r="G500" t="s">
        <v>937</v>
      </c>
      <c r="H500" s="1">
        <v>42273</v>
      </c>
    </row>
    <row r="501" spans="1:8" x14ac:dyDescent="0.35">
      <c r="A501" t="s">
        <v>532</v>
      </c>
      <c r="B501" t="s">
        <v>17</v>
      </c>
      <c r="C501" t="s">
        <v>30</v>
      </c>
      <c r="D501" t="s">
        <v>21</v>
      </c>
      <c r="E501">
        <v>10</v>
      </c>
      <c r="F501" t="s">
        <v>28</v>
      </c>
      <c r="G501" t="s">
        <v>937</v>
      </c>
      <c r="H501" s="1">
        <v>42318</v>
      </c>
    </row>
    <row r="502" spans="1:8" x14ac:dyDescent="0.35">
      <c r="A502" t="s">
        <v>533</v>
      </c>
      <c r="B502" t="s">
        <v>22</v>
      </c>
      <c r="C502" t="s">
        <v>30</v>
      </c>
      <c r="D502" t="s">
        <v>21</v>
      </c>
      <c r="E502">
        <v>0</v>
      </c>
      <c r="F502" t="s">
        <v>38</v>
      </c>
      <c r="G502" t="s">
        <v>937</v>
      </c>
      <c r="H502" s="1">
        <v>45592</v>
      </c>
    </row>
    <row r="503" spans="1:8" x14ac:dyDescent="0.35">
      <c r="A503" t="s">
        <v>534</v>
      </c>
      <c r="B503" t="s">
        <v>22</v>
      </c>
      <c r="C503" t="s">
        <v>15</v>
      </c>
      <c r="D503" t="s">
        <v>21</v>
      </c>
      <c r="E503">
        <v>4</v>
      </c>
      <c r="F503" t="s">
        <v>32</v>
      </c>
      <c r="G503" t="s">
        <v>938</v>
      </c>
      <c r="H503" s="1">
        <v>43596</v>
      </c>
    </row>
    <row r="504" spans="1:8" x14ac:dyDescent="0.35">
      <c r="A504" t="s">
        <v>535</v>
      </c>
      <c r="B504" t="s">
        <v>17</v>
      </c>
      <c r="C504" t="s">
        <v>15</v>
      </c>
      <c r="D504" t="s">
        <v>21</v>
      </c>
      <c r="E504">
        <v>1</v>
      </c>
      <c r="F504" t="s">
        <v>28</v>
      </c>
      <c r="G504" t="s">
        <v>937</v>
      </c>
      <c r="H504" s="1">
        <v>44016</v>
      </c>
    </row>
    <row r="505" spans="1:8" x14ac:dyDescent="0.35">
      <c r="A505" t="s">
        <v>536</v>
      </c>
      <c r="B505" t="s">
        <v>22</v>
      </c>
      <c r="C505" t="s">
        <v>27</v>
      </c>
      <c r="D505" t="s">
        <v>44</v>
      </c>
      <c r="E505">
        <v>13</v>
      </c>
      <c r="F505" t="s">
        <v>18</v>
      </c>
      <c r="G505" t="s">
        <v>937</v>
      </c>
      <c r="H505" s="1">
        <v>43833</v>
      </c>
    </row>
    <row r="506" spans="1:8" x14ac:dyDescent="0.35">
      <c r="A506" t="s">
        <v>537</v>
      </c>
      <c r="B506" t="s">
        <v>17</v>
      </c>
      <c r="C506" t="s">
        <v>20</v>
      </c>
      <c r="D506" t="s">
        <v>44</v>
      </c>
      <c r="E506">
        <v>5</v>
      </c>
      <c r="F506" t="s">
        <v>25</v>
      </c>
      <c r="G506" t="s">
        <v>937</v>
      </c>
      <c r="H506" s="1">
        <v>42538</v>
      </c>
    </row>
    <row r="507" spans="1:8" x14ac:dyDescent="0.35">
      <c r="A507" t="s">
        <v>538</v>
      </c>
      <c r="B507" t="s">
        <v>22</v>
      </c>
      <c r="C507" t="s">
        <v>30</v>
      </c>
      <c r="D507" t="s">
        <v>34</v>
      </c>
      <c r="E507">
        <v>3</v>
      </c>
      <c r="F507" t="s">
        <v>71</v>
      </c>
      <c r="G507" t="s">
        <v>938</v>
      </c>
      <c r="H507" s="1">
        <v>43450</v>
      </c>
    </row>
    <row r="508" spans="1:8" x14ac:dyDescent="0.35">
      <c r="A508" t="s">
        <v>539</v>
      </c>
      <c r="B508" t="s">
        <v>22</v>
      </c>
      <c r="C508" t="s">
        <v>15</v>
      </c>
      <c r="D508" t="s">
        <v>44</v>
      </c>
      <c r="E508">
        <v>13</v>
      </c>
      <c r="F508" t="s">
        <v>71</v>
      </c>
      <c r="G508" t="s">
        <v>938</v>
      </c>
      <c r="H508" s="1">
        <v>45415</v>
      </c>
    </row>
    <row r="509" spans="1:8" x14ac:dyDescent="0.35">
      <c r="A509" t="s">
        <v>540</v>
      </c>
      <c r="B509" t="s">
        <v>22</v>
      </c>
      <c r="C509" t="s">
        <v>20</v>
      </c>
      <c r="D509" t="s">
        <v>16</v>
      </c>
      <c r="E509">
        <v>15</v>
      </c>
      <c r="F509" t="s">
        <v>32</v>
      </c>
      <c r="G509" t="s">
        <v>938</v>
      </c>
      <c r="H509" s="1">
        <v>44884</v>
      </c>
    </row>
    <row r="510" spans="1:8" x14ac:dyDescent="0.35">
      <c r="A510" t="s">
        <v>541</v>
      </c>
      <c r="B510" t="s">
        <v>17</v>
      </c>
      <c r="C510" t="s">
        <v>36</v>
      </c>
      <c r="D510" t="s">
        <v>34</v>
      </c>
      <c r="E510">
        <v>0</v>
      </c>
      <c r="F510" t="s">
        <v>32</v>
      </c>
      <c r="G510" t="s">
        <v>938</v>
      </c>
      <c r="H510" s="1">
        <v>43627</v>
      </c>
    </row>
    <row r="511" spans="1:8" x14ac:dyDescent="0.35">
      <c r="A511" t="s">
        <v>542</v>
      </c>
      <c r="B511" t="s">
        <v>17</v>
      </c>
      <c r="C511" t="s">
        <v>27</v>
      </c>
      <c r="D511" t="s">
        <v>16</v>
      </c>
      <c r="E511">
        <v>1</v>
      </c>
      <c r="F511" t="s">
        <v>45</v>
      </c>
      <c r="G511" t="s">
        <v>938</v>
      </c>
      <c r="H511" s="1">
        <v>42790</v>
      </c>
    </row>
    <row r="512" spans="1:8" x14ac:dyDescent="0.35">
      <c r="A512" t="s">
        <v>543</v>
      </c>
      <c r="B512" t="s">
        <v>22</v>
      </c>
      <c r="C512" t="s">
        <v>30</v>
      </c>
      <c r="D512" t="s">
        <v>44</v>
      </c>
      <c r="E512">
        <v>7</v>
      </c>
      <c r="F512" t="s">
        <v>45</v>
      </c>
      <c r="G512" t="s">
        <v>938</v>
      </c>
      <c r="H512" s="1">
        <v>45138</v>
      </c>
    </row>
    <row r="513" spans="1:8" x14ac:dyDescent="0.35">
      <c r="A513" t="s">
        <v>544</v>
      </c>
      <c r="B513" t="s">
        <v>17</v>
      </c>
      <c r="C513" t="s">
        <v>20</v>
      </c>
      <c r="D513" t="s">
        <v>44</v>
      </c>
      <c r="E513">
        <v>3</v>
      </c>
      <c r="F513" t="s">
        <v>25</v>
      </c>
      <c r="G513" t="s">
        <v>937</v>
      </c>
      <c r="H513" s="1">
        <v>45229</v>
      </c>
    </row>
    <row r="514" spans="1:8" x14ac:dyDescent="0.35">
      <c r="A514" t="s">
        <v>545</v>
      </c>
      <c r="B514" t="s">
        <v>22</v>
      </c>
      <c r="C514" t="s">
        <v>36</v>
      </c>
      <c r="D514" t="s">
        <v>44</v>
      </c>
      <c r="E514">
        <v>15</v>
      </c>
      <c r="F514" t="s">
        <v>45</v>
      </c>
      <c r="G514" t="s">
        <v>938</v>
      </c>
      <c r="H514" s="1">
        <v>43416</v>
      </c>
    </row>
    <row r="515" spans="1:8" x14ac:dyDescent="0.35">
      <c r="A515" t="s">
        <v>546</v>
      </c>
      <c r="B515" t="s">
        <v>22</v>
      </c>
      <c r="C515" t="s">
        <v>27</v>
      </c>
      <c r="D515" t="s">
        <v>44</v>
      </c>
      <c r="E515">
        <v>15</v>
      </c>
      <c r="F515" t="s">
        <v>45</v>
      </c>
      <c r="G515" t="s">
        <v>938</v>
      </c>
      <c r="H515" s="1">
        <v>43685</v>
      </c>
    </row>
    <row r="516" spans="1:8" x14ac:dyDescent="0.35">
      <c r="A516" t="s">
        <v>547</v>
      </c>
      <c r="B516" t="s">
        <v>17</v>
      </c>
      <c r="C516" t="s">
        <v>20</v>
      </c>
      <c r="D516" t="s">
        <v>16</v>
      </c>
      <c r="E516">
        <v>5</v>
      </c>
      <c r="F516" t="s">
        <v>32</v>
      </c>
      <c r="G516" t="s">
        <v>938</v>
      </c>
      <c r="H516" s="1">
        <v>42823</v>
      </c>
    </row>
    <row r="517" spans="1:8" x14ac:dyDescent="0.35">
      <c r="A517" t="s">
        <v>548</v>
      </c>
      <c r="B517" t="s">
        <v>22</v>
      </c>
      <c r="C517" t="s">
        <v>20</v>
      </c>
      <c r="D517" t="s">
        <v>21</v>
      </c>
      <c r="E517">
        <v>6</v>
      </c>
      <c r="F517" t="s">
        <v>45</v>
      </c>
      <c r="G517" t="s">
        <v>938</v>
      </c>
      <c r="H517" s="1">
        <v>45451</v>
      </c>
    </row>
    <row r="518" spans="1:8" x14ac:dyDescent="0.35">
      <c r="A518" t="s">
        <v>549</v>
      </c>
      <c r="B518" t="s">
        <v>17</v>
      </c>
      <c r="C518" t="s">
        <v>30</v>
      </c>
      <c r="D518" t="s">
        <v>44</v>
      </c>
      <c r="E518">
        <v>9</v>
      </c>
      <c r="F518" t="s">
        <v>32</v>
      </c>
      <c r="G518" t="s">
        <v>938</v>
      </c>
      <c r="H518" s="1">
        <v>44489</v>
      </c>
    </row>
    <row r="519" spans="1:8" x14ac:dyDescent="0.35">
      <c r="A519" t="s">
        <v>550</v>
      </c>
      <c r="B519" t="s">
        <v>17</v>
      </c>
      <c r="C519" t="s">
        <v>30</v>
      </c>
      <c r="D519" t="s">
        <v>44</v>
      </c>
      <c r="E519">
        <v>14</v>
      </c>
      <c r="F519" t="s">
        <v>45</v>
      </c>
      <c r="G519" t="s">
        <v>938</v>
      </c>
      <c r="H519" s="1">
        <v>43999</v>
      </c>
    </row>
    <row r="520" spans="1:8" x14ac:dyDescent="0.35">
      <c r="A520" t="s">
        <v>551</v>
      </c>
      <c r="B520" t="s">
        <v>22</v>
      </c>
      <c r="C520" t="s">
        <v>20</v>
      </c>
      <c r="D520" t="s">
        <v>16</v>
      </c>
      <c r="E520">
        <v>10</v>
      </c>
      <c r="F520" t="s">
        <v>25</v>
      </c>
      <c r="G520" t="s">
        <v>937</v>
      </c>
      <c r="H520" s="1">
        <v>45595</v>
      </c>
    </row>
    <row r="521" spans="1:8" x14ac:dyDescent="0.35">
      <c r="A521" t="s">
        <v>552</v>
      </c>
      <c r="B521" t="s">
        <v>22</v>
      </c>
      <c r="C521" t="s">
        <v>36</v>
      </c>
      <c r="D521" t="s">
        <v>34</v>
      </c>
      <c r="E521">
        <v>10</v>
      </c>
      <c r="F521" t="s">
        <v>38</v>
      </c>
      <c r="G521" t="s">
        <v>937</v>
      </c>
      <c r="H521" s="1">
        <v>44704</v>
      </c>
    </row>
    <row r="522" spans="1:8" x14ac:dyDescent="0.35">
      <c r="A522" t="s">
        <v>553</v>
      </c>
      <c r="B522" t="s">
        <v>22</v>
      </c>
      <c r="C522" t="s">
        <v>20</v>
      </c>
      <c r="D522" t="s">
        <v>16</v>
      </c>
      <c r="E522">
        <v>14</v>
      </c>
      <c r="F522" t="s">
        <v>32</v>
      </c>
      <c r="G522" t="s">
        <v>938</v>
      </c>
      <c r="H522" s="1">
        <v>42671</v>
      </c>
    </row>
    <row r="523" spans="1:8" x14ac:dyDescent="0.35">
      <c r="A523" t="s">
        <v>554</v>
      </c>
      <c r="B523" t="s">
        <v>17</v>
      </c>
      <c r="C523" t="s">
        <v>27</v>
      </c>
      <c r="D523" t="s">
        <v>16</v>
      </c>
      <c r="E523">
        <v>9</v>
      </c>
      <c r="F523" t="s">
        <v>18</v>
      </c>
      <c r="G523" t="s">
        <v>937</v>
      </c>
      <c r="H523" s="1">
        <v>44986</v>
      </c>
    </row>
    <row r="524" spans="1:8" x14ac:dyDescent="0.35">
      <c r="A524" t="s">
        <v>555</v>
      </c>
      <c r="B524" t="s">
        <v>17</v>
      </c>
      <c r="C524" t="s">
        <v>20</v>
      </c>
      <c r="D524" t="s">
        <v>34</v>
      </c>
      <c r="E524">
        <v>13</v>
      </c>
      <c r="F524" t="s">
        <v>71</v>
      </c>
      <c r="G524" t="s">
        <v>938</v>
      </c>
      <c r="H524" s="1">
        <v>43032</v>
      </c>
    </row>
    <row r="525" spans="1:8" x14ac:dyDescent="0.35">
      <c r="A525" t="s">
        <v>556</v>
      </c>
      <c r="B525" t="s">
        <v>17</v>
      </c>
      <c r="C525" t="s">
        <v>15</v>
      </c>
      <c r="D525" t="s">
        <v>44</v>
      </c>
      <c r="E525">
        <v>4</v>
      </c>
      <c r="F525" t="s">
        <v>45</v>
      </c>
      <c r="G525" t="s">
        <v>938</v>
      </c>
      <c r="H525" s="1">
        <v>43614</v>
      </c>
    </row>
    <row r="526" spans="1:8" x14ac:dyDescent="0.35">
      <c r="A526" t="s">
        <v>557</v>
      </c>
      <c r="B526" t="s">
        <v>22</v>
      </c>
      <c r="C526" t="s">
        <v>36</v>
      </c>
      <c r="D526" t="s">
        <v>44</v>
      </c>
      <c r="E526">
        <v>3</v>
      </c>
      <c r="F526" t="s">
        <v>71</v>
      </c>
      <c r="G526" t="s">
        <v>938</v>
      </c>
      <c r="H526" s="1">
        <v>43748</v>
      </c>
    </row>
    <row r="527" spans="1:8" x14ac:dyDescent="0.35">
      <c r="A527" t="s">
        <v>558</v>
      </c>
      <c r="B527" t="s">
        <v>22</v>
      </c>
      <c r="C527" t="s">
        <v>15</v>
      </c>
      <c r="D527" t="s">
        <v>16</v>
      </c>
      <c r="E527">
        <v>2</v>
      </c>
      <c r="F527" t="s">
        <v>28</v>
      </c>
      <c r="G527" t="s">
        <v>937</v>
      </c>
      <c r="H527" s="1">
        <v>42710</v>
      </c>
    </row>
    <row r="528" spans="1:8" x14ac:dyDescent="0.35">
      <c r="A528" t="s">
        <v>559</v>
      </c>
      <c r="B528" t="s">
        <v>22</v>
      </c>
      <c r="C528" t="s">
        <v>27</v>
      </c>
      <c r="D528" t="s">
        <v>16</v>
      </c>
      <c r="E528">
        <v>4</v>
      </c>
      <c r="F528" t="s">
        <v>38</v>
      </c>
      <c r="G528" t="s">
        <v>937</v>
      </c>
      <c r="H528" s="1">
        <v>44428</v>
      </c>
    </row>
    <row r="529" spans="1:8" x14ac:dyDescent="0.35">
      <c r="A529" t="s">
        <v>560</v>
      </c>
      <c r="B529" t="s">
        <v>17</v>
      </c>
      <c r="C529" t="s">
        <v>30</v>
      </c>
      <c r="D529" t="s">
        <v>16</v>
      </c>
      <c r="E529">
        <v>8</v>
      </c>
      <c r="F529" t="s">
        <v>18</v>
      </c>
      <c r="G529" t="s">
        <v>937</v>
      </c>
      <c r="H529" s="1">
        <v>42769</v>
      </c>
    </row>
    <row r="530" spans="1:8" x14ac:dyDescent="0.35">
      <c r="A530" t="s">
        <v>561</v>
      </c>
      <c r="B530" t="s">
        <v>17</v>
      </c>
      <c r="C530" t="s">
        <v>27</v>
      </c>
      <c r="D530" t="s">
        <v>34</v>
      </c>
      <c r="E530">
        <v>9</v>
      </c>
      <c r="F530" t="s">
        <v>32</v>
      </c>
      <c r="G530" t="s">
        <v>938</v>
      </c>
      <c r="H530" s="1">
        <v>43802</v>
      </c>
    </row>
    <row r="531" spans="1:8" x14ac:dyDescent="0.35">
      <c r="A531" t="s">
        <v>562</v>
      </c>
      <c r="B531" t="s">
        <v>17</v>
      </c>
      <c r="C531" t="s">
        <v>30</v>
      </c>
      <c r="D531" t="s">
        <v>21</v>
      </c>
      <c r="E531">
        <v>9</v>
      </c>
      <c r="F531" t="s">
        <v>45</v>
      </c>
      <c r="G531" t="s">
        <v>938</v>
      </c>
      <c r="H531" s="1">
        <v>44252</v>
      </c>
    </row>
    <row r="532" spans="1:8" x14ac:dyDescent="0.35">
      <c r="A532" t="s">
        <v>563</v>
      </c>
      <c r="B532" t="s">
        <v>22</v>
      </c>
      <c r="C532" t="s">
        <v>36</v>
      </c>
      <c r="D532" t="s">
        <v>16</v>
      </c>
      <c r="E532">
        <v>4</v>
      </c>
      <c r="F532" t="s">
        <v>32</v>
      </c>
      <c r="G532" t="s">
        <v>938</v>
      </c>
      <c r="H532" s="1">
        <v>43863</v>
      </c>
    </row>
    <row r="533" spans="1:8" x14ac:dyDescent="0.35">
      <c r="A533" t="s">
        <v>564</v>
      </c>
      <c r="B533" t="s">
        <v>17</v>
      </c>
      <c r="C533" t="s">
        <v>15</v>
      </c>
      <c r="D533" t="s">
        <v>16</v>
      </c>
      <c r="E533">
        <v>11</v>
      </c>
      <c r="F533" t="s">
        <v>38</v>
      </c>
      <c r="G533" t="s">
        <v>937</v>
      </c>
      <c r="H533" s="1">
        <v>43096</v>
      </c>
    </row>
    <row r="534" spans="1:8" x14ac:dyDescent="0.35">
      <c r="A534" t="s">
        <v>565</v>
      </c>
      <c r="B534" t="s">
        <v>17</v>
      </c>
      <c r="C534" t="s">
        <v>27</v>
      </c>
      <c r="D534" t="s">
        <v>16</v>
      </c>
      <c r="E534">
        <v>8</v>
      </c>
      <c r="F534" t="s">
        <v>32</v>
      </c>
      <c r="G534" t="s">
        <v>938</v>
      </c>
      <c r="H534" s="1">
        <v>42539</v>
      </c>
    </row>
    <row r="535" spans="1:8" x14ac:dyDescent="0.35">
      <c r="A535" t="s">
        <v>566</v>
      </c>
      <c r="B535" t="s">
        <v>22</v>
      </c>
      <c r="C535" t="s">
        <v>36</v>
      </c>
      <c r="D535" t="s">
        <v>21</v>
      </c>
      <c r="E535">
        <v>3</v>
      </c>
      <c r="F535" t="s">
        <v>23</v>
      </c>
      <c r="G535" t="s">
        <v>938</v>
      </c>
      <c r="H535" s="1">
        <v>43916</v>
      </c>
    </row>
    <row r="536" spans="1:8" x14ac:dyDescent="0.35">
      <c r="A536" t="s">
        <v>567</v>
      </c>
      <c r="B536" t="s">
        <v>22</v>
      </c>
      <c r="C536" t="s">
        <v>36</v>
      </c>
      <c r="D536" t="s">
        <v>34</v>
      </c>
      <c r="E536">
        <v>0</v>
      </c>
      <c r="F536" t="s">
        <v>32</v>
      </c>
      <c r="G536" t="s">
        <v>938</v>
      </c>
      <c r="H536" s="1">
        <v>44348</v>
      </c>
    </row>
    <row r="537" spans="1:8" x14ac:dyDescent="0.35">
      <c r="A537" t="s">
        <v>568</v>
      </c>
      <c r="B537" t="s">
        <v>22</v>
      </c>
      <c r="C537" t="s">
        <v>27</v>
      </c>
      <c r="D537" t="s">
        <v>44</v>
      </c>
      <c r="E537">
        <v>9</v>
      </c>
      <c r="F537" t="s">
        <v>71</v>
      </c>
      <c r="G537" t="s">
        <v>938</v>
      </c>
      <c r="H537" s="1">
        <v>42260</v>
      </c>
    </row>
    <row r="538" spans="1:8" x14ac:dyDescent="0.35">
      <c r="A538" t="s">
        <v>569</v>
      </c>
      <c r="B538" t="s">
        <v>17</v>
      </c>
      <c r="C538" t="s">
        <v>36</v>
      </c>
      <c r="D538" t="s">
        <v>34</v>
      </c>
      <c r="E538">
        <v>8</v>
      </c>
      <c r="F538" t="s">
        <v>32</v>
      </c>
      <c r="G538" t="s">
        <v>938</v>
      </c>
      <c r="H538" s="1">
        <v>44724</v>
      </c>
    </row>
    <row r="539" spans="1:8" x14ac:dyDescent="0.35">
      <c r="A539" t="s">
        <v>570</v>
      </c>
      <c r="B539" t="s">
        <v>17</v>
      </c>
      <c r="C539" t="s">
        <v>36</v>
      </c>
      <c r="D539" t="s">
        <v>44</v>
      </c>
      <c r="E539">
        <v>11</v>
      </c>
      <c r="F539" t="s">
        <v>23</v>
      </c>
      <c r="G539" t="s">
        <v>938</v>
      </c>
      <c r="H539" s="1">
        <v>43970</v>
      </c>
    </row>
    <row r="540" spans="1:8" x14ac:dyDescent="0.35">
      <c r="A540" t="s">
        <v>571</v>
      </c>
      <c r="B540" t="s">
        <v>22</v>
      </c>
      <c r="C540" t="s">
        <v>30</v>
      </c>
      <c r="D540" t="s">
        <v>21</v>
      </c>
      <c r="E540">
        <v>13</v>
      </c>
      <c r="F540" t="s">
        <v>32</v>
      </c>
      <c r="G540" t="s">
        <v>938</v>
      </c>
      <c r="H540" s="1">
        <v>44027</v>
      </c>
    </row>
    <row r="541" spans="1:8" x14ac:dyDescent="0.35">
      <c r="A541" t="s">
        <v>572</v>
      </c>
      <c r="B541" t="s">
        <v>22</v>
      </c>
      <c r="C541" t="s">
        <v>30</v>
      </c>
      <c r="D541" t="s">
        <v>34</v>
      </c>
      <c r="E541">
        <v>5</v>
      </c>
      <c r="F541" t="s">
        <v>23</v>
      </c>
      <c r="G541" t="s">
        <v>938</v>
      </c>
      <c r="H541" s="1">
        <v>43155</v>
      </c>
    </row>
    <row r="542" spans="1:8" x14ac:dyDescent="0.35">
      <c r="A542" t="s">
        <v>573</v>
      </c>
      <c r="B542" t="s">
        <v>22</v>
      </c>
      <c r="C542" t="s">
        <v>15</v>
      </c>
      <c r="D542" t="s">
        <v>44</v>
      </c>
      <c r="E542">
        <v>3</v>
      </c>
      <c r="F542" t="s">
        <v>18</v>
      </c>
      <c r="G542" t="s">
        <v>937</v>
      </c>
      <c r="H542" s="1">
        <v>43970</v>
      </c>
    </row>
    <row r="543" spans="1:8" x14ac:dyDescent="0.35">
      <c r="A543" t="s">
        <v>574</v>
      </c>
      <c r="B543" t="s">
        <v>22</v>
      </c>
      <c r="C543" t="s">
        <v>30</v>
      </c>
      <c r="D543" t="s">
        <v>16</v>
      </c>
      <c r="E543">
        <v>9</v>
      </c>
      <c r="F543" t="s">
        <v>25</v>
      </c>
      <c r="G543" t="s">
        <v>937</v>
      </c>
      <c r="H543" s="1">
        <v>43840</v>
      </c>
    </row>
    <row r="544" spans="1:8" x14ac:dyDescent="0.35">
      <c r="A544" t="s">
        <v>575</v>
      </c>
      <c r="B544" t="s">
        <v>22</v>
      </c>
      <c r="C544" t="s">
        <v>15</v>
      </c>
      <c r="D544" t="s">
        <v>44</v>
      </c>
      <c r="E544">
        <v>12</v>
      </c>
      <c r="F544" t="s">
        <v>28</v>
      </c>
      <c r="G544" t="s">
        <v>937</v>
      </c>
      <c r="H544" s="1">
        <v>42268</v>
      </c>
    </row>
    <row r="545" spans="1:8" x14ac:dyDescent="0.35">
      <c r="A545" t="s">
        <v>576</v>
      </c>
      <c r="B545" t="s">
        <v>22</v>
      </c>
      <c r="C545" t="s">
        <v>15</v>
      </c>
      <c r="D545" t="s">
        <v>44</v>
      </c>
      <c r="E545">
        <v>15</v>
      </c>
      <c r="F545" t="s">
        <v>18</v>
      </c>
      <c r="G545" t="s">
        <v>937</v>
      </c>
      <c r="H545" s="1">
        <v>43798</v>
      </c>
    </row>
    <row r="546" spans="1:8" x14ac:dyDescent="0.35">
      <c r="A546" t="s">
        <v>577</v>
      </c>
      <c r="B546" t="s">
        <v>17</v>
      </c>
      <c r="C546" t="s">
        <v>36</v>
      </c>
      <c r="D546" t="s">
        <v>21</v>
      </c>
      <c r="E546">
        <v>2</v>
      </c>
      <c r="F546" t="s">
        <v>23</v>
      </c>
      <c r="G546" t="s">
        <v>938</v>
      </c>
      <c r="H546" s="1">
        <v>45430</v>
      </c>
    </row>
    <row r="547" spans="1:8" x14ac:dyDescent="0.35">
      <c r="A547" t="s">
        <v>578</v>
      </c>
      <c r="B547" t="s">
        <v>17</v>
      </c>
      <c r="C547" t="s">
        <v>20</v>
      </c>
      <c r="D547" t="s">
        <v>44</v>
      </c>
      <c r="E547">
        <v>4</v>
      </c>
      <c r="F547" t="s">
        <v>23</v>
      </c>
      <c r="G547" t="s">
        <v>938</v>
      </c>
      <c r="H547" s="1">
        <v>44135</v>
      </c>
    </row>
    <row r="548" spans="1:8" x14ac:dyDescent="0.35">
      <c r="A548" t="s">
        <v>579</v>
      </c>
      <c r="B548" t="s">
        <v>17</v>
      </c>
      <c r="C548" t="s">
        <v>20</v>
      </c>
      <c r="D548" t="s">
        <v>16</v>
      </c>
      <c r="E548">
        <v>9</v>
      </c>
      <c r="F548" t="s">
        <v>45</v>
      </c>
      <c r="G548" t="s">
        <v>938</v>
      </c>
      <c r="H548" s="1">
        <v>42166</v>
      </c>
    </row>
    <row r="549" spans="1:8" x14ac:dyDescent="0.35">
      <c r="A549" t="s">
        <v>580</v>
      </c>
      <c r="B549" t="s">
        <v>17</v>
      </c>
      <c r="C549" t="s">
        <v>20</v>
      </c>
      <c r="D549" t="s">
        <v>44</v>
      </c>
      <c r="E549">
        <v>13</v>
      </c>
      <c r="F549" t="s">
        <v>25</v>
      </c>
      <c r="G549" t="s">
        <v>937</v>
      </c>
      <c r="H549" s="1">
        <v>45533</v>
      </c>
    </row>
    <row r="550" spans="1:8" x14ac:dyDescent="0.35">
      <c r="A550" t="s">
        <v>581</v>
      </c>
      <c r="B550" t="s">
        <v>17</v>
      </c>
      <c r="C550" t="s">
        <v>20</v>
      </c>
      <c r="D550" t="s">
        <v>21</v>
      </c>
      <c r="E550">
        <v>7</v>
      </c>
      <c r="F550" t="s">
        <v>71</v>
      </c>
      <c r="G550" t="s">
        <v>938</v>
      </c>
      <c r="H550" s="1">
        <v>42027</v>
      </c>
    </row>
    <row r="551" spans="1:8" x14ac:dyDescent="0.35">
      <c r="A551" t="s">
        <v>582</v>
      </c>
      <c r="B551" t="s">
        <v>17</v>
      </c>
      <c r="C551" t="s">
        <v>30</v>
      </c>
      <c r="D551" t="s">
        <v>44</v>
      </c>
      <c r="E551">
        <v>6</v>
      </c>
      <c r="F551" t="s">
        <v>38</v>
      </c>
      <c r="G551" t="s">
        <v>937</v>
      </c>
      <c r="H551" s="1">
        <v>45373</v>
      </c>
    </row>
    <row r="552" spans="1:8" x14ac:dyDescent="0.35">
      <c r="A552" t="s">
        <v>583</v>
      </c>
      <c r="B552" t="s">
        <v>22</v>
      </c>
      <c r="C552" t="s">
        <v>36</v>
      </c>
      <c r="D552" t="s">
        <v>21</v>
      </c>
      <c r="E552">
        <v>8</v>
      </c>
      <c r="F552" t="s">
        <v>28</v>
      </c>
      <c r="G552" t="s">
        <v>937</v>
      </c>
      <c r="H552" s="1">
        <v>43073</v>
      </c>
    </row>
    <row r="553" spans="1:8" x14ac:dyDescent="0.35">
      <c r="A553" t="s">
        <v>584</v>
      </c>
      <c r="B553" t="s">
        <v>17</v>
      </c>
      <c r="C553" t="s">
        <v>15</v>
      </c>
      <c r="D553" t="s">
        <v>16</v>
      </c>
      <c r="E553">
        <v>15</v>
      </c>
      <c r="F553" t="s">
        <v>18</v>
      </c>
      <c r="G553" t="s">
        <v>937</v>
      </c>
      <c r="H553" s="1">
        <v>43434</v>
      </c>
    </row>
    <row r="554" spans="1:8" x14ac:dyDescent="0.35">
      <c r="A554" t="s">
        <v>585</v>
      </c>
      <c r="B554" t="s">
        <v>17</v>
      </c>
      <c r="C554" t="s">
        <v>27</v>
      </c>
      <c r="D554" t="s">
        <v>34</v>
      </c>
      <c r="E554">
        <v>2</v>
      </c>
      <c r="F554" t="s">
        <v>45</v>
      </c>
      <c r="G554" t="s">
        <v>938</v>
      </c>
      <c r="H554" s="1">
        <v>43817</v>
      </c>
    </row>
    <row r="555" spans="1:8" x14ac:dyDescent="0.35">
      <c r="A555" t="s">
        <v>586</v>
      </c>
      <c r="B555" t="s">
        <v>22</v>
      </c>
      <c r="C555" t="s">
        <v>30</v>
      </c>
      <c r="D555" t="s">
        <v>21</v>
      </c>
      <c r="E555">
        <v>1</v>
      </c>
      <c r="F555" t="s">
        <v>38</v>
      </c>
      <c r="G555" t="s">
        <v>937</v>
      </c>
      <c r="H555" s="1">
        <v>44749</v>
      </c>
    </row>
    <row r="556" spans="1:8" x14ac:dyDescent="0.35">
      <c r="A556" t="s">
        <v>587</v>
      </c>
      <c r="B556" t="s">
        <v>17</v>
      </c>
      <c r="C556" t="s">
        <v>36</v>
      </c>
      <c r="D556" t="s">
        <v>16</v>
      </c>
      <c r="E556">
        <v>4</v>
      </c>
      <c r="F556" t="s">
        <v>38</v>
      </c>
      <c r="G556" t="s">
        <v>937</v>
      </c>
      <c r="H556" s="1">
        <v>44306</v>
      </c>
    </row>
    <row r="557" spans="1:8" x14ac:dyDescent="0.35">
      <c r="A557" t="s">
        <v>588</v>
      </c>
      <c r="B557" t="s">
        <v>17</v>
      </c>
      <c r="C557" t="s">
        <v>27</v>
      </c>
      <c r="D557" t="s">
        <v>16</v>
      </c>
      <c r="E557">
        <v>7</v>
      </c>
      <c r="F557" t="s">
        <v>32</v>
      </c>
      <c r="G557" t="s">
        <v>938</v>
      </c>
      <c r="H557" s="1">
        <v>45586</v>
      </c>
    </row>
    <row r="558" spans="1:8" x14ac:dyDescent="0.35">
      <c r="A558" t="s">
        <v>589</v>
      </c>
      <c r="B558" t="s">
        <v>17</v>
      </c>
      <c r="C558" t="s">
        <v>30</v>
      </c>
      <c r="D558" t="s">
        <v>34</v>
      </c>
      <c r="E558">
        <v>10</v>
      </c>
      <c r="F558" t="s">
        <v>18</v>
      </c>
      <c r="G558" t="s">
        <v>937</v>
      </c>
      <c r="H558" s="1">
        <v>45226</v>
      </c>
    </row>
    <row r="559" spans="1:8" x14ac:dyDescent="0.35">
      <c r="A559" t="s">
        <v>590</v>
      </c>
      <c r="B559" t="s">
        <v>22</v>
      </c>
      <c r="C559" t="s">
        <v>36</v>
      </c>
      <c r="D559" t="s">
        <v>16</v>
      </c>
      <c r="E559">
        <v>6</v>
      </c>
      <c r="F559" t="s">
        <v>18</v>
      </c>
      <c r="G559" t="s">
        <v>937</v>
      </c>
      <c r="H559" s="1">
        <v>43382</v>
      </c>
    </row>
    <row r="560" spans="1:8" x14ac:dyDescent="0.35">
      <c r="A560" t="s">
        <v>591</v>
      </c>
      <c r="B560" t="s">
        <v>17</v>
      </c>
      <c r="C560" t="s">
        <v>30</v>
      </c>
      <c r="D560" t="s">
        <v>16</v>
      </c>
      <c r="E560">
        <v>10</v>
      </c>
      <c r="F560" t="s">
        <v>28</v>
      </c>
      <c r="G560" t="s">
        <v>937</v>
      </c>
      <c r="H560" s="1">
        <v>45371</v>
      </c>
    </row>
    <row r="561" spans="1:8" x14ac:dyDescent="0.35">
      <c r="A561" t="s">
        <v>592</v>
      </c>
      <c r="B561" t="s">
        <v>17</v>
      </c>
      <c r="C561" t="s">
        <v>36</v>
      </c>
      <c r="D561" t="s">
        <v>44</v>
      </c>
      <c r="E561">
        <v>13</v>
      </c>
      <c r="F561" t="s">
        <v>32</v>
      </c>
      <c r="G561" t="s">
        <v>938</v>
      </c>
      <c r="H561" s="1">
        <v>44068</v>
      </c>
    </row>
    <row r="562" spans="1:8" x14ac:dyDescent="0.35">
      <c r="A562" t="s">
        <v>593</v>
      </c>
      <c r="B562" t="s">
        <v>17</v>
      </c>
      <c r="C562" t="s">
        <v>36</v>
      </c>
      <c r="D562" t="s">
        <v>44</v>
      </c>
      <c r="E562">
        <v>2</v>
      </c>
      <c r="F562" t="s">
        <v>32</v>
      </c>
      <c r="G562" t="s">
        <v>938</v>
      </c>
      <c r="H562" s="1">
        <v>43995</v>
      </c>
    </row>
    <row r="563" spans="1:8" x14ac:dyDescent="0.35">
      <c r="A563" t="s">
        <v>594</v>
      </c>
      <c r="B563" t="s">
        <v>22</v>
      </c>
      <c r="C563" t="s">
        <v>27</v>
      </c>
      <c r="D563" t="s">
        <v>21</v>
      </c>
      <c r="E563">
        <v>15</v>
      </c>
      <c r="F563" t="s">
        <v>32</v>
      </c>
      <c r="G563" t="s">
        <v>938</v>
      </c>
      <c r="H563" s="1">
        <v>44495</v>
      </c>
    </row>
    <row r="564" spans="1:8" x14ac:dyDescent="0.35">
      <c r="A564" t="s">
        <v>595</v>
      </c>
      <c r="B564" t="s">
        <v>17</v>
      </c>
      <c r="C564" t="s">
        <v>15</v>
      </c>
      <c r="D564" t="s">
        <v>44</v>
      </c>
      <c r="E564">
        <v>3</v>
      </c>
      <c r="F564" t="s">
        <v>18</v>
      </c>
      <c r="G564" t="s">
        <v>937</v>
      </c>
      <c r="H564" s="1">
        <v>45233</v>
      </c>
    </row>
    <row r="565" spans="1:8" x14ac:dyDescent="0.35">
      <c r="A565" t="s">
        <v>596</v>
      </c>
      <c r="B565" t="s">
        <v>17</v>
      </c>
      <c r="C565" t="s">
        <v>15</v>
      </c>
      <c r="D565" t="s">
        <v>44</v>
      </c>
      <c r="E565">
        <v>3</v>
      </c>
      <c r="F565" t="s">
        <v>28</v>
      </c>
      <c r="G565" t="s">
        <v>937</v>
      </c>
      <c r="H565" s="1">
        <v>42994</v>
      </c>
    </row>
    <row r="566" spans="1:8" x14ac:dyDescent="0.35">
      <c r="A566" t="s">
        <v>597</v>
      </c>
      <c r="B566" t="s">
        <v>22</v>
      </c>
      <c r="C566" t="s">
        <v>15</v>
      </c>
      <c r="D566" t="s">
        <v>34</v>
      </c>
      <c r="E566">
        <v>14</v>
      </c>
      <c r="F566" t="s">
        <v>28</v>
      </c>
      <c r="G566" t="s">
        <v>937</v>
      </c>
      <c r="H566" s="1">
        <v>43364</v>
      </c>
    </row>
    <row r="567" spans="1:8" x14ac:dyDescent="0.35">
      <c r="A567" t="s">
        <v>598</v>
      </c>
      <c r="B567" t="s">
        <v>17</v>
      </c>
      <c r="C567" t="s">
        <v>36</v>
      </c>
      <c r="D567" t="s">
        <v>34</v>
      </c>
      <c r="E567">
        <v>14</v>
      </c>
      <c r="F567" t="s">
        <v>23</v>
      </c>
      <c r="G567" t="s">
        <v>938</v>
      </c>
      <c r="H567" s="1">
        <v>42029</v>
      </c>
    </row>
    <row r="568" spans="1:8" x14ac:dyDescent="0.35">
      <c r="A568" t="s">
        <v>599</v>
      </c>
      <c r="B568" t="s">
        <v>17</v>
      </c>
      <c r="C568" t="s">
        <v>20</v>
      </c>
      <c r="D568" t="s">
        <v>21</v>
      </c>
      <c r="E568">
        <v>6</v>
      </c>
      <c r="F568" t="s">
        <v>71</v>
      </c>
      <c r="G568" t="s">
        <v>938</v>
      </c>
      <c r="H568" s="1">
        <v>42521</v>
      </c>
    </row>
    <row r="569" spans="1:8" x14ac:dyDescent="0.35">
      <c r="A569" t="s">
        <v>600</v>
      </c>
      <c r="B569" t="s">
        <v>17</v>
      </c>
      <c r="C569" t="s">
        <v>20</v>
      </c>
      <c r="D569" t="s">
        <v>34</v>
      </c>
      <c r="E569">
        <v>14</v>
      </c>
      <c r="F569" t="s">
        <v>28</v>
      </c>
      <c r="G569" t="s">
        <v>937</v>
      </c>
      <c r="H569" s="1">
        <v>42376</v>
      </c>
    </row>
    <row r="570" spans="1:8" x14ac:dyDescent="0.35">
      <c r="A570" t="s">
        <v>601</v>
      </c>
      <c r="B570" t="s">
        <v>22</v>
      </c>
      <c r="C570" t="s">
        <v>30</v>
      </c>
      <c r="D570" t="s">
        <v>44</v>
      </c>
      <c r="E570">
        <v>15</v>
      </c>
      <c r="F570" t="s">
        <v>32</v>
      </c>
      <c r="G570" t="s">
        <v>938</v>
      </c>
      <c r="H570" s="1">
        <v>42787</v>
      </c>
    </row>
    <row r="571" spans="1:8" x14ac:dyDescent="0.35">
      <c r="A571" t="s">
        <v>602</v>
      </c>
      <c r="B571" t="s">
        <v>22</v>
      </c>
      <c r="C571" t="s">
        <v>36</v>
      </c>
      <c r="D571" t="s">
        <v>21</v>
      </c>
      <c r="E571">
        <v>15</v>
      </c>
      <c r="F571" t="s">
        <v>71</v>
      </c>
      <c r="G571" t="s">
        <v>938</v>
      </c>
      <c r="H571" s="1">
        <v>42853</v>
      </c>
    </row>
    <row r="572" spans="1:8" x14ac:dyDescent="0.35">
      <c r="A572" t="s">
        <v>603</v>
      </c>
      <c r="B572" t="s">
        <v>22</v>
      </c>
      <c r="C572" t="s">
        <v>27</v>
      </c>
      <c r="D572" t="s">
        <v>34</v>
      </c>
      <c r="E572">
        <v>6</v>
      </c>
      <c r="F572" t="s">
        <v>25</v>
      </c>
      <c r="G572" t="s">
        <v>937</v>
      </c>
      <c r="H572" s="1">
        <v>43519</v>
      </c>
    </row>
    <row r="573" spans="1:8" x14ac:dyDescent="0.35">
      <c r="A573" t="s">
        <v>604</v>
      </c>
      <c r="B573" t="s">
        <v>17</v>
      </c>
      <c r="C573" t="s">
        <v>15</v>
      </c>
      <c r="D573" t="s">
        <v>21</v>
      </c>
      <c r="E573">
        <v>5</v>
      </c>
      <c r="F573" t="s">
        <v>23</v>
      </c>
      <c r="G573" t="s">
        <v>938</v>
      </c>
      <c r="H573" s="1">
        <v>45538</v>
      </c>
    </row>
    <row r="574" spans="1:8" x14ac:dyDescent="0.35">
      <c r="A574" t="s">
        <v>605</v>
      </c>
      <c r="B574" t="s">
        <v>17</v>
      </c>
      <c r="C574" t="s">
        <v>15</v>
      </c>
      <c r="D574" t="s">
        <v>44</v>
      </c>
      <c r="E574">
        <v>3</v>
      </c>
      <c r="F574" t="s">
        <v>28</v>
      </c>
      <c r="G574" t="s">
        <v>937</v>
      </c>
      <c r="H574" s="1">
        <v>44288</v>
      </c>
    </row>
    <row r="575" spans="1:8" x14ac:dyDescent="0.35">
      <c r="A575" t="s">
        <v>606</v>
      </c>
      <c r="B575" t="s">
        <v>17</v>
      </c>
      <c r="C575" t="s">
        <v>30</v>
      </c>
      <c r="D575" t="s">
        <v>16</v>
      </c>
      <c r="E575">
        <v>0</v>
      </c>
      <c r="F575" t="s">
        <v>28</v>
      </c>
      <c r="G575" t="s">
        <v>937</v>
      </c>
      <c r="H575" s="1">
        <v>44495</v>
      </c>
    </row>
    <row r="576" spans="1:8" x14ac:dyDescent="0.35">
      <c r="A576" t="s">
        <v>607</v>
      </c>
      <c r="B576" t="s">
        <v>17</v>
      </c>
      <c r="C576" t="s">
        <v>36</v>
      </c>
      <c r="D576" t="s">
        <v>21</v>
      </c>
      <c r="E576">
        <v>6</v>
      </c>
      <c r="F576" t="s">
        <v>25</v>
      </c>
      <c r="G576" t="s">
        <v>937</v>
      </c>
      <c r="H576" s="1">
        <v>44471</v>
      </c>
    </row>
    <row r="577" spans="1:8" x14ac:dyDescent="0.35">
      <c r="A577" t="s">
        <v>608</v>
      </c>
      <c r="B577" t="s">
        <v>22</v>
      </c>
      <c r="C577" t="s">
        <v>36</v>
      </c>
      <c r="D577" t="s">
        <v>44</v>
      </c>
      <c r="E577">
        <v>11</v>
      </c>
      <c r="F577" t="s">
        <v>38</v>
      </c>
      <c r="G577" t="s">
        <v>937</v>
      </c>
      <c r="H577" s="1">
        <v>45617</v>
      </c>
    </row>
    <row r="578" spans="1:8" x14ac:dyDescent="0.35">
      <c r="A578" t="s">
        <v>609</v>
      </c>
      <c r="B578" t="s">
        <v>17</v>
      </c>
      <c r="C578" t="s">
        <v>20</v>
      </c>
      <c r="D578" t="s">
        <v>44</v>
      </c>
      <c r="E578">
        <v>1</v>
      </c>
      <c r="F578" t="s">
        <v>32</v>
      </c>
      <c r="G578" t="s">
        <v>938</v>
      </c>
      <c r="H578" s="1">
        <v>42520</v>
      </c>
    </row>
    <row r="579" spans="1:8" x14ac:dyDescent="0.35">
      <c r="A579" t="s">
        <v>610</v>
      </c>
      <c r="B579" t="s">
        <v>22</v>
      </c>
      <c r="C579" t="s">
        <v>36</v>
      </c>
      <c r="D579" t="s">
        <v>34</v>
      </c>
      <c r="E579">
        <v>2</v>
      </c>
      <c r="F579" t="s">
        <v>18</v>
      </c>
      <c r="G579" t="s">
        <v>937</v>
      </c>
      <c r="H579" s="1">
        <v>44009</v>
      </c>
    </row>
    <row r="580" spans="1:8" x14ac:dyDescent="0.35">
      <c r="A580" t="s">
        <v>611</v>
      </c>
      <c r="B580" t="s">
        <v>22</v>
      </c>
      <c r="C580" t="s">
        <v>15</v>
      </c>
      <c r="D580" t="s">
        <v>16</v>
      </c>
      <c r="E580">
        <v>3</v>
      </c>
      <c r="F580" t="s">
        <v>28</v>
      </c>
      <c r="G580" t="s">
        <v>937</v>
      </c>
      <c r="H580" s="1">
        <v>42523</v>
      </c>
    </row>
    <row r="581" spans="1:8" x14ac:dyDescent="0.35">
      <c r="A581" t="s">
        <v>612</v>
      </c>
      <c r="B581" t="s">
        <v>17</v>
      </c>
      <c r="C581" t="s">
        <v>30</v>
      </c>
      <c r="D581" t="s">
        <v>16</v>
      </c>
      <c r="E581">
        <v>1</v>
      </c>
      <c r="F581" t="s">
        <v>32</v>
      </c>
      <c r="G581" t="s">
        <v>938</v>
      </c>
      <c r="H581" s="1">
        <v>43069</v>
      </c>
    </row>
    <row r="582" spans="1:8" x14ac:dyDescent="0.35">
      <c r="A582" t="s">
        <v>613</v>
      </c>
      <c r="B582" t="s">
        <v>22</v>
      </c>
      <c r="C582" t="s">
        <v>30</v>
      </c>
      <c r="D582" t="s">
        <v>44</v>
      </c>
      <c r="E582">
        <v>6</v>
      </c>
      <c r="F582" t="s">
        <v>23</v>
      </c>
      <c r="G582" t="s">
        <v>938</v>
      </c>
      <c r="H582" s="1">
        <v>45603</v>
      </c>
    </row>
    <row r="583" spans="1:8" x14ac:dyDescent="0.35">
      <c r="A583" t="s">
        <v>614</v>
      </c>
      <c r="B583" t="s">
        <v>17</v>
      </c>
      <c r="C583" t="s">
        <v>36</v>
      </c>
      <c r="D583" t="s">
        <v>16</v>
      </c>
      <c r="E583">
        <v>3</v>
      </c>
      <c r="F583" t="s">
        <v>32</v>
      </c>
      <c r="G583" t="s">
        <v>938</v>
      </c>
      <c r="H583" s="1">
        <v>43210</v>
      </c>
    </row>
    <row r="584" spans="1:8" x14ac:dyDescent="0.35">
      <c r="A584" t="s">
        <v>615</v>
      </c>
      <c r="B584" t="s">
        <v>17</v>
      </c>
      <c r="C584" t="s">
        <v>15</v>
      </c>
      <c r="D584" t="s">
        <v>44</v>
      </c>
      <c r="E584">
        <v>12</v>
      </c>
      <c r="F584" t="s">
        <v>45</v>
      </c>
      <c r="G584" t="s">
        <v>938</v>
      </c>
      <c r="H584" s="1">
        <v>42718</v>
      </c>
    </row>
    <row r="585" spans="1:8" x14ac:dyDescent="0.35">
      <c r="A585" t="s">
        <v>616</v>
      </c>
      <c r="B585" t="s">
        <v>17</v>
      </c>
      <c r="C585" t="s">
        <v>20</v>
      </c>
      <c r="D585" t="s">
        <v>44</v>
      </c>
      <c r="E585">
        <v>3</v>
      </c>
      <c r="F585" t="s">
        <v>71</v>
      </c>
      <c r="G585" t="s">
        <v>938</v>
      </c>
      <c r="H585" s="1">
        <v>42302</v>
      </c>
    </row>
    <row r="586" spans="1:8" x14ac:dyDescent="0.35">
      <c r="A586" t="s">
        <v>617</v>
      </c>
      <c r="B586" t="s">
        <v>17</v>
      </c>
      <c r="C586" t="s">
        <v>20</v>
      </c>
      <c r="D586" t="s">
        <v>21</v>
      </c>
      <c r="E586">
        <v>11</v>
      </c>
      <c r="F586" t="s">
        <v>45</v>
      </c>
      <c r="G586" t="s">
        <v>938</v>
      </c>
      <c r="H586" s="1">
        <v>45105</v>
      </c>
    </row>
    <row r="587" spans="1:8" x14ac:dyDescent="0.35">
      <c r="A587" t="s">
        <v>618</v>
      </c>
      <c r="B587" t="s">
        <v>17</v>
      </c>
      <c r="C587" t="s">
        <v>36</v>
      </c>
      <c r="D587" t="s">
        <v>21</v>
      </c>
      <c r="E587">
        <v>8</v>
      </c>
      <c r="F587" t="s">
        <v>71</v>
      </c>
      <c r="G587" t="s">
        <v>938</v>
      </c>
      <c r="H587" s="1">
        <v>43536</v>
      </c>
    </row>
    <row r="588" spans="1:8" x14ac:dyDescent="0.35">
      <c r="A588" t="s">
        <v>619</v>
      </c>
      <c r="B588" t="s">
        <v>22</v>
      </c>
      <c r="C588" t="s">
        <v>15</v>
      </c>
      <c r="D588" t="s">
        <v>16</v>
      </c>
      <c r="E588">
        <v>5</v>
      </c>
      <c r="F588" t="s">
        <v>38</v>
      </c>
      <c r="G588" t="s">
        <v>937</v>
      </c>
      <c r="H588" s="1">
        <v>43832</v>
      </c>
    </row>
    <row r="589" spans="1:8" x14ac:dyDescent="0.35">
      <c r="A589" t="s">
        <v>620</v>
      </c>
      <c r="B589" t="s">
        <v>17</v>
      </c>
      <c r="C589" t="s">
        <v>15</v>
      </c>
      <c r="D589" t="s">
        <v>16</v>
      </c>
      <c r="E589">
        <v>1</v>
      </c>
      <c r="F589" t="s">
        <v>23</v>
      </c>
      <c r="G589" t="s">
        <v>938</v>
      </c>
      <c r="H589" s="1">
        <v>45514</v>
      </c>
    </row>
    <row r="590" spans="1:8" x14ac:dyDescent="0.35">
      <c r="A590" t="s">
        <v>621</v>
      </c>
      <c r="B590" t="s">
        <v>22</v>
      </c>
      <c r="C590" t="s">
        <v>20</v>
      </c>
      <c r="D590" t="s">
        <v>44</v>
      </c>
      <c r="E590">
        <v>11</v>
      </c>
      <c r="F590" t="s">
        <v>71</v>
      </c>
      <c r="G590" t="s">
        <v>938</v>
      </c>
      <c r="H590" s="1">
        <v>43229</v>
      </c>
    </row>
    <row r="591" spans="1:8" x14ac:dyDescent="0.35">
      <c r="A591" t="s">
        <v>622</v>
      </c>
      <c r="B591" t="s">
        <v>17</v>
      </c>
      <c r="C591" t="s">
        <v>15</v>
      </c>
      <c r="D591" t="s">
        <v>34</v>
      </c>
      <c r="E591">
        <v>0</v>
      </c>
      <c r="F591" t="s">
        <v>28</v>
      </c>
      <c r="G591" t="s">
        <v>937</v>
      </c>
      <c r="H591" s="1">
        <v>43550</v>
      </c>
    </row>
    <row r="592" spans="1:8" x14ac:dyDescent="0.35">
      <c r="A592" t="s">
        <v>623</v>
      </c>
      <c r="B592" t="s">
        <v>17</v>
      </c>
      <c r="C592" t="s">
        <v>15</v>
      </c>
      <c r="D592" t="s">
        <v>44</v>
      </c>
      <c r="E592">
        <v>4</v>
      </c>
      <c r="F592" t="s">
        <v>25</v>
      </c>
      <c r="G592" t="s">
        <v>937</v>
      </c>
      <c r="H592" s="1">
        <v>43193</v>
      </c>
    </row>
    <row r="593" spans="1:8" x14ac:dyDescent="0.35">
      <c r="A593" t="s">
        <v>624</v>
      </c>
      <c r="B593" t="s">
        <v>17</v>
      </c>
      <c r="C593" t="s">
        <v>20</v>
      </c>
      <c r="D593" t="s">
        <v>21</v>
      </c>
      <c r="E593">
        <v>13</v>
      </c>
      <c r="F593" t="s">
        <v>32</v>
      </c>
      <c r="G593" t="s">
        <v>938</v>
      </c>
      <c r="H593" s="1">
        <v>42483</v>
      </c>
    </row>
    <row r="594" spans="1:8" x14ac:dyDescent="0.35">
      <c r="A594" t="s">
        <v>625</v>
      </c>
      <c r="B594" t="s">
        <v>22</v>
      </c>
      <c r="C594" t="s">
        <v>36</v>
      </c>
      <c r="D594" t="s">
        <v>21</v>
      </c>
      <c r="E594">
        <v>12</v>
      </c>
      <c r="F594" t="s">
        <v>28</v>
      </c>
      <c r="G594" t="s">
        <v>937</v>
      </c>
      <c r="H594" s="1">
        <v>44162</v>
      </c>
    </row>
    <row r="595" spans="1:8" x14ac:dyDescent="0.35">
      <c r="A595" t="s">
        <v>626</v>
      </c>
      <c r="B595" t="s">
        <v>22</v>
      </c>
      <c r="C595" t="s">
        <v>15</v>
      </c>
      <c r="D595" t="s">
        <v>44</v>
      </c>
      <c r="E595">
        <v>1</v>
      </c>
      <c r="F595" t="s">
        <v>71</v>
      </c>
      <c r="G595" t="s">
        <v>938</v>
      </c>
      <c r="H595" s="1">
        <v>45259</v>
      </c>
    </row>
    <row r="596" spans="1:8" x14ac:dyDescent="0.35">
      <c r="A596" t="s">
        <v>627</v>
      </c>
      <c r="B596" t="s">
        <v>22</v>
      </c>
      <c r="C596" t="s">
        <v>27</v>
      </c>
      <c r="D596" t="s">
        <v>21</v>
      </c>
      <c r="E596">
        <v>1</v>
      </c>
      <c r="F596" t="s">
        <v>23</v>
      </c>
      <c r="G596" t="s">
        <v>938</v>
      </c>
      <c r="H596" s="1">
        <v>42302</v>
      </c>
    </row>
    <row r="597" spans="1:8" x14ac:dyDescent="0.35">
      <c r="A597" t="s">
        <v>628</v>
      </c>
      <c r="B597" t="s">
        <v>22</v>
      </c>
      <c r="C597" t="s">
        <v>20</v>
      </c>
      <c r="D597" t="s">
        <v>34</v>
      </c>
      <c r="E597">
        <v>11</v>
      </c>
      <c r="F597" t="s">
        <v>25</v>
      </c>
      <c r="G597" t="s">
        <v>937</v>
      </c>
      <c r="H597" s="1">
        <v>44055</v>
      </c>
    </row>
    <row r="598" spans="1:8" x14ac:dyDescent="0.35">
      <c r="A598" t="s">
        <v>629</v>
      </c>
      <c r="B598" t="s">
        <v>22</v>
      </c>
      <c r="C598" t="s">
        <v>30</v>
      </c>
      <c r="D598" t="s">
        <v>21</v>
      </c>
      <c r="E598">
        <v>4</v>
      </c>
      <c r="F598" t="s">
        <v>28</v>
      </c>
      <c r="G598" t="s">
        <v>937</v>
      </c>
      <c r="H598" s="1">
        <v>45451</v>
      </c>
    </row>
    <row r="599" spans="1:8" x14ac:dyDescent="0.35">
      <c r="A599" t="s">
        <v>630</v>
      </c>
      <c r="B599" t="s">
        <v>22</v>
      </c>
      <c r="C599" t="s">
        <v>15</v>
      </c>
      <c r="D599" t="s">
        <v>16</v>
      </c>
      <c r="E599">
        <v>3</v>
      </c>
      <c r="F599" t="s">
        <v>45</v>
      </c>
      <c r="G599" t="s">
        <v>938</v>
      </c>
      <c r="H599" s="1">
        <v>44228</v>
      </c>
    </row>
    <row r="600" spans="1:8" x14ac:dyDescent="0.35">
      <c r="A600" t="s">
        <v>631</v>
      </c>
      <c r="B600" t="s">
        <v>17</v>
      </c>
      <c r="C600" t="s">
        <v>36</v>
      </c>
      <c r="D600" t="s">
        <v>21</v>
      </c>
      <c r="E600">
        <v>3</v>
      </c>
      <c r="F600" t="s">
        <v>25</v>
      </c>
      <c r="G600" t="s">
        <v>937</v>
      </c>
      <c r="H600" s="1">
        <v>45015</v>
      </c>
    </row>
    <row r="601" spans="1:8" x14ac:dyDescent="0.35">
      <c r="A601" t="s">
        <v>632</v>
      </c>
      <c r="B601" t="s">
        <v>22</v>
      </c>
      <c r="C601" t="s">
        <v>15</v>
      </c>
      <c r="D601" t="s">
        <v>21</v>
      </c>
      <c r="E601">
        <v>9</v>
      </c>
      <c r="F601" t="s">
        <v>18</v>
      </c>
      <c r="G601" t="s">
        <v>937</v>
      </c>
      <c r="H601" s="1">
        <v>43400</v>
      </c>
    </row>
    <row r="602" spans="1:8" x14ac:dyDescent="0.35">
      <c r="A602" t="s">
        <v>633</v>
      </c>
      <c r="B602" t="s">
        <v>17</v>
      </c>
      <c r="C602" t="s">
        <v>27</v>
      </c>
      <c r="D602" t="s">
        <v>16</v>
      </c>
      <c r="E602">
        <v>2</v>
      </c>
      <c r="F602" t="s">
        <v>71</v>
      </c>
      <c r="G602" t="s">
        <v>938</v>
      </c>
      <c r="H602" s="1">
        <v>42664</v>
      </c>
    </row>
    <row r="603" spans="1:8" x14ac:dyDescent="0.35">
      <c r="A603" t="s">
        <v>634</v>
      </c>
      <c r="B603" t="s">
        <v>17</v>
      </c>
      <c r="C603" t="s">
        <v>36</v>
      </c>
      <c r="D603" t="s">
        <v>44</v>
      </c>
      <c r="E603">
        <v>0</v>
      </c>
      <c r="F603" t="s">
        <v>23</v>
      </c>
      <c r="G603" t="s">
        <v>938</v>
      </c>
      <c r="H603" s="1">
        <v>42899</v>
      </c>
    </row>
    <row r="604" spans="1:8" x14ac:dyDescent="0.35">
      <c r="A604" t="s">
        <v>635</v>
      </c>
      <c r="B604" t="s">
        <v>22</v>
      </c>
      <c r="C604" t="s">
        <v>15</v>
      </c>
      <c r="D604" t="s">
        <v>34</v>
      </c>
      <c r="E604">
        <v>14</v>
      </c>
      <c r="F604" t="s">
        <v>28</v>
      </c>
      <c r="G604" t="s">
        <v>937</v>
      </c>
      <c r="H604" s="1">
        <v>44319</v>
      </c>
    </row>
    <row r="605" spans="1:8" x14ac:dyDescent="0.35">
      <c r="A605" t="s">
        <v>636</v>
      </c>
      <c r="B605" t="s">
        <v>22</v>
      </c>
      <c r="C605" t="s">
        <v>15</v>
      </c>
      <c r="D605" t="s">
        <v>34</v>
      </c>
      <c r="E605">
        <v>11</v>
      </c>
      <c r="F605" t="s">
        <v>32</v>
      </c>
      <c r="G605" t="s">
        <v>938</v>
      </c>
      <c r="H605" s="1">
        <v>42155</v>
      </c>
    </row>
    <row r="606" spans="1:8" x14ac:dyDescent="0.35">
      <c r="A606" t="s">
        <v>637</v>
      </c>
      <c r="B606" t="s">
        <v>17</v>
      </c>
      <c r="C606" t="s">
        <v>30</v>
      </c>
      <c r="D606" t="s">
        <v>44</v>
      </c>
      <c r="E606">
        <v>13</v>
      </c>
      <c r="F606" t="s">
        <v>71</v>
      </c>
      <c r="G606" t="s">
        <v>938</v>
      </c>
      <c r="H606" s="1">
        <v>45145</v>
      </c>
    </row>
    <row r="607" spans="1:8" x14ac:dyDescent="0.35">
      <c r="A607" t="s">
        <v>638</v>
      </c>
      <c r="B607" t="s">
        <v>22</v>
      </c>
      <c r="C607" t="s">
        <v>30</v>
      </c>
      <c r="D607" t="s">
        <v>34</v>
      </c>
      <c r="E607">
        <v>7</v>
      </c>
      <c r="F607" t="s">
        <v>32</v>
      </c>
      <c r="G607" t="s">
        <v>938</v>
      </c>
      <c r="H607" s="1">
        <v>42145</v>
      </c>
    </row>
    <row r="608" spans="1:8" x14ac:dyDescent="0.35">
      <c r="A608" t="s">
        <v>639</v>
      </c>
      <c r="B608" t="s">
        <v>17</v>
      </c>
      <c r="C608" t="s">
        <v>30</v>
      </c>
      <c r="D608" t="s">
        <v>21</v>
      </c>
      <c r="E608">
        <v>12</v>
      </c>
      <c r="F608" t="s">
        <v>45</v>
      </c>
      <c r="G608" t="s">
        <v>938</v>
      </c>
      <c r="H608" s="1">
        <v>44568</v>
      </c>
    </row>
    <row r="609" spans="1:8" x14ac:dyDescent="0.35">
      <c r="A609" t="s">
        <v>640</v>
      </c>
      <c r="B609" t="s">
        <v>17</v>
      </c>
      <c r="C609" t="s">
        <v>15</v>
      </c>
      <c r="D609" t="s">
        <v>21</v>
      </c>
      <c r="E609">
        <v>4</v>
      </c>
      <c r="F609" t="s">
        <v>32</v>
      </c>
      <c r="G609" t="s">
        <v>938</v>
      </c>
      <c r="H609" s="1">
        <v>42858</v>
      </c>
    </row>
    <row r="610" spans="1:8" x14ac:dyDescent="0.35">
      <c r="A610" t="s">
        <v>641</v>
      </c>
      <c r="B610" t="s">
        <v>22</v>
      </c>
      <c r="C610" t="s">
        <v>15</v>
      </c>
      <c r="D610" t="s">
        <v>34</v>
      </c>
      <c r="E610">
        <v>8</v>
      </c>
      <c r="F610" t="s">
        <v>71</v>
      </c>
      <c r="G610" t="s">
        <v>938</v>
      </c>
      <c r="H610" s="1">
        <v>44867</v>
      </c>
    </row>
    <row r="611" spans="1:8" x14ac:dyDescent="0.35">
      <c r="A611" t="s">
        <v>642</v>
      </c>
      <c r="B611" t="s">
        <v>22</v>
      </c>
      <c r="C611" t="s">
        <v>36</v>
      </c>
      <c r="D611" t="s">
        <v>16</v>
      </c>
      <c r="E611">
        <v>6</v>
      </c>
      <c r="F611" t="s">
        <v>18</v>
      </c>
      <c r="G611" t="s">
        <v>937</v>
      </c>
      <c r="H611" s="1">
        <v>42290</v>
      </c>
    </row>
    <row r="612" spans="1:8" x14ac:dyDescent="0.35">
      <c r="A612" t="s">
        <v>643</v>
      </c>
      <c r="B612" t="s">
        <v>22</v>
      </c>
      <c r="C612" t="s">
        <v>27</v>
      </c>
      <c r="D612" t="s">
        <v>21</v>
      </c>
      <c r="E612">
        <v>2</v>
      </c>
      <c r="F612" t="s">
        <v>28</v>
      </c>
      <c r="G612" t="s">
        <v>937</v>
      </c>
      <c r="H612" s="1">
        <v>43822</v>
      </c>
    </row>
    <row r="613" spans="1:8" x14ac:dyDescent="0.35">
      <c r="A613" t="s">
        <v>644</v>
      </c>
      <c r="B613" t="s">
        <v>17</v>
      </c>
      <c r="C613" t="s">
        <v>20</v>
      </c>
      <c r="D613" t="s">
        <v>44</v>
      </c>
      <c r="E613">
        <v>8</v>
      </c>
      <c r="F613" t="s">
        <v>25</v>
      </c>
      <c r="G613" t="s">
        <v>937</v>
      </c>
      <c r="H613" s="1">
        <v>45453</v>
      </c>
    </row>
    <row r="614" spans="1:8" x14ac:dyDescent="0.35">
      <c r="A614" t="s">
        <v>645</v>
      </c>
      <c r="B614" t="s">
        <v>22</v>
      </c>
      <c r="C614" t="s">
        <v>20</v>
      </c>
      <c r="D614" t="s">
        <v>21</v>
      </c>
      <c r="E614">
        <v>0</v>
      </c>
      <c r="F614" t="s">
        <v>71</v>
      </c>
      <c r="G614" t="s">
        <v>938</v>
      </c>
      <c r="H614" s="1">
        <v>45051</v>
      </c>
    </row>
    <row r="615" spans="1:8" x14ac:dyDescent="0.35">
      <c r="A615" t="s">
        <v>646</v>
      </c>
      <c r="B615" t="s">
        <v>22</v>
      </c>
      <c r="C615" t="s">
        <v>30</v>
      </c>
      <c r="D615" t="s">
        <v>16</v>
      </c>
      <c r="E615">
        <v>2</v>
      </c>
      <c r="F615" t="s">
        <v>45</v>
      </c>
      <c r="G615" t="s">
        <v>938</v>
      </c>
      <c r="H615" s="1">
        <v>45332</v>
      </c>
    </row>
    <row r="616" spans="1:8" x14ac:dyDescent="0.35">
      <c r="A616" t="s">
        <v>647</v>
      </c>
      <c r="B616" t="s">
        <v>22</v>
      </c>
      <c r="C616" t="s">
        <v>15</v>
      </c>
      <c r="D616" t="s">
        <v>16</v>
      </c>
      <c r="E616">
        <v>2</v>
      </c>
      <c r="F616" t="s">
        <v>28</v>
      </c>
      <c r="G616" t="s">
        <v>937</v>
      </c>
      <c r="H616" s="1">
        <v>43305</v>
      </c>
    </row>
    <row r="617" spans="1:8" x14ac:dyDescent="0.35">
      <c r="A617" t="s">
        <v>648</v>
      </c>
      <c r="B617" t="s">
        <v>22</v>
      </c>
      <c r="C617" t="s">
        <v>36</v>
      </c>
      <c r="D617" t="s">
        <v>16</v>
      </c>
      <c r="E617">
        <v>12</v>
      </c>
      <c r="F617" t="s">
        <v>32</v>
      </c>
      <c r="G617" t="s">
        <v>938</v>
      </c>
      <c r="H617" s="1">
        <v>43361</v>
      </c>
    </row>
    <row r="618" spans="1:8" x14ac:dyDescent="0.35">
      <c r="A618" t="s">
        <v>649</v>
      </c>
      <c r="B618" t="s">
        <v>22</v>
      </c>
      <c r="C618" t="s">
        <v>36</v>
      </c>
      <c r="D618" t="s">
        <v>16</v>
      </c>
      <c r="E618">
        <v>0</v>
      </c>
      <c r="F618" t="s">
        <v>38</v>
      </c>
      <c r="G618" t="s">
        <v>937</v>
      </c>
      <c r="H618" s="1">
        <v>44063</v>
      </c>
    </row>
    <row r="619" spans="1:8" x14ac:dyDescent="0.35">
      <c r="A619" t="s">
        <v>650</v>
      </c>
      <c r="B619" t="s">
        <v>17</v>
      </c>
      <c r="C619" t="s">
        <v>15</v>
      </c>
      <c r="D619" t="s">
        <v>16</v>
      </c>
      <c r="E619">
        <v>8</v>
      </c>
      <c r="F619" t="s">
        <v>23</v>
      </c>
      <c r="G619" t="s">
        <v>938</v>
      </c>
      <c r="H619" s="1">
        <v>42970</v>
      </c>
    </row>
    <row r="620" spans="1:8" x14ac:dyDescent="0.35">
      <c r="A620" t="s">
        <v>651</v>
      </c>
      <c r="B620" t="s">
        <v>22</v>
      </c>
      <c r="C620" t="s">
        <v>15</v>
      </c>
      <c r="D620" t="s">
        <v>34</v>
      </c>
      <c r="E620">
        <v>0</v>
      </c>
      <c r="F620" t="s">
        <v>32</v>
      </c>
      <c r="G620" t="s">
        <v>938</v>
      </c>
      <c r="H620" s="1">
        <v>42882</v>
      </c>
    </row>
    <row r="621" spans="1:8" x14ac:dyDescent="0.35">
      <c r="A621" t="s">
        <v>652</v>
      </c>
      <c r="B621" t="s">
        <v>17</v>
      </c>
      <c r="C621" t="s">
        <v>27</v>
      </c>
      <c r="D621" t="s">
        <v>44</v>
      </c>
      <c r="E621">
        <v>13</v>
      </c>
      <c r="F621" t="s">
        <v>32</v>
      </c>
      <c r="G621" t="s">
        <v>938</v>
      </c>
      <c r="H621" s="1">
        <v>43211</v>
      </c>
    </row>
    <row r="622" spans="1:8" x14ac:dyDescent="0.35">
      <c r="A622" t="s">
        <v>653</v>
      </c>
      <c r="B622" t="s">
        <v>22</v>
      </c>
      <c r="C622" t="s">
        <v>20</v>
      </c>
      <c r="D622" t="s">
        <v>34</v>
      </c>
      <c r="E622">
        <v>3</v>
      </c>
      <c r="F622" t="s">
        <v>28</v>
      </c>
      <c r="G622" t="s">
        <v>937</v>
      </c>
      <c r="H622" s="1">
        <v>42878</v>
      </c>
    </row>
    <row r="623" spans="1:8" x14ac:dyDescent="0.35">
      <c r="A623" t="s">
        <v>654</v>
      </c>
      <c r="B623" t="s">
        <v>17</v>
      </c>
      <c r="C623" t="s">
        <v>36</v>
      </c>
      <c r="D623" t="s">
        <v>16</v>
      </c>
      <c r="E623">
        <v>3</v>
      </c>
      <c r="F623" t="s">
        <v>25</v>
      </c>
      <c r="G623" t="s">
        <v>937</v>
      </c>
      <c r="H623" s="1">
        <v>44732</v>
      </c>
    </row>
    <row r="624" spans="1:8" x14ac:dyDescent="0.35">
      <c r="A624" t="s">
        <v>655</v>
      </c>
      <c r="B624" t="s">
        <v>22</v>
      </c>
      <c r="C624" t="s">
        <v>20</v>
      </c>
      <c r="D624" t="s">
        <v>44</v>
      </c>
      <c r="E624">
        <v>0</v>
      </c>
      <c r="F624" t="s">
        <v>32</v>
      </c>
      <c r="G624" t="s">
        <v>938</v>
      </c>
      <c r="H624" s="1">
        <v>45451</v>
      </c>
    </row>
    <row r="625" spans="1:8" x14ac:dyDescent="0.35">
      <c r="A625" t="s">
        <v>656</v>
      </c>
      <c r="B625" t="s">
        <v>17</v>
      </c>
      <c r="C625" t="s">
        <v>30</v>
      </c>
      <c r="D625" t="s">
        <v>34</v>
      </c>
      <c r="E625">
        <v>15</v>
      </c>
      <c r="F625" t="s">
        <v>18</v>
      </c>
      <c r="G625" t="s">
        <v>937</v>
      </c>
      <c r="H625" s="1">
        <v>45471</v>
      </c>
    </row>
    <row r="626" spans="1:8" x14ac:dyDescent="0.35">
      <c r="A626" t="s">
        <v>657</v>
      </c>
      <c r="B626" t="s">
        <v>17</v>
      </c>
      <c r="C626" t="s">
        <v>36</v>
      </c>
      <c r="D626" t="s">
        <v>44</v>
      </c>
      <c r="E626">
        <v>14</v>
      </c>
      <c r="F626" t="s">
        <v>45</v>
      </c>
      <c r="G626" t="s">
        <v>938</v>
      </c>
      <c r="H626" s="1">
        <v>45615</v>
      </c>
    </row>
    <row r="627" spans="1:8" x14ac:dyDescent="0.35">
      <c r="A627" t="s">
        <v>658</v>
      </c>
      <c r="B627" t="s">
        <v>17</v>
      </c>
      <c r="C627" t="s">
        <v>36</v>
      </c>
      <c r="D627" t="s">
        <v>34</v>
      </c>
      <c r="E627">
        <v>9</v>
      </c>
      <c r="F627" t="s">
        <v>18</v>
      </c>
      <c r="G627" t="s">
        <v>937</v>
      </c>
      <c r="H627" s="1">
        <v>44077</v>
      </c>
    </row>
    <row r="628" spans="1:8" x14ac:dyDescent="0.35">
      <c r="A628" t="s">
        <v>659</v>
      </c>
      <c r="B628" t="s">
        <v>17</v>
      </c>
      <c r="C628" t="s">
        <v>30</v>
      </c>
      <c r="D628" t="s">
        <v>16</v>
      </c>
      <c r="E628">
        <v>10</v>
      </c>
      <c r="F628" t="s">
        <v>23</v>
      </c>
      <c r="G628" t="s">
        <v>938</v>
      </c>
      <c r="H628" s="1">
        <v>43381</v>
      </c>
    </row>
    <row r="629" spans="1:8" x14ac:dyDescent="0.35">
      <c r="A629" t="s">
        <v>660</v>
      </c>
      <c r="B629" t="s">
        <v>17</v>
      </c>
      <c r="C629" t="s">
        <v>30</v>
      </c>
      <c r="D629" t="s">
        <v>16</v>
      </c>
      <c r="E629">
        <v>12</v>
      </c>
      <c r="F629" t="s">
        <v>23</v>
      </c>
      <c r="G629" t="s">
        <v>938</v>
      </c>
      <c r="H629" s="1">
        <v>43707</v>
      </c>
    </row>
    <row r="630" spans="1:8" x14ac:dyDescent="0.35">
      <c r="A630" t="s">
        <v>661</v>
      </c>
      <c r="B630" t="s">
        <v>22</v>
      </c>
      <c r="C630" t="s">
        <v>20</v>
      </c>
      <c r="D630" t="s">
        <v>21</v>
      </c>
      <c r="E630">
        <v>4</v>
      </c>
      <c r="F630" t="s">
        <v>38</v>
      </c>
      <c r="G630" t="s">
        <v>937</v>
      </c>
      <c r="H630" s="1">
        <v>44408</v>
      </c>
    </row>
    <row r="631" spans="1:8" x14ac:dyDescent="0.35">
      <c r="A631" t="s">
        <v>662</v>
      </c>
      <c r="B631" t="s">
        <v>17</v>
      </c>
      <c r="C631" t="s">
        <v>36</v>
      </c>
      <c r="D631" t="s">
        <v>21</v>
      </c>
      <c r="E631">
        <v>14</v>
      </c>
      <c r="F631" t="s">
        <v>25</v>
      </c>
      <c r="G631" t="s">
        <v>937</v>
      </c>
      <c r="H631" s="1">
        <v>43072</v>
      </c>
    </row>
    <row r="632" spans="1:8" x14ac:dyDescent="0.35">
      <c r="A632" t="s">
        <v>663</v>
      </c>
      <c r="B632" t="s">
        <v>17</v>
      </c>
      <c r="C632" t="s">
        <v>15</v>
      </c>
      <c r="D632" t="s">
        <v>44</v>
      </c>
      <c r="E632">
        <v>7</v>
      </c>
      <c r="F632" t="s">
        <v>23</v>
      </c>
      <c r="G632" t="s">
        <v>938</v>
      </c>
      <c r="H632" s="1">
        <v>44594</v>
      </c>
    </row>
    <row r="633" spans="1:8" x14ac:dyDescent="0.35">
      <c r="A633" t="s">
        <v>664</v>
      </c>
      <c r="B633" t="s">
        <v>22</v>
      </c>
      <c r="C633" t="s">
        <v>27</v>
      </c>
      <c r="D633" t="s">
        <v>16</v>
      </c>
      <c r="E633">
        <v>0</v>
      </c>
      <c r="F633" t="s">
        <v>28</v>
      </c>
      <c r="G633" t="s">
        <v>937</v>
      </c>
      <c r="H633" s="1">
        <v>42414</v>
      </c>
    </row>
    <row r="634" spans="1:8" x14ac:dyDescent="0.35">
      <c r="A634" t="s">
        <v>665</v>
      </c>
      <c r="B634" t="s">
        <v>22</v>
      </c>
      <c r="C634" t="s">
        <v>27</v>
      </c>
      <c r="D634" t="s">
        <v>21</v>
      </c>
      <c r="E634">
        <v>3</v>
      </c>
      <c r="F634" t="s">
        <v>71</v>
      </c>
      <c r="G634" t="s">
        <v>938</v>
      </c>
      <c r="H634" s="1">
        <v>44576</v>
      </c>
    </row>
    <row r="635" spans="1:8" x14ac:dyDescent="0.35">
      <c r="A635" t="s">
        <v>666</v>
      </c>
      <c r="B635" t="s">
        <v>17</v>
      </c>
      <c r="C635" t="s">
        <v>36</v>
      </c>
      <c r="D635" t="s">
        <v>44</v>
      </c>
      <c r="E635">
        <v>6</v>
      </c>
      <c r="F635" t="s">
        <v>28</v>
      </c>
      <c r="G635" t="s">
        <v>937</v>
      </c>
      <c r="H635" s="1">
        <v>44552</v>
      </c>
    </row>
    <row r="636" spans="1:8" x14ac:dyDescent="0.35">
      <c r="A636" t="s">
        <v>667</v>
      </c>
      <c r="B636" t="s">
        <v>17</v>
      </c>
      <c r="C636" t="s">
        <v>27</v>
      </c>
      <c r="D636" t="s">
        <v>16</v>
      </c>
      <c r="E636">
        <v>12</v>
      </c>
      <c r="F636" t="s">
        <v>38</v>
      </c>
      <c r="G636" t="s">
        <v>937</v>
      </c>
      <c r="H636" s="1">
        <v>43429</v>
      </c>
    </row>
    <row r="637" spans="1:8" x14ac:dyDescent="0.35">
      <c r="A637" t="s">
        <v>668</v>
      </c>
      <c r="B637" t="s">
        <v>22</v>
      </c>
      <c r="C637" t="s">
        <v>15</v>
      </c>
      <c r="D637" t="s">
        <v>44</v>
      </c>
      <c r="E637">
        <v>2</v>
      </c>
      <c r="F637" t="s">
        <v>45</v>
      </c>
      <c r="G637" t="s">
        <v>938</v>
      </c>
      <c r="H637" s="1">
        <v>44923</v>
      </c>
    </row>
    <row r="638" spans="1:8" x14ac:dyDescent="0.35">
      <c r="A638" t="s">
        <v>669</v>
      </c>
      <c r="B638" t="s">
        <v>22</v>
      </c>
      <c r="C638" t="s">
        <v>15</v>
      </c>
      <c r="D638" t="s">
        <v>44</v>
      </c>
      <c r="E638">
        <v>4</v>
      </c>
      <c r="F638" t="s">
        <v>71</v>
      </c>
      <c r="G638" t="s">
        <v>938</v>
      </c>
      <c r="H638" s="1">
        <v>45524</v>
      </c>
    </row>
    <row r="639" spans="1:8" x14ac:dyDescent="0.35">
      <c r="A639" t="s">
        <v>670</v>
      </c>
      <c r="B639" t="s">
        <v>22</v>
      </c>
      <c r="C639" t="s">
        <v>36</v>
      </c>
      <c r="D639" t="s">
        <v>21</v>
      </c>
      <c r="E639">
        <v>4</v>
      </c>
      <c r="F639" t="s">
        <v>45</v>
      </c>
      <c r="G639" t="s">
        <v>938</v>
      </c>
      <c r="H639" s="1">
        <v>45226</v>
      </c>
    </row>
    <row r="640" spans="1:8" x14ac:dyDescent="0.35">
      <c r="A640" t="s">
        <v>671</v>
      </c>
      <c r="B640" t="s">
        <v>22</v>
      </c>
      <c r="C640" t="s">
        <v>20</v>
      </c>
      <c r="D640" t="s">
        <v>21</v>
      </c>
      <c r="E640">
        <v>6</v>
      </c>
      <c r="F640" t="s">
        <v>23</v>
      </c>
      <c r="G640" t="s">
        <v>938</v>
      </c>
      <c r="H640" s="1">
        <v>45294</v>
      </c>
    </row>
    <row r="641" spans="1:8" x14ac:dyDescent="0.35">
      <c r="A641" t="s">
        <v>672</v>
      </c>
      <c r="B641" t="s">
        <v>22</v>
      </c>
      <c r="C641" t="s">
        <v>15</v>
      </c>
      <c r="D641" t="s">
        <v>16</v>
      </c>
      <c r="E641">
        <v>10</v>
      </c>
      <c r="F641" t="s">
        <v>71</v>
      </c>
      <c r="G641" t="s">
        <v>938</v>
      </c>
      <c r="H641" s="1">
        <v>42532</v>
      </c>
    </row>
    <row r="642" spans="1:8" x14ac:dyDescent="0.35">
      <c r="A642" t="s">
        <v>673</v>
      </c>
      <c r="B642" t="s">
        <v>17</v>
      </c>
      <c r="C642" t="s">
        <v>36</v>
      </c>
      <c r="D642" t="s">
        <v>44</v>
      </c>
      <c r="E642">
        <v>9</v>
      </c>
      <c r="F642" t="s">
        <v>32</v>
      </c>
      <c r="G642" t="s">
        <v>938</v>
      </c>
      <c r="H642" s="1">
        <v>44334</v>
      </c>
    </row>
    <row r="643" spans="1:8" x14ac:dyDescent="0.35">
      <c r="A643" t="s">
        <v>674</v>
      </c>
      <c r="B643" t="s">
        <v>22</v>
      </c>
      <c r="C643" t="s">
        <v>30</v>
      </c>
      <c r="D643" t="s">
        <v>34</v>
      </c>
      <c r="E643">
        <v>13</v>
      </c>
      <c r="F643" t="s">
        <v>23</v>
      </c>
      <c r="G643" t="s">
        <v>938</v>
      </c>
      <c r="H643" s="1">
        <v>44122</v>
      </c>
    </row>
    <row r="644" spans="1:8" x14ac:dyDescent="0.35">
      <c r="A644" t="s">
        <v>675</v>
      </c>
      <c r="B644" t="s">
        <v>22</v>
      </c>
      <c r="C644" t="s">
        <v>15</v>
      </c>
      <c r="D644" t="s">
        <v>34</v>
      </c>
      <c r="E644">
        <v>15</v>
      </c>
      <c r="F644" t="s">
        <v>45</v>
      </c>
      <c r="G644" t="s">
        <v>938</v>
      </c>
      <c r="H644" s="1">
        <v>45190</v>
      </c>
    </row>
    <row r="645" spans="1:8" x14ac:dyDescent="0.35">
      <c r="A645" t="s">
        <v>676</v>
      </c>
      <c r="B645" t="s">
        <v>17</v>
      </c>
      <c r="C645" t="s">
        <v>15</v>
      </c>
      <c r="D645" t="s">
        <v>16</v>
      </c>
      <c r="E645">
        <v>7</v>
      </c>
      <c r="F645" t="s">
        <v>38</v>
      </c>
      <c r="G645" t="s">
        <v>937</v>
      </c>
      <c r="H645" s="1">
        <v>43900</v>
      </c>
    </row>
    <row r="646" spans="1:8" x14ac:dyDescent="0.35">
      <c r="A646" t="s">
        <v>677</v>
      </c>
      <c r="B646" t="s">
        <v>17</v>
      </c>
      <c r="C646" t="s">
        <v>36</v>
      </c>
      <c r="D646" t="s">
        <v>16</v>
      </c>
      <c r="E646">
        <v>9</v>
      </c>
      <c r="F646" t="s">
        <v>38</v>
      </c>
      <c r="G646" t="s">
        <v>937</v>
      </c>
      <c r="H646" s="1">
        <v>44986</v>
      </c>
    </row>
    <row r="647" spans="1:8" x14ac:dyDescent="0.35">
      <c r="A647" t="s">
        <v>678</v>
      </c>
      <c r="B647" t="s">
        <v>22</v>
      </c>
      <c r="C647" t="s">
        <v>30</v>
      </c>
      <c r="D647" t="s">
        <v>16</v>
      </c>
      <c r="E647">
        <v>13</v>
      </c>
      <c r="F647" t="s">
        <v>38</v>
      </c>
      <c r="G647" t="s">
        <v>937</v>
      </c>
      <c r="H647" s="1">
        <v>45186</v>
      </c>
    </row>
    <row r="648" spans="1:8" x14ac:dyDescent="0.35">
      <c r="A648" t="s">
        <v>679</v>
      </c>
      <c r="B648" t="s">
        <v>17</v>
      </c>
      <c r="C648" t="s">
        <v>30</v>
      </c>
      <c r="D648" t="s">
        <v>21</v>
      </c>
      <c r="E648">
        <v>5</v>
      </c>
      <c r="F648" t="s">
        <v>32</v>
      </c>
      <c r="G648" t="s">
        <v>938</v>
      </c>
      <c r="H648" s="1">
        <v>42802</v>
      </c>
    </row>
    <row r="649" spans="1:8" x14ac:dyDescent="0.35">
      <c r="A649" t="s">
        <v>680</v>
      </c>
      <c r="B649" t="s">
        <v>17</v>
      </c>
      <c r="C649" t="s">
        <v>30</v>
      </c>
      <c r="D649" t="s">
        <v>21</v>
      </c>
      <c r="E649">
        <v>9</v>
      </c>
      <c r="F649" t="s">
        <v>71</v>
      </c>
      <c r="G649" t="s">
        <v>938</v>
      </c>
      <c r="H649" s="1">
        <v>43016</v>
      </c>
    </row>
    <row r="650" spans="1:8" x14ac:dyDescent="0.35">
      <c r="A650" t="s">
        <v>681</v>
      </c>
      <c r="B650" t="s">
        <v>17</v>
      </c>
      <c r="C650" t="s">
        <v>27</v>
      </c>
      <c r="D650" t="s">
        <v>21</v>
      </c>
      <c r="E650">
        <v>14</v>
      </c>
      <c r="F650" t="s">
        <v>32</v>
      </c>
      <c r="G650" t="s">
        <v>938</v>
      </c>
      <c r="H650" s="1">
        <v>44279</v>
      </c>
    </row>
    <row r="651" spans="1:8" x14ac:dyDescent="0.35">
      <c r="A651" t="s">
        <v>682</v>
      </c>
      <c r="B651" t="s">
        <v>22</v>
      </c>
      <c r="C651" t="s">
        <v>30</v>
      </c>
      <c r="D651" t="s">
        <v>16</v>
      </c>
      <c r="E651">
        <v>11</v>
      </c>
      <c r="F651" t="s">
        <v>28</v>
      </c>
      <c r="G651" t="s">
        <v>937</v>
      </c>
      <c r="H651" s="1">
        <v>45644</v>
      </c>
    </row>
    <row r="652" spans="1:8" x14ac:dyDescent="0.35">
      <c r="A652" t="s">
        <v>683</v>
      </c>
      <c r="B652" t="s">
        <v>17</v>
      </c>
      <c r="C652" t="s">
        <v>30</v>
      </c>
      <c r="D652" t="s">
        <v>34</v>
      </c>
      <c r="E652">
        <v>14</v>
      </c>
      <c r="F652" t="s">
        <v>45</v>
      </c>
      <c r="G652" t="s">
        <v>938</v>
      </c>
      <c r="H652" s="1">
        <v>43079</v>
      </c>
    </row>
    <row r="653" spans="1:8" x14ac:dyDescent="0.35">
      <c r="A653" t="s">
        <v>684</v>
      </c>
      <c r="B653" t="s">
        <v>22</v>
      </c>
      <c r="C653" t="s">
        <v>30</v>
      </c>
      <c r="D653" t="s">
        <v>44</v>
      </c>
      <c r="E653">
        <v>7</v>
      </c>
      <c r="F653" t="s">
        <v>18</v>
      </c>
      <c r="G653" t="s">
        <v>937</v>
      </c>
      <c r="H653" s="1">
        <v>44484</v>
      </c>
    </row>
    <row r="654" spans="1:8" x14ac:dyDescent="0.35">
      <c r="A654" t="s">
        <v>685</v>
      </c>
      <c r="B654" t="s">
        <v>17</v>
      </c>
      <c r="C654" t="s">
        <v>30</v>
      </c>
      <c r="D654" t="s">
        <v>44</v>
      </c>
      <c r="E654">
        <v>6</v>
      </c>
      <c r="F654" t="s">
        <v>38</v>
      </c>
      <c r="G654" t="s">
        <v>937</v>
      </c>
      <c r="H654" s="1">
        <v>42687</v>
      </c>
    </row>
    <row r="655" spans="1:8" x14ac:dyDescent="0.35">
      <c r="A655" t="s">
        <v>686</v>
      </c>
      <c r="B655" t="s">
        <v>22</v>
      </c>
      <c r="C655" t="s">
        <v>36</v>
      </c>
      <c r="D655" t="s">
        <v>44</v>
      </c>
      <c r="E655">
        <v>2</v>
      </c>
      <c r="F655" t="s">
        <v>38</v>
      </c>
      <c r="G655" t="s">
        <v>937</v>
      </c>
      <c r="H655" s="1">
        <v>43758</v>
      </c>
    </row>
    <row r="656" spans="1:8" x14ac:dyDescent="0.35">
      <c r="A656" t="s">
        <v>687</v>
      </c>
      <c r="B656" t="s">
        <v>22</v>
      </c>
      <c r="C656" t="s">
        <v>30</v>
      </c>
      <c r="D656" t="s">
        <v>21</v>
      </c>
      <c r="E656">
        <v>6</v>
      </c>
      <c r="F656" t="s">
        <v>38</v>
      </c>
      <c r="G656" t="s">
        <v>937</v>
      </c>
      <c r="H656" s="1">
        <v>43577</v>
      </c>
    </row>
    <row r="657" spans="1:8" x14ac:dyDescent="0.35">
      <c r="A657" t="s">
        <v>688</v>
      </c>
      <c r="B657" t="s">
        <v>17</v>
      </c>
      <c r="C657" t="s">
        <v>20</v>
      </c>
      <c r="D657" t="s">
        <v>21</v>
      </c>
      <c r="E657">
        <v>7</v>
      </c>
      <c r="F657" t="s">
        <v>45</v>
      </c>
      <c r="G657" t="s">
        <v>938</v>
      </c>
      <c r="H657" s="1">
        <v>43162</v>
      </c>
    </row>
    <row r="658" spans="1:8" x14ac:dyDescent="0.35">
      <c r="A658" t="s">
        <v>689</v>
      </c>
      <c r="B658" t="s">
        <v>22</v>
      </c>
      <c r="C658" t="s">
        <v>20</v>
      </c>
      <c r="D658" t="s">
        <v>34</v>
      </c>
      <c r="E658">
        <v>7</v>
      </c>
      <c r="F658" t="s">
        <v>18</v>
      </c>
      <c r="G658" t="s">
        <v>937</v>
      </c>
      <c r="H658" s="1">
        <v>42308</v>
      </c>
    </row>
    <row r="659" spans="1:8" x14ac:dyDescent="0.35">
      <c r="A659" t="s">
        <v>690</v>
      </c>
      <c r="B659" t="s">
        <v>22</v>
      </c>
      <c r="C659" t="s">
        <v>27</v>
      </c>
      <c r="D659" t="s">
        <v>16</v>
      </c>
      <c r="E659">
        <v>6</v>
      </c>
      <c r="F659" t="s">
        <v>25</v>
      </c>
      <c r="G659" t="s">
        <v>937</v>
      </c>
      <c r="H659" s="1">
        <v>42505</v>
      </c>
    </row>
    <row r="660" spans="1:8" x14ac:dyDescent="0.35">
      <c r="A660" t="s">
        <v>691</v>
      </c>
      <c r="B660" t="s">
        <v>17</v>
      </c>
      <c r="C660" t="s">
        <v>30</v>
      </c>
      <c r="D660" t="s">
        <v>34</v>
      </c>
      <c r="E660">
        <v>15</v>
      </c>
      <c r="F660" t="s">
        <v>18</v>
      </c>
      <c r="G660" t="s">
        <v>937</v>
      </c>
      <c r="H660" s="1">
        <v>42395</v>
      </c>
    </row>
    <row r="661" spans="1:8" x14ac:dyDescent="0.35">
      <c r="A661" t="s">
        <v>692</v>
      </c>
      <c r="B661" t="s">
        <v>22</v>
      </c>
      <c r="C661" t="s">
        <v>27</v>
      </c>
      <c r="D661" t="s">
        <v>16</v>
      </c>
      <c r="E661">
        <v>0</v>
      </c>
      <c r="F661" t="s">
        <v>28</v>
      </c>
      <c r="G661" t="s">
        <v>937</v>
      </c>
      <c r="H661" s="1">
        <v>43927</v>
      </c>
    </row>
    <row r="662" spans="1:8" x14ac:dyDescent="0.35">
      <c r="A662" t="s">
        <v>693</v>
      </c>
      <c r="B662" t="s">
        <v>22</v>
      </c>
      <c r="C662" t="s">
        <v>30</v>
      </c>
      <c r="D662" t="s">
        <v>34</v>
      </c>
      <c r="E662">
        <v>2</v>
      </c>
      <c r="F662" t="s">
        <v>32</v>
      </c>
      <c r="G662" t="s">
        <v>938</v>
      </c>
      <c r="H662" s="1">
        <v>44271</v>
      </c>
    </row>
    <row r="663" spans="1:8" x14ac:dyDescent="0.35">
      <c r="A663" t="s">
        <v>694</v>
      </c>
      <c r="B663" t="s">
        <v>17</v>
      </c>
      <c r="C663" t="s">
        <v>20</v>
      </c>
      <c r="D663" t="s">
        <v>16</v>
      </c>
      <c r="E663">
        <v>13</v>
      </c>
      <c r="F663" t="s">
        <v>28</v>
      </c>
      <c r="G663" t="s">
        <v>937</v>
      </c>
      <c r="H663" s="1">
        <v>44350</v>
      </c>
    </row>
    <row r="664" spans="1:8" x14ac:dyDescent="0.35">
      <c r="A664" t="s">
        <v>695</v>
      </c>
      <c r="B664" t="s">
        <v>22</v>
      </c>
      <c r="C664" t="s">
        <v>15</v>
      </c>
      <c r="D664" t="s">
        <v>16</v>
      </c>
      <c r="E664">
        <v>11</v>
      </c>
      <c r="F664" t="s">
        <v>18</v>
      </c>
      <c r="G664" t="s">
        <v>937</v>
      </c>
      <c r="H664" s="1">
        <v>43957</v>
      </c>
    </row>
    <row r="665" spans="1:8" x14ac:dyDescent="0.35">
      <c r="A665" t="s">
        <v>696</v>
      </c>
      <c r="B665" t="s">
        <v>17</v>
      </c>
      <c r="C665" t="s">
        <v>27</v>
      </c>
      <c r="D665" t="s">
        <v>34</v>
      </c>
      <c r="E665">
        <v>7</v>
      </c>
      <c r="F665" t="s">
        <v>45</v>
      </c>
      <c r="G665" t="s">
        <v>938</v>
      </c>
      <c r="H665" s="1">
        <v>43708</v>
      </c>
    </row>
    <row r="666" spans="1:8" x14ac:dyDescent="0.35">
      <c r="A666" t="s">
        <v>697</v>
      </c>
      <c r="B666" t="s">
        <v>22</v>
      </c>
      <c r="C666" t="s">
        <v>27</v>
      </c>
      <c r="D666" t="s">
        <v>44</v>
      </c>
      <c r="E666">
        <v>0</v>
      </c>
      <c r="F666" t="s">
        <v>28</v>
      </c>
      <c r="G666" t="s">
        <v>937</v>
      </c>
      <c r="H666" s="1">
        <v>44141</v>
      </c>
    </row>
    <row r="667" spans="1:8" x14ac:dyDescent="0.35">
      <c r="A667" t="s">
        <v>698</v>
      </c>
      <c r="B667" t="s">
        <v>17</v>
      </c>
      <c r="C667" t="s">
        <v>15</v>
      </c>
      <c r="D667" t="s">
        <v>34</v>
      </c>
      <c r="E667">
        <v>13</v>
      </c>
      <c r="F667" t="s">
        <v>23</v>
      </c>
      <c r="G667" t="s">
        <v>938</v>
      </c>
      <c r="H667" s="1">
        <v>43589</v>
      </c>
    </row>
    <row r="668" spans="1:8" x14ac:dyDescent="0.35">
      <c r="A668" t="s">
        <v>699</v>
      </c>
      <c r="B668" t="s">
        <v>22</v>
      </c>
      <c r="C668" t="s">
        <v>36</v>
      </c>
      <c r="D668" t="s">
        <v>16</v>
      </c>
      <c r="E668">
        <v>15</v>
      </c>
      <c r="F668" t="s">
        <v>71</v>
      </c>
      <c r="G668" t="s">
        <v>938</v>
      </c>
      <c r="H668" s="1">
        <v>45197</v>
      </c>
    </row>
    <row r="669" spans="1:8" x14ac:dyDescent="0.35">
      <c r="A669" t="s">
        <v>700</v>
      </c>
      <c r="B669" t="s">
        <v>22</v>
      </c>
      <c r="C669" t="s">
        <v>36</v>
      </c>
      <c r="D669" t="s">
        <v>34</v>
      </c>
      <c r="E669">
        <v>2</v>
      </c>
      <c r="F669" t="s">
        <v>23</v>
      </c>
      <c r="G669" t="s">
        <v>938</v>
      </c>
      <c r="H669" s="1">
        <v>45632</v>
      </c>
    </row>
    <row r="670" spans="1:8" x14ac:dyDescent="0.35">
      <c r="A670" t="s">
        <v>701</v>
      </c>
      <c r="B670" t="s">
        <v>17</v>
      </c>
      <c r="C670" t="s">
        <v>27</v>
      </c>
      <c r="D670" t="s">
        <v>44</v>
      </c>
      <c r="E670">
        <v>12</v>
      </c>
      <c r="F670" t="s">
        <v>71</v>
      </c>
      <c r="G670" t="s">
        <v>938</v>
      </c>
      <c r="H670" s="1">
        <v>43269</v>
      </c>
    </row>
    <row r="671" spans="1:8" x14ac:dyDescent="0.35">
      <c r="A671" t="s">
        <v>702</v>
      </c>
      <c r="B671" t="s">
        <v>22</v>
      </c>
      <c r="C671" t="s">
        <v>36</v>
      </c>
      <c r="D671" t="s">
        <v>21</v>
      </c>
      <c r="E671">
        <v>8</v>
      </c>
      <c r="F671" t="s">
        <v>18</v>
      </c>
      <c r="G671" t="s">
        <v>937</v>
      </c>
      <c r="H671" s="1">
        <v>43451</v>
      </c>
    </row>
    <row r="672" spans="1:8" x14ac:dyDescent="0.35">
      <c r="A672" t="s">
        <v>703</v>
      </c>
      <c r="B672" t="s">
        <v>17</v>
      </c>
      <c r="C672" t="s">
        <v>20</v>
      </c>
      <c r="D672" t="s">
        <v>16</v>
      </c>
      <c r="E672">
        <v>2</v>
      </c>
      <c r="F672" t="s">
        <v>45</v>
      </c>
      <c r="G672" t="s">
        <v>938</v>
      </c>
      <c r="H672" s="1">
        <v>42860</v>
      </c>
    </row>
    <row r="673" spans="1:8" x14ac:dyDescent="0.35">
      <c r="A673" t="s">
        <v>704</v>
      </c>
      <c r="B673" t="s">
        <v>22</v>
      </c>
      <c r="C673" t="s">
        <v>20</v>
      </c>
      <c r="D673" t="s">
        <v>34</v>
      </c>
      <c r="E673">
        <v>5</v>
      </c>
      <c r="F673" t="s">
        <v>45</v>
      </c>
      <c r="G673" t="s">
        <v>938</v>
      </c>
      <c r="H673" s="1">
        <v>43343</v>
      </c>
    </row>
    <row r="674" spans="1:8" x14ac:dyDescent="0.35">
      <c r="A674" t="s">
        <v>705</v>
      </c>
      <c r="B674" t="s">
        <v>22</v>
      </c>
      <c r="C674" t="s">
        <v>20</v>
      </c>
      <c r="D674" t="s">
        <v>44</v>
      </c>
      <c r="E674">
        <v>13</v>
      </c>
      <c r="F674" t="s">
        <v>18</v>
      </c>
      <c r="G674" t="s">
        <v>937</v>
      </c>
      <c r="H674" s="1">
        <v>43245</v>
      </c>
    </row>
    <row r="675" spans="1:8" x14ac:dyDescent="0.35">
      <c r="A675" t="s">
        <v>706</v>
      </c>
      <c r="B675" t="s">
        <v>22</v>
      </c>
      <c r="C675" t="s">
        <v>15</v>
      </c>
      <c r="D675" t="s">
        <v>21</v>
      </c>
      <c r="E675">
        <v>0</v>
      </c>
      <c r="F675" t="s">
        <v>38</v>
      </c>
      <c r="G675" t="s">
        <v>937</v>
      </c>
      <c r="H675" s="1">
        <v>42678</v>
      </c>
    </row>
    <row r="676" spans="1:8" x14ac:dyDescent="0.35">
      <c r="A676" t="s">
        <v>707</v>
      </c>
      <c r="B676" t="s">
        <v>17</v>
      </c>
      <c r="C676" t="s">
        <v>20</v>
      </c>
      <c r="D676" t="s">
        <v>21</v>
      </c>
      <c r="E676">
        <v>0</v>
      </c>
      <c r="F676" t="s">
        <v>38</v>
      </c>
      <c r="G676" t="s">
        <v>937</v>
      </c>
      <c r="H676" s="1">
        <v>43242</v>
      </c>
    </row>
    <row r="677" spans="1:8" x14ac:dyDescent="0.35">
      <c r="A677" t="s">
        <v>708</v>
      </c>
      <c r="B677" t="s">
        <v>17</v>
      </c>
      <c r="C677" t="s">
        <v>36</v>
      </c>
      <c r="D677" t="s">
        <v>34</v>
      </c>
      <c r="E677">
        <v>4</v>
      </c>
      <c r="F677" t="s">
        <v>32</v>
      </c>
      <c r="G677" t="s">
        <v>938</v>
      </c>
      <c r="H677" s="1">
        <v>45303</v>
      </c>
    </row>
    <row r="678" spans="1:8" x14ac:dyDescent="0.35">
      <c r="A678" t="s">
        <v>709</v>
      </c>
      <c r="B678" t="s">
        <v>17</v>
      </c>
      <c r="C678" t="s">
        <v>15</v>
      </c>
      <c r="D678" t="s">
        <v>16</v>
      </c>
      <c r="E678">
        <v>1</v>
      </c>
      <c r="F678" t="s">
        <v>38</v>
      </c>
      <c r="G678" t="s">
        <v>937</v>
      </c>
      <c r="H678" s="1">
        <v>42480</v>
      </c>
    </row>
    <row r="679" spans="1:8" x14ac:dyDescent="0.35">
      <c r="A679" t="s">
        <v>710</v>
      </c>
      <c r="B679" t="s">
        <v>22</v>
      </c>
      <c r="C679" t="s">
        <v>20</v>
      </c>
      <c r="D679" t="s">
        <v>34</v>
      </c>
      <c r="E679">
        <v>5</v>
      </c>
      <c r="F679" t="s">
        <v>18</v>
      </c>
      <c r="G679" t="s">
        <v>937</v>
      </c>
      <c r="H679" s="1">
        <v>44878</v>
      </c>
    </row>
    <row r="680" spans="1:8" x14ac:dyDescent="0.35">
      <c r="A680" t="s">
        <v>711</v>
      </c>
      <c r="B680" t="s">
        <v>17</v>
      </c>
      <c r="C680" t="s">
        <v>15</v>
      </c>
      <c r="D680" t="s">
        <v>16</v>
      </c>
      <c r="E680">
        <v>5</v>
      </c>
      <c r="F680" t="s">
        <v>23</v>
      </c>
      <c r="G680" t="s">
        <v>938</v>
      </c>
      <c r="H680" s="1">
        <v>44574</v>
      </c>
    </row>
    <row r="681" spans="1:8" x14ac:dyDescent="0.35">
      <c r="A681" t="s">
        <v>712</v>
      </c>
      <c r="B681" t="s">
        <v>17</v>
      </c>
      <c r="C681" t="s">
        <v>36</v>
      </c>
      <c r="D681" t="s">
        <v>44</v>
      </c>
      <c r="E681">
        <v>0</v>
      </c>
      <c r="F681" t="s">
        <v>38</v>
      </c>
      <c r="G681" t="s">
        <v>937</v>
      </c>
      <c r="H681" s="1">
        <v>42664</v>
      </c>
    </row>
    <row r="682" spans="1:8" x14ac:dyDescent="0.35">
      <c r="A682" t="s">
        <v>713</v>
      </c>
      <c r="B682" t="s">
        <v>17</v>
      </c>
      <c r="C682" t="s">
        <v>27</v>
      </c>
      <c r="D682" t="s">
        <v>34</v>
      </c>
      <c r="E682">
        <v>4</v>
      </c>
      <c r="F682" t="s">
        <v>23</v>
      </c>
      <c r="G682" t="s">
        <v>938</v>
      </c>
      <c r="H682" s="1">
        <v>42842</v>
      </c>
    </row>
    <row r="683" spans="1:8" x14ac:dyDescent="0.35">
      <c r="A683" t="s">
        <v>714</v>
      </c>
      <c r="B683" t="s">
        <v>22</v>
      </c>
      <c r="C683" t="s">
        <v>15</v>
      </c>
      <c r="D683" t="s">
        <v>21</v>
      </c>
      <c r="E683">
        <v>8</v>
      </c>
      <c r="F683" t="s">
        <v>28</v>
      </c>
      <c r="G683" t="s">
        <v>937</v>
      </c>
      <c r="H683" s="1">
        <v>43710</v>
      </c>
    </row>
    <row r="684" spans="1:8" x14ac:dyDescent="0.35">
      <c r="A684" t="s">
        <v>715</v>
      </c>
      <c r="B684" t="s">
        <v>22</v>
      </c>
      <c r="C684" t="s">
        <v>15</v>
      </c>
      <c r="D684" t="s">
        <v>16</v>
      </c>
      <c r="E684">
        <v>7</v>
      </c>
      <c r="F684" t="s">
        <v>28</v>
      </c>
      <c r="G684" t="s">
        <v>937</v>
      </c>
      <c r="H684" s="1">
        <v>42978</v>
      </c>
    </row>
    <row r="685" spans="1:8" x14ac:dyDescent="0.35">
      <c r="A685" t="s">
        <v>716</v>
      </c>
      <c r="B685" t="s">
        <v>17</v>
      </c>
      <c r="C685" t="s">
        <v>15</v>
      </c>
      <c r="D685" t="s">
        <v>16</v>
      </c>
      <c r="E685">
        <v>11</v>
      </c>
      <c r="F685" t="s">
        <v>71</v>
      </c>
      <c r="G685" t="s">
        <v>938</v>
      </c>
      <c r="H685" s="1">
        <v>42852</v>
      </c>
    </row>
    <row r="686" spans="1:8" x14ac:dyDescent="0.35">
      <c r="A686" t="s">
        <v>717</v>
      </c>
      <c r="B686" t="s">
        <v>22</v>
      </c>
      <c r="C686" t="s">
        <v>30</v>
      </c>
      <c r="D686" t="s">
        <v>44</v>
      </c>
      <c r="E686">
        <v>8</v>
      </c>
      <c r="F686" t="s">
        <v>45</v>
      </c>
      <c r="G686" t="s">
        <v>938</v>
      </c>
      <c r="H686" s="1">
        <v>44088</v>
      </c>
    </row>
    <row r="687" spans="1:8" x14ac:dyDescent="0.35">
      <c r="A687" t="s">
        <v>718</v>
      </c>
      <c r="B687" t="s">
        <v>22</v>
      </c>
      <c r="C687" t="s">
        <v>27</v>
      </c>
      <c r="D687" t="s">
        <v>21</v>
      </c>
      <c r="E687">
        <v>10</v>
      </c>
      <c r="F687" t="s">
        <v>38</v>
      </c>
      <c r="G687" t="s">
        <v>937</v>
      </c>
      <c r="H687" s="1">
        <v>45001</v>
      </c>
    </row>
    <row r="688" spans="1:8" x14ac:dyDescent="0.35">
      <c r="A688" t="s">
        <v>719</v>
      </c>
      <c r="B688" t="s">
        <v>17</v>
      </c>
      <c r="C688" t="s">
        <v>15</v>
      </c>
      <c r="D688" t="s">
        <v>21</v>
      </c>
      <c r="E688">
        <v>9</v>
      </c>
      <c r="F688" t="s">
        <v>32</v>
      </c>
      <c r="G688" t="s">
        <v>938</v>
      </c>
      <c r="H688" s="1">
        <v>43091</v>
      </c>
    </row>
    <row r="689" spans="1:8" x14ac:dyDescent="0.35">
      <c r="A689" t="s">
        <v>720</v>
      </c>
      <c r="B689" t="s">
        <v>17</v>
      </c>
      <c r="C689" t="s">
        <v>20</v>
      </c>
      <c r="D689" t="s">
        <v>34</v>
      </c>
      <c r="E689">
        <v>6</v>
      </c>
      <c r="F689" t="s">
        <v>28</v>
      </c>
      <c r="G689" t="s">
        <v>937</v>
      </c>
      <c r="H689" s="1">
        <v>45309</v>
      </c>
    </row>
    <row r="690" spans="1:8" x14ac:dyDescent="0.35">
      <c r="A690" t="s">
        <v>721</v>
      </c>
      <c r="B690" t="s">
        <v>22</v>
      </c>
      <c r="C690" t="s">
        <v>27</v>
      </c>
      <c r="D690" t="s">
        <v>44</v>
      </c>
      <c r="E690">
        <v>1</v>
      </c>
      <c r="F690" t="s">
        <v>18</v>
      </c>
      <c r="G690" t="s">
        <v>937</v>
      </c>
      <c r="H690" s="1">
        <v>43998</v>
      </c>
    </row>
    <row r="691" spans="1:8" x14ac:dyDescent="0.35">
      <c r="A691" t="s">
        <v>722</v>
      </c>
      <c r="B691" t="s">
        <v>22</v>
      </c>
      <c r="C691" t="s">
        <v>36</v>
      </c>
      <c r="D691" t="s">
        <v>21</v>
      </c>
      <c r="E691">
        <v>5</v>
      </c>
      <c r="F691" t="s">
        <v>71</v>
      </c>
      <c r="G691" t="s">
        <v>938</v>
      </c>
      <c r="H691" s="1">
        <v>44459</v>
      </c>
    </row>
    <row r="692" spans="1:8" x14ac:dyDescent="0.35">
      <c r="A692" t="s">
        <v>723</v>
      </c>
      <c r="B692" t="s">
        <v>22</v>
      </c>
      <c r="C692" t="s">
        <v>20</v>
      </c>
      <c r="D692" t="s">
        <v>21</v>
      </c>
      <c r="E692">
        <v>0</v>
      </c>
      <c r="F692" t="s">
        <v>28</v>
      </c>
      <c r="G692" t="s">
        <v>937</v>
      </c>
      <c r="H692" s="1">
        <v>44996</v>
      </c>
    </row>
    <row r="693" spans="1:8" x14ac:dyDescent="0.35">
      <c r="A693" t="s">
        <v>724</v>
      </c>
      <c r="B693" t="s">
        <v>22</v>
      </c>
      <c r="C693" t="s">
        <v>15</v>
      </c>
      <c r="D693" t="s">
        <v>44</v>
      </c>
      <c r="E693">
        <v>7</v>
      </c>
      <c r="F693" t="s">
        <v>32</v>
      </c>
      <c r="G693" t="s">
        <v>938</v>
      </c>
      <c r="H693" s="1">
        <v>42762</v>
      </c>
    </row>
    <row r="694" spans="1:8" x14ac:dyDescent="0.35">
      <c r="A694" t="s">
        <v>725</v>
      </c>
      <c r="B694" t="s">
        <v>17</v>
      </c>
      <c r="C694" t="s">
        <v>15</v>
      </c>
      <c r="D694" t="s">
        <v>44</v>
      </c>
      <c r="E694">
        <v>0</v>
      </c>
      <c r="F694" t="s">
        <v>45</v>
      </c>
      <c r="G694" t="s">
        <v>938</v>
      </c>
      <c r="H694" s="1">
        <v>44008</v>
      </c>
    </row>
    <row r="695" spans="1:8" x14ac:dyDescent="0.35">
      <c r="A695" t="s">
        <v>726</v>
      </c>
      <c r="B695" t="s">
        <v>17</v>
      </c>
      <c r="C695" t="s">
        <v>30</v>
      </c>
      <c r="D695" t="s">
        <v>44</v>
      </c>
      <c r="E695">
        <v>12</v>
      </c>
      <c r="F695" t="s">
        <v>28</v>
      </c>
      <c r="G695" t="s">
        <v>937</v>
      </c>
      <c r="H695" s="1">
        <v>45037</v>
      </c>
    </row>
    <row r="696" spans="1:8" x14ac:dyDescent="0.35">
      <c r="A696" t="s">
        <v>727</v>
      </c>
      <c r="B696" t="s">
        <v>17</v>
      </c>
      <c r="C696" t="s">
        <v>30</v>
      </c>
      <c r="D696" t="s">
        <v>16</v>
      </c>
      <c r="E696">
        <v>14</v>
      </c>
      <c r="F696" t="s">
        <v>32</v>
      </c>
      <c r="G696" t="s">
        <v>938</v>
      </c>
      <c r="H696" s="1">
        <v>43044</v>
      </c>
    </row>
    <row r="697" spans="1:8" x14ac:dyDescent="0.35">
      <c r="A697" t="s">
        <v>728</v>
      </c>
      <c r="B697" t="s">
        <v>17</v>
      </c>
      <c r="C697" t="s">
        <v>27</v>
      </c>
      <c r="D697" t="s">
        <v>34</v>
      </c>
      <c r="E697">
        <v>1</v>
      </c>
      <c r="F697" t="s">
        <v>28</v>
      </c>
      <c r="G697" t="s">
        <v>937</v>
      </c>
      <c r="H697" s="1">
        <v>44207</v>
      </c>
    </row>
    <row r="698" spans="1:8" x14ac:dyDescent="0.35">
      <c r="A698" t="s">
        <v>729</v>
      </c>
      <c r="B698" t="s">
        <v>17</v>
      </c>
      <c r="C698" t="s">
        <v>15</v>
      </c>
      <c r="D698" t="s">
        <v>16</v>
      </c>
      <c r="E698">
        <v>8</v>
      </c>
      <c r="F698" t="s">
        <v>71</v>
      </c>
      <c r="G698" t="s">
        <v>938</v>
      </c>
      <c r="H698" s="1">
        <v>44680</v>
      </c>
    </row>
    <row r="699" spans="1:8" x14ac:dyDescent="0.35">
      <c r="A699" t="s">
        <v>730</v>
      </c>
      <c r="B699" t="s">
        <v>22</v>
      </c>
      <c r="C699" t="s">
        <v>20</v>
      </c>
      <c r="D699" t="s">
        <v>16</v>
      </c>
      <c r="E699">
        <v>5</v>
      </c>
      <c r="F699" t="s">
        <v>45</v>
      </c>
      <c r="G699" t="s">
        <v>938</v>
      </c>
      <c r="H699" s="1">
        <v>43819</v>
      </c>
    </row>
    <row r="700" spans="1:8" x14ac:dyDescent="0.35">
      <c r="A700" t="s">
        <v>731</v>
      </c>
      <c r="B700" t="s">
        <v>22</v>
      </c>
      <c r="C700" t="s">
        <v>20</v>
      </c>
      <c r="D700" t="s">
        <v>44</v>
      </c>
      <c r="E700">
        <v>3</v>
      </c>
      <c r="F700" t="s">
        <v>45</v>
      </c>
      <c r="G700" t="s">
        <v>938</v>
      </c>
      <c r="H700" s="1">
        <v>42096</v>
      </c>
    </row>
    <row r="701" spans="1:8" x14ac:dyDescent="0.35">
      <c r="A701" t="s">
        <v>732</v>
      </c>
      <c r="B701" t="s">
        <v>17</v>
      </c>
      <c r="C701" t="s">
        <v>15</v>
      </c>
      <c r="D701" t="s">
        <v>21</v>
      </c>
      <c r="E701">
        <v>11</v>
      </c>
      <c r="F701" t="s">
        <v>25</v>
      </c>
      <c r="G701" t="s">
        <v>937</v>
      </c>
      <c r="H701" s="1">
        <v>44495</v>
      </c>
    </row>
    <row r="702" spans="1:8" x14ac:dyDescent="0.35">
      <c r="A702" t="s">
        <v>733</v>
      </c>
      <c r="B702" t="s">
        <v>17</v>
      </c>
      <c r="C702" t="s">
        <v>15</v>
      </c>
      <c r="D702" t="s">
        <v>44</v>
      </c>
      <c r="E702">
        <v>8</v>
      </c>
      <c r="F702" t="s">
        <v>32</v>
      </c>
      <c r="G702" t="s">
        <v>938</v>
      </c>
      <c r="H702" s="1">
        <v>42898</v>
      </c>
    </row>
    <row r="703" spans="1:8" x14ac:dyDescent="0.35">
      <c r="A703" t="s">
        <v>734</v>
      </c>
      <c r="B703" t="s">
        <v>22</v>
      </c>
      <c r="C703" t="s">
        <v>36</v>
      </c>
      <c r="D703" t="s">
        <v>44</v>
      </c>
      <c r="E703">
        <v>11</v>
      </c>
      <c r="F703" t="s">
        <v>23</v>
      </c>
      <c r="G703" t="s">
        <v>938</v>
      </c>
      <c r="H703" s="1">
        <v>44038</v>
      </c>
    </row>
    <row r="704" spans="1:8" x14ac:dyDescent="0.35">
      <c r="A704" t="s">
        <v>735</v>
      </c>
      <c r="B704" t="s">
        <v>22</v>
      </c>
      <c r="C704" t="s">
        <v>20</v>
      </c>
      <c r="D704" t="s">
        <v>16</v>
      </c>
      <c r="E704">
        <v>12</v>
      </c>
      <c r="F704" t="s">
        <v>71</v>
      </c>
      <c r="G704" t="s">
        <v>938</v>
      </c>
      <c r="H704" s="1">
        <v>42933</v>
      </c>
    </row>
    <row r="705" spans="1:8" x14ac:dyDescent="0.35">
      <c r="A705" t="s">
        <v>736</v>
      </c>
      <c r="B705" t="s">
        <v>17</v>
      </c>
      <c r="C705" t="s">
        <v>15</v>
      </c>
      <c r="D705" t="s">
        <v>44</v>
      </c>
      <c r="E705">
        <v>5</v>
      </c>
      <c r="F705" t="s">
        <v>25</v>
      </c>
      <c r="G705" t="s">
        <v>937</v>
      </c>
      <c r="H705" s="1">
        <v>44821</v>
      </c>
    </row>
    <row r="706" spans="1:8" x14ac:dyDescent="0.35">
      <c r="A706" t="s">
        <v>737</v>
      </c>
      <c r="B706" t="s">
        <v>17</v>
      </c>
      <c r="C706" t="s">
        <v>15</v>
      </c>
      <c r="D706" t="s">
        <v>21</v>
      </c>
      <c r="E706">
        <v>3</v>
      </c>
      <c r="F706" t="s">
        <v>71</v>
      </c>
      <c r="G706" t="s">
        <v>938</v>
      </c>
      <c r="H706" s="1">
        <v>44299</v>
      </c>
    </row>
    <row r="707" spans="1:8" x14ac:dyDescent="0.35">
      <c r="A707" t="s">
        <v>738</v>
      </c>
      <c r="B707" t="s">
        <v>17</v>
      </c>
      <c r="C707" t="s">
        <v>20</v>
      </c>
      <c r="D707" t="s">
        <v>34</v>
      </c>
      <c r="E707">
        <v>12</v>
      </c>
      <c r="F707" t="s">
        <v>23</v>
      </c>
      <c r="G707" t="s">
        <v>938</v>
      </c>
      <c r="H707" s="1">
        <v>44979</v>
      </c>
    </row>
    <row r="708" spans="1:8" x14ac:dyDescent="0.35">
      <c r="A708" t="s">
        <v>739</v>
      </c>
      <c r="B708" t="s">
        <v>17</v>
      </c>
      <c r="C708" t="s">
        <v>36</v>
      </c>
      <c r="D708" t="s">
        <v>34</v>
      </c>
      <c r="E708">
        <v>1</v>
      </c>
      <c r="F708" t="s">
        <v>28</v>
      </c>
      <c r="G708" t="s">
        <v>937</v>
      </c>
      <c r="H708" s="1">
        <v>42265</v>
      </c>
    </row>
    <row r="709" spans="1:8" x14ac:dyDescent="0.35">
      <c r="A709" t="s">
        <v>740</v>
      </c>
      <c r="B709" t="s">
        <v>17</v>
      </c>
      <c r="C709" t="s">
        <v>15</v>
      </c>
      <c r="D709" t="s">
        <v>21</v>
      </c>
      <c r="E709">
        <v>8</v>
      </c>
      <c r="F709" t="s">
        <v>28</v>
      </c>
      <c r="G709" t="s">
        <v>937</v>
      </c>
      <c r="H709" s="1">
        <v>45616</v>
      </c>
    </row>
    <row r="710" spans="1:8" x14ac:dyDescent="0.35">
      <c r="A710" t="s">
        <v>741</v>
      </c>
      <c r="B710" t="s">
        <v>17</v>
      </c>
      <c r="C710" t="s">
        <v>30</v>
      </c>
      <c r="D710" t="s">
        <v>21</v>
      </c>
      <c r="E710">
        <v>7</v>
      </c>
      <c r="F710" t="s">
        <v>45</v>
      </c>
      <c r="G710" t="s">
        <v>938</v>
      </c>
      <c r="H710" s="1">
        <v>45151</v>
      </c>
    </row>
    <row r="711" spans="1:8" x14ac:dyDescent="0.35">
      <c r="A711" t="s">
        <v>742</v>
      </c>
      <c r="B711" t="s">
        <v>17</v>
      </c>
      <c r="C711" t="s">
        <v>15</v>
      </c>
      <c r="D711" t="s">
        <v>34</v>
      </c>
      <c r="E711">
        <v>8</v>
      </c>
      <c r="F711" t="s">
        <v>18</v>
      </c>
      <c r="G711" t="s">
        <v>937</v>
      </c>
      <c r="H711" s="1">
        <v>44947</v>
      </c>
    </row>
    <row r="712" spans="1:8" x14ac:dyDescent="0.35">
      <c r="A712" t="s">
        <v>743</v>
      </c>
      <c r="B712" t="s">
        <v>17</v>
      </c>
      <c r="C712" t="s">
        <v>36</v>
      </c>
      <c r="D712" t="s">
        <v>34</v>
      </c>
      <c r="E712">
        <v>12</v>
      </c>
      <c r="F712" t="s">
        <v>25</v>
      </c>
      <c r="G712" t="s">
        <v>937</v>
      </c>
      <c r="H712" s="1">
        <v>44454</v>
      </c>
    </row>
    <row r="713" spans="1:8" x14ac:dyDescent="0.35">
      <c r="A713" t="s">
        <v>744</v>
      </c>
      <c r="B713" t="s">
        <v>17</v>
      </c>
      <c r="C713" t="s">
        <v>30</v>
      </c>
      <c r="D713" t="s">
        <v>34</v>
      </c>
      <c r="E713">
        <v>6</v>
      </c>
      <c r="F713" t="s">
        <v>38</v>
      </c>
      <c r="G713" t="s">
        <v>937</v>
      </c>
      <c r="H713" s="1">
        <v>43386</v>
      </c>
    </row>
    <row r="714" spans="1:8" x14ac:dyDescent="0.35">
      <c r="A714" t="s">
        <v>745</v>
      </c>
      <c r="B714" t="s">
        <v>22</v>
      </c>
      <c r="C714" t="s">
        <v>27</v>
      </c>
      <c r="D714" t="s">
        <v>34</v>
      </c>
      <c r="E714">
        <v>7</v>
      </c>
      <c r="F714" t="s">
        <v>71</v>
      </c>
      <c r="G714" t="s">
        <v>938</v>
      </c>
      <c r="H714" s="1">
        <v>43091</v>
      </c>
    </row>
    <row r="715" spans="1:8" x14ac:dyDescent="0.35">
      <c r="A715" t="s">
        <v>746</v>
      </c>
      <c r="B715" t="s">
        <v>17</v>
      </c>
      <c r="C715" t="s">
        <v>27</v>
      </c>
      <c r="D715" t="s">
        <v>34</v>
      </c>
      <c r="E715">
        <v>11</v>
      </c>
      <c r="F715" t="s">
        <v>18</v>
      </c>
      <c r="G715" t="s">
        <v>937</v>
      </c>
      <c r="H715" s="1">
        <v>44383</v>
      </c>
    </row>
    <row r="716" spans="1:8" x14ac:dyDescent="0.35">
      <c r="A716" t="s">
        <v>747</v>
      </c>
      <c r="B716" t="s">
        <v>17</v>
      </c>
      <c r="C716" t="s">
        <v>36</v>
      </c>
      <c r="D716" t="s">
        <v>21</v>
      </c>
      <c r="E716">
        <v>5</v>
      </c>
      <c r="F716" t="s">
        <v>38</v>
      </c>
      <c r="G716" t="s">
        <v>937</v>
      </c>
      <c r="H716" s="1">
        <v>43201</v>
      </c>
    </row>
    <row r="717" spans="1:8" x14ac:dyDescent="0.35">
      <c r="A717" t="s">
        <v>748</v>
      </c>
      <c r="B717" t="s">
        <v>22</v>
      </c>
      <c r="C717" t="s">
        <v>30</v>
      </c>
      <c r="D717" t="s">
        <v>21</v>
      </c>
      <c r="E717">
        <v>8</v>
      </c>
      <c r="F717" t="s">
        <v>45</v>
      </c>
      <c r="G717" t="s">
        <v>938</v>
      </c>
      <c r="H717" s="1">
        <v>44573</v>
      </c>
    </row>
    <row r="718" spans="1:8" x14ac:dyDescent="0.35">
      <c r="A718" t="s">
        <v>749</v>
      </c>
      <c r="B718" t="s">
        <v>22</v>
      </c>
      <c r="C718" t="s">
        <v>36</v>
      </c>
      <c r="D718" t="s">
        <v>44</v>
      </c>
      <c r="E718">
        <v>3</v>
      </c>
      <c r="F718" t="s">
        <v>45</v>
      </c>
      <c r="G718" t="s">
        <v>938</v>
      </c>
      <c r="H718" s="1">
        <v>43492</v>
      </c>
    </row>
    <row r="719" spans="1:8" x14ac:dyDescent="0.35">
      <c r="A719" t="s">
        <v>750</v>
      </c>
      <c r="B719" t="s">
        <v>17</v>
      </c>
      <c r="C719" t="s">
        <v>20</v>
      </c>
      <c r="D719" t="s">
        <v>34</v>
      </c>
      <c r="E719">
        <v>5</v>
      </c>
      <c r="F719" t="s">
        <v>45</v>
      </c>
      <c r="G719" t="s">
        <v>938</v>
      </c>
      <c r="H719" s="1">
        <v>42336</v>
      </c>
    </row>
    <row r="720" spans="1:8" x14ac:dyDescent="0.35">
      <c r="A720" t="s">
        <v>751</v>
      </c>
      <c r="B720" t="s">
        <v>17</v>
      </c>
      <c r="C720" t="s">
        <v>15</v>
      </c>
      <c r="D720" t="s">
        <v>34</v>
      </c>
      <c r="E720">
        <v>12</v>
      </c>
      <c r="F720" t="s">
        <v>32</v>
      </c>
      <c r="G720" t="s">
        <v>938</v>
      </c>
      <c r="H720" s="1">
        <v>43828</v>
      </c>
    </row>
    <row r="721" spans="1:8" x14ac:dyDescent="0.35">
      <c r="A721" t="s">
        <v>752</v>
      </c>
      <c r="B721" t="s">
        <v>17</v>
      </c>
      <c r="C721" t="s">
        <v>27</v>
      </c>
      <c r="D721" t="s">
        <v>34</v>
      </c>
      <c r="E721">
        <v>11</v>
      </c>
      <c r="F721" t="s">
        <v>45</v>
      </c>
      <c r="G721" t="s">
        <v>938</v>
      </c>
      <c r="H721" s="1">
        <v>42898</v>
      </c>
    </row>
    <row r="722" spans="1:8" x14ac:dyDescent="0.35">
      <c r="A722" t="s">
        <v>753</v>
      </c>
      <c r="B722" t="s">
        <v>17</v>
      </c>
      <c r="C722" t="s">
        <v>30</v>
      </c>
      <c r="D722" t="s">
        <v>44</v>
      </c>
      <c r="E722">
        <v>8</v>
      </c>
      <c r="F722" t="s">
        <v>23</v>
      </c>
      <c r="G722" t="s">
        <v>938</v>
      </c>
      <c r="H722" s="1">
        <v>45610</v>
      </c>
    </row>
    <row r="723" spans="1:8" x14ac:dyDescent="0.35">
      <c r="A723" t="s">
        <v>754</v>
      </c>
      <c r="B723" t="s">
        <v>17</v>
      </c>
      <c r="C723" t="s">
        <v>15</v>
      </c>
      <c r="D723" t="s">
        <v>16</v>
      </c>
      <c r="E723">
        <v>3</v>
      </c>
      <c r="F723" t="s">
        <v>38</v>
      </c>
      <c r="G723" t="s">
        <v>937</v>
      </c>
      <c r="H723" s="1">
        <v>45208</v>
      </c>
    </row>
    <row r="724" spans="1:8" x14ac:dyDescent="0.35">
      <c r="A724" t="s">
        <v>755</v>
      </c>
      <c r="B724" t="s">
        <v>17</v>
      </c>
      <c r="C724" t="s">
        <v>27</v>
      </c>
      <c r="D724" t="s">
        <v>21</v>
      </c>
      <c r="E724">
        <v>15</v>
      </c>
      <c r="F724" t="s">
        <v>32</v>
      </c>
      <c r="G724" t="s">
        <v>938</v>
      </c>
      <c r="H724" s="1">
        <v>44924</v>
      </c>
    </row>
    <row r="725" spans="1:8" x14ac:dyDescent="0.35">
      <c r="A725" t="s">
        <v>756</v>
      </c>
      <c r="B725" t="s">
        <v>17</v>
      </c>
      <c r="C725" t="s">
        <v>20</v>
      </c>
      <c r="D725" t="s">
        <v>34</v>
      </c>
      <c r="E725">
        <v>14</v>
      </c>
      <c r="F725" t="s">
        <v>45</v>
      </c>
      <c r="G725" t="s">
        <v>938</v>
      </c>
      <c r="H725" s="1">
        <v>44977</v>
      </c>
    </row>
    <row r="726" spans="1:8" x14ac:dyDescent="0.35">
      <c r="A726" t="s">
        <v>757</v>
      </c>
      <c r="B726" t="s">
        <v>22</v>
      </c>
      <c r="C726" t="s">
        <v>36</v>
      </c>
      <c r="D726" t="s">
        <v>16</v>
      </c>
      <c r="E726">
        <v>0</v>
      </c>
      <c r="F726" t="s">
        <v>71</v>
      </c>
      <c r="G726" t="s">
        <v>938</v>
      </c>
      <c r="H726" s="1">
        <v>43039</v>
      </c>
    </row>
    <row r="727" spans="1:8" x14ac:dyDescent="0.35">
      <c r="A727" t="s">
        <v>758</v>
      </c>
      <c r="B727" t="s">
        <v>22</v>
      </c>
      <c r="C727" t="s">
        <v>30</v>
      </c>
      <c r="D727" t="s">
        <v>44</v>
      </c>
      <c r="E727">
        <v>3</v>
      </c>
      <c r="F727" t="s">
        <v>38</v>
      </c>
      <c r="G727" t="s">
        <v>937</v>
      </c>
      <c r="H727" s="1">
        <v>42986</v>
      </c>
    </row>
    <row r="728" spans="1:8" x14ac:dyDescent="0.35">
      <c r="A728" t="s">
        <v>759</v>
      </c>
      <c r="B728" t="s">
        <v>17</v>
      </c>
      <c r="C728" t="s">
        <v>20</v>
      </c>
      <c r="D728" t="s">
        <v>21</v>
      </c>
      <c r="E728">
        <v>15</v>
      </c>
      <c r="F728" t="s">
        <v>45</v>
      </c>
      <c r="G728" t="s">
        <v>938</v>
      </c>
      <c r="H728" s="1">
        <v>45005</v>
      </c>
    </row>
    <row r="729" spans="1:8" x14ac:dyDescent="0.35">
      <c r="A729" t="s">
        <v>760</v>
      </c>
      <c r="B729" t="s">
        <v>22</v>
      </c>
      <c r="C729" t="s">
        <v>20</v>
      </c>
      <c r="D729" t="s">
        <v>16</v>
      </c>
      <c r="E729">
        <v>13</v>
      </c>
      <c r="F729" t="s">
        <v>32</v>
      </c>
      <c r="G729" t="s">
        <v>938</v>
      </c>
      <c r="H729" s="1">
        <v>44587</v>
      </c>
    </row>
    <row r="730" spans="1:8" x14ac:dyDescent="0.35">
      <c r="A730" t="s">
        <v>761</v>
      </c>
      <c r="B730" t="s">
        <v>22</v>
      </c>
      <c r="C730" t="s">
        <v>20</v>
      </c>
      <c r="D730" t="s">
        <v>16</v>
      </c>
      <c r="E730">
        <v>15</v>
      </c>
      <c r="F730" t="s">
        <v>23</v>
      </c>
      <c r="G730" t="s">
        <v>938</v>
      </c>
      <c r="H730" s="1">
        <v>42347</v>
      </c>
    </row>
    <row r="731" spans="1:8" x14ac:dyDescent="0.35">
      <c r="A731" t="s">
        <v>762</v>
      </c>
      <c r="B731" t="s">
        <v>17</v>
      </c>
      <c r="C731" t="s">
        <v>20</v>
      </c>
      <c r="D731" t="s">
        <v>21</v>
      </c>
      <c r="E731">
        <v>1</v>
      </c>
      <c r="F731" t="s">
        <v>23</v>
      </c>
      <c r="G731" t="s">
        <v>938</v>
      </c>
      <c r="H731" s="1">
        <v>43441</v>
      </c>
    </row>
    <row r="732" spans="1:8" x14ac:dyDescent="0.35">
      <c r="A732" t="s">
        <v>763</v>
      </c>
      <c r="B732" t="s">
        <v>17</v>
      </c>
      <c r="C732" t="s">
        <v>15</v>
      </c>
      <c r="D732" t="s">
        <v>21</v>
      </c>
      <c r="E732">
        <v>12</v>
      </c>
      <c r="F732" t="s">
        <v>25</v>
      </c>
      <c r="G732" t="s">
        <v>937</v>
      </c>
      <c r="H732" s="1">
        <v>43982</v>
      </c>
    </row>
    <row r="733" spans="1:8" x14ac:dyDescent="0.35">
      <c r="A733" t="s">
        <v>764</v>
      </c>
      <c r="B733" t="s">
        <v>22</v>
      </c>
      <c r="C733" t="s">
        <v>15</v>
      </c>
      <c r="D733" t="s">
        <v>16</v>
      </c>
      <c r="E733">
        <v>9</v>
      </c>
      <c r="F733" t="s">
        <v>18</v>
      </c>
      <c r="G733" t="s">
        <v>937</v>
      </c>
      <c r="H733" s="1">
        <v>45165</v>
      </c>
    </row>
    <row r="734" spans="1:8" x14ac:dyDescent="0.35">
      <c r="A734" t="s">
        <v>765</v>
      </c>
      <c r="B734" t="s">
        <v>17</v>
      </c>
      <c r="C734" t="s">
        <v>15</v>
      </c>
      <c r="D734" t="s">
        <v>21</v>
      </c>
      <c r="E734">
        <v>0</v>
      </c>
      <c r="F734" t="s">
        <v>25</v>
      </c>
      <c r="G734" t="s">
        <v>937</v>
      </c>
      <c r="H734" s="1">
        <v>42815</v>
      </c>
    </row>
    <row r="735" spans="1:8" x14ac:dyDescent="0.35">
      <c r="A735" t="s">
        <v>766</v>
      </c>
      <c r="B735" t="s">
        <v>22</v>
      </c>
      <c r="C735" t="s">
        <v>20</v>
      </c>
      <c r="D735" t="s">
        <v>21</v>
      </c>
      <c r="E735">
        <v>10</v>
      </c>
      <c r="F735" t="s">
        <v>28</v>
      </c>
      <c r="G735" t="s">
        <v>937</v>
      </c>
      <c r="H735" s="1">
        <v>42285</v>
      </c>
    </row>
    <row r="736" spans="1:8" x14ac:dyDescent="0.35">
      <c r="A736" t="s">
        <v>767</v>
      </c>
      <c r="B736" t="s">
        <v>17</v>
      </c>
      <c r="C736" t="s">
        <v>30</v>
      </c>
      <c r="D736" t="s">
        <v>21</v>
      </c>
      <c r="E736">
        <v>9</v>
      </c>
      <c r="F736" t="s">
        <v>32</v>
      </c>
      <c r="G736" t="s">
        <v>938</v>
      </c>
      <c r="H736" s="1">
        <v>44593</v>
      </c>
    </row>
    <row r="737" spans="1:8" x14ac:dyDescent="0.35">
      <c r="A737" t="s">
        <v>768</v>
      </c>
      <c r="B737" t="s">
        <v>17</v>
      </c>
      <c r="C737" t="s">
        <v>15</v>
      </c>
      <c r="D737" t="s">
        <v>16</v>
      </c>
      <c r="E737">
        <v>0</v>
      </c>
      <c r="F737" t="s">
        <v>23</v>
      </c>
      <c r="G737" t="s">
        <v>938</v>
      </c>
      <c r="H737" s="1">
        <v>45073</v>
      </c>
    </row>
    <row r="738" spans="1:8" x14ac:dyDescent="0.35">
      <c r="A738" t="s">
        <v>769</v>
      </c>
      <c r="B738" t="s">
        <v>17</v>
      </c>
      <c r="C738" t="s">
        <v>30</v>
      </c>
      <c r="D738" t="s">
        <v>21</v>
      </c>
      <c r="E738">
        <v>15</v>
      </c>
      <c r="F738" t="s">
        <v>28</v>
      </c>
      <c r="G738" t="s">
        <v>937</v>
      </c>
      <c r="H738" s="1">
        <v>42393</v>
      </c>
    </row>
    <row r="739" spans="1:8" x14ac:dyDescent="0.35">
      <c r="A739" t="s">
        <v>770</v>
      </c>
      <c r="B739" t="s">
        <v>22</v>
      </c>
      <c r="C739" t="s">
        <v>30</v>
      </c>
      <c r="D739" t="s">
        <v>21</v>
      </c>
      <c r="E739">
        <v>15</v>
      </c>
      <c r="F739" t="s">
        <v>38</v>
      </c>
      <c r="G739" t="s">
        <v>937</v>
      </c>
      <c r="H739" s="1">
        <v>44938</v>
      </c>
    </row>
    <row r="740" spans="1:8" x14ac:dyDescent="0.35">
      <c r="A740" t="s">
        <v>771</v>
      </c>
      <c r="B740" t="s">
        <v>17</v>
      </c>
      <c r="C740" t="s">
        <v>27</v>
      </c>
      <c r="D740" t="s">
        <v>21</v>
      </c>
      <c r="E740">
        <v>13</v>
      </c>
      <c r="F740" t="s">
        <v>38</v>
      </c>
      <c r="G740" t="s">
        <v>937</v>
      </c>
      <c r="H740" s="1">
        <v>44542</v>
      </c>
    </row>
    <row r="741" spans="1:8" x14ac:dyDescent="0.35">
      <c r="A741" t="s">
        <v>772</v>
      </c>
      <c r="B741" t="s">
        <v>17</v>
      </c>
      <c r="C741" t="s">
        <v>15</v>
      </c>
      <c r="D741" t="s">
        <v>21</v>
      </c>
      <c r="E741">
        <v>8</v>
      </c>
      <c r="F741" t="s">
        <v>45</v>
      </c>
      <c r="G741" t="s">
        <v>938</v>
      </c>
      <c r="H741" s="1">
        <v>42532</v>
      </c>
    </row>
    <row r="742" spans="1:8" x14ac:dyDescent="0.35">
      <c r="A742" t="s">
        <v>773</v>
      </c>
      <c r="B742" t="s">
        <v>22</v>
      </c>
      <c r="C742" t="s">
        <v>30</v>
      </c>
      <c r="D742" t="s">
        <v>21</v>
      </c>
      <c r="E742">
        <v>8</v>
      </c>
      <c r="F742" t="s">
        <v>18</v>
      </c>
      <c r="G742" t="s">
        <v>937</v>
      </c>
      <c r="H742" s="1">
        <v>43703</v>
      </c>
    </row>
    <row r="743" spans="1:8" x14ac:dyDescent="0.35">
      <c r="A743" t="s">
        <v>774</v>
      </c>
      <c r="B743" t="s">
        <v>17</v>
      </c>
      <c r="C743" t="s">
        <v>27</v>
      </c>
      <c r="D743" t="s">
        <v>34</v>
      </c>
      <c r="E743">
        <v>5</v>
      </c>
      <c r="F743" t="s">
        <v>32</v>
      </c>
      <c r="G743" t="s">
        <v>938</v>
      </c>
      <c r="H743" s="1">
        <v>42328</v>
      </c>
    </row>
    <row r="744" spans="1:8" x14ac:dyDescent="0.35">
      <c r="A744" t="s">
        <v>775</v>
      </c>
      <c r="B744" t="s">
        <v>22</v>
      </c>
      <c r="C744" t="s">
        <v>30</v>
      </c>
      <c r="D744" t="s">
        <v>21</v>
      </c>
      <c r="E744">
        <v>13</v>
      </c>
      <c r="F744" t="s">
        <v>45</v>
      </c>
      <c r="G744" t="s">
        <v>938</v>
      </c>
      <c r="H744" s="1">
        <v>44655</v>
      </c>
    </row>
    <row r="745" spans="1:8" x14ac:dyDescent="0.35">
      <c r="A745" t="s">
        <v>776</v>
      </c>
      <c r="B745" t="s">
        <v>22</v>
      </c>
      <c r="C745" t="s">
        <v>27</v>
      </c>
      <c r="D745" t="s">
        <v>21</v>
      </c>
      <c r="E745">
        <v>13</v>
      </c>
      <c r="F745" t="s">
        <v>71</v>
      </c>
      <c r="G745" t="s">
        <v>938</v>
      </c>
      <c r="H745" s="1">
        <v>42932</v>
      </c>
    </row>
    <row r="746" spans="1:8" x14ac:dyDescent="0.35">
      <c r="A746" t="s">
        <v>777</v>
      </c>
      <c r="B746" t="s">
        <v>17</v>
      </c>
      <c r="C746" t="s">
        <v>20</v>
      </c>
      <c r="D746" t="s">
        <v>34</v>
      </c>
      <c r="E746">
        <v>0</v>
      </c>
      <c r="F746" t="s">
        <v>38</v>
      </c>
      <c r="G746" t="s">
        <v>937</v>
      </c>
      <c r="H746" s="1">
        <v>45650</v>
      </c>
    </row>
    <row r="747" spans="1:8" x14ac:dyDescent="0.35">
      <c r="A747" t="s">
        <v>778</v>
      </c>
      <c r="B747" t="s">
        <v>17</v>
      </c>
      <c r="C747" t="s">
        <v>30</v>
      </c>
      <c r="D747" t="s">
        <v>34</v>
      </c>
      <c r="E747">
        <v>7</v>
      </c>
      <c r="F747" t="s">
        <v>45</v>
      </c>
      <c r="G747" t="s">
        <v>938</v>
      </c>
      <c r="H747" s="1">
        <v>43904</v>
      </c>
    </row>
    <row r="748" spans="1:8" x14ac:dyDescent="0.35">
      <c r="A748" t="s">
        <v>779</v>
      </c>
      <c r="B748" t="s">
        <v>22</v>
      </c>
      <c r="C748" t="s">
        <v>30</v>
      </c>
      <c r="D748" t="s">
        <v>16</v>
      </c>
      <c r="E748">
        <v>13</v>
      </c>
      <c r="F748" t="s">
        <v>25</v>
      </c>
      <c r="G748" t="s">
        <v>937</v>
      </c>
      <c r="H748" s="1">
        <v>45266</v>
      </c>
    </row>
    <row r="749" spans="1:8" x14ac:dyDescent="0.35">
      <c r="A749" t="s">
        <v>780</v>
      </c>
      <c r="B749" t="s">
        <v>22</v>
      </c>
      <c r="C749" t="s">
        <v>20</v>
      </c>
      <c r="D749" t="s">
        <v>16</v>
      </c>
      <c r="E749">
        <v>8</v>
      </c>
      <c r="F749" t="s">
        <v>38</v>
      </c>
      <c r="G749" t="s">
        <v>937</v>
      </c>
      <c r="H749" s="1">
        <v>45293</v>
      </c>
    </row>
    <row r="750" spans="1:8" x14ac:dyDescent="0.35">
      <c r="A750" t="s">
        <v>781</v>
      </c>
      <c r="B750" t="s">
        <v>17</v>
      </c>
      <c r="C750" t="s">
        <v>15</v>
      </c>
      <c r="D750" t="s">
        <v>44</v>
      </c>
      <c r="E750">
        <v>8</v>
      </c>
      <c r="F750" t="s">
        <v>23</v>
      </c>
      <c r="G750" t="s">
        <v>938</v>
      </c>
      <c r="H750" s="1">
        <v>43367</v>
      </c>
    </row>
    <row r="751" spans="1:8" x14ac:dyDescent="0.35">
      <c r="A751" t="s">
        <v>782</v>
      </c>
      <c r="B751" t="s">
        <v>22</v>
      </c>
      <c r="C751" t="s">
        <v>30</v>
      </c>
      <c r="D751" t="s">
        <v>21</v>
      </c>
      <c r="E751">
        <v>3</v>
      </c>
      <c r="F751" t="s">
        <v>23</v>
      </c>
      <c r="G751" t="s">
        <v>938</v>
      </c>
      <c r="H751" s="1">
        <v>44473</v>
      </c>
    </row>
    <row r="752" spans="1:8" x14ac:dyDescent="0.35">
      <c r="A752" t="s">
        <v>783</v>
      </c>
      <c r="B752" t="s">
        <v>22</v>
      </c>
      <c r="C752" t="s">
        <v>15</v>
      </c>
      <c r="D752" t="s">
        <v>16</v>
      </c>
      <c r="E752">
        <v>5</v>
      </c>
      <c r="F752" t="s">
        <v>38</v>
      </c>
      <c r="G752" t="s">
        <v>937</v>
      </c>
      <c r="H752" s="1">
        <v>42265</v>
      </c>
    </row>
    <row r="753" spans="1:8" x14ac:dyDescent="0.35">
      <c r="A753" t="s">
        <v>784</v>
      </c>
      <c r="B753" t="s">
        <v>17</v>
      </c>
      <c r="C753" t="s">
        <v>27</v>
      </c>
      <c r="D753" t="s">
        <v>34</v>
      </c>
      <c r="E753">
        <v>3</v>
      </c>
      <c r="F753" t="s">
        <v>18</v>
      </c>
      <c r="G753" t="s">
        <v>937</v>
      </c>
      <c r="H753" s="1">
        <v>45231</v>
      </c>
    </row>
    <row r="754" spans="1:8" x14ac:dyDescent="0.35">
      <c r="A754" t="s">
        <v>785</v>
      </c>
      <c r="B754" t="s">
        <v>17</v>
      </c>
      <c r="C754" t="s">
        <v>20</v>
      </c>
      <c r="D754" t="s">
        <v>21</v>
      </c>
      <c r="E754">
        <v>4</v>
      </c>
      <c r="F754" t="s">
        <v>38</v>
      </c>
      <c r="G754" t="s">
        <v>937</v>
      </c>
      <c r="H754" s="1">
        <v>45610</v>
      </c>
    </row>
    <row r="755" spans="1:8" x14ac:dyDescent="0.35">
      <c r="A755" t="s">
        <v>786</v>
      </c>
      <c r="B755" t="s">
        <v>22</v>
      </c>
      <c r="C755" t="s">
        <v>30</v>
      </c>
      <c r="D755" t="s">
        <v>44</v>
      </c>
      <c r="E755">
        <v>13</v>
      </c>
      <c r="F755" t="s">
        <v>71</v>
      </c>
      <c r="G755" t="s">
        <v>938</v>
      </c>
      <c r="H755" s="1">
        <v>43560</v>
      </c>
    </row>
    <row r="756" spans="1:8" x14ac:dyDescent="0.35">
      <c r="A756" t="s">
        <v>787</v>
      </c>
      <c r="B756" t="s">
        <v>22</v>
      </c>
      <c r="C756" t="s">
        <v>27</v>
      </c>
      <c r="D756" t="s">
        <v>21</v>
      </c>
      <c r="E756">
        <v>15</v>
      </c>
      <c r="F756" t="s">
        <v>45</v>
      </c>
      <c r="G756" t="s">
        <v>938</v>
      </c>
      <c r="H756" s="1">
        <v>42482</v>
      </c>
    </row>
    <row r="757" spans="1:8" x14ac:dyDescent="0.35">
      <c r="A757" t="s">
        <v>788</v>
      </c>
      <c r="B757" t="s">
        <v>22</v>
      </c>
      <c r="C757" t="s">
        <v>15</v>
      </c>
      <c r="D757" t="s">
        <v>34</v>
      </c>
      <c r="E757">
        <v>7</v>
      </c>
      <c r="F757" t="s">
        <v>23</v>
      </c>
      <c r="G757" t="s">
        <v>938</v>
      </c>
      <c r="H757" s="1">
        <v>43012</v>
      </c>
    </row>
    <row r="758" spans="1:8" x14ac:dyDescent="0.35">
      <c r="A758" t="s">
        <v>789</v>
      </c>
      <c r="B758" t="s">
        <v>17</v>
      </c>
      <c r="C758" t="s">
        <v>36</v>
      </c>
      <c r="D758" t="s">
        <v>21</v>
      </c>
      <c r="E758">
        <v>5</v>
      </c>
      <c r="F758" t="s">
        <v>28</v>
      </c>
      <c r="G758" t="s">
        <v>937</v>
      </c>
      <c r="H758" s="1">
        <v>44404</v>
      </c>
    </row>
    <row r="759" spans="1:8" x14ac:dyDescent="0.35">
      <c r="A759" t="s">
        <v>790</v>
      </c>
      <c r="B759" t="s">
        <v>22</v>
      </c>
      <c r="C759" t="s">
        <v>36</v>
      </c>
      <c r="D759" t="s">
        <v>34</v>
      </c>
      <c r="E759">
        <v>4</v>
      </c>
      <c r="F759" t="s">
        <v>45</v>
      </c>
      <c r="G759" t="s">
        <v>938</v>
      </c>
      <c r="H759" s="1">
        <v>44703</v>
      </c>
    </row>
    <row r="760" spans="1:8" x14ac:dyDescent="0.35">
      <c r="A760" t="s">
        <v>791</v>
      </c>
      <c r="B760" t="s">
        <v>17</v>
      </c>
      <c r="C760" t="s">
        <v>27</v>
      </c>
      <c r="D760" t="s">
        <v>34</v>
      </c>
      <c r="E760">
        <v>8</v>
      </c>
      <c r="F760" t="s">
        <v>23</v>
      </c>
      <c r="G760" t="s">
        <v>938</v>
      </c>
      <c r="H760" s="1">
        <v>44199</v>
      </c>
    </row>
    <row r="761" spans="1:8" x14ac:dyDescent="0.35">
      <c r="A761" t="s">
        <v>792</v>
      </c>
      <c r="B761" t="s">
        <v>22</v>
      </c>
      <c r="C761" t="s">
        <v>15</v>
      </c>
      <c r="D761" t="s">
        <v>21</v>
      </c>
      <c r="E761">
        <v>13</v>
      </c>
      <c r="F761" t="s">
        <v>32</v>
      </c>
      <c r="G761" t="s">
        <v>938</v>
      </c>
      <c r="H761" s="1">
        <v>44290</v>
      </c>
    </row>
    <row r="762" spans="1:8" x14ac:dyDescent="0.35">
      <c r="A762" t="s">
        <v>793</v>
      </c>
      <c r="B762" t="s">
        <v>22</v>
      </c>
      <c r="C762" t="s">
        <v>15</v>
      </c>
      <c r="D762" t="s">
        <v>34</v>
      </c>
      <c r="E762">
        <v>13</v>
      </c>
      <c r="F762" t="s">
        <v>18</v>
      </c>
      <c r="G762" t="s">
        <v>937</v>
      </c>
      <c r="H762" s="1">
        <v>42884</v>
      </c>
    </row>
    <row r="763" spans="1:8" x14ac:dyDescent="0.35">
      <c r="A763" t="s">
        <v>794</v>
      </c>
      <c r="B763" t="s">
        <v>17</v>
      </c>
      <c r="C763" t="s">
        <v>36</v>
      </c>
      <c r="D763" t="s">
        <v>44</v>
      </c>
      <c r="E763">
        <v>6</v>
      </c>
      <c r="F763" t="s">
        <v>71</v>
      </c>
      <c r="G763" t="s">
        <v>938</v>
      </c>
      <c r="H763" s="1">
        <v>42370</v>
      </c>
    </row>
    <row r="764" spans="1:8" x14ac:dyDescent="0.35">
      <c r="A764" t="s">
        <v>795</v>
      </c>
      <c r="B764" t="s">
        <v>22</v>
      </c>
      <c r="C764" t="s">
        <v>36</v>
      </c>
      <c r="D764" t="s">
        <v>34</v>
      </c>
      <c r="E764">
        <v>8</v>
      </c>
      <c r="F764" t="s">
        <v>28</v>
      </c>
      <c r="G764" t="s">
        <v>937</v>
      </c>
      <c r="H764" s="1">
        <v>43256</v>
      </c>
    </row>
    <row r="765" spans="1:8" x14ac:dyDescent="0.35">
      <c r="A765" t="s">
        <v>796</v>
      </c>
      <c r="B765" t="s">
        <v>22</v>
      </c>
      <c r="C765" t="s">
        <v>30</v>
      </c>
      <c r="D765" t="s">
        <v>21</v>
      </c>
      <c r="E765">
        <v>6</v>
      </c>
      <c r="F765" t="s">
        <v>18</v>
      </c>
      <c r="G765" t="s">
        <v>937</v>
      </c>
      <c r="H765" s="1">
        <v>44010</v>
      </c>
    </row>
    <row r="766" spans="1:8" x14ac:dyDescent="0.35">
      <c r="A766" t="s">
        <v>797</v>
      </c>
      <c r="B766" t="s">
        <v>22</v>
      </c>
      <c r="C766" t="s">
        <v>30</v>
      </c>
      <c r="D766" t="s">
        <v>16</v>
      </c>
      <c r="E766">
        <v>4</v>
      </c>
      <c r="F766" t="s">
        <v>25</v>
      </c>
      <c r="G766" t="s">
        <v>937</v>
      </c>
      <c r="H766" s="1">
        <v>43214</v>
      </c>
    </row>
    <row r="767" spans="1:8" x14ac:dyDescent="0.35">
      <c r="A767" t="s">
        <v>798</v>
      </c>
      <c r="B767" t="s">
        <v>17</v>
      </c>
      <c r="C767" t="s">
        <v>36</v>
      </c>
      <c r="D767" t="s">
        <v>21</v>
      </c>
      <c r="E767">
        <v>5</v>
      </c>
      <c r="F767" t="s">
        <v>38</v>
      </c>
      <c r="G767" t="s">
        <v>937</v>
      </c>
      <c r="H767" s="1">
        <v>42536</v>
      </c>
    </row>
    <row r="768" spans="1:8" x14ac:dyDescent="0.35">
      <c r="A768" t="s">
        <v>799</v>
      </c>
      <c r="B768" t="s">
        <v>17</v>
      </c>
      <c r="C768" t="s">
        <v>36</v>
      </c>
      <c r="D768" t="s">
        <v>34</v>
      </c>
      <c r="E768">
        <v>4</v>
      </c>
      <c r="F768" t="s">
        <v>25</v>
      </c>
      <c r="G768" t="s">
        <v>937</v>
      </c>
      <c r="H768" s="1">
        <v>45265</v>
      </c>
    </row>
    <row r="769" spans="1:8" x14ac:dyDescent="0.35">
      <c r="A769" t="s">
        <v>800</v>
      </c>
      <c r="B769" t="s">
        <v>17</v>
      </c>
      <c r="C769" t="s">
        <v>15</v>
      </c>
      <c r="D769" t="s">
        <v>16</v>
      </c>
      <c r="E769">
        <v>2</v>
      </c>
      <c r="F769" t="s">
        <v>23</v>
      </c>
      <c r="G769" t="s">
        <v>938</v>
      </c>
      <c r="H769" s="1">
        <v>42179</v>
      </c>
    </row>
    <row r="770" spans="1:8" x14ac:dyDescent="0.35">
      <c r="A770" t="s">
        <v>801</v>
      </c>
      <c r="B770" t="s">
        <v>22</v>
      </c>
      <c r="C770" t="s">
        <v>20</v>
      </c>
      <c r="D770" t="s">
        <v>34</v>
      </c>
      <c r="E770">
        <v>5</v>
      </c>
      <c r="F770" t="s">
        <v>45</v>
      </c>
      <c r="G770" t="s">
        <v>938</v>
      </c>
      <c r="H770" s="1">
        <v>43046</v>
      </c>
    </row>
    <row r="771" spans="1:8" x14ac:dyDescent="0.35">
      <c r="A771" t="s">
        <v>802</v>
      </c>
      <c r="B771" t="s">
        <v>17</v>
      </c>
      <c r="C771" t="s">
        <v>15</v>
      </c>
      <c r="D771" t="s">
        <v>34</v>
      </c>
      <c r="E771">
        <v>4</v>
      </c>
      <c r="F771" t="s">
        <v>45</v>
      </c>
      <c r="G771" t="s">
        <v>938</v>
      </c>
      <c r="H771" s="1">
        <v>43156</v>
      </c>
    </row>
    <row r="772" spans="1:8" x14ac:dyDescent="0.35">
      <c r="A772" t="s">
        <v>803</v>
      </c>
      <c r="B772" t="s">
        <v>22</v>
      </c>
      <c r="C772" t="s">
        <v>27</v>
      </c>
      <c r="D772" t="s">
        <v>44</v>
      </c>
      <c r="E772">
        <v>11</v>
      </c>
      <c r="F772" t="s">
        <v>28</v>
      </c>
      <c r="G772" t="s">
        <v>937</v>
      </c>
      <c r="H772" s="1">
        <v>44614</v>
      </c>
    </row>
    <row r="773" spans="1:8" x14ac:dyDescent="0.35">
      <c r="A773" t="s">
        <v>804</v>
      </c>
      <c r="B773" t="s">
        <v>17</v>
      </c>
      <c r="C773" t="s">
        <v>20</v>
      </c>
      <c r="D773" t="s">
        <v>44</v>
      </c>
      <c r="E773">
        <v>12</v>
      </c>
      <c r="F773" t="s">
        <v>18</v>
      </c>
      <c r="G773" t="s">
        <v>937</v>
      </c>
      <c r="H773" s="1">
        <v>45351</v>
      </c>
    </row>
    <row r="774" spans="1:8" x14ac:dyDescent="0.35">
      <c r="A774" t="s">
        <v>805</v>
      </c>
      <c r="B774" t="s">
        <v>22</v>
      </c>
      <c r="C774" t="s">
        <v>36</v>
      </c>
      <c r="D774" t="s">
        <v>44</v>
      </c>
      <c r="E774">
        <v>2</v>
      </c>
      <c r="F774" t="s">
        <v>25</v>
      </c>
      <c r="G774" t="s">
        <v>937</v>
      </c>
      <c r="H774" s="1">
        <v>42244</v>
      </c>
    </row>
    <row r="775" spans="1:8" x14ac:dyDescent="0.35">
      <c r="A775" t="s">
        <v>806</v>
      </c>
      <c r="B775" t="s">
        <v>22</v>
      </c>
      <c r="C775" t="s">
        <v>20</v>
      </c>
      <c r="D775" t="s">
        <v>44</v>
      </c>
      <c r="E775">
        <v>11</v>
      </c>
      <c r="F775" t="s">
        <v>25</v>
      </c>
      <c r="G775" t="s">
        <v>937</v>
      </c>
      <c r="H775" s="1">
        <v>42927</v>
      </c>
    </row>
    <row r="776" spans="1:8" x14ac:dyDescent="0.35">
      <c r="A776" t="s">
        <v>807</v>
      </c>
      <c r="B776" t="s">
        <v>17</v>
      </c>
      <c r="C776" t="s">
        <v>15</v>
      </c>
      <c r="D776" t="s">
        <v>34</v>
      </c>
      <c r="E776">
        <v>6</v>
      </c>
      <c r="F776" t="s">
        <v>71</v>
      </c>
      <c r="G776" t="s">
        <v>938</v>
      </c>
      <c r="H776" s="1">
        <v>42172</v>
      </c>
    </row>
    <row r="777" spans="1:8" x14ac:dyDescent="0.35">
      <c r="A777" t="s">
        <v>808</v>
      </c>
      <c r="B777" t="s">
        <v>22</v>
      </c>
      <c r="C777" t="s">
        <v>36</v>
      </c>
      <c r="D777" t="s">
        <v>21</v>
      </c>
      <c r="E777">
        <v>12</v>
      </c>
      <c r="F777" t="s">
        <v>18</v>
      </c>
      <c r="G777" t="s">
        <v>937</v>
      </c>
      <c r="H777" s="1">
        <v>44042</v>
      </c>
    </row>
    <row r="778" spans="1:8" x14ac:dyDescent="0.35">
      <c r="A778" t="s">
        <v>809</v>
      </c>
      <c r="B778" t="s">
        <v>17</v>
      </c>
      <c r="C778" t="s">
        <v>36</v>
      </c>
      <c r="D778" t="s">
        <v>21</v>
      </c>
      <c r="E778">
        <v>15</v>
      </c>
      <c r="F778" t="s">
        <v>71</v>
      </c>
      <c r="G778" t="s">
        <v>938</v>
      </c>
      <c r="H778" s="1">
        <v>43125</v>
      </c>
    </row>
    <row r="779" spans="1:8" x14ac:dyDescent="0.35">
      <c r="A779" t="s">
        <v>810</v>
      </c>
      <c r="B779" t="s">
        <v>17</v>
      </c>
      <c r="C779" t="s">
        <v>15</v>
      </c>
      <c r="D779" t="s">
        <v>16</v>
      </c>
      <c r="E779">
        <v>0</v>
      </c>
      <c r="F779" t="s">
        <v>18</v>
      </c>
      <c r="G779" t="s">
        <v>937</v>
      </c>
      <c r="H779" s="1">
        <v>44429</v>
      </c>
    </row>
    <row r="780" spans="1:8" x14ac:dyDescent="0.35">
      <c r="A780" t="s">
        <v>811</v>
      </c>
      <c r="B780" t="s">
        <v>22</v>
      </c>
      <c r="C780" t="s">
        <v>20</v>
      </c>
      <c r="D780" t="s">
        <v>21</v>
      </c>
      <c r="E780">
        <v>14</v>
      </c>
      <c r="F780" t="s">
        <v>45</v>
      </c>
      <c r="G780" t="s">
        <v>938</v>
      </c>
      <c r="H780" s="1">
        <v>43628</v>
      </c>
    </row>
    <row r="781" spans="1:8" x14ac:dyDescent="0.35">
      <c r="A781" t="s">
        <v>812</v>
      </c>
      <c r="B781" t="s">
        <v>17</v>
      </c>
      <c r="C781" t="s">
        <v>15</v>
      </c>
      <c r="D781" t="s">
        <v>21</v>
      </c>
      <c r="E781">
        <v>4</v>
      </c>
      <c r="F781" t="s">
        <v>45</v>
      </c>
      <c r="G781" t="s">
        <v>938</v>
      </c>
      <c r="H781" s="1">
        <v>42156</v>
      </c>
    </row>
    <row r="782" spans="1:8" x14ac:dyDescent="0.35">
      <c r="A782" t="s">
        <v>813</v>
      </c>
      <c r="B782" t="s">
        <v>17</v>
      </c>
      <c r="C782" t="s">
        <v>30</v>
      </c>
      <c r="D782" t="s">
        <v>16</v>
      </c>
      <c r="E782">
        <v>11</v>
      </c>
      <c r="F782" t="s">
        <v>25</v>
      </c>
      <c r="G782" t="s">
        <v>937</v>
      </c>
      <c r="H782" s="1">
        <v>44948</v>
      </c>
    </row>
    <row r="783" spans="1:8" x14ac:dyDescent="0.35">
      <c r="A783" t="s">
        <v>814</v>
      </c>
      <c r="B783" t="s">
        <v>22</v>
      </c>
      <c r="C783" t="s">
        <v>30</v>
      </c>
      <c r="D783" t="s">
        <v>21</v>
      </c>
      <c r="E783">
        <v>0</v>
      </c>
      <c r="F783" t="s">
        <v>38</v>
      </c>
      <c r="G783" t="s">
        <v>937</v>
      </c>
      <c r="H783" s="1">
        <v>45044</v>
      </c>
    </row>
    <row r="784" spans="1:8" x14ac:dyDescent="0.35">
      <c r="A784" t="s">
        <v>815</v>
      </c>
      <c r="B784" t="s">
        <v>17</v>
      </c>
      <c r="C784" t="s">
        <v>15</v>
      </c>
      <c r="D784" t="s">
        <v>21</v>
      </c>
      <c r="E784">
        <v>4</v>
      </c>
      <c r="F784" t="s">
        <v>23</v>
      </c>
      <c r="G784" t="s">
        <v>938</v>
      </c>
      <c r="H784" s="1">
        <v>44486</v>
      </c>
    </row>
    <row r="785" spans="1:8" x14ac:dyDescent="0.35">
      <c r="A785" t="s">
        <v>816</v>
      </c>
      <c r="B785" t="s">
        <v>17</v>
      </c>
      <c r="C785" t="s">
        <v>27</v>
      </c>
      <c r="D785" t="s">
        <v>16</v>
      </c>
      <c r="E785">
        <v>5</v>
      </c>
      <c r="F785" t="s">
        <v>38</v>
      </c>
      <c r="G785" t="s">
        <v>937</v>
      </c>
      <c r="H785" s="1">
        <v>43309</v>
      </c>
    </row>
    <row r="786" spans="1:8" x14ac:dyDescent="0.35">
      <c r="A786" t="s">
        <v>817</v>
      </c>
      <c r="B786" t="s">
        <v>22</v>
      </c>
      <c r="C786" t="s">
        <v>15</v>
      </c>
      <c r="D786" t="s">
        <v>44</v>
      </c>
      <c r="E786">
        <v>7</v>
      </c>
      <c r="F786" t="s">
        <v>18</v>
      </c>
      <c r="G786" t="s">
        <v>937</v>
      </c>
      <c r="H786" s="1">
        <v>45626</v>
      </c>
    </row>
    <row r="787" spans="1:8" x14ac:dyDescent="0.35">
      <c r="A787" t="s">
        <v>818</v>
      </c>
      <c r="B787" t="s">
        <v>22</v>
      </c>
      <c r="C787" t="s">
        <v>27</v>
      </c>
      <c r="D787" t="s">
        <v>34</v>
      </c>
      <c r="E787">
        <v>13</v>
      </c>
      <c r="F787" t="s">
        <v>25</v>
      </c>
      <c r="G787" t="s">
        <v>937</v>
      </c>
      <c r="H787" s="1">
        <v>42202</v>
      </c>
    </row>
    <row r="788" spans="1:8" x14ac:dyDescent="0.35">
      <c r="A788" t="s">
        <v>819</v>
      </c>
      <c r="B788" t="s">
        <v>22</v>
      </c>
      <c r="C788" t="s">
        <v>27</v>
      </c>
      <c r="D788" t="s">
        <v>44</v>
      </c>
      <c r="E788">
        <v>6</v>
      </c>
      <c r="F788" t="s">
        <v>71</v>
      </c>
      <c r="G788" t="s">
        <v>938</v>
      </c>
      <c r="H788" s="1">
        <v>43382</v>
      </c>
    </row>
    <row r="789" spans="1:8" x14ac:dyDescent="0.35">
      <c r="A789" t="s">
        <v>820</v>
      </c>
      <c r="B789" t="s">
        <v>22</v>
      </c>
      <c r="C789" t="s">
        <v>30</v>
      </c>
      <c r="D789" t="s">
        <v>44</v>
      </c>
      <c r="E789">
        <v>8</v>
      </c>
      <c r="F789" t="s">
        <v>32</v>
      </c>
      <c r="G789" t="s">
        <v>938</v>
      </c>
      <c r="H789" s="1">
        <v>44059</v>
      </c>
    </row>
    <row r="790" spans="1:8" x14ac:dyDescent="0.35">
      <c r="A790" t="s">
        <v>821</v>
      </c>
      <c r="B790" t="s">
        <v>22</v>
      </c>
      <c r="C790" t="s">
        <v>27</v>
      </c>
      <c r="D790" t="s">
        <v>34</v>
      </c>
      <c r="E790">
        <v>4</v>
      </c>
      <c r="F790" t="s">
        <v>18</v>
      </c>
      <c r="G790" t="s">
        <v>937</v>
      </c>
      <c r="H790" s="1">
        <v>43429</v>
      </c>
    </row>
    <row r="791" spans="1:8" x14ac:dyDescent="0.35">
      <c r="A791" t="s">
        <v>822</v>
      </c>
      <c r="B791" t="s">
        <v>22</v>
      </c>
      <c r="C791" t="s">
        <v>15</v>
      </c>
      <c r="D791" t="s">
        <v>34</v>
      </c>
      <c r="E791">
        <v>12</v>
      </c>
      <c r="F791" t="s">
        <v>45</v>
      </c>
      <c r="G791" t="s">
        <v>938</v>
      </c>
      <c r="H791" s="1">
        <v>43017</v>
      </c>
    </row>
    <row r="792" spans="1:8" x14ac:dyDescent="0.35">
      <c r="A792" t="s">
        <v>823</v>
      </c>
      <c r="B792" t="s">
        <v>22</v>
      </c>
      <c r="C792" t="s">
        <v>36</v>
      </c>
      <c r="D792" t="s">
        <v>44</v>
      </c>
      <c r="E792">
        <v>10</v>
      </c>
      <c r="F792" t="s">
        <v>28</v>
      </c>
      <c r="G792" t="s">
        <v>937</v>
      </c>
      <c r="H792" s="1">
        <v>44932</v>
      </c>
    </row>
    <row r="793" spans="1:8" x14ac:dyDescent="0.35">
      <c r="A793" t="s">
        <v>824</v>
      </c>
      <c r="B793" t="s">
        <v>22</v>
      </c>
      <c r="C793" t="s">
        <v>30</v>
      </c>
      <c r="D793" t="s">
        <v>21</v>
      </c>
      <c r="E793">
        <v>12</v>
      </c>
      <c r="F793" t="s">
        <v>25</v>
      </c>
      <c r="G793" t="s">
        <v>937</v>
      </c>
      <c r="H793" s="1">
        <v>45331</v>
      </c>
    </row>
    <row r="794" spans="1:8" x14ac:dyDescent="0.35">
      <c r="A794" t="s">
        <v>825</v>
      </c>
      <c r="B794" t="s">
        <v>22</v>
      </c>
      <c r="C794" t="s">
        <v>15</v>
      </c>
      <c r="D794" t="s">
        <v>44</v>
      </c>
      <c r="E794">
        <v>7</v>
      </c>
      <c r="F794" t="s">
        <v>18</v>
      </c>
      <c r="G794" t="s">
        <v>937</v>
      </c>
      <c r="H794" s="1">
        <v>42558</v>
      </c>
    </row>
    <row r="795" spans="1:8" x14ac:dyDescent="0.35">
      <c r="A795" t="s">
        <v>826</v>
      </c>
      <c r="B795" t="s">
        <v>22</v>
      </c>
      <c r="C795" t="s">
        <v>15</v>
      </c>
      <c r="D795" t="s">
        <v>34</v>
      </c>
      <c r="E795">
        <v>2</v>
      </c>
      <c r="F795" t="s">
        <v>45</v>
      </c>
      <c r="G795" t="s">
        <v>938</v>
      </c>
      <c r="H795" s="1">
        <v>44494</v>
      </c>
    </row>
    <row r="796" spans="1:8" x14ac:dyDescent="0.35">
      <c r="A796" t="s">
        <v>827</v>
      </c>
      <c r="B796" t="s">
        <v>22</v>
      </c>
      <c r="C796" t="s">
        <v>27</v>
      </c>
      <c r="D796" t="s">
        <v>34</v>
      </c>
      <c r="E796">
        <v>11</v>
      </c>
      <c r="F796" t="s">
        <v>23</v>
      </c>
      <c r="G796" t="s">
        <v>938</v>
      </c>
      <c r="H796" s="1">
        <v>45173</v>
      </c>
    </row>
    <row r="797" spans="1:8" x14ac:dyDescent="0.35">
      <c r="A797" t="s">
        <v>828</v>
      </c>
      <c r="B797" t="s">
        <v>22</v>
      </c>
      <c r="C797" t="s">
        <v>27</v>
      </c>
      <c r="D797" t="s">
        <v>34</v>
      </c>
      <c r="E797">
        <v>1</v>
      </c>
      <c r="F797" t="s">
        <v>18</v>
      </c>
      <c r="G797" t="s">
        <v>937</v>
      </c>
      <c r="H797" s="1">
        <v>43015</v>
      </c>
    </row>
    <row r="798" spans="1:8" x14ac:dyDescent="0.35">
      <c r="A798" t="s">
        <v>829</v>
      </c>
      <c r="B798" t="s">
        <v>17</v>
      </c>
      <c r="C798" t="s">
        <v>36</v>
      </c>
      <c r="D798" t="s">
        <v>21</v>
      </c>
      <c r="E798">
        <v>11</v>
      </c>
      <c r="F798" t="s">
        <v>32</v>
      </c>
      <c r="G798" t="s">
        <v>938</v>
      </c>
      <c r="H798" s="1">
        <v>45394</v>
      </c>
    </row>
    <row r="799" spans="1:8" x14ac:dyDescent="0.35">
      <c r="A799" t="s">
        <v>830</v>
      </c>
      <c r="B799" t="s">
        <v>22</v>
      </c>
      <c r="C799" t="s">
        <v>20</v>
      </c>
      <c r="D799" t="s">
        <v>44</v>
      </c>
      <c r="E799">
        <v>11</v>
      </c>
      <c r="F799" t="s">
        <v>23</v>
      </c>
      <c r="G799" t="s">
        <v>938</v>
      </c>
      <c r="H799" s="1">
        <v>43840</v>
      </c>
    </row>
    <row r="800" spans="1:8" x14ac:dyDescent="0.35">
      <c r="A800" t="s">
        <v>831</v>
      </c>
      <c r="B800" t="s">
        <v>17</v>
      </c>
      <c r="C800" t="s">
        <v>36</v>
      </c>
      <c r="D800" t="s">
        <v>16</v>
      </c>
      <c r="E800">
        <v>8</v>
      </c>
      <c r="F800" t="s">
        <v>71</v>
      </c>
      <c r="G800" t="s">
        <v>938</v>
      </c>
      <c r="H800" s="1">
        <v>44331</v>
      </c>
    </row>
    <row r="801" spans="1:8" x14ac:dyDescent="0.35">
      <c r="A801" t="s">
        <v>832</v>
      </c>
      <c r="B801" t="s">
        <v>17</v>
      </c>
      <c r="C801" t="s">
        <v>30</v>
      </c>
      <c r="D801" t="s">
        <v>16</v>
      </c>
      <c r="E801">
        <v>7</v>
      </c>
      <c r="F801" t="s">
        <v>25</v>
      </c>
      <c r="G801" t="s">
        <v>937</v>
      </c>
      <c r="H801" s="1">
        <v>45295</v>
      </c>
    </row>
    <row r="802" spans="1:8" x14ac:dyDescent="0.35">
      <c r="A802" t="s">
        <v>833</v>
      </c>
      <c r="B802" t="s">
        <v>22</v>
      </c>
      <c r="C802" t="s">
        <v>36</v>
      </c>
      <c r="D802" t="s">
        <v>44</v>
      </c>
      <c r="E802">
        <v>5</v>
      </c>
      <c r="F802" t="s">
        <v>23</v>
      </c>
      <c r="G802" t="s">
        <v>938</v>
      </c>
      <c r="H802" s="1">
        <v>45203</v>
      </c>
    </row>
    <row r="803" spans="1:8" x14ac:dyDescent="0.35">
      <c r="A803" t="s">
        <v>834</v>
      </c>
      <c r="B803" t="s">
        <v>17</v>
      </c>
      <c r="C803" t="s">
        <v>20</v>
      </c>
      <c r="D803" t="s">
        <v>16</v>
      </c>
      <c r="E803">
        <v>11</v>
      </c>
      <c r="F803" t="s">
        <v>32</v>
      </c>
      <c r="G803" t="s">
        <v>938</v>
      </c>
      <c r="H803" s="1">
        <v>44189</v>
      </c>
    </row>
    <row r="804" spans="1:8" x14ac:dyDescent="0.35">
      <c r="A804" t="s">
        <v>835</v>
      </c>
      <c r="B804" t="s">
        <v>22</v>
      </c>
      <c r="C804" t="s">
        <v>30</v>
      </c>
      <c r="D804" t="s">
        <v>21</v>
      </c>
      <c r="E804">
        <v>7</v>
      </c>
      <c r="F804" t="s">
        <v>32</v>
      </c>
      <c r="G804" t="s">
        <v>938</v>
      </c>
      <c r="H804" s="1">
        <v>44086</v>
      </c>
    </row>
    <row r="805" spans="1:8" x14ac:dyDescent="0.35">
      <c r="A805" t="s">
        <v>836</v>
      </c>
      <c r="B805" t="s">
        <v>22</v>
      </c>
      <c r="C805" t="s">
        <v>20</v>
      </c>
      <c r="D805" t="s">
        <v>21</v>
      </c>
      <c r="E805">
        <v>9</v>
      </c>
      <c r="F805" t="s">
        <v>18</v>
      </c>
      <c r="G805" t="s">
        <v>937</v>
      </c>
      <c r="H805" s="1">
        <v>43183</v>
      </c>
    </row>
    <row r="806" spans="1:8" x14ac:dyDescent="0.35">
      <c r="A806" t="s">
        <v>837</v>
      </c>
      <c r="B806" t="s">
        <v>22</v>
      </c>
      <c r="C806" t="s">
        <v>15</v>
      </c>
      <c r="D806" t="s">
        <v>34</v>
      </c>
      <c r="E806">
        <v>0</v>
      </c>
      <c r="F806" t="s">
        <v>18</v>
      </c>
      <c r="G806" t="s">
        <v>937</v>
      </c>
      <c r="H806" s="1">
        <v>42968</v>
      </c>
    </row>
    <row r="807" spans="1:8" x14ac:dyDescent="0.35">
      <c r="A807" t="s">
        <v>838</v>
      </c>
      <c r="B807" t="s">
        <v>22</v>
      </c>
      <c r="C807" t="s">
        <v>15</v>
      </c>
      <c r="D807" t="s">
        <v>21</v>
      </c>
      <c r="E807">
        <v>13</v>
      </c>
      <c r="F807" t="s">
        <v>28</v>
      </c>
      <c r="G807" t="s">
        <v>937</v>
      </c>
      <c r="H807" s="1">
        <v>45083</v>
      </c>
    </row>
    <row r="808" spans="1:8" x14ac:dyDescent="0.35">
      <c r="A808" t="s">
        <v>839</v>
      </c>
      <c r="B808" t="s">
        <v>22</v>
      </c>
      <c r="C808" t="s">
        <v>15</v>
      </c>
      <c r="D808" t="s">
        <v>44</v>
      </c>
      <c r="E808">
        <v>6</v>
      </c>
      <c r="F808" t="s">
        <v>38</v>
      </c>
      <c r="G808" t="s">
        <v>937</v>
      </c>
      <c r="H808" s="1">
        <v>44832</v>
      </c>
    </row>
    <row r="809" spans="1:8" x14ac:dyDescent="0.35">
      <c r="A809" t="s">
        <v>840</v>
      </c>
      <c r="B809" t="s">
        <v>17</v>
      </c>
      <c r="C809" t="s">
        <v>27</v>
      </c>
      <c r="D809" t="s">
        <v>34</v>
      </c>
      <c r="E809">
        <v>5</v>
      </c>
      <c r="F809" t="s">
        <v>25</v>
      </c>
      <c r="G809" t="s">
        <v>937</v>
      </c>
      <c r="H809" s="1">
        <v>43480</v>
      </c>
    </row>
    <row r="810" spans="1:8" x14ac:dyDescent="0.35">
      <c r="A810" t="s">
        <v>841</v>
      </c>
      <c r="B810" t="s">
        <v>17</v>
      </c>
      <c r="C810" t="s">
        <v>20</v>
      </c>
      <c r="D810" t="s">
        <v>16</v>
      </c>
      <c r="E810">
        <v>7</v>
      </c>
      <c r="F810" t="s">
        <v>28</v>
      </c>
      <c r="G810" t="s">
        <v>937</v>
      </c>
      <c r="H810" s="1">
        <v>44025</v>
      </c>
    </row>
    <row r="811" spans="1:8" x14ac:dyDescent="0.35">
      <c r="A811" t="s">
        <v>842</v>
      </c>
      <c r="B811" t="s">
        <v>17</v>
      </c>
      <c r="C811" t="s">
        <v>27</v>
      </c>
      <c r="D811" t="s">
        <v>44</v>
      </c>
      <c r="E811">
        <v>3</v>
      </c>
      <c r="F811" t="s">
        <v>45</v>
      </c>
      <c r="G811" t="s">
        <v>938</v>
      </c>
      <c r="H811" s="1">
        <v>44975</v>
      </c>
    </row>
    <row r="812" spans="1:8" x14ac:dyDescent="0.35">
      <c r="A812" t="s">
        <v>843</v>
      </c>
      <c r="B812" t="s">
        <v>17</v>
      </c>
      <c r="C812" t="s">
        <v>20</v>
      </c>
      <c r="D812" t="s">
        <v>34</v>
      </c>
      <c r="E812">
        <v>6</v>
      </c>
      <c r="F812" t="s">
        <v>23</v>
      </c>
      <c r="G812" t="s">
        <v>938</v>
      </c>
      <c r="H812" s="1">
        <v>44701</v>
      </c>
    </row>
    <row r="813" spans="1:8" x14ac:dyDescent="0.35">
      <c r="A813" t="s">
        <v>844</v>
      </c>
      <c r="B813" t="s">
        <v>22</v>
      </c>
      <c r="C813" t="s">
        <v>20</v>
      </c>
      <c r="D813" t="s">
        <v>16</v>
      </c>
      <c r="E813">
        <v>14</v>
      </c>
      <c r="F813" t="s">
        <v>28</v>
      </c>
      <c r="G813" t="s">
        <v>937</v>
      </c>
      <c r="H813" s="1">
        <v>45319</v>
      </c>
    </row>
    <row r="814" spans="1:8" x14ac:dyDescent="0.35">
      <c r="A814" t="s">
        <v>845</v>
      </c>
      <c r="B814" t="s">
        <v>17</v>
      </c>
      <c r="C814" t="s">
        <v>15</v>
      </c>
      <c r="D814" t="s">
        <v>16</v>
      </c>
      <c r="E814">
        <v>9</v>
      </c>
      <c r="F814" t="s">
        <v>25</v>
      </c>
      <c r="G814" t="s">
        <v>937</v>
      </c>
      <c r="H814" s="1">
        <v>42415</v>
      </c>
    </row>
    <row r="815" spans="1:8" x14ac:dyDescent="0.35">
      <c r="A815" t="s">
        <v>846</v>
      </c>
      <c r="B815" t="s">
        <v>22</v>
      </c>
      <c r="C815" t="s">
        <v>30</v>
      </c>
      <c r="D815" t="s">
        <v>44</v>
      </c>
      <c r="E815">
        <v>14</v>
      </c>
      <c r="F815" t="s">
        <v>23</v>
      </c>
      <c r="G815" t="s">
        <v>938</v>
      </c>
      <c r="H815" s="1">
        <v>43582</v>
      </c>
    </row>
    <row r="816" spans="1:8" x14ac:dyDescent="0.35">
      <c r="A816" t="s">
        <v>847</v>
      </c>
      <c r="B816" t="s">
        <v>22</v>
      </c>
      <c r="C816" t="s">
        <v>15</v>
      </c>
      <c r="D816" t="s">
        <v>21</v>
      </c>
      <c r="E816">
        <v>4</v>
      </c>
      <c r="F816" t="s">
        <v>38</v>
      </c>
      <c r="G816" t="s">
        <v>937</v>
      </c>
      <c r="H816" s="1">
        <v>43047</v>
      </c>
    </row>
    <row r="817" spans="1:8" x14ac:dyDescent="0.35">
      <c r="A817" t="s">
        <v>848</v>
      </c>
      <c r="B817" t="s">
        <v>22</v>
      </c>
      <c r="C817" t="s">
        <v>27</v>
      </c>
      <c r="D817" t="s">
        <v>34</v>
      </c>
      <c r="E817">
        <v>14</v>
      </c>
      <c r="F817" t="s">
        <v>45</v>
      </c>
      <c r="G817" t="s">
        <v>938</v>
      </c>
      <c r="H817" s="1">
        <v>45268</v>
      </c>
    </row>
    <row r="818" spans="1:8" x14ac:dyDescent="0.35">
      <c r="A818" t="s">
        <v>849</v>
      </c>
      <c r="B818" t="s">
        <v>17</v>
      </c>
      <c r="C818" t="s">
        <v>30</v>
      </c>
      <c r="D818" t="s">
        <v>44</v>
      </c>
      <c r="E818">
        <v>14</v>
      </c>
      <c r="F818" t="s">
        <v>28</v>
      </c>
      <c r="G818" t="s">
        <v>937</v>
      </c>
      <c r="H818" s="1">
        <v>44073</v>
      </c>
    </row>
    <row r="819" spans="1:8" x14ac:dyDescent="0.35">
      <c r="A819" t="s">
        <v>850</v>
      </c>
      <c r="B819" t="s">
        <v>17</v>
      </c>
      <c r="C819" t="s">
        <v>20</v>
      </c>
      <c r="D819" t="s">
        <v>44</v>
      </c>
      <c r="E819">
        <v>5</v>
      </c>
      <c r="F819" t="s">
        <v>18</v>
      </c>
      <c r="G819" t="s">
        <v>937</v>
      </c>
      <c r="H819" s="1">
        <v>44975</v>
      </c>
    </row>
    <row r="820" spans="1:8" x14ac:dyDescent="0.35">
      <c r="A820" t="s">
        <v>851</v>
      </c>
      <c r="B820" t="s">
        <v>17</v>
      </c>
      <c r="C820" t="s">
        <v>20</v>
      </c>
      <c r="D820" t="s">
        <v>34</v>
      </c>
      <c r="E820">
        <v>14</v>
      </c>
      <c r="F820" t="s">
        <v>32</v>
      </c>
      <c r="G820" t="s">
        <v>938</v>
      </c>
      <c r="H820" s="1">
        <v>44749</v>
      </c>
    </row>
    <row r="821" spans="1:8" x14ac:dyDescent="0.35">
      <c r="A821" t="s">
        <v>852</v>
      </c>
      <c r="B821" t="s">
        <v>22</v>
      </c>
      <c r="C821" t="s">
        <v>30</v>
      </c>
      <c r="D821" t="s">
        <v>34</v>
      </c>
      <c r="E821">
        <v>2</v>
      </c>
      <c r="F821" t="s">
        <v>71</v>
      </c>
      <c r="G821" t="s">
        <v>938</v>
      </c>
      <c r="H821" s="1">
        <v>43250</v>
      </c>
    </row>
    <row r="822" spans="1:8" x14ac:dyDescent="0.35">
      <c r="A822" t="s">
        <v>853</v>
      </c>
      <c r="B822" t="s">
        <v>17</v>
      </c>
      <c r="C822" t="s">
        <v>36</v>
      </c>
      <c r="D822" t="s">
        <v>16</v>
      </c>
      <c r="E822">
        <v>9</v>
      </c>
      <c r="F822" t="s">
        <v>71</v>
      </c>
      <c r="G822" t="s">
        <v>938</v>
      </c>
      <c r="H822" s="1">
        <v>44257</v>
      </c>
    </row>
    <row r="823" spans="1:8" x14ac:dyDescent="0.35">
      <c r="A823" t="s">
        <v>854</v>
      </c>
      <c r="B823" t="s">
        <v>17</v>
      </c>
      <c r="C823" t="s">
        <v>20</v>
      </c>
      <c r="D823" t="s">
        <v>44</v>
      </c>
      <c r="E823">
        <v>12</v>
      </c>
      <c r="F823" t="s">
        <v>38</v>
      </c>
      <c r="G823" t="s">
        <v>937</v>
      </c>
      <c r="H823" s="1">
        <v>43615</v>
      </c>
    </row>
    <row r="824" spans="1:8" x14ac:dyDescent="0.35">
      <c r="A824" t="s">
        <v>855</v>
      </c>
      <c r="B824" t="s">
        <v>22</v>
      </c>
      <c r="C824" t="s">
        <v>27</v>
      </c>
      <c r="D824" t="s">
        <v>44</v>
      </c>
      <c r="E824">
        <v>8</v>
      </c>
      <c r="F824" t="s">
        <v>25</v>
      </c>
      <c r="G824" t="s">
        <v>937</v>
      </c>
      <c r="H824" s="1">
        <v>42507</v>
      </c>
    </row>
    <row r="825" spans="1:8" x14ac:dyDescent="0.35">
      <c r="A825" t="s">
        <v>856</v>
      </c>
      <c r="B825" t="s">
        <v>22</v>
      </c>
      <c r="C825" t="s">
        <v>30</v>
      </c>
      <c r="D825" t="s">
        <v>16</v>
      </c>
      <c r="E825">
        <v>1</v>
      </c>
      <c r="F825" t="s">
        <v>38</v>
      </c>
      <c r="G825" t="s">
        <v>937</v>
      </c>
      <c r="H825" s="1">
        <v>44814</v>
      </c>
    </row>
    <row r="826" spans="1:8" x14ac:dyDescent="0.35">
      <c r="A826" t="s">
        <v>857</v>
      </c>
      <c r="B826" t="s">
        <v>22</v>
      </c>
      <c r="C826" t="s">
        <v>30</v>
      </c>
      <c r="D826" t="s">
        <v>21</v>
      </c>
      <c r="E826">
        <v>12</v>
      </c>
      <c r="F826" t="s">
        <v>28</v>
      </c>
      <c r="G826" t="s">
        <v>937</v>
      </c>
      <c r="H826" s="1">
        <v>44840</v>
      </c>
    </row>
    <row r="827" spans="1:8" x14ac:dyDescent="0.35">
      <c r="A827" t="s">
        <v>858</v>
      </c>
      <c r="B827" t="s">
        <v>22</v>
      </c>
      <c r="C827" t="s">
        <v>20</v>
      </c>
      <c r="D827" t="s">
        <v>21</v>
      </c>
      <c r="E827">
        <v>5</v>
      </c>
      <c r="F827" t="s">
        <v>28</v>
      </c>
      <c r="G827" t="s">
        <v>937</v>
      </c>
      <c r="H827" s="1">
        <v>44937</v>
      </c>
    </row>
    <row r="828" spans="1:8" x14ac:dyDescent="0.35">
      <c r="A828" t="s">
        <v>859</v>
      </c>
      <c r="B828" t="s">
        <v>17</v>
      </c>
      <c r="C828" t="s">
        <v>20</v>
      </c>
      <c r="D828" t="s">
        <v>16</v>
      </c>
      <c r="E828">
        <v>15</v>
      </c>
      <c r="F828" t="s">
        <v>28</v>
      </c>
      <c r="G828" t="s">
        <v>937</v>
      </c>
      <c r="H828" s="1">
        <v>42139</v>
      </c>
    </row>
    <row r="829" spans="1:8" x14ac:dyDescent="0.35">
      <c r="A829" t="s">
        <v>860</v>
      </c>
      <c r="B829" t="s">
        <v>22</v>
      </c>
      <c r="C829" t="s">
        <v>30</v>
      </c>
      <c r="D829" t="s">
        <v>34</v>
      </c>
      <c r="E829">
        <v>5</v>
      </c>
      <c r="F829" t="s">
        <v>45</v>
      </c>
      <c r="G829" t="s">
        <v>938</v>
      </c>
      <c r="H829" s="1">
        <v>45473</v>
      </c>
    </row>
    <row r="830" spans="1:8" x14ac:dyDescent="0.35">
      <c r="A830" t="s">
        <v>861</v>
      </c>
      <c r="B830" t="s">
        <v>22</v>
      </c>
      <c r="C830" t="s">
        <v>20</v>
      </c>
      <c r="D830" t="s">
        <v>16</v>
      </c>
      <c r="E830">
        <v>7</v>
      </c>
      <c r="F830" t="s">
        <v>32</v>
      </c>
      <c r="G830" t="s">
        <v>938</v>
      </c>
      <c r="H830" s="1">
        <v>44826</v>
      </c>
    </row>
    <row r="831" spans="1:8" x14ac:dyDescent="0.35">
      <c r="A831" t="s">
        <v>862</v>
      </c>
      <c r="B831" t="s">
        <v>22</v>
      </c>
      <c r="C831" t="s">
        <v>27</v>
      </c>
      <c r="D831" t="s">
        <v>16</v>
      </c>
      <c r="E831">
        <v>4</v>
      </c>
      <c r="F831" t="s">
        <v>28</v>
      </c>
      <c r="G831" t="s">
        <v>937</v>
      </c>
      <c r="H831" s="1">
        <v>43912</v>
      </c>
    </row>
    <row r="832" spans="1:8" x14ac:dyDescent="0.35">
      <c r="A832" t="s">
        <v>863</v>
      </c>
      <c r="B832" t="s">
        <v>22</v>
      </c>
      <c r="C832" t="s">
        <v>36</v>
      </c>
      <c r="D832" t="s">
        <v>34</v>
      </c>
      <c r="E832">
        <v>2</v>
      </c>
      <c r="F832" t="s">
        <v>25</v>
      </c>
      <c r="G832" t="s">
        <v>937</v>
      </c>
      <c r="H832" s="1">
        <v>45275</v>
      </c>
    </row>
    <row r="833" spans="1:8" x14ac:dyDescent="0.35">
      <c r="A833" t="s">
        <v>864</v>
      </c>
      <c r="B833" t="s">
        <v>22</v>
      </c>
      <c r="C833" t="s">
        <v>36</v>
      </c>
      <c r="D833" t="s">
        <v>34</v>
      </c>
      <c r="E833">
        <v>6</v>
      </c>
      <c r="F833" t="s">
        <v>45</v>
      </c>
      <c r="G833" t="s">
        <v>938</v>
      </c>
      <c r="H833" s="1">
        <v>44488</v>
      </c>
    </row>
    <row r="834" spans="1:8" x14ac:dyDescent="0.35">
      <c r="A834" t="s">
        <v>865</v>
      </c>
      <c r="B834" t="s">
        <v>17</v>
      </c>
      <c r="C834" t="s">
        <v>36</v>
      </c>
      <c r="D834" t="s">
        <v>34</v>
      </c>
      <c r="E834">
        <v>15</v>
      </c>
      <c r="F834" t="s">
        <v>71</v>
      </c>
      <c r="G834" t="s">
        <v>938</v>
      </c>
      <c r="H834" s="1">
        <v>44680</v>
      </c>
    </row>
    <row r="835" spans="1:8" x14ac:dyDescent="0.35">
      <c r="A835" t="s">
        <v>866</v>
      </c>
      <c r="B835" t="s">
        <v>22</v>
      </c>
      <c r="C835" t="s">
        <v>15</v>
      </c>
      <c r="D835" t="s">
        <v>34</v>
      </c>
      <c r="E835">
        <v>13</v>
      </c>
      <c r="F835" t="s">
        <v>32</v>
      </c>
      <c r="G835" t="s">
        <v>938</v>
      </c>
      <c r="H835" s="1">
        <v>42341</v>
      </c>
    </row>
    <row r="836" spans="1:8" x14ac:dyDescent="0.35">
      <c r="A836" t="s">
        <v>867</v>
      </c>
      <c r="B836" t="s">
        <v>17</v>
      </c>
      <c r="C836" t="s">
        <v>36</v>
      </c>
      <c r="D836" t="s">
        <v>16</v>
      </c>
      <c r="E836">
        <v>14</v>
      </c>
      <c r="F836" t="s">
        <v>45</v>
      </c>
      <c r="G836" t="s">
        <v>938</v>
      </c>
      <c r="H836" s="1">
        <v>45182</v>
      </c>
    </row>
    <row r="837" spans="1:8" x14ac:dyDescent="0.35">
      <c r="A837" t="s">
        <v>868</v>
      </c>
      <c r="B837" t="s">
        <v>22</v>
      </c>
      <c r="C837" t="s">
        <v>15</v>
      </c>
      <c r="D837" t="s">
        <v>16</v>
      </c>
      <c r="E837">
        <v>10</v>
      </c>
      <c r="F837" t="s">
        <v>28</v>
      </c>
      <c r="G837" t="s">
        <v>937</v>
      </c>
      <c r="H837" s="1">
        <v>42481</v>
      </c>
    </row>
    <row r="838" spans="1:8" x14ac:dyDescent="0.35">
      <c r="A838" t="s">
        <v>869</v>
      </c>
      <c r="B838" t="s">
        <v>17</v>
      </c>
      <c r="C838" t="s">
        <v>20</v>
      </c>
      <c r="D838" t="s">
        <v>44</v>
      </c>
      <c r="E838">
        <v>7</v>
      </c>
      <c r="F838" t="s">
        <v>45</v>
      </c>
      <c r="G838" t="s">
        <v>938</v>
      </c>
      <c r="H838" s="1">
        <v>44671</v>
      </c>
    </row>
    <row r="839" spans="1:8" x14ac:dyDescent="0.35">
      <c r="A839" t="s">
        <v>870</v>
      </c>
      <c r="B839" t="s">
        <v>17</v>
      </c>
      <c r="C839" t="s">
        <v>36</v>
      </c>
      <c r="D839" t="s">
        <v>16</v>
      </c>
      <c r="E839">
        <v>2</v>
      </c>
      <c r="F839" t="s">
        <v>25</v>
      </c>
      <c r="G839" t="s">
        <v>937</v>
      </c>
      <c r="H839" s="1">
        <v>42191</v>
      </c>
    </row>
    <row r="840" spans="1:8" x14ac:dyDescent="0.35">
      <c r="A840" t="s">
        <v>871</v>
      </c>
      <c r="B840" t="s">
        <v>17</v>
      </c>
      <c r="C840" t="s">
        <v>30</v>
      </c>
      <c r="D840" t="s">
        <v>21</v>
      </c>
      <c r="E840">
        <v>6</v>
      </c>
      <c r="F840" t="s">
        <v>18</v>
      </c>
      <c r="G840" t="s">
        <v>937</v>
      </c>
      <c r="H840" s="1">
        <v>42602</v>
      </c>
    </row>
    <row r="841" spans="1:8" x14ac:dyDescent="0.35">
      <c r="A841" t="s">
        <v>872</v>
      </c>
      <c r="B841" t="s">
        <v>17</v>
      </c>
      <c r="C841" t="s">
        <v>15</v>
      </c>
      <c r="D841" t="s">
        <v>16</v>
      </c>
      <c r="E841">
        <v>7</v>
      </c>
      <c r="F841" t="s">
        <v>18</v>
      </c>
      <c r="G841" t="s">
        <v>937</v>
      </c>
      <c r="H841" s="1">
        <v>42457</v>
      </c>
    </row>
    <row r="842" spans="1:8" x14ac:dyDescent="0.35">
      <c r="A842" t="s">
        <v>873</v>
      </c>
      <c r="B842" t="s">
        <v>22</v>
      </c>
      <c r="C842" t="s">
        <v>30</v>
      </c>
      <c r="D842" t="s">
        <v>16</v>
      </c>
      <c r="E842">
        <v>12</v>
      </c>
      <c r="F842" t="s">
        <v>38</v>
      </c>
      <c r="G842" t="s">
        <v>937</v>
      </c>
      <c r="H842" s="1">
        <v>43512</v>
      </c>
    </row>
    <row r="843" spans="1:8" x14ac:dyDescent="0.35">
      <c r="A843" t="s">
        <v>874</v>
      </c>
      <c r="B843" t="s">
        <v>17</v>
      </c>
      <c r="C843" t="s">
        <v>36</v>
      </c>
      <c r="D843" t="s">
        <v>34</v>
      </c>
      <c r="E843">
        <v>12</v>
      </c>
      <c r="F843" t="s">
        <v>28</v>
      </c>
      <c r="G843" t="s">
        <v>937</v>
      </c>
      <c r="H843" s="1">
        <v>43398</v>
      </c>
    </row>
    <row r="844" spans="1:8" x14ac:dyDescent="0.35">
      <c r="A844" t="s">
        <v>875</v>
      </c>
      <c r="B844" t="s">
        <v>17</v>
      </c>
      <c r="C844" t="s">
        <v>20</v>
      </c>
      <c r="D844" t="s">
        <v>34</v>
      </c>
      <c r="E844">
        <v>9</v>
      </c>
      <c r="F844" t="s">
        <v>18</v>
      </c>
      <c r="G844" t="s">
        <v>937</v>
      </c>
      <c r="H844" s="1">
        <v>45594</v>
      </c>
    </row>
    <row r="845" spans="1:8" x14ac:dyDescent="0.35">
      <c r="A845" t="s">
        <v>876</v>
      </c>
      <c r="B845" t="s">
        <v>22</v>
      </c>
      <c r="C845" t="s">
        <v>15</v>
      </c>
      <c r="D845" t="s">
        <v>21</v>
      </c>
      <c r="E845">
        <v>7</v>
      </c>
      <c r="F845" t="s">
        <v>45</v>
      </c>
      <c r="G845" t="s">
        <v>938</v>
      </c>
      <c r="H845" s="1">
        <v>42233</v>
      </c>
    </row>
    <row r="846" spans="1:8" x14ac:dyDescent="0.35">
      <c r="A846" t="s">
        <v>877</v>
      </c>
      <c r="B846" t="s">
        <v>22</v>
      </c>
      <c r="C846" t="s">
        <v>15</v>
      </c>
      <c r="D846" t="s">
        <v>44</v>
      </c>
      <c r="E846">
        <v>9</v>
      </c>
      <c r="F846" t="s">
        <v>23</v>
      </c>
      <c r="G846" t="s">
        <v>938</v>
      </c>
      <c r="H846" s="1">
        <v>43319</v>
      </c>
    </row>
    <row r="847" spans="1:8" x14ac:dyDescent="0.35">
      <c r="A847" t="s">
        <v>878</v>
      </c>
      <c r="B847" t="s">
        <v>17</v>
      </c>
      <c r="C847" t="s">
        <v>20</v>
      </c>
      <c r="D847" t="s">
        <v>44</v>
      </c>
      <c r="E847">
        <v>3</v>
      </c>
      <c r="F847" t="s">
        <v>23</v>
      </c>
      <c r="G847" t="s">
        <v>938</v>
      </c>
      <c r="H847" s="1">
        <v>43691</v>
      </c>
    </row>
    <row r="848" spans="1:8" x14ac:dyDescent="0.35">
      <c r="A848" t="s">
        <v>879</v>
      </c>
      <c r="B848" t="s">
        <v>22</v>
      </c>
      <c r="C848" t="s">
        <v>36</v>
      </c>
      <c r="D848" t="s">
        <v>44</v>
      </c>
      <c r="E848">
        <v>3</v>
      </c>
      <c r="F848" t="s">
        <v>23</v>
      </c>
      <c r="G848" t="s">
        <v>938</v>
      </c>
      <c r="H848" s="1">
        <v>43734</v>
      </c>
    </row>
    <row r="849" spans="1:8" x14ac:dyDescent="0.35">
      <c r="A849" t="s">
        <v>880</v>
      </c>
      <c r="B849" t="s">
        <v>22</v>
      </c>
      <c r="C849" t="s">
        <v>15</v>
      </c>
      <c r="D849" t="s">
        <v>44</v>
      </c>
      <c r="E849">
        <v>7</v>
      </c>
      <c r="F849" t="s">
        <v>25</v>
      </c>
      <c r="G849" t="s">
        <v>937</v>
      </c>
      <c r="H849" s="1">
        <v>42355</v>
      </c>
    </row>
    <row r="850" spans="1:8" x14ac:dyDescent="0.35">
      <c r="A850" t="s">
        <v>881</v>
      </c>
      <c r="B850" t="s">
        <v>22</v>
      </c>
      <c r="C850" t="s">
        <v>15</v>
      </c>
      <c r="D850" t="s">
        <v>34</v>
      </c>
      <c r="E850">
        <v>11</v>
      </c>
      <c r="F850" t="s">
        <v>71</v>
      </c>
      <c r="G850" t="s">
        <v>938</v>
      </c>
      <c r="H850" s="1">
        <v>43587</v>
      </c>
    </row>
    <row r="851" spans="1:8" x14ac:dyDescent="0.35">
      <c r="A851" t="s">
        <v>882</v>
      </c>
      <c r="B851" t="s">
        <v>22</v>
      </c>
      <c r="C851" t="s">
        <v>30</v>
      </c>
      <c r="D851" t="s">
        <v>34</v>
      </c>
      <c r="E851">
        <v>8</v>
      </c>
      <c r="F851" t="s">
        <v>38</v>
      </c>
      <c r="G851" t="s">
        <v>937</v>
      </c>
      <c r="H851" s="1">
        <v>44470</v>
      </c>
    </row>
    <row r="852" spans="1:8" x14ac:dyDescent="0.35">
      <c r="A852" t="s">
        <v>883</v>
      </c>
      <c r="B852" t="s">
        <v>17</v>
      </c>
      <c r="C852" t="s">
        <v>20</v>
      </c>
      <c r="D852" t="s">
        <v>16</v>
      </c>
      <c r="E852">
        <v>0</v>
      </c>
      <c r="F852" t="s">
        <v>18</v>
      </c>
      <c r="G852" t="s">
        <v>937</v>
      </c>
      <c r="H852" s="1">
        <v>44353</v>
      </c>
    </row>
    <row r="853" spans="1:8" x14ac:dyDescent="0.35">
      <c r="A853" t="s">
        <v>884</v>
      </c>
      <c r="B853" t="s">
        <v>22</v>
      </c>
      <c r="C853" t="s">
        <v>36</v>
      </c>
      <c r="D853" t="s">
        <v>34</v>
      </c>
      <c r="E853">
        <v>8</v>
      </c>
      <c r="F853" t="s">
        <v>45</v>
      </c>
      <c r="G853" t="s">
        <v>938</v>
      </c>
      <c r="H853" s="1">
        <v>44649</v>
      </c>
    </row>
    <row r="854" spans="1:8" x14ac:dyDescent="0.35">
      <c r="A854" t="s">
        <v>885</v>
      </c>
      <c r="B854" t="s">
        <v>17</v>
      </c>
      <c r="C854" t="s">
        <v>27</v>
      </c>
      <c r="D854" t="s">
        <v>21</v>
      </c>
      <c r="E854">
        <v>14</v>
      </c>
      <c r="F854" t="s">
        <v>25</v>
      </c>
      <c r="G854" t="s">
        <v>937</v>
      </c>
      <c r="H854" s="1">
        <v>45392</v>
      </c>
    </row>
    <row r="855" spans="1:8" x14ac:dyDescent="0.35">
      <c r="A855" t="s">
        <v>886</v>
      </c>
      <c r="B855" t="s">
        <v>22</v>
      </c>
      <c r="C855" t="s">
        <v>36</v>
      </c>
      <c r="D855" t="s">
        <v>34</v>
      </c>
      <c r="E855">
        <v>14</v>
      </c>
      <c r="F855" t="s">
        <v>38</v>
      </c>
      <c r="G855" t="s">
        <v>937</v>
      </c>
      <c r="H855" s="1">
        <v>43468</v>
      </c>
    </row>
    <row r="856" spans="1:8" x14ac:dyDescent="0.35">
      <c r="A856" t="s">
        <v>887</v>
      </c>
      <c r="B856" t="s">
        <v>22</v>
      </c>
      <c r="C856" t="s">
        <v>30</v>
      </c>
      <c r="D856" t="s">
        <v>21</v>
      </c>
      <c r="E856">
        <v>15</v>
      </c>
      <c r="F856" t="s">
        <v>18</v>
      </c>
      <c r="G856" t="s">
        <v>937</v>
      </c>
      <c r="H856" s="1">
        <v>43594</v>
      </c>
    </row>
    <row r="857" spans="1:8" x14ac:dyDescent="0.35">
      <c r="A857" t="s">
        <v>888</v>
      </c>
      <c r="B857" t="s">
        <v>22</v>
      </c>
      <c r="C857" t="s">
        <v>36</v>
      </c>
      <c r="D857" t="s">
        <v>44</v>
      </c>
      <c r="E857">
        <v>13</v>
      </c>
      <c r="F857" t="s">
        <v>23</v>
      </c>
      <c r="G857" t="s">
        <v>938</v>
      </c>
      <c r="H857" s="1">
        <v>43512</v>
      </c>
    </row>
    <row r="858" spans="1:8" x14ac:dyDescent="0.35">
      <c r="A858" t="s">
        <v>889</v>
      </c>
      <c r="B858" t="s">
        <v>17</v>
      </c>
      <c r="C858" t="s">
        <v>36</v>
      </c>
      <c r="D858" t="s">
        <v>34</v>
      </c>
      <c r="E858">
        <v>1</v>
      </c>
      <c r="F858" t="s">
        <v>25</v>
      </c>
      <c r="G858" t="s">
        <v>937</v>
      </c>
      <c r="H858" s="1">
        <v>45031</v>
      </c>
    </row>
    <row r="859" spans="1:8" x14ac:dyDescent="0.35">
      <c r="A859" t="s">
        <v>890</v>
      </c>
      <c r="B859" t="s">
        <v>17</v>
      </c>
      <c r="C859" t="s">
        <v>27</v>
      </c>
      <c r="D859" t="s">
        <v>21</v>
      </c>
      <c r="E859">
        <v>2</v>
      </c>
      <c r="F859" t="s">
        <v>38</v>
      </c>
      <c r="G859" t="s">
        <v>937</v>
      </c>
      <c r="H859" s="1">
        <v>43355</v>
      </c>
    </row>
    <row r="860" spans="1:8" x14ac:dyDescent="0.35">
      <c r="A860" t="s">
        <v>891</v>
      </c>
      <c r="B860" t="s">
        <v>22</v>
      </c>
      <c r="C860" t="s">
        <v>15</v>
      </c>
      <c r="D860" t="s">
        <v>44</v>
      </c>
      <c r="E860">
        <v>3</v>
      </c>
      <c r="F860" t="s">
        <v>25</v>
      </c>
      <c r="G860" t="s">
        <v>937</v>
      </c>
      <c r="H860" s="1">
        <v>45337</v>
      </c>
    </row>
    <row r="861" spans="1:8" x14ac:dyDescent="0.35">
      <c r="A861" t="s">
        <v>892</v>
      </c>
      <c r="B861" t="s">
        <v>17</v>
      </c>
      <c r="C861" t="s">
        <v>27</v>
      </c>
      <c r="D861" t="s">
        <v>44</v>
      </c>
      <c r="E861">
        <v>8</v>
      </c>
      <c r="F861" t="s">
        <v>32</v>
      </c>
      <c r="G861" t="s">
        <v>938</v>
      </c>
      <c r="H861" s="1">
        <v>44202</v>
      </c>
    </row>
    <row r="862" spans="1:8" x14ac:dyDescent="0.35">
      <c r="A862" t="s">
        <v>893</v>
      </c>
      <c r="B862" t="s">
        <v>17</v>
      </c>
      <c r="C862" t="s">
        <v>30</v>
      </c>
      <c r="D862" t="s">
        <v>44</v>
      </c>
      <c r="E862">
        <v>7</v>
      </c>
      <c r="F862" t="s">
        <v>38</v>
      </c>
      <c r="G862" t="s">
        <v>937</v>
      </c>
      <c r="H862" s="1">
        <v>42415</v>
      </c>
    </row>
    <row r="863" spans="1:8" x14ac:dyDescent="0.35">
      <c r="A863" t="s">
        <v>894</v>
      </c>
      <c r="B863" t="s">
        <v>22</v>
      </c>
      <c r="C863" t="s">
        <v>30</v>
      </c>
      <c r="D863" t="s">
        <v>16</v>
      </c>
      <c r="E863">
        <v>5</v>
      </c>
      <c r="F863" t="s">
        <v>38</v>
      </c>
      <c r="G863" t="s">
        <v>937</v>
      </c>
      <c r="H863" s="1">
        <v>45293</v>
      </c>
    </row>
    <row r="864" spans="1:8" x14ac:dyDescent="0.35">
      <c r="A864" t="s">
        <v>895</v>
      </c>
      <c r="B864" t="s">
        <v>17</v>
      </c>
      <c r="C864" t="s">
        <v>30</v>
      </c>
      <c r="D864" t="s">
        <v>44</v>
      </c>
      <c r="E864">
        <v>0</v>
      </c>
      <c r="F864" t="s">
        <v>32</v>
      </c>
      <c r="G864" t="s">
        <v>938</v>
      </c>
      <c r="H864" s="1">
        <v>44556</v>
      </c>
    </row>
    <row r="865" spans="1:8" x14ac:dyDescent="0.35">
      <c r="A865" t="s">
        <v>896</v>
      </c>
      <c r="B865" t="s">
        <v>22</v>
      </c>
      <c r="C865" t="s">
        <v>15</v>
      </c>
      <c r="D865" t="s">
        <v>21</v>
      </c>
      <c r="E865">
        <v>13</v>
      </c>
      <c r="F865" t="s">
        <v>38</v>
      </c>
      <c r="G865" t="s">
        <v>937</v>
      </c>
      <c r="H865" s="1">
        <v>42996</v>
      </c>
    </row>
    <row r="866" spans="1:8" x14ac:dyDescent="0.35">
      <c r="A866" t="s">
        <v>897</v>
      </c>
      <c r="B866" t="s">
        <v>17</v>
      </c>
      <c r="C866" t="s">
        <v>30</v>
      </c>
      <c r="D866" t="s">
        <v>16</v>
      </c>
      <c r="E866">
        <v>10</v>
      </c>
      <c r="F866" t="s">
        <v>38</v>
      </c>
      <c r="G866" t="s">
        <v>937</v>
      </c>
      <c r="H866" s="1">
        <v>43322</v>
      </c>
    </row>
    <row r="867" spans="1:8" x14ac:dyDescent="0.35">
      <c r="A867" t="s">
        <v>898</v>
      </c>
      <c r="B867" t="s">
        <v>17</v>
      </c>
      <c r="C867" t="s">
        <v>30</v>
      </c>
      <c r="D867" t="s">
        <v>34</v>
      </c>
      <c r="E867">
        <v>0</v>
      </c>
      <c r="F867" t="s">
        <v>23</v>
      </c>
      <c r="G867" t="s">
        <v>938</v>
      </c>
      <c r="H867" s="1">
        <v>43794</v>
      </c>
    </row>
    <row r="868" spans="1:8" x14ac:dyDescent="0.35">
      <c r="A868" t="s">
        <v>899</v>
      </c>
      <c r="B868" t="s">
        <v>17</v>
      </c>
      <c r="C868" t="s">
        <v>15</v>
      </c>
      <c r="D868" t="s">
        <v>44</v>
      </c>
      <c r="E868">
        <v>10</v>
      </c>
      <c r="F868" t="s">
        <v>45</v>
      </c>
      <c r="G868" t="s">
        <v>938</v>
      </c>
      <c r="H868" s="1">
        <v>42869</v>
      </c>
    </row>
    <row r="869" spans="1:8" x14ac:dyDescent="0.35">
      <c r="A869" t="s">
        <v>900</v>
      </c>
      <c r="B869" t="s">
        <v>17</v>
      </c>
      <c r="C869" t="s">
        <v>36</v>
      </c>
      <c r="D869" t="s">
        <v>44</v>
      </c>
      <c r="E869">
        <v>1</v>
      </c>
      <c r="F869" t="s">
        <v>18</v>
      </c>
      <c r="G869" t="s">
        <v>937</v>
      </c>
      <c r="H869" s="1">
        <v>42318</v>
      </c>
    </row>
    <row r="870" spans="1:8" x14ac:dyDescent="0.35">
      <c r="A870" t="s">
        <v>901</v>
      </c>
      <c r="B870" t="s">
        <v>17</v>
      </c>
      <c r="C870" t="s">
        <v>20</v>
      </c>
      <c r="D870" t="s">
        <v>21</v>
      </c>
      <c r="E870">
        <v>13</v>
      </c>
      <c r="F870" t="s">
        <v>38</v>
      </c>
      <c r="G870" t="s">
        <v>937</v>
      </c>
      <c r="H870" s="1">
        <v>44923</v>
      </c>
    </row>
    <row r="871" spans="1:8" x14ac:dyDescent="0.35">
      <c r="A871" t="s">
        <v>902</v>
      </c>
      <c r="B871" t="s">
        <v>17</v>
      </c>
      <c r="C871" t="s">
        <v>30</v>
      </c>
      <c r="D871" t="s">
        <v>21</v>
      </c>
      <c r="E871">
        <v>5</v>
      </c>
      <c r="F871" t="s">
        <v>18</v>
      </c>
      <c r="G871" t="s">
        <v>937</v>
      </c>
      <c r="H871" s="1">
        <v>45483</v>
      </c>
    </row>
    <row r="872" spans="1:8" x14ac:dyDescent="0.35">
      <c r="A872" t="s">
        <v>903</v>
      </c>
      <c r="B872" t="s">
        <v>17</v>
      </c>
      <c r="C872" t="s">
        <v>30</v>
      </c>
      <c r="D872" t="s">
        <v>21</v>
      </c>
      <c r="E872">
        <v>1</v>
      </c>
      <c r="F872" t="s">
        <v>38</v>
      </c>
      <c r="G872" t="s">
        <v>937</v>
      </c>
      <c r="H872" s="1">
        <v>43070</v>
      </c>
    </row>
    <row r="873" spans="1:8" x14ac:dyDescent="0.35">
      <c r="A873" t="s">
        <v>904</v>
      </c>
      <c r="B873" t="s">
        <v>17</v>
      </c>
      <c r="C873" t="s">
        <v>27</v>
      </c>
      <c r="D873" t="s">
        <v>21</v>
      </c>
      <c r="E873">
        <v>14</v>
      </c>
      <c r="F873" t="s">
        <v>25</v>
      </c>
      <c r="G873" t="s">
        <v>937</v>
      </c>
      <c r="H873" s="1">
        <v>42205</v>
      </c>
    </row>
    <row r="874" spans="1:8" x14ac:dyDescent="0.35">
      <c r="A874" t="s">
        <v>905</v>
      </c>
      <c r="B874" t="s">
        <v>22</v>
      </c>
      <c r="C874" t="s">
        <v>20</v>
      </c>
      <c r="D874" t="s">
        <v>34</v>
      </c>
      <c r="E874">
        <v>11</v>
      </c>
      <c r="F874" t="s">
        <v>45</v>
      </c>
      <c r="G874" t="s">
        <v>938</v>
      </c>
      <c r="H874" s="1">
        <v>45504</v>
      </c>
    </row>
    <row r="875" spans="1:8" x14ac:dyDescent="0.35">
      <c r="A875" t="s">
        <v>906</v>
      </c>
      <c r="B875" t="s">
        <v>22</v>
      </c>
      <c r="C875" t="s">
        <v>27</v>
      </c>
      <c r="D875" t="s">
        <v>34</v>
      </c>
      <c r="E875">
        <v>4</v>
      </c>
      <c r="F875" t="s">
        <v>23</v>
      </c>
      <c r="G875" t="s">
        <v>938</v>
      </c>
      <c r="H875" s="1">
        <v>44313</v>
      </c>
    </row>
    <row r="876" spans="1:8" x14ac:dyDescent="0.35">
      <c r="A876" t="s">
        <v>907</v>
      </c>
      <c r="B876" t="s">
        <v>22</v>
      </c>
      <c r="C876" t="s">
        <v>15</v>
      </c>
      <c r="D876" t="s">
        <v>44</v>
      </c>
      <c r="E876">
        <v>15</v>
      </c>
      <c r="F876" t="s">
        <v>25</v>
      </c>
      <c r="G876" t="s">
        <v>937</v>
      </c>
      <c r="H876" s="1">
        <v>44603</v>
      </c>
    </row>
    <row r="877" spans="1:8" x14ac:dyDescent="0.35">
      <c r="A877" t="s">
        <v>908</v>
      </c>
      <c r="B877" t="s">
        <v>22</v>
      </c>
      <c r="C877" t="s">
        <v>36</v>
      </c>
      <c r="D877" t="s">
        <v>16</v>
      </c>
      <c r="E877">
        <v>8</v>
      </c>
      <c r="F877" t="s">
        <v>23</v>
      </c>
      <c r="G877" t="s">
        <v>938</v>
      </c>
      <c r="H877" s="1">
        <v>44638</v>
      </c>
    </row>
    <row r="878" spans="1:8" x14ac:dyDescent="0.35">
      <c r="A878" t="s">
        <v>909</v>
      </c>
      <c r="B878" t="s">
        <v>17</v>
      </c>
      <c r="C878" t="s">
        <v>30</v>
      </c>
      <c r="D878" t="s">
        <v>34</v>
      </c>
      <c r="E878">
        <v>15</v>
      </c>
      <c r="F878" t="s">
        <v>25</v>
      </c>
      <c r="G878" t="s">
        <v>937</v>
      </c>
      <c r="H878" s="1">
        <v>42611</v>
      </c>
    </row>
    <row r="879" spans="1:8" x14ac:dyDescent="0.35">
      <c r="A879" t="s">
        <v>910</v>
      </c>
      <c r="B879" t="s">
        <v>17</v>
      </c>
      <c r="C879" t="s">
        <v>15</v>
      </c>
      <c r="D879" t="s">
        <v>21</v>
      </c>
      <c r="E879">
        <v>15</v>
      </c>
      <c r="F879" t="s">
        <v>25</v>
      </c>
      <c r="G879" t="s">
        <v>937</v>
      </c>
      <c r="H879" s="1">
        <v>44134</v>
      </c>
    </row>
    <row r="880" spans="1:8" x14ac:dyDescent="0.35">
      <c r="A880" t="s">
        <v>911</v>
      </c>
      <c r="B880" t="s">
        <v>17</v>
      </c>
      <c r="C880" t="s">
        <v>36</v>
      </c>
      <c r="D880" t="s">
        <v>16</v>
      </c>
      <c r="E880">
        <v>0</v>
      </c>
      <c r="F880" t="s">
        <v>23</v>
      </c>
      <c r="G880" t="s">
        <v>938</v>
      </c>
      <c r="H880" s="1">
        <v>42609</v>
      </c>
    </row>
    <row r="881" spans="1:8" x14ac:dyDescent="0.35">
      <c r="A881" t="s">
        <v>912</v>
      </c>
      <c r="B881" t="s">
        <v>22</v>
      </c>
      <c r="C881" t="s">
        <v>27</v>
      </c>
      <c r="D881" t="s">
        <v>34</v>
      </c>
      <c r="E881">
        <v>3</v>
      </c>
      <c r="F881" t="s">
        <v>71</v>
      </c>
      <c r="G881" t="s">
        <v>938</v>
      </c>
      <c r="H881" s="1">
        <v>44091</v>
      </c>
    </row>
    <row r="882" spans="1:8" x14ac:dyDescent="0.35">
      <c r="A882" t="s">
        <v>913</v>
      </c>
      <c r="B882" t="s">
        <v>17</v>
      </c>
      <c r="C882" t="s">
        <v>15</v>
      </c>
      <c r="D882" t="s">
        <v>44</v>
      </c>
      <c r="E882">
        <v>4</v>
      </c>
      <c r="F882" t="s">
        <v>28</v>
      </c>
      <c r="G882" t="s">
        <v>937</v>
      </c>
      <c r="H882" s="1">
        <v>43164</v>
      </c>
    </row>
    <row r="883" spans="1:8" x14ac:dyDescent="0.35">
      <c r="A883" t="s">
        <v>914</v>
      </c>
      <c r="B883" t="s">
        <v>22</v>
      </c>
      <c r="C883" t="s">
        <v>30</v>
      </c>
      <c r="D883" t="s">
        <v>34</v>
      </c>
      <c r="E883">
        <v>8</v>
      </c>
      <c r="F883" t="s">
        <v>32</v>
      </c>
      <c r="G883" t="s">
        <v>938</v>
      </c>
      <c r="H883" s="1">
        <v>43692</v>
      </c>
    </row>
    <row r="884" spans="1:8" x14ac:dyDescent="0.35">
      <c r="A884" t="s">
        <v>915</v>
      </c>
      <c r="B884" t="s">
        <v>22</v>
      </c>
      <c r="C884" t="s">
        <v>20</v>
      </c>
      <c r="D884" t="s">
        <v>16</v>
      </c>
      <c r="E884">
        <v>1</v>
      </c>
      <c r="F884" t="s">
        <v>25</v>
      </c>
      <c r="G884" t="s">
        <v>937</v>
      </c>
      <c r="H884" s="1">
        <v>43181</v>
      </c>
    </row>
    <row r="885" spans="1:8" x14ac:dyDescent="0.35">
      <c r="A885" t="s">
        <v>916</v>
      </c>
      <c r="B885" t="s">
        <v>22</v>
      </c>
      <c r="C885" t="s">
        <v>30</v>
      </c>
      <c r="D885" t="s">
        <v>44</v>
      </c>
      <c r="E885">
        <v>8</v>
      </c>
      <c r="F885" t="s">
        <v>45</v>
      </c>
      <c r="G885" t="s">
        <v>938</v>
      </c>
      <c r="H885" s="1">
        <v>44282</v>
      </c>
    </row>
    <row r="886" spans="1:8" x14ac:dyDescent="0.35">
      <c r="A886" t="s">
        <v>917</v>
      </c>
      <c r="B886" t="s">
        <v>22</v>
      </c>
      <c r="C886" t="s">
        <v>15</v>
      </c>
      <c r="D886" t="s">
        <v>34</v>
      </c>
      <c r="E886">
        <v>13</v>
      </c>
      <c r="F886" t="s">
        <v>23</v>
      </c>
      <c r="G886" t="s">
        <v>938</v>
      </c>
      <c r="H886" s="1">
        <v>45334</v>
      </c>
    </row>
    <row r="887" spans="1:8" x14ac:dyDescent="0.35">
      <c r="A887" t="s">
        <v>918</v>
      </c>
      <c r="B887" t="s">
        <v>17</v>
      </c>
      <c r="C887" t="s">
        <v>20</v>
      </c>
      <c r="D887" t="s">
        <v>44</v>
      </c>
      <c r="E887">
        <v>1</v>
      </c>
      <c r="F887" t="s">
        <v>38</v>
      </c>
      <c r="G887" t="s">
        <v>937</v>
      </c>
      <c r="H887" s="1">
        <v>43043</v>
      </c>
    </row>
    <row r="888" spans="1:8" x14ac:dyDescent="0.35">
      <c r="A888" t="s">
        <v>919</v>
      </c>
      <c r="B888" t="s">
        <v>22</v>
      </c>
      <c r="C888" t="s">
        <v>36</v>
      </c>
      <c r="D888" t="s">
        <v>44</v>
      </c>
      <c r="E888">
        <v>3</v>
      </c>
      <c r="F888" t="s">
        <v>38</v>
      </c>
      <c r="G888" t="s">
        <v>937</v>
      </c>
      <c r="H888" s="1">
        <v>45004</v>
      </c>
    </row>
    <row r="889" spans="1:8" x14ac:dyDescent="0.35">
      <c r="A889" t="s">
        <v>920</v>
      </c>
      <c r="B889" t="s">
        <v>22</v>
      </c>
      <c r="C889" t="s">
        <v>27</v>
      </c>
      <c r="D889" t="s">
        <v>34</v>
      </c>
      <c r="E889">
        <v>8</v>
      </c>
      <c r="F889" t="s">
        <v>28</v>
      </c>
      <c r="G889" t="s">
        <v>937</v>
      </c>
      <c r="H889" s="1">
        <v>44699</v>
      </c>
    </row>
    <row r="890" spans="1:8" x14ac:dyDescent="0.35">
      <c r="A890" t="s">
        <v>921</v>
      </c>
      <c r="B890" t="s">
        <v>22</v>
      </c>
      <c r="C890" t="s">
        <v>15</v>
      </c>
      <c r="D890" t="s">
        <v>34</v>
      </c>
      <c r="E890">
        <v>2</v>
      </c>
      <c r="F890" t="s">
        <v>45</v>
      </c>
      <c r="G890" t="s">
        <v>938</v>
      </c>
      <c r="H890" s="1">
        <v>44673</v>
      </c>
    </row>
    <row r="891" spans="1:8" x14ac:dyDescent="0.35">
      <c r="A891" t="s">
        <v>922</v>
      </c>
      <c r="B891" t="s">
        <v>22</v>
      </c>
      <c r="C891" t="s">
        <v>30</v>
      </c>
      <c r="D891" t="s">
        <v>44</v>
      </c>
      <c r="E891">
        <v>3</v>
      </c>
      <c r="F891" t="s">
        <v>45</v>
      </c>
      <c r="G891" t="s">
        <v>938</v>
      </c>
      <c r="H891" s="1">
        <v>44471</v>
      </c>
    </row>
    <row r="892" spans="1:8" x14ac:dyDescent="0.35">
      <c r="A892" t="s">
        <v>923</v>
      </c>
      <c r="B892" t="s">
        <v>17</v>
      </c>
      <c r="C892" t="s">
        <v>27</v>
      </c>
      <c r="D892" t="s">
        <v>16</v>
      </c>
      <c r="E892">
        <v>10</v>
      </c>
      <c r="F892" t="s">
        <v>23</v>
      </c>
      <c r="G892" t="s">
        <v>938</v>
      </c>
      <c r="H892" s="1">
        <v>43662</v>
      </c>
    </row>
    <row r="893" spans="1:8" x14ac:dyDescent="0.35">
      <c r="A893" t="s">
        <v>924</v>
      </c>
      <c r="B893" t="s">
        <v>22</v>
      </c>
      <c r="C893" t="s">
        <v>20</v>
      </c>
      <c r="D893" t="s">
        <v>44</v>
      </c>
      <c r="E893">
        <v>4</v>
      </c>
      <c r="F893" t="s">
        <v>25</v>
      </c>
      <c r="G893" t="s">
        <v>937</v>
      </c>
      <c r="H893" s="1">
        <v>42570</v>
      </c>
    </row>
    <row r="894" spans="1:8" x14ac:dyDescent="0.35">
      <c r="A894" t="s">
        <v>925</v>
      </c>
      <c r="B894" t="s">
        <v>17</v>
      </c>
      <c r="C894" t="s">
        <v>15</v>
      </c>
      <c r="D894" t="s">
        <v>34</v>
      </c>
      <c r="E894">
        <v>11</v>
      </c>
      <c r="F894" t="s">
        <v>71</v>
      </c>
      <c r="G894" t="s">
        <v>938</v>
      </c>
      <c r="H894" s="1">
        <v>43502</v>
      </c>
    </row>
    <row r="895" spans="1:8" x14ac:dyDescent="0.35">
      <c r="A895" t="s">
        <v>926</v>
      </c>
      <c r="B895" t="s">
        <v>17</v>
      </c>
      <c r="C895" t="s">
        <v>36</v>
      </c>
      <c r="D895" t="s">
        <v>16</v>
      </c>
      <c r="E895">
        <v>8</v>
      </c>
      <c r="F895" t="s">
        <v>25</v>
      </c>
      <c r="G895" t="s">
        <v>937</v>
      </c>
      <c r="H895" s="1">
        <v>44474</v>
      </c>
    </row>
    <row r="896" spans="1:8" x14ac:dyDescent="0.35">
      <c r="A896" t="s">
        <v>927</v>
      </c>
      <c r="B896" t="s">
        <v>17</v>
      </c>
      <c r="C896" t="s">
        <v>20</v>
      </c>
      <c r="D896" t="s">
        <v>16</v>
      </c>
      <c r="E896">
        <v>2</v>
      </c>
      <c r="F896" t="s">
        <v>71</v>
      </c>
      <c r="G896" t="s">
        <v>938</v>
      </c>
      <c r="H896" s="1">
        <v>42142</v>
      </c>
    </row>
    <row r="897" spans="1:8" x14ac:dyDescent="0.35">
      <c r="A897" t="s">
        <v>928</v>
      </c>
      <c r="B897" t="s">
        <v>22</v>
      </c>
      <c r="C897" t="s">
        <v>20</v>
      </c>
      <c r="D897" t="s">
        <v>34</v>
      </c>
      <c r="E897">
        <v>9</v>
      </c>
      <c r="F897" t="s">
        <v>32</v>
      </c>
      <c r="G897" t="s">
        <v>938</v>
      </c>
      <c r="H897" s="1">
        <v>42078</v>
      </c>
    </row>
    <row r="898" spans="1:8" x14ac:dyDescent="0.35">
      <c r="A898" t="s">
        <v>929</v>
      </c>
      <c r="B898" t="s">
        <v>22</v>
      </c>
      <c r="C898" t="s">
        <v>15</v>
      </c>
      <c r="D898" t="s">
        <v>16</v>
      </c>
      <c r="E898">
        <v>0</v>
      </c>
      <c r="F898" t="s">
        <v>25</v>
      </c>
      <c r="G898" t="s">
        <v>937</v>
      </c>
      <c r="H898" s="1">
        <v>42037</v>
      </c>
    </row>
    <row r="899" spans="1:8" x14ac:dyDescent="0.35">
      <c r="A899" t="s">
        <v>930</v>
      </c>
      <c r="B899" t="s">
        <v>17</v>
      </c>
      <c r="C899" t="s">
        <v>27</v>
      </c>
      <c r="D899" t="s">
        <v>34</v>
      </c>
      <c r="E899">
        <v>8</v>
      </c>
      <c r="F899" t="s">
        <v>28</v>
      </c>
      <c r="G899" t="s">
        <v>937</v>
      </c>
      <c r="H899" s="1">
        <v>44412</v>
      </c>
    </row>
    <row r="900" spans="1:8" x14ac:dyDescent="0.35">
      <c r="A900" t="s">
        <v>931</v>
      </c>
      <c r="B900" t="s">
        <v>22</v>
      </c>
      <c r="C900" t="s">
        <v>27</v>
      </c>
      <c r="D900" t="s">
        <v>16</v>
      </c>
      <c r="E900">
        <v>1</v>
      </c>
      <c r="F900" t="s">
        <v>32</v>
      </c>
      <c r="G900" t="s">
        <v>938</v>
      </c>
      <c r="H900" s="1">
        <v>42497</v>
      </c>
    </row>
    <row r="901" spans="1:8" x14ac:dyDescent="0.35">
      <c r="A901" t="s">
        <v>932</v>
      </c>
      <c r="B901" t="s">
        <v>22</v>
      </c>
      <c r="C901" t="s">
        <v>20</v>
      </c>
      <c r="D901" t="s">
        <v>34</v>
      </c>
      <c r="E901">
        <v>13</v>
      </c>
      <c r="F901" t="s">
        <v>38</v>
      </c>
      <c r="G901" t="s">
        <v>937</v>
      </c>
      <c r="H901" s="1">
        <v>42577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01"/>
  <sheetViews>
    <sheetView workbookViewId="0">
      <selection sqref="A1:N901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>
        <v>7</v>
      </c>
      <c r="F2" t="s">
        <v>18</v>
      </c>
      <c r="G2">
        <f>Earnings!G2</f>
        <v>539814.46399999992</v>
      </c>
      <c r="H2">
        <f>Deductions!B2+Deductions!C2+Deductions!D2+Tax!D2</f>
        <v>4158.8666666666668</v>
      </c>
      <c r="I2">
        <f t="shared" ref="I2:I65" si="0">G2-H2+J2</f>
        <v>535655.59733333322</v>
      </c>
      <c r="J2">
        <f>Overtime!D2</f>
        <v>0</v>
      </c>
      <c r="K2">
        <f>IF(C2="Junior",0.06,IF(C2="Mid",0.08,IF(C2="Senior",0.1,IF(C2="Manager",0.12,0))))</f>
        <v>0.06</v>
      </c>
      <c r="L2">
        <f>IF(Performance!E2&gt;2,0.03,IF(Performance!E2&gt;=1,0.01,-0.02))</f>
        <v>0.01</v>
      </c>
      <c r="M2">
        <f t="shared" ref="M2:M65" si="1">K2+L2</f>
        <v>6.9999999999999993E-2</v>
      </c>
      <c r="N2">
        <f>Earnings!B2*(1+M2)</f>
        <v>606724.24</v>
      </c>
    </row>
    <row r="3" spans="1:14" x14ac:dyDescent="0.35">
      <c r="A3" t="s">
        <v>19</v>
      </c>
      <c r="B3" t="s">
        <v>20</v>
      </c>
      <c r="C3" t="s">
        <v>21</v>
      </c>
      <c r="D3" t="s">
        <v>22</v>
      </c>
      <c r="E3">
        <v>14</v>
      </c>
      <c r="F3" t="s">
        <v>23</v>
      </c>
      <c r="G3">
        <f>Earnings!G3</f>
        <v>925330.52919999999</v>
      </c>
      <c r="H3">
        <f>Deductions!B3+Deductions!C3+Deductions!D3+Tax!D3</f>
        <v>10908.0975</v>
      </c>
      <c r="I3">
        <f t="shared" si="0"/>
        <v>1060220.3092</v>
      </c>
      <c r="J3">
        <f>Overtime!D3</f>
        <v>145797.8775</v>
      </c>
      <c r="K3">
        <f>IF(C3="Junior",0.06,IF(C3="Mid",0.08,IF(C3="Senior",0.1,IF(C3="Manager",0.12,0))))</f>
        <v>0.1</v>
      </c>
      <c r="L3">
        <f>IF(Performance!E3&gt;2,0.03,IF(Performance!E3&gt;=1,0.01,-0.02))</f>
        <v>0.03</v>
      </c>
      <c r="M3">
        <f t="shared" si="1"/>
        <v>0.13</v>
      </c>
      <c r="N3">
        <f>Earnings!B3*(1+M3)</f>
        <v>1098344.0104999999</v>
      </c>
    </row>
    <row r="4" spans="1:14" x14ac:dyDescent="0.35">
      <c r="A4" t="s">
        <v>24</v>
      </c>
      <c r="B4" t="s">
        <v>15</v>
      </c>
      <c r="C4" t="s">
        <v>16</v>
      </c>
      <c r="D4" t="s">
        <v>17</v>
      </c>
      <c r="E4">
        <v>8</v>
      </c>
      <c r="F4" t="s">
        <v>25</v>
      </c>
      <c r="G4">
        <f>Earnings!G4</f>
        <v>616474.26399999997</v>
      </c>
      <c r="H4">
        <f>Deductions!B4+Deductions!C4+Deductions!D4+Tax!D4</f>
        <v>5500.9500000000007</v>
      </c>
      <c r="I4">
        <f t="shared" si="0"/>
        <v>630400.02399999998</v>
      </c>
      <c r="J4">
        <f>Overtime!D4</f>
        <v>19426.71</v>
      </c>
      <c r="K4">
        <f>IF(C4="Junior",0.06,IF(C4="Mid",0.08,IF(C4="Senior",0.1,IF(C4="Manager",0.12,0))))</f>
        <v>0.06</v>
      </c>
      <c r="L4">
        <f>IF(Performance!E4&gt;2,0.03,IF(Performance!E4&gt;=1,0.01,-0.02))</f>
        <v>0.01</v>
      </c>
      <c r="M4">
        <f t="shared" si="1"/>
        <v>6.9999999999999993E-2</v>
      </c>
      <c r="N4">
        <f>Earnings!B4*(1+M4)</f>
        <v>692885.99</v>
      </c>
    </row>
    <row r="5" spans="1:14" x14ac:dyDescent="0.35">
      <c r="A5" t="s">
        <v>26</v>
      </c>
      <c r="B5" t="s">
        <v>27</v>
      </c>
      <c r="C5" t="s">
        <v>16</v>
      </c>
      <c r="D5" t="s">
        <v>22</v>
      </c>
      <c r="E5">
        <v>11</v>
      </c>
      <c r="F5" t="s">
        <v>28</v>
      </c>
      <c r="G5">
        <f>Earnings!G5</f>
        <v>672030.69919999992</v>
      </c>
      <c r="H5">
        <f>Deductions!B5+Deductions!C5+Deductions!D5+Tax!D5</f>
        <v>6473.5766666666668</v>
      </c>
      <c r="I5">
        <f t="shared" si="0"/>
        <v>665557.12253333325</v>
      </c>
      <c r="J5">
        <f>Overtime!D5</f>
        <v>0</v>
      </c>
      <c r="K5">
        <f>IF(C5="Junior",0.06,IF(C5="Mid",0.08,IF(C5="Senior",0.1,IF(C5="Manager",0.12,0))))</f>
        <v>0.06</v>
      </c>
      <c r="L5">
        <f>IF(Performance!E5&gt;2,0.03,IF(Performance!E5&gt;=1,0.01,-0.02))</f>
        <v>0.01</v>
      </c>
      <c r="M5">
        <f t="shared" si="1"/>
        <v>6.9999999999999993E-2</v>
      </c>
      <c r="N5">
        <f>Earnings!B5*(1+M5)</f>
        <v>755328.62199999997</v>
      </c>
    </row>
    <row r="6" spans="1:14" x14ac:dyDescent="0.35">
      <c r="A6" t="s">
        <v>29</v>
      </c>
      <c r="B6" t="s">
        <v>30</v>
      </c>
      <c r="C6" t="s">
        <v>16</v>
      </c>
      <c r="D6" t="s">
        <v>17</v>
      </c>
      <c r="E6">
        <v>5</v>
      </c>
      <c r="F6" t="s">
        <v>23</v>
      </c>
      <c r="G6">
        <f>Earnings!G6</f>
        <v>952611.18399999989</v>
      </c>
      <c r="H6">
        <f>Deductions!B6+Deductions!C6+Deductions!D6+Tax!D6</f>
        <v>11391.050000000001</v>
      </c>
      <c r="I6">
        <f t="shared" si="0"/>
        <v>996255.4439999999</v>
      </c>
      <c r="J6">
        <f>Overtime!D6</f>
        <v>55035.31</v>
      </c>
      <c r="K6">
        <f>IF(C6="Junior",0.06,IF(C6="Mid",0.08,IF(C6="Senior",0.1,IF(C6="Manager",0.12,0))))</f>
        <v>0.06</v>
      </c>
      <c r="L6">
        <f>IF(Performance!E6&gt;2,0.03,IF(Performance!E6&gt;=1,0.01,-0.02))</f>
        <v>0.01</v>
      </c>
      <c r="M6">
        <f t="shared" si="1"/>
        <v>6.9999999999999993E-2</v>
      </c>
      <c r="N6">
        <f>Earnings!B6*(1+M6)</f>
        <v>1070686.9400000002</v>
      </c>
    </row>
    <row r="7" spans="1:14" x14ac:dyDescent="0.35">
      <c r="A7" t="s">
        <v>31</v>
      </c>
      <c r="B7" t="s">
        <v>20</v>
      </c>
      <c r="C7" t="s">
        <v>16</v>
      </c>
      <c r="D7" t="s">
        <v>22</v>
      </c>
      <c r="E7">
        <v>2</v>
      </c>
      <c r="F7" t="s">
        <v>32</v>
      </c>
      <c r="G7">
        <f>Earnings!G7</f>
        <v>489313.8628</v>
      </c>
      <c r="H7">
        <f>Deductions!B7+Deductions!C7+Deductions!D7+Tax!D7</f>
        <v>3274.7525000000005</v>
      </c>
      <c r="I7">
        <f t="shared" si="0"/>
        <v>486039.1103</v>
      </c>
      <c r="J7">
        <f>Overtime!D7</f>
        <v>0</v>
      </c>
      <c r="K7">
        <f>IF(C7="Junior",0.06,IF(C7="Mid",0.08,IF(C7="Senior",0.1,IF(C7="Manager",0.12,0))))</f>
        <v>0.06</v>
      </c>
      <c r="L7">
        <f>IF(Performance!E7&gt;2,0.03,IF(Performance!E7&gt;=1,0.01,-0.02))</f>
        <v>0.03</v>
      </c>
      <c r="M7">
        <f t="shared" si="1"/>
        <v>0.09</v>
      </c>
      <c r="N7">
        <f>Earnings!B7*(1+M7)</f>
        <v>560243.81350000005</v>
      </c>
    </row>
    <row r="8" spans="1:14" x14ac:dyDescent="0.35">
      <c r="A8" t="s">
        <v>33</v>
      </c>
      <c r="B8" t="s">
        <v>27</v>
      </c>
      <c r="C8" t="s">
        <v>34</v>
      </c>
      <c r="D8" t="s">
        <v>22</v>
      </c>
      <c r="E8">
        <v>11</v>
      </c>
      <c r="F8" t="s">
        <v>32</v>
      </c>
      <c r="G8">
        <f>Earnings!G8</f>
        <v>858983.7452</v>
      </c>
      <c r="H8">
        <f>Deductions!B8+Deductions!C8+Deductions!D8+Tax!D8</f>
        <v>9746.564166666667</v>
      </c>
      <c r="I8">
        <f t="shared" si="0"/>
        <v>849237.1810333333</v>
      </c>
      <c r="J8">
        <f>Overtime!D8</f>
        <v>0</v>
      </c>
      <c r="K8">
        <f>IF(C8="Junior",0.06,IF(C8="Mid",0.08,IF(C8="Senior",0.1,IF(C8="Manager",0.12,0))))</f>
        <v>0.08</v>
      </c>
      <c r="L8">
        <f>IF(Performance!E8&gt;2,0.03,IF(Performance!E8&gt;=1,0.01,-0.02))</f>
        <v>0.01</v>
      </c>
      <c r="M8">
        <f t="shared" si="1"/>
        <v>0.09</v>
      </c>
      <c r="N8">
        <f>Earnings!B8*(1+M8)</f>
        <v>983500.29650000005</v>
      </c>
    </row>
    <row r="9" spans="1:14" x14ac:dyDescent="0.35">
      <c r="A9" t="s">
        <v>35</v>
      </c>
      <c r="B9" t="s">
        <v>36</v>
      </c>
      <c r="C9" t="s">
        <v>34</v>
      </c>
      <c r="D9" t="s">
        <v>17</v>
      </c>
      <c r="E9">
        <v>3</v>
      </c>
      <c r="F9" t="s">
        <v>25</v>
      </c>
      <c r="G9">
        <f>Earnings!G9</f>
        <v>1030885.576</v>
      </c>
      <c r="H9">
        <f>Deductions!B9+Deductions!C9+Deductions!D9+Tax!D9</f>
        <v>13446.574999999999</v>
      </c>
      <c r="I9">
        <f t="shared" si="0"/>
        <v>1114896.6710000001</v>
      </c>
      <c r="J9">
        <f>Overtime!D9</f>
        <v>97457.670000000013</v>
      </c>
      <c r="K9">
        <f>IF(C9="Junior",0.06,IF(C9="Mid",0.08,IF(C9="Senior",0.1,IF(C9="Manager",0.12,0))))</f>
        <v>0.08</v>
      </c>
      <c r="L9">
        <f>IF(Performance!E9&gt;2,0.03,IF(Performance!E9&gt;=1,0.01,-0.02))</f>
        <v>0.01</v>
      </c>
      <c r="M9">
        <f t="shared" si="1"/>
        <v>0.09</v>
      </c>
      <c r="N9">
        <f>Earnings!B9*(1+M9)</f>
        <v>1180320.6700000002</v>
      </c>
    </row>
    <row r="10" spans="1:14" x14ac:dyDescent="0.35">
      <c r="A10" t="s">
        <v>37</v>
      </c>
      <c r="B10" t="s">
        <v>36</v>
      </c>
      <c r="C10" t="s">
        <v>21</v>
      </c>
      <c r="D10" t="s">
        <v>22</v>
      </c>
      <c r="E10">
        <v>10</v>
      </c>
      <c r="F10" t="s">
        <v>38</v>
      </c>
      <c r="G10">
        <f>Earnings!G10</f>
        <v>1167446.5488</v>
      </c>
      <c r="H10">
        <f>Deductions!B10+Deductions!C10+Deductions!D10+Tax!D10</f>
        <v>17032.734999999993</v>
      </c>
      <c r="I10">
        <f t="shared" si="0"/>
        <v>1150413.8137999999</v>
      </c>
      <c r="J10">
        <f>Overtime!D10</f>
        <v>0</v>
      </c>
      <c r="K10">
        <f>IF(C10="Junior",0.06,IF(C10="Mid",0.08,IF(C10="Senior",0.1,IF(C10="Manager",0.12,0))))</f>
        <v>0.1</v>
      </c>
      <c r="L10">
        <f>IF(Performance!E10&gt;2,0.03,IF(Performance!E10&gt;=1,0.01,-0.02))</f>
        <v>0.01</v>
      </c>
      <c r="M10">
        <f t="shared" si="1"/>
        <v>0.11</v>
      </c>
      <c r="N10">
        <f>Earnings!B10*(1+M10)</f>
        <v>1361203.4340000001</v>
      </c>
    </row>
    <row r="11" spans="1:14" x14ac:dyDescent="0.35">
      <c r="A11" t="s">
        <v>39</v>
      </c>
      <c r="B11" t="s">
        <v>20</v>
      </c>
      <c r="C11" t="s">
        <v>34</v>
      </c>
      <c r="D11" t="s">
        <v>17</v>
      </c>
      <c r="E11">
        <v>6</v>
      </c>
      <c r="F11" t="s">
        <v>32</v>
      </c>
      <c r="G11">
        <f>Earnings!G11</f>
        <v>852143.76800000004</v>
      </c>
      <c r="H11">
        <f>Deductions!B11+Deductions!C11+Deductions!D11+Tax!D11</f>
        <v>9626.8166666666657</v>
      </c>
      <c r="I11">
        <f t="shared" si="0"/>
        <v>963356.66633333336</v>
      </c>
      <c r="J11">
        <f>Overtime!D11</f>
        <v>120839.715</v>
      </c>
      <c r="K11">
        <f>IF(C11="Junior",0.06,IF(C11="Mid",0.08,IF(C11="Senior",0.1,IF(C11="Manager",0.12,0))))</f>
        <v>0.08</v>
      </c>
      <c r="L11">
        <f>IF(Performance!E11&gt;2,0.03,IF(Performance!E11&gt;=1,0.01,-0.02))</f>
        <v>0.03</v>
      </c>
      <c r="M11">
        <f t="shared" si="1"/>
        <v>0.11</v>
      </c>
      <c r="N11">
        <f>Earnings!B11*(1+M11)</f>
        <v>993570.99000000011</v>
      </c>
    </row>
    <row r="12" spans="1:14" x14ac:dyDescent="0.35">
      <c r="A12" t="s">
        <v>40</v>
      </c>
      <c r="B12" t="s">
        <v>27</v>
      </c>
      <c r="C12" t="s">
        <v>16</v>
      </c>
      <c r="D12" t="s">
        <v>22</v>
      </c>
      <c r="E12">
        <v>6</v>
      </c>
      <c r="F12" t="s">
        <v>28</v>
      </c>
      <c r="G12">
        <f>Earnings!G12</f>
        <v>535136.19319999998</v>
      </c>
      <c r="H12">
        <f>Deductions!B12+Deductions!C12+Deductions!D12+Tax!D12</f>
        <v>4076.9641666666662</v>
      </c>
      <c r="I12">
        <f t="shared" si="0"/>
        <v>531059.22903333337</v>
      </c>
      <c r="J12">
        <f>Overtime!D12</f>
        <v>0</v>
      </c>
      <c r="K12">
        <f>IF(C12="Junior",0.06,IF(C12="Mid",0.08,IF(C12="Senior",0.1,IF(C12="Manager",0.12,0))))</f>
        <v>0.06</v>
      </c>
      <c r="L12">
        <f>IF(Performance!E12&gt;2,0.03,IF(Performance!E12&gt;=1,0.01,-0.02))</f>
        <v>0.01</v>
      </c>
      <c r="M12">
        <f t="shared" si="1"/>
        <v>6.9999999999999993E-2</v>
      </c>
      <c r="N12">
        <f>Earnings!B12*(1+M12)</f>
        <v>601466.09950000001</v>
      </c>
    </row>
    <row r="13" spans="1:14" x14ac:dyDescent="0.35">
      <c r="A13" t="s">
        <v>41</v>
      </c>
      <c r="B13" t="s">
        <v>30</v>
      </c>
      <c r="C13" t="s">
        <v>34</v>
      </c>
      <c r="D13" t="s">
        <v>17</v>
      </c>
      <c r="E13">
        <v>7</v>
      </c>
      <c r="F13" t="s">
        <v>28</v>
      </c>
      <c r="G13">
        <f>Earnings!G13</f>
        <v>953050.05599999998</v>
      </c>
      <c r="H13">
        <f>Deductions!B13+Deductions!C13+Deductions!D13+Tax!D13</f>
        <v>11402.574999999999</v>
      </c>
      <c r="I13">
        <f t="shared" si="0"/>
        <v>1001713.6610000001</v>
      </c>
      <c r="J13">
        <f>Overtime!D13</f>
        <v>60066.180000000008</v>
      </c>
      <c r="K13">
        <f>IF(C13="Junior",0.06,IF(C13="Mid",0.08,IF(C13="Senior",0.1,IF(C13="Manager",0.12,0))))</f>
        <v>0.08</v>
      </c>
      <c r="L13">
        <f>IF(Performance!E13&gt;2,0.03,IF(Performance!E13&gt;=1,0.01,-0.02))</f>
        <v>0.01</v>
      </c>
      <c r="M13">
        <f t="shared" si="1"/>
        <v>0.09</v>
      </c>
      <c r="N13">
        <f>Earnings!B13*(1+M13)</f>
        <v>1091202.27</v>
      </c>
    </row>
    <row r="14" spans="1:14" x14ac:dyDescent="0.35">
      <c r="A14" t="s">
        <v>42</v>
      </c>
      <c r="B14" t="s">
        <v>15</v>
      </c>
      <c r="C14" t="s">
        <v>21</v>
      </c>
      <c r="D14" t="s">
        <v>17</v>
      </c>
      <c r="E14">
        <v>14</v>
      </c>
      <c r="F14" t="s">
        <v>32</v>
      </c>
      <c r="G14">
        <f>Earnings!G14</f>
        <v>902866.32799999998</v>
      </c>
      <c r="H14">
        <f>Deductions!B14+Deductions!C14+Deductions!D14+Tax!D14</f>
        <v>10514.816666666668</v>
      </c>
      <c r="I14">
        <f t="shared" si="0"/>
        <v>892351.51133333333</v>
      </c>
      <c r="J14">
        <f>Overtime!D14</f>
        <v>0</v>
      </c>
      <c r="K14">
        <f>IF(C14="Junior",0.06,IF(C14="Mid",0.08,IF(C14="Senior",0.1,IF(C14="Manager",0.12,0))))</f>
        <v>0.1</v>
      </c>
      <c r="L14">
        <f>IF(Performance!E14&gt;2,0.03,IF(Performance!E14&gt;=1,0.01,-0.02))</f>
        <v>0.01</v>
      </c>
      <c r="M14">
        <f t="shared" si="1"/>
        <v>0.11</v>
      </c>
      <c r="N14">
        <f>Earnings!B14*(1+M14)</f>
        <v>1052711.79</v>
      </c>
    </row>
    <row r="15" spans="1:14" x14ac:dyDescent="0.35">
      <c r="A15" t="s">
        <v>43</v>
      </c>
      <c r="B15" t="s">
        <v>15</v>
      </c>
      <c r="C15" t="s">
        <v>44</v>
      </c>
      <c r="D15" t="s">
        <v>22</v>
      </c>
      <c r="E15">
        <v>11</v>
      </c>
      <c r="F15" t="s">
        <v>45</v>
      </c>
      <c r="G15">
        <f>Earnings!G15</f>
        <v>675565.99879999994</v>
      </c>
      <c r="H15">
        <f>Deductions!B15+Deductions!C15+Deductions!D15+Tax!D15</f>
        <v>6535.4691666666668</v>
      </c>
      <c r="I15">
        <f t="shared" si="0"/>
        <v>669030.52963333332</v>
      </c>
      <c r="J15">
        <f>Overtime!D15</f>
        <v>0</v>
      </c>
      <c r="K15">
        <f>IF(C15="Junior",0.06,IF(C15="Mid",0.08,IF(C15="Senior",0.1,IF(C15="Manager",0.12,0))))</f>
        <v>0.12</v>
      </c>
      <c r="L15">
        <f>IF(Performance!E15&gt;2,0.03,IF(Performance!E15&gt;=1,0.01,-0.02))</f>
        <v>0.01</v>
      </c>
      <c r="M15">
        <f t="shared" si="1"/>
        <v>0.13</v>
      </c>
      <c r="N15">
        <f>Earnings!B15*(1+M15)</f>
        <v>801879.80949999997</v>
      </c>
    </row>
    <row r="16" spans="1:14" x14ac:dyDescent="0.35">
      <c r="A16" t="s">
        <v>46</v>
      </c>
      <c r="B16" t="s">
        <v>36</v>
      </c>
      <c r="C16" t="s">
        <v>21</v>
      </c>
      <c r="D16" t="s">
        <v>22</v>
      </c>
      <c r="E16">
        <v>8</v>
      </c>
      <c r="F16" t="s">
        <v>45</v>
      </c>
      <c r="G16">
        <f>Earnings!G16</f>
        <v>936155.29279999994</v>
      </c>
      <c r="H16">
        <f>Deductions!B16+Deductions!C16+Deductions!D16+Tax!D16</f>
        <v>11097.606666666665</v>
      </c>
      <c r="I16">
        <f t="shared" si="0"/>
        <v>925057.68613333325</v>
      </c>
      <c r="J16">
        <f>Overtime!D16</f>
        <v>0</v>
      </c>
      <c r="K16">
        <f>IF(C16="Junior",0.06,IF(C16="Mid",0.08,IF(C16="Senior",0.1,IF(C16="Manager",0.12,0))))</f>
        <v>0.1</v>
      </c>
      <c r="L16">
        <f>IF(Performance!E16&gt;2,0.03,IF(Performance!E16&gt;=1,0.01,-0.02))</f>
        <v>0.01</v>
      </c>
      <c r="M16">
        <f t="shared" si="1"/>
        <v>0.11</v>
      </c>
      <c r="N16">
        <f>Earnings!B16*(1+M16)</f>
        <v>1091525.6040000001</v>
      </c>
    </row>
    <row r="17" spans="1:14" x14ac:dyDescent="0.35">
      <c r="A17" t="s">
        <v>47</v>
      </c>
      <c r="B17" t="s">
        <v>36</v>
      </c>
      <c r="C17" t="s">
        <v>16</v>
      </c>
      <c r="D17" t="s">
        <v>22</v>
      </c>
      <c r="E17">
        <v>11</v>
      </c>
      <c r="F17" t="s">
        <v>28</v>
      </c>
      <c r="G17">
        <f>Earnings!G17</f>
        <v>1054257.2712000001</v>
      </c>
      <c r="H17">
        <f>Deductions!B17+Deductions!C17+Deductions!D17+Tax!D17</f>
        <v>14060.327500000001</v>
      </c>
      <c r="I17">
        <f t="shared" si="0"/>
        <v>1195234.7777</v>
      </c>
      <c r="J17">
        <f>Overtime!D17</f>
        <v>155037.834</v>
      </c>
      <c r="K17">
        <f>IF(C17="Junior",0.06,IF(C17="Mid",0.08,IF(C17="Senior",0.1,IF(C17="Manager",0.12,0))))</f>
        <v>0.06</v>
      </c>
      <c r="L17">
        <f>IF(Performance!E17&gt;2,0.03,IF(Performance!E17&gt;=1,0.01,-0.02))</f>
        <v>0.01</v>
      </c>
      <c r="M17">
        <f t="shared" si="1"/>
        <v>6.9999999999999993E-2</v>
      </c>
      <c r="N17">
        <f>Earnings!B17*(1+M17)</f>
        <v>1184932.0170000002</v>
      </c>
    </row>
    <row r="18" spans="1:14" x14ac:dyDescent="0.35">
      <c r="A18" t="s">
        <v>48</v>
      </c>
      <c r="B18" t="s">
        <v>27</v>
      </c>
      <c r="C18" t="s">
        <v>44</v>
      </c>
      <c r="D18" t="s">
        <v>22</v>
      </c>
      <c r="E18">
        <v>0</v>
      </c>
      <c r="F18" t="s">
        <v>18</v>
      </c>
      <c r="G18">
        <f>Earnings!G18</f>
        <v>624091.16839999997</v>
      </c>
      <c r="H18">
        <f>Deductions!B18+Deductions!C18+Deductions!D18+Tax!D18</f>
        <v>5634.2991666666658</v>
      </c>
      <c r="I18">
        <f t="shared" si="0"/>
        <v>697123.8232333333</v>
      </c>
      <c r="J18">
        <f>Overtime!D18</f>
        <v>78666.953999999998</v>
      </c>
      <c r="K18">
        <f>IF(C18="Junior",0.06,IF(C18="Mid",0.08,IF(C18="Senior",0.1,IF(C18="Manager",0.12,0))))</f>
        <v>0.12</v>
      </c>
      <c r="L18">
        <f>IF(Performance!E18&gt;2,0.03,IF(Performance!E18&gt;=1,0.01,-0.02))</f>
        <v>0.01</v>
      </c>
      <c r="M18">
        <f t="shared" si="1"/>
        <v>0.13</v>
      </c>
      <c r="N18">
        <f>Earnings!B18*(1+M18)</f>
        <v>740780.48349999986</v>
      </c>
    </row>
    <row r="19" spans="1:14" x14ac:dyDescent="0.35">
      <c r="A19" t="s">
        <v>49</v>
      </c>
      <c r="B19" t="s">
        <v>36</v>
      </c>
      <c r="C19" t="s">
        <v>21</v>
      </c>
      <c r="D19" t="s">
        <v>17</v>
      </c>
      <c r="E19">
        <v>3</v>
      </c>
      <c r="F19" t="s">
        <v>32</v>
      </c>
      <c r="G19">
        <f>Earnings!G19</f>
        <v>1020932.416</v>
      </c>
      <c r="H19">
        <f>Deductions!B19+Deductions!C19+Deductions!D19+Tax!D19</f>
        <v>13185.199999999999</v>
      </c>
      <c r="I19">
        <f t="shared" si="0"/>
        <v>1061367.6159999999</v>
      </c>
      <c r="J19">
        <f>Overtime!D19</f>
        <v>53620.4</v>
      </c>
      <c r="K19">
        <f>IF(C19="Junior",0.06,IF(C19="Mid",0.08,IF(C19="Senior",0.1,IF(C19="Manager",0.12,0))))</f>
        <v>0.1</v>
      </c>
      <c r="L19">
        <f>IF(Performance!E19&gt;2,0.03,IF(Performance!E19&gt;=1,0.01,-0.02))</f>
        <v>0.01</v>
      </c>
      <c r="M19">
        <f t="shared" si="1"/>
        <v>0.11</v>
      </c>
      <c r="N19">
        <f>Earnings!B19*(1+M19)</f>
        <v>1190372.8800000001</v>
      </c>
    </row>
    <row r="20" spans="1:14" x14ac:dyDescent="0.35">
      <c r="A20" t="s">
        <v>50</v>
      </c>
      <c r="B20" t="s">
        <v>15</v>
      </c>
      <c r="C20" t="s">
        <v>44</v>
      </c>
      <c r="D20" t="s">
        <v>22</v>
      </c>
      <c r="E20">
        <v>15</v>
      </c>
      <c r="F20" t="s">
        <v>23</v>
      </c>
      <c r="G20">
        <f>Earnings!G20</f>
        <v>701018.52800000005</v>
      </c>
      <c r="H20">
        <f>Deductions!B20+Deductions!C20+Deductions!D20+Tax!D20</f>
        <v>6981.0666666666666</v>
      </c>
      <c r="I20">
        <f t="shared" si="0"/>
        <v>694037.4613333334</v>
      </c>
      <c r="J20">
        <f>Overtime!D20</f>
        <v>0</v>
      </c>
      <c r="K20">
        <f>IF(C20="Junior",0.06,IF(C20="Mid",0.08,IF(C20="Senior",0.1,IF(C20="Manager",0.12,0))))</f>
        <v>0.12</v>
      </c>
      <c r="L20">
        <f>IF(Performance!E20&gt;2,0.03,IF(Performance!E20&gt;=1,0.01,-0.02))</f>
        <v>0.01</v>
      </c>
      <c r="M20">
        <f t="shared" si="1"/>
        <v>0.13</v>
      </c>
      <c r="N20">
        <f>Earnings!B20*(1+M20)</f>
        <v>832091.32</v>
      </c>
    </row>
    <row r="21" spans="1:14" x14ac:dyDescent="0.35">
      <c r="A21" t="s">
        <v>51</v>
      </c>
      <c r="B21" t="s">
        <v>36</v>
      </c>
      <c r="C21" t="s">
        <v>34</v>
      </c>
      <c r="D21" t="s">
        <v>17</v>
      </c>
      <c r="E21">
        <v>1</v>
      </c>
      <c r="F21" t="s">
        <v>18</v>
      </c>
      <c r="G21">
        <f>Earnings!G21</f>
        <v>740115.26399999997</v>
      </c>
      <c r="H21">
        <f>Deductions!B21+Deductions!C21+Deductions!D21+Tax!D21</f>
        <v>7665.5333333333328</v>
      </c>
      <c r="I21">
        <f t="shared" si="0"/>
        <v>849064.53066666657</v>
      </c>
      <c r="J21">
        <f>Overtime!D21</f>
        <v>116614.79999999999</v>
      </c>
      <c r="K21">
        <f>IF(C21="Junior",0.06,IF(C21="Mid",0.08,IF(C21="Senior",0.1,IF(C21="Manager",0.12,0))))</f>
        <v>0.08</v>
      </c>
      <c r="L21">
        <f>IF(Performance!E21&gt;2,0.03,IF(Performance!E21&gt;=1,0.01,-0.02))</f>
        <v>0.01</v>
      </c>
      <c r="M21">
        <f t="shared" si="1"/>
        <v>0.09</v>
      </c>
      <c r="N21">
        <f>Earnings!B21*(1+M21)</f>
        <v>847400.88</v>
      </c>
    </row>
    <row r="22" spans="1:14" x14ac:dyDescent="0.35">
      <c r="A22" t="s">
        <v>52</v>
      </c>
      <c r="B22" t="s">
        <v>36</v>
      </c>
      <c r="C22" t="s">
        <v>16</v>
      </c>
      <c r="D22" t="s">
        <v>17</v>
      </c>
      <c r="E22">
        <v>6</v>
      </c>
      <c r="F22" t="s">
        <v>23</v>
      </c>
      <c r="G22">
        <f>Earnings!G22</f>
        <v>753085.31200000003</v>
      </c>
      <c r="H22">
        <f>Deductions!B22+Deductions!C22+Deductions!D22+Tax!D22</f>
        <v>7892.6000000000013</v>
      </c>
      <c r="I22">
        <f t="shared" si="0"/>
        <v>745192.71200000006</v>
      </c>
      <c r="J22">
        <f>Overtime!D22</f>
        <v>0</v>
      </c>
      <c r="K22">
        <f>IF(C22="Junior",0.06,IF(C22="Mid",0.08,IF(C22="Senior",0.1,IF(C22="Manager",0.12,0))))</f>
        <v>0.06</v>
      </c>
      <c r="L22">
        <f>IF(Performance!E22&gt;2,0.03,IF(Performance!E22&gt;=1,0.01,-0.02))</f>
        <v>0.01</v>
      </c>
      <c r="M22">
        <f t="shared" si="1"/>
        <v>6.9999999999999993E-2</v>
      </c>
      <c r="N22">
        <f>Earnings!B22*(1+M22)</f>
        <v>846429.92</v>
      </c>
    </row>
    <row r="23" spans="1:14" x14ac:dyDescent="0.35">
      <c r="A23" t="s">
        <v>53</v>
      </c>
      <c r="B23" t="s">
        <v>20</v>
      </c>
      <c r="C23" t="s">
        <v>21</v>
      </c>
      <c r="D23" t="s">
        <v>17</v>
      </c>
      <c r="E23">
        <v>8</v>
      </c>
      <c r="F23" t="s">
        <v>25</v>
      </c>
      <c r="G23">
        <f>Earnings!G23</f>
        <v>831512.97600000002</v>
      </c>
      <c r="H23">
        <f>Deductions!B23+Deductions!C23+Deductions!D23+Tax!D23</f>
        <v>9265.633333333335</v>
      </c>
      <c r="I23">
        <f t="shared" si="0"/>
        <v>822247.34266666672</v>
      </c>
      <c r="J23">
        <f>Overtime!D23</f>
        <v>0</v>
      </c>
      <c r="K23">
        <f>IF(C23="Junior",0.06,IF(C23="Mid",0.08,IF(C23="Senior",0.1,IF(C23="Manager",0.12,0))))</f>
        <v>0.1</v>
      </c>
      <c r="L23">
        <f>IF(Performance!E23&gt;2,0.03,IF(Performance!E23&gt;=1,0.01,-0.02))</f>
        <v>0.03</v>
      </c>
      <c r="M23">
        <f t="shared" si="1"/>
        <v>0.13</v>
      </c>
      <c r="N23">
        <f>Earnings!B23*(1+M23)</f>
        <v>986984.94</v>
      </c>
    </row>
    <row r="24" spans="1:14" x14ac:dyDescent="0.35">
      <c r="A24" t="s">
        <v>54</v>
      </c>
      <c r="B24" t="s">
        <v>20</v>
      </c>
      <c r="C24" t="s">
        <v>34</v>
      </c>
      <c r="D24" t="s">
        <v>17</v>
      </c>
      <c r="E24">
        <v>8</v>
      </c>
      <c r="F24" t="s">
        <v>45</v>
      </c>
      <c r="G24">
        <f>Earnings!G24</f>
        <v>869790.04</v>
      </c>
      <c r="H24">
        <f>Deductions!B24+Deductions!C24+Deductions!D24+Tax!D24</f>
        <v>9935.75</v>
      </c>
      <c r="I24">
        <f t="shared" si="0"/>
        <v>928377.66500000004</v>
      </c>
      <c r="J24">
        <f>Overtime!D24</f>
        <v>68523.375</v>
      </c>
      <c r="K24">
        <f>IF(C24="Junior",0.06,IF(C24="Mid",0.08,IF(C24="Senior",0.1,IF(C24="Manager",0.12,0))))</f>
        <v>0.08</v>
      </c>
      <c r="L24">
        <f>IF(Performance!E24&gt;2,0.03,IF(Performance!E24&gt;=1,0.01,-0.02))</f>
        <v>0.03</v>
      </c>
      <c r="M24">
        <f t="shared" si="1"/>
        <v>0.11</v>
      </c>
      <c r="N24">
        <f>Earnings!B24*(1+M24)</f>
        <v>1014145.9500000001</v>
      </c>
    </row>
    <row r="25" spans="1:14" x14ac:dyDescent="0.35">
      <c r="A25" t="s">
        <v>55</v>
      </c>
      <c r="B25" t="s">
        <v>36</v>
      </c>
      <c r="C25" t="s">
        <v>44</v>
      </c>
      <c r="D25" t="s">
        <v>22</v>
      </c>
      <c r="E25">
        <v>9</v>
      </c>
      <c r="F25" t="s">
        <v>38</v>
      </c>
      <c r="G25">
        <f>Earnings!G25</f>
        <v>949553.97879999992</v>
      </c>
      <c r="H25">
        <f>Deductions!B25+Deductions!C25+Deductions!D25+Tax!D25</f>
        <v>11332.1775</v>
      </c>
      <c r="I25">
        <f t="shared" si="0"/>
        <v>938221.80129999993</v>
      </c>
      <c r="J25">
        <f>Overtime!D25</f>
        <v>0</v>
      </c>
      <c r="K25">
        <f>IF(C25="Junior",0.06,IF(C25="Mid",0.08,IF(C25="Senior",0.1,IF(C25="Manager",0.12,0))))</f>
        <v>0.12</v>
      </c>
      <c r="L25">
        <f>IF(Performance!E25&gt;2,0.03,IF(Performance!E25&gt;=1,0.01,-0.02))</f>
        <v>0.01</v>
      </c>
      <c r="M25">
        <f t="shared" si="1"/>
        <v>0.13</v>
      </c>
      <c r="N25">
        <f>Earnings!B25*(1+M25)</f>
        <v>1127096.6344999997</v>
      </c>
    </row>
    <row r="26" spans="1:14" x14ac:dyDescent="0.35">
      <c r="A26" t="s">
        <v>56</v>
      </c>
      <c r="B26" t="s">
        <v>27</v>
      </c>
      <c r="C26" t="s">
        <v>16</v>
      </c>
      <c r="D26" t="s">
        <v>22</v>
      </c>
      <c r="E26">
        <v>14</v>
      </c>
      <c r="F26" t="s">
        <v>38</v>
      </c>
      <c r="G26">
        <f>Earnings!G26</f>
        <v>914104.21199999994</v>
      </c>
      <c r="H26">
        <f>Deductions!B26+Deductions!C26+Deductions!D26+Tax!D26</f>
        <v>10711.558333333334</v>
      </c>
      <c r="I26">
        <f t="shared" si="0"/>
        <v>927397.49116666662</v>
      </c>
      <c r="J26">
        <f>Overtime!D26</f>
        <v>24004.837500000001</v>
      </c>
      <c r="K26">
        <f>IF(C26="Junior",0.06,IF(C26="Mid",0.08,IF(C26="Senior",0.1,IF(C26="Manager",0.12,0))))</f>
        <v>0.06</v>
      </c>
      <c r="L26">
        <f>IF(Performance!E26&gt;2,0.03,IF(Performance!E26&gt;=1,0.01,-0.02))</f>
        <v>0.01</v>
      </c>
      <c r="M26">
        <f t="shared" si="1"/>
        <v>6.9999999999999993E-2</v>
      </c>
      <c r="N26">
        <f>Earnings!B26*(1+M26)</f>
        <v>1027407.045</v>
      </c>
    </row>
    <row r="27" spans="1:14" x14ac:dyDescent="0.35">
      <c r="A27" t="s">
        <v>57</v>
      </c>
      <c r="B27" t="s">
        <v>15</v>
      </c>
      <c r="C27" t="s">
        <v>34</v>
      </c>
      <c r="D27" t="s">
        <v>17</v>
      </c>
      <c r="E27">
        <v>7</v>
      </c>
      <c r="F27" t="s">
        <v>23</v>
      </c>
      <c r="G27">
        <f>Earnings!G27</f>
        <v>705194</v>
      </c>
      <c r="H27">
        <f>Deductions!B27+Deductions!C27+Deductions!D27+Tax!D27</f>
        <v>7054.166666666667</v>
      </c>
      <c r="I27">
        <f t="shared" si="0"/>
        <v>698139.83333333337</v>
      </c>
      <c r="J27">
        <f>Overtime!D27</f>
        <v>0</v>
      </c>
      <c r="K27">
        <f>IF(C27="Junior",0.06,IF(C27="Mid",0.08,IF(C27="Senior",0.1,IF(C27="Manager",0.12,0))))</f>
        <v>0.08</v>
      </c>
      <c r="L27">
        <f>IF(Performance!E27&gt;2,0.03,IF(Performance!E27&gt;=1,0.01,-0.02))</f>
        <v>0.01</v>
      </c>
      <c r="M27">
        <f t="shared" si="1"/>
        <v>0.09</v>
      </c>
      <c r="N27">
        <f>Earnings!B27*(1+M27)</f>
        <v>807417.50000000012</v>
      </c>
    </row>
    <row r="28" spans="1:14" x14ac:dyDescent="0.35">
      <c r="A28" t="s">
        <v>58</v>
      </c>
      <c r="B28" t="s">
        <v>27</v>
      </c>
      <c r="C28" t="s">
        <v>34</v>
      </c>
      <c r="D28" t="s">
        <v>22</v>
      </c>
      <c r="E28">
        <v>1</v>
      </c>
      <c r="F28" t="s">
        <v>38</v>
      </c>
      <c r="G28">
        <f>Earnings!G28</f>
        <v>431482.0048</v>
      </c>
      <c r="H28">
        <f>Deductions!B28+Deductions!C28+Deductions!D28+Tax!D28</f>
        <v>2846.8225000000002</v>
      </c>
      <c r="I28">
        <f t="shared" si="0"/>
        <v>428635.18229999999</v>
      </c>
      <c r="J28">
        <f>Overtime!D28</f>
        <v>0</v>
      </c>
      <c r="K28">
        <f>IF(C28="Junior",0.06,IF(C28="Mid",0.08,IF(C28="Senior",0.1,IF(C28="Manager",0.12,0))))</f>
        <v>0.08</v>
      </c>
      <c r="L28">
        <f>IF(Performance!E28&gt;2,0.03,IF(Performance!E28&gt;=1,0.01,-0.02))</f>
        <v>0.01</v>
      </c>
      <c r="M28">
        <f t="shared" si="1"/>
        <v>0.09</v>
      </c>
      <c r="N28">
        <f>Earnings!B28*(1+M28)</f>
        <v>494028.76600000006</v>
      </c>
    </row>
    <row r="29" spans="1:14" x14ac:dyDescent="0.35">
      <c r="A29" t="s">
        <v>59</v>
      </c>
      <c r="B29" t="s">
        <v>15</v>
      </c>
      <c r="C29" t="s">
        <v>21</v>
      </c>
      <c r="D29" t="s">
        <v>22</v>
      </c>
      <c r="E29">
        <v>0</v>
      </c>
      <c r="F29" t="s">
        <v>32</v>
      </c>
      <c r="G29">
        <f>Earnings!G29</f>
        <v>300903.82839999988</v>
      </c>
      <c r="H29">
        <f>Deductions!B29+Deductions!C29+Deductions!D29+Tax!D29</f>
        <v>2275.3143749999999</v>
      </c>
      <c r="I29">
        <f t="shared" si="0"/>
        <v>298628.51402499987</v>
      </c>
      <c r="J29">
        <f>Overtime!D29</f>
        <v>0</v>
      </c>
      <c r="K29">
        <f>IF(C29="Junior",0.06,IF(C29="Mid",0.08,IF(C29="Senior",0.1,IF(C29="Manager",0.12,0))))</f>
        <v>0.1</v>
      </c>
      <c r="L29">
        <f>IF(Performance!E29&gt;2,0.03,IF(Performance!E29&gt;=1,0.01,-0.02))</f>
        <v>0.01</v>
      </c>
      <c r="M29">
        <f t="shared" si="1"/>
        <v>0.11</v>
      </c>
      <c r="N29">
        <f>Earnings!B29*(1+M29)</f>
        <v>350843.74950000003</v>
      </c>
    </row>
    <row r="30" spans="1:14" x14ac:dyDescent="0.35">
      <c r="A30" t="s">
        <v>60</v>
      </c>
      <c r="B30" t="s">
        <v>30</v>
      </c>
      <c r="C30" t="s">
        <v>21</v>
      </c>
      <c r="D30" t="s">
        <v>22</v>
      </c>
      <c r="E30">
        <v>0</v>
      </c>
      <c r="F30" t="s">
        <v>28</v>
      </c>
      <c r="G30">
        <f>Earnings!G30</f>
        <v>778116.81920000003</v>
      </c>
      <c r="H30">
        <f>Deductions!B30+Deductions!C30+Deductions!D30+Tax!D30</f>
        <v>8330.8266666666677</v>
      </c>
      <c r="I30">
        <f t="shared" si="0"/>
        <v>769785.99253333337</v>
      </c>
      <c r="J30">
        <f>Overtime!D30</f>
        <v>0</v>
      </c>
      <c r="K30">
        <f>IF(C30="Junior",0.06,IF(C30="Mid",0.08,IF(C30="Senior",0.1,IF(C30="Manager",0.12,0))))</f>
        <v>0.1</v>
      </c>
      <c r="L30">
        <f>IF(Performance!E30&gt;2,0.03,IF(Performance!E30&gt;=1,0.01,-0.02))</f>
        <v>0.01</v>
      </c>
      <c r="M30">
        <f t="shared" si="1"/>
        <v>0.11</v>
      </c>
      <c r="N30">
        <f>Earnings!B30*(1+M30)</f>
        <v>907258.0560000001</v>
      </c>
    </row>
    <row r="31" spans="1:14" x14ac:dyDescent="0.35">
      <c r="A31" t="s">
        <v>61</v>
      </c>
      <c r="B31" t="s">
        <v>15</v>
      </c>
      <c r="C31" t="s">
        <v>16</v>
      </c>
      <c r="D31" t="s">
        <v>22</v>
      </c>
      <c r="E31">
        <v>8</v>
      </c>
      <c r="F31" t="s">
        <v>32</v>
      </c>
      <c r="G31">
        <f>Earnings!G31</f>
        <v>500474.15879999998</v>
      </c>
      <c r="H31">
        <f>Deductions!B31+Deductions!C31+Deductions!D31+Tax!D31</f>
        <v>3470.1358333333337</v>
      </c>
      <c r="I31">
        <f t="shared" si="0"/>
        <v>497004.02296666661</v>
      </c>
      <c r="J31">
        <f>Overtime!D31</f>
        <v>0</v>
      </c>
      <c r="K31">
        <f>IF(C31="Junior",0.06,IF(C31="Mid",0.08,IF(C31="Senior",0.1,IF(C31="Manager",0.12,0))))</f>
        <v>0.06</v>
      </c>
      <c r="L31">
        <f>IF(Performance!E31&gt;2,0.03,IF(Performance!E31&gt;=1,0.01,-0.02))</f>
        <v>0.01</v>
      </c>
      <c r="M31">
        <f t="shared" si="1"/>
        <v>6.9999999999999993E-2</v>
      </c>
      <c r="N31">
        <f>Earnings!B31*(1+M31)</f>
        <v>562507.72050000005</v>
      </c>
    </row>
    <row r="32" spans="1:14" x14ac:dyDescent="0.35">
      <c r="A32" t="s">
        <v>62</v>
      </c>
      <c r="B32" t="s">
        <v>20</v>
      </c>
      <c r="C32" t="s">
        <v>44</v>
      </c>
      <c r="D32" t="s">
        <v>17</v>
      </c>
      <c r="E32">
        <v>13</v>
      </c>
      <c r="F32" t="s">
        <v>28</v>
      </c>
      <c r="G32">
        <f>Earnings!G32</f>
        <v>891168.152</v>
      </c>
      <c r="H32">
        <f>Deductions!B32+Deductions!C32+Deductions!D32+Tax!D32</f>
        <v>10310.016666666668</v>
      </c>
      <c r="I32">
        <f t="shared" si="0"/>
        <v>922982.68033333332</v>
      </c>
      <c r="J32">
        <f>Overtime!D32</f>
        <v>42124.544999999998</v>
      </c>
      <c r="K32">
        <f>IF(C32="Junior",0.06,IF(C32="Mid",0.08,IF(C32="Senior",0.1,IF(C32="Manager",0.12,0))))</f>
        <v>0.12</v>
      </c>
      <c r="L32">
        <f>IF(Performance!E32&gt;2,0.03,IF(Performance!E32&gt;=1,0.01,-0.02))</f>
        <v>0.03</v>
      </c>
      <c r="M32">
        <f t="shared" si="1"/>
        <v>0.15</v>
      </c>
      <c r="N32">
        <f>Earnings!B32*(1+M32)</f>
        <v>1076516.1499999999</v>
      </c>
    </row>
    <row r="33" spans="1:14" x14ac:dyDescent="0.35">
      <c r="A33" t="s">
        <v>63</v>
      </c>
      <c r="B33" t="s">
        <v>36</v>
      </c>
      <c r="C33" t="s">
        <v>21</v>
      </c>
      <c r="D33" t="s">
        <v>17</v>
      </c>
      <c r="E33">
        <v>5</v>
      </c>
      <c r="F33" t="s">
        <v>18</v>
      </c>
      <c r="G33">
        <f>Earnings!G33</f>
        <v>646290.90399999986</v>
      </c>
      <c r="H33">
        <f>Deductions!B33+Deductions!C33+Deductions!D33+Tax!D33</f>
        <v>6022.9500000000007</v>
      </c>
      <c r="I33">
        <f t="shared" si="0"/>
        <v>640267.95399999991</v>
      </c>
      <c r="J33">
        <f>Overtime!D33</f>
        <v>0</v>
      </c>
      <c r="K33">
        <f>IF(C33="Junior",0.06,IF(C33="Mid",0.08,IF(C33="Senior",0.1,IF(C33="Manager",0.12,0))))</f>
        <v>0.1</v>
      </c>
      <c r="L33">
        <f>IF(Performance!E33&gt;2,0.03,IF(Performance!E33&gt;=1,0.01,-0.02))</f>
        <v>0.01</v>
      </c>
      <c r="M33">
        <f t="shared" si="1"/>
        <v>0.11</v>
      </c>
      <c r="N33">
        <f>Earnings!B33*(1+M33)</f>
        <v>753553.47000000009</v>
      </c>
    </row>
    <row r="34" spans="1:14" x14ac:dyDescent="0.35">
      <c r="A34" t="s">
        <v>64</v>
      </c>
      <c r="B34" t="s">
        <v>20</v>
      </c>
      <c r="C34" t="s">
        <v>44</v>
      </c>
      <c r="D34" t="s">
        <v>17</v>
      </c>
      <c r="E34">
        <v>15</v>
      </c>
      <c r="F34" t="s">
        <v>28</v>
      </c>
      <c r="G34">
        <f>Earnings!G34</f>
        <v>1016098.16</v>
      </c>
      <c r="H34">
        <f>Deductions!B34+Deductions!C34+Deductions!D34+Tax!D34</f>
        <v>13058.25</v>
      </c>
      <c r="I34">
        <f t="shared" si="0"/>
        <v>1072416.3600000001</v>
      </c>
      <c r="J34">
        <f>Overtime!D34</f>
        <v>69376.45</v>
      </c>
      <c r="K34">
        <f>IF(C34="Junior",0.06,IF(C34="Mid",0.08,IF(C34="Senior",0.1,IF(C34="Manager",0.12,0))))</f>
        <v>0.12</v>
      </c>
      <c r="L34">
        <f>IF(Performance!E34&gt;2,0.03,IF(Performance!E34&gt;=1,0.01,-0.02))</f>
        <v>0.03</v>
      </c>
      <c r="M34">
        <f t="shared" si="1"/>
        <v>0.15</v>
      </c>
      <c r="N34">
        <f>Earnings!B34*(1+M34)</f>
        <v>1227429.5</v>
      </c>
    </row>
    <row r="35" spans="1:14" x14ac:dyDescent="0.35">
      <c r="A35" t="s">
        <v>65</v>
      </c>
      <c r="B35" t="s">
        <v>20</v>
      </c>
      <c r="C35" t="s">
        <v>44</v>
      </c>
      <c r="D35" t="s">
        <v>22</v>
      </c>
      <c r="E35">
        <v>1</v>
      </c>
      <c r="F35" t="s">
        <v>28</v>
      </c>
      <c r="G35">
        <f>Earnings!G35</f>
        <v>764785.9632</v>
      </c>
      <c r="H35">
        <f>Deductions!B35+Deductions!C35+Deductions!D35+Tax!D35</f>
        <v>8097.4433333333336</v>
      </c>
      <c r="I35">
        <f t="shared" si="0"/>
        <v>804889.31586666661</v>
      </c>
      <c r="J35">
        <f>Overtime!D35</f>
        <v>48200.796000000002</v>
      </c>
      <c r="K35">
        <f>IF(C35="Junior",0.06,IF(C35="Mid",0.08,IF(C35="Senior",0.1,IF(C35="Manager",0.12,0))))</f>
        <v>0.12</v>
      </c>
      <c r="L35">
        <f>IF(Performance!E35&gt;2,0.03,IF(Performance!E35&gt;=1,0.01,-0.02))</f>
        <v>0.03</v>
      </c>
      <c r="M35">
        <f t="shared" si="1"/>
        <v>0.15</v>
      </c>
      <c r="N35">
        <f>Earnings!B35*(1+M35)</f>
        <v>923848.58999999985</v>
      </c>
    </row>
    <row r="36" spans="1:14" x14ac:dyDescent="0.35">
      <c r="A36" t="s">
        <v>66</v>
      </c>
      <c r="B36" t="s">
        <v>27</v>
      </c>
      <c r="C36" t="s">
        <v>16</v>
      </c>
      <c r="D36" t="s">
        <v>22</v>
      </c>
      <c r="E36">
        <v>6</v>
      </c>
      <c r="F36" t="s">
        <v>18</v>
      </c>
      <c r="G36">
        <f>Earnings!G36</f>
        <v>490911.9376</v>
      </c>
      <c r="H36">
        <f>Deductions!B36+Deductions!C36+Deductions!D36+Tax!D36</f>
        <v>3302.7299999999996</v>
      </c>
      <c r="I36">
        <f t="shared" si="0"/>
        <v>487609.20760000002</v>
      </c>
      <c r="J36">
        <f>Overtime!D36</f>
        <v>0</v>
      </c>
      <c r="K36">
        <f>IF(C36="Junior",0.06,IF(C36="Mid",0.08,IF(C36="Senior",0.1,IF(C36="Manager",0.12,0))))</f>
        <v>0.06</v>
      </c>
      <c r="L36">
        <f>IF(Performance!E36&gt;2,0.03,IF(Performance!E36&gt;=1,0.01,-0.02))</f>
        <v>0.01</v>
      </c>
      <c r="M36">
        <f t="shared" si="1"/>
        <v>6.9999999999999993E-2</v>
      </c>
      <c r="N36">
        <f>Earnings!B36*(1+M36)</f>
        <v>551760.26600000006</v>
      </c>
    </row>
    <row r="37" spans="1:14" x14ac:dyDescent="0.35">
      <c r="A37" t="s">
        <v>67</v>
      </c>
      <c r="B37" t="s">
        <v>36</v>
      </c>
      <c r="C37" t="s">
        <v>16</v>
      </c>
      <c r="D37" t="s">
        <v>22</v>
      </c>
      <c r="E37">
        <v>3</v>
      </c>
      <c r="F37" t="s">
        <v>18</v>
      </c>
      <c r="G37">
        <f>Earnings!G37</f>
        <v>761512.03519999993</v>
      </c>
      <c r="H37">
        <f>Deductions!B37+Deductions!C37+Deductions!D37+Tax!D37</f>
        <v>8040.1266666666661</v>
      </c>
      <c r="I37">
        <f t="shared" si="0"/>
        <v>777469.13653333322</v>
      </c>
      <c r="J37">
        <f>Overtime!D37</f>
        <v>23997.227999999996</v>
      </c>
      <c r="K37">
        <f>IF(C37="Junior",0.06,IF(C37="Mid",0.08,IF(C37="Senior",0.1,IF(C37="Manager",0.12,0))))</f>
        <v>0.06</v>
      </c>
      <c r="L37">
        <f>IF(Performance!E37&gt;2,0.03,IF(Performance!E37&gt;=1,0.01,-0.02))</f>
        <v>0.01</v>
      </c>
      <c r="M37">
        <f t="shared" si="1"/>
        <v>6.9999999999999993E-2</v>
      </c>
      <c r="N37">
        <f>Earnings!B37*(1+M37)</f>
        <v>855901.13199999998</v>
      </c>
    </row>
    <row r="38" spans="1:14" x14ac:dyDescent="0.35">
      <c r="A38" t="s">
        <v>68</v>
      </c>
      <c r="B38" t="s">
        <v>36</v>
      </c>
      <c r="C38" t="s">
        <v>16</v>
      </c>
      <c r="D38" t="s">
        <v>17</v>
      </c>
      <c r="E38">
        <v>1</v>
      </c>
      <c r="F38" t="s">
        <v>23</v>
      </c>
      <c r="G38">
        <f>Earnings!G38</f>
        <v>596366.12</v>
      </c>
      <c r="H38">
        <f>Deductions!B38+Deductions!C38+Deductions!D38+Tax!D38</f>
        <v>5148.9166666666661</v>
      </c>
      <c r="I38">
        <f t="shared" si="0"/>
        <v>631935.47833333339</v>
      </c>
      <c r="J38">
        <f>Overtime!D38</f>
        <v>40718.275000000001</v>
      </c>
      <c r="K38">
        <f>IF(C38="Junior",0.06,IF(C38="Mid",0.08,IF(C38="Senior",0.1,IF(C38="Manager",0.12,0))))</f>
        <v>0.06</v>
      </c>
      <c r="L38">
        <f>IF(Performance!E38&gt;2,0.03,IF(Performance!E38&gt;=1,0.01,-0.02))</f>
        <v>0.01</v>
      </c>
      <c r="M38">
        <f t="shared" si="1"/>
        <v>6.9999999999999993E-2</v>
      </c>
      <c r="N38">
        <f>Earnings!B38*(1+M38)</f>
        <v>670285.45000000007</v>
      </c>
    </row>
    <row r="39" spans="1:14" x14ac:dyDescent="0.35">
      <c r="A39" t="s">
        <v>69</v>
      </c>
      <c r="B39" t="s">
        <v>20</v>
      </c>
      <c r="C39" t="s">
        <v>21</v>
      </c>
      <c r="D39" t="s">
        <v>22</v>
      </c>
      <c r="E39">
        <v>3</v>
      </c>
      <c r="F39" t="s">
        <v>45</v>
      </c>
      <c r="G39">
        <f>Earnings!G39</f>
        <v>755335.8875999999</v>
      </c>
      <c r="H39">
        <f>Deductions!B39+Deductions!C39+Deductions!D39+Tax!D39</f>
        <v>7932.0008333333317</v>
      </c>
      <c r="I39">
        <f t="shared" si="0"/>
        <v>767239.38801666652</v>
      </c>
      <c r="J39">
        <f>Overtime!D39</f>
        <v>19835.501250000001</v>
      </c>
      <c r="K39">
        <f>IF(C39="Junior",0.06,IF(C39="Mid",0.08,IF(C39="Senior",0.1,IF(C39="Manager",0.12,0))))</f>
        <v>0.1</v>
      </c>
      <c r="L39">
        <f>IF(Performance!E39&gt;2,0.03,IF(Performance!E39&gt;=1,0.01,-0.02))</f>
        <v>0.03</v>
      </c>
      <c r="M39">
        <f t="shared" si="1"/>
        <v>0.13</v>
      </c>
      <c r="N39">
        <f>Earnings!B39*(1+M39)</f>
        <v>896564.65649999981</v>
      </c>
    </row>
    <row r="40" spans="1:14" x14ac:dyDescent="0.35">
      <c r="A40" t="s">
        <v>70</v>
      </c>
      <c r="B40" t="s">
        <v>30</v>
      </c>
      <c r="C40" t="s">
        <v>34</v>
      </c>
      <c r="D40" t="s">
        <v>22</v>
      </c>
      <c r="E40">
        <v>6</v>
      </c>
      <c r="F40" t="s">
        <v>71</v>
      </c>
      <c r="G40">
        <f>Earnings!G40</f>
        <v>772509.5392</v>
      </c>
      <c r="H40">
        <f>Deductions!B40+Deductions!C40+Deductions!D40+Tax!D40</f>
        <v>8232.66</v>
      </c>
      <c r="I40">
        <f t="shared" si="0"/>
        <v>764276.87919999997</v>
      </c>
      <c r="J40">
        <f>Overtime!D40</f>
        <v>0</v>
      </c>
      <c r="K40">
        <f>IF(C40="Junior",0.06,IF(C40="Mid",0.08,IF(C40="Senior",0.1,IF(C40="Manager",0.12,0))))</f>
        <v>0.08</v>
      </c>
      <c r="L40">
        <f>IF(Performance!E40&gt;2,0.03,IF(Performance!E40&gt;=1,0.01,-0.02))</f>
        <v>0.01</v>
      </c>
      <c r="M40">
        <f t="shared" si="1"/>
        <v>0.09</v>
      </c>
      <c r="N40">
        <f>Earnings!B40*(1+M40)</f>
        <v>884490.96400000004</v>
      </c>
    </row>
    <row r="41" spans="1:14" x14ac:dyDescent="0.35">
      <c r="A41" t="s">
        <v>72</v>
      </c>
      <c r="B41" t="s">
        <v>15</v>
      </c>
      <c r="C41" t="s">
        <v>21</v>
      </c>
      <c r="D41" t="s">
        <v>17</v>
      </c>
      <c r="E41">
        <v>5</v>
      </c>
      <c r="F41" t="s">
        <v>45</v>
      </c>
      <c r="G41">
        <f>Earnings!G41</f>
        <v>523728.52</v>
      </c>
      <c r="H41">
        <f>Deductions!B41+Deductions!C41+Deductions!D41+Tax!D41</f>
        <v>3877.25</v>
      </c>
      <c r="I41">
        <f t="shared" si="0"/>
        <v>566612.745</v>
      </c>
      <c r="J41">
        <f>Overtime!D41</f>
        <v>46761.475000000006</v>
      </c>
      <c r="K41">
        <f>IF(C41="Junior",0.06,IF(C41="Mid",0.08,IF(C41="Senior",0.1,IF(C41="Manager",0.12,0))))</f>
        <v>0.1</v>
      </c>
      <c r="L41">
        <f>IF(Performance!E41&gt;2,0.03,IF(Performance!E41&gt;=1,0.01,-0.02))</f>
        <v>0.01</v>
      </c>
      <c r="M41">
        <f t="shared" si="1"/>
        <v>0.11</v>
      </c>
      <c r="N41">
        <f>Earnings!B41*(1+M41)</f>
        <v>610649.85000000009</v>
      </c>
    </row>
    <row r="42" spans="1:14" x14ac:dyDescent="0.35">
      <c r="A42" t="s">
        <v>73</v>
      </c>
      <c r="B42" t="s">
        <v>20</v>
      </c>
      <c r="C42" t="s">
        <v>34</v>
      </c>
      <c r="D42" t="s">
        <v>17</v>
      </c>
      <c r="E42">
        <v>6</v>
      </c>
      <c r="F42" t="s">
        <v>32</v>
      </c>
      <c r="G42">
        <f>Earnings!G42</f>
        <v>858563.10400000005</v>
      </c>
      <c r="H42">
        <f>Deductions!B42+Deductions!C42+Deductions!D42+Tax!D42</f>
        <v>9739.2000000000007</v>
      </c>
      <c r="I42">
        <f t="shared" si="0"/>
        <v>871370.20400000014</v>
      </c>
      <c r="J42">
        <f>Overtime!D42</f>
        <v>22546.300000000003</v>
      </c>
      <c r="K42">
        <f>IF(C42="Junior",0.06,IF(C42="Mid",0.08,IF(C42="Senior",0.1,IF(C42="Manager",0.12,0))))</f>
        <v>0.08</v>
      </c>
      <c r="L42">
        <f>IF(Performance!E42&gt;2,0.03,IF(Performance!E42&gt;=1,0.01,-0.02))</f>
        <v>0.03</v>
      </c>
      <c r="M42">
        <f t="shared" si="1"/>
        <v>0.11</v>
      </c>
      <c r="N42">
        <f>Earnings!B42*(1+M42)</f>
        <v>1001055.7200000001</v>
      </c>
    </row>
    <row r="43" spans="1:14" x14ac:dyDescent="0.35">
      <c r="A43" t="s">
        <v>74</v>
      </c>
      <c r="B43" t="s">
        <v>30</v>
      </c>
      <c r="C43" t="s">
        <v>21</v>
      </c>
      <c r="D43" t="s">
        <v>17</v>
      </c>
      <c r="E43">
        <v>6</v>
      </c>
      <c r="F43" t="s">
        <v>28</v>
      </c>
      <c r="G43">
        <f>Earnings!G43</f>
        <v>942301.97600000002</v>
      </c>
      <c r="H43">
        <f>Deductions!B43+Deductions!C43+Deductions!D43+Tax!D43</f>
        <v>11205.216666666667</v>
      </c>
      <c r="I43">
        <f t="shared" si="0"/>
        <v>931096.75933333335</v>
      </c>
      <c r="J43">
        <f>Overtime!D43</f>
        <v>0</v>
      </c>
      <c r="K43">
        <f>IF(C43="Junior",0.06,IF(C43="Mid",0.08,IF(C43="Senior",0.1,IF(C43="Manager",0.12,0))))</f>
        <v>0.1</v>
      </c>
      <c r="L43">
        <f>IF(Performance!E43&gt;2,0.03,IF(Performance!E43&gt;=1,0.01,-0.02))</f>
        <v>0.01</v>
      </c>
      <c r="M43">
        <f t="shared" si="1"/>
        <v>0.11</v>
      </c>
      <c r="N43">
        <f>Earnings!B43*(1+M43)</f>
        <v>1098692.4300000002</v>
      </c>
    </row>
    <row r="44" spans="1:14" x14ac:dyDescent="0.35">
      <c r="A44" t="s">
        <v>75</v>
      </c>
      <c r="B44" t="s">
        <v>36</v>
      </c>
      <c r="C44" t="s">
        <v>44</v>
      </c>
      <c r="D44" t="s">
        <v>17</v>
      </c>
      <c r="E44">
        <v>13</v>
      </c>
      <c r="F44" t="s">
        <v>28</v>
      </c>
      <c r="G44">
        <f>Earnings!G44</f>
        <v>1313325.888</v>
      </c>
      <c r="H44">
        <f>Deductions!B44+Deductions!C44+Deductions!D44+Tax!D44</f>
        <v>20863.600000000002</v>
      </c>
      <c r="I44">
        <f t="shared" si="0"/>
        <v>1499393.8879999998</v>
      </c>
      <c r="J44">
        <f>Overtime!D44</f>
        <v>206931.59999999998</v>
      </c>
      <c r="K44">
        <f>IF(C44="Junior",0.06,IF(C44="Mid",0.08,IF(C44="Senior",0.1,IF(C44="Manager",0.12,0))))</f>
        <v>0.12</v>
      </c>
      <c r="L44">
        <f>IF(Performance!E44&gt;2,0.03,IF(Performance!E44&gt;=1,0.01,-0.02))</f>
        <v>0.01</v>
      </c>
      <c r="M44">
        <f t="shared" si="1"/>
        <v>0.13</v>
      </c>
      <c r="N44">
        <f>Earnings!B44*(1+M44)</f>
        <v>1558884.7199999997</v>
      </c>
    </row>
    <row r="45" spans="1:14" x14ac:dyDescent="0.35">
      <c r="A45" t="s">
        <v>76</v>
      </c>
      <c r="B45" t="s">
        <v>15</v>
      </c>
      <c r="C45" t="s">
        <v>16</v>
      </c>
      <c r="D45" t="s">
        <v>17</v>
      </c>
      <c r="E45">
        <v>0</v>
      </c>
      <c r="F45" t="s">
        <v>45</v>
      </c>
      <c r="G45">
        <f>Earnings!G45</f>
        <v>321161.00799999997</v>
      </c>
      <c r="H45">
        <f>Deductions!B45+Deductions!C45+Deductions!D45+Tax!D45</f>
        <v>2363.9749999999999</v>
      </c>
      <c r="I45">
        <f t="shared" si="0"/>
        <v>318797.033</v>
      </c>
      <c r="J45">
        <f>Overtime!D45</f>
        <v>0</v>
      </c>
      <c r="K45">
        <f>IF(C45="Junior",0.06,IF(C45="Mid",0.08,IF(C45="Senior",0.1,IF(C45="Manager",0.12,0))))</f>
        <v>0.06</v>
      </c>
      <c r="L45">
        <f>IF(Performance!E45&gt;2,0.03,IF(Performance!E45&gt;=1,0.01,-0.02))</f>
        <v>0.01</v>
      </c>
      <c r="M45">
        <f t="shared" si="1"/>
        <v>6.9999999999999993E-2</v>
      </c>
      <c r="N45">
        <f>Earnings!B45*(1+M45)</f>
        <v>360968.78</v>
      </c>
    </row>
    <row r="46" spans="1:14" x14ac:dyDescent="0.35">
      <c r="A46" t="s">
        <v>77</v>
      </c>
      <c r="B46" t="s">
        <v>30</v>
      </c>
      <c r="C46" t="s">
        <v>21</v>
      </c>
      <c r="D46" t="s">
        <v>17</v>
      </c>
      <c r="E46">
        <v>10</v>
      </c>
      <c r="F46" t="s">
        <v>45</v>
      </c>
      <c r="G46">
        <f>Earnings!G46</f>
        <v>873234.37600000005</v>
      </c>
      <c r="H46">
        <f>Deductions!B46+Deductions!C46+Deductions!D46+Tax!D46</f>
        <v>9996.0499999999993</v>
      </c>
      <c r="I46">
        <f t="shared" si="0"/>
        <v>991655.14599999995</v>
      </c>
      <c r="J46">
        <f>Overtime!D46</f>
        <v>128416.82</v>
      </c>
      <c r="K46">
        <f>IF(C46="Junior",0.06,IF(C46="Mid",0.08,IF(C46="Senior",0.1,IF(C46="Manager",0.12,0))))</f>
        <v>0.1</v>
      </c>
      <c r="L46">
        <f>IF(Performance!E46&gt;2,0.03,IF(Performance!E46&gt;=1,0.01,-0.02))</f>
        <v>0.01</v>
      </c>
      <c r="M46">
        <f t="shared" si="1"/>
        <v>0.11</v>
      </c>
      <c r="N46">
        <f>Earnings!B46*(1+M46)</f>
        <v>1018161.93</v>
      </c>
    </row>
    <row r="47" spans="1:14" x14ac:dyDescent="0.35">
      <c r="A47" t="s">
        <v>78</v>
      </c>
      <c r="B47" t="s">
        <v>27</v>
      </c>
      <c r="C47" t="s">
        <v>21</v>
      </c>
      <c r="D47" t="s">
        <v>17</v>
      </c>
      <c r="E47">
        <v>12</v>
      </c>
      <c r="F47" t="s">
        <v>18</v>
      </c>
      <c r="G47">
        <f>Earnings!G47</f>
        <v>875039.36800000002</v>
      </c>
      <c r="H47">
        <f>Deductions!B47+Deductions!C47+Deductions!D47+Tax!D47</f>
        <v>10027.650000000001</v>
      </c>
      <c r="I47">
        <f t="shared" si="0"/>
        <v>865011.71799999999</v>
      </c>
      <c r="J47">
        <f>Overtime!D47</f>
        <v>0</v>
      </c>
      <c r="K47">
        <f>IF(C47="Junior",0.06,IF(C47="Mid",0.08,IF(C47="Senior",0.1,IF(C47="Manager",0.12,0))))</f>
        <v>0.1</v>
      </c>
      <c r="L47">
        <f>IF(Performance!E47&gt;2,0.03,IF(Performance!E47&gt;=1,0.01,-0.02))</f>
        <v>0.01</v>
      </c>
      <c r="M47">
        <f t="shared" si="1"/>
        <v>0.11</v>
      </c>
      <c r="N47">
        <f>Earnings!B47*(1+M47)</f>
        <v>1020266.4900000001</v>
      </c>
    </row>
    <row r="48" spans="1:14" x14ac:dyDescent="0.35">
      <c r="A48" t="s">
        <v>79</v>
      </c>
      <c r="B48" t="s">
        <v>27</v>
      </c>
      <c r="C48" t="s">
        <v>34</v>
      </c>
      <c r="D48" t="s">
        <v>17</v>
      </c>
      <c r="E48">
        <v>7</v>
      </c>
      <c r="F48" t="s">
        <v>25</v>
      </c>
      <c r="G48">
        <f>Earnings!G48</f>
        <v>849048.81599999999</v>
      </c>
      <c r="H48">
        <f>Deductions!B48+Deductions!C48+Deductions!D48+Tax!D48</f>
        <v>9572.633333333335</v>
      </c>
      <c r="I48">
        <f t="shared" si="0"/>
        <v>973254.88266666676</v>
      </c>
      <c r="J48">
        <f>Overtime!D48</f>
        <v>133778.70000000001</v>
      </c>
      <c r="K48">
        <f>IF(C48="Junior",0.06,IF(C48="Mid",0.08,IF(C48="Senior",0.1,IF(C48="Manager",0.12,0))))</f>
        <v>0.08</v>
      </c>
      <c r="L48">
        <f>IF(Performance!E48&gt;2,0.03,IF(Performance!E48&gt;=1,0.01,-0.02))</f>
        <v>0.01</v>
      </c>
      <c r="M48">
        <f t="shared" si="1"/>
        <v>0.09</v>
      </c>
      <c r="N48">
        <f>Earnings!B48*(1+M48)</f>
        <v>972125.22000000009</v>
      </c>
    </row>
    <row r="49" spans="1:14" x14ac:dyDescent="0.35">
      <c r="A49" t="s">
        <v>80</v>
      </c>
      <c r="B49" t="s">
        <v>15</v>
      </c>
      <c r="C49" t="s">
        <v>21</v>
      </c>
      <c r="D49" t="s">
        <v>17</v>
      </c>
      <c r="E49">
        <v>9</v>
      </c>
      <c r="F49" t="s">
        <v>25</v>
      </c>
      <c r="G49">
        <f>Earnings!G49</f>
        <v>781625.32</v>
      </c>
      <c r="H49">
        <f>Deductions!B49+Deductions!C49+Deductions!D49+Tax!D49</f>
        <v>8392.25</v>
      </c>
      <c r="I49">
        <f t="shared" si="0"/>
        <v>855336.57</v>
      </c>
      <c r="J49">
        <f>Overtime!D49</f>
        <v>82103.5</v>
      </c>
      <c r="K49">
        <f>IF(C49="Junior",0.06,IF(C49="Mid",0.08,IF(C49="Senior",0.1,IF(C49="Manager",0.12,0))))</f>
        <v>0.1</v>
      </c>
      <c r="L49">
        <f>IF(Performance!E49&gt;2,0.03,IF(Performance!E49&gt;=1,0.01,-0.02))</f>
        <v>0.01</v>
      </c>
      <c r="M49">
        <f t="shared" si="1"/>
        <v>0.11</v>
      </c>
      <c r="N49">
        <f>Earnings!B49*(1+M49)</f>
        <v>911348.85000000009</v>
      </c>
    </row>
    <row r="50" spans="1:14" x14ac:dyDescent="0.35">
      <c r="A50" t="s">
        <v>81</v>
      </c>
      <c r="B50" t="s">
        <v>36</v>
      </c>
      <c r="C50" t="s">
        <v>16</v>
      </c>
      <c r="D50" t="s">
        <v>22</v>
      </c>
      <c r="E50">
        <v>15</v>
      </c>
      <c r="F50" t="s">
        <v>32</v>
      </c>
      <c r="G50">
        <f>Earnings!G50</f>
        <v>1141953.3215999999</v>
      </c>
      <c r="H50">
        <f>Deductions!B50+Deductions!C50+Deductions!D50+Tax!D50</f>
        <v>16363.270000000002</v>
      </c>
      <c r="I50">
        <f t="shared" si="0"/>
        <v>1275531.4016</v>
      </c>
      <c r="J50">
        <f>Overtime!D50</f>
        <v>149941.35000000003</v>
      </c>
      <c r="K50">
        <f>IF(C50="Junior",0.06,IF(C50="Mid",0.08,IF(C50="Senior",0.1,IF(C50="Manager",0.12,0))))</f>
        <v>0.06</v>
      </c>
      <c r="L50">
        <f>IF(Performance!E50&gt;2,0.03,IF(Performance!E50&gt;=1,0.01,-0.02))</f>
        <v>0.01</v>
      </c>
      <c r="M50">
        <f t="shared" si="1"/>
        <v>6.9999999999999993E-2</v>
      </c>
      <c r="N50">
        <f>Earnings!B50*(1+M50)</f>
        <v>1283497.9560000002</v>
      </c>
    </row>
    <row r="51" spans="1:14" x14ac:dyDescent="0.35">
      <c r="A51" t="s">
        <v>82</v>
      </c>
      <c r="B51" t="s">
        <v>30</v>
      </c>
      <c r="C51" t="s">
        <v>16</v>
      </c>
      <c r="D51" t="s">
        <v>17</v>
      </c>
      <c r="E51">
        <v>12</v>
      </c>
      <c r="F51" t="s">
        <v>71</v>
      </c>
      <c r="G51">
        <f>Earnings!G51</f>
        <v>1459063.76</v>
      </c>
      <c r="H51">
        <f>Deductions!B51+Deductions!C51+Deductions!D51+Tax!D51</f>
        <v>24690.75</v>
      </c>
      <c r="I51">
        <f t="shared" si="0"/>
        <v>1434373.01</v>
      </c>
      <c r="J51">
        <f>Overtime!D51</f>
        <v>0</v>
      </c>
      <c r="K51">
        <f>IF(C51="Junior",0.06,IF(C51="Mid",0.08,IF(C51="Senior",0.1,IF(C51="Manager",0.12,0))))</f>
        <v>0.06</v>
      </c>
      <c r="L51">
        <f>IF(Performance!E51&gt;2,0.03,IF(Performance!E51&gt;=1,0.01,-0.02))</f>
        <v>0.01</v>
      </c>
      <c r="M51">
        <f t="shared" si="1"/>
        <v>6.9999999999999993E-2</v>
      </c>
      <c r="N51">
        <f>Earnings!B51*(1+M51)</f>
        <v>1639914.1</v>
      </c>
    </row>
    <row r="52" spans="1:14" x14ac:dyDescent="0.35">
      <c r="A52" t="s">
        <v>83</v>
      </c>
      <c r="B52" t="s">
        <v>20</v>
      </c>
      <c r="C52" t="s">
        <v>44</v>
      </c>
      <c r="D52" t="s">
        <v>17</v>
      </c>
      <c r="E52">
        <v>11</v>
      </c>
      <c r="F52" t="s">
        <v>71</v>
      </c>
      <c r="G52">
        <f>Earnings!G52</f>
        <v>882119.39199999999</v>
      </c>
      <c r="H52">
        <f>Deductions!B52+Deductions!C52+Deductions!D52+Tax!D52</f>
        <v>10151.600000000002</v>
      </c>
      <c r="I52">
        <f t="shared" si="0"/>
        <v>871967.79200000002</v>
      </c>
      <c r="J52">
        <f>Overtime!D52</f>
        <v>0</v>
      </c>
      <c r="K52">
        <f>IF(C52="Junior",0.06,IF(C52="Mid",0.08,IF(C52="Senior",0.1,IF(C52="Manager",0.12,0))))</f>
        <v>0.12</v>
      </c>
      <c r="L52">
        <f>IF(Performance!E52&gt;2,0.03,IF(Performance!E52&gt;=1,0.01,-0.02))</f>
        <v>0.03</v>
      </c>
      <c r="M52">
        <f t="shared" si="1"/>
        <v>0.15</v>
      </c>
      <c r="N52">
        <f>Earnings!B52*(1+M52)</f>
        <v>1065585.3999999999</v>
      </c>
    </row>
    <row r="53" spans="1:14" x14ac:dyDescent="0.35">
      <c r="A53" t="s">
        <v>84</v>
      </c>
      <c r="B53" t="s">
        <v>30</v>
      </c>
      <c r="C53" t="s">
        <v>16</v>
      </c>
      <c r="D53" t="s">
        <v>17</v>
      </c>
      <c r="E53">
        <v>1</v>
      </c>
      <c r="F53" t="s">
        <v>71</v>
      </c>
      <c r="G53">
        <f>Earnings!G53</f>
        <v>912560.54399999999</v>
      </c>
      <c r="H53">
        <f>Deductions!B53+Deductions!C53+Deductions!D53+Tax!D53</f>
        <v>10684.533333333335</v>
      </c>
      <c r="I53">
        <f t="shared" si="0"/>
        <v>1045661.8106666666</v>
      </c>
      <c r="J53">
        <f>Overtime!D53</f>
        <v>143785.79999999999</v>
      </c>
      <c r="K53">
        <f>IF(C53="Junior",0.06,IF(C53="Mid",0.08,IF(C53="Senior",0.1,IF(C53="Manager",0.12,0))))</f>
        <v>0.06</v>
      </c>
      <c r="L53">
        <f>IF(Performance!E53&gt;2,0.03,IF(Performance!E53&gt;=1,0.01,-0.02))</f>
        <v>0.01</v>
      </c>
      <c r="M53">
        <f t="shared" si="1"/>
        <v>6.9999999999999993E-2</v>
      </c>
      <c r="N53">
        <f>Earnings!B53*(1+M53)</f>
        <v>1025672.04</v>
      </c>
    </row>
    <row r="54" spans="1:14" x14ac:dyDescent="0.35">
      <c r="A54" t="s">
        <v>85</v>
      </c>
      <c r="B54" t="s">
        <v>20</v>
      </c>
      <c r="C54" t="s">
        <v>44</v>
      </c>
      <c r="D54" t="s">
        <v>17</v>
      </c>
      <c r="E54">
        <v>5</v>
      </c>
      <c r="F54" t="s">
        <v>32</v>
      </c>
      <c r="G54">
        <f>Earnings!G54</f>
        <v>766612.28</v>
      </c>
      <c r="H54">
        <f>Deductions!B54+Deductions!C54+Deductions!D54+Tax!D54</f>
        <v>8129.416666666667</v>
      </c>
      <c r="I54">
        <f t="shared" si="0"/>
        <v>818877.7383333334</v>
      </c>
      <c r="J54">
        <f>Overtime!D54</f>
        <v>60394.875</v>
      </c>
      <c r="K54">
        <f>IF(C54="Junior",0.06,IF(C54="Mid",0.08,IF(C54="Senior",0.1,IF(C54="Manager",0.12,0))))</f>
        <v>0.12</v>
      </c>
      <c r="L54">
        <f>IF(Performance!E54&gt;2,0.03,IF(Performance!E54&gt;=1,0.01,-0.02))</f>
        <v>0.03</v>
      </c>
      <c r="M54">
        <f t="shared" si="1"/>
        <v>0.15</v>
      </c>
      <c r="N54">
        <f>Earnings!B54*(1+M54)</f>
        <v>926054.74999999988</v>
      </c>
    </row>
    <row r="55" spans="1:14" x14ac:dyDescent="0.35">
      <c r="A55" t="s">
        <v>86</v>
      </c>
      <c r="B55" t="s">
        <v>30</v>
      </c>
      <c r="C55" t="s">
        <v>16</v>
      </c>
      <c r="D55" t="s">
        <v>17</v>
      </c>
      <c r="E55">
        <v>4</v>
      </c>
      <c r="F55" t="s">
        <v>32</v>
      </c>
      <c r="G55">
        <f>Earnings!G55</f>
        <v>756038.41599999997</v>
      </c>
      <c r="H55">
        <f>Deductions!B55+Deductions!C55+Deductions!D55+Tax!D55</f>
        <v>7944.3</v>
      </c>
      <c r="I55">
        <f t="shared" si="0"/>
        <v>859276.23599999992</v>
      </c>
      <c r="J55">
        <f>Overtime!D55</f>
        <v>111182.12</v>
      </c>
      <c r="K55">
        <f>IF(C55="Junior",0.06,IF(C55="Mid",0.08,IF(C55="Senior",0.1,IF(C55="Manager",0.12,0))))</f>
        <v>0.06</v>
      </c>
      <c r="L55">
        <f>IF(Performance!E55&gt;2,0.03,IF(Performance!E55&gt;=1,0.01,-0.02))</f>
        <v>0.01</v>
      </c>
      <c r="M55">
        <f t="shared" si="1"/>
        <v>6.9999999999999993E-2</v>
      </c>
      <c r="N55">
        <f>Earnings!B55*(1+M55)</f>
        <v>849749.06</v>
      </c>
    </row>
    <row r="56" spans="1:14" x14ac:dyDescent="0.35">
      <c r="A56" t="s">
        <v>87</v>
      </c>
      <c r="B56" t="s">
        <v>30</v>
      </c>
      <c r="C56" t="s">
        <v>16</v>
      </c>
      <c r="D56" t="s">
        <v>22</v>
      </c>
      <c r="E56">
        <v>13</v>
      </c>
      <c r="F56" t="s">
        <v>23</v>
      </c>
      <c r="G56">
        <f>Earnings!G56</f>
        <v>1155873.8463999999</v>
      </c>
      <c r="H56">
        <f>Deductions!B56+Deductions!C56+Deductions!D56+Tax!D56</f>
        <v>16728.830000000002</v>
      </c>
      <c r="I56">
        <f t="shared" si="0"/>
        <v>1272701.8683999998</v>
      </c>
      <c r="J56">
        <f>Overtime!D56</f>
        <v>133556.85200000001</v>
      </c>
      <c r="K56">
        <f>IF(C56="Junior",0.06,IF(C56="Mid",0.08,IF(C56="Senior",0.1,IF(C56="Manager",0.12,0))))</f>
        <v>0.06</v>
      </c>
      <c r="L56">
        <f>IF(Performance!E56&gt;2,0.03,IF(Performance!E56&gt;=1,0.01,-0.02))</f>
        <v>0.01</v>
      </c>
      <c r="M56">
        <f t="shared" si="1"/>
        <v>6.9999999999999993E-2</v>
      </c>
      <c r="N56">
        <f>Earnings!B56*(1+M56)</f>
        <v>1299143.9240000001</v>
      </c>
    </row>
    <row r="57" spans="1:14" x14ac:dyDescent="0.35">
      <c r="A57" t="s">
        <v>88</v>
      </c>
      <c r="B57" t="s">
        <v>20</v>
      </c>
      <c r="C57" t="s">
        <v>16</v>
      </c>
      <c r="D57" t="s">
        <v>22</v>
      </c>
      <c r="E57">
        <v>8</v>
      </c>
      <c r="F57" t="s">
        <v>18</v>
      </c>
      <c r="G57">
        <f>Earnings!G57</f>
        <v>983449.08200000005</v>
      </c>
      <c r="H57">
        <f>Deductions!B57+Deductions!C57+Deductions!D57+Tax!D57</f>
        <v>12200.86875</v>
      </c>
      <c r="I57">
        <f t="shared" si="0"/>
        <v>971248.21325000003</v>
      </c>
      <c r="J57">
        <f>Overtime!D57</f>
        <v>0</v>
      </c>
      <c r="K57">
        <f>IF(C57="Junior",0.06,IF(C57="Mid",0.08,IF(C57="Senior",0.1,IF(C57="Manager",0.12,0))))</f>
        <v>0.06</v>
      </c>
      <c r="L57">
        <f>IF(Performance!E57&gt;2,0.03,IF(Performance!E57&gt;=1,0.01,-0.02))</f>
        <v>0.03</v>
      </c>
      <c r="M57">
        <f t="shared" si="1"/>
        <v>0.09</v>
      </c>
      <c r="N57">
        <f>Earnings!B57*(1+M57)</f>
        <v>1126007.8775000002</v>
      </c>
    </row>
    <row r="58" spans="1:14" x14ac:dyDescent="0.35">
      <c r="A58" t="s">
        <v>89</v>
      </c>
      <c r="B58" t="s">
        <v>27</v>
      </c>
      <c r="C58" t="s">
        <v>16</v>
      </c>
      <c r="D58" t="s">
        <v>17</v>
      </c>
      <c r="E58">
        <v>12</v>
      </c>
      <c r="F58" t="s">
        <v>23</v>
      </c>
      <c r="G58">
        <f>Earnings!G58</f>
        <v>876490.21600000001</v>
      </c>
      <c r="H58">
        <f>Deductions!B58+Deductions!C58+Deductions!D58+Tax!D58</f>
        <v>10053.049999999999</v>
      </c>
      <c r="I58">
        <f t="shared" si="0"/>
        <v>866437.16599999997</v>
      </c>
      <c r="J58">
        <f>Overtime!D58</f>
        <v>0</v>
      </c>
      <c r="K58">
        <f>IF(C58="Junior",0.06,IF(C58="Mid",0.08,IF(C58="Senior",0.1,IF(C58="Manager",0.12,0))))</f>
        <v>0.06</v>
      </c>
      <c r="L58">
        <f>IF(Performance!E58&gt;2,0.03,IF(Performance!E58&gt;=1,0.01,-0.02))</f>
        <v>0.01</v>
      </c>
      <c r="M58">
        <f t="shared" si="1"/>
        <v>6.9999999999999993E-2</v>
      </c>
      <c r="N58">
        <f>Earnings!B58*(1+M58)</f>
        <v>985130.81</v>
      </c>
    </row>
    <row r="59" spans="1:14" x14ac:dyDescent="0.35">
      <c r="A59" t="s">
        <v>90</v>
      </c>
      <c r="B59" t="s">
        <v>27</v>
      </c>
      <c r="C59" t="s">
        <v>16</v>
      </c>
      <c r="D59" t="s">
        <v>22</v>
      </c>
      <c r="E59">
        <v>4</v>
      </c>
      <c r="F59" t="s">
        <v>38</v>
      </c>
      <c r="G59">
        <f>Earnings!G59</f>
        <v>677756.45559999999</v>
      </c>
      <c r="H59">
        <f>Deductions!B59+Deductions!C59+Deductions!D59+Tax!D59</f>
        <v>6573.8174999999992</v>
      </c>
      <c r="I59">
        <f t="shared" si="0"/>
        <v>671182.63809999998</v>
      </c>
      <c r="J59">
        <f>Overtime!D59</f>
        <v>0</v>
      </c>
      <c r="K59">
        <f>IF(C59="Junior",0.06,IF(C59="Mid",0.08,IF(C59="Senior",0.1,IF(C59="Manager",0.12,0))))</f>
        <v>0.06</v>
      </c>
      <c r="L59">
        <f>IF(Performance!E59&gt;2,0.03,IF(Performance!E59&gt;=1,0.01,-0.02))</f>
        <v>0.01</v>
      </c>
      <c r="M59">
        <f t="shared" si="1"/>
        <v>6.9999999999999993E-2</v>
      </c>
      <c r="N59">
        <f>Earnings!B59*(1+M59)</f>
        <v>761764.08349999995</v>
      </c>
    </row>
    <row r="60" spans="1:14" x14ac:dyDescent="0.35">
      <c r="A60" t="s">
        <v>91</v>
      </c>
      <c r="B60" t="s">
        <v>20</v>
      </c>
      <c r="C60" t="s">
        <v>34</v>
      </c>
      <c r="D60" t="s">
        <v>22</v>
      </c>
      <c r="E60">
        <v>13</v>
      </c>
      <c r="F60" t="s">
        <v>28</v>
      </c>
      <c r="G60">
        <f>Earnings!G60</f>
        <v>987678.05640000012</v>
      </c>
      <c r="H60">
        <f>Deductions!B60+Deductions!C60+Deductions!D60+Tax!D60</f>
        <v>12311.92375</v>
      </c>
      <c r="I60">
        <f t="shared" si="0"/>
        <v>975366.13265000016</v>
      </c>
      <c r="J60">
        <f>Overtime!D60</f>
        <v>0</v>
      </c>
      <c r="K60">
        <f>IF(C60="Junior",0.06,IF(C60="Mid",0.08,IF(C60="Senior",0.1,IF(C60="Manager",0.12,0))))</f>
        <v>0.08</v>
      </c>
      <c r="L60">
        <f>IF(Performance!E60&gt;2,0.03,IF(Performance!E60&gt;=1,0.01,-0.02))</f>
        <v>0.03</v>
      </c>
      <c r="M60">
        <f t="shared" si="1"/>
        <v>0.11</v>
      </c>
      <c r="N60">
        <f>Earnings!B60*(1+M60)</f>
        <v>1151599.4145</v>
      </c>
    </row>
    <row r="61" spans="1:14" x14ac:dyDescent="0.35">
      <c r="A61" t="s">
        <v>92</v>
      </c>
      <c r="B61" t="s">
        <v>27</v>
      </c>
      <c r="C61" t="s">
        <v>44</v>
      </c>
      <c r="D61" t="s">
        <v>22</v>
      </c>
      <c r="E61">
        <v>0</v>
      </c>
      <c r="F61" t="s">
        <v>45</v>
      </c>
      <c r="G61">
        <f>Earnings!G61</f>
        <v>397660.158</v>
      </c>
      <c r="H61">
        <f>Deductions!B61+Deductions!C61+Deductions!D61+Tax!D61</f>
        <v>2698.7927083333334</v>
      </c>
      <c r="I61">
        <f t="shared" si="0"/>
        <v>394961.36529166665</v>
      </c>
      <c r="J61">
        <f>Overtime!D61</f>
        <v>0</v>
      </c>
      <c r="K61">
        <f>IF(C61="Junior",0.06,IF(C61="Mid",0.08,IF(C61="Senior",0.1,IF(C61="Manager",0.12,0))))</f>
        <v>0.12</v>
      </c>
      <c r="L61">
        <f>IF(Performance!E61&gt;2,0.03,IF(Performance!E61&gt;=1,0.01,-0.02))</f>
        <v>0.01</v>
      </c>
      <c r="M61">
        <f t="shared" si="1"/>
        <v>0.13</v>
      </c>
      <c r="N61">
        <f>Earnings!B61*(1+M61)</f>
        <v>472012.58249999996</v>
      </c>
    </row>
    <row r="62" spans="1:14" x14ac:dyDescent="0.35">
      <c r="A62" t="s">
        <v>93</v>
      </c>
      <c r="B62" t="s">
        <v>27</v>
      </c>
      <c r="C62" t="s">
        <v>16</v>
      </c>
      <c r="D62" t="s">
        <v>17</v>
      </c>
      <c r="E62">
        <v>1</v>
      </c>
      <c r="F62" t="s">
        <v>32</v>
      </c>
      <c r="G62">
        <f>Earnings!G62</f>
        <v>449015.56</v>
      </c>
      <c r="H62">
        <f>Deductions!B62+Deductions!C62+Deductions!D62+Tax!D62</f>
        <v>2923.5625</v>
      </c>
      <c r="I62">
        <f t="shared" si="0"/>
        <v>516840.2475</v>
      </c>
      <c r="J62">
        <f>Overtime!D62</f>
        <v>70748.25</v>
      </c>
      <c r="K62">
        <f>IF(C62="Junior",0.06,IF(C62="Mid",0.08,IF(C62="Senior",0.1,IF(C62="Manager",0.12,0))))</f>
        <v>0.06</v>
      </c>
      <c r="L62">
        <f>IF(Performance!E62&gt;2,0.03,IF(Performance!E62&gt;=1,0.01,-0.02))</f>
        <v>0.01</v>
      </c>
      <c r="M62">
        <f t="shared" si="1"/>
        <v>6.9999999999999993E-2</v>
      </c>
      <c r="N62">
        <f>Earnings!B62*(1+M62)</f>
        <v>504670.85000000003</v>
      </c>
    </row>
    <row r="63" spans="1:14" x14ac:dyDescent="0.35">
      <c r="A63" t="s">
        <v>94</v>
      </c>
      <c r="B63" t="s">
        <v>30</v>
      </c>
      <c r="C63" t="s">
        <v>21</v>
      </c>
      <c r="D63" t="s">
        <v>22</v>
      </c>
      <c r="E63">
        <v>9</v>
      </c>
      <c r="F63" t="s">
        <v>45</v>
      </c>
      <c r="G63">
        <f>Earnings!G63</f>
        <v>1105908.4595999999</v>
      </c>
      <c r="H63">
        <f>Deductions!B63+Deductions!C63+Deductions!D63+Tax!D63</f>
        <v>15416.713750000001</v>
      </c>
      <c r="I63">
        <f t="shared" si="0"/>
        <v>1258933.6855999997</v>
      </c>
      <c r="J63">
        <f>Overtime!D63</f>
        <v>168441.93974999999</v>
      </c>
      <c r="K63">
        <f>IF(C63="Junior",0.06,IF(C63="Mid",0.08,IF(C63="Senior",0.1,IF(C63="Manager",0.12,0))))</f>
        <v>0.1</v>
      </c>
      <c r="L63">
        <f>IF(Performance!E63&gt;2,0.03,IF(Performance!E63&gt;=1,0.01,-0.02))</f>
        <v>0.01</v>
      </c>
      <c r="M63">
        <f t="shared" si="1"/>
        <v>0.11</v>
      </c>
      <c r="N63">
        <f>Earnings!B63*(1+M63)</f>
        <v>1289452.0905000002</v>
      </c>
    </row>
    <row r="64" spans="1:14" x14ac:dyDescent="0.35">
      <c r="A64" t="s">
        <v>95</v>
      </c>
      <c r="B64" t="s">
        <v>15</v>
      </c>
      <c r="C64" t="s">
        <v>44</v>
      </c>
      <c r="D64" t="s">
        <v>22</v>
      </c>
      <c r="E64">
        <v>11</v>
      </c>
      <c r="F64" t="s">
        <v>28</v>
      </c>
      <c r="G64">
        <f>Earnings!G64</f>
        <v>577728.00679999997</v>
      </c>
      <c r="H64">
        <f>Deductions!B64+Deductions!C64+Deductions!D64+Tax!D64</f>
        <v>4822.6191666666673</v>
      </c>
      <c r="I64">
        <f t="shared" si="0"/>
        <v>572905.38763333333</v>
      </c>
      <c r="J64">
        <f>Overtime!D64</f>
        <v>0</v>
      </c>
      <c r="K64">
        <f>IF(C64="Junior",0.06,IF(C64="Mid",0.08,IF(C64="Senior",0.1,IF(C64="Manager",0.12,0))))</f>
        <v>0.12</v>
      </c>
      <c r="L64">
        <f>IF(Performance!E64&gt;2,0.03,IF(Performance!E64&gt;=1,0.01,-0.02))</f>
        <v>0.01</v>
      </c>
      <c r="M64">
        <f t="shared" si="1"/>
        <v>0.13</v>
      </c>
      <c r="N64">
        <f>Earnings!B64*(1+M64)</f>
        <v>685748.57949999999</v>
      </c>
    </row>
    <row r="65" spans="1:14" x14ac:dyDescent="0.35">
      <c r="A65" t="s">
        <v>96</v>
      </c>
      <c r="B65" t="s">
        <v>27</v>
      </c>
      <c r="C65" t="s">
        <v>21</v>
      </c>
      <c r="D65" t="s">
        <v>17</v>
      </c>
      <c r="E65">
        <v>1</v>
      </c>
      <c r="F65" t="s">
        <v>23</v>
      </c>
      <c r="G65">
        <f>Earnings!G65</f>
        <v>600449.24800000002</v>
      </c>
      <c r="H65">
        <f>Deductions!B65+Deductions!C65+Deductions!D65+Tax!D65</f>
        <v>5220.3999999999996</v>
      </c>
      <c r="I65">
        <f t="shared" si="0"/>
        <v>595228.848</v>
      </c>
      <c r="J65">
        <f>Overtime!D65</f>
        <v>0</v>
      </c>
      <c r="K65">
        <f>IF(C65="Junior",0.06,IF(C65="Mid",0.08,IF(C65="Senior",0.1,IF(C65="Manager",0.12,0))))</f>
        <v>0.1</v>
      </c>
      <c r="L65">
        <f>IF(Performance!E65&gt;2,0.03,IF(Performance!E65&gt;=1,0.01,-0.02))</f>
        <v>0.01</v>
      </c>
      <c r="M65">
        <f t="shared" si="1"/>
        <v>0.11</v>
      </c>
      <c r="N65">
        <f>Earnings!B65*(1+M65)</f>
        <v>700103.64</v>
      </c>
    </row>
    <row r="66" spans="1:14" x14ac:dyDescent="0.35">
      <c r="A66" t="s">
        <v>97</v>
      </c>
      <c r="B66" t="s">
        <v>27</v>
      </c>
      <c r="C66" t="s">
        <v>44</v>
      </c>
      <c r="D66" t="s">
        <v>17</v>
      </c>
      <c r="E66">
        <v>15</v>
      </c>
      <c r="F66" t="s">
        <v>38</v>
      </c>
      <c r="G66">
        <f>Earnings!G66</f>
        <v>957910.01600000006</v>
      </c>
      <c r="H66">
        <f>Deductions!B66+Deductions!C66+Deductions!D66+Tax!D66</f>
        <v>11530.199999999999</v>
      </c>
      <c r="I66">
        <f t="shared" ref="I66:I129" si="2">G66-H66+J66</f>
        <v>946379.81600000011</v>
      </c>
      <c r="J66">
        <f>Overtime!D66</f>
        <v>0</v>
      </c>
      <c r="K66">
        <f>IF(C66="Junior",0.06,IF(C66="Mid",0.08,IF(C66="Senior",0.1,IF(C66="Manager",0.12,0))))</f>
        <v>0.12</v>
      </c>
      <c r="L66">
        <f>IF(Performance!E66&gt;2,0.03,IF(Performance!E66&gt;=1,0.01,-0.02))</f>
        <v>0.01</v>
      </c>
      <c r="M66">
        <f t="shared" ref="M66:M129" si="3">K66+L66</f>
        <v>0.13</v>
      </c>
      <c r="N66">
        <f>Earnings!B66*(1+M66)</f>
        <v>1137015.0399999998</v>
      </c>
    </row>
    <row r="67" spans="1:14" x14ac:dyDescent="0.35">
      <c r="A67" t="s">
        <v>98</v>
      </c>
      <c r="B67" t="s">
        <v>20</v>
      </c>
      <c r="C67" t="s">
        <v>21</v>
      </c>
      <c r="D67" t="s">
        <v>17</v>
      </c>
      <c r="E67">
        <v>15</v>
      </c>
      <c r="F67" t="s">
        <v>45</v>
      </c>
      <c r="G67">
        <f>Earnings!G67</f>
        <v>922717.43200000003</v>
      </c>
      <c r="H67">
        <f>Deductions!B67+Deductions!C67+Deductions!D67+Tax!D67</f>
        <v>10862.35</v>
      </c>
      <c r="I67">
        <f t="shared" si="2"/>
        <v>911855.08200000005</v>
      </c>
      <c r="J67">
        <f>Overtime!D67</f>
        <v>0</v>
      </c>
      <c r="K67">
        <f>IF(C67="Junior",0.06,IF(C67="Mid",0.08,IF(C67="Senior",0.1,IF(C67="Manager",0.12,0))))</f>
        <v>0.1</v>
      </c>
      <c r="L67">
        <f>IF(Performance!E67&gt;2,0.03,IF(Performance!E67&gt;=1,0.01,-0.02))</f>
        <v>0.03</v>
      </c>
      <c r="M67">
        <f t="shared" si="3"/>
        <v>0.13</v>
      </c>
      <c r="N67">
        <f>Earnings!B67*(1+M67)</f>
        <v>1095242.3299999998</v>
      </c>
    </row>
    <row r="68" spans="1:14" x14ac:dyDescent="0.35">
      <c r="A68" t="s">
        <v>99</v>
      </c>
      <c r="B68" t="s">
        <v>36</v>
      </c>
      <c r="C68" t="s">
        <v>34</v>
      </c>
      <c r="D68" t="s">
        <v>17</v>
      </c>
      <c r="E68">
        <v>0</v>
      </c>
      <c r="F68" t="s">
        <v>32</v>
      </c>
      <c r="G68">
        <f>Earnings!G68</f>
        <v>943024.54399999999</v>
      </c>
      <c r="H68">
        <f>Deductions!B68+Deductions!C68+Deductions!D68+Tax!D68</f>
        <v>11217.866666666667</v>
      </c>
      <c r="I68">
        <f t="shared" si="2"/>
        <v>1065533.8973333333</v>
      </c>
      <c r="J68">
        <f>Overtime!D68</f>
        <v>133727.22</v>
      </c>
      <c r="K68">
        <f>IF(C68="Junior",0.06,IF(C68="Mid",0.08,IF(C68="Senior",0.1,IF(C68="Manager",0.12,0))))</f>
        <v>0.08</v>
      </c>
      <c r="L68">
        <f>IF(Performance!E68&gt;2,0.03,IF(Performance!E68&gt;=1,0.01,-0.02))</f>
        <v>0.01</v>
      </c>
      <c r="M68">
        <f t="shared" si="3"/>
        <v>0.09</v>
      </c>
      <c r="N68">
        <f>Earnings!B68*(1+M68)</f>
        <v>1079723.48</v>
      </c>
    </row>
    <row r="69" spans="1:14" x14ac:dyDescent="0.35">
      <c r="A69" t="s">
        <v>100</v>
      </c>
      <c r="B69" t="s">
        <v>27</v>
      </c>
      <c r="C69" t="s">
        <v>21</v>
      </c>
      <c r="D69" t="s">
        <v>22</v>
      </c>
      <c r="E69">
        <v>9</v>
      </c>
      <c r="F69" t="s">
        <v>28</v>
      </c>
      <c r="G69">
        <f>Earnings!G69</f>
        <v>821718.84759999998</v>
      </c>
      <c r="H69">
        <f>Deductions!B69+Deductions!C69+Deductions!D69+Tax!D69</f>
        <v>9094.1674999999996</v>
      </c>
      <c r="I69">
        <f t="shared" si="2"/>
        <v>894623.93484999996</v>
      </c>
      <c r="J69">
        <f>Overtime!D69</f>
        <v>81999.254750000007</v>
      </c>
      <c r="K69">
        <f>IF(C69="Junior",0.06,IF(C69="Mid",0.08,IF(C69="Senior",0.1,IF(C69="Manager",0.12,0))))</f>
        <v>0.1</v>
      </c>
      <c r="L69">
        <f>IF(Performance!E69&gt;2,0.03,IF(Performance!E69&gt;=1,0.01,-0.02))</f>
        <v>0.01</v>
      </c>
      <c r="M69">
        <f t="shared" si="3"/>
        <v>0.11</v>
      </c>
      <c r="N69">
        <f>Earnings!B69*(1+M69)</f>
        <v>958096.55550000002</v>
      </c>
    </row>
    <row r="70" spans="1:14" x14ac:dyDescent="0.35">
      <c r="A70" t="s">
        <v>101</v>
      </c>
      <c r="B70" t="s">
        <v>15</v>
      </c>
      <c r="C70" t="s">
        <v>16</v>
      </c>
      <c r="D70" t="s">
        <v>22</v>
      </c>
      <c r="E70">
        <v>10</v>
      </c>
      <c r="F70" t="s">
        <v>23</v>
      </c>
      <c r="G70">
        <f>Earnings!G70</f>
        <v>599589.16359999985</v>
      </c>
      <c r="H70">
        <f>Deductions!B70+Deductions!C70+Deductions!D70+Tax!D70</f>
        <v>5205.3424999999988</v>
      </c>
      <c r="I70">
        <f t="shared" si="2"/>
        <v>594383.82109999983</v>
      </c>
      <c r="J70">
        <f>Overtime!D70</f>
        <v>0</v>
      </c>
      <c r="K70">
        <f>IF(C70="Junior",0.06,IF(C70="Mid",0.08,IF(C70="Senior",0.1,IF(C70="Manager",0.12,0))))</f>
        <v>0.06</v>
      </c>
      <c r="L70">
        <f>IF(Performance!E70&gt;2,0.03,IF(Performance!E70&gt;=1,0.01,-0.02))</f>
        <v>0.01</v>
      </c>
      <c r="M70">
        <f t="shared" si="3"/>
        <v>6.9999999999999993E-2</v>
      </c>
      <c r="N70">
        <f>Earnings!B70*(1+M70)</f>
        <v>673907.98849999998</v>
      </c>
    </row>
    <row r="71" spans="1:14" x14ac:dyDescent="0.35">
      <c r="A71" t="s">
        <v>102</v>
      </c>
      <c r="B71" t="s">
        <v>36</v>
      </c>
      <c r="C71" t="s">
        <v>21</v>
      </c>
      <c r="D71" t="s">
        <v>22</v>
      </c>
      <c r="E71">
        <v>1</v>
      </c>
      <c r="F71" t="s">
        <v>38</v>
      </c>
      <c r="G71">
        <f>Earnings!G71</f>
        <v>886698.17879999988</v>
      </c>
      <c r="H71">
        <f>Deductions!B71+Deductions!C71+Deductions!D71+Tax!D71</f>
        <v>10231.760833333332</v>
      </c>
      <c r="I71">
        <f t="shared" si="2"/>
        <v>997549.15246666654</v>
      </c>
      <c r="J71">
        <f>Overtime!D71</f>
        <v>121082.73450000001</v>
      </c>
      <c r="K71">
        <f>IF(C71="Junior",0.06,IF(C71="Mid",0.08,IF(C71="Senior",0.1,IF(C71="Manager",0.12,0))))</f>
        <v>0.1</v>
      </c>
      <c r="L71">
        <f>IF(Performance!E71&gt;2,0.03,IF(Performance!E71&gt;=1,0.01,-0.02))</f>
        <v>0.01</v>
      </c>
      <c r="M71">
        <f t="shared" si="3"/>
        <v>0.11</v>
      </c>
      <c r="N71">
        <f>Earnings!B71*(1+M71)</f>
        <v>1033860.2715</v>
      </c>
    </row>
    <row r="72" spans="1:14" x14ac:dyDescent="0.35">
      <c r="A72" t="s">
        <v>103</v>
      </c>
      <c r="B72" t="s">
        <v>36</v>
      </c>
      <c r="C72" t="s">
        <v>21</v>
      </c>
      <c r="D72" t="s">
        <v>17</v>
      </c>
      <c r="E72">
        <v>9</v>
      </c>
      <c r="F72" t="s">
        <v>25</v>
      </c>
      <c r="G72">
        <f>Earnings!G72</f>
        <v>839081.37600000005</v>
      </c>
      <c r="H72">
        <f>Deductions!B72+Deductions!C72+Deductions!D72+Tax!D72</f>
        <v>9398.133333333335</v>
      </c>
      <c r="I72">
        <f t="shared" si="2"/>
        <v>891380.40266666678</v>
      </c>
      <c r="J72">
        <f>Overtime!D72</f>
        <v>61697.16</v>
      </c>
      <c r="K72">
        <f>IF(C72="Junior",0.06,IF(C72="Mid",0.08,IF(C72="Senior",0.1,IF(C72="Manager",0.12,0))))</f>
        <v>0.1</v>
      </c>
      <c r="L72">
        <f>IF(Performance!E72&gt;2,0.03,IF(Performance!E72&gt;=1,0.01,-0.02))</f>
        <v>0.01</v>
      </c>
      <c r="M72">
        <f t="shared" si="3"/>
        <v>0.11</v>
      </c>
      <c r="N72">
        <f>Earnings!B72*(1+M72)</f>
        <v>978340.68</v>
      </c>
    </row>
    <row r="73" spans="1:14" x14ac:dyDescent="0.35">
      <c r="A73" t="s">
        <v>104</v>
      </c>
      <c r="B73" t="s">
        <v>20</v>
      </c>
      <c r="C73" t="s">
        <v>44</v>
      </c>
      <c r="D73" t="s">
        <v>22</v>
      </c>
      <c r="E73">
        <v>14</v>
      </c>
      <c r="F73" t="s">
        <v>23</v>
      </c>
      <c r="G73">
        <f>Earnings!G73</f>
        <v>991949.53760000004</v>
      </c>
      <c r="H73">
        <f>Deductions!B73+Deductions!C73+Deductions!D73+Tax!D73</f>
        <v>12424.095000000001</v>
      </c>
      <c r="I73">
        <f t="shared" si="2"/>
        <v>979525.44260000007</v>
      </c>
      <c r="J73">
        <f>Overtime!D73</f>
        <v>0</v>
      </c>
      <c r="K73">
        <f>IF(C73="Junior",0.06,IF(C73="Mid",0.08,IF(C73="Senior",0.1,IF(C73="Manager",0.12,0))))</f>
        <v>0.12</v>
      </c>
      <c r="L73">
        <f>IF(Performance!E73&gt;2,0.03,IF(Performance!E73&gt;=1,0.01,-0.02))</f>
        <v>0.03</v>
      </c>
      <c r="M73">
        <f t="shared" si="3"/>
        <v>0.15</v>
      </c>
      <c r="N73">
        <f>Earnings!B73*(1+M73)</f>
        <v>1198258.3699999999</v>
      </c>
    </row>
    <row r="74" spans="1:14" x14ac:dyDescent="0.35">
      <c r="A74" t="s">
        <v>105</v>
      </c>
      <c r="B74" t="s">
        <v>27</v>
      </c>
      <c r="C74" t="s">
        <v>34</v>
      </c>
      <c r="D74" t="s">
        <v>22</v>
      </c>
      <c r="E74">
        <v>12</v>
      </c>
      <c r="F74" t="s">
        <v>18</v>
      </c>
      <c r="G74">
        <f>Earnings!G74</f>
        <v>860858.56639999989</v>
      </c>
      <c r="H74">
        <f>Deductions!B74+Deductions!C74+Deductions!D74+Tax!D74</f>
        <v>9779.3866666666654</v>
      </c>
      <c r="I74">
        <f t="shared" si="2"/>
        <v>851079.17973333318</v>
      </c>
      <c r="J74">
        <f>Overtime!D74</f>
        <v>0</v>
      </c>
      <c r="K74">
        <f>IF(C74="Junior",0.06,IF(C74="Mid",0.08,IF(C74="Senior",0.1,IF(C74="Manager",0.12,0))))</f>
        <v>0.08</v>
      </c>
      <c r="L74">
        <f>IF(Performance!E74&gt;2,0.03,IF(Performance!E74&gt;=1,0.01,-0.02))</f>
        <v>0.01</v>
      </c>
      <c r="M74">
        <f t="shared" si="3"/>
        <v>0.09</v>
      </c>
      <c r="N74">
        <f>Earnings!B74*(1+M74)</f>
        <v>985646.88800000004</v>
      </c>
    </row>
    <row r="75" spans="1:14" x14ac:dyDescent="0.35">
      <c r="A75" t="s">
        <v>106</v>
      </c>
      <c r="B75" t="s">
        <v>27</v>
      </c>
      <c r="C75" t="s">
        <v>44</v>
      </c>
      <c r="D75" t="s">
        <v>17</v>
      </c>
      <c r="E75">
        <v>7</v>
      </c>
      <c r="F75" t="s">
        <v>25</v>
      </c>
      <c r="G75">
        <f>Earnings!G75</f>
        <v>536527.20799999998</v>
      </c>
      <c r="H75">
        <f>Deductions!B75+Deductions!C75+Deductions!D75+Tax!D75</f>
        <v>4101.3166666666675</v>
      </c>
      <c r="I75">
        <f t="shared" si="2"/>
        <v>532425.89133333333</v>
      </c>
      <c r="J75">
        <f>Overtime!D75</f>
        <v>0</v>
      </c>
      <c r="K75">
        <f>IF(C75="Junior",0.06,IF(C75="Mid",0.08,IF(C75="Senior",0.1,IF(C75="Manager",0.12,0))))</f>
        <v>0.12</v>
      </c>
      <c r="L75">
        <f>IF(Performance!E75&gt;2,0.03,IF(Performance!E75&gt;=1,0.01,-0.02))</f>
        <v>0.01</v>
      </c>
      <c r="M75">
        <f t="shared" si="3"/>
        <v>0.13</v>
      </c>
      <c r="N75">
        <f>Earnings!B75*(1+M75)</f>
        <v>636844.2699999999</v>
      </c>
    </row>
    <row r="76" spans="1:14" x14ac:dyDescent="0.35">
      <c r="A76" t="s">
        <v>107</v>
      </c>
      <c r="B76" t="s">
        <v>15</v>
      </c>
      <c r="C76" t="s">
        <v>34</v>
      </c>
      <c r="D76" t="s">
        <v>22</v>
      </c>
      <c r="E76">
        <v>10</v>
      </c>
      <c r="F76" t="s">
        <v>18</v>
      </c>
      <c r="G76">
        <f>Earnings!G76</f>
        <v>572335.97399999993</v>
      </c>
      <c r="H76">
        <f>Deductions!B76+Deductions!C76+Deductions!D76+Tax!D76</f>
        <v>4728.2208333333328</v>
      </c>
      <c r="I76">
        <f t="shared" si="2"/>
        <v>621715.14566666656</v>
      </c>
      <c r="J76">
        <f>Overtime!D76</f>
        <v>54107.392500000002</v>
      </c>
      <c r="K76">
        <f>IF(C76="Junior",0.06,IF(C76="Mid",0.08,IF(C76="Senior",0.1,IF(C76="Manager",0.12,0))))</f>
        <v>0.08</v>
      </c>
      <c r="L76">
        <f>IF(Performance!E76&gt;2,0.03,IF(Performance!E76&gt;=1,0.01,-0.02))</f>
        <v>0.01</v>
      </c>
      <c r="M76">
        <f t="shared" si="3"/>
        <v>0.09</v>
      </c>
      <c r="N76">
        <f>Earnings!B76*(1+M76)</f>
        <v>655300.64250000007</v>
      </c>
    </row>
    <row r="77" spans="1:14" x14ac:dyDescent="0.35">
      <c r="A77" t="s">
        <v>108</v>
      </c>
      <c r="B77" t="s">
        <v>20</v>
      </c>
      <c r="C77" t="s">
        <v>21</v>
      </c>
      <c r="D77" t="s">
        <v>17</v>
      </c>
      <c r="E77">
        <v>3</v>
      </c>
      <c r="F77" t="s">
        <v>32</v>
      </c>
      <c r="G77">
        <f>Earnings!G77</f>
        <v>486522.45600000001</v>
      </c>
      <c r="H77">
        <f>Deductions!B77+Deductions!C77+Deductions!D77+Tax!D77</f>
        <v>3225.8833333333332</v>
      </c>
      <c r="I77">
        <f t="shared" si="2"/>
        <v>544622.93266666669</v>
      </c>
      <c r="J77">
        <f>Overtime!D77</f>
        <v>61326.360000000008</v>
      </c>
      <c r="K77">
        <f>IF(C77="Junior",0.06,IF(C77="Mid",0.08,IF(C77="Senior",0.1,IF(C77="Manager",0.12,0))))</f>
        <v>0.1</v>
      </c>
      <c r="L77">
        <f>IF(Performance!E77&gt;2,0.03,IF(Performance!E77&gt;=1,0.01,-0.02))</f>
        <v>0.03</v>
      </c>
      <c r="M77">
        <f t="shared" si="3"/>
        <v>0.13</v>
      </c>
      <c r="N77">
        <f>Earnings!B77*(1+M77)</f>
        <v>577489.8899999999</v>
      </c>
    </row>
    <row r="78" spans="1:14" x14ac:dyDescent="0.35">
      <c r="A78" t="s">
        <v>109</v>
      </c>
      <c r="B78" t="s">
        <v>15</v>
      </c>
      <c r="C78" t="s">
        <v>34</v>
      </c>
      <c r="D78" t="s">
        <v>22</v>
      </c>
      <c r="E78">
        <v>5</v>
      </c>
      <c r="F78" t="s">
        <v>23</v>
      </c>
      <c r="G78">
        <f>Earnings!G78</f>
        <v>589026.67599999998</v>
      </c>
      <c r="H78">
        <f>Deductions!B78+Deductions!C78+Deductions!D78+Tax!D78</f>
        <v>5020.4250000000011</v>
      </c>
      <c r="I78">
        <f t="shared" si="2"/>
        <v>608755.27099999995</v>
      </c>
      <c r="J78">
        <f>Overtime!D78</f>
        <v>24749.02</v>
      </c>
      <c r="K78">
        <f>IF(C78="Junior",0.06,IF(C78="Mid",0.08,IF(C78="Senior",0.1,IF(C78="Manager",0.12,0))))</f>
        <v>0.08</v>
      </c>
      <c r="L78">
        <f>IF(Performance!E78&gt;2,0.03,IF(Performance!E78&gt;=1,0.01,-0.02))</f>
        <v>0.01</v>
      </c>
      <c r="M78">
        <f t="shared" si="3"/>
        <v>0.09</v>
      </c>
      <c r="N78">
        <f>Earnings!B78*(1+M78)</f>
        <v>674410.79500000004</v>
      </c>
    </row>
    <row r="79" spans="1:14" x14ac:dyDescent="0.35">
      <c r="A79" t="s">
        <v>110</v>
      </c>
      <c r="B79" t="s">
        <v>27</v>
      </c>
      <c r="C79" t="s">
        <v>44</v>
      </c>
      <c r="D79" t="s">
        <v>22</v>
      </c>
      <c r="E79">
        <v>9</v>
      </c>
      <c r="F79" t="s">
        <v>32</v>
      </c>
      <c r="G79">
        <f>Earnings!G79</f>
        <v>622134.95120000001</v>
      </c>
      <c r="H79">
        <f>Deductions!B79+Deductions!C79+Deductions!D79+Tax!D79</f>
        <v>5600.0516666666663</v>
      </c>
      <c r="I79">
        <f t="shared" si="2"/>
        <v>616534.89953333337</v>
      </c>
      <c r="J79">
        <f>Overtime!D79</f>
        <v>0</v>
      </c>
      <c r="K79">
        <f>IF(C79="Junior",0.06,IF(C79="Mid",0.08,IF(C79="Senior",0.1,IF(C79="Manager",0.12,0))))</f>
        <v>0.12</v>
      </c>
      <c r="L79">
        <f>IF(Performance!E79&gt;2,0.03,IF(Performance!E79&gt;=1,0.01,-0.02))</f>
        <v>0.01</v>
      </c>
      <c r="M79">
        <f t="shared" si="3"/>
        <v>0.13</v>
      </c>
      <c r="N79">
        <f>Earnings!B79*(1+M79)</f>
        <v>738458.50299999991</v>
      </c>
    </row>
    <row r="80" spans="1:14" x14ac:dyDescent="0.35">
      <c r="A80" t="s">
        <v>111</v>
      </c>
      <c r="B80" t="s">
        <v>20</v>
      </c>
      <c r="C80" t="s">
        <v>44</v>
      </c>
      <c r="D80" t="s">
        <v>17</v>
      </c>
      <c r="E80">
        <v>8</v>
      </c>
      <c r="F80" t="s">
        <v>71</v>
      </c>
      <c r="G80">
        <f>Earnings!G80</f>
        <v>719500.65599999996</v>
      </c>
      <c r="H80">
        <f>Deductions!B80+Deductions!C80+Deductions!D80+Tax!D80</f>
        <v>7304.6333333333341</v>
      </c>
      <c r="I80">
        <f t="shared" si="2"/>
        <v>825562.72266666661</v>
      </c>
      <c r="J80">
        <f>Overtime!D80</f>
        <v>113366.70000000001</v>
      </c>
      <c r="K80">
        <f>IF(C80="Junior",0.06,IF(C80="Mid",0.08,IF(C80="Senior",0.1,IF(C80="Manager",0.12,0))))</f>
        <v>0.12</v>
      </c>
      <c r="L80">
        <f>IF(Performance!E80&gt;2,0.03,IF(Performance!E80&gt;=1,0.01,-0.02))</f>
        <v>0.03</v>
      </c>
      <c r="M80">
        <f t="shared" si="3"/>
        <v>0.15</v>
      </c>
      <c r="N80">
        <f>Earnings!B80*(1+M80)</f>
        <v>869144.7</v>
      </c>
    </row>
    <row r="81" spans="1:14" x14ac:dyDescent="0.35">
      <c r="A81" t="s">
        <v>112</v>
      </c>
      <c r="B81" t="s">
        <v>36</v>
      </c>
      <c r="C81" t="s">
        <v>44</v>
      </c>
      <c r="D81" t="s">
        <v>17</v>
      </c>
      <c r="E81">
        <v>8</v>
      </c>
      <c r="F81" t="s">
        <v>38</v>
      </c>
      <c r="G81">
        <f>Earnings!G81</f>
        <v>1130996.9439999999</v>
      </c>
      <c r="H81">
        <f>Deductions!B81+Deductions!C81+Deductions!D81+Tax!D81</f>
        <v>16075.550000000001</v>
      </c>
      <c r="I81">
        <f t="shared" si="2"/>
        <v>1204023.0439999998</v>
      </c>
      <c r="J81">
        <f>Overtime!D81</f>
        <v>89101.65</v>
      </c>
      <c r="K81">
        <f>IF(C81="Junior",0.06,IF(C81="Mid",0.08,IF(C81="Senior",0.1,IF(C81="Manager",0.12,0))))</f>
        <v>0.12</v>
      </c>
      <c r="L81">
        <f>IF(Performance!E81&gt;2,0.03,IF(Performance!E81&gt;=1,0.01,-0.02))</f>
        <v>0.01</v>
      </c>
      <c r="M81">
        <f t="shared" si="3"/>
        <v>0.13</v>
      </c>
      <c r="N81">
        <f>Earnings!B81*(1+M81)</f>
        <v>1342464.8599999999</v>
      </c>
    </row>
    <row r="82" spans="1:14" x14ac:dyDescent="0.35">
      <c r="A82" t="s">
        <v>113</v>
      </c>
      <c r="B82" t="s">
        <v>27</v>
      </c>
      <c r="C82" t="s">
        <v>34</v>
      </c>
      <c r="D82" t="s">
        <v>22</v>
      </c>
      <c r="E82">
        <v>5</v>
      </c>
      <c r="F82" t="s">
        <v>45</v>
      </c>
      <c r="G82">
        <f>Earnings!G82</f>
        <v>513963.28480000002</v>
      </c>
      <c r="H82">
        <f>Deductions!B82+Deductions!C82+Deductions!D82+Tax!D82</f>
        <v>3706.29</v>
      </c>
      <c r="I82">
        <f t="shared" si="2"/>
        <v>523753.92980000004</v>
      </c>
      <c r="J82">
        <f>Overtime!D82</f>
        <v>13496.934999999998</v>
      </c>
      <c r="K82">
        <f>IF(C82="Junior",0.06,IF(C82="Mid",0.08,IF(C82="Senior",0.1,IF(C82="Manager",0.12,0))))</f>
        <v>0.08</v>
      </c>
      <c r="L82">
        <f>IF(Performance!E82&gt;2,0.03,IF(Performance!E82&gt;=1,0.01,-0.02))</f>
        <v>0.01</v>
      </c>
      <c r="M82">
        <f t="shared" si="3"/>
        <v>0.09</v>
      </c>
      <c r="N82">
        <f>Earnings!B82*(1+M82)</f>
        <v>588466.36600000004</v>
      </c>
    </row>
    <row r="83" spans="1:14" x14ac:dyDescent="0.35">
      <c r="A83" t="s">
        <v>114</v>
      </c>
      <c r="B83" t="s">
        <v>27</v>
      </c>
      <c r="C83" t="s">
        <v>21</v>
      </c>
      <c r="D83" t="s">
        <v>22</v>
      </c>
      <c r="E83">
        <v>12</v>
      </c>
      <c r="F83" t="s">
        <v>18</v>
      </c>
      <c r="G83">
        <f>Earnings!G83</f>
        <v>697616.17519999994</v>
      </c>
      <c r="H83">
        <f>Deductions!B83+Deductions!C83+Deductions!D83+Tax!D83</f>
        <v>6921.5016666666661</v>
      </c>
      <c r="I83">
        <f t="shared" si="2"/>
        <v>690694.67353333323</v>
      </c>
      <c r="J83">
        <f>Overtime!D83</f>
        <v>0</v>
      </c>
      <c r="K83">
        <f>IF(C83="Junior",0.06,IF(C83="Mid",0.08,IF(C83="Senior",0.1,IF(C83="Manager",0.12,0))))</f>
        <v>0.1</v>
      </c>
      <c r="L83">
        <f>IF(Performance!E83&gt;2,0.03,IF(Performance!E83&gt;=1,0.01,-0.02))</f>
        <v>0.01</v>
      </c>
      <c r="M83">
        <f t="shared" si="3"/>
        <v>0.11</v>
      </c>
      <c r="N83">
        <f>Earnings!B83*(1+M83)</f>
        <v>813397.01100000006</v>
      </c>
    </row>
    <row r="84" spans="1:14" x14ac:dyDescent="0.35">
      <c r="A84" t="s">
        <v>115</v>
      </c>
      <c r="B84" t="s">
        <v>27</v>
      </c>
      <c r="C84" t="s">
        <v>16</v>
      </c>
      <c r="D84" t="s">
        <v>17</v>
      </c>
      <c r="E84">
        <v>1</v>
      </c>
      <c r="F84" t="s">
        <v>28</v>
      </c>
      <c r="G84">
        <f>Earnings!G84</f>
        <v>667033.08000000007</v>
      </c>
      <c r="H84">
        <f>Deductions!B84+Deductions!C84+Deductions!D84+Tax!D84</f>
        <v>6386.083333333333</v>
      </c>
      <c r="I84">
        <f t="shared" si="2"/>
        <v>660646.9966666667</v>
      </c>
      <c r="J84">
        <f>Overtime!D84</f>
        <v>0</v>
      </c>
      <c r="K84">
        <f>IF(C84="Junior",0.06,IF(C84="Mid",0.08,IF(C84="Senior",0.1,IF(C84="Manager",0.12,0))))</f>
        <v>0.06</v>
      </c>
      <c r="L84">
        <f>IF(Performance!E84&gt;2,0.03,IF(Performance!E84&gt;=1,0.01,-0.02))</f>
        <v>0.01</v>
      </c>
      <c r="M84">
        <f t="shared" si="3"/>
        <v>6.9999999999999993E-2</v>
      </c>
      <c r="N84">
        <f>Earnings!B84*(1+M84)</f>
        <v>749711.55</v>
      </c>
    </row>
    <row r="85" spans="1:14" x14ac:dyDescent="0.35">
      <c r="A85" t="s">
        <v>116</v>
      </c>
      <c r="B85" t="s">
        <v>27</v>
      </c>
      <c r="C85" t="s">
        <v>21</v>
      </c>
      <c r="D85" t="s">
        <v>22</v>
      </c>
      <c r="E85">
        <v>15</v>
      </c>
      <c r="F85" t="s">
        <v>18</v>
      </c>
      <c r="G85">
        <f>Earnings!G85</f>
        <v>737003.69959999993</v>
      </c>
      <c r="H85">
        <f>Deductions!B85+Deductions!C85+Deductions!D85+Tax!D85</f>
        <v>7611.059166666666</v>
      </c>
      <c r="I85">
        <f t="shared" si="2"/>
        <v>779713.27118333324</v>
      </c>
      <c r="J85">
        <f>Overtime!D85</f>
        <v>50320.630749999997</v>
      </c>
      <c r="K85">
        <f>IF(C85="Junior",0.06,IF(C85="Mid",0.08,IF(C85="Senior",0.1,IF(C85="Manager",0.12,0))))</f>
        <v>0.1</v>
      </c>
      <c r="L85">
        <f>IF(Performance!E85&gt;2,0.03,IF(Performance!E85&gt;=1,0.01,-0.02))</f>
        <v>0.01</v>
      </c>
      <c r="M85">
        <f t="shared" si="3"/>
        <v>0.11</v>
      </c>
      <c r="N85">
        <f>Earnings!B85*(1+M85)</f>
        <v>859321.5405</v>
      </c>
    </row>
    <row r="86" spans="1:14" x14ac:dyDescent="0.35">
      <c r="A86" t="s">
        <v>117</v>
      </c>
      <c r="B86" t="s">
        <v>30</v>
      </c>
      <c r="C86" t="s">
        <v>16</v>
      </c>
      <c r="D86" t="s">
        <v>17</v>
      </c>
      <c r="E86">
        <v>10</v>
      </c>
      <c r="F86" t="s">
        <v>28</v>
      </c>
      <c r="G86">
        <f>Earnings!G86</f>
        <v>1241364.2080000001</v>
      </c>
      <c r="H86">
        <f>Deductions!B86+Deductions!C86+Deductions!D86+Tax!D86</f>
        <v>18973.850000000002</v>
      </c>
      <c r="I86">
        <f t="shared" si="2"/>
        <v>1261508.9780000001</v>
      </c>
      <c r="J86">
        <f>Overtime!D86</f>
        <v>39118.619999999995</v>
      </c>
      <c r="K86">
        <f>IF(C86="Junior",0.06,IF(C86="Mid",0.08,IF(C86="Senior",0.1,IF(C86="Manager",0.12,0))))</f>
        <v>0.06</v>
      </c>
      <c r="L86">
        <f>IF(Performance!E86&gt;2,0.03,IF(Performance!E86&gt;=1,0.01,-0.02))</f>
        <v>0.01</v>
      </c>
      <c r="M86">
        <f t="shared" si="3"/>
        <v>6.9999999999999993E-2</v>
      </c>
      <c r="N86">
        <f>Earnings!B86*(1+M86)</f>
        <v>1395230.78</v>
      </c>
    </row>
    <row r="87" spans="1:14" x14ac:dyDescent="0.35">
      <c r="A87" t="s">
        <v>118</v>
      </c>
      <c r="B87" t="s">
        <v>36</v>
      </c>
      <c r="C87" t="s">
        <v>16</v>
      </c>
      <c r="D87" t="s">
        <v>17</v>
      </c>
      <c r="E87">
        <v>5</v>
      </c>
      <c r="F87" t="s">
        <v>32</v>
      </c>
      <c r="G87">
        <f>Earnings!G87</f>
        <v>643666.24</v>
      </c>
      <c r="H87">
        <f>Deductions!B87+Deductions!C87+Deductions!D87+Tax!D87</f>
        <v>5977</v>
      </c>
      <c r="I87">
        <f t="shared" si="2"/>
        <v>637689.24</v>
      </c>
      <c r="J87">
        <f>Overtime!D87</f>
        <v>0</v>
      </c>
      <c r="K87">
        <f>IF(C87="Junior",0.06,IF(C87="Mid",0.08,IF(C87="Senior",0.1,IF(C87="Manager",0.12,0))))</f>
        <v>0.06</v>
      </c>
      <c r="L87">
        <f>IF(Performance!E87&gt;2,0.03,IF(Performance!E87&gt;=1,0.01,-0.02))</f>
        <v>0.01</v>
      </c>
      <c r="M87">
        <f t="shared" si="3"/>
        <v>6.9999999999999993E-2</v>
      </c>
      <c r="N87">
        <f>Earnings!B87*(1+M87)</f>
        <v>723448.4</v>
      </c>
    </row>
    <row r="88" spans="1:14" x14ac:dyDescent="0.35">
      <c r="A88" t="s">
        <v>119</v>
      </c>
      <c r="B88" t="s">
        <v>27</v>
      </c>
      <c r="C88" t="s">
        <v>16</v>
      </c>
      <c r="D88" t="s">
        <v>17</v>
      </c>
      <c r="E88">
        <v>9</v>
      </c>
      <c r="F88" t="s">
        <v>32</v>
      </c>
      <c r="G88">
        <f>Earnings!G88</f>
        <v>731865.23199999996</v>
      </c>
      <c r="H88">
        <f>Deductions!B88+Deductions!C88+Deductions!D88+Tax!D88</f>
        <v>7521.1000000000013</v>
      </c>
      <c r="I88">
        <f t="shared" si="2"/>
        <v>831971.37199999997</v>
      </c>
      <c r="J88">
        <f>Overtime!D88</f>
        <v>107627.24</v>
      </c>
      <c r="K88">
        <f>IF(C88="Junior",0.06,IF(C88="Mid",0.08,IF(C88="Senior",0.1,IF(C88="Manager",0.12,0))))</f>
        <v>0.06</v>
      </c>
      <c r="L88">
        <f>IF(Performance!E88&gt;2,0.03,IF(Performance!E88&gt;=1,0.01,-0.02))</f>
        <v>0.01</v>
      </c>
      <c r="M88">
        <f t="shared" si="3"/>
        <v>6.9999999999999993E-2</v>
      </c>
      <c r="N88">
        <f>Earnings!B88*(1+M88)</f>
        <v>822579.62</v>
      </c>
    </row>
    <row r="89" spans="1:14" x14ac:dyDescent="0.35">
      <c r="A89" t="s">
        <v>120</v>
      </c>
      <c r="B89" t="s">
        <v>20</v>
      </c>
      <c r="C89" t="s">
        <v>44</v>
      </c>
      <c r="D89" t="s">
        <v>17</v>
      </c>
      <c r="E89">
        <v>9</v>
      </c>
      <c r="F89" t="s">
        <v>71</v>
      </c>
      <c r="G89">
        <f>Earnings!G89</f>
        <v>1040031.44</v>
      </c>
      <c r="H89">
        <f>Deductions!B89+Deductions!C89+Deductions!D89+Tax!D89</f>
        <v>13686.75</v>
      </c>
      <c r="I89">
        <f t="shared" si="2"/>
        <v>1026344.69</v>
      </c>
      <c r="J89">
        <f>Overtime!D89</f>
        <v>0</v>
      </c>
      <c r="K89">
        <f>IF(C89="Junior",0.06,IF(C89="Mid",0.08,IF(C89="Senior",0.1,IF(C89="Manager",0.12,0))))</f>
        <v>0.12</v>
      </c>
      <c r="L89">
        <f>IF(Performance!E89&gt;2,0.03,IF(Performance!E89&gt;=1,0.01,-0.02))</f>
        <v>0.03</v>
      </c>
      <c r="M89">
        <f t="shared" si="3"/>
        <v>0.15</v>
      </c>
      <c r="N89">
        <f>Earnings!B89*(1+M89)</f>
        <v>1256340.5</v>
      </c>
    </row>
    <row r="90" spans="1:14" x14ac:dyDescent="0.35">
      <c r="A90" t="s">
        <v>121</v>
      </c>
      <c r="B90" t="s">
        <v>20</v>
      </c>
      <c r="C90" t="s">
        <v>34</v>
      </c>
      <c r="D90" t="s">
        <v>17</v>
      </c>
      <c r="E90">
        <v>9</v>
      </c>
      <c r="F90" t="s">
        <v>71</v>
      </c>
      <c r="G90">
        <f>Earnings!G90</f>
        <v>948358.6</v>
      </c>
      <c r="H90">
        <f>Deductions!B90+Deductions!C90+Deductions!D90+Tax!D90</f>
        <v>11311.25</v>
      </c>
      <c r="I90">
        <f t="shared" si="2"/>
        <v>937047.35</v>
      </c>
      <c r="J90">
        <f>Overtime!D90</f>
        <v>0</v>
      </c>
      <c r="K90">
        <f>IF(C90="Junior",0.06,IF(C90="Mid",0.08,IF(C90="Senior",0.1,IF(C90="Manager",0.12,0))))</f>
        <v>0.08</v>
      </c>
      <c r="L90">
        <f>IF(Performance!E90&gt;2,0.03,IF(Performance!E90&gt;=1,0.01,-0.02))</f>
        <v>0.03</v>
      </c>
      <c r="M90">
        <f t="shared" si="3"/>
        <v>0.11</v>
      </c>
      <c r="N90">
        <f>Earnings!B90*(1+M90)</f>
        <v>1105754.25</v>
      </c>
    </row>
    <row r="91" spans="1:14" x14ac:dyDescent="0.35">
      <c r="A91" t="s">
        <v>122</v>
      </c>
      <c r="B91" t="s">
        <v>20</v>
      </c>
      <c r="C91" t="s">
        <v>21</v>
      </c>
      <c r="D91" t="s">
        <v>17</v>
      </c>
      <c r="E91">
        <v>0</v>
      </c>
      <c r="F91" t="s">
        <v>45</v>
      </c>
      <c r="G91">
        <f>Earnings!G91</f>
        <v>770579.26399999997</v>
      </c>
      <c r="H91">
        <f>Deductions!B91+Deductions!C91+Deductions!D91+Tax!D91</f>
        <v>8198.866666666665</v>
      </c>
      <c r="I91">
        <f t="shared" si="2"/>
        <v>794757.6773333333</v>
      </c>
      <c r="J91">
        <f>Overtime!D91</f>
        <v>32377.279999999999</v>
      </c>
      <c r="K91">
        <f>IF(C91="Junior",0.06,IF(C91="Mid",0.08,IF(C91="Senior",0.1,IF(C91="Manager",0.12,0))))</f>
        <v>0.1</v>
      </c>
      <c r="L91">
        <f>IF(Performance!E91&gt;2,0.03,IF(Performance!E91&gt;=1,0.01,-0.02))</f>
        <v>0.03</v>
      </c>
      <c r="M91">
        <f t="shared" si="3"/>
        <v>0.13</v>
      </c>
      <c r="N91">
        <f>Earnings!B91*(1+M91)</f>
        <v>914658.15999999992</v>
      </c>
    </row>
    <row r="92" spans="1:14" x14ac:dyDescent="0.35">
      <c r="A92" t="s">
        <v>123</v>
      </c>
      <c r="B92" t="s">
        <v>36</v>
      </c>
      <c r="C92" t="s">
        <v>44</v>
      </c>
      <c r="D92" t="s">
        <v>17</v>
      </c>
      <c r="E92">
        <v>14</v>
      </c>
      <c r="F92" t="s">
        <v>32</v>
      </c>
      <c r="G92">
        <f>Earnings!G92</f>
        <v>1048428.08</v>
      </c>
      <c r="H92">
        <f>Deductions!B92+Deductions!C92+Deductions!D92+Tax!D92</f>
        <v>13907.25</v>
      </c>
      <c r="I92">
        <f t="shared" si="2"/>
        <v>1133636.93</v>
      </c>
      <c r="J92">
        <f>Overtime!D92</f>
        <v>99116.099999999991</v>
      </c>
      <c r="K92">
        <f>IF(C92="Junior",0.06,IF(C92="Mid",0.08,IF(C92="Senior",0.1,IF(C92="Manager",0.12,0))))</f>
        <v>0.12</v>
      </c>
      <c r="L92">
        <f>IF(Performance!E92&gt;2,0.03,IF(Performance!E92&gt;=1,0.01,-0.02))</f>
        <v>0.01</v>
      </c>
      <c r="M92">
        <f t="shared" si="3"/>
        <v>0.13</v>
      </c>
      <c r="N92">
        <f>Earnings!B92*(1+M92)</f>
        <v>1244457.7</v>
      </c>
    </row>
    <row r="93" spans="1:14" x14ac:dyDescent="0.35">
      <c r="A93" t="s">
        <v>124</v>
      </c>
      <c r="B93" t="s">
        <v>27</v>
      </c>
      <c r="C93" t="s">
        <v>16</v>
      </c>
      <c r="D93" t="s">
        <v>17</v>
      </c>
      <c r="E93">
        <v>11</v>
      </c>
      <c r="F93" t="s">
        <v>25</v>
      </c>
      <c r="G93">
        <f>Earnings!G93</f>
        <v>886623.304</v>
      </c>
      <c r="H93">
        <f>Deductions!B93+Deductions!C93+Deductions!D93+Tax!D93</f>
        <v>10230.450000000001</v>
      </c>
      <c r="I93">
        <f t="shared" si="2"/>
        <v>876392.85400000005</v>
      </c>
      <c r="J93">
        <f>Overtime!D93</f>
        <v>0</v>
      </c>
      <c r="K93">
        <f>IF(C93="Junior",0.06,IF(C93="Mid",0.08,IF(C93="Senior",0.1,IF(C93="Manager",0.12,0))))</f>
        <v>0.06</v>
      </c>
      <c r="L93">
        <f>IF(Performance!E93&gt;2,0.03,IF(Performance!E93&gt;=1,0.01,-0.02))</f>
        <v>0.01</v>
      </c>
      <c r="M93">
        <f t="shared" si="3"/>
        <v>6.9999999999999993E-2</v>
      </c>
      <c r="N93">
        <f>Earnings!B93*(1+M93)</f>
        <v>996519.89</v>
      </c>
    </row>
    <row r="94" spans="1:14" x14ac:dyDescent="0.35">
      <c r="A94" t="s">
        <v>125</v>
      </c>
      <c r="B94" t="s">
        <v>20</v>
      </c>
      <c r="C94" t="s">
        <v>34</v>
      </c>
      <c r="D94" t="s">
        <v>22</v>
      </c>
      <c r="E94">
        <v>15</v>
      </c>
      <c r="F94" t="s">
        <v>38</v>
      </c>
      <c r="G94">
        <f>Earnings!G94</f>
        <v>980450.09160000016</v>
      </c>
      <c r="H94">
        <f>Deductions!B94+Deductions!C94+Deductions!D94+Tax!D94</f>
        <v>12122.113750000002</v>
      </c>
      <c r="I94">
        <f t="shared" si="2"/>
        <v>999224.51435000019</v>
      </c>
      <c r="J94">
        <f>Overtime!D94</f>
        <v>30896.536500000009</v>
      </c>
      <c r="K94">
        <f>IF(C94="Junior",0.06,IF(C94="Mid",0.08,IF(C94="Senior",0.1,IF(C94="Manager",0.12,0))))</f>
        <v>0.08</v>
      </c>
      <c r="L94">
        <f>IF(Performance!E94&gt;2,0.03,IF(Performance!E94&gt;=1,0.01,-0.02))</f>
        <v>0.03</v>
      </c>
      <c r="M94">
        <f t="shared" si="3"/>
        <v>0.11</v>
      </c>
      <c r="N94">
        <f>Earnings!B94*(1+M94)</f>
        <v>1143171.8505000002</v>
      </c>
    </row>
    <row r="95" spans="1:14" x14ac:dyDescent="0.35">
      <c r="A95" t="s">
        <v>126</v>
      </c>
      <c r="B95" t="s">
        <v>27</v>
      </c>
      <c r="C95" t="s">
        <v>34</v>
      </c>
      <c r="D95" t="s">
        <v>22</v>
      </c>
      <c r="E95">
        <v>8</v>
      </c>
      <c r="F95" t="s">
        <v>38</v>
      </c>
      <c r="G95">
        <f>Earnings!G95</f>
        <v>767614.9264</v>
      </c>
      <c r="H95">
        <f>Deductions!B95+Deductions!C95+Deductions!D95+Tax!D95</f>
        <v>8146.9699999999984</v>
      </c>
      <c r="I95">
        <f t="shared" si="2"/>
        <v>807847.04839999997</v>
      </c>
      <c r="J95">
        <f>Overtime!D95</f>
        <v>48379.092000000004</v>
      </c>
      <c r="K95">
        <f>IF(C95="Junior",0.06,IF(C95="Mid",0.08,IF(C95="Senior",0.1,IF(C95="Manager",0.12,0))))</f>
        <v>0.08</v>
      </c>
      <c r="L95">
        <f>IF(Performance!E95&gt;2,0.03,IF(Performance!E95&gt;=1,0.01,-0.02))</f>
        <v>0.01</v>
      </c>
      <c r="M95">
        <f t="shared" si="3"/>
        <v>0.09</v>
      </c>
      <c r="N95">
        <f>Earnings!B95*(1+M95)</f>
        <v>878886.83799999999</v>
      </c>
    </row>
    <row r="96" spans="1:14" x14ac:dyDescent="0.35">
      <c r="A96" t="s">
        <v>127</v>
      </c>
      <c r="B96" t="s">
        <v>30</v>
      </c>
      <c r="C96" t="s">
        <v>34</v>
      </c>
      <c r="D96" t="s">
        <v>17</v>
      </c>
      <c r="E96">
        <v>10</v>
      </c>
      <c r="F96" t="s">
        <v>38</v>
      </c>
      <c r="G96">
        <f>Earnings!G96</f>
        <v>973914.08799999999</v>
      </c>
      <c r="H96">
        <f>Deductions!B96+Deductions!C96+Deductions!D96+Tax!D96</f>
        <v>11950.475</v>
      </c>
      <c r="I96">
        <f t="shared" si="2"/>
        <v>961963.61300000001</v>
      </c>
      <c r="J96">
        <f>Overtime!D96</f>
        <v>0</v>
      </c>
      <c r="K96">
        <f>IF(C96="Junior",0.06,IF(C96="Mid",0.08,IF(C96="Senior",0.1,IF(C96="Manager",0.12,0))))</f>
        <v>0.08</v>
      </c>
      <c r="L96">
        <f>IF(Performance!E96&gt;2,0.03,IF(Performance!E96&gt;=1,0.01,-0.02))</f>
        <v>0.01</v>
      </c>
      <c r="M96">
        <f t="shared" si="3"/>
        <v>0.09</v>
      </c>
      <c r="N96">
        <f>Earnings!B96*(1+M96)</f>
        <v>1115090.7100000002</v>
      </c>
    </row>
    <row r="97" spans="1:14" x14ac:dyDescent="0.35">
      <c r="A97" t="s">
        <v>128</v>
      </c>
      <c r="B97" t="s">
        <v>36</v>
      </c>
      <c r="C97" t="s">
        <v>44</v>
      </c>
      <c r="D97" t="s">
        <v>22</v>
      </c>
      <c r="E97">
        <v>13</v>
      </c>
      <c r="F97" t="s">
        <v>45</v>
      </c>
      <c r="G97">
        <f>Earnings!G97</f>
        <v>847650.70879999991</v>
      </c>
      <c r="H97">
        <f>Deductions!B97+Deductions!C97+Deductions!D97+Tax!D97</f>
        <v>9548.1566666666658</v>
      </c>
      <c r="I97">
        <f t="shared" si="2"/>
        <v>887073.9691333333</v>
      </c>
      <c r="J97">
        <f>Overtime!D97</f>
        <v>48971.417000000001</v>
      </c>
      <c r="K97">
        <f>IF(C97="Junior",0.06,IF(C97="Mid",0.08,IF(C97="Senior",0.1,IF(C97="Manager",0.12,0))))</f>
        <v>0.12</v>
      </c>
      <c r="L97">
        <f>IF(Performance!E97&gt;2,0.03,IF(Performance!E97&gt;=1,0.01,-0.02))</f>
        <v>0.01</v>
      </c>
      <c r="M97">
        <f t="shared" si="3"/>
        <v>0.13</v>
      </c>
      <c r="N97">
        <f>Earnings!B97*(1+M97)</f>
        <v>1006140.0219999998</v>
      </c>
    </row>
    <row r="98" spans="1:14" x14ac:dyDescent="0.35">
      <c r="A98" t="s">
        <v>129</v>
      </c>
      <c r="B98" t="s">
        <v>15</v>
      </c>
      <c r="C98" t="s">
        <v>21</v>
      </c>
      <c r="D98" t="s">
        <v>22</v>
      </c>
      <c r="E98">
        <v>14</v>
      </c>
      <c r="F98" t="s">
        <v>18</v>
      </c>
      <c r="G98">
        <f>Earnings!G98</f>
        <v>783319.83239999996</v>
      </c>
      <c r="H98">
        <f>Deductions!B98+Deductions!C98+Deductions!D98+Tax!D98</f>
        <v>8421.9158333333326</v>
      </c>
      <c r="I98">
        <f t="shared" si="2"/>
        <v>844837.18731666671</v>
      </c>
      <c r="J98">
        <f>Overtime!D98</f>
        <v>69939.270749999996</v>
      </c>
      <c r="K98">
        <f>IF(C98="Junior",0.06,IF(C98="Mid",0.08,IF(C98="Senior",0.1,IF(C98="Manager",0.12,0))))</f>
        <v>0.1</v>
      </c>
      <c r="L98">
        <f>IF(Performance!E98&gt;2,0.03,IF(Performance!E98&gt;=1,0.01,-0.02))</f>
        <v>0.01</v>
      </c>
      <c r="M98">
        <f t="shared" si="3"/>
        <v>0.11</v>
      </c>
      <c r="N98">
        <f>Earnings!B98*(1+M98)</f>
        <v>913324.59450000001</v>
      </c>
    </row>
    <row r="99" spans="1:14" x14ac:dyDescent="0.35">
      <c r="A99" t="s">
        <v>130</v>
      </c>
      <c r="B99" t="s">
        <v>36</v>
      </c>
      <c r="C99" t="s">
        <v>34</v>
      </c>
      <c r="D99" t="s">
        <v>22</v>
      </c>
      <c r="E99">
        <v>9</v>
      </c>
      <c r="F99" t="s">
        <v>45</v>
      </c>
      <c r="G99">
        <f>Earnings!G99</f>
        <v>943672.66559999995</v>
      </c>
      <c r="H99">
        <f>Deductions!B99+Deductions!C99+Deductions!D99+Tax!D99</f>
        <v>11229.213333333333</v>
      </c>
      <c r="I99">
        <f t="shared" si="2"/>
        <v>1041481.2602666665</v>
      </c>
      <c r="J99">
        <f>Overtime!D99</f>
        <v>109037.808</v>
      </c>
      <c r="K99">
        <f>IF(C99="Junior",0.06,IF(C99="Mid",0.08,IF(C99="Senior",0.1,IF(C99="Manager",0.12,0))))</f>
        <v>0.08</v>
      </c>
      <c r="L99">
        <f>IF(Performance!E99&gt;2,0.03,IF(Performance!E99&gt;=1,0.01,-0.02))</f>
        <v>0.01</v>
      </c>
      <c r="M99">
        <f t="shared" si="3"/>
        <v>0.09</v>
      </c>
      <c r="N99">
        <f>Earnings!B99*(1+M99)</f>
        <v>1080465.5519999999</v>
      </c>
    </row>
    <row r="100" spans="1:14" x14ac:dyDescent="0.35">
      <c r="A100" t="s">
        <v>131</v>
      </c>
      <c r="B100" t="s">
        <v>15</v>
      </c>
      <c r="C100" t="s">
        <v>21</v>
      </c>
      <c r="D100" t="s">
        <v>22</v>
      </c>
      <c r="E100">
        <v>8</v>
      </c>
      <c r="F100" t="s">
        <v>45</v>
      </c>
      <c r="G100">
        <f>Earnings!G100</f>
        <v>568581.80959999992</v>
      </c>
      <c r="H100">
        <f>Deductions!B100+Deductions!C100+Deductions!D100+Tax!D100</f>
        <v>4662.496666666666</v>
      </c>
      <c r="I100">
        <f t="shared" si="2"/>
        <v>563919.31293333322</v>
      </c>
      <c r="J100">
        <f>Overtime!D100</f>
        <v>0</v>
      </c>
      <c r="K100">
        <f>IF(C100="Junior",0.06,IF(C100="Mid",0.08,IF(C100="Senior",0.1,IF(C100="Manager",0.12,0))))</f>
        <v>0.1</v>
      </c>
      <c r="L100">
        <f>IF(Performance!E100&gt;2,0.03,IF(Performance!E100&gt;=1,0.01,-0.02))</f>
        <v>0.01</v>
      </c>
      <c r="M100">
        <f t="shared" si="3"/>
        <v>0.11</v>
      </c>
      <c r="N100">
        <f>Earnings!B100*(1+M100)</f>
        <v>662947.27799999993</v>
      </c>
    </row>
    <row r="101" spans="1:14" x14ac:dyDescent="0.35">
      <c r="A101" t="s">
        <v>132</v>
      </c>
      <c r="B101" t="s">
        <v>36</v>
      </c>
      <c r="C101" t="s">
        <v>21</v>
      </c>
      <c r="D101" t="s">
        <v>22</v>
      </c>
      <c r="E101">
        <v>14</v>
      </c>
      <c r="F101" t="s">
        <v>45</v>
      </c>
      <c r="G101">
        <f>Earnings!G101</f>
        <v>870288.7452</v>
      </c>
      <c r="H101">
        <f>Deductions!B101+Deductions!C101+Deductions!D101+Tax!D101</f>
        <v>9944.4808333333349</v>
      </c>
      <c r="I101">
        <f t="shared" si="2"/>
        <v>983757.05911666667</v>
      </c>
      <c r="J101">
        <f>Overtime!D101</f>
        <v>123412.79475</v>
      </c>
      <c r="K101">
        <f>IF(C101="Junior",0.06,IF(C101="Mid",0.08,IF(C101="Senior",0.1,IF(C101="Manager",0.12,0))))</f>
        <v>0.1</v>
      </c>
      <c r="L101">
        <f>IF(Performance!E101&gt;2,0.03,IF(Performance!E101&gt;=1,0.01,-0.02))</f>
        <v>0.01</v>
      </c>
      <c r="M101">
        <f t="shared" si="3"/>
        <v>0.11</v>
      </c>
      <c r="N101">
        <f>Earnings!B101*(1+M101)</f>
        <v>1014727.4235</v>
      </c>
    </row>
    <row r="102" spans="1:14" x14ac:dyDescent="0.35">
      <c r="A102" t="s">
        <v>133</v>
      </c>
      <c r="B102" t="s">
        <v>30</v>
      </c>
      <c r="C102" t="s">
        <v>21</v>
      </c>
      <c r="D102" t="s">
        <v>22</v>
      </c>
      <c r="E102">
        <v>4</v>
      </c>
      <c r="F102" t="s">
        <v>71</v>
      </c>
      <c r="G102">
        <f>Earnings!G102</f>
        <v>726272.99359999993</v>
      </c>
      <c r="H102">
        <f>Deductions!B102+Deductions!C102+Deductions!D102+Tax!D102</f>
        <v>7423.1966666666658</v>
      </c>
      <c r="I102">
        <f t="shared" si="2"/>
        <v>718849.79693333327</v>
      </c>
      <c r="J102">
        <f>Overtime!D102</f>
        <v>0</v>
      </c>
      <c r="K102">
        <f>IF(C102="Junior",0.06,IF(C102="Mid",0.08,IF(C102="Senior",0.1,IF(C102="Manager",0.12,0))))</f>
        <v>0.1</v>
      </c>
      <c r="L102">
        <f>IF(Performance!E102&gt;2,0.03,IF(Performance!E102&gt;=1,0.01,-0.02))</f>
        <v>0.01</v>
      </c>
      <c r="M102">
        <f t="shared" si="3"/>
        <v>0.11</v>
      </c>
      <c r="N102">
        <f>Earnings!B102*(1+M102)</f>
        <v>846809.89800000004</v>
      </c>
    </row>
    <row r="103" spans="1:14" x14ac:dyDescent="0.35">
      <c r="A103" t="s">
        <v>134</v>
      </c>
      <c r="B103" t="s">
        <v>36</v>
      </c>
      <c r="C103" t="s">
        <v>21</v>
      </c>
      <c r="D103" t="s">
        <v>17</v>
      </c>
      <c r="E103">
        <v>5</v>
      </c>
      <c r="F103" t="s">
        <v>45</v>
      </c>
      <c r="G103">
        <f>Earnings!G103</f>
        <v>677141.41600000008</v>
      </c>
      <c r="H103">
        <f>Deductions!B103+Deductions!C103+Deductions!D103+Tax!D103</f>
        <v>6563.05</v>
      </c>
      <c r="I103">
        <f t="shared" si="2"/>
        <v>723924.59100000001</v>
      </c>
      <c r="J103">
        <f>Overtime!D103</f>
        <v>53346.224999999999</v>
      </c>
      <c r="K103">
        <f>IF(C103="Junior",0.06,IF(C103="Mid",0.08,IF(C103="Senior",0.1,IF(C103="Manager",0.12,0))))</f>
        <v>0.1</v>
      </c>
      <c r="L103">
        <f>IF(Performance!E103&gt;2,0.03,IF(Performance!E103&gt;=1,0.01,-0.02))</f>
        <v>0.01</v>
      </c>
      <c r="M103">
        <f t="shared" si="3"/>
        <v>0.11</v>
      </c>
      <c r="N103">
        <f>Earnings!B103*(1+M103)</f>
        <v>789524.13000000012</v>
      </c>
    </row>
    <row r="104" spans="1:14" x14ac:dyDescent="0.35">
      <c r="A104" t="s">
        <v>135</v>
      </c>
      <c r="B104" t="s">
        <v>27</v>
      </c>
      <c r="C104" t="s">
        <v>34</v>
      </c>
      <c r="D104" t="s">
        <v>17</v>
      </c>
      <c r="E104">
        <v>13</v>
      </c>
      <c r="F104" t="s">
        <v>32</v>
      </c>
      <c r="G104">
        <f>Earnings!G104</f>
        <v>758454.59199999983</v>
      </c>
      <c r="H104">
        <f>Deductions!B104+Deductions!C104+Deductions!D104+Tax!D104</f>
        <v>7986.6000000000013</v>
      </c>
      <c r="I104">
        <f t="shared" si="2"/>
        <v>750467.99199999985</v>
      </c>
      <c r="J104">
        <f>Overtime!D104</f>
        <v>0</v>
      </c>
      <c r="K104">
        <f>IF(C104="Junior",0.06,IF(C104="Mid",0.08,IF(C104="Senior",0.1,IF(C104="Manager",0.12,0))))</f>
        <v>0.08</v>
      </c>
      <c r="L104">
        <f>IF(Performance!E104&gt;2,0.03,IF(Performance!E104&gt;=1,0.01,-0.02))</f>
        <v>0.01</v>
      </c>
      <c r="M104">
        <f t="shared" si="3"/>
        <v>0.09</v>
      </c>
      <c r="N104">
        <f>Earnings!B104*(1+M104)</f>
        <v>868398.64</v>
      </c>
    </row>
    <row r="105" spans="1:14" x14ac:dyDescent="0.35">
      <c r="A105" t="s">
        <v>136</v>
      </c>
      <c r="B105" t="s">
        <v>20</v>
      </c>
      <c r="C105" t="s">
        <v>16</v>
      </c>
      <c r="D105" t="s">
        <v>22</v>
      </c>
      <c r="E105">
        <v>6</v>
      </c>
      <c r="F105" t="s">
        <v>28</v>
      </c>
      <c r="G105">
        <f>Earnings!G105</f>
        <v>855080.35479999986</v>
      </c>
      <c r="H105">
        <f>Deductions!B105+Deductions!C105+Deductions!D105+Tax!D105</f>
        <v>9678.2274999999972</v>
      </c>
      <c r="I105">
        <f t="shared" si="2"/>
        <v>845402.12729999982</v>
      </c>
      <c r="J105">
        <f>Overtime!D105</f>
        <v>0</v>
      </c>
      <c r="K105">
        <f>IF(C105="Junior",0.06,IF(C105="Mid",0.08,IF(C105="Senior",0.1,IF(C105="Manager",0.12,0))))</f>
        <v>0.06</v>
      </c>
      <c r="L105">
        <f>IF(Performance!E105&gt;2,0.03,IF(Performance!E105&gt;=1,0.01,-0.02))</f>
        <v>0.03</v>
      </c>
      <c r="M105">
        <f t="shared" si="3"/>
        <v>0.09</v>
      </c>
      <c r="N105">
        <f>Earnings!B105*(1+M105)</f>
        <v>979031.07849999995</v>
      </c>
    </row>
    <row r="106" spans="1:14" x14ac:dyDescent="0.35">
      <c r="A106" t="s">
        <v>137</v>
      </c>
      <c r="B106" t="s">
        <v>30</v>
      </c>
      <c r="C106" t="s">
        <v>44</v>
      </c>
      <c r="D106" t="s">
        <v>17</v>
      </c>
      <c r="E106">
        <v>13</v>
      </c>
      <c r="F106" t="s">
        <v>38</v>
      </c>
      <c r="G106">
        <f>Earnings!G106</f>
        <v>1437495.2479999999</v>
      </c>
      <c r="H106">
        <f>Deductions!B106+Deductions!C106+Deductions!D106+Tax!D106</f>
        <v>24124.349999999995</v>
      </c>
      <c r="I106">
        <f t="shared" si="2"/>
        <v>1556818.4279999998</v>
      </c>
      <c r="J106">
        <f>Overtime!D106</f>
        <v>143447.53</v>
      </c>
      <c r="K106">
        <f>IF(C106="Junior",0.06,IF(C106="Mid",0.08,IF(C106="Senior",0.1,IF(C106="Manager",0.12,0))))</f>
        <v>0.12</v>
      </c>
      <c r="L106">
        <f>IF(Performance!E106&gt;2,0.03,IF(Performance!E106&gt;=1,0.01,-0.02))</f>
        <v>0.01</v>
      </c>
      <c r="M106">
        <f t="shared" si="3"/>
        <v>0.13</v>
      </c>
      <c r="N106">
        <f>Earnings!B106*(1+M106)</f>
        <v>1706270.6199999999</v>
      </c>
    </row>
    <row r="107" spans="1:14" x14ac:dyDescent="0.35">
      <c r="A107" t="s">
        <v>138</v>
      </c>
      <c r="B107" t="s">
        <v>15</v>
      </c>
      <c r="C107" t="s">
        <v>16</v>
      </c>
      <c r="D107" t="s">
        <v>17</v>
      </c>
      <c r="E107">
        <v>6</v>
      </c>
      <c r="F107" t="s">
        <v>25</v>
      </c>
      <c r="G107">
        <f>Earnings!G107</f>
        <v>579926.98399999994</v>
      </c>
      <c r="H107">
        <f>Deductions!B107+Deductions!C107+Deductions!D107+Tax!D107</f>
        <v>4861.1166666666668</v>
      </c>
      <c r="I107">
        <f t="shared" si="2"/>
        <v>575065.86733333324</v>
      </c>
      <c r="J107">
        <f>Overtime!D107</f>
        <v>0</v>
      </c>
      <c r="K107">
        <f>IF(C107="Junior",0.06,IF(C107="Mid",0.08,IF(C107="Senior",0.1,IF(C107="Manager",0.12,0))))</f>
        <v>0.06</v>
      </c>
      <c r="L107">
        <f>IF(Performance!E107&gt;2,0.03,IF(Performance!E107&gt;=1,0.01,-0.02))</f>
        <v>0.01</v>
      </c>
      <c r="M107">
        <f t="shared" si="3"/>
        <v>6.9999999999999993E-2</v>
      </c>
      <c r="N107">
        <f>Earnings!B107*(1+M107)</f>
        <v>651808.69000000006</v>
      </c>
    </row>
    <row r="108" spans="1:14" x14ac:dyDescent="0.35">
      <c r="A108" t="s">
        <v>139</v>
      </c>
      <c r="B108" t="s">
        <v>30</v>
      </c>
      <c r="C108" t="s">
        <v>16</v>
      </c>
      <c r="D108" t="s">
        <v>17</v>
      </c>
      <c r="E108">
        <v>2</v>
      </c>
      <c r="F108" t="s">
        <v>25</v>
      </c>
      <c r="G108">
        <f>Earnings!G108</f>
        <v>1071995.7919999999</v>
      </c>
      <c r="H108">
        <f>Deductions!B108+Deductions!C108+Deductions!D108+Tax!D108</f>
        <v>14526.15</v>
      </c>
      <c r="I108">
        <f t="shared" si="2"/>
        <v>1215116.0819999999</v>
      </c>
      <c r="J108">
        <f>Overtime!D108</f>
        <v>157646.44</v>
      </c>
      <c r="K108">
        <f>IF(C108="Junior",0.06,IF(C108="Mid",0.08,IF(C108="Senior",0.1,IF(C108="Manager",0.12,0))))</f>
        <v>0.06</v>
      </c>
      <c r="L108">
        <f>IF(Performance!E108&gt;2,0.03,IF(Performance!E108&gt;=1,0.01,-0.02))</f>
        <v>0.01</v>
      </c>
      <c r="M108">
        <f t="shared" si="3"/>
        <v>6.9999999999999993E-2</v>
      </c>
      <c r="N108">
        <f>Earnings!B108*(1+M108)</f>
        <v>1204869.22</v>
      </c>
    </row>
    <row r="109" spans="1:14" x14ac:dyDescent="0.35">
      <c r="A109" t="s">
        <v>140</v>
      </c>
      <c r="B109" t="s">
        <v>20</v>
      </c>
      <c r="C109" t="s">
        <v>44</v>
      </c>
      <c r="D109" t="s">
        <v>17</v>
      </c>
      <c r="E109">
        <v>3</v>
      </c>
      <c r="F109" t="s">
        <v>32</v>
      </c>
      <c r="G109">
        <f>Earnings!G109</f>
        <v>540954.96</v>
      </c>
      <c r="H109">
        <f>Deductions!B109+Deductions!C109+Deductions!D109+Tax!D109</f>
        <v>4178.8333333333339</v>
      </c>
      <c r="I109">
        <f t="shared" si="2"/>
        <v>587916.82666666654</v>
      </c>
      <c r="J109">
        <f>Overtime!D109</f>
        <v>51140.700000000004</v>
      </c>
      <c r="K109">
        <f>IF(C109="Junior",0.06,IF(C109="Mid",0.08,IF(C109="Senior",0.1,IF(C109="Manager",0.12,0))))</f>
        <v>0.12</v>
      </c>
      <c r="L109">
        <f>IF(Performance!E109&gt;2,0.03,IF(Performance!E109&gt;=1,0.01,-0.02))</f>
        <v>0.03</v>
      </c>
      <c r="M109">
        <f t="shared" si="3"/>
        <v>0.15</v>
      </c>
      <c r="N109">
        <f>Earnings!B109*(1+M109)</f>
        <v>653464.5</v>
      </c>
    </row>
    <row r="110" spans="1:14" x14ac:dyDescent="0.35">
      <c r="A110" t="s">
        <v>141</v>
      </c>
      <c r="B110" t="s">
        <v>27</v>
      </c>
      <c r="C110" t="s">
        <v>34</v>
      </c>
      <c r="D110" t="s">
        <v>22</v>
      </c>
      <c r="E110">
        <v>8</v>
      </c>
      <c r="F110" t="s">
        <v>38</v>
      </c>
      <c r="G110">
        <f>Earnings!G110</f>
        <v>690021.92839999998</v>
      </c>
      <c r="H110">
        <f>Deductions!B110+Deductions!C110+Deductions!D110+Tax!D110</f>
        <v>6788.5491666666667</v>
      </c>
      <c r="I110">
        <f t="shared" si="2"/>
        <v>715849.96198333334</v>
      </c>
      <c r="J110">
        <f>Overtime!D110</f>
        <v>32616.582750000001</v>
      </c>
      <c r="K110">
        <f>IF(C110="Junior",0.06,IF(C110="Mid",0.08,IF(C110="Senior",0.1,IF(C110="Manager",0.12,0))))</f>
        <v>0.08</v>
      </c>
      <c r="L110">
        <f>IF(Performance!E110&gt;2,0.03,IF(Performance!E110&gt;=1,0.01,-0.02))</f>
        <v>0.01</v>
      </c>
      <c r="M110">
        <f t="shared" si="3"/>
        <v>0.09</v>
      </c>
      <c r="N110">
        <f>Earnings!B110*(1+M110)</f>
        <v>790046.11549999996</v>
      </c>
    </row>
    <row r="111" spans="1:14" x14ac:dyDescent="0.35">
      <c r="A111" t="s">
        <v>142</v>
      </c>
      <c r="B111" t="s">
        <v>30</v>
      </c>
      <c r="C111" t="s">
        <v>44</v>
      </c>
      <c r="D111" t="s">
        <v>17</v>
      </c>
      <c r="E111">
        <v>3</v>
      </c>
      <c r="F111" t="s">
        <v>18</v>
      </c>
      <c r="G111">
        <f>Earnings!G111</f>
        <v>682111.80799999996</v>
      </c>
      <c r="H111">
        <f>Deductions!B111+Deductions!C111+Deductions!D111+Tax!D111</f>
        <v>6650.0666666666666</v>
      </c>
      <c r="I111">
        <f t="shared" si="2"/>
        <v>775772.30133333325</v>
      </c>
      <c r="J111">
        <f>Overtime!D111</f>
        <v>100310.55999999998</v>
      </c>
      <c r="K111">
        <f>IF(C111="Junior",0.06,IF(C111="Mid",0.08,IF(C111="Senior",0.1,IF(C111="Manager",0.12,0))))</f>
        <v>0.12</v>
      </c>
      <c r="L111">
        <f>IF(Performance!E111&gt;2,0.03,IF(Performance!E111&gt;=1,0.01,-0.02))</f>
        <v>0.01</v>
      </c>
      <c r="M111">
        <f t="shared" si="3"/>
        <v>0.13</v>
      </c>
      <c r="N111">
        <f>Earnings!B111*(1+M111)</f>
        <v>809649.5199999999</v>
      </c>
    </row>
    <row r="112" spans="1:14" x14ac:dyDescent="0.35">
      <c r="A112" t="s">
        <v>143</v>
      </c>
      <c r="B112" t="s">
        <v>30</v>
      </c>
      <c r="C112" t="s">
        <v>44</v>
      </c>
      <c r="D112" t="s">
        <v>22</v>
      </c>
      <c r="E112">
        <v>15</v>
      </c>
      <c r="F112" t="s">
        <v>45</v>
      </c>
      <c r="G112">
        <f>Earnings!G112</f>
        <v>979184.83600000001</v>
      </c>
      <c r="H112">
        <f>Deductions!B112+Deductions!C112+Deductions!D112+Tax!D112</f>
        <v>12088.887499999999</v>
      </c>
      <c r="I112">
        <f t="shared" si="2"/>
        <v>1028809.2785</v>
      </c>
      <c r="J112">
        <f>Overtime!D112</f>
        <v>61713.33</v>
      </c>
      <c r="K112">
        <f>IF(C112="Junior",0.06,IF(C112="Mid",0.08,IF(C112="Senior",0.1,IF(C112="Manager",0.12,0))))</f>
        <v>0.12</v>
      </c>
      <c r="L112">
        <f>IF(Performance!E112&gt;2,0.03,IF(Performance!E112&gt;=1,0.01,-0.02))</f>
        <v>0.01</v>
      </c>
      <c r="M112">
        <f t="shared" si="3"/>
        <v>0.13</v>
      </c>
      <c r="N112">
        <f>Earnings!B112*(1+M112)</f>
        <v>1162267.7149999999</v>
      </c>
    </row>
    <row r="113" spans="1:14" x14ac:dyDescent="0.35">
      <c r="A113" t="s">
        <v>144</v>
      </c>
      <c r="B113" t="s">
        <v>20</v>
      </c>
      <c r="C113" t="s">
        <v>44</v>
      </c>
      <c r="D113" t="s">
        <v>22</v>
      </c>
      <c r="E113">
        <v>12</v>
      </c>
      <c r="F113" t="s">
        <v>28</v>
      </c>
      <c r="G113">
        <f>Earnings!G113</f>
        <v>745053.76399999997</v>
      </c>
      <c r="H113">
        <f>Deductions!B113+Deductions!C113+Deductions!D113+Tax!D113</f>
        <v>7751.9916666666659</v>
      </c>
      <c r="I113">
        <f t="shared" si="2"/>
        <v>854694.69733333332</v>
      </c>
      <c r="J113">
        <f>Overtime!D113</f>
        <v>117392.92499999999</v>
      </c>
      <c r="K113">
        <f>IF(C113="Junior",0.06,IF(C113="Mid",0.08,IF(C113="Senior",0.1,IF(C113="Manager",0.12,0))))</f>
        <v>0.12</v>
      </c>
      <c r="L113">
        <f>IF(Performance!E113&gt;2,0.03,IF(Performance!E113&gt;=1,0.01,-0.02))</f>
        <v>0.03</v>
      </c>
      <c r="M113">
        <f t="shared" si="3"/>
        <v>0.15</v>
      </c>
      <c r="N113">
        <f>Earnings!B113*(1+M113)</f>
        <v>900012.42499999993</v>
      </c>
    </row>
    <row r="114" spans="1:14" x14ac:dyDescent="0.35">
      <c r="A114" t="s">
        <v>145</v>
      </c>
      <c r="B114" t="s">
        <v>36</v>
      </c>
      <c r="C114" t="s">
        <v>16</v>
      </c>
      <c r="D114" t="s">
        <v>22</v>
      </c>
      <c r="E114">
        <v>6</v>
      </c>
      <c r="F114" t="s">
        <v>25</v>
      </c>
      <c r="G114">
        <f>Earnings!G114</f>
        <v>840539.41159999999</v>
      </c>
      <c r="H114">
        <f>Deductions!B114+Deductions!C114+Deductions!D114+Tax!D114</f>
        <v>9423.6591666666645</v>
      </c>
      <c r="I114">
        <f t="shared" si="2"/>
        <v>963553.68493333331</v>
      </c>
      <c r="J114">
        <f>Overtime!D114</f>
        <v>132437.9325</v>
      </c>
      <c r="K114">
        <f>IF(C114="Junior",0.06,IF(C114="Mid",0.08,IF(C114="Senior",0.1,IF(C114="Manager",0.12,0))))</f>
        <v>0.06</v>
      </c>
      <c r="L114">
        <f>IF(Performance!E114&gt;2,0.03,IF(Performance!E114&gt;=1,0.01,-0.02))</f>
        <v>0.01</v>
      </c>
      <c r="M114">
        <f t="shared" si="3"/>
        <v>6.9999999999999993E-2</v>
      </c>
      <c r="N114">
        <f>Earnings!B114*(1+M114)</f>
        <v>944723.91850000003</v>
      </c>
    </row>
    <row r="115" spans="1:14" x14ac:dyDescent="0.35">
      <c r="A115" t="s">
        <v>146</v>
      </c>
      <c r="B115" t="s">
        <v>15</v>
      </c>
      <c r="C115" t="s">
        <v>16</v>
      </c>
      <c r="D115" t="s">
        <v>17</v>
      </c>
      <c r="E115">
        <v>4</v>
      </c>
      <c r="F115" t="s">
        <v>18</v>
      </c>
      <c r="G115">
        <f>Earnings!G115</f>
        <v>544789.61600000004</v>
      </c>
      <c r="H115">
        <f>Deductions!B115+Deductions!C115+Deductions!D115+Tax!D115</f>
        <v>4245.9666666666672</v>
      </c>
      <c r="I115">
        <f t="shared" si="2"/>
        <v>572017.83933333331</v>
      </c>
      <c r="J115">
        <f>Overtime!D115</f>
        <v>31474.19</v>
      </c>
      <c r="K115">
        <f>IF(C115="Junior",0.06,IF(C115="Mid",0.08,IF(C115="Senior",0.1,IF(C115="Manager",0.12,0))))</f>
        <v>0.06</v>
      </c>
      <c r="L115">
        <f>IF(Performance!E115&gt;2,0.03,IF(Performance!E115&gt;=1,0.01,-0.02))</f>
        <v>0.01</v>
      </c>
      <c r="M115">
        <f t="shared" si="3"/>
        <v>6.9999999999999993E-2</v>
      </c>
      <c r="N115">
        <f>Earnings!B115*(1+M115)</f>
        <v>612316.06000000006</v>
      </c>
    </row>
    <row r="116" spans="1:14" x14ac:dyDescent="0.35">
      <c r="A116" t="s">
        <v>147</v>
      </c>
      <c r="B116" t="s">
        <v>30</v>
      </c>
      <c r="C116" t="s">
        <v>16</v>
      </c>
      <c r="D116" t="s">
        <v>17</v>
      </c>
      <c r="E116">
        <v>13</v>
      </c>
      <c r="F116" t="s">
        <v>23</v>
      </c>
      <c r="G116">
        <f>Earnings!G116</f>
        <v>1444375.352</v>
      </c>
      <c r="H116">
        <f>Deductions!B116+Deductions!C116+Deductions!D116+Tax!D116</f>
        <v>24305.024999999998</v>
      </c>
      <c r="I116">
        <f t="shared" si="2"/>
        <v>1420070.327</v>
      </c>
      <c r="J116">
        <f>Overtime!D116</f>
        <v>0</v>
      </c>
      <c r="K116">
        <f>IF(C116="Junior",0.06,IF(C116="Mid",0.08,IF(C116="Senior",0.1,IF(C116="Manager",0.12,0))))</f>
        <v>0.06</v>
      </c>
      <c r="L116">
        <f>IF(Performance!E116&gt;2,0.03,IF(Performance!E116&gt;=1,0.01,-0.02))</f>
        <v>0.01</v>
      </c>
      <c r="M116">
        <f t="shared" si="3"/>
        <v>6.9999999999999993E-2</v>
      </c>
      <c r="N116">
        <f>Earnings!B116*(1+M116)</f>
        <v>1623405.07</v>
      </c>
    </row>
    <row r="117" spans="1:14" x14ac:dyDescent="0.35">
      <c r="A117" t="s">
        <v>148</v>
      </c>
      <c r="B117" t="s">
        <v>27</v>
      </c>
      <c r="C117" t="s">
        <v>34</v>
      </c>
      <c r="D117" t="s">
        <v>17</v>
      </c>
      <c r="E117">
        <v>11</v>
      </c>
      <c r="F117" t="s">
        <v>71</v>
      </c>
      <c r="G117">
        <f>Earnings!G117</f>
        <v>947947.33600000001</v>
      </c>
      <c r="H117">
        <f>Deductions!B117+Deductions!C117+Deductions!D117+Tax!D117</f>
        <v>11304.050000000001</v>
      </c>
      <c r="I117">
        <f t="shared" si="2"/>
        <v>976473.00599999994</v>
      </c>
      <c r="J117">
        <f>Overtime!D117</f>
        <v>39829.72</v>
      </c>
      <c r="K117">
        <f>IF(C117="Junior",0.06,IF(C117="Mid",0.08,IF(C117="Senior",0.1,IF(C117="Manager",0.12,0))))</f>
        <v>0.08</v>
      </c>
      <c r="L117">
        <f>IF(Performance!E117&gt;2,0.03,IF(Performance!E117&gt;=1,0.01,-0.02))</f>
        <v>0.01</v>
      </c>
      <c r="M117">
        <f t="shared" si="3"/>
        <v>0.09</v>
      </c>
      <c r="N117">
        <f>Earnings!B117*(1+M117)</f>
        <v>1085359.8700000001</v>
      </c>
    </row>
    <row r="118" spans="1:14" x14ac:dyDescent="0.35">
      <c r="A118" t="s">
        <v>149</v>
      </c>
      <c r="B118" t="s">
        <v>36</v>
      </c>
      <c r="C118" t="s">
        <v>16</v>
      </c>
      <c r="D118" t="s">
        <v>22</v>
      </c>
      <c r="E118">
        <v>7</v>
      </c>
      <c r="F118" t="s">
        <v>28</v>
      </c>
      <c r="G118">
        <f>Earnings!G118</f>
        <v>805721.82039999997</v>
      </c>
      <c r="H118">
        <f>Deductions!B118+Deductions!C118+Deductions!D118+Tax!D118</f>
        <v>8814.1074999999983</v>
      </c>
      <c r="I118">
        <f t="shared" si="2"/>
        <v>851920.23214999994</v>
      </c>
      <c r="J118">
        <f>Overtime!D118</f>
        <v>55012.519249999998</v>
      </c>
      <c r="K118">
        <f>IF(C118="Junior",0.06,IF(C118="Mid",0.08,IF(C118="Senior",0.1,IF(C118="Manager",0.12,0))))</f>
        <v>0.06</v>
      </c>
      <c r="L118">
        <f>IF(Performance!E118&gt;2,0.03,IF(Performance!E118&gt;=1,0.01,-0.02))</f>
        <v>0.01</v>
      </c>
      <c r="M118">
        <f t="shared" si="3"/>
        <v>6.9999999999999993E-2</v>
      </c>
      <c r="N118">
        <f>Earnings!B118*(1+M118)</f>
        <v>905590.70149999997</v>
      </c>
    </row>
    <row r="119" spans="1:14" x14ac:dyDescent="0.35">
      <c r="A119" t="s">
        <v>150</v>
      </c>
      <c r="B119" t="s">
        <v>30</v>
      </c>
      <c r="C119" t="s">
        <v>44</v>
      </c>
      <c r="D119" t="s">
        <v>22</v>
      </c>
      <c r="E119">
        <v>10</v>
      </c>
      <c r="F119" t="s">
        <v>38</v>
      </c>
      <c r="G119">
        <f>Earnings!G119</f>
        <v>996902.93640000001</v>
      </c>
      <c r="H119">
        <f>Deductions!B119+Deductions!C119+Deductions!D119+Tax!D119</f>
        <v>12554.17375</v>
      </c>
      <c r="I119">
        <f t="shared" si="2"/>
        <v>1026235.44065</v>
      </c>
      <c r="J119">
        <f>Overtime!D119</f>
        <v>41886.678</v>
      </c>
      <c r="K119">
        <f>IF(C119="Junior",0.06,IF(C119="Mid",0.08,IF(C119="Senior",0.1,IF(C119="Manager",0.12,0))))</f>
        <v>0.12</v>
      </c>
      <c r="L119">
        <f>IF(Performance!E119&gt;2,0.03,IF(Performance!E119&gt;=1,0.01,-0.02))</f>
        <v>0.01</v>
      </c>
      <c r="M119">
        <f t="shared" si="3"/>
        <v>0.13</v>
      </c>
      <c r="N119">
        <f>Earnings!B119*(1+M119)</f>
        <v>1183298.6534999998</v>
      </c>
    </row>
    <row r="120" spans="1:14" x14ac:dyDescent="0.35">
      <c r="A120" t="s">
        <v>151</v>
      </c>
      <c r="B120" t="s">
        <v>36</v>
      </c>
      <c r="C120" t="s">
        <v>21</v>
      </c>
      <c r="D120" t="s">
        <v>17</v>
      </c>
      <c r="E120">
        <v>6</v>
      </c>
      <c r="F120" t="s">
        <v>25</v>
      </c>
      <c r="G120">
        <f>Earnings!G120</f>
        <v>779002.56</v>
      </c>
      <c r="H120">
        <f>Deductions!B120+Deductions!C120+Deductions!D120+Tax!D120</f>
        <v>8346.3333333333321</v>
      </c>
      <c r="I120">
        <f t="shared" si="2"/>
        <v>770656.22666666668</v>
      </c>
      <c r="J120">
        <f>Overtime!D120</f>
        <v>0</v>
      </c>
      <c r="K120">
        <f>IF(C120="Junior",0.06,IF(C120="Mid",0.08,IF(C120="Senior",0.1,IF(C120="Manager",0.12,0))))</f>
        <v>0.1</v>
      </c>
      <c r="L120">
        <f>IF(Performance!E120&gt;2,0.03,IF(Performance!E120&gt;=1,0.01,-0.02))</f>
        <v>0.01</v>
      </c>
      <c r="M120">
        <f t="shared" si="3"/>
        <v>0.11</v>
      </c>
      <c r="N120">
        <f>Earnings!B120*(1+M120)</f>
        <v>908290.8</v>
      </c>
    </row>
    <row r="121" spans="1:14" x14ac:dyDescent="0.35">
      <c r="A121" t="s">
        <v>152</v>
      </c>
      <c r="B121" t="s">
        <v>30</v>
      </c>
      <c r="C121" t="s">
        <v>16</v>
      </c>
      <c r="D121" t="s">
        <v>17</v>
      </c>
      <c r="E121">
        <v>7</v>
      </c>
      <c r="F121" t="s">
        <v>23</v>
      </c>
      <c r="G121">
        <f>Earnings!G121</f>
        <v>1203825.8959999999</v>
      </c>
      <c r="H121">
        <f>Deductions!B121+Deductions!C121+Deductions!D121+Tax!D121</f>
        <v>17988.074999999997</v>
      </c>
      <c r="I121">
        <f t="shared" si="2"/>
        <v>1185837.821</v>
      </c>
      <c r="J121">
        <f>Overtime!D121</f>
        <v>0</v>
      </c>
      <c r="K121">
        <f>IF(C121="Junior",0.06,IF(C121="Mid",0.08,IF(C121="Senior",0.1,IF(C121="Manager",0.12,0))))</f>
        <v>0.06</v>
      </c>
      <c r="L121">
        <f>IF(Performance!E121&gt;2,0.03,IF(Performance!E121&gt;=1,0.01,-0.02))</f>
        <v>0.01</v>
      </c>
      <c r="M121">
        <f t="shared" si="3"/>
        <v>6.9999999999999993E-2</v>
      </c>
      <c r="N121">
        <f>Earnings!B121*(1+M121)</f>
        <v>1353039.61</v>
      </c>
    </row>
    <row r="122" spans="1:14" x14ac:dyDescent="0.35">
      <c r="A122" t="s">
        <v>153</v>
      </c>
      <c r="B122" t="s">
        <v>30</v>
      </c>
      <c r="C122" t="s">
        <v>34</v>
      </c>
      <c r="D122" t="s">
        <v>22</v>
      </c>
      <c r="E122">
        <v>2</v>
      </c>
      <c r="F122" t="s">
        <v>25</v>
      </c>
      <c r="G122">
        <f>Earnings!G122</f>
        <v>767243.21799999999</v>
      </c>
      <c r="H122">
        <f>Deductions!B122+Deductions!C122+Deductions!D122+Tax!D122</f>
        <v>8140.4625000000005</v>
      </c>
      <c r="I122">
        <f t="shared" si="2"/>
        <v>879991.91799999995</v>
      </c>
      <c r="J122">
        <f>Overtime!D122</f>
        <v>120889.16249999999</v>
      </c>
      <c r="K122">
        <f>IF(C122="Junior",0.06,IF(C122="Mid",0.08,IF(C122="Senior",0.1,IF(C122="Manager",0.12,0))))</f>
        <v>0.08</v>
      </c>
      <c r="L122">
        <f>IF(Performance!E122&gt;2,0.03,IF(Performance!E122&gt;=1,0.01,-0.02))</f>
        <v>0.01</v>
      </c>
      <c r="M122">
        <f t="shared" si="3"/>
        <v>0.09</v>
      </c>
      <c r="N122">
        <f>Earnings!B122*(1+M122)</f>
        <v>878461.24750000006</v>
      </c>
    </row>
    <row r="123" spans="1:14" x14ac:dyDescent="0.35">
      <c r="A123" t="s">
        <v>154</v>
      </c>
      <c r="B123" t="s">
        <v>30</v>
      </c>
      <c r="C123" t="s">
        <v>16</v>
      </c>
      <c r="D123" t="s">
        <v>17</v>
      </c>
      <c r="E123">
        <v>11</v>
      </c>
      <c r="F123" t="s">
        <v>32</v>
      </c>
      <c r="G123">
        <f>Earnings!G123</f>
        <v>967130.13599999994</v>
      </c>
      <c r="H123">
        <f>Deductions!B123+Deductions!C123+Deductions!D123+Tax!D123</f>
        <v>11772.324999999999</v>
      </c>
      <c r="I123">
        <f t="shared" si="2"/>
        <v>955357.81099999999</v>
      </c>
      <c r="J123">
        <f>Overtime!D123</f>
        <v>0</v>
      </c>
      <c r="K123">
        <f>IF(C123="Junior",0.06,IF(C123="Mid",0.08,IF(C123="Senior",0.1,IF(C123="Manager",0.12,0))))</f>
        <v>0.06</v>
      </c>
      <c r="L123">
        <f>IF(Performance!E123&gt;2,0.03,IF(Performance!E123&gt;=1,0.01,-0.02))</f>
        <v>0.01</v>
      </c>
      <c r="M123">
        <f t="shared" si="3"/>
        <v>6.9999999999999993E-2</v>
      </c>
      <c r="N123">
        <f>Earnings!B123*(1+M123)</f>
        <v>1087005.51</v>
      </c>
    </row>
    <row r="124" spans="1:14" x14ac:dyDescent="0.35">
      <c r="A124" t="s">
        <v>155</v>
      </c>
      <c r="B124" t="s">
        <v>36</v>
      </c>
      <c r="C124" t="s">
        <v>21</v>
      </c>
      <c r="D124" t="s">
        <v>22</v>
      </c>
      <c r="E124">
        <v>10</v>
      </c>
      <c r="F124" t="s">
        <v>71</v>
      </c>
      <c r="G124">
        <f>Earnings!G124</f>
        <v>728272.62199999986</v>
      </c>
      <c r="H124">
        <f>Deductions!B124+Deductions!C124+Deductions!D124+Tax!D124</f>
        <v>7458.2041666666673</v>
      </c>
      <c r="I124">
        <f t="shared" si="2"/>
        <v>755239.06908333313</v>
      </c>
      <c r="J124">
        <f>Overtime!D124</f>
        <v>34424.651250000003</v>
      </c>
      <c r="K124">
        <f>IF(C124="Junior",0.06,IF(C124="Mid",0.08,IF(C124="Senior",0.1,IF(C124="Manager",0.12,0))))</f>
        <v>0.1</v>
      </c>
      <c r="L124">
        <f>IF(Performance!E124&gt;2,0.03,IF(Performance!E124&gt;=1,0.01,-0.02))</f>
        <v>0.01</v>
      </c>
      <c r="M124">
        <f t="shared" si="3"/>
        <v>0.11</v>
      </c>
      <c r="N124">
        <f>Earnings!B124*(1+M124)</f>
        <v>849141.39750000008</v>
      </c>
    </row>
    <row r="125" spans="1:14" x14ac:dyDescent="0.35">
      <c r="A125" t="s">
        <v>156</v>
      </c>
      <c r="B125" t="s">
        <v>20</v>
      </c>
      <c r="C125" t="s">
        <v>16</v>
      </c>
      <c r="D125" t="s">
        <v>22</v>
      </c>
      <c r="E125">
        <v>13</v>
      </c>
      <c r="F125" t="s">
        <v>25</v>
      </c>
      <c r="G125">
        <f>Earnings!G125</f>
        <v>825960.48359999992</v>
      </c>
      <c r="H125">
        <f>Deductions!B125+Deductions!C125+Deductions!D125+Tax!D125</f>
        <v>9168.425833333331</v>
      </c>
      <c r="I125">
        <f t="shared" si="2"/>
        <v>942594.86251666665</v>
      </c>
      <c r="J125">
        <f>Overtime!D125</f>
        <v>125802.80474999998</v>
      </c>
      <c r="K125">
        <f>IF(C125="Junior",0.06,IF(C125="Mid",0.08,IF(C125="Senior",0.1,IF(C125="Manager",0.12,0))))</f>
        <v>0.06</v>
      </c>
      <c r="L125">
        <f>IF(Performance!E125&gt;2,0.03,IF(Performance!E125&gt;=1,0.01,-0.02))</f>
        <v>0.03</v>
      </c>
      <c r="M125">
        <f t="shared" si="3"/>
        <v>0.09</v>
      </c>
      <c r="N125">
        <f>Earnings!B125*(1+M125)</f>
        <v>945690.04949999996</v>
      </c>
    </row>
    <row r="126" spans="1:14" x14ac:dyDescent="0.35">
      <c r="A126" t="s">
        <v>157</v>
      </c>
      <c r="B126" t="s">
        <v>15</v>
      </c>
      <c r="C126" t="s">
        <v>21</v>
      </c>
      <c r="D126" t="s">
        <v>22</v>
      </c>
      <c r="E126">
        <v>4</v>
      </c>
      <c r="F126" t="s">
        <v>23</v>
      </c>
      <c r="G126">
        <f>Earnings!G126</f>
        <v>609796.22199999995</v>
      </c>
      <c r="H126">
        <f>Deductions!B126+Deductions!C126+Deductions!D126+Tax!D126</f>
        <v>5384.0375000000004</v>
      </c>
      <c r="I126">
        <f t="shared" si="2"/>
        <v>690885.38824999996</v>
      </c>
      <c r="J126">
        <f>Overtime!D126</f>
        <v>86473.203750000001</v>
      </c>
      <c r="K126">
        <f>IF(C126="Junior",0.06,IF(C126="Mid",0.08,IF(C126="Senior",0.1,IF(C126="Manager",0.12,0))))</f>
        <v>0.1</v>
      </c>
      <c r="L126">
        <f>IF(Performance!E126&gt;2,0.03,IF(Performance!E126&gt;=1,0.01,-0.02))</f>
        <v>0.01</v>
      </c>
      <c r="M126">
        <f t="shared" si="3"/>
        <v>0.11</v>
      </c>
      <c r="N126">
        <f>Earnings!B126*(1+M126)</f>
        <v>711001.89750000008</v>
      </c>
    </row>
    <row r="127" spans="1:14" x14ac:dyDescent="0.35">
      <c r="A127" t="s">
        <v>158</v>
      </c>
      <c r="B127" t="s">
        <v>15</v>
      </c>
      <c r="C127" t="s">
        <v>34</v>
      </c>
      <c r="D127" t="s">
        <v>17</v>
      </c>
      <c r="E127">
        <v>15</v>
      </c>
      <c r="F127" t="s">
        <v>28</v>
      </c>
      <c r="G127">
        <f>Earnings!G127</f>
        <v>870343.152</v>
      </c>
      <c r="H127">
        <f>Deductions!B127+Deductions!C127+Deductions!D127+Tax!D127</f>
        <v>9945.4333333333343</v>
      </c>
      <c r="I127">
        <f t="shared" si="2"/>
        <v>979247.09866666666</v>
      </c>
      <c r="J127">
        <f>Overtime!D127</f>
        <v>118849.38</v>
      </c>
      <c r="K127">
        <f>IF(C127="Junior",0.06,IF(C127="Mid",0.08,IF(C127="Senior",0.1,IF(C127="Manager",0.12,0))))</f>
        <v>0.08</v>
      </c>
      <c r="L127">
        <f>IF(Performance!E127&gt;2,0.03,IF(Performance!E127&gt;=1,0.01,-0.02))</f>
        <v>0.01</v>
      </c>
      <c r="M127">
        <f t="shared" si="3"/>
        <v>0.09</v>
      </c>
      <c r="N127">
        <f>Earnings!B127*(1+M127)</f>
        <v>996506.34000000008</v>
      </c>
    </row>
    <row r="128" spans="1:14" x14ac:dyDescent="0.35">
      <c r="A128" t="s">
        <v>159</v>
      </c>
      <c r="B128" t="s">
        <v>30</v>
      </c>
      <c r="C128" t="s">
        <v>44</v>
      </c>
      <c r="D128" t="s">
        <v>17</v>
      </c>
      <c r="E128">
        <v>7</v>
      </c>
      <c r="F128" t="s">
        <v>28</v>
      </c>
      <c r="G128">
        <f>Earnings!G128</f>
        <v>848207.24800000002</v>
      </c>
      <c r="H128">
        <f>Deductions!B128+Deductions!C128+Deductions!D128+Tax!D128</f>
        <v>9557.9000000000015</v>
      </c>
      <c r="I128">
        <f t="shared" si="2"/>
        <v>883198.04799999995</v>
      </c>
      <c r="J128">
        <f>Overtime!D128</f>
        <v>44548.7</v>
      </c>
      <c r="K128">
        <f>IF(C128="Junior",0.06,IF(C128="Mid",0.08,IF(C128="Senior",0.1,IF(C128="Manager",0.12,0))))</f>
        <v>0.12</v>
      </c>
      <c r="L128">
        <f>IF(Performance!E128&gt;2,0.03,IF(Performance!E128&gt;=1,0.01,-0.02))</f>
        <v>0.01</v>
      </c>
      <c r="M128">
        <f t="shared" si="3"/>
        <v>0.13</v>
      </c>
      <c r="N128">
        <f>Earnings!B128*(1+M128)</f>
        <v>1006800.6199999999</v>
      </c>
    </row>
    <row r="129" spans="1:14" x14ac:dyDescent="0.35">
      <c r="A129" t="s">
        <v>160</v>
      </c>
      <c r="B129" t="s">
        <v>20</v>
      </c>
      <c r="C129" t="s">
        <v>16</v>
      </c>
      <c r="D129" t="s">
        <v>17</v>
      </c>
      <c r="E129">
        <v>0</v>
      </c>
      <c r="F129" t="s">
        <v>18</v>
      </c>
      <c r="G129">
        <f>Earnings!G129</f>
        <v>402279.02399999998</v>
      </c>
      <c r="H129">
        <f>Deductions!B129+Deductions!C129+Deductions!D129+Tax!D129</f>
        <v>2719.0083333333332</v>
      </c>
      <c r="I129">
        <f t="shared" si="2"/>
        <v>399560.01566666662</v>
      </c>
      <c r="J129">
        <f>Overtime!D129</f>
        <v>0</v>
      </c>
      <c r="K129">
        <f>IF(C129="Junior",0.06,IF(C129="Mid",0.08,IF(C129="Senior",0.1,IF(C129="Manager",0.12,0))))</f>
        <v>0.06</v>
      </c>
      <c r="L129">
        <f>IF(Performance!E129&gt;2,0.03,IF(Performance!E129&gt;=1,0.01,-0.02))</f>
        <v>0.03</v>
      </c>
      <c r="M129">
        <f t="shared" si="3"/>
        <v>0.09</v>
      </c>
      <c r="N129">
        <f>Earnings!B129*(1+M129)</f>
        <v>460592.58</v>
      </c>
    </row>
    <row r="130" spans="1:14" x14ac:dyDescent="0.35">
      <c r="A130" t="s">
        <v>161</v>
      </c>
      <c r="B130" t="s">
        <v>15</v>
      </c>
      <c r="C130" t="s">
        <v>34</v>
      </c>
      <c r="D130" t="s">
        <v>17</v>
      </c>
      <c r="E130">
        <v>14</v>
      </c>
      <c r="F130" t="s">
        <v>23</v>
      </c>
      <c r="G130">
        <f>Earnings!G130</f>
        <v>729541.4</v>
      </c>
      <c r="H130">
        <f>Deductions!B130+Deductions!C130+Deductions!D130+Tax!D130</f>
        <v>7480.416666666667</v>
      </c>
      <c r="I130">
        <f t="shared" ref="I130:I193" si="4">G130-H130+J130</f>
        <v>748882.3583333334</v>
      </c>
      <c r="J130">
        <f>Overtime!D130</f>
        <v>26821.375</v>
      </c>
      <c r="K130">
        <f>IF(C130="Junior",0.06,IF(C130="Mid",0.08,IF(C130="Senior",0.1,IF(C130="Manager",0.12,0))))</f>
        <v>0.08</v>
      </c>
      <c r="L130">
        <f>IF(Performance!E130&gt;2,0.03,IF(Performance!E130&gt;=1,0.01,-0.02))</f>
        <v>0.01</v>
      </c>
      <c r="M130">
        <f t="shared" ref="M130:M193" si="5">K130+L130</f>
        <v>0.09</v>
      </c>
      <c r="N130">
        <f>Earnings!B130*(1+M130)</f>
        <v>835294.25000000012</v>
      </c>
    </row>
    <row r="131" spans="1:14" x14ac:dyDescent="0.35">
      <c r="A131" t="s">
        <v>162</v>
      </c>
      <c r="B131" t="s">
        <v>20</v>
      </c>
      <c r="C131" t="s">
        <v>16</v>
      </c>
      <c r="D131" t="s">
        <v>17</v>
      </c>
      <c r="E131">
        <v>4</v>
      </c>
      <c r="F131" t="s">
        <v>71</v>
      </c>
      <c r="G131">
        <f>Earnings!G131</f>
        <v>756658.16799999995</v>
      </c>
      <c r="H131">
        <f>Deductions!B131+Deductions!C131+Deductions!D131+Tax!D131</f>
        <v>7955.1500000000005</v>
      </c>
      <c r="I131">
        <f t="shared" si="4"/>
        <v>748703.01799999992</v>
      </c>
      <c r="J131">
        <f>Overtime!D131</f>
        <v>0</v>
      </c>
      <c r="K131">
        <f>IF(C131="Junior",0.06,IF(C131="Mid",0.08,IF(C131="Senior",0.1,IF(C131="Manager",0.12,0))))</f>
        <v>0.06</v>
      </c>
      <c r="L131">
        <f>IF(Performance!E131&gt;2,0.03,IF(Performance!E131&gt;=1,0.01,-0.02))</f>
        <v>0.03</v>
      </c>
      <c r="M131">
        <f t="shared" si="5"/>
        <v>0.09</v>
      </c>
      <c r="N131">
        <f>Earnings!B131*(1+M131)</f>
        <v>866341.81</v>
      </c>
    </row>
    <row r="132" spans="1:14" x14ac:dyDescent="0.35">
      <c r="A132" t="s">
        <v>163</v>
      </c>
      <c r="B132" t="s">
        <v>20</v>
      </c>
      <c r="C132" t="s">
        <v>21</v>
      </c>
      <c r="D132" t="s">
        <v>22</v>
      </c>
      <c r="E132">
        <v>14</v>
      </c>
      <c r="F132" t="s">
        <v>23</v>
      </c>
      <c r="G132">
        <f>Earnings!G132</f>
        <v>968872.86719999998</v>
      </c>
      <c r="H132">
        <f>Deductions!B132+Deductions!C132+Deductions!D132+Tax!D132</f>
        <v>11818.089999999998</v>
      </c>
      <c r="I132">
        <f t="shared" si="4"/>
        <v>1033384.0472</v>
      </c>
      <c r="J132">
        <f>Overtime!D132</f>
        <v>76329.27</v>
      </c>
      <c r="K132">
        <f>IF(C132="Junior",0.06,IF(C132="Mid",0.08,IF(C132="Senior",0.1,IF(C132="Manager",0.12,0))))</f>
        <v>0.1</v>
      </c>
      <c r="L132">
        <f>IF(Performance!E132&gt;2,0.03,IF(Performance!E132&gt;=1,0.01,-0.02))</f>
        <v>0.03</v>
      </c>
      <c r="M132">
        <f t="shared" si="5"/>
        <v>0.13</v>
      </c>
      <c r="N132">
        <f>Earnings!B132*(1+M132)</f>
        <v>1150027.6679999998</v>
      </c>
    </row>
    <row r="133" spans="1:14" x14ac:dyDescent="0.35">
      <c r="A133" t="s">
        <v>164</v>
      </c>
      <c r="B133" t="s">
        <v>30</v>
      </c>
      <c r="C133" t="s">
        <v>34</v>
      </c>
      <c r="D133" t="s">
        <v>22</v>
      </c>
      <c r="E133">
        <v>10</v>
      </c>
      <c r="F133" t="s">
        <v>38</v>
      </c>
      <c r="G133">
        <f>Earnings!G133</f>
        <v>1141890.0135999999</v>
      </c>
      <c r="H133">
        <f>Deductions!B133+Deductions!C133+Deductions!D133+Tax!D133</f>
        <v>16361.6075</v>
      </c>
      <c r="I133">
        <f t="shared" si="4"/>
        <v>1287456.0866</v>
      </c>
      <c r="J133">
        <f>Overtime!D133</f>
        <v>161927.68049999999</v>
      </c>
      <c r="K133">
        <f>IF(C133="Junior",0.06,IF(C133="Mid",0.08,IF(C133="Senior",0.1,IF(C133="Manager",0.12,0))))</f>
        <v>0.08</v>
      </c>
      <c r="L133">
        <f>IF(Performance!E133&gt;2,0.03,IF(Performance!E133&gt;=1,0.01,-0.02))</f>
        <v>0.01</v>
      </c>
      <c r="M133">
        <f t="shared" si="5"/>
        <v>0.09</v>
      </c>
      <c r="N133">
        <f>Earnings!B133*(1+M133)</f>
        <v>1307416.0870000001</v>
      </c>
    </row>
    <row r="134" spans="1:14" x14ac:dyDescent="0.35">
      <c r="A134" t="s">
        <v>165</v>
      </c>
      <c r="B134" t="s">
        <v>15</v>
      </c>
      <c r="C134" t="s">
        <v>44</v>
      </c>
      <c r="D134" t="s">
        <v>22</v>
      </c>
      <c r="E134">
        <v>0</v>
      </c>
      <c r="F134" t="s">
        <v>38</v>
      </c>
      <c r="G134">
        <f>Earnings!G134</f>
        <v>405639.67920000001</v>
      </c>
      <c r="H134">
        <f>Deductions!B134+Deductions!C134+Deductions!D134+Tax!D134</f>
        <v>2733.7170833333334</v>
      </c>
      <c r="I134">
        <f t="shared" si="4"/>
        <v>417819.18561666668</v>
      </c>
      <c r="J134">
        <f>Overtime!D134</f>
        <v>14913.2235</v>
      </c>
      <c r="K134">
        <f>IF(C134="Junior",0.06,IF(C134="Mid",0.08,IF(C134="Senior",0.1,IF(C134="Manager",0.12,0))))</f>
        <v>0.12</v>
      </c>
      <c r="L134">
        <f>IF(Performance!E134&gt;2,0.03,IF(Performance!E134&gt;=1,0.01,-0.02))</f>
        <v>0.01</v>
      </c>
      <c r="M134">
        <f t="shared" si="5"/>
        <v>0.13</v>
      </c>
      <c r="N134">
        <f>Earnings!B134*(1+M134)</f>
        <v>481484.07299999992</v>
      </c>
    </row>
    <row r="135" spans="1:14" x14ac:dyDescent="0.35">
      <c r="A135" t="s">
        <v>166</v>
      </c>
      <c r="B135" t="s">
        <v>27</v>
      </c>
      <c r="C135" t="s">
        <v>16</v>
      </c>
      <c r="D135" t="s">
        <v>22</v>
      </c>
      <c r="E135">
        <v>13</v>
      </c>
      <c r="F135" t="s">
        <v>32</v>
      </c>
      <c r="G135">
        <f>Earnings!G135</f>
        <v>814106.51279999991</v>
      </c>
      <c r="H135">
        <f>Deductions!B135+Deductions!C135+Deductions!D135+Tax!D135</f>
        <v>8960.8983333333308</v>
      </c>
      <c r="I135">
        <f t="shared" si="4"/>
        <v>929142.92996666662</v>
      </c>
      <c r="J135">
        <f>Overtime!D135</f>
        <v>123997.31550000001</v>
      </c>
      <c r="K135">
        <f>IF(C135="Junior",0.06,IF(C135="Mid",0.08,IF(C135="Senior",0.1,IF(C135="Manager",0.12,0))))</f>
        <v>0.06</v>
      </c>
      <c r="L135">
        <f>IF(Performance!E135&gt;2,0.03,IF(Performance!E135&gt;=1,0.01,-0.02))</f>
        <v>0.01</v>
      </c>
      <c r="M135">
        <f t="shared" si="5"/>
        <v>6.9999999999999993E-2</v>
      </c>
      <c r="N135">
        <f>Earnings!B135*(1+M135)</f>
        <v>915014.67299999995</v>
      </c>
    </row>
    <row r="136" spans="1:14" x14ac:dyDescent="0.35">
      <c r="A136" t="s">
        <v>167</v>
      </c>
      <c r="B136" t="s">
        <v>15</v>
      </c>
      <c r="C136" t="s">
        <v>21</v>
      </c>
      <c r="D136" t="s">
        <v>22</v>
      </c>
      <c r="E136">
        <v>11</v>
      </c>
      <c r="F136" t="s">
        <v>71</v>
      </c>
      <c r="G136">
        <f>Earnings!G136</f>
        <v>779924.71479999996</v>
      </c>
      <c r="H136">
        <f>Deductions!B136+Deductions!C136+Deductions!D136+Tax!D136</f>
        <v>8362.4774999999972</v>
      </c>
      <c r="I136">
        <f t="shared" si="4"/>
        <v>886257.04829999991</v>
      </c>
      <c r="J136">
        <f>Overtime!D136</f>
        <v>114694.81100000002</v>
      </c>
      <c r="K136">
        <f>IF(C136="Junior",0.06,IF(C136="Mid",0.08,IF(C136="Senior",0.1,IF(C136="Manager",0.12,0))))</f>
        <v>0.1</v>
      </c>
      <c r="L136">
        <f>IF(Performance!E136&gt;2,0.03,IF(Performance!E136&gt;=1,0.01,-0.02))</f>
        <v>0.01</v>
      </c>
      <c r="M136">
        <f t="shared" si="5"/>
        <v>0.11</v>
      </c>
      <c r="N136">
        <f>Earnings!B136*(1+M136)</f>
        <v>909366.00150000001</v>
      </c>
    </row>
    <row r="137" spans="1:14" x14ac:dyDescent="0.35">
      <c r="A137" t="s">
        <v>168</v>
      </c>
      <c r="B137" t="s">
        <v>27</v>
      </c>
      <c r="C137" t="s">
        <v>34</v>
      </c>
      <c r="D137" t="s">
        <v>17</v>
      </c>
      <c r="E137">
        <v>3</v>
      </c>
      <c r="F137" t="s">
        <v>25</v>
      </c>
      <c r="G137">
        <f>Earnings!G137</f>
        <v>666915.98399999994</v>
      </c>
      <c r="H137">
        <f>Deductions!B137+Deductions!C137+Deductions!D137+Tax!D137</f>
        <v>6384.0333333333338</v>
      </c>
      <c r="I137">
        <f t="shared" si="4"/>
        <v>660531.95066666661</v>
      </c>
      <c r="J137">
        <f>Overtime!D137</f>
        <v>0</v>
      </c>
      <c r="K137">
        <f>IF(C137="Junior",0.06,IF(C137="Mid",0.08,IF(C137="Senior",0.1,IF(C137="Manager",0.12,0))))</f>
        <v>0.08</v>
      </c>
      <c r="L137">
        <f>IF(Performance!E137&gt;2,0.03,IF(Performance!E137&gt;=1,0.01,-0.02))</f>
        <v>0.01</v>
      </c>
      <c r="M137">
        <f t="shared" si="5"/>
        <v>0.09</v>
      </c>
      <c r="N137">
        <f>Earnings!B137*(1+M137)</f>
        <v>763590.78</v>
      </c>
    </row>
    <row r="138" spans="1:14" x14ac:dyDescent="0.35">
      <c r="A138" t="s">
        <v>169</v>
      </c>
      <c r="B138" t="s">
        <v>27</v>
      </c>
      <c r="C138" t="s">
        <v>34</v>
      </c>
      <c r="D138" t="s">
        <v>22</v>
      </c>
      <c r="E138">
        <v>2</v>
      </c>
      <c r="F138" t="s">
        <v>38</v>
      </c>
      <c r="G138">
        <f>Earnings!G138</f>
        <v>380714.41519999999</v>
      </c>
      <c r="H138">
        <f>Deductions!B138+Deductions!C138+Deductions!D138+Tax!D138</f>
        <v>2624.6254166666668</v>
      </c>
      <c r="I138">
        <f t="shared" si="4"/>
        <v>378089.78978333331</v>
      </c>
      <c r="J138">
        <f>Overtime!D138</f>
        <v>0</v>
      </c>
      <c r="K138">
        <f>IF(C138="Junior",0.06,IF(C138="Mid",0.08,IF(C138="Senior",0.1,IF(C138="Manager",0.12,0))))</f>
        <v>0.08</v>
      </c>
      <c r="L138">
        <f>IF(Performance!E138&gt;2,0.03,IF(Performance!E138&gt;=1,0.01,-0.02))</f>
        <v>0.01</v>
      </c>
      <c r="M138">
        <f t="shared" si="5"/>
        <v>0.09</v>
      </c>
      <c r="N138">
        <f>Earnings!B138*(1+M138)</f>
        <v>435902.00900000002</v>
      </c>
    </row>
    <row r="139" spans="1:14" x14ac:dyDescent="0.35">
      <c r="A139" t="s">
        <v>170</v>
      </c>
      <c r="B139" t="s">
        <v>15</v>
      </c>
      <c r="C139" t="s">
        <v>44</v>
      </c>
      <c r="D139" t="s">
        <v>17</v>
      </c>
      <c r="E139">
        <v>12</v>
      </c>
      <c r="F139" t="s">
        <v>32</v>
      </c>
      <c r="G139">
        <f>Earnings!G139</f>
        <v>773057.32</v>
      </c>
      <c r="H139">
        <f>Deductions!B139+Deductions!C139+Deductions!D139+Tax!D139</f>
        <v>8242.25</v>
      </c>
      <c r="I139">
        <f t="shared" si="4"/>
        <v>862259.27</v>
      </c>
      <c r="J139">
        <f>Overtime!D139</f>
        <v>97444.200000000012</v>
      </c>
      <c r="K139">
        <f>IF(C139="Junior",0.06,IF(C139="Mid",0.08,IF(C139="Senior",0.1,IF(C139="Manager",0.12,0))))</f>
        <v>0.12</v>
      </c>
      <c r="L139">
        <f>IF(Performance!E139&gt;2,0.03,IF(Performance!E139&gt;=1,0.01,-0.02))</f>
        <v>0.01</v>
      </c>
      <c r="M139">
        <f t="shared" si="5"/>
        <v>0.13</v>
      </c>
      <c r="N139">
        <f>Earnings!B139*(1+M139)</f>
        <v>917599.54999999993</v>
      </c>
    </row>
    <row r="140" spans="1:14" x14ac:dyDescent="0.35">
      <c r="A140" t="s">
        <v>171</v>
      </c>
      <c r="B140" t="s">
        <v>36</v>
      </c>
      <c r="C140" t="s">
        <v>44</v>
      </c>
      <c r="D140" t="s">
        <v>17</v>
      </c>
      <c r="E140">
        <v>5</v>
      </c>
      <c r="F140" t="s">
        <v>18</v>
      </c>
      <c r="G140">
        <f>Earnings!G140</f>
        <v>971754.95200000005</v>
      </c>
      <c r="H140">
        <f>Deductions!B140+Deductions!C140+Deductions!D140+Tax!D140</f>
        <v>11893.775</v>
      </c>
      <c r="I140">
        <f t="shared" si="4"/>
        <v>959861.17700000003</v>
      </c>
      <c r="J140">
        <f>Overtime!D140</f>
        <v>0</v>
      </c>
      <c r="K140">
        <f>IF(C140="Junior",0.06,IF(C140="Mid",0.08,IF(C140="Senior",0.1,IF(C140="Manager",0.12,0))))</f>
        <v>0.12</v>
      </c>
      <c r="L140">
        <f>IF(Performance!E140&gt;2,0.03,IF(Performance!E140&gt;=1,0.01,-0.02))</f>
        <v>0.01</v>
      </c>
      <c r="M140">
        <f t="shared" si="5"/>
        <v>0.13</v>
      </c>
      <c r="N140">
        <f>Earnings!B140*(1+M140)</f>
        <v>1153448.6299999999</v>
      </c>
    </row>
    <row r="141" spans="1:14" x14ac:dyDescent="0.35">
      <c r="A141" t="s">
        <v>172</v>
      </c>
      <c r="B141" t="s">
        <v>36</v>
      </c>
      <c r="C141" t="s">
        <v>34</v>
      </c>
      <c r="D141" t="s">
        <v>17</v>
      </c>
      <c r="E141">
        <v>5</v>
      </c>
      <c r="F141" t="s">
        <v>23</v>
      </c>
      <c r="G141">
        <f>Earnings!G141</f>
        <v>897279.99199999997</v>
      </c>
      <c r="H141">
        <f>Deductions!B141+Deductions!C141+Deductions!D141+Tax!D141</f>
        <v>10417.016666666668</v>
      </c>
      <c r="I141">
        <f t="shared" si="4"/>
        <v>886862.97533333325</v>
      </c>
      <c r="J141">
        <f>Overtime!D141</f>
        <v>0</v>
      </c>
      <c r="K141">
        <f>IF(C141="Junior",0.06,IF(C141="Mid",0.08,IF(C141="Senior",0.1,IF(C141="Manager",0.12,0))))</f>
        <v>0.08</v>
      </c>
      <c r="L141">
        <f>IF(Performance!E141&gt;2,0.03,IF(Performance!E141&gt;=1,0.01,-0.02))</f>
        <v>0.01</v>
      </c>
      <c r="M141">
        <f t="shared" si="5"/>
        <v>0.09</v>
      </c>
      <c r="N141">
        <f>Earnings!B141*(1+M141)</f>
        <v>1027347.8900000001</v>
      </c>
    </row>
    <row r="142" spans="1:14" x14ac:dyDescent="0.35">
      <c r="A142" t="s">
        <v>173</v>
      </c>
      <c r="B142" t="s">
        <v>15</v>
      </c>
      <c r="C142" t="s">
        <v>16</v>
      </c>
      <c r="D142" t="s">
        <v>22</v>
      </c>
      <c r="E142">
        <v>5</v>
      </c>
      <c r="F142" t="s">
        <v>28</v>
      </c>
      <c r="G142">
        <f>Earnings!G142</f>
        <v>466175.69319999998</v>
      </c>
      <c r="H142">
        <f>Deductions!B142+Deductions!C142+Deductions!D142+Tax!D142</f>
        <v>2998.6681250000001</v>
      </c>
      <c r="I142">
        <f t="shared" si="4"/>
        <v>463177.02507499995</v>
      </c>
      <c r="J142">
        <f>Overtime!D142</f>
        <v>0</v>
      </c>
      <c r="K142">
        <f>IF(C142="Junior",0.06,IF(C142="Mid",0.08,IF(C142="Senior",0.1,IF(C142="Manager",0.12,0))))</f>
        <v>0.06</v>
      </c>
      <c r="L142">
        <f>IF(Performance!E142&gt;2,0.03,IF(Performance!E142&gt;=1,0.01,-0.02))</f>
        <v>0.01</v>
      </c>
      <c r="M142">
        <f t="shared" si="5"/>
        <v>6.9999999999999993E-2</v>
      </c>
      <c r="N142">
        <f>Earnings!B142*(1+M142)</f>
        <v>523957.97450000001</v>
      </c>
    </row>
    <row r="143" spans="1:14" x14ac:dyDescent="0.35">
      <c r="A143" t="s">
        <v>174</v>
      </c>
      <c r="B143" t="s">
        <v>27</v>
      </c>
      <c r="C143" t="s">
        <v>16</v>
      </c>
      <c r="D143" t="s">
        <v>22</v>
      </c>
      <c r="E143">
        <v>3</v>
      </c>
      <c r="F143" t="s">
        <v>25</v>
      </c>
      <c r="G143">
        <f>Earnings!G143</f>
        <v>569750.2943999999</v>
      </c>
      <c r="H143">
        <f>Deductions!B143+Deductions!C143+Deductions!D143+Tax!D143</f>
        <v>4682.9533333333329</v>
      </c>
      <c r="I143">
        <f t="shared" si="4"/>
        <v>600975.97306666651</v>
      </c>
      <c r="J143">
        <f>Overtime!D143</f>
        <v>35908.631999999998</v>
      </c>
      <c r="K143">
        <f>IF(C143="Junior",0.06,IF(C143="Mid",0.08,IF(C143="Senior",0.1,IF(C143="Manager",0.12,0))))</f>
        <v>0.06</v>
      </c>
      <c r="L143">
        <f>IF(Performance!E143&gt;2,0.03,IF(Performance!E143&gt;=1,0.01,-0.02))</f>
        <v>0.01</v>
      </c>
      <c r="M143">
        <f t="shared" si="5"/>
        <v>6.9999999999999993E-2</v>
      </c>
      <c r="N143">
        <f>Earnings!B143*(1+M143)</f>
        <v>640370.60399999993</v>
      </c>
    </row>
    <row r="144" spans="1:14" x14ac:dyDescent="0.35">
      <c r="A144" t="s">
        <v>175</v>
      </c>
      <c r="B144" t="s">
        <v>15</v>
      </c>
      <c r="C144" t="s">
        <v>16</v>
      </c>
      <c r="D144" t="s">
        <v>17</v>
      </c>
      <c r="E144">
        <v>7</v>
      </c>
      <c r="F144" t="s">
        <v>32</v>
      </c>
      <c r="G144">
        <f>Earnings!G144</f>
        <v>724313.01600000006</v>
      </c>
      <c r="H144">
        <f>Deductions!B144+Deductions!C144+Deductions!D144+Tax!D144</f>
        <v>7388.8833333333341</v>
      </c>
      <c r="I144">
        <f t="shared" si="4"/>
        <v>716924.13266666676</v>
      </c>
      <c r="J144">
        <f>Overtime!D144</f>
        <v>0</v>
      </c>
      <c r="K144">
        <f>IF(C144="Junior",0.06,IF(C144="Mid",0.08,IF(C144="Senior",0.1,IF(C144="Manager",0.12,0))))</f>
        <v>0.06</v>
      </c>
      <c r="L144">
        <f>IF(Performance!E144&gt;2,0.03,IF(Performance!E144&gt;=1,0.01,-0.02))</f>
        <v>0.01</v>
      </c>
      <c r="M144">
        <f t="shared" si="5"/>
        <v>6.9999999999999993E-2</v>
      </c>
      <c r="N144">
        <f>Earnings!B144*(1+M144)</f>
        <v>814091.31</v>
      </c>
    </row>
    <row r="145" spans="1:14" x14ac:dyDescent="0.35">
      <c r="A145" t="s">
        <v>176</v>
      </c>
      <c r="B145" t="s">
        <v>27</v>
      </c>
      <c r="C145" t="s">
        <v>44</v>
      </c>
      <c r="D145" t="s">
        <v>22</v>
      </c>
      <c r="E145">
        <v>7</v>
      </c>
      <c r="F145" t="s">
        <v>71</v>
      </c>
      <c r="G145">
        <f>Earnings!G145</f>
        <v>617892.41080000007</v>
      </c>
      <c r="H145">
        <f>Deductions!B145+Deductions!C145+Deductions!D145+Tax!D145</f>
        <v>5525.7775000000001</v>
      </c>
      <c r="I145">
        <f t="shared" si="4"/>
        <v>612366.6333000001</v>
      </c>
      <c r="J145">
        <f>Overtime!D145</f>
        <v>0</v>
      </c>
      <c r="K145">
        <f>IF(C145="Junior",0.06,IF(C145="Mid",0.08,IF(C145="Senior",0.1,IF(C145="Manager",0.12,0))))</f>
        <v>0.12</v>
      </c>
      <c r="L145">
        <f>IF(Performance!E145&gt;2,0.03,IF(Performance!E145&gt;=1,0.01,-0.02))</f>
        <v>0.01</v>
      </c>
      <c r="M145">
        <f t="shared" si="5"/>
        <v>0.13</v>
      </c>
      <c r="N145">
        <f>Earnings!B145*(1+M145)</f>
        <v>733422.7145</v>
      </c>
    </row>
    <row r="146" spans="1:14" x14ac:dyDescent="0.35">
      <c r="A146" t="s">
        <v>177</v>
      </c>
      <c r="B146" t="s">
        <v>36</v>
      </c>
      <c r="C146" t="s">
        <v>21</v>
      </c>
      <c r="D146" t="s">
        <v>22</v>
      </c>
      <c r="E146">
        <v>8</v>
      </c>
      <c r="F146" t="s">
        <v>18</v>
      </c>
      <c r="G146">
        <f>Earnings!G146</f>
        <v>805340.16359999985</v>
      </c>
      <c r="H146">
        <f>Deductions!B146+Deductions!C146+Deductions!D146+Tax!D146</f>
        <v>8807.425833333331</v>
      </c>
      <c r="I146">
        <f t="shared" si="4"/>
        <v>796532.73776666657</v>
      </c>
      <c r="J146">
        <f>Overtime!D146</f>
        <v>0</v>
      </c>
      <c r="K146">
        <f>IF(C146="Junior",0.06,IF(C146="Mid",0.08,IF(C146="Senior",0.1,IF(C146="Manager",0.12,0))))</f>
        <v>0.1</v>
      </c>
      <c r="L146">
        <f>IF(Performance!E146&gt;2,0.03,IF(Performance!E146&gt;=1,0.01,-0.02))</f>
        <v>0.01</v>
      </c>
      <c r="M146">
        <f t="shared" si="5"/>
        <v>0.11</v>
      </c>
      <c r="N146">
        <f>Earnings!B146*(1+M146)</f>
        <v>938999.56050000002</v>
      </c>
    </row>
    <row r="147" spans="1:14" x14ac:dyDescent="0.35">
      <c r="A147" t="s">
        <v>178</v>
      </c>
      <c r="B147" t="s">
        <v>36</v>
      </c>
      <c r="C147" t="s">
        <v>34</v>
      </c>
      <c r="D147" t="s">
        <v>17</v>
      </c>
      <c r="E147">
        <v>8</v>
      </c>
      <c r="F147" t="s">
        <v>25</v>
      </c>
      <c r="G147">
        <f>Earnings!G147</f>
        <v>889078.51199999999</v>
      </c>
      <c r="H147">
        <f>Deductions!B147+Deductions!C147+Deductions!D147+Tax!D147</f>
        <v>10273.433333333334</v>
      </c>
      <c r="I147">
        <f t="shared" si="4"/>
        <v>976865.20866666664</v>
      </c>
      <c r="J147">
        <f>Overtime!D147</f>
        <v>98060.130000000019</v>
      </c>
      <c r="K147">
        <f>IF(C147="Junior",0.06,IF(C147="Mid",0.08,IF(C147="Senior",0.1,IF(C147="Manager",0.12,0))))</f>
        <v>0.08</v>
      </c>
      <c r="L147">
        <f>IF(Performance!E147&gt;2,0.03,IF(Performance!E147&gt;=1,0.01,-0.02))</f>
        <v>0.01</v>
      </c>
      <c r="M147">
        <f t="shared" si="5"/>
        <v>0.09</v>
      </c>
      <c r="N147">
        <f>Earnings!B147*(1+M147)</f>
        <v>1017957.54</v>
      </c>
    </row>
    <row r="148" spans="1:14" x14ac:dyDescent="0.35">
      <c r="A148" t="s">
        <v>179</v>
      </c>
      <c r="B148" t="s">
        <v>30</v>
      </c>
      <c r="C148" t="s">
        <v>16</v>
      </c>
      <c r="D148" t="s">
        <v>22</v>
      </c>
      <c r="E148">
        <v>7</v>
      </c>
      <c r="F148" t="s">
        <v>32</v>
      </c>
      <c r="G148">
        <f>Earnings!G148</f>
        <v>806017.55920000002</v>
      </c>
      <c r="H148">
        <f>Deductions!B148+Deductions!C148+Deductions!D148+Tax!D148</f>
        <v>8819.2849999999999</v>
      </c>
      <c r="I148">
        <f t="shared" si="4"/>
        <v>797198.27419999999</v>
      </c>
      <c r="J148">
        <f>Overtime!D148</f>
        <v>0</v>
      </c>
      <c r="K148">
        <f>IF(C148="Junior",0.06,IF(C148="Mid",0.08,IF(C148="Senior",0.1,IF(C148="Manager",0.12,0))))</f>
        <v>0.06</v>
      </c>
      <c r="L148">
        <f>IF(Performance!E148&gt;2,0.03,IF(Performance!E148&gt;=1,0.01,-0.02))</f>
        <v>0.01</v>
      </c>
      <c r="M148">
        <f t="shared" si="5"/>
        <v>6.9999999999999993E-2</v>
      </c>
      <c r="N148">
        <f>Earnings!B148*(1+M148)</f>
        <v>905923.09700000007</v>
      </c>
    </row>
    <row r="149" spans="1:14" x14ac:dyDescent="0.35">
      <c r="A149" t="s">
        <v>180</v>
      </c>
      <c r="B149" t="s">
        <v>20</v>
      </c>
      <c r="C149" t="s">
        <v>16</v>
      </c>
      <c r="D149" t="s">
        <v>17</v>
      </c>
      <c r="E149">
        <v>3</v>
      </c>
      <c r="F149" t="s">
        <v>18</v>
      </c>
      <c r="G149">
        <f>Earnings!G149</f>
        <v>564524.576</v>
      </c>
      <c r="H149">
        <f>Deductions!B149+Deductions!C149+Deductions!D149+Tax!D149</f>
        <v>4591.4666666666672</v>
      </c>
      <c r="I149">
        <f t="shared" si="4"/>
        <v>559933.10933333333</v>
      </c>
      <c r="J149">
        <f>Overtime!D149</f>
        <v>0</v>
      </c>
      <c r="K149">
        <f>IF(C149="Junior",0.06,IF(C149="Mid",0.08,IF(C149="Senior",0.1,IF(C149="Manager",0.12,0))))</f>
        <v>0.06</v>
      </c>
      <c r="L149">
        <f>IF(Performance!E149&gt;2,0.03,IF(Performance!E149&gt;=1,0.01,-0.02))</f>
        <v>0.03</v>
      </c>
      <c r="M149">
        <f t="shared" si="5"/>
        <v>0.09</v>
      </c>
      <c r="N149">
        <f>Earnings!B149*(1+M149)</f>
        <v>646356.92000000004</v>
      </c>
    </row>
    <row r="150" spans="1:14" x14ac:dyDescent="0.35">
      <c r="A150" t="s">
        <v>181</v>
      </c>
      <c r="B150" t="s">
        <v>15</v>
      </c>
      <c r="C150" t="s">
        <v>16</v>
      </c>
      <c r="D150" t="s">
        <v>22</v>
      </c>
      <c r="E150">
        <v>5</v>
      </c>
      <c r="F150" t="s">
        <v>25</v>
      </c>
      <c r="G150">
        <f>Earnings!G150</f>
        <v>656280.5732000001</v>
      </c>
      <c r="H150">
        <f>Deductions!B150+Deductions!C150+Deductions!D150+Tax!D150</f>
        <v>6197.8391666666666</v>
      </c>
      <c r="I150">
        <f t="shared" si="4"/>
        <v>650082.73403333349</v>
      </c>
      <c r="J150">
        <f>Overtime!D150</f>
        <v>0</v>
      </c>
      <c r="K150">
        <f>IF(C150="Junior",0.06,IF(C150="Mid",0.08,IF(C150="Senior",0.1,IF(C150="Manager",0.12,0))))</f>
        <v>0.06</v>
      </c>
      <c r="L150">
        <f>IF(Performance!E150&gt;2,0.03,IF(Performance!E150&gt;=1,0.01,-0.02))</f>
        <v>0.01</v>
      </c>
      <c r="M150">
        <f t="shared" si="5"/>
        <v>6.9999999999999993E-2</v>
      </c>
      <c r="N150">
        <f>Earnings!B150*(1+M150)</f>
        <v>737626.27450000006</v>
      </c>
    </row>
    <row r="151" spans="1:14" x14ac:dyDescent="0.35">
      <c r="A151" t="s">
        <v>182</v>
      </c>
      <c r="B151" t="s">
        <v>27</v>
      </c>
      <c r="C151" t="s">
        <v>16</v>
      </c>
      <c r="D151" t="s">
        <v>22</v>
      </c>
      <c r="E151">
        <v>10</v>
      </c>
      <c r="F151" t="s">
        <v>23</v>
      </c>
      <c r="G151">
        <f>Earnings!G151</f>
        <v>859941.50479999988</v>
      </c>
      <c r="H151">
        <f>Deductions!B151+Deductions!C151+Deductions!D151+Tax!D151</f>
        <v>9763.3316666666651</v>
      </c>
      <c r="I151">
        <f t="shared" si="4"/>
        <v>850178.17313333321</v>
      </c>
      <c r="J151">
        <f>Overtime!D151</f>
        <v>0</v>
      </c>
      <c r="K151">
        <f>IF(C151="Junior",0.06,IF(C151="Mid",0.08,IF(C151="Senior",0.1,IF(C151="Manager",0.12,0))))</f>
        <v>0.06</v>
      </c>
      <c r="L151">
        <f>IF(Performance!E151&gt;2,0.03,IF(Performance!E151&gt;=1,0.01,-0.02))</f>
        <v>0.01</v>
      </c>
      <c r="M151">
        <f t="shared" si="5"/>
        <v>6.9999999999999993E-2</v>
      </c>
      <c r="N151">
        <f>Earnings!B151*(1+M151)</f>
        <v>966530.89299999992</v>
      </c>
    </row>
    <row r="152" spans="1:14" x14ac:dyDescent="0.35">
      <c r="A152" t="s">
        <v>183</v>
      </c>
      <c r="B152" t="s">
        <v>27</v>
      </c>
      <c r="C152" t="s">
        <v>34</v>
      </c>
      <c r="D152" t="s">
        <v>22</v>
      </c>
      <c r="E152">
        <v>13</v>
      </c>
      <c r="F152" t="s">
        <v>71</v>
      </c>
      <c r="G152">
        <f>Earnings!G152</f>
        <v>703450.45959999994</v>
      </c>
      <c r="H152">
        <f>Deductions!B152+Deductions!C152+Deductions!D152+Tax!D152</f>
        <v>7023.642499999999</v>
      </c>
      <c r="I152">
        <f t="shared" si="4"/>
        <v>696426.81709999999</v>
      </c>
      <c r="J152">
        <f>Overtime!D152</f>
        <v>0</v>
      </c>
      <c r="K152">
        <f>IF(C152="Junior",0.06,IF(C152="Mid",0.08,IF(C152="Senior",0.1,IF(C152="Manager",0.12,0))))</f>
        <v>0.08</v>
      </c>
      <c r="L152">
        <f>IF(Performance!E152&gt;2,0.03,IF(Performance!E152&gt;=1,0.01,-0.02))</f>
        <v>0.01</v>
      </c>
      <c r="M152">
        <f t="shared" si="5"/>
        <v>0.09</v>
      </c>
      <c r="N152">
        <f>Earnings!B152*(1+M152)</f>
        <v>805421.21950000001</v>
      </c>
    </row>
    <row r="153" spans="1:14" x14ac:dyDescent="0.35">
      <c r="A153" t="s">
        <v>184</v>
      </c>
      <c r="B153" t="s">
        <v>30</v>
      </c>
      <c r="C153" t="s">
        <v>34</v>
      </c>
      <c r="D153" t="s">
        <v>17</v>
      </c>
      <c r="E153">
        <v>0</v>
      </c>
      <c r="F153" t="s">
        <v>71</v>
      </c>
      <c r="G153">
        <f>Earnings!G153</f>
        <v>849526.72</v>
      </c>
      <c r="H153">
        <f>Deductions!B153+Deductions!C153+Deductions!D153+Tax!D153</f>
        <v>9581</v>
      </c>
      <c r="I153">
        <f t="shared" si="4"/>
        <v>906872.72</v>
      </c>
      <c r="J153">
        <f>Overtime!D153</f>
        <v>66927</v>
      </c>
      <c r="K153">
        <f>IF(C153="Junior",0.06,IF(C153="Mid",0.08,IF(C153="Senior",0.1,IF(C153="Manager",0.12,0))))</f>
        <v>0.08</v>
      </c>
      <c r="L153">
        <f>IF(Performance!E153&gt;2,0.03,IF(Performance!E153&gt;=1,0.01,-0.02))</f>
        <v>0.01</v>
      </c>
      <c r="M153">
        <f t="shared" si="5"/>
        <v>0.09</v>
      </c>
      <c r="N153">
        <f>Earnings!B153*(1+M153)</f>
        <v>972672.4</v>
      </c>
    </row>
    <row r="154" spans="1:14" x14ac:dyDescent="0.35">
      <c r="A154" t="s">
        <v>185</v>
      </c>
      <c r="B154" t="s">
        <v>20</v>
      </c>
      <c r="C154" t="s">
        <v>21</v>
      </c>
      <c r="D154" t="s">
        <v>17</v>
      </c>
      <c r="E154">
        <v>6</v>
      </c>
      <c r="F154" t="s">
        <v>71</v>
      </c>
      <c r="G154">
        <f>Earnings!G154</f>
        <v>989955.28799999994</v>
      </c>
      <c r="H154">
        <f>Deductions!B154+Deductions!C154+Deductions!D154+Tax!D154</f>
        <v>12371.725</v>
      </c>
      <c r="I154">
        <f t="shared" si="4"/>
        <v>1123165.223</v>
      </c>
      <c r="J154">
        <f>Overtime!D154</f>
        <v>145581.65999999997</v>
      </c>
      <c r="K154">
        <f>IF(C154="Junior",0.06,IF(C154="Mid",0.08,IF(C154="Senior",0.1,IF(C154="Manager",0.12,0))))</f>
        <v>0.1</v>
      </c>
      <c r="L154">
        <f>IF(Performance!E154&gt;2,0.03,IF(Performance!E154&gt;=1,0.01,-0.02))</f>
        <v>0.03</v>
      </c>
      <c r="M154">
        <f t="shared" si="5"/>
        <v>0.13</v>
      </c>
      <c r="N154">
        <f>Earnings!B154*(1+M154)</f>
        <v>1175051.97</v>
      </c>
    </row>
    <row r="155" spans="1:14" x14ac:dyDescent="0.35">
      <c r="A155" t="s">
        <v>186</v>
      </c>
      <c r="B155" t="s">
        <v>36</v>
      </c>
      <c r="C155" t="s">
        <v>44</v>
      </c>
      <c r="D155" t="s">
        <v>17</v>
      </c>
      <c r="E155">
        <v>12</v>
      </c>
      <c r="F155" t="s">
        <v>45</v>
      </c>
      <c r="G155">
        <f>Earnings!G155</f>
        <v>1154401.8640000001</v>
      </c>
      <c r="H155">
        <f>Deductions!B155+Deductions!C155+Deductions!D155+Tax!D155</f>
        <v>16690.175000000003</v>
      </c>
      <c r="I155">
        <f t="shared" si="4"/>
        <v>1283224.5290000001</v>
      </c>
      <c r="J155">
        <f>Overtime!D155</f>
        <v>145512.84</v>
      </c>
      <c r="K155">
        <f>IF(C155="Junior",0.06,IF(C155="Mid",0.08,IF(C155="Senior",0.1,IF(C155="Manager",0.12,0))))</f>
        <v>0.12</v>
      </c>
      <c r="L155">
        <f>IF(Performance!E155&gt;2,0.03,IF(Performance!E155&gt;=1,0.01,-0.02))</f>
        <v>0.01</v>
      </c>
      <c r="M155">
        <f t="shared" si="5"/>
        <v>0.13</v>
      </c>
      <c r="N155">
        <f>Earnings!B155*(1+M155)</f>
        <v>1370245.91</v>
      </c>
    </row>
    <row r="156" spans="1:14" x14ac:dyDescent="0.35">
      <c r="A156" t="s">
        <v>187</v>
      </c>
      <c r="B156" t="s">
        <v>36</v>
      </c>
      <c r="C156" t="s">
        <v>34</v>
      </c>
      <c r="D156" t="s">
        <v>22</v>
      </c>
      <c r="E156">
        <v>7</v>
      </c>
      <c r="F156" t="s">
        <v>71</v>
      </c>
      <c r="G156">
        <f>Earnings!G156</f>
        <v>983232.93039999995</v>
      </c>
      <c r="H156">
        <f>Deductions!B156+Deductions!C156+Deductions!D156+Tax!D156</f>
        <v>12195.192499999999</v>
      </c>
      <c r="I156">
        <f t="shared" si="4"/>
        <v>1084646.5848999999</v>
      </c>
      <c r="J156">
        <f>Overtime!D156</f>
        <v>113608.84700000001</v>
      </c>
      <c r="K156">
        <f>IF(C156="Junior",0.06,IF(C156="Mid",0.08,IF(C156="Senior",0.1,IF(C156="Manager",0.12,0))))</f>
        <v>0.08</v>
      </c>
      <c r="L156">
        <f>IF(Performance!E156&gt;2,0.03,IF(Performance!E156&gt;=1,0.01,-0.02))</f>
        <v>0.01</v>
      </c>
      <c r="M156">
        <f t="shared" si="5"/>
        <v>0.09</v>
      </c>
      <c r="N156">
        <f>Earnings!B156*(1+M156)</f>
        <v>1125760.3929999999</v>
      </c>
    </row>
    <row r="157" spans="1:14" x14ac:dyDescent="0.35">
      <c r="A157" t="s">
        <v>188</v>
      </c>
      <c r="B157" t="s">
        <v>15</v>
      </c>
      <c r="C157" t="s">
        <v>21</v>
      </c>
      <c r="D157" t="s">
        <v>22</v>
      </c>
      <c r="E157">
        <v>15</v>
      </c>
      <c r="F157" t="s">
        <v>71</v>
      </c>
      <c r="G157">
        <f>Earnings!G157</f>
        <v>743389.66799999995</v>
      </c>
      <c r="H157">
        <f>Deductions!B157+Deductions!C157+Deductions!D157+Tax!D157</f>
        <v>7722.8583333333336</v>
      </c>
      <c r="I157">
        <f t="shared" si="4"/>
        <v>805945.24466666672</v>
      </c>
      <c r="J157">
        <f>Overtime!D157</f>
        <v>70278.434999999998</v>
      </c>
      <c r="K157">
        <f>IF(C157="Junior",0.06,IF(C157="Mid",0.08,IF(C157="Senior",0.1,IF(C157="Manager",0.12,0))))</f>
        <v>0.1</v>
      </c>
      <c r="L157">
        <f>IF(Performance!E157&gt;2,0.03,IF(Performance!E157&gt;=1,0.01,-0.02))</f>
        <v>0.01</v>
      </c>
      <c r="M157">
        <f t="shared" si="5"/>
        <v>0.11</v>
      </c>
      <c r="N157">
        <f>Earnings!B157*(1+M157)</f>
        <v>866767.36500000011</v>
      </c>
    </row>
    <row r="158" spans="1:14" x14ac:dyDescent="0.35">
      <c r="A158" t="s">
        <v>189</v>
      </c>
      <c r="B158" t="s">
        <v>15</v>
      </c>
      <c r="C158" t="s">
        <v>21</v>
      </c>
      <c r="D158" t="s">
        <v>22</v>
      </c>
      <c r="E158">
        <v>11</v>
      </c>
      <c r="F158" t="s">
        <v>18</v>
      </c>
      <c r="G158">
        <f>Earnings!G158</f>
        <v>735689.60639999993</v>
      </c>
      <c r="H158">
        <f>Deductions!B158+Deductions!C158+Deductions!D158+Tax!D158</f>
        <v>7588.0533333333324</v>
      </c>
      <c r="I158">
        <f t="shared" si="4"/>
        <v>797652.0410666666</v>
      </c>
      <c r="J158">
        <f>Overtime!D158</f>
        <v>69550.487999999998</v>
      </c>
      <c r="K158">
        <f>IF(C158="Junior",0.06,IF(C158="Mid",0.08,IF(C158="Senior",0.1,IF(C158="Manager",0.12,0))))</f>
        <v>0.1</v>
      </c>
      <c r="L158">
        <f>IF(Performance!E158&gt;2,0.03,IF(Performance!E158&gt;=1,0.01,-0.02))</f>
        <v>0.01</v>
      </c>
      <c r="M158">
        <f t="shared" si="5"/>
        <v>0.11</v>
      </c>
      <c r="N158">
        <f>Earnings!B158*(1+M158)</f>
        <v>857789.35200000007</v>
      </c>
    </row>
    <row r="159" spans="1:14" x14ac:dyDescent="0.35">
      <c r="A159" t="s">
        <v>190</v>
      </c>
      <c r="B159" t="s">
        <v>20</v>
      </c>
      <c r="C159" t="s">
        <v>34</v>
      </c>
      <c r="D159" t="s">
        <v>22</v>
      </c>
      <c r="E159">
        <v>0</v>
      </c>
      <c r="F159" t="s">
        <v>45</v>
      </c>
      <c r="G159">
        <f>Earnings!G159</f>
        <v>600975.60880000005</v>
      </c>
      <c r="H159">
        <f>Deductions!B159+Deductions!C159+Deductions!D159+Tax!D159</f>
        <v>5229.6149999999998</v>
      </c>
      <c r="I159">
        <f t="shared" si="4"/>
        <v>680968.37530000007</v>
      </c>
      <c r="J159">
        <f>Overtime!D159</f>
        <v>85222.381500000003</v>
      </c>
      <c r="K159">
        <f>IF(C159="Junior",0.06,IF(C159="Mid",0.08,IF(C159="Senior",0.1,IF(C159="Manager",0.12,0))))</f>
        <v>0.08</v>
      </c>
      <c r="L159">
        <f>IF(Performance!E159&gt;2,0.03,IF(Performance!E159&gt;=1,0.01,-0.02))</f>
        <v>0.03</v>
      </c>
      <c r="M159">
        <f t="shared" si="5"/>
        <v>0.11</v>
      </c>
      <c r="N159">
        <f>Earnings!B159*(1+M159)</f>
        <v>700717.35900000005</v>
      </c>
    </row>
    <row r="160" spans="1:14" x14ac:dyDescent="0.35">
      <c r="A160" t="s">
        <v>191</v>
      </c>
      <c r="B160" t="s">
        <v>36</v>
      </c>
      <c r="C160" t="s">
        <v>21</v>
      </c>
      <c r="D160" t="s">
        <v>22</v>
      </c>
      <c r="E160">
        <v>7</v>
      </c>
      <c r="F160" t="s">
        <v>23</v>
      </c>
      <c r="G160">
        <f>Earnings!G160</f>
        <v>1084294.2039999999</v>
      </c>
      <c r="H160">
        <f>Deductions!B160+Deductions!C160+Deductions!D160+Tax!D160</f>
        <v>14849.112500000001</v>
      </c>
      <c r="I160">
        <f t="shared" si="4"/>
        <v>1069445.0914999999</v>
      </c>
      <c r="J160">
        <f>Overtime!D160</f>
        <v>0</v>
      </c>
      <c r="K160">
        <f>IF(C160="Junior",0.06,IF(C160="Mid",0.08,IF(C160="Senior",0.1,IF(C160="Manager",0.12,0))))</f>
        <v>0.1</v>
      </c>
      <c r="L160">
        <f>IF(Performance!E160&gt;2,0.03,IF(Performance!E160&gt;=1,0.01,-0.02))</f>
        <v>0.01</v>
      </c>
      <c r="M160">
        <f t="shared" si="5"/>
        <v>0.11</v>
      </c>
      <c r="N160">
        <f>Earnings!B160*(1+M160)</f>
        <v>1264250.5950000002</v>
      </c>
    </row>
    <row r="161" spans="1:14" x14ac:dyDescent="0.35">
      <c r="A161" t="s">
        <v>192</v>
      </c>
      <c r="B161" t="s">
        <v>20</v>
      </c>
      <c r="C161" t="s">
        <v>44</v>
      </c>
      <c r="D161" t="s">
        <v>17</v>
      </c>
      <c r="E161">
        <v>7</v>
      </c>
      <c r="F161" t="s">
        <v>71</v>
      </c>
      <c r="G161">
        <f>Earnings!G161</f>
        <v>616742.728</v>
      </c>
      <c r="H161">
        <f>Deductions!B161+Deductions!C161+Deductions!D161+Tax!D161</f>
        <v>5505.65</v>
      </c>
      <c r="I161">
        <f t="shared" si="4"/>
        <v>611237.07799999998</v>
      </c>
      <c r="J161">
        <f>Overtime!D161</f>
        <v>0</v>
      </c>
      <c r="K161">
        <f>IF(C161="Junior",0.06,IF(C161="Mid",0.08,IF(C161="Senior",0.1,IF(C161="Manager",0.12,0))))</f>
        <v>0.12</v>
      </c>
      <c r="L161">
        <f>IF(Performance!E161&gt;2,0.03,IF(Performance!E161&gt;=1,0.01,-0.02))</f>
        <v>0.03</v>
      </c>
      <c r="M161">
        <f t="shared" si="5"/>
        <v>0.15</v>
      </c>
      <c r="N161">
        <f>Earnings!B161*(1+M161)</f>
        <v>745014.85</v>
      </c>
    </row>
    <row r="162" spans="1:14" x14ac:dyDescent="0.35">
      <c r="A162" t="s">
        <v>193</v>
      </c>
      <c r="B162" t="s">
        <v>36</v>
      </c>
      <c r="C162" t="s">
        <v>16</v>
      </c>
      <c r="D162" t="s">
        <v>17</v>
      </c>
      <c r="E162">
        <v>3</v>
      </c>
      <c r="F162" t="s">
        <v>28</v>
      </c>
      <c r="G162">
        <f>Earnings!G162</f>
        <v>809392.304</v>
      </c>
      <c r="H162">
        <f>Deductions!B162+Deductions!C162+Deductions!D162+Tax!D162</f>
        <v>8878.3666666666686</v>
      </c>
      <c r="I162">
        <f t="shared" si="4"/>
        <v>800513.93733333331</v>
      </c>
      <c r="J162">
        <f>Overtime!D162</f>
        <v>0</v>
      </c>
      <c r="K162">
        <f>IF(C162="Junior",0.06,IF(C162="Mid",0.08,IF(C162="Senior",0.1,IF(C162="Manager",0.12,0))))</f>
        <v>0.06</v>
      </c>
      <c r="L162">
        <f>IF(Performance!E162&gt;2,0.03,IF(Performance!E162&gt;=1,0.01,-0.02))</f>
        <v>0.01</v>
      </c>
      <c r="M162">
        <f t="shared" si="5"/>
        <v>6.9999999999999993E-2</v>
      </c>
      <c r="N162">
        <f>Earnings!B162*(1+M162)</f>
        <v>909716.14</v>
      </c>
    </row>
    <row r="163" spans="1:14" x14ac:dyDescent="0.35">
      <c r="A163" t="s">
        <v>194</v>
      </c>
      <c r="B163" t="s">
        <v>27</v>
      </c>
      <c r="C163" t="s">
        <v>21</v>
      </c>
      <c r="D163" t="s">
        <v>17</v>
      </c>
      <c r="E163">
        <v>10</v>
      </c>
      <c r="F163" t="s">
        <v>25</v>
      </c>
      <c r="G163">
        <f>Earnings!G163</f>
        <v>633026.68799999997</v>
      </c>
      <c r="H163">
        <f>Deductions!B163+Deductions!C163+Deductions!D163+Tax!D163</f>
        <v>5790.7333333333336</v>
      </c>
      <c r="I163">
        <f t="shared" si="4"/>
        <v>700379.79466666665</v>
      </c>
      <c r="J163">
        <f>Overtime!D163</f>
        <v>73143.839999999997</v>
      </c>
      <c r="K163">
        <f>IF(C163="Junior",0.06,IF(C163="Mid",0.08,IF(C163="Senior",0.1,IF(C163="Manager",0.12,0))))</f>
        <v>0.1</v>
      </c>
      <c r="L163">
        <f>IF(Performance!E163&gt;2,0.03,IF(Performance!E163&gt;=1,0.01,-0.02))</f>
        <v>0.01</v>
      </c>
      <c r="M163">
        <f t="shared" si="5"/>
        <v>0.11</v>
      </c>
      <c r="N163">
        <f>Earnings!B163*(1+M163)</f>
        <v>738087.84000000008</v>
      </c>
    </row>
    <row r="164" spans="1:14" x14ac:dyDescent="0.35">
      <c r="A164" t="s">
        <v>195</v>
      </c>
      <c r="B164" t="s">
        <v>36</v>
      </c>
      <c r="C164" t="s">
        <v>21</v>
      </c>
      <c r="D164" t="s">
        <v>22</v>
      </c>
      <c r="E164">
        <v>14</v>
      </c>
      <c r="F164" t="s">
        <v>28</v>
      </c>
      <c r="G164">
        <f>Earnings!G164</f>
        <v>880809.63039999991</v>
      </c>
      <c r="H164">
        <f>Deductions!B164+Deductions!C164+Deductions!D164+Tax!D164</f>
        <v>10128.669999999998</v>
      </c>
      <c r="I164">
        <f t="shared" si="4"/>
        <v>870680.96039999987</v>
      </c>
      <c r="J164">
        <f>Overtime!D164</f>
        <v>0</v>
      </c>
      <c r="K164">
        <f>IF(C164="Junior",0.06,IF(C164="Mid",0.08,IF(C164="Senior",0.1,IF(C164="Manager",0.12,0))))</f>
        <v>0.1</v>
      </c>
      <c r="L164">
        <f>IF(Performance!E164&gt;2,0.03,IF(Performance!E164&gt;=1,0.01,-0.02))</f>
        <v>0.01</v>
      </c>
      <c r="M164">
        <f t="shared" si="5"/>
        <v>0.11</v>
      </c>
      <c r="N164">
        <f>Earnings!B164*(1+M164)</f>
        <v>1026994.422</v>
      </c>
    </row>
    <row r="165" spans="1:14" x14ac:dyDescent="0.35">
      <c r="A165" t="s">
        <v>196</v>
      </c>
      <c r="B165" t="s">
        <v>20</v>
      </c>
      <c r="C165" t="s">
        <v>44</v>
      </c>
      <c r="D165" t="s">
        <v>17</v>
      </c>
      <c r="E165">
        <v>4</v>
      </c>
      <c r="F165" t="s">
        <v>25</v>
      </c>
      <c r="G165">
        <f>Earnings!G165</f>
        <v>773284.848</v>
      </c>
      <c r="H165">
        <f>Deductions!B165+Deductions!C165+Deductions!D165+Tax!D165</f>
        <v>8246.2333333333336</v>
      </c>
      <c r="I165">
        <f t="shared" si="4"/>
        <v>765038.61466666672</v>
      </c>
      <c r="J165">
        <f>Overtime!D165</f>
        <v>0</v>
      </c>
      <c r="K165">
        <f>IF(C165="Junior",0.06,IF(C165="Mid",0.08,IF(C165="Senior",0.1,IF(C165="Manager",0.12,0))))</f>
        <v>0.12</v>
      </c>
      <c r="L165">
        <f>IF(Performance!E165&gt;2,0.03,IF(Performance!E165&gt;=1,0.01,-0.02))</f>
        <v>0.03</v>
      </c>
      <c r="M165">
        <f t="shared" si="5"/>
        <v>0.15</v>
      </c>
      <c r="N165">
        <f>Earnings!B165*(1+M165)</f>
        <v>934115.1</v>
      </c>
    </row>
    <row r="166" spans="1:14" x14ac:dyDescent="0.35">
      <c r="A166" t="s">
        <v>197</v>
      </c>
      <c r="B166" t="s">
        <v>36</v>
      </c>
      <c r="C166" t="s">
        <v>44</v>
      </c>
      <c r="D166" t="s">
        <v>17</v>
      </c>
      <c r="E166">
        <v>5</v>
      </c>
      <c r="F166" t="s">
        <v>71</v>
      </c>
      <c r="G166">
        <f>Earnings!G166</f>
        <v>817470.97600000002</v>
      </c>
      <c r="H166">
        <f>Deductions!B166+Deductions!C166+Deductions!D166+Tax!D166</f>
        <v>9019.7999999999993</v>
      </c>
      <c r="I166">
        <f t="shared" si="4"/>
        <v>808451.17599999998</v>
      </c>
      <c r="J166">
        <f>Overtime!D166</f>
        <v>0</v>
      </c>
      <c r="K166">
        <f>IF(C166="Junior",0.06,IF(C166="Mid",0.08,IF(C166="Senior",0.1,IF(C166="Manager",0.12,0))))</f>
        <v>0.12</v>
      </c>
      <c r="L166">
        <f>IF(Performance!E166&gt;2,0.03,IF(Performance!E166&gt;=1,0.01,-0.02))</f>
        <v>0.01</v>
      </c>
      <c r="M166">
        <f t="shared" si="5"/>
        <v>0.13</v>
      </c>
      <c r="N166">
        <f>Earnings!B166*(1+M166)</f>
        <v>970317.44</v>
      </c>
    </row>
    <row r="167" spans="1:14" x14ac:dyDescent="0.35">
      <c r="A167" t="s">
        <v>198</v>
      </c>
      <c r="B167" t="s">
        <v>30</v>
      </c>
      <c r="C167" t="s">
        <v>16</v>
      </c>
      <c r="D167" t="s">
        <v>22</v>
      </c>
      <c r="E167">
        <v>12</v>
      </c>
      <c r="F167" t="s">
        <v>38</v>
      </c>
      <c r="G167">
        <f>Earnings!G167</f>
        <v>1189201.8907999999</v>
      </c>
      <c r="H167">
        <f>Deductions!B167+Deductions!C167+Deductions!D167+Tax!D167</f>
        <v>17604.041249999995</v>
      </c>
      <c r="I167">
        <f t="shared" si="4"/>
        <v>1171597.8495499999</v>
      </c>
      <c r="J167">
        <f>Overtime!D167</f>
        <v>0</v>
      </c>
      <c r="K167">
        <f>IF(C167="Junior",0.06,IF(C167="Mid",0.08,IF(C167="Senior",0.1,IF(C167="Manager",0.12,0))))</f>
        <v>0.06</v>
      </c>
      <c r="L167">
        <f>IF(Performance!E167&gt;2,0.03,IF(Performance!E167&gt;=1,0.01,-0.02))</f>
        <v>0.01</v>
      </c>
      <c r="M167">
        <f t="shared" si="5"/>
        <v>6.9999999999999993E-2</v>
      </c>
      <c r="N167">
        <f>Earnings!B167*(1+M167)</f>
        <v>1336602.9654999999</v>
      </c>
    </row>
    <row r="168" spans="1:14" x14ac:dyDescent="0.35">
      <c r="A168" t="s">
        <v>199</v>
      </c>
      <c r="B168" t="s">
        <v>20</v>
      </c>
      <c r="C168" t="s">
        <v>16</v>
      </c>
      <c r="D168" t="s">
        <v>22</v>
      </c>
      <c r="E168">
        <v>12</v>
      </c>
      <c r="F168" t="s">
        <v>23</v>
      </c>
      <c r="G168">
        <f>Earnings!G168</f>
        <v>1000196.7611999999</v>
      </c>
      <c r="H168">
        <f>Deductions!B168+Deductions!C168+Deductions!D168+Tax!D168</f>
        <v>12640.671250000001</v>
      </c>
      <c r="I168">
        <f t="shared" si="4"/>
        <v>987556.08994999994</v>
      </c>
      <c r="J168">
        <f>Overtime!D168</f>
        <v>0</v>
      </c>
      <c r="K168">
        <f>IF(C168="Junior",0.06,IF(C168="Mid",0.08,IF(C168="Senior",0.1,IF(C168="Manager",0.12,0))))</f>
        <v>0.06</v>
      </c>
      <c r="L168">
        <f>IF(Performance!E168&gt;2,0.03,IF(Performance!E168&gt;=1,0.01,-0.02))</f>
        <v>0.03</v>
      </c>
      <c r="M168">
        <f t="shared" si="5"/>
        <v>0.09</v>
      </c>
      <c r="N168">
        <f>Earnings!B168*(1+M168)</f>
        <v>1145183.2665000001</v>
      </c>
    </row>
    <row r="169" spans="1:14" x14ac:dyDescent="0.35">
      <c r="A169" t="s">
        <v>200</v>
      </c>
      <c r="B169" t="s">
        <v>15</v>
      </c>
      <c r="C169" t="s">
        <v>34</v>
      </c>
      <c r="D169" t="s">
        <v>22</v>
      </c>
      <c r="E169">
        <v>12</v>
      </c>
      <c r="F169" t="s">
        <v>32</v>
      </c>
      <c r="G169">
        <f>Earnings!G169</f>
        <v>678451.93919999991</v>
      </c>
      <c r="H169">
        <f>Deductions!B169+Deductions!C169+Deductions!D169+Tax!D169</f>
        <v>6585.9933333333329</v>
      </c>
      <c r="I169">
        <f t="shared" si="4"/>
        <v>700372.32986666658</v>
      </c>
      <c r="J169">
        <f>Overtime!D169</f>
        <v>28506.384000000002</v>
      </c>
      <c r="K169">
        <f>IF(C169="Junior",0.06,IF(C169="Mid",0.08,IF(C169="Senior",0.1,IF(C169="Manager",0.12,0))))</f>
        <v>0.08</v>
      </c>
      <c r="L169">
        <f>IF(Performance!E169&gt;2,0.03,IF(Performance!E169&gt;=1,0.01,-0.02))</f>
        <v>0.01</v>
      </c>
      <c r="M169">
        <f t="shared" si="5"/>
        <v>0.09</v>
      </c>
      <c r="N169">
        <f>Earnings!B169*(1+M169)</f>
        <v>776798.96400000004</v>
      </c>
    </row>
    <row r="170" spans="1:14" x14ac:dyDescent="0.35">
      <c r="A170" t="s">
        <v>201</v>
      </c>
      <c r="B170" t="s">
        <v>15</v>
      </c>
      <c r="C170" t="s">
        <v>34</v>
      </c>
      <c r="D170" t="s">
        <v>17</v>
      </c>
      <c r="E170">
        <v>11</v>
      </c>
      <c r="F170" t="s">
        <v>23</v>
      </c>
      <c r="G170">
        <f>Earnings!G170</f>
        <v>814914.85600000003</v>
      </c>
      <c r="H170">
        <f>Deductions!B170+Deductions!C170+Deductions!D170+Tax!D170</f>
        <v>8975.0499999999993</v>
      </c>
      <c r="I170">
        <f t="shared" si="4"/>
        <v>840179.92599999998</v>
      </c>
      <c r="J170">
        <f>Overtime!D170</f>
        <v>34240.120000000003</v>
      </c>
      <c r="K170">
        <f>IF(C170="Junior",0.06,IF(C170="Mid",0.08,IF(C170="Senior",0.1,IF(C170="Manager",0.12,0))))</f>
        <v>0.08</v>
      </c>
      <c r="L170">
        <f>IF(Performance!E170&gt;2,0.03,IF(Performance!E170&gt;=1,0.01,-0.02))</f>
        <v>0.01</v>
      </c>
      <c r="M170">
        <f t="shared" si="5"/>
        <v>0.09</v>
      </c>
      <c r="N170">
        <f>Earnings!B170*(1+M170)</f>
        <v>933043.27</v>
      </c>
    </row>
    <row r="171" spans="1:14" x14ac:dyDescent="0.35">
      <c r="A171" t="s">
        <v>202</v>
      </c>
      <c r="B171" t="s">
        <v>36</v>
      </c>
      <c r="C171" t="s">
        <v>21</v>
      </c>
      <c r="D171" t="s">
        <v>22</v>
      </c>
      <c r="E171">
        <v>9</v>
      </c>
      <c r="F171" t="s">
        <v>25</v>
      </c>
      <c r="G171">
        <f>Earnings!G171</f>
        <v>1090875.5227999999</v>
      </c>
      <c r="H171">
        <f>Deductions!B171+Deductions!C171+Deductions!D171+Tax!D171</f>
        <v>15021.941249999998</v>
      </c>
      <c r="I171">
        <f t="shared" si="4"/>
        <v>1115959.2993000001</v>
      </c>
      <c r="J171">
        <f>Overtime!D171</f>
        <v>40105.717749999996</v>
      </c>
      <c r="K171">
        <f>IF(C171="Junior",0.06,IF(C171="Mid",0.08,IF(C171="Senior",0.1,IF(C171="Manager",0.12,0))))</f>
        <v>0.1</v>
      </c>
      <c r="L171">
        <f>IF(Performance!E171&gt;2,0.03,IF(Performance!E171&gt;=1,0.01,-0.02))</f>
        <v>0.01</v>
      </c>
      <c r="M171">
        <f t="shared" si="5"/>
        <v>0.11</v>
      </c>
      <c r="N171">
        <f>Earnings!B171*(1+M171)</f>
        <v>1271924.1915</v>
      </c>
    </row>
    <row r="172" spans="1:14" x14ac:dyDescent="0.35">
      <c r="A172" t="s">
        <v>203</v>
      </c>
      <c r="B172" t="s">
        <v>15</v>
      </c>
      <c r="C172" t="s">
        <v>21</v>
      </c>
      <c r="D172" t="s">
        <v>17</v>
      </c>
      <c r="E172">
        <v>10</v>
      </c>
      <c r="F172" t="s">
        <v>32</v>
      </c>
      <c r="G172">
        <f>Earnings!G172</f>
        <v>781211.2</v>
      </c>
      <c r="H172">
        <f>Deductions!B172+Deductions!C172+Deductions!D172+Tax!D172</f>
        <v>8385</v>
      </c>
      <c r="I172">
        <f t="shared" si="4"/>
        <v>772826.2</v>
      </c>
      <c r="J172">
        <f>Overtime!D172</f>
        <v>0</v>
      </c>
      <c r="K172">
        <f>IF(C172="Junior",0.06,IF(C172="Mid",0.08,IF(C172="Senior",0.1,IF(C172="Manager",0.12,0))))</f>
        <v>0.1</v>
      </c>
      <c r="L172">
        <f>IF(Performance!E172&gt;2,0.03,IF(Performance!E172&gt;=1,0.01,-0.02))</f>
        <v>0.01</v>
      </c>
      <c r="M172">
        <f t="shared" si="5"/>
        <v>0.11</v>
      </c>
      <c r="N172">
        <f>Earnings!B172*(1+M172)</f>
        <v>910866.00000000012</v>
      </c>
    </row>
    <row r="173" spans="1:14" x14ac:dyDescent="0.35">
      <c r="A173" t="s">
        <v>204</v>
      </c>
      <c r="B173" t="s">
        <v>36</v>
      </c>
      <c r="C173" t="s">
        <v>44</v>
      </c>
      <c r="D173" t="s">
        <v>17</v>
      </c>
      <c r="E173">
        <v>4</v>
      </c>
      <c r="F173" t="s">
        <v>23</v>
      </c>
      <c r="G173">
        <f>Earnings!G173</f>
        <v>1011829.392</v>
      </c>
      <c r="H173">
        <f>Deductions!B173+Deductions!C173+Deductions!D173+Tax!D173</f>
        <v>12946.15</v>
      </c>
      <c r="I173">
        <f t="shared" si="4"/>
        <v>998883.24199999997</v>
      </c>
      <c r="J173">
        <f>Overtime!D173</f>
        <v>0</v>
      </c>
      <c r="K173">
        <f>IF(C173="Junior",0.06,IF(C173="Mid",0.08,IF(C173="Senior",0.1,IF(C173="Manager",0.12,0))))</f>
        <v>0.12</v>
      </c>
      <c r="L173">
        <f>IF(Performance!E173&gt;2,0.03,IF(Performance!E173&gt;=1,0.01,-0.02))</f>
        <v>0.01</v>
      </c>
      <c r="M173">
        <f t="shared" si="5"/>
        <v>0.13</v>
      </c>
      <c r="N173">
        <f>Earnings!B173*(1+M173)</f>
        <v>1201015.98</v>
      </c>
    </row>
    <row r="174" spans="1:14" x14ac:dyDescent="0.35">
      <c r="A174" t="s">
        <v>205</v>
      </c>
      <c r="B174" t="s">
        <v>15</v>
      </c>
      <c r="C174" t="s">
        <v>44</v>
      </c>
      <c r="D174" t="s">
        <v>22</v>
      </c>
      <c r="E174">
        <v>12</v>
      </c>
      <c r="F174" t="s">
        <v>71</v>
      </c>
      <c r="G174">
        <f>Earnings!G174</f>
        <v>849009.11759999988</v>
      </c>
      <c r="H174">
        <f>Deductions!B174+Deductions!C174+Deductions!D174+Tax!D174</f>
        <v>9571.9383333333317</v>
      </c>
      <c r="I174">
        <f t="shared" si="4"/>
        <v>897405.2387666665</v>
      </c>
      <c r="J174">
        <f>Overtime!D174</f>
        <v>57968.059500000003</v>
      </c>
      <c r="K174">
        <f>IF(C174="Junior",0.06,IF(C174="Mid",0.08,IF(C174="Senior",0.1,IF(C174="Manager",0.12,0))))</f>
        <v>0.12</v>
      </c>
      <c r="L174">
        <f>IF(Performance!E174&gt;2,0.03,IF(Performance!E174&gt;=1,0.01,-0.02))</f>
        <v>0.01</v>
      </c>
      <c r="M174">
        <f t="shared" si="5"/>
        <v>0.13</v>
      </c>
      <c r="N174">
        <f>Earnings!B174*(1+M174)</f>
        <v>1007752.4189999999</v>
      </c>
    </row>
    <row r="175" spans="1:14" x14ac:dyDescent="0.35">
      <c r="A175" t="s">
        <v>206</v>
      </c>
      <c r="B175" t="s">
        <v>36</v>
      </c>
      <c r="C175" t="s">
        <v>34</v>
      </c>
      <c r="D175" t="s">
        <v>17</v>
      </c>
      <c r="E175">
        <v>11</v>
      </c>
      <c r="F175" t="s">
        <v>25</v>
      </c>
      <c r="G175">
        <f>Earnings!G175</f>
        <v>858773.49600000004</v>
      </c>
      <c r="H175">
        <f>Deductions!B175+Deductions!C175+Deductions!D175+Tax!D175</f>
        <v>9742.883333333335</v>
      </c>
      <c r="I175">
        <f t="shared" si="4"/>
        <v>849030.61266666674</v>
      </c>
      <c r="J175">
        <f>Overtime!D175</f>
        <v>0</v>
      </c>
      <c r="K175">
        <f>IF(C175="Junior",0.06,IF(C175="Mid",0.08,IF(C175="Senior",0.1,IF(C175="Manager",0.12,0))))</f>
        <v>0.08</v>
      </c>
      <c r="L175">
        <f>IF(Performance!E175&gt;2,0.03,IF(Performance!E175&gt;=1,0.01,-0.02))</f>
        <v>0.01</v>
      </c>
      <c r="M175">
        <f t="shared" si="5"/>
        <v>0.09</v>
      </c>
      <c r="N175">
        <f>Earnings!B175*(1+M175)</f>
        <v>983259.57000000007</v>
      </c>
    </row>
    <row r="176" spans="1:14" x14ac:dyDescent="0.35">
      <c r="A176" t="s">
        <v>207</v>
      </c>
      <c r="B176" t="s">
        <v>27</v>
      </c>
      <c r="C176" t="s">
        <v>16</v>
      </c>
      <c r="D176" t="s">
        <v>22</v>
      </c>
      <c r="E176">
        <v>14</v>
      </c>
      <c r="F176" t="s">
        <v>38</v>
      </c>
      <c r="G176">
        <f>Earnings!G176</f>
        <v>739034.98199999996</v>
      </c>
      <c r="H176">
        <f>Deductions!B176+Deductions!C176+Deductions!D176+Tax!D176</f>
        <v>7646.6208333333343</v>
      </c>
      <c r="I176">
        <f t="shared" si="4"/>
        <v>758558.76491666667</v>
      </c>
      <c r="J176">
        <f>Overtime!D176</f>
        <v>27170.403750000001</v>
      </c>
      <c r="K176">
        <f>IF(C176="Junior",0.06,IF(C176="Mid",0.08,IF(C176="Senior",0.1,IF(C176="Manager",0.12,0))))</f>
        <v>0.06</v>
      </c>
      <c r="L176">
        <f>IF(Performance!E176&gt;2,0.03,IF(Performance!E176&gt;=1,0.01,-0.02))</f>
        <v>0.01</v>
      </c>
      <c r="M176">
        <f t="shared" si="5"/>
        <v>6.9999999999999993E-2</v>
      </c>
      <c r="N176">
        <f>Earnings!B176*(1+M176)</f>
        <v>830638.0575</v>
      </c>
    </row>
    <row r="177" spans="1:14" x14ac:dyDescent="0.35">
      <c r="A177" t="s">
        <v>208</v>
      </c>
      <c r="B177" t="s">
        <v>15</v>
      </c>
      <c r="C177" t="s">
        <v>16</v>
      </c>
      <c r="D177" t="s">
        <v>22</v>
      </c>
      <c r="E177">
        <v>9</v>
      </c>
      <c r="F177" t="s">
        <v>38</v>
      </c>
      <c r="G177">
        <f>Earnings!G177</f>
        <v>669270.47039999999</v>
      </c>
      <c r="H177">
        <f>Deductions!B177+Deductions!C177+Deductions!D177+Tax!D177</f>
        <v>6425.2533333333331</v>
      </c>
      <c r="I177">
        <f t="shared" si="4"/>
        <v>662845.21706666669</v>
      </c>
      <c r="J177">
        <f>Overtime!D177</f>
        <v>0</v>
      </c>
      <c r="K177">
        <f>IF(C177="Junior",0.06,IF(C177="Mid",0.08,IF(C177="Senior",0.1,IF(C177="Manager",0.12,0))))</f>
        <v>0.06</v>
      </c>
      <c r="L177">
        <f>IF(Performance!E177&gt;2,0.03,IF(Performance!E177&gt;=1,0.01,-0.02))</f>
        <v>0.01</v>
      </c>
      <c r="M177">
        <f t="shared" si="5"/>
        <v>6.9999999999999993E-2</v>
      </c>
      <c r="N177">
        <f>Earnings!B177*(1+M177)</f>
        <v>752226.26399999997</v>
      </c>
    </row>
    <row r="178" spans="1:14" x14ac:dyDescent="0.35">
      <c r="A178" t="s">
        <v>209</v>
      </c>
      <c r="B178" t="s">
        <v>36</v>
      </c>
      <c r="C178" t="s">
        <v>21</v>
      </c>
      <c r="D178" t="s">
        <v>17</v>
      </c>
      <c r="E178">
        <v>14</v>
      </c>
      <c r="F178" t="s">
        <v>71</v>
      </c>
      <c r="G178">
        <f>Earnings!G178</f>
        <v>1134134.736</v>
      </c>
      <c r="H178">
        <f>Deductions!B178+Deductions!C178+Deductions!D178+Tax!D178</f>
        <v>16157.949999999999</v>
      </c>
      <c r="I178">
        <f t="shared" si="4"/>
        <v>1201369.0460000001</v>
      </c>
      <c r="J178">
        <f>Overtime!D178</f>
        <v>83392.260000000009</v>
      </c>
      <c r="K178">
        <f>IF(C178="Junior",0.06,IF(C178="Mid",0.08,IF(C178="Senior",0.1,IF(C178="Manager",0.12,0))))</f>
        <v>0.1</v>
      </c>
      <c r="L178">
        <f>IF(Performance!E178&gt;2,0.03,IF(Performance!E178&gt;=1,0.01,-0.02))</f>
        <v>0.01</v>
      </c>
      <c r="M178">
        <f t="shared" si="5"/>
        <v>0.11</v>
      </c>
      <c r="N178">
        <f>Earnings!B178*(1+M178)</f>
        <v>1322362.9800000002</v>
      </c>
    </row>
    <row r="179" spans="1:14" x14ac:dyDescent="0.35">
      <c r="A179" t="s">
        <v>210</v>
      </c>
      <c r="B179" t="s">
        <v>30</v>
      </c>
      <c r="C179" t="s">
        <v>16</v>
      </c>
      <c r="D179" t="s">
        <v>22</v>
      </c>
      <c r="E179">
        <v>8</v>
      </c>
      <c r="F179" t="s">
        <v>28</v>
      </c>
      <c r="G179">
        <f>Earnings!G179</f>
        <v>955503.12199999997</v>
      </c>
      <c r="H179">
        <f>Deductions!B179+Deductions!C179+Deductions!D179+Tax!D179</f>
        <v>11466.99375</v>
      </c>
      <c r="I179">
        <f t="shared" si="4"/>
        <v>1039385.7045</v>
      </c>
      <c r="J179">
        <f>Overtime!D179</f>
        <v>95349.576250000013</v>
      </c>
      <c r="K179">
        <f>IF(C179="Junior",0.06,IF(C179="Mid",0.08,IF(C179="Senior",0.1,IF(C179="Manager",0.12,0))))</f>
        <v>0.06</v>
      </c>
      <c r="L179">
        <f>IF(Performance!E179&gt;2,0.03,IF(Performance!E179&gt;=1,0.01,-0.02))</f>
        <v>0.01</v>
      </c>
      <c r="M179">
        <f t="shared" si="5"/>
        <v>6.9999999999999993E-2</v>
      </c>
      <c r="N179">
        <f>Earnings!B179*(1+M179)</f>
        <v>1073937.3325</v>
      </c>
    </row>
    <row r="180" spans="1:14" x14ac:dyDescent="0.35">
      <c r="A180" t="s">
        <v>211</v>
      </c>
      <c r="B180" t="s">
        <v>27</v>
      </c>
      <c r="C180" t="s">
        <v>44</v>
      </c>
      <c r="D180" t="s">
        <v>22</v>
      </c>
      <c r="E180">
        <v>9</v>
      </c>
      <c r="F180" t="s">
        <v>38</v>
      </c>
      <c r="G180">
        <f>Earnings!G180</f>
        <v>703233.40359999985</v>
      </c>
      <c r="H180">
        <f>Deductions!B180+Deductions!C180+Deductions!D180+Tax!D180</f>
        <v>7019.8424999999988</v>
      </c>
      <c r="I180">
        <f t="shared" si="4"/>
        <v>736841.54134999984</v>
      </c>
      <c r="J180">
        <f>Overtime!D180</f>
        <v>40627.980249999993</v>
      </c>
      <c r="K180">
        <f>IF(C180="Junior",0.06,IF(C180="Mid",0.08,IF(C180="Senior",0.1,IF(C180="Manager",0.12,0))))</f>
        <v>0.12</v>
      </c>
      <c r="L180">
        <f>IF(Performance!E180&gt;2,0.03,IF(Performance!E180&gt;=1,0.01,-0.02))</f>
        <v>0.01</v>
      </c>
      <c r="M180">
        <f t="shared" si="5"/>
        <v>0.13</v>
      </c>
      <c r="N180">
        <f>Earnings!B180*(1+M180)</f>
        <v>834720.32149999985</v>
      </c>
    </row>
    <row r="181" spans="1:14" x14ac:dyDescent="0.35">
      <c r="A181" t="s">
        <v>212</v>
      </c>
      <c r="B181" t="s">
        <v>36</v>
      </c>
      <c r="C181" t="s">
        <v>16</v>
      </c>
      <c r="D181" t="s">
        <v>22</v>
      </c>
      <c r="E181">
        <v>8</v>
      </c>
      <c r="F181" t="s">
        <v>18</v>
      </c>
      <c r="G181">
        <f>Earnings!G181</f>
        <v>914995.95039999997</v>
      </c>
      <c r="H181">
        <f>Deductions!B181+Deductions!C181+Deductions!D181+Tax!D181</f>
        <v>10727.17</v>
      </c>
      <c r="I181">
        <f t="shared" si="4"/>
        <v>904268.78039999993</v>
      </c>
      <c r="J181">
        <f>Overtime!D181</f>
        <v>0</v>
      </c>
      <c r="K181">
        <f>IF(C181="Junior",0.06,IF(C181="Mid",0.08,IF(C181="Senior",0.1,IF(C181="Manager",0.12,0))))</f>
        <v>0.06</v>
      </c>
      <c r="L181">
        <f>IF(Performance!E181&gt;2,0.03,IF(Performance!E181&gt;=1,0.01,-0.02))</f>
        <v>0.01</v>
      </c>
      <c r="M181">
        <f t="shared" si="5"/>
        <v>6.9999999999999993E-2</v>
      </c>
      <c r="N181">
        <f>Earnings!B181*(1+M181)</f>
        <v>1028409.314</v>
      </c>
    </row>
    <row r="182" spans="1:14" x14ac:dyDescent="0.35">
      <c r="A182" t="s">
        <v>213</v>
      </c>
      <c r="B182" t="s">
        <v>36</v>
      </c>
      <c r="C182" t="s">
        <v>44</v>
      </c>
      <c r="D182" t="s">
        <v>22</v>
      </c>
      <c r="E182">
        <v>2</v>
      </c>
      <c r="F182" t="s">
        <v>38</v>
      </c>
      <c r="G182">
        <f>Earnings!G182</f>
        <v>725203.99279999989</v>
      </c>
      <c r="H182">
        <f>Deductions!B182+Deductions!C182+Deductions!D182+Tax!D182</f>
        <v>7404.4816666666657</v>
      </c>
      <c r="I182">
        <f t="shared" si="4"/>
        <v>816829.46813333326</v>
      </c>
      <c r="J182">
        <f>Overtime!D182</f>
        <v>99029.957000000009</v>
      </c>
      <c r="K182">
        <f>IF(C182="Junior",0.06,IF(C182="Mid",0.08,IF(C182="Senior",0.1,IF(C182="Manager",0.12,0))))</f>
        <v>0.12</v>
      </c>
      <c r="L182">
        <f>IF(Performance!E182&gt;2,0.03,IF(Performance!E182&gt;=1,0.01,-0.02))</f>
        <v>0.01</v>
      </c>
      <c r="M182">
        <f t="shared" si="5"/>
        <v>0.13</v>
      </c>
      <c r="N182">
        <f>Earnings!B182*(1+M182)</f>
        <v>860798.85699999984</v>
      </c>
    </row>
    <row r="183" spans="1:14" x14ac:dyDescent="0.35">
      <c r="A183" t="s">
        <v>214</v>
      </c>
      <c r="B183" t="s">
        <v>27</v>
      </c>
      <c r="C183" t="s">
        <v>34</v>
      </c>
      <c r="D183" t="s">
        <v>17</v>
      </c>
      <c r="E183">
        <v>2</v>
      </c>
      <c r="F183" t="s">
        <v>71</v>
      </c>
      <c r="G183">
        <f>Earnings!G183</f>
        <v>536712.848</v>
      </c>
      <c r="H183">
        <f>Deductions!B183+Deductions!C183+Deductions!D183+Tax!D183</f>
        <v>4104.5666666666675</v>
      </c>
      <c r="I183">
        <f t="shared" si="4"/>
        <v>611536.64133333333</v>
      </c>
      <c r="J183">
        <f>Overtime!D183</f>
        <v>78928.36</v>
      </c>
      <c r="K183">
        <f>IF(C183="Junior",0.06,IF(C183="Mid",0.08,IF(C183="Senior",0.1,IF(C183="Manager",0.12,0))))</f>
        <v>0.08</v>
      </c>
      <c r="L183">
        <f>IF(Performance!E183&gt;2,0.03,IF(Performance!E183&gt;=1,0.01,-0.02))</f>
        <v>0.01</v>
      </c>
      <c r="M183">
        <f t="shared" si="5"/>
        <v>0.09</v>
      </c>
      <c r="N183">
        <f>Earnings!B183*(1+M183)</f>
        <v>614513.66</v>
      </c>
    </row>
    <row r="184" spans="1:14" x14ac:dyDescent="0.35">
      <c r="A184" t="s">
        <v>215</v>
      </c>
      <c r="B184" t="s">
        <v>20</v>
      </c>
      <c r="C184" t="s">
        <v>44</v>
      </c>
      <c r="D184" t="s">
        <v>22</v>
      </c>
      <c r="E184">
        <v>11</v>
      </c>
      <c r="F184" t="s">
        <v>71</v>
      </c>
      <c r="G184">
        <f>Earnings!G184</f>
        <v>853306.8263999999</v>
      </c>
      <c r="H184">
        <f>Deductions!B184+Deductions!C184+Deductions!D184+Tax!D184</f>
        <v>9647.1783333333333</v>
      </c>
      <c r="I184">
        <f t="shared" si="4"/>
        <v>843659.64806666656</v>
      </c>
      <c r="J184">
        <f>Overtime!D184</f>
        <v>0</v>
      </c>
      <c r="K184">
        <f>IF(C184="Junior",0.06,IF(C184="Mid",0.08,IF(C184="Senior",0.1,IF(C184="Manager",0.12,0))))</f>
        <v>0.12</v>
      </c>
      <c r="L184">
        <f>IF(Performance!E184&gt;2,0.03,IF(Performance!E184&gt;=1,0.01,-0.02))</f>
        <v>0.03</v>
      </c>
      <c r="M184">
        <f t="shared" si="5"/>
        <v>0.15</v>
      </c>
      <c r="N184">
        <f>Earnings!B184*(1+M184)</f>
        <v>1030780.3049999998</v>
      </c>
    </row>
    <row r="185" spans="1:14" x14ac:dyDescent="0.35">
      <c r="A185" t="s">
        <v>216</v>
      </c>
      <c r="B185" t="s">
        <v>15</v>
      </c>
      <c r="C185" t="s">
        <v>21</v>
      </c>
      <c r="D185" t="s">
        <v>22</v>
      </c>
      <c r="E185">
        <v>12</v>
      </c>
      <c r="F185" t="s">
        <v>23</v>
      </c>
      <c r="G185">
        <f>Earnings!G185</f>
        <v>766904.97239999997</v>
      </c>
      <c r="H185">
        <f>Deductions!B185+Deductions!C185+Deductions!D185+Tax!D185</f>
        <v>8134.5408333333326</v>
      </c>
      <c r="I185">
        <f t="shared" si="4"/>
        <v>758770.43156666658</v>
      </c>
      <c r="J185">
        <f>Overtime!D185</f>
        <v>0</v>
      </c>
      <c r="K185">
        <f>IF(C185="Junior",0.06,IF(C185="Mid",0.08,IF(C185="Senior",0.1,IF(C185="Manager",0.12,0))))</f>
        <v>0.1</v>
      </c>
      <c r="L185">
        <f>IF(Performance!E185&gt;2,0.03,IF(Performance!E185&gt;=1,0.01,-0.02))</f>
        <v>0.01</v>
      </c>
      <c r="M185">
        <f t="shared" si="5"/>
        <v>0.11</v>
      </c>
      <c r="N185">
        <f>Earnings!B185*(1+M185)</f>
        <v>894185.41950000008</v>
      </c>
    </row>
    <row r="186" spans="1:14" x14ac:dyDescent="0.35">
      <c r="A186" t="s">
        <v>217</v>
      </c>
      <c r="B186" t="s">
        <v>20</v>
      </c>
      <c r="C186" t="s">
        <v>21</v>
      </c>
      <c r="D186" t="s">
        <v>17</v>
      </c>
      <c r="E186">
        <v>5</v>
      </c>
      <c r="F186" t="s">
        <v>23</v>
      </c>
      <c r="G186">
        <f>Earnings!G186</f>
        <v>888383.55200000003</v>
      </c>
      <c r="H186">
        <f>Deductions!B186+Deductions!C186+Deductions!D186+Tax!D186</f>
        <v>10261.266666666668</v>
      </c>
      <c r="I186">
        <f t="shared" si="4"/>
        <v>929446.96533333336</v>
      </c>
      <c r="J186">
        <f>Overtime!D186</f>
        <v>51324.68</v>
      </c>
      <c r="K186">
        <f>IF(C186="Junior",0.06,IF(C186="Mid",0.08,IF(C186="Senior",0.1,IF(C186="Manager",0.12,0))))</f>
        <v>0.1</v>
      </c>
      <c r="L186">
        <f>IF(Performance!E186&gt;2,0.03,IF(Performance!E186&gt;=1,0.01,-0.02))</f>
        <v>0.03</v>
      </c>
      <c r="M186">
        <f t="shared" si="5"/>
        <v>0.13</v>
      </c>
      <c r="N186">
        <f>Earnings!B186*(1+M186)</f>
        <v>1054488.8799999999</v>
      </c>
    </row>
    <row r="187" spans="1:14" x14ac:dyDescent="0.35">
      <c r="A187" t="s">
        <v>218</v>
      </c>
      <c r="B187" t="s">
        <v>15</v>
      </c>
      <c r="C187" t="s">
        <v>21</v>
      </c>
      <c r="D187" t="s">
        <v>22</v>
      </c>
      <c r="E187">
        <v>14</v>
      </c>
      <c r="F187" t="s">
        <v>45</v>
      </c>
      <c r="G187">
        <f>Earnings!G187</f>
        <v>815548.12639999995</v>
      </c>
      <c r="H187">
        <f>Deductions!B187+Deductions!C187+Deductions!D187+Tax!D187</f>
        <v>8986.1366666666654</v>
      </c>
      <c r="I187">
        <f t="shared" si="4"/>
        <v>909362.17373333324</v>
      </c>
      <c r="J187">
        <f>Overtime!D187</f>
        <v>102800.18400000001</v>
      </c>
      <c r="K187">
        <f>IF(C187="Junior",0.06,IF(C187="Mid",0.08,IF(C187="Senior",0.1,IF(C187="Manager",0.12,0))))</f>
        <v>0.1</v>
      </c>
      <c r="L187">
        <f>IF(Performance!E187&gt;2,0.03,IF(Performance!E187&gt;=1,0.01,-0.02))</f>
        <v>0.01</v>
      </c>
      <c r="M187">
        <f t="shared" si="5"/>
        <v>0.11</v>
      </c>
      <c r="N187">
        <f>Earnings!B187*(1+M187)</f>
        <v>950901.70200000005</v>
      </c>
    </row>
    <row r="188" spans="1:14" x14ac:dyDescent="0.35">
      <c r="A188" t="s">
        <v>219</v>
      </c>
      <c r="B188" t="s">
        <v>30</v>
      </c>
      <c r="C188" t="s">
        <v>16</v>
      </c>
      <c r="D188" t="s">
        <v>17</v>
      </c>
      <c r="E188">
        <v>7</v>
      </c>
      <c r="F188" t="s">
        <v>45</v>
      </c>
      <c r="G188">
        <f>Earnings!G188</f>
        <v>802660.71199999994</v>
      </c>
      <c r="H188">
        <f>Deductions!B188+Deductions!C188+Deductions!D188+Tax!D188</f>
        <v>8760.5166666666664</v>
      </c>
      <c r="I188">
        <f t="shared" si="4"/>
        <v>793900.19533333322</v>
      </c>
      <c r="J188">
        <f>Overtime!D188</f>
        <v>0</v>
      </c>
      <c r="K188">
        <f>IF(C188="Junior",0.06,IF(C188="Mid",0.08,IF(C188="Senior",0.1,IF(C188="Manager",0.12,0))))</f>
        <v>0.06</v>
      </c>
      <c r="L188">
        <f>IF(Performance!E188&gt;2,0.03,IF(Performance!E188&gt;=1,0.01,-0.02))</f>
        <v>0.01</v>
      </c>
      <c r="M188">
        <f t="shared" si="5"/>
        <v>6.9999999999999993E-2</v>
      </c>
      <c r="N188">
        <f>Earnings!B188*(1+M188)</f>
        <v>902150.17</v>
      </c>
    </row>
    <row r="189" spans="1:14" x14ac:dyDescent="0.35">
      <c r="A189" t="s">
        <v>220</v>
      </c>
      <c r="B189" t="s">
        <v>20</v>
      </c>
      <c r="C189" t="s">
        <v>34</v>
      </c>
      <c r="D189" t="s">
        <v>22</v>
      </c>
      <c r="E189">
        <v>7</v>
      </c>
      <c r="F189" t="s">
        <v>45</v>
      </c>
      <c r="G189">
        <f>Earnings!G189</f>
        <v>598726.36600000004</v>
      </c>
      <c r="H189">
        <f>Deductions!B189+Deductions!C189+Deductions!D189+Tax!D189</f>
        <v>5190.2375000000011</v>
      </c>
      <c r="I189">
        <f t="shared" si="4"/>
        <v>621837.26974999998</v>
      </c>
      <c r="J189">
        <f>Overtime!D189</f>
        <v>28301.141250000001</v>
      </c>
      <c r="K189">
        <f>IF(C189="Junior",0.06,IF(C189="Mid",0.08,IF(C189="Senior",0.1,IF(C189="Manager",0.12,0))))</f>
        <v>0.08</v>
      </c>
      <c r="L189">
        <f>IF(Performance!E189&gt;2,0.03,IF(Performance!E189&gt;=1,0.01,-0.02))</f>
        <v>0.03</v>
      </c>
      <c r="M189">
        <f t="shared" si="5"/>
        <v>0.11</v>
      </c>
      <c r="N189">
        <f>Earnings!B189*(1+M189)</f>
        <v>698094.8175</v>
      </c>
    </row>
    <row r="190" spans="1:14" x14ac:dyDescent="0.35">
      <c r="A190" t="s">
        <v>221</v>
      </c>
      <c r="B190" t="s">
        <v>30</v>
      </c>
      <c r="C190" t="s">
        <v>44</v>
      </c>
      <c r="D190" t="s">
        <v>22</v>
      </c>
      <c r="E190">
        <v>3</v>
      </c>
      <c r="F190" t="s">
        <v>71</v>
      </c>
      <c r="G190">
        <f>Earnings!G190</f>
        <v>1002930.7624</v>
      </c>
      <c r="H190">
        <f>Deductions!B190+Deductions!C190+Deductions!D190+Tax!D190</f>
        <v>12712.467499999999</v>
      </c>
      <c r="I190">
        <f t="shared" si="4"/>
        <v>990218.29489999998</v>
      </c>
      <c r="J190">
        <f>Overtime!D190</f>
        <v>0</v>
      </c>
      <c r="K190">
        <f>IF(C190="Junior",0.06,IF(C190="Mid",0.08,IF(C190="Senior",0.1,IF(C190="Manager",0.12,0))))</f>
        <v>0.12</v>
      </c>
      <c r="L190">
        <f>IF(Performance!E190&gt;2,0.03,IF(Performance!E190&gt;=1,0.01,-0.02))</f>
        <v>0.01</v>
      </c>
      <c r="M190">
        <f t="shared" si="5"/>
        <v>0.13</v>
      </c>
      <c r="N190">
        <f>Earnings!B190*(1+M190)</f>
        <v>1190453.5309999997</v>
      </c>
    </row>
    <row r="191" spans="1:14" x14ac:dyDescent="0.35">
      <c r="A191" t="s">
        <v>222</v>
      </c>
      <c r="B191" t="s">
        <v>27</v>
      </c>
      <c r="C191" t="s">
        <v>16</v>
      </c>
      <c r="D191" t="s">
        <v>22</v>
      </c>
      <c r="E191">
        <v>0</v>
      </c>
      <c r="F191" t="s">
        <v>71</v>
      </c>
      <c r="G191">
        <f>Earnings!G191</f>
        <v>576110.93959999993</v>
      </c>
      <c r="H191">
        <f>Deductions!B191+Deductions!C191+Deductions!D191+Tax!D191</f>
        <v>4794.309166666666</v>
      </c>
      <c r="I191">
        <f t="shared" si="4"/>
        <v>589471.38693333324</v>
      </c>
      <c r="J191">
        <f>Overtime!D191</f>
        <v>18154.7565</v>
      </c>
      <c r="K191">
        <f>IF(C191="Junior",0.06,IF(C191="Mid",0.08,IF(C191="Senior",0.1,IF(C191="Manager",0.12,0))))</f>
        <v>0.06</v>
      </c>
      <c r="L191">
        <f>IF(Performance!E191&gt;2,0.03,IF(Performance!E191&gt;=1,0.01,-0.02))</f>
        <v>0.01</v>
      </c>
      <c r="M191">
        <f t="shared" si="5"/>
        <v>6.9999999999999993E-2</v>
      </c>
      <c r="N191">
        <f>Earnings!B191*(1+M191)</f>
        <v>647519.64850000001</v>
      </c>
    </row>
    <row r="192" spans="1:14" x14ac:dyDescent="0.35">
      <c r="A192" t="s">
        <v>223</v>
      </c>
      <c r="B192" t="s">
        <v>36</v>
      </c>
      <c r="C192" t="s">
        <v>16</v>
      </c>
      <c r="D192" t="s">
        <v>22</v>
      </c>
      <c r="E192">
        <v>4</v>
      </c>
      <c r="F192" t="s">
        <v>25</v>
      </c>
      <c r="G192">
        <f>Earnings!G192</f>
        <v>712814.61719999998</v>
      </c>
      <c r="H192">
        <f>Deductions!B192+Deductions!C192+Deductions!D192+Tax!D192</f>
        <v>7187.5808333333334</v>
      </c>
      <c r="I192">
        <f t="shared" si="4"/>
        <v>806708.94111666665</v>
      </c>
      <c r="J192">
        <f>Overtime!D192</f>
        <v>101081.90475</v>
      </c>
      <c r="K192">
        <f>IF(C192="Junior",0.06,IF(C192="Mid",0.08,IF(C192="Senior",0.1,IF(C192="Manager",0.12,0))))</f>
        <v>0.06</v>
      </c>
      <c r="L192">
        <f>IF(Performance!E192&gt;2,0.03,IF(Performance!E192&gt;=1,0.01,-0.02))</f>
        <v>0.01</v>
      </c>
      <c r="M192">
        <f t="shared" si="5"/>
        <v>6.9999999999999993E-2</v>
      </c>
      <c r="N192">
        <f>Earnings!B192*(1+M192)</f>
        <v>801167.68949999998</v>
      </c>
    </row>
    <row r="193" spans="1:14" x14ac:dyDescent="0.35">
      <c r="A193" t="s">
        <v>224</v>
      </c>
      <c r="B193" t="s">
        <v>15</v>
      </c>
      <c r="C193" t="s">
        <v>16</v>
      </c>
      <c r="D193" t="s">
        <v>22</v>
      </c>
      <c r="E193">
        <v>4</v>
      </c>
      <c r="F193" t="s">
        <v>25</v>
      </c>
      <c r="G193">
        <f>Earnings!G193</f>
        <v>524270.73159999988</v>
      </c>
      <c r="H193">
        <f>Deductions!B193+Deductions!C193+Deductions!D193+Tax!D193</f>
        <v>3886.7424999999994</v>
      </c>
      <c r="I193">
        <f t="shared" si="4"/>
        <v>520383.98909999989</v>
      </c>
      <c r="J193">
        <f>Overtime!D193</f>
        <v>0</v>
      </c>
      <c r="K193">
        <f>IF(C193="Junior",0.06,IF(C193="Mid",0.08,IF(C193="Senior",0.1,IF(C193="Manager",0.12,0))))</f>
        <v>0.06</v>
      </c>
      <c r="L193">
        <f>IF(Performance!E193&gt;2,0.03,IF(Performance!E193&gt;=1,0.01,-0.02))</f>
        <v>0.01</v>
      </c>
      <c r="M193">
        <f t="shared" si="5"/>
        <v>6.9999999999999993E-2</v>
      </c>
      <c r="N193">
        <f>Earnings!B193*(1+M193)</f>
        <v>589253.86849999998</v>
      </c>
    </row>
    <row r="194" spans="1:14" x14ac:dyDescent="0.35">
      <c r="A194" t="s">
        <v>225</v>
      </c>
      <c r="B194" t="s">
        <v>15</v>
      </c>
      <c r="C194" t="s">
        <v>21</v>
      </c>
      <c r="D194" t="s">
        <v>22</v>
      </c>
      <c r="E194">
        <v>15</v>
      </c>
      <c r="F194" t="s">
        <v>18</v>
      </c>
      <c r="G194">
        <f>Earnings!G194</f>
        <v>920094.95759999997</v>
      </c>
      <c r="H194">
        <f>Deductions!B194+Deductions!C194+Deductions!D194+Tax!D194</f>
        <v>10816.438333333334</v>
      </c>
      <c r="I194">
        <f t="shared" ref="I194:I257" si="6">G194-H194+J194</f>
        <v>909278.51926666661</v>
      </c>
      <c r="J194">
        <f>Overtime!D194</f>
        <v>0</v>
      </c>
      <c r="K194">
        <f>IF(C194="Junior",0.06,IF(C194="Mid",0.08,IF(C194="Senior",0.1,IF(C194="Manager",0.12,0))))</f>
        <v>0.1</v>
      </c>
      <c r="L194">
        <f>IF(Performance!E194&gt;2,0.03,IF(Performance!E194&gt;=1,0.01,-0.02))</f>
        <v>0.01</v>
      </c>
      <c r="M194">
        <f t="shared" ref="M194:M257" si="7">K194+L194</f>
        <v>0.11</v>
      </c>
      <c r="N194">
        <f>Earnings!B194*(1+M194)</f>
        <v>1072799.7930000001</v>
      </c>
    </row>
    <row r="195" spans="1:14" x14ac:dyDescent="0.35">
      <c r="A195" t="s">
        <v>226</v>
      </c>
      <c r="B195" t="s">
        <v>15</v>
      </c>
      <c r="C195" t="s">
        <v>44</v>
      </c>
      <c r="D195" t="s">
        <v>22</v>
      </c>
      <c r="E195">
        <v>12</v>
      </c>
      <c r="F195" t="s">
        <v>23</v>
      </c>
      <c r="G195">
        <f>Earnings!G195</f>
        <v>830367.62479999987</v>
      </c>
      <c r="H195">
        <f>Deductions!B195+Deductions!C195+Deductions!D195+Tax!D195</f>
        <v>9245.5816666666651</v>
      </c>
      <c r="I195">
        <f t="shared" si="6"/>
        <v>821122.04313333321</v>
      </c>
      <c r="J195">
        <f>Overtime!D195</f>
        <v>0</v>
      </c>
      <c r="K195">
        <f>IF(C195="Junior",0.06,IF(C195="Mid",0.08,IF(C195="Senior",0.1,IF(C195="Manager",0.12,0))))</f>
        <v>0.12</v>
      </c>
      <c r="L195">
        <f>IF(Performance!E195&gt;2,0.03,IF(Performance!E195&gt;=1,0.01,-0.02))</f>
        <v>0.01</v>
      </c>
      <c r="M195">
        <f t="shared" si="7"/>
        <v>0.13</v>
      </c>
      <c r="N195">
        <f>Earnings!B195*(1+M195)</f>
        <v>985625.4369999998</v>
      </c>
    </row>
    <row r="196" spans="1:14" x14ac:dyDescent="0.35">
      <c r="A196" t="s">
        <v>227</v>
      </c>
      <c r="B196" t="s">
        <v>27</v>
      </c>
      <c r="C196" t="s">
        <v>44</v>
      </c>
      <c r="D196" t="s">
        <v>17</v>
      </c>
      <c r="E196">
        <v>14</v>
      </c>
      <c r="F196" t="s">
        <v>23</v>
      </c>
      <c r="G196">
        <f>Earnings!G196</f>
        <v>768566.73600000003</v>
      </c>
      <c r="H196">
        <f>Deductions!B196+Deductions!C196+Deductions!D196+Tax!D196</f>
        <v>8163.6333333333341</v>
      </c>
      <c r="I196">
        <f t="shared" si="6"/>
        <v>861317.85266666673</v>
      </c>
      <c r="J196">
        <f>Overtime!D196</f>
        <v>100914.75</v>
      </c>
      <c r="K196">
        <f>IF(C196="Junior",0.06,IF(C196="Mid",0.08,IF(C196="Senior",0.1,IF(C196="Manager",0.12,0))))</f>
        <v>0.12</v>
      </c>
      <c r="L196">
        <f>IF(Performance!E196&gt;2,0.03,IF(Performance!E196&gt;=1,0.01,-0.02))</f>
        <v>0.01</v>
      </c>
      <c r="M196">
        <f t="shared" si="7"/>
        <v>0.13</v>
      </c>
      <c r="N196">
        <f>Earnings!B196*(1+M196)</f>
        <v>912269.34</v>
      </c>
    </row>
    <row r="197" spans="1:14" x14ac:dyDescent="0.35">
      <c r="A197" t="s">
        <v>228</v>
      </c>
      <c r="B197" t="s">
        <v>27</v>
      </c>
      <c r="C197" t="s">
        <v>44</v>
      </c>
      <c r="D197" t="s">
        <v>17</v>
      </c>
      <c r="E197">
        <v>3</v>
      </c>
      <c r="F197" t="s">
        <v>28</v>
      </c>
      <c r="G197">
        <f>Earnings!G197</f>
        <v>467961.31199999992</v>
      </c>
      <c r="H197">
        <f>Deductions!B197+Deductions!C197+Deductions!D197+Tax!D197</f>
        <v>3006.4833333333336</v>
      </c>
      <c r="I197">
        <f t="shared" si="6"/>
        <v>464954.82866666658</v>
      </c>
      <c r="J197">
        <f>Overtime!D197</f>
        <v>0</v>
      </c>
      <c r="K197">
        <f>IF(C197="Junior",0.06,IF(C197="Mid",0.08,IF(C197="Senior",0.1,IF(C197="Manager",0.12,0))))</f>
        <v>0.12</v>
      </c>
      <c r="L197">
        <f>IF(Performance!E197&gt;2,0.03,IF(Performance!E197&gt;=1,0.01,-0.02))</f>
        <v>0.01</v>
      </c>
      <c r="M197">
        <f t="shared" si="7"/>
        <v>0.13</v>
      </c>
      <c r="N197">
        <f>Earnings!B197*(1+M197)</f>
        <v>555458.27999999991</v>
      </c>
    </row>
    <row r="198" spans="1:14" x14ac:dyDescent="0.35">
      <c r="A198" t="s">
        <v>229</v>
      </c>
      <c r="B198" t="s">
        <v>30</v>
      </c>
      <c r="C198" t="s">
        <v>21</v>
      </c>
      <c r="D198" t="s">
        <v>17</v>
      </c>
      <c r="E198">
        <v>2</v>
      </c>
      <c r="F198" t="s">
        <v>23</v>
      </c>
      <c r="G198">
        <f>Earnings!G198</f>
        <v>1124426.24</v>
      </c>
      <c r="H198">
        <f>Deductions!B198+Deductions!C198+Deductions!D198+Tax!D198</f>
        <v>15903</v>
      </c>
      <c r="I198">
        <f t="shared" si="6"/>
        <v>1250257.6400000001</v>
      </c>
      <c r="J198">
        <f>Overtime!D198</f>
        <v>141734.40000000002</v>
      </c>
      <c r="K198">
        <f>IF(C198="Junior",0.06,IF(C198="Mid",0.08,IF(C198="Senior",0.1,IF(C198="Manager",0.12,0))))</f>
        <v>0.1</v>
      </c>
      <c r="L198">
        <f>IF(Performance!E198&gt;2,0.03,IF(Performance!E198&gt;=1,0.01,-0.02))</f>
        <v>0.01</v>
      </c>
      <c r="M198">
        <f t="shared" si="7"/>
        <v>0.11</v>
      </c>
      <c r="N198">
        <f>Earnings!B198*(1+M198)</f>
        <v>1311043.2000000002</v>
      </c>
    </row>
    <row r="199" spans="1:14" x14ac:dyDescent="0.35">
      <c r="A199" t="s">
        <v>230</v>
      </c>
      <c r="B199" t="s">
        <v>20</v>
      </c>
      <c r="C199" t="s">
        <v>34</v>
      </c>
      <c r="D199" t="s">
        <v>17</v>
      </c>
      <c r="E199">
        <v>13</v>
      </c>
      <c r="F199" t="s">
        <v>23</v>
      </c>
      <c r="G199">
        <f>Earnings!G199</f>
        <v>994776.21600000001</v>
      </c>
      <c r="H199">
        <f>Deductions!B199+Deductions!C199+Deductions!D199+Tax!D199</f>
        <v>12498.324999999999</v>
      </c>
      <c r="I199">
        <f t="shared" si="6"/>
        <v>982277.89100000006</v>
      </c>
      <c r="J199">
        <f>Overtime!D199</f>
        <v>0</v>
      </c>
      <c r="K199">
        <f>IF(C199="Junior",0.06,IF(C199="Mid",0.08,IF(C199="Senior",0.1,IF(C199="Manager",0.12,0))))</f>
        <v>0.08</v>
      </c>
      <c r="L199">
        <f>IF(Performance!E199&gt;2,0.03,IF(Performance!E199&gt;=1,0.01,-0.02))</f>
        <v>0.03</v>
      </c>
      <c r="M199">
        <f t="shared" si="7"/>
        <v>0.11</v>
      </c>
      <c r="N199">
        <f>Earnings!B199*(1+M199)</f>
        <v>1159875.6300000001</v>
      </c>
    </row>
    <row r="200" spans="1:14" x14ac:dyDescent="0.35">
      <c r="A200" t="s">
        <v>231</v>
      </c>
      <c r="B200" t="s">
        <v>15</v>
      </c>
      <c r="C200" t="s">
        <v>44</v>
      </c>
      <c r="D200" t="s">
        <v>17</v>
      </c>
      <c r="E200">
        <v>15</v>
      </c>
      <c r="F200" t="s">
        <v>25</v>
      </c>
      <c r="G200">
        <f>Earnings!G200</f>
        <v>931652.90399999986</v>
      </c>
      <c r="H200">
        <f>Deductions!B200+Deductions!C200+Deductions!D200+Tax!D200</f>
        <v>11018.783333333335</v>
      </c>
      <c r="I200">
        <f t="shared" si="6"/>
        <v>920634.12066666654</v>
      </c>
      <c r="J200">
        <f>Overtime!D200</f>
        <v>0</v>
      </c>
      <c r="K200">
        <f>IF(C200="Junior",0.06,IF(C200="Mid",0.08,IF(C200="Senior",0.1,IF(C200="Manager",0.12,0))))</f>
        <v>0.12</v>
      </c>
      <c r="L200">
        <f>IF(Performance!E200&gt;2,0.03,IF(Performance!E200&gt;=1,0.01,-0.02))</f>
        <v>0.01</v>
      </c>
      <c r="M200">
        <f t="shared" si="7"/>
        <v>0.13</v>
      </c>
      <c r="N200">
        <f>Earnings!B200*(1+M200)</f>
        <v>1105848.51</v>
      </c>
    </row>
    <row r="201" spans="1:14" x14ac:dyDescent="0.35">
      <c r="A201" t="s">
        <v>232</v>
      </c>
      <c r="B201" t="s">
        <v>36</v>
      </c>
      <c r="C201" t="s">
        <v>16</v>
      </c>
      <c r="D201" t="s">
        <v>17</v>
      </c>
      <c r="E201">
        <v>4</v>
      </c>
      <c r="F201" t="s">
        <v>45</v>
      </c>
      <c r="G201">
        <f>Earnings!G201</f>
        <v>908728.74399999995</v>
      </c>
      <c r="H201">
        <f>Deductions!B201+Deductions!C201+Deductions!D201+Tax!D201</f>
        <v>10617.45</v>
      </c>
      <c r="I201">
        <f t="shared" si="6"/>
        <v>1022202.404</v>
      </c>
      <c r="J201">
        <f>Overtime!D201</f>
        <v>124091.10999999999</v>
      </c>
      <c r="K201">
        <f>IF(C201="Junior",0.06,IF(C201="Mid",0.08,IF(C201="Senior",0.1,IF(C201="Manager",0.12,0))))</f>
        <v>0.06</v>
      </c>
      <c r="L201">
        <f>IF(Performance!E201&gt;2,0.03,IF(Performance!E201&gt;=1,0.01,-0.02))</f>
        <v>0.01</v>
      </c>
      <c r="M201">
        <f t="shared" si="7"/>
        <v>6.9999999999999993E-2</v>
      </c>
      <c r="N201">
        <f>Earnings!B201*(1+M201)</f>
        <v>1021365.29</v>
      </c>
    </row>
    <row r="202" spans="1:14" x14ac:dyDescent="0.35">
      <c r="A202" t="s">
        <v>233</v>
      </c>
      <c r="B202" t="s">
        <v>20</v>
      </c>
      <c r="C202" t="s">
        <v>44</v>
      </c>
      <c r="D202" t="s">
        <v>22</v>
      </c>
      <c r="E202">
        <v>4</v>
      </c>
      <c r="F202" t="s">
        <v>71</v>
      </c>
      <c r="G202">
        <f>Earnings!G202</f>
        <v>768758.99239999999</v>
      </c>
      <c r="H202">
        <f>Deductions!B202+Deductions!C202+Deductions!D202+Tax!D202</f>
        <v>8166.9991666666656</v>
      </c>
      <c r="I202">
        <f t="shared" si="6"/>
        <v>760591.99323333334</v>
      </c>
      <c r="J202">
        <f>Overtime!D202</f>
        <v>0</v>
      </c>
      <c r="K202">
        <f>IF(C202="Junior",0.06,IF(C202="Mid",0.08,IF(C202="Senior",0.1,IF(C202="Manager",0.12,0))))</f>
        <v>0.12</v>
      </c>
      <c r="L202">
        <f>IF(Performance!E202&gt;2,0.03,IF(Performance!E202&gt;=1,0.01,-0.02))</f>
        <v>0.03</v>
      </c>
      <c r="M202">
        <f t="shared" si="7"/>
        <v>0.15</v>
      </c>
      <c r="N202">
        <f>Earnings!B202*(1+M202)</f>
        <v>928647.94249999989</v>
      </c>
    </row>
    <row r="203" spans="1:14" x14ac:dyDescent="0.35">
      <c r="A203" t="s">
        <v>234</v>
      </c>
      <c r="B203" t="s">
        <v>27</v>
      </c>
      <c r="C203" t="s">
        <v>44</v>
      </c>
      <c r="D203" t="s">
        <v>22</v>
      </c>
      <c r="E203">
        <v>3</v>
      </c>
      <c r="F203" t="s">
        <v>71</v>
      </c>
      <c r="G203">
        <f>Earnings!G203</f>
        <v>429864.9376</v>
      </c>
      <c r="H203">
        <f>Deductions!B203+Deductions!C203+Deductions!D203+Tax!D203</f>
        <v>2839.7449999999999</v>
      </c>
      <c r="I203">
        <f t="shared" si="6"/>
        <v>478952.15460000001</v>
      </c>
      <c r="J203">
        <f>Overtime!D203</f>
        <v>51926.962</v>
      </c>
      <c r="K203">
        <f>IF(C203="Junior",0.06,IF(C203="Mid",0.08,IF(C203="Senior",0.1,IF(C203="Manager",0.12,0))))</f>
        <v>0.12</v>
      </c>
      <c r="L203">
        <f>IF(Performance!E203&gt;2,0.03,IF(Performance!E203&gt;=1,0.01,-0.02))</f>
        <v>0.01</v>
      </c>
      <c r="M203">
        <f t="shared" si="7"/>
        <v>0.13</v>
      </c>
      <c r="N203">
        <f>Earnings!B203*(1+M203)</f>
        <v>510238.84399999992</v>
      </c>
    </row>
    <row r="204" spans="1:14" x14ac:dyDescent="0.35">
      <c r="A204" t="s">
        <v>235</v>
      </c>
      <c r="B204" t="s">
        <v>20</v>
      </c>
      <c r="C204" t="s">
        <v>21</v>
      </c>
      <c r="D204" t="s">
        <v>22</v>
      </c>
      <c r="E204">
        <v>7</v>
      </c>
      <c r="F204" t="s">
        <v>28</v>
      </c>
      <c r="G204">
        <f>Earnings!G204</f>
        <v>898931.99759999989</v>
      </c>
      <c r="H204">
        <f>Deductions!B204+Deductions!C204+Deductions!D204+Tax!D204</f>
        <v>10445.938333333334</v>
      </c>
      <c r="I204">
        <f t="shared" si="6"/>
        <v>888486.05926666653</v>
      </c>
      <c r="J204">
        <f>Overtime!D204</f>
        <v>0</v>
      </c>
      <c r="K204">
        <f>IF(C204="Junior",0.06,IF(C204="Mid",0.08,IF(C204="Senior",0.1,IF(C204="Manager",0.12,0))))</f>
        <v>0.1</v>
      </c>
      <c r="L204">
        <f>IF(Performance!E204&gt;2,0.03,IF(Performance!E204&gt;=1,0.01,-0.02))</f>
        <v>0.03</v>
      </c>
      <c r="M204">
        <f t="shared" si="7"/>
        <v>0.13</v>
      </c>
      <c r="N204">
        <f>Earnings!B204*(1+M204)</f>
        <v>1067009.6189999997</v>
      </c>
    </row>
    <row r="205" spans="1:14" x14ac:dyDescent="0.35">
      <c r="A205" t="s">
        <v>236</v>
      </c>
      <c r="B205" t="s">
        <v>27</v>
      </c>
      <c r="C205" t="s">
        <v>34</v>
      </c>
      <c r="D205" t="s">
        <v>22</v>
      </c>
      <c r="E205">
        <v>13</v>
      </c>
      <c r="F205" t="s">
        <v>32</v>
      </c>
      <c r="G205">
        <f>Earnings!G205</f>
        <v>794781.29359999998</v>
      </c>
      <c r="H205">
        <f>Deductions!B205+Deductions!C205+Deductions!D205+Tax!D205</f>
        <v>8622.5716666666667</v>
      </c>
      <c r="I205">
        <f t="shared" si="6"/>
        <v>886341.23793333326</v>
      </c>
      <c r="J205">
        <f>Overtime!D205</f>
        <v>100182.516</v>
      </c>
      <c r="K205">
        <f>IF(C205="Junior",0.06,IF(C205="Mid",0.08,IF(C205="Senior",0.1,IF(C205="Manager",0.12,0))))</f>
        <v>0.08</v>
      </c>
      <c r="L205">
        <f>IF(Performance!E205&gt;2,0.03,IF(Performance!E205&gt;=1,0.01,-0.02))</f>
        <v>0.01</v>
      </c>
      <c r="M205">
        <f t="shared" si="7"/>
        <v>0.09</v>
      </c>
      <c r="N205">
        <f>Earnings!B205*(1+M205)</f>
        <v>909991.18700000003</v>
      </c>
    </row>
    <row r="206" spans="1:14" x14ac:dyDescent="0.35">
      <c r="A206" t="s">
        <v>237</v>
      </c>
      <c r="B206" t="s">
        <v>20</v>
      </c>
      <c r="C206" t="s">
        <v>34</v>
      </c>
      <c r="D206" t="s">
        <v>22</v>
      </c>
      <c r="E206">
        <v>11</v>
      </c>
      <c r="F206" t="s">
        <v>45</v>
      </c>
      <c r="G206">
        <f>Earnings!G206</f>
        <v>746688.9192</v>
      </c>
      <c r="H206">
        <f>Deductions!B206+Deductions!C206+Deductions!D206+Tax!D206</f>
        <v>7780.6183333333329</v>
      </c>
      <c r="I206">
        <f t="shared" si="6"/>
        <v>738908.30086666672</v>
      </c>
      <c r="J206">
        <f>Overtime!D206</f>
        <v>0</v>
      </c>
      <c r="K206">
        <f>IF(C206="Junior",0.06,IF(C206="Mid",0.08,IF(C206="Senior",0.1,IF(C206="Manager",0.12,0))))</f>
        <v>0.08</v>
      </c>
      <c r="L206">
        <f>IF(Performance!E206&gt;2,0.03,IF(Performance!E206&gt;=1,0.01,-0.02))</f>
        <v>0.03</v>
      </c>
      <c r="M206">
        <f t="shared" si="7"/>
        <v>0.11</v>
      </c>
      <c r="N206">
        <f>Earnings!B206*(1+M206)</f>
        <v>870614.1810000001</v>
      </c>
    </row>
    <row r="207" spans="1:14" x14ac:dyDescent="0.35">
      <c r="A207" t="s">
        <v>238</v>
      </c>
      <c r="B207" t="s">
        <v>36</v>
      </c>
      <c r="C207" t="s">
        <v>34</v>
      </c>
      <c r="D207" t="s">
        <v>22</v>
      </c>
      <c r="E207">
        <v>0</v>
      </c>
      <c r="F207" t="s">
        <v>18</v>
      </c>
      <c r="G207">
        <f>Earnings!G207</f>
        <v>820747.522</v>
      </c>
      <c r="H207">
        <f>Deductions!B207+Deductions!C207+Deductions!D207+Tax!D207</f>
        <v>9077.1624999999985</v>
      </c>
      <c r="I207">
        <f t="shared" si="6"/>
        <v>811670.35950000002</v>
      </c>
      <c r="J207">
        <f>Overtime!D207</f>
        <v>0</v>
      </c>
      <c r="K207">
        <f>IF(C207="Junior",0.06,IF(C207="Mid",0.08,IF(C207="Senior",0.1,IF(C207="Manager",0.12,0))))</f>
        <v>0.08</v>
      </c>
      <c r="L207">
        <f>IF(Performance!E207&gt;2,0.03,IF(Performance!E207&gt;=1,0.01,-0.02))</f>
        <v>0.01</v>
      </c>
      <c r="M207">
        <f t="shared" si="7"/>
        <v>0.09</v>
      </c>
      <c r="N207">
        <f>Earnings!B207*(1+M207)</f>
        <v>939721.42750000011</v>
      </c>
    </row>
    <row r="208" spans="1:14" x14ac:dyDescent="0.35">
      <c r="A208" t="s">
        <v>239</v>
      </c>
      <c r="B208" t="s">
        <v>36</v>
      </c>
      <c r="C208" t="s">
        <v>21</v>
      </c>
      <c r="D208" t="s">
        <v>22</v>
      </c>
      <c r="E208">
        <v>14</v>
      </c>
      <c r="F208" t="s">
        <v>28</v>
      </c>
      <c r="G208">
        <f>Earnings!G208</f>
        <v>906920.56279999996</v>
      </c>
      <c r="H208">
        <f>Deductions!B208+Deductions!C208+Deductions!D208+Tax!D208</f>
        <v>10585.794166666665</v>
      </c>
      <c r="I208">
        <f t="shared" si="6"/>
        <v>896334.76863333327</v>
      </c>
      <c r="J208">
        <f>Overtime!D208</f>
        <v>0</v>
      </c>
      <c r="K208">
        <f>IF(C208="Junior",0.06,IF(C208="Mid",0.08,IF(C208="Senior",0.1,IF(C208="Manager",0.12,0))))</f>
        <v>0.1</v>
      </c>
      <c r="L208">
        <f>IF(Performance!E208&gt;2,0.03,IF(Performance!E208&gt;=1,0.01,-0.02))</f>
        <v>0.01</v>
      </c>
      <c r="M208">
        <f t="shared" si="7"/>
        <v>0.11</v>
      </c>
      <c r="N208">
        <f>Earnings!B208*(1+M208)</f>
        <v>1057438.8914999999</v>
      </c>
    </row>
    <row r="209" spans="1:14" x14ac:dyDescent="0.35">
      <c r="A209" t="s">
        <v>240</v>
      </c>
      <c r="B209" t="s">
        <v>27</v>
      </c>
      <c r="C209" t="s">
        <v>34</v>
      </c>
      <c r="D209" t="s">
        <v>22</v>
      </c>
      <c r="E209">
        <v>4</v>
      </c>
      <c r="F209" t="s">
        <v>25</v>
      </c>
      <c r="G209">
        <f>Earnings!G209</f>
        <v>611291.19519999996</v>
      </c>
      <c r="H209">
        <f>Deductions!B209+Deductions!C209+Deductions!D209+Tax!D209</f>
        <v>5410.2099999999991</v>
      </c>
      <c r="I209">
        <f t="shared" si="6"/>
        <v>682934.49719999998</v>
      </c>
      <c r="J209">
        <f>Overtime!D209</f>
        <v>77053.512000000002</v>
      </c>
      <c r="K209">
        <f>IF(C209="Junior",0.06,IF(C209="Mid",0.08,IF(C209="Senior",0.1,IF(C209="Manager",0.12,0))))</f>
        <v>0.08</v>
      </c>
      <c r="L209">
        <f>IF(Performance!E209&gt;2,0.03,IF(Performance!E209&gt;=1,0.01,-0.02))</f>
        <v>0.01</v>
      </c>
      <c r="M209">
        <f t="shared" si="7"/>
        <v>0.09</v>
      </c>
      <c r="N209">
        <f>Earnings!B209*(1+M209)</f>
        <v>699902.73400000005</v>
      </c>
    </row>
    <row r="210" spans="1:14" x14ac:dyDescent="0.35">
      <c r="A210" t="s">
        <v>241</v>
      </c>
      <c r="B210" t="s">
        <v>15</v>
      </c>
      <c r="C210" t="s">
        <v>21</v>
      </c>
      <c r="D210" t="s">
        <v>17</v>
      </c>
      <c r="E210">
        <v>8</v>
      </c>
      <c r="F210" t="s">
        <v>32</v>
      </c>
      <c r="G210">
        <f>Earnings!G210</f>
        <v>671890.18399999989</v>
      </c>
      <c r="H210">
        <f>Deductions!B210+Deductions!C210+Deductions!D210+Tax!D210</f>
        <v>6471.1166666666668</v>
      </c>
      <c r="I210">
        <f t="shared" si="6"/>
        <v>665419.06733333319</v>
      </c>
      <c r="J210">
        <f>Overtime!D210</f>
        <v>0</v>
      </c>
      <c r="K210">
        <f>IF(C210="Junior",0.06,IF(C210="Mid",0.08,IF(C210="Senior",0.1,IF(C210="Manager",0.12,0))))</f>
        <v>0.1</v>
      </c>
      <c r="L210">
        <f>IF(Performance!E210&gt;2,0.03,IF(Performance!E210&gt;=1,0.01,-0.02))</f>
        <v>0.01</v>
      </c>
      <c r="M210">
        <f t="shared" si="7"/>
        <v>0.11</v>
      </c>
      <c r="N210">
        <f>Earnings!B210*(1+M210)</f>
        <v>783401.37000000011</v>
      </c>
    </row>
    <row r="211" spans="1:14" x14ac:dyDescent="0.35">
      <c r="A211" t="s">
        <v>242</v>
      </c>
      <c r="B211" t="s">
        <v>15</v>
      </c>
      <c r="C211" t="s">
        <v>16</v>
      </c>
      <c r="D211" t="s">
        <v>22</v>
      </c>
      <c r="E211">
        <v>14</v>
      </c>
      <c r="F211" t="s">
        <v>25</v>
      </c>
      <c r="G211">
        <f>Earnings!G211</f>
        <v>787991.96279999986</v>
      </c>
      <c r="H211">
        <f>Deductions!B211+Deductions!C211+Deductions!D211+Tax!D211</f>
        <v>8503.7108333333308</v>
      </c>
      <c r="I211">
        <f t="shared" si="6"/>
        <v>779488.25196666655</v>
      </c>
      <c r="J211">
        <f>Overtime!D211</f>
        <v>0</v>
      </c>
      <c r="K211">
        <f>IF(C211="Junior",0.06,IF(C211="Mid",0.08,IF(C211="Senior",0.1,IF(C211="Manager",0.12,0))))</f>
        <v>0.06</v>
      </c>
      <c r="L211">
        <f>IF(Performance!E211&gt;2,0.03,IF(Performance!E211&gt;=1,0.01,-0.02))</f>
        <v>0.01</v>
      </c>
      <c r="M211">
        <f t="shared" si="7"/>
        <v>6.9999999999999993E-2</v>
      </c>
      <c r="N211">
        <f>Earnings!B211*(1+M211)</f>
        <v>885663.23549999995</v>
      </c>
    </row>
    <row r="212" spans="1:14" x14ac:dyDescent="0.35">
      <c r="A212" t="s">
        <v>243</v>
      </c>
      <c r="B212" t="s">
        <v>27</v>
      </c>
      <c r="C212" t="s">
        <v>16</v>
      </c>
      <c r="D212" t="s">
        <v>22</v>
      </c>
      <c r="E212">
        <v>7</v>
      </c>
      <c r="F212" t="s">
        <v>71</v>
      </c>
      <c r="G212">
        <f>Earnings!G212</f>
        <v>786761.07439999981</v>
      </c>
      <c r="H212">
        <f>Deductions!B212+Deductions!C212+Deductions!D212+Tax!D212</f>
        <v>8482.1616666666669</v>
      </c>
      <c r="I212">
        <f t="shared" si="6"/>
        <v>873318.32823333319</v>
      </c>
      <c r="J212">
        <f>Overtime!D212</f>
        <v>95039.415500000003</v>
      </c>
      <c r="K212">
        <f>IF(C212="Junior",0.06,IF(C212="Mid",0.08,IF(C212="Senior",0.1,IF(C212="Manager",0.12,0))))</f>
        <v>0.06</v>
      </c>
      <c r="L212">
        <f>IF(Performance!E212&gt;2,0.03,IF(Performance!E212&gt;=1,0.01,-0.02))</f>
        <v>0.01</v>
      </c>
      <c r="M212">
        <f t="shared" si="7"/>
        <v>6.9999999999999993E-2</v>
      </c>
      <c r="N212">
        <f>Earnings!B212*(1+M212)</f>
        <v>884279.77899999998</v>
      </c>
    </row>
    <row r="213" spans="1:14" x14ac:dyDescent="0.35">
      <c r="A213" t="s">
        <v>244</v>
      </c>
      <c r="B213" t="s">
        <v>27</v>
      </c>
      <c r="C213" t="s">
        <v>16</v>
      </c>
      <c r="D213" t="s">
        <v>17</v>
      </c>
      <c r="E213">
        <v>9</v>
      </c>
      <c r="F213" t="s">
        <v>45</v>
      </c>
      <c r="G213">
        <f>Earnings!G213</f>
        <v>592994.13600000006</v>
      </c>
      <c r="H213">
        <f>Deductions!B213+Deductions!C213+Deductions!D213+Tax!D213</f>
        <v>5089.8833333333332</v>
      </c>
      <c r="I213">
        <f t="shared" si="6"/>
        <v>662651.41266666679</v>
      </c>
      <c r="J213">
        <f>Overtime!D213</f>
        <v>74747.16</v>
      </c>
      <c r="K213">
        <f>IF(C213="Junior",0.06,IF(C213="Mid",0.08,IF(C213="Senior",0.1,IF(C213="Manager",0.12,0))))</f>
        <v>0.06</v>
      </c>
      <c r="L213">
        <f>IF(Performance!E213&gt;2,0.03,IF(Performance!E213&gt;=1,0.01,-0.02))</f>
        <v>0.01</v>
      </c>
      <c r="M213">
        <f t="shared" si="7"/>
        <v>6.9999999999999993E-2</v>
      </c>
      <c r="N213">
        <f>Earnings!B213*(1+M213)</f>
        <v>666495.51</v>
      </c>
    </row>
    <row r="214" spans="1:14" x14ac:dyDescent="0.35">
      <c r="A214" t="s">
        <v>245</v>
      </c>
      <c r="B214" t="s">
        <v>36</v>
      </c>
      <c r="C214" t="s">
        <v>44</v>
      </c>
      <c r="D214" t="s">
        <v>17</v>
      </c>
      <c r="E214">
        <v>5</v>
      </c>
      <c r="F214" t="s">
        <v>18</v>
      </c>
      <c r="G214">
        <f>Earnings!G214</f>
        <v>699133.56799999997</v>
      </c>
      <c r="H214">
        <f>Deductions!B214+Deductions!C214+Deductions!D214+Tax!D214</f>
        <v>6948.0666666666666</v>
      </c>
      <c r="I214">
        <f t="shared" si="6"/>
        <v>692185.50133333332</v>
      </c>
      <c r="J214">
        <f>Overtime!D214</f>
        <v>0</v>
      </c>
      <c r="K214">
        <f>IF(C214="Junior",0.06,IF(C214="Mid",0.08,IF(C214="Senior",0.1,IF(C214="Manager",0.12,0))))</f>
        <v>0.12</v>
      </c>
      <c r="L214">
        <f>IF(Performance!E214&gt;2,0.03,IF(Performance!E214&gt;=1,0.01,-0.02))</f>
        <v>0.01</v>
      </c>
      <c r="M214">
        <f t="shared" si="7"/>
        <v>0.13</v>
      </c>
      <c r="N214">
        <f>Earnings!B214*(1+M214)</f>
        <v>829853.91999999993</v>
      </c>
    </row>
    <row r="215" spans="1:14" x14ac:dyDescent="0.35">
      <c r="A215" t="s">
        <v>246</v>
      </c>
      <c r="B215" t="s">
        <v>27</v>
      </c>
      <c r="C215" t="s">
        <v>34</v>
      </c>
      <c r="D215" t="s">
        <v>17</v>
      </c>
      <c r="E215">
        <v>13</v>
      </c>
      <c r="F215" t="s">
        <v>71</v>
      </c>
      <c r="G215">
        <f>Earnings!G215</f>
        <v>803291.88800000004</v>
      </c>
      <c r="H215">
        <f>Deductions!B215+Deductions!C215+Deductions!D215+Tax!D215</f>
        <v>8771.5666666666657</v>
      </c>
      <c r="I215">
        <f t="shared" si="6"/>
        <v>794520.32133333338</v>
      </c>
      <c r="J215">
        <f>Overtime!D215</f>
        <v>0</v>
      </c>
      <c r="K215">
        <f>IF(C215="Junior",0.06,IF(C215="Mid",0.08,IF(C215="Senior",0.1,IF(C215="Manager",0.12,0))))</f>
        <v>0.08</v>
      </c>
      <c r="L215">
        <f>IF(Performance!E215&gt;2,0.03,IF(Performance!E215&gt;=1,0.01,-0.02))</f>
        <v>0.01</v>
      </c>
      <c r="M215">
        <f t="shared" si="7"/>
        <v>0.09</v>
      </c>
      <c r="N215">
        <f>Earnings!B215*(1+M215)</f>
        <v>919735.46000000008</v>
      </c>
    </row>
    <row r="216" spans="1:14" x14ac:dyDescent="0.35">
      <c r="A216" t="s">
        <v>247</v>
      </c>
      <c r="B216" t="s">
        <v>15</v>
      </c>
      <c r="C216" t="s">
        <v>16</v>
      </c>
      <c r="D216" t="s">
        <v>17</v>
      </c>
      <c r="E216">
        <v>11</v>
      </c>
      <c r="F216" t="s">
        <v>71</v>
      </c>
      <c r="G216">
        <f>Earnings!G216</f>
        <v>698834.64</v>
      </c>
      <c r="H216">
        <f>Deductions!B216+Deductions!C216+Deductions!D216+Tax!D216</f>
        <v>6942.833333333333</v>
      </c>
      <c r="I216">
        <f t="shared" si="6"/>
        <v>754287.7566666666</v>
      </c>
      <c r="J216">
        <f>Overtime!D216</f>
        <v>62395.95</v>
      </c>
      <c r="K216">
        <f>IF(C216="Junior",0.06,IF(C216="Mid",0.08,IF(C216="Senior",0.1,IF(C216="Manager",0.12,0))))</f>
        <v>0.06</v>
      </c>
      <c r="L216">
        <f>IF(Performance!E216&gt;2,0.03,IF(Performance!E216&gt;=1,0.01,-0.02))</f>
        <v>0.01</v>
      </c>
      <c r="M216">
        <f t="shared" si="7"/>
        <v>6.9999999999999993E-2</v>
      </c>
      <c r="N216">
        <f>Earnings!B216*(1+M216)</f>
        <v>785454.9</v>
      </c>
    </row>
    <row r="217" spans="1:14" x14ac:dyDescent="0.35">
      <c r="A217" t="s">
        <v>248</v>
      </c>
      <c r="B217" t="s">
        <v>27</v>
      </c>
      <c r="C217" t="s">
        <v>44</v>
      </c>
      <c r="D217" t="s">
        <v>22</v>
      </c>
      <c r="E217">
        <v>0</v>
      </c>
      <c r="F217" t="s">
        <v>28</v>
      </c>
      <c r="G217">
        <f>Earnings!G217</f>
        <v>619418.13359999983</v>
      </c>
      <c r="H217">
        <f>Deductions!B217+Deductions!C217+Deductions!D217+Tax!D217</f>
        <v>5552.4883333333328</v>
      </c>
      <c r="I217">
        <f t="shared" si="6"/>
        <v>613865.64526666654</v>
      </c>
      <c r="J217">
        <f>Overtime!D217</f>
        <v>0</v>
      </c>
      <c r="K217">
        <f>IF(C217="Junior",0.06,IF(C217="Mid",0.08,IF(C217="Senior",0.1,IF(C217="Manager",0.12,0))))</f>
        <v>0.12</v>
      </c>
      <c r="L217">
        <f>IF(Performance!E217&gt;2,0.03,IF(Performance!E217&gt;=1,0.01,-0.02))</f>
        <v>0.01</v>
      </c>
      <c r="M217">
        <f t="shared" si="7"/>
        <v>0.13</v>
      </c>
      <c r="N217">
        <f>Earnings!B217*(1+M217)</f>
        <v>735233.7089999998</v>
      </c>
    </row>
    <row r="218" spans="1:14" x14ac:dyDescent="0.35">
      <c r="A218" t="s">
        <v>249</v>
      </c>
      <c r="B218" t="s">
        <v>20</v>
      </c>
      <c r="C218" t="s">
        <v>21</v>
      </c>
      <c r="D218" t="s">
        <v>17</v>
      </c>
      <c r="E218">
        <v>4</v>
      </c>
      <c r="F218" t="s">
        <v>45</v>
      </c>
      <c r="G218">
        <f>Earnings!G218</f>
        <v>837000.304</v>
      </c>
      <c r="H218">
        <f>Deductions!B218+Deductions!C218+Deductions!D218+Tax!D218</f>
        <v>9361.7000000000007</v>
      </c>
      <c r="I218">
        <f t="shared" si="6"/>
        <v>827638.60400000005</v>
      </c>
      <c r="J218">
        <f>Overtime!D218</f>
        <v>0</v>
      </c>
      <c r="K218">
        <f>IF(C218="Junior",0.06,IF(C218="Mid",0.08,IF(C218="Senior",0.1,IF(C218="Manager",0.12,0))))</f>
        <v>0.1</v>
      </c>
      <c r="L218">
        <f>IF(Performance!E218&gt;2,0.03,IF(Performance!E218&gt;=1,0.01,-0.02))</f>
        <v>0.03</v>
      </c>
      <c r="M218">
        <f t="shared" si="7"/>
        <v>0.13</v>
      </c>
      <c r="N218">
        <f>Earnings!B218*(1+M218)</f>
        <v>993498.25999999989</v>
      </c>
    </row>
    <row r="219" spans="1:14" x14ac:dyDescent="0.35">
      <c r="A219" t="s">
        <v>250</v>
      </c>
      <c r="B219" t="s">
        <v>36</v>
      </c>
      <c r="C219" t="s">
        <v>34</v>
      </c>
      <c r="D219" t="s">
        <v>22</v>
      </c>
      <c r="E219">
        <v>1</v>
      </c>
      <c r="F219" t="s">
        <v>38</v>
      </c>
      <c r="G219">
        <f>Earnings!G219</f>
        <v>850245.43239999993</v>
      </c>
      <c r="H219">
        <f>Deductions!B219+Deductions!C219+Deductions!D219+Tax!D219</f>
        <v>9593.5825000000004</v>
      </c>
      <c r="I219">
        <f t="shared" si="6"/>
        <v>840651.84989999991</v>
      </c>
      <c r="J219">
        <f>Overtime!D219</f>
        <v>0</v>
      </c>
      <c r="K219">
        <f>IF(C219="Junior",0.06,IF(C219="Mid",0.08,IF(C219="Senior",0.1,IF(C219="Manager",0.12,0))))</f>
        <v>0.08</v>
      </c>
      <c r="L219">
        <f>IF(Performance!E219&gt;2,0.03,IF(Performance!E219&gt;=1,0.01,-0.02))</f>
        <v>0.01</v>
      </c>
      <c r="M219">
        <f t="shared" si="7"/>
        <v>0.09</v>
      </c>
      <c r="N219">
        <f>Earnings!B219*(1+M219)</f>
        <v>973495.29550000001</v>
      </c>
    </row>
    <row r="220" spans="1:14" x14ac:dyDescent="0.35">
      <c r="A220" t="s">
        <v>251</v>
      </c>
      <c r="B220" t="s">
        <v>27</v>
      </c>
      <c r="C220" t="s">
        <v>34</v>
      </c>
      <c r="D220" t="s">
        <v>22</v>
      </c>
      <c r="E220">
        <v>8</v>
      </c>
      <c r="F220" t="s">
        <v>28</v>
      </c>
      <c r="G220">
        <f>Earnings!G220</f>
        <v>546220.5196</v>
      </c>
      <c r="H220">
        <f>Deductions!B220+Deductions!C220+Deductions!D220+Tax!D220</f>
        <v>4271.0174999999981</v>
      </c>
      <c r="I220">
        <f t="shared" si="6"/>
        <v>541949.50210000004</v>
      </c>
      <c r="J220">
        <f>Overtime!D220</f>
        <v>0</v>
      </c>
      <c r="K220">
        <f>IF(C220="Junior",0.06,IF(C220="Mid",0.08,IF(C220="Senior",0.1,IF(C220="Manager",0.12,0))))</f>
        <v>0.08</v>
      </c>
      <c r="L220">
        <f>IF(Performance!E220&gt;2,0.03,IF(Performance!E220&gt;=1,0.01,-0.02))</f>
        <v>0.01</v>
      </c>
      <c r="M220">
        <f t="shared" si="7"/>
        <v>0.09</v>
      </c>
      <c r="N220">
        <f>Earnings!B220*(1+M220)</f>
        <v>625399.54449999996</v>
      </c>
    </row>
    <row r="221" spans="1:14" x14ac:dyDescent="0.35">
      <c r="A221" t="s">
        <v>252</v>
      </c>
      <c r="B221" t="s">
        <v>27</v>
      </c>
      <c r="C221" t="s">
        <v>44</v>
      </c>
      <c r="D221" t="s">
        <v>17</v>
      </c>
      <c r="E221">
        <v>3</v>
      </c>
      <c r="F221" t="s">
        <v>18</v>
      </c>
      <c r="G221">
        <f>Earnings!G221</f>
        <v>429350.09600000002</v>
      </c>
      <c r="H221">
        <f>Deductions!B221+Deductions!C221+Deductions!D221+Tax!D221</f>
        <v>2837.4916666666668</v>
      </c>
      <c r="I221">
        <f t="shared" si="6"/>
        <v>426512.60433333338</v>
      </c>
      <c r="J221">
        <f>Overtime!D221</f>
        <v>0</v>
      </c>
      <c r="K221">
        <f>IF(C221="Junior",0.06,IF(C221="Mid",0.08,IF(C221="Senior",0.1,IF(C221="Manager",0.12,0))))</f>
        <v>0.12</v>
      </c>
      <c r="L221">
        <f>IF(Performance!E221&gt;2,0.03,IF(Performance!E221&gt;=1,0.01,-0.02))</f>
        <v>0.01</v>
      </c>
      <c r="M221">
        <f t="shared" si="7"/>
        <v>0.13</v>
      </c>
      <c r="N221">
        <f>Earnings!B221*(1+M221)</f>
        <v>509627.73999999993</v>
      </c>
    </row>
    <row r="222" spans="1:14" x14ac:dyDescent="0.35">
      <c r="A222" t="s">
        <v>253</v>
      </c>
      <c r="B222" t="s">
        <v>36</v>
      </c>
      <c r="C222" t="s">
        <v>44</v>
      </c>
      <c r="D222" t="s">
        <v>17</v>
      </c>
      <c r="E222">
        <v>15</v>
      </c>
      <c r="F222" t="s">
        <v>18</v>
      </c>
      <c r="G222">
        <f>Earnings!G222</f>
        <v>1377270.7760000001</v>
      </c>
      <c r="H222">
        <f>Deductions!B222+Deductions!C222+Deductions!D222+Tax!D222</f>
        <v>22542.825000000001</v>
      </c>
      <c r="I222">
        <f t="shared" si="6"/>
        <v>1354727.9510000001</v>
      </c>
      <c r="J222">
        <f>Overtime!D222</f>
        <v>0</v>
      </c>
      <c r="K222">
        <f>IF(C222="Junior",0.06,IF(C222="Mid",0.08,IF(C222="Senior",0.1,IF(C222="Manager",0.12,0))))</f>
        <v>0.12</v>
      </c>
      <c r="L222">
        <f>IF(Performance!E222&gt;2,0.03,IF(Performance!E222&gt;=1,0.01,-0.02))</f>
        <v>0.01</v>
      </c>
      <c r="M222">
        <f t="shared" si="7"/>
        <v>0.13</v>
      </c>
      <c r="N222">
        <f>Earnings!B222*(1+M222)</f>
        <v>1634785.69</v>
      </c>
    </row>
    <row r="223" spans="1:14" x14ac:dyDescent="0.35">
      <c r="A223" t="s">
        <v>254</v>
      </c>
      <c r="B223" t="s">
        <v>27</v>
      </c>
      <c r="C223" t="s">
        <v>34</v>
      </c>
      <c r="D223" t="s">
        <v>22</v>
      </c>
      <c r="E223">
        <v>10</v>
      </c>
      <c r="F223" t="s">
        <v>71</v>
      </c>
      <c r="G223">
        <f>Earnings!G223</f>
        <v>871012.26520000002</v>
      </c>
      <c r="H223">
        <f>Deductions!B223+Deductions!C223+Deductions!D223+Tax!D223</f>
        <v>9957.1474999999991</v>
      </c>
      <c r="I223">
        <f t="shared" si="6"/>
        <v>861055.11770000006</v>
      </c>
      <c r="J223">
        <f>Overtime!D223</f>
        <v>0</v>
      </c>
      <c r="K223">
        <f>IF(C223="Junior",0.06,IF(C223="Mid",0.08,IF(C223="Senior",0.1,IF(C223="Manager",0.12,0))))</f>
        <v>0.08</v>
      </c>
      <c r="L223">
        <f>IF(Performance!E223&gt;2,0.03,IF(Performance!E223&gt;=1,0.01,-0.02))</f>
        <v>0.01</v>
      </c>
      <c r="M223">
        <f t="shared" si="7"/>
        <v>0.09</v>
      </c>
      <c r="N223">
        <f>Earnings!B223*(1+M223)</f>
        <v>997272.44650000008</v>
      </c>
    </row>
    <row r="224" spans="1:14" x14ac:dyDescent="0.35">
      <c r="A224" t="s">
        <v>255</v>
      </c>
      <c r="B224" t="s">
        <v>15</v>
      </c>
      <c r="C224" t="s">
        <v>16</v>
      </c>
      <c r="D224" t="s">
        <v>17</v>
      </c>
      <c r="E224">
        <v>12</v>
      </c>
      <c r="F224" t="s">
        <v>32</v>
      </c>
      <c r="G224">
        <f>Earnings!G224</f>
        <v>849691.41599999997</v>
      </c>
      <c r="H224">
        <f>Deductions!B224+Deductions!C224+Deductions!D224+Tax!D224</f>
        <v>9583.883333333335</v>
      </c>
      <c r="I224">
        <f t="shared" si="6"/>
        <v>920435.50266666664</v>
      </c>
      <c r="J224">
        <f>Overtime!D224</f>
        <v>80327.97</v>
      </c>
      <c r="K224">
        <f>IF(C224="Junior",0.06,IF(C224="Mid",0.08,IF(C224="Senior",0.1,IF(C224="Manager",0.12,0))))</f>
        <v>0.06</v>
      </c>
      <c r="L224">
        <f>IF(Performance!E224&gt;2,0.03,IF(Performance!E224&gt;=1,0.01,-0.02))</f>
        <v>0.01</v>
      </c>
      <c r="M224">
        <f t="shared" si="7"/>
        <v>6.9999999999999993E-2</v>
      </c>
      <c r="N224">
        <f>Earnings!B224*(1+M224)</f>
        <v>955010.31</v>
      </c>
    </row>
    <row r="225" spans="1:14" x14ac:dyDescent="0.35">
      <c r="A225" t="s">
        <v>256</v>
      </c>
      <c r="B225" t="s">
        <v>20</v>
      </c>
      <c r="C225" t="s">
        <v>21</v>
      </c>
      <c r="D225" t="s">
        <v>17</v>
      </c>
      <c r="E225">
        <v>0</v>
      </c>
      <c r="F225" t="s">
        <v>71</v>
      </c>
      <c r="G225">
        <f>Earnings!G225</f>
        <v>687162.16799999995</v>
      </c>
      <c r="H225">
        <f>Deductions!B225+Deductions!C225+Deductions!D225+Tax!D225</f>
        <v>6738.4833333333336</v>
      </c>
      <c r="I225">
        <f t="shared" si="6"/>
        <v>709296.04466666665</v>
      </c>
      <c r="J225">
        <f>Overtime!D225</f>
        <v>28872.359999999997</v>
      </c>
      <c r="K225">
        <f>IF(C225="Junior",0.06,IF(C225="Mid",0.08,IF(C225="Senior",0.1,IF(C225="Manager",0.12,0))))</f>
        <v>0.1</v>
      </c>
      <c r="L225">
        <f>IF(Performance!E225&gt;2,0.03,IF(Performance!E225&gt;=1,0.01,-0.02))</f>
        <v>0.03</v>
      </c>
      <c r="M225">
        <f t="shared" si="7"/>
        <v>0.13</v>
      </c>
      <c r="N225">
        <f>Earnings!B225*(1+M225)</f>
        <v>815644.16999999993</v>
      </c>
    </row>
    <row r="226" spans="1:14" x14ac:dyDescent="0.35">
      <c r="A226" t="s">
        <v>257</v>
      </c>
      <c r="B226" t="s">
        <v>30</v>
      </c>
      <c r="C226" t="s">
        <v>21</v>
      </c>
      <c r="D226" t="s">
        <v>17</v>
      </c>
      <c r="E226">
        <v>12</v>
      </c>
      <c r="F226" t="s">
        <v>71</v>
      </c>
      <c r="G226">
        <f>Earnings!G226</f>
        <v>1053241.392</v>
      </c>
      <c r="H226">
        <f>Deductions!B226+Deductions!C226+Deductions!D226+Tax!D226</f>
        <v>14033.65</v>
      </c>
      <c r="I226">
        <f t="shared" si="6"/>
        <v>1039207.742</v>
      </c>
      <c r="J226">
        <f>Overtime!D226</f>
        <v>0</v>
      </c>
      <c r="K226">
        <f>IF(C226="Junior",0.06,IF(C226="Mid",0.08,IF(C226="Senior",0.1,IF(C226="Manager",0.12,0))))</f>
        <v>0.1</v>
      </c>
      <c r="L226">
        <f>IF(Performance!E226&gt;2,0.03,IF(Performance!E226&gt;=1,0.01,-0.02))</f>
        <v>0.01</v>
      </c>
      <c r="M226">
        <f t="shared" si="7"/>
        <v>0.11</v>
      </c>
      <c r="N226">
        <f>Earnings!B226*(1+M226)</f>
        <v>1228044.06</v>
      </c>
    </row>
    <row r="227" spans="1:14" x14ac:dyDescent="0.35">
      <c r="A227" t="s">
        <v>258</v>
      </c>
      <c r="B227" t="s">
        <v>15</v>
      </c>
      <c r="C227" t="s">
        <v>16</v>
      </c>
      <c r="D227" t="s">
        <v>17</v>
      </c>
      <c r="E227">
        <v>12</v>
      </c>
      <c r="F227" t="s">
        <v>38</v>
      </c>
      <c r="G227">
        <f>Earnings!G227</f>
        <v>784526.06400000001</v>
      </c>
      <c r="H227">
        <f>Deductions!B227+Deductions!C227+Deductions!D227+Tax!D227</f>
        <v>8443.0333333333328</v>
      </c>
      <c r="I227">
        <f t="shared" si="6"/>
        <v>891454.51066666667</v>
      </c>
      <c r="J227">
        <f>Overtime!D227</f>
        <v>115371.48</v>
      </c>
      <c r="K227">
        <f>IF(C227="Junior",0.06,IF(C227="Mid",0.08,IF(C227="Senior",0.1,IF(C227="Manager",0.12,0))))</f>
        <v>0.06</v>
      </c>
      <c r="L227">
        <f>IF(Performance!E227&gt;2,0.03,IF(Performance!E227&gt;=1,0.01,-0.02))</f>
        <v>0.01</v>
      </c>
      <c r="M227">
        <f t="shared" si="7"/>
        <v>6.9999999999999993E-2</v>
      </c>
      <c r="N227">
        <f>Earnings!B227*(1+M227)</f>
        <v>881767.74000000011</v>
      </c>
    </row>
    <row r="228" spans="1:14" x14ac:dyDescent="0.35">
      <c r="A228" t="s">
        <v>259</v>
      </c>
      <c r="B228" t="s">
        <v>15</v>
      </c>
      <c r="C228" t="s">
        <v>21</v>
      </c>
      <c r="D228" t="s">
        <v>22</v>
      </c>
      <c r="E228">
        <v>7</v>
      </c>
      <c r="F228" t="s">
        <v>45</v>
      </c>
      <c r="G228">
        <f>Earnings!G228</f>
        <v>604001.73120000004</v>
      </c>
      <c r="H228">
        <f>Deductions!B228+Deductions!C228+Deductions!D228+Tax!D228</f>
        <v>5282.5933333333323</v>
      </c>
      <c r="I228">
        <f t="shared" si="6"/>
        <v>636786.47386666667</v>
      </c>
      <c r="J228">
        <f>Overtime!D228</f>
        <v>38067.335999999996</v>
      </c>
      <c r="K228">
        <f>IF(C228="Junior",0.06,IF(C228="Mid",0.08,IF(C228="Senior",0.1,IF(C228="Manager",0.12,0))))</f>
        <v>0.1</v>
      </c>
      <c r="L228">
        <f>IF(Performance!E228&gt;2,0.03,IF(Performance!E228&gt;=1,0.01,-0.02))</f>
        <v>0.01</v>
      </c>
      <c r="M228">
        <f t="shared" si="7"/>
        <v>0.11</v>
      </c>
      <c r="N228">
        <f>Earnings!B228*(1+M228)</f>
        <v>704245.71600000001</v>
      </c>
    </row>
    <row r="229" spans="1:14" x14ac:dyDescent="0.35">
      <c r="A229" t="s">
        <v>260</v>
      </c>
      <c r="B229" t="s">
        <v>36</v>
      </c>
      <c r="C229" t="s">
        <v>16</v>
      </c>
      <c r="D229" t="s">
        <v>22</v>
      </c>
      <c r="E229">
        <v>3</v>
      </c>
      <c r="F229" t="s">
        <v>71</v>
      </c>
      <c r="G229">
        <f>Earnings!G229</f>
        <v>764706.37600000005</v>
      </c>
      <c r="H229">
        <f>Deductions!B229+Deductions!C229+Deductions!D229+Tax!D229</f>
        <v>8096.05</v>
      </c>
      <c r="I229">
        <f t="shared" si="6"/>
        <v>824887.68099999998</v>
      </c>
      <c r="J229">
        <f>Overtime!D229</f>
        <v>68277.354999999996</v>
      </c>
      <c r="K229">
        <f>IF(C229="Junior",0.06,IF(C229="Mid",0.08,IF(C229="Senior",0.1,IF(C229="Manager",0.12,0))))</f>
        <v>0.06</v>
      </c>
      <c r="L229">
        <f>IF(Performance!E229&gt;2,0.03,IF(Performance!E229&gt;=1,0.01,-0.02))</f>
        <v>0.01</v>
      </c>
      <c r="M229">
        <f t="shared" si="7"/>
        <v>6.9999999999999993E-2</v>
      </c>
      <c r="N229">
        <f>Earnings!B229*(1+M229)</f>
        <v>859491.41</v>
      </c>
    </row>
    <row r="230" spans="1:14" x14ac:dyDescent="0.35">
      <c r="A230" t="s">
        <v>261</v>
      </c>
      <c r="B230" t="s">
        <v>15</v>
      </c>
      <c r="C230" t="s">
        <v>34</v>
      </c>
      <c r="D230" t="s">
        <v>17</v>
      </c>
      <c r="E230">
        <v>4</v>
      </c>
      <c r="F230" t="s">
        <v>45</v>
      </c>
      <c r="G230">
        <f>Earnings!G230</f>
        <v>556465.89600000007</v>
      </c>
      <c r="H230">
        <f>Deductions!B230+Deductions!C230+Deductions!D230+Tax!D230</f>
        <v>4450.3833333333332</v>
      </c>
      <c r="I230">
        <f t="shared" si="6"/>
        <v>592932.12266666675</v>
      </c>
      <c r="J230">
        <f>Overtime!D230</f>
        <v>40916.61</v>
      </c>
      <c r="K230">
        <f>IF(C230="Junior",0.06,IF(C230="Mid",0.08,IF(C230="Senior",0.1,IF(C230="Manager",0.12,0))))</f>
        <v>0.08</v>
      </c>
      <c r="L230">
        <f>IF(Performance!E230&gt;2,0.03,IF(Performance!E230&gt;=1,0.01,-0.02))</f>
        <v>0.01</v>
      </c>
      <c r="M230">
        <f t="shared" si="7"/>
        <v>0.09</v>
      </c>
      <c r="N230">
        <f>Earnings!B230*(1+M230)</f>
        <v>637130.07000000007</v>
      </c>
    </row>
    <row r="231" spans="1:14" x14ac:dyDescent="0.35">
      <c r="A231" t="s">
        <v>262</v>
      </c>
      <c r="B231" t="s">
        <v>36</v>
      </c>
      <c r="C231" t="s">
        <v>16</v>
      </c>
      <c r="D231" t="s">
        <v>17</v>
      </c>
      <c r="E231">
        <v>4</v>
      </c>
      <c r="F231" t="s">
        <v>18</v>
      </c>
      <c r="G231">
        <f>Earnings!G231</f>
        <v>1013613.44</v>
      </c>
      <c r="H231">
        <f>Deductions!B231+Deductions!C231+Deductions!D231+Tax!D231</f>
        <v>12993</v>
      </c>
      <c r="I231">
        <f t="shared" si="6"/>
        <v>1000620.44</v>
      </c>
      <c r="J231">
        <f>Overtime!D231</f>
        <v>0</v>
      </c>
      <c r="K231">
        <f>IF(C231="Junior",0.06,IF(C231="Mid",0.08,IF(C231="Senior",0.1,IF(C231="Manager",0.12,0))))</f>
        <v>0.06</v>
      </c>
      <c r="L231">
        <f>IF(Performance!E231&gt;2,0.03,IF(Performance!E231&gt;=1,0.01,-0.02))</f>
        <v>0.01</v>
      </c>
      <c r="M231">
        <f t="shared" si="7"/>
        <v>6.9999999999999993E-2</v>
      </c>
      <c r="N231">
        <f>Earnings!B231*(1+M231)</f>
        <v>1139250.4000000001</v>
      </c>
    </row>
    <row r="232" spans="1:14" x14ac:dyDescent="0.35">
      <c r="A232" t="s">
        <v>263</v>
      </c>
      <c r="B232" t="s">
        <v>15</v>
      </c>
      <c r="C232" t="s">
        <v>21</v>
      </c>
      <c r="D232" t="s">
        <v>17</v>
      </c>
      <c r="E232">
        <v>13</v>
      </c>
      <c r="F232" t="s">
        <v>45</v>
      </c>
      <c r="G232">
        <f>Earnings!G232</f>
        <v>658891.57600000012</v>
      </c>
      <c r="H232">
        <f>Deductions!B232+Deductions!C232+Deductions!D232+Tax!D232</f>
        <v>6243.55</v>
      </c>
      <c r="I232">
        <f t="shared" si="6"/>
        <v>742622.71600000001</v>
      </c>
      <c r="J232">
        <f>Overtime!D232</f>
        <v>89974.69</v>
      </c>
      <c r="K232">
        <f>IF(C232="Junior",0.06,IF(C232="Mid",0.08,IF(C232="Senior",0.1,IF(C232="Manager",0.12,0))))</f>
        <v>0.1</v>
      </c>
      <c r="L232">
        <f>IF(Performance!E232&gt;2,0.03,IF(Performance!E232&gt;=1,0.01,-0.02))</f>
        <v>0.01</v>
      </c>
      <c r="M232">
        <f t="shared" si="7"/>
        <v>0.11</v>
      </c>
      <c r="N232">
        <f>Earnings!B232*(1+M232)</f>
        <v>768245.43</v>
      </c>
    </row>
    <row r="233" spans="1:14" x14ac:dyDescent="0.35">
      <c r="A233" t="s">
        <v>264</v>
      </c>
      <c r="B233" t="s">
        <v>27</v>
      </c>
      <c r="C233" t="s">
        <v>21</v>
      </c>
      <c r="D233" t="s">
        <v>17</v>
      </c>
      <c r="E233">
        <v>10</v>
      </c>
      <c r="F233" t="s">
        <v>71</v>
      </c>
      <c r="G233">
        <f>Earnings!G233</f>
        <v>741276.70400000003</v>
      </c>
      <c r="H233">
        <f>Deductions!B233+Deductions!C233+Deductions!D233+Tax!D233</f>
        <v>7685.8666666666659</v>
      </c>
      <c r="I233">
        <f t="shared" si="6"/>
        <v>753057.13733333338</v>
      </c>
      <c r="J233">
        <f>Overtime!D233</f>
        <v>19466.3</v>
      </c>
      <c r="K233">
        <f>IF(C233="Junior",0.06,IF(C233="Mid",0.08,IF(C233="Senior",0.1,IF(C233="Manager",0.12,0))))</f>
        <v>0.1</v>
      </c>
      <c r="L233">
        <f>IF(Performance!E233&gt;2,0.03,IF(Performance!E233&gt;=1,0.01,-0.02))</f>
        <v>0.01</v>
      </c>
      <c r="M233">
        <f t="shared" si="7"/>
        <v>0.11</v>
      </c>
      <c r="N233">
        <f>Earnings!B233*(1+M233)</f>
        <v>864303.72000000009</v>
      </c>
    </row>
    <row r="234" spans="1:14" x14ac:dyDescent="0.35">
      <c r="A234" t="s">
        <v>265</v>
      </c>
      <c r="B234" t="s">
        <v>36</v>
      </c>
      <c r="C234" t="s">
        <v>21</v>
      </c>
      <c r="D234" t="s">
        <v>17</v>
      </c>
      <c r="E234">
        <v>10</v>
      </c>
      <c r="F234" t="s">
        <v>18</v>
      </c>
      <c r="G234">
        <f>Earnings!G234</f>
        <v>1143915.584</v>
      </c>
      <c r="H234">
        <f>Deductions!B234+Deductions!C234+Deductions!D234+Tax!D234</f>
        <v>16414.800000000003</v>
      </c>
      <c r="I234">
        <f t="shared" si="6"/>
        <v>1265683.8640000001</v>
      </c>
      <c r="J234">
        <f>Overtime!D234</f>
        <v>138183.07999999999</v>
      </c>
      <c r="K234">
        <f>IF(C234="Junior",0.06,IF(C234="Mid",0.08,IF(C234="Senior",0.1,IF(C234="Manager",0.12,0))))</f>
        <v>0.1</v>
      </c>
      <c r="L234">
        <f>IF(Performance!E234&gt;2,0.03,IF(Performance!E234&gt;=1,0.01,-0.02))</f>
        <v>0.01</v>
      </c>
      <c r="M234">
        <f t="shared" si="7"/>
        <v>0.11</v>
      </c>
      <c r="N234">
        <f>Earnings!B234*(1+M234)</f>
        <v>1333767.1200000001</v>
      </c>
    </row>
    <row r="235" spans="1:14" x14ac:dyDescent="0.35">
      <c r="A235" t="s">
        <v>266</v>
      </c>
      <c r="B235" t="s">
        <v>20</v>
      </c>
      <c r="C235" t="s">
        <v>16</v>
      </c>
      <c r="D235" t="s">
        <v>22</v>
      </c>
      <c r="E235">
        <v>5</v>
      </c>
      <c r="F235" t="s">
        <v>45</v>
      </c>
      <c r="G235">
        <f>Earnings!G235</f>
        <v>783423.83840000001</v>
      </c>
      <c r="H235">
        <f>Deductions!B235+Deductions!C235+Deductions!D235+Tax!D235</f>
        <v>8423.7366666666676</v>
      </c>
      <c r="I235">
        <f t="shared" si="6"/>
        <v>775000.10173333331</v>
      </c>
      <c r="J235">
        <f>Overtime!D235</f>
        <v>0</v>
      </c>
      <c r="K235">
        <f>IF(C235="Junior",0.06,IF(C235="Mid",0.08,IF(C235="Senior",0.1,IF(C235="Manager",0.12,0))))</f>
        <v>0.06</v>
      </c>
      <c r="L235">
        <f>IF(Performance!E235&gt;2,0.03,IF(Performance!E235&gt;=1,0.01,-0.02))</f>
        <v>0.03</v>
      </c>
      <c r="M235">
        <f t="shared" si="7"/>
        <v>0.09</v>
      </c>
      <c r="N235">
        <f>Earnings!B235*(1+M235)</f>
        <v>896987.37800000003</v>
      </c>
    </row>
    <row r="236" spans="1:14" x14ac:dyDescent="0.35">
      <c r="A236" t="s">
        <v>267</v>
      </c>
      <c r="B236" t="s">
        <v>30</v>
      </c>
      <c r="C236" t="s">
        <v>21</v>
      </c>
      <c r="D236" t="s">
        <v>17</v>
      </c>
      <c r="E236">
        <v>0</v>
      </c>
      <c r="F236" t="s">
        <v>45</v>
      </c>
      <c r="G236">
        <f>Earnings!G236</f>
        <v>903512.73600000003</v>
      </c>
      <c r="H236">
        <f>Deductions!B236+Deductions!C236+Deductions!D236+Tax!D236</f>
        <v>10526.133333333333</v>
      </c>
      <c r="I236">
        <f t="shared" si="6"/>
        <v>926203.98266666674</v>
      </c>
      <c r="J236">
        <f>Overtime!D236</f>
        <v>33217.380000000005</v>
      </c>
      <c r="K236">
        <f>IF(C236="Junior",0.06,IF(C236="Mid",0.08,IF(C236="Senior",0.1,IF(C236="Manager",0.12,0))))</f>
        <v>0.1</v>
      </c>
      <c r="L236">
        <f>IF(Performance!E236&gt;2,0.03,IF(Performance!E236&gt;=1,0.01,-0.02))</f>
        <v>0.01</v>
      </c>
      <c r="M236">
        <f t="shared" si="7"/>
        <v>0.11</v>
      </c>
      <c r="N236">
        <f>Earnings!B236*(1+M236)</f>
        <v>1053465.48</v>
      </c>
    </row>
    <row r="237" spans="1:14" x14ac:dyDescent="0.35">
      <c r="A237" t="s">
        <v>268</v>
      </c>
      <c r="B237" t="s">
        <v>27</v>
      </c>
      <c r="C237" t="s">
        <v>21</v>
      </c>
      <c r="D237" t="s">
        <v>17</v>
      </c>
      <c r="E237">
        <v>5</v>
      </c>
      <c r="F237" t="s">
        <v>28</v>
      </c>
      <c r="G237">
        <f>Earnings!G237</f>
        <v>743705.25600000005</v>
      </c>
      <c r="H237">
        <f>Deductions!B237+Deductions!C237+Deductions!D237+Tax!D237</f>
        <v>7728.3833333333341</v>
      </c>
      <c r="I237">
        <f t="shared" si="6"/>
        <v>786755.06766666682</v>
      </c>
      <c r="J237">
        <f>Overtime!D237</f>
        <v>50778.195000000007</v>
      </c>
      <c r="K237">
        <f>IF(C237="Junior",0.06,IF(C237="Mid",0.08,IF(C237="Senior",0.1,IF(C237="Manager",0.12,0))))</f>
        <v>0.1</v>
      </c>
      <c r="L237">
        <f>IF(Performance!E237&gt;2,0.03,IF(Performance!E237&gt;=1,0.01,-0.02))</f>
        <v>0.01</v>
      </c>
      <c r="M237">
        <f t="shared" si="7"/>
        <v>0.11</v>
      </c>
      <c r="N237">
        <f>Earnings!B237*(1+M237)</f>
        <v>867135.33000000007</v>
      </c>
    </row>
    <row r="238" spans="1:14" x14ac:dyDescent="0.35">
      <c r="A238" t="s">
        <v>269</v>
      </c>
      <c r="B238" t="s">
        <v>15</v>
      </c>
      <c r="C238" t="s">
        <v>34</v>
      </c>
      <c r="D238" t="s">
        <v>17</v>
      </c>
      <c r="E238">
        <v>2</v>
      </c>
      <c r="F238" t="s">
        <v>32</v>
      </c>
      <c r="G238">
        <f>Earnings!G238</f>
        <v>563466.90399999998</v>
      </c>
      <c r="H238">
        <f>Deductions!B238+Deductions!C238+Deductions!D238+Tax!D238</f>
        <v>4572.9500000000007</v>
      </c>
      <c r="I238">
        <f t="shared" si="6"/>
        <v>558893.95400000003</v>
      </c>
      <c r="J238">
        <f>Overtime!D238</f>
        <v>0</v>
      </c>
      <c r="K238">
        <f>IF(C238="Junior",0.06,IF(C238="Mid",0.08,IF(C238="Senior",0.1,IF(C238="Manager",0.12,0))))</f>
        <v>0.08</v>
      </c>
      <c r="L238">
        <f>IF(Performance!E238&gt;2,0.03,IF(Performance!E238&gt;=1,0.01,-0.02))</f>
        <v>0.01</v>
      </c>
      <c r="M238">
        <f t="shared" si="7"/>
        <v>0.09</v>
      </c>
      <c r="N238">
        <f>Earnings!B238*(1+M238)</f>
        <v>645145.93000000005</v>
      </c>
    </row>
    <row r="239" spans="1:14" x14ac:dyDescent="0.35">
      <c r="A239" t="s">
        <v>270</v>
      </c>
      <c r="B239" t="s">
        <v>36</v>
      </c>
      <c r="C239" t="s">
        <v>21</v>
      </c>
      <c r="D239" t="s">
        <v>22</v>
      </c>
      <c r="E239">
        <v>7</v>
      </c>
      <c r="F239" t="s">
        <v>25</v>
      </c>
      <c r="G239">
        <f>Earnings!G239</f>
        <v>1083899.8855999999</v>
      </c>
      <c r="H239">
        <f>Deductions!B239+Deductions!C239+Deductions!D239+Tax!D239</f>
        <v>14838.757500000002</v>
      </c>
      <c r="I239">
        <f t="shared" si="6"/>
        <v>1069061.1280999999</v>
      </c>
      <c r="J239">
        <f>Overtime!D239</f>
        <v>0</v>
      </c>
      <c r="K239">
        <f>IF(C239="Junior",0.06,IF(C239="Mid",0.08,IF(C239="Senior",0.1,IF(C239="Manager",0.12,0))))</f>
        <v>0.1</v>
      </c>
      <c r="L239">
        <f>IF(Performance!E239&gt;2,0.03,IF(Performance!E239&gt;=1,0.01,-0.02))</f>
        <v>0.01</v>
      </c>
      <c r="M239">
        <f t="shared" si="7"/>
        <v>0.11</v>
      </c>
      <c r="N239">
        <f>Earnings!B239*(1+M239)</f>
        <v>1263790.8330000001</v>
      </c>
    </row>
    <row r="240" spans="1:14" x14ac:dyDescent="0.35">
      <c r="A240" t="s">
        <v>271</v>
      </c>
      <c r="B240" t="s">
        <v>15</v>
      </c>
      <c r="C240" t="s">
        <v>44</v>
      </c>
      <c r="D240" t="s">
        <v>22</v>
      </c>
      <c r="E240">
        <v>4</v>
      </c>
      <c r="F240" t="s">
        <v>25</v>
      </c>
      <c r="G240">
        <f>Earnings!G240</f>
        <v>563267.55519999994</v>
      </c>
      <c r="H240">
        <f>Deductions!B240+Deductions!C240+Deductions!D240+Tax!D240</f>
        <v>4569.4599999999991</v>
      </c>
      <c r="I240">
        <f t="shared" si="6"/>
        <v>558698.09519999998</v>
      </c>
      <c r="J240">
        <f>Overtime!D240</f>
        <v>0</v>
      </c>
      <c r="K240">
        <f>IF(C240="Junior",0.06,IF(C240="Mid",0.08,IF(C240="Senior",0.1,IF(C240="Manager",0.12,0))))</f>
        <v>0.12</v>
      </c>
      <c r="L240">
        <f>IF(Performance!E240&gt;2,0.03,IF(Performance!E240&gt;=1,0.01,-0.02))</f>
        <v>0.01</v>
      </c>
      <c r="M240">
        <f t="shared" si="7"/>
        <v>0.13</v>
      </c>
      <c r="N240">
        <f>Earnings!B240*(1+M240)</f>
        <v>668584.38799999992</v>
      </c>
    </row>
    <row r="241" spans="1:14" x14ac:dyDescent="0.35">
      <c r="A241" t="s">
        <v>272</v>
      </c>
      <c r="B241" t="s">
        <v>36</v>
      </c>
      <c r="C241" t="s">
        <v>16</v>
      </c>
      <c r="D241" t="s">
        <v>22</v>
      </c>
      <c r="E241">
        <v>4</v>
      </c>
      <c r="F241" t="s">
        <v>71</v>
      </c>
      <c r="G241">
        <f>Earnings!G241</f>
        <v>631233.21519999998</v>
      </c>
      <c r="H241">
        <f>Deductions!B241+Deductions!C241+Deductions!D241+Tax!D241</f>
        <v>5759.3349999999991</v>
      </c>
      <c r="I241">
        <f t="shared" si="6"/>
        <v>625473.88020000001</v>
      </c>
      <c r="J241">
        <f>Overtime!D241</f>
        <v>0</v>
      </c>
      <c r="K241">
        <f>IF(C241="Junior",0.06,IF(C241="Mid",0.08,IF(C241="Senior",0.1,IF(C241="Manager",0.12,0))))</f>
        <v>0.06</v>
      </c>
      <c r="L241">
        <f>IF(Performance!E241&gt;2,0.03,IF(Performance!E241&gt;=1,0.01,-0.02))</f>
        <v>0.01</v>
      </c>
      <c r="M241">
        <f t="shared" si="7"/>
        <v>6.9999999999999993E-2</v>
      </c>
      <c r="N241">
        <f>Earnings!B241*(1+M241)</f>
        <v>709474.30700000003</v>
      </c>
    </row>
    <row r="242" spans="1:14" x14ac:dyDescent="0.35">
      <c r="A242" t="s">
        <v>273</v>
      </c>
      <c r="B242" t="s">
        <v>27</v>
      </c>
      <c r="C242" t="s">
        <v>21</v>
      </c>
      <c r="D242" t="s">
        <v>22</v>
      </c>
      <c r="E242">
        <v>11</v>
      </c>
      <c r="F242" t="s">
        <v>23</v>
      </c>
      <c r="G242">
        <f>Earnings!G242</f>
        <v>651913.22560000001</v>
      </c>
      <c r="H242">
        <f>Deductions!B242+Deductions!C242+Deductions!D242+Tax!D242</f>
        <v>6121.3799999999992</v>
      </c>
      <c r="I242">
        <f t="shared" si="6"/>
        <v>645791.8456</v>
      </c>
      <c r="J242">
        <f>Overtime!D242</f>
        <v>0</v>
      </c>
      <c r="K242">
        <f>IF(C242="Junior",0.06,IF(C242="Mid",0.08,IF(C242="Senior",0.1,IF(C242="Manager",0.12,0))))</f>
        <v>0.1</v>
      </c>
      <c r="L242">
        <f>IF(Performance!E242&gt;2,0.03,IF(Performance!E242&gt;=1,0.01,-0.02))</f>
        <v>0.01</v>
      </c>
      <c r="M242">
        <f t="shared" si="7"/>
        <v>0.11</v>
      </c>
      <c r="N242">
        <f>Earnings!B242*(1+M242)</f>
        <v>760108.90799999994</v>
      </c>
    </row>
    <row r="243" spans="1:14" x14ac:dyDescent="0.35">
      <c r="A243" t="s">
        <v>274</v>
      </c>
      <c r="B243" t="s">
        <v>15</v>
      </c>
      <c r="C243" t="s">
        <v>44</v>
      </c>
      <c r="D243" t="s">
        <v>22</v>
      </c>
      <c r="E243">
        <v>12</v>
      </c>
      <c r="F243" t="s">
        <v>23</v>
      </c>
      <c r="G243">
        <f>Earnings!G243</f>
        <v>763177.03560000006</v>
      </c>
      <c r="H243">
        <f>Deductions!B243+Deductions!C243+Deductions!D243+Tax!D243</f>
        <v>8069.2758333333331</v>
      </c>
      <c r="I243">
        <f t="shared" si="6"/>
        <v>783165.73901666666</v>
      </c>
      <c r="J243">
        <f>Overtime!D243</f>
        <v>28057.97925</v>
      </c>
      <c r="K243">
        <f>IF(C243="Junior",0.06,IF(C243="Mid",0.08,IF(C243="Senior",0.1,IF(C243="Manager",0.12,0))))</f>
        <v>0.12</v>
      </c>
      <c r="L243">
        <f>IF(Performance!E243&gt;2,0.03,IF(Performance!E243&gt;=1,0.01,-0.02))</f>
        <v>0.01</v>
      </c>
      <c r="M243">
        <f t="shared" si="7"/>
        <v>0.13</v>
      </c>
      <c r="N243">
        <f>Earnings!B243*(1+M243)</f>
        <v>905871.9014999998</v>
      </c>
    </row>
    <row r="244" spans="1:14" x14ac:dyDescent="0.35">
      <c r="A244" t="s">
        <v>275</v>
      </c>
      <c r="B244" t="s">
        <v>15</v>
      </c>
      <c r="C244" t="s">
        <v>16</v>
      </c>
      <c r="D244" t="s">
        <v>17</v>
      </c>
      <c r="E244">
        <v>9</v>
      </c>
      <c r="F244" t="s">
        <v>25</v>
      </c>
      <c r="G244">
        <f>Earnings!G244</f>
        <v>751291.74399999995</v>
      </c>
      <c r="H244">
        <f>Deductions!B244+Deductions!C244+Deductions!D244+Tax!D244</f>
        <v>7861.2</v>
      </c>
      <c r="I244">
        <f t="shared" si="6"/>
        <v>743430.54399999999</v>
      </c>
      <c r="J244">
        <f>Overtime!D244</f>
        <v>0</v>
      </c>
      <c r="K244">
        <f>IF(C244="Junior",0.06,IF(C244="Mid",0.08,IF(C244="Senior",0.1,IF(C244="Manager",0.12,0))))</f>
        <v>0.06</v>
      </c>
      <c r="L244">
        <f>IF(Performance!E244&gt;2,0.03,IF(Performance!E244&gt;=1,0.01,-0.02))</f>
        <v>0.01</v>
      </c>
      <c r="M244">
        <f t="shared" si="7"/>
        <v>6.9999999999999993E-2</v>
      </c>
      <c r="N244">
        <f>Earnings!B244*(1+M244)</f>
        <v>844414.04</v>
      </c>
    </row>
    <row r="245" spans="1:14" x14ac:dyDescent="0.35">
      <c r="A245" t="s">
        <v>276</v>
      </c>
      <c r="B245" t="s">
        <v>15</v>
      </c>
      <c r="C245" t="s">
        <v>21</v>
      </c>
      <c r="D245" t="s">
        <v>22</v>
      </c>
      <c r="E245">
        <v>13</v>
      </c>
      <c r="F245" t="s">
        <v>25</v>
      </c>
      <c r="G245">
        <f>Earnings!G245</f>
        <v>783715.95959999994</v>
      </c>
      <c r="H245">
        <f>Deductions!B245+Deductions!C245+Deductions!D245+Tax!D245</f>
        <v>8428.8508333333339</v>
      </c>
      <c r="I245">
        <f t="shared" si="6"/>
        <v>775287.10876666661</v>
      </c>
      <c r="J245">
        <f>Overtime!D245</f>
        <v>0</v>
      </c>
      <c r="K245">
        <f>IF(C245="Junior",0.06,IF(C245="Mid",0.08,IF(C245="Senior",0.1,IF(C245="Manager",0.12,0))))</f>
        <v>0.1</v>
      </c>
      <c r="L245">
        <f>IF(Performance!E245&gt;2,0.03,IF(Performance!E245&gt;=1,0.01,-0.02))</f>
        <v>0.01</v>
      </c>
      <c r="M245">
        <f t="shared" si="7"/>
        <v>0.11</v>
      </c>
      <c r="N245">
        <f>Earnings!B245*(1+M245)</f>
        <v>913786.46550000005</v>
      </c>
    </row>
    <row r="246" spans="1:14" x14ac:dyDescent="0.35">
      <c r="A246" t="s">
        <v>277</v>
      </c>
      <c r="B246" t="s">
        <v>30</v>
      </c>
      <c r="C246" t="s">
        <v>21</v>
      </c>
      <c r="D246" t="s">
        <v>22</v>
      </c>
      <c r="E246">
        <v>5</v>
      </c>
      <c r="F246" t="s">
        <v>71</v>
      </c>
      <c r="G246">
        <f>Earnings!G246</f>
        <v>827338.7892</v>
      </c>
      <c r="H246">
        <f>Deductions!B246+Deductions!C246+Deductions!D246+Tax!D246</f>
        <v>9192.555833333332</v>
      </c>
      <c r="I246">
        <f t="shared" si="6"/>
        <v>865944.16761666676</v>
      </c>
      <c r="J246">
        <f>Overtime!D246</f>
        <v>47797.934250000006</v>
      </c>
      <c r="K246">
        <f>IF(C246="Junior",0.06,IF(C246="Mid",0.08,IF(C246="Senior",0.1,IF(C246="Manager",0.12,0))))</f>
        <v>0.1</v>
      </c>
      <c r="L246">
        <f>IF(Performance!E246&gt;2,0.03,IF(Performance!E246&gt;=1,0.01,-0.02))</f>
        <v>0.01</v>
      </c>
      <c r="M246">
        <f t="shared" si="7"/>
        <v>0.11</v>
      </c>
      <c r="N246">
        <f>Earnings!B246*(1+M246)</f>
        <v>964649.21850000008</v>
      </c>
    </row>
    <row r="247" spans="1:14" x14ac:dyDescent="0.35">
      <c r="A247" t="s">
        <v>278</v>
      </c>
      <c r="B247" t="s">
        <v>20</v>
      </c>
      <c r="C247" t="s">
        <v>21</v>
      </c>
      <c r="D247" t="s">
        <v>22</v>
      </c>
      <c r="E247">
        <v>4</v>
      </c>
      <c r="F247" t="s">
        <v>25</v>
      </c>
      <c r="G247">
        <f>Earnings!G247</f>
        <v>637957.4291999999</v>
      </c>
      <c r="H247">
        <f>Deductions!B247+Deductions!C247+Deductions!D247+Tax!D247</f>
        <v>5877.0558333333338</v>
      </c>
      <c r="I247">
        <f t="shared" si="6"/>
        <v>695742.09161666664</v>
      </c>
      <c r="J247">
        <f>Overtime!D247</f>
        <v>63661.718250000005</v>
      </c>
      <c r="K247">
        <f>IF(C247="Junior",0.06,IF(C247="Mid",0.08,IF(C247="Senior",0.1,IF(C247="Manager",0.12,0))))</f>
        <v>0.1</v>
      </c>
      <c r="L247">
        <f>IF(Performance!E247&gt;2,0.03,IF(Performance!E247&gt;=1,0.01,-0.02))</f>
        <v>0.03</v>
      </c>
      <c r="M247">
        <f t="shared" si="7"/>
        <v>0.13</v>
      </c>
      <c r="N247">
        <f>Earnings!B247*(1+M247)</f>
        <v>757239.38549999986</v>
      </c>
    </row>
    <row r="248" spans="1:14" x14ac:dyDescent="0.35">
      <c r="A248" t="s">
        <v>279</v>
      </c>
      <c r="B248" t="s">
        <v>27</v>
      </c>
      <c r="C248" t="s">
        <v>44</v>
      </c>
      <c r="D248" t="s">
        <v>17</v>
      </c>
      <c r="E248">
        <v>0</v>
      </c>
      <c r="F248" t="s">
        <v>71</v>
      </c>
      <c r="G248">
        <f>Earnings!G248</f>
        <v>397382.88799999998</v>
      </c>
      <c r="H248">
        <f>Deductions!B248+Deductions!C248+Deductions!D248+Tax!D248</f>
        <v>2697.5791666666669</v>
      </c>
      <c r="I248">
        <f t="shared" si="6"/>
        <v>394685.30883333331</v>
      </c>
      <c r="J248">
        <f>Overtime!D248</f>
        <v>0</v>
      </c>
      <c r="K248">
        <f>IF(C248="Junior",0.06,IF(C248="Mid",0.08,IF(C248="Senior",0.1,IF(C248="Manager",0.12,0))))</f>
        <v>0.12</v>
      </c>
      <c r="L248">
        <f>IF(Performance!E248&gt;2,0.03,IF(Performance!E248&gt;=1,0.01,-0.02))</f>
        <v>0.01</v>
      </c>
      <c r="M248">
        <f t="shared" si="7"/>
        <v>0.13</v>
      </c>
      <c r="N248">
        <f>Earnings!B248*(1+M248)</f>
        <v>471683.47</v>
      </c>
    </row>
    <row r="249" spans="1:14" x14ac:dyDescent="0.35">
      <c r="A249" t="s">
        <v>280</v>
      </c>
      <c r="B249" t="s">
        <v>30</v>
      </c>
      <c r="C249" t="s">
        <v>16</v>
      </c>
      <c r="D249" t="s">
        <v>17</v>
      </c>
      <c r="E249">
        <v>12</v>
      </c>
      <c r="F249" t="s">
        <v>28</v>
      </c>
      <c r="G249">
        <f>Earnings!G249</f>
        <v>1163121.2320000001</v>
      </c>
      <c r="H249">
        <f>Deductions!B249+Deductions!C249+Deductions!D249+Tax!D249</f>
        <v>16919.150000000001</v>
      </c>
      <c r="I249">
        <f t="shared" si="6"/>
        <v>1274487.5120000001</v>
      </c>
      <c r="J249">
        <f>Overtime!D249</f>
        <v>128285.43</v>
      </c>
      <c r="K249">
        <f>IF(C249="Junior",0.06,IF(C249="Mid",0.08,IF(C249="Senior",0.1,IF(C249="Manager",0.12,0))))</f>
        <v>0.06</v>
      </c>
      <c r="L249">
        <f>IF(Performance!E249&gt;2,0.03,IF(Performance!E249&gt;=1,0.01,-0.02))</f>
        <v>0.01</v>
      </c>
      <c r="M249">
        <f t="shared" si="7"/>
        <v>6.9999999999999993E-2</v>
      </c>
      <c r="N249">
        <f>Earnings!B249*(1+M249)</f>
        <v>1307289.6200000001</v>
      </c>
    </row>
    <row r="250" spans="1:14" x14ac:dyDescent="0.35">
      <c r="A250" t="s">
        <v>281</v>
      </c>
      <c r="B250" t="s">
        <v>36</v>
      </c>
      <c r="C250" t="s">
        <v>16</v>
      </c>
      <c r="D250" t="s">
        <v>17</v>
      </c>
      <c r="E250">
        <v>7</v>
      </c>
      <c r="F250" t="s">
        <v>45</v>
      </c>
      <c r="G250">
        <f>Earnings!G250</f>
        <v>1037364.888</v>
      </c>
      <c r="H250">
        <f>Deductions!B250+Deductions!C250+Deductions!D250+Tax!D250</f>
        <v>13616.725</v>
      </c>
      <c r="I250">
        <f t="shared" si="6"/>
        <v>1110921.683</v>
      </c>
      <c r="J250">
        <f>Overtime!D250</f>
        <v>87173.51999999999</v>
      </c>
      <c r="K250">
        <f>IF(C250="Junior",0.06,IF(C250="Mid",0.08,IF(C250="Senior",0.1,IF(C250="Manager",0.12,0))))</f>
        <v>0.06</v>
      </c>
      <c r="L250">
        <f>IF(Performance!E250&gt;2,0.03,IF(Performance!E250&gt;=1,0.01,-0.02))</f>
        <v>0.01</v>
      </c>
      <c r="M250">
        <f t="shared" si="7"/>
        <v>6.9999999999999993E-2</v>
      </c>
      <c r="N250">
        <f>Earnings!B250*(1+M250)</f>
        <v>1165945.83</v>
      </c>
    </row>
    <row r="251" spans="1:14" x14ac:dyDescent="0.35">
      <c r="A251" t="s">
        <v>282</v>
      </c>
      <c r="B251" t="s">
        <v>15</v>
      </c>
      <c r="C251" t="s">
        <v>44</v>
      </c>
      <c r="D251" t="s">
        <v>17</v>
      </c>
      <c r="E251">
        <v>15</v>
      </c>
      <c r="F251" t="s">
        <v>25</v>
      </c>
      <c r="G251">
        <f>Earnings!G251</f>
        <v>784405.16</v>
      </c>
      <c r="H251">
        <f>Deductions!B251+Deductions!C251+Deductions!D251+Tax!D251</f>
        <v>8440.9166666666679</v>
      </c>
      <c r="I251">
        <f t="shared" si="6"/>
        <v>837760.8683333334</v>
      </c>
      <c r="J251">
        <f>Overtime!D251</f>
        <v>61796.624999999993</v>
      </c>
      <c r="K251">
        <f>IF(C251="Junior",0.06,IF(C251="Mid",0.08,IF(C251="Senior",0.1,IF(C251="Manager",0.12,0))))</f>
        <v>0.12</v>
      </c>
      <c r="L251">
        <f>IF(Performance!E251&gt;2,0.03,IF(Performance!E251&gt;=1,0.01,-0.02))</f>
        <v>0.01</v>
      </c>
      <c r="M251">
        <f t="shared" si="7"/>
        <v>0.13</v>
      </c>
      <c r="N251">
        <f>Earnings!B251*(1+M251)</f>
        <v>931069.14999999991</v>
      </c>
    </row>
    <row r="252" spans="1:14" x14ac:dyDescent="0.35">
      <c r="A252" t="s">
        <v>283</v>
      </c>
      <c r="B252" t="s">
        <v>36</v>
      </c>
      <c r="C252" t="s">
        <v>44</v>
      </c>
      <c r="D252" t="s">
        <v>17</v>
      </c>
      <c r="E252">
        <v>8</v>
      </c>
      <c r="F252" t="s">
        <v>32</v>
      </c>
      <c r="G252">
        <f>Earnings!G252</f>
        <v>787837.12</v>
      </c>
      <c r="H252">
        <f>Deductions!B252+Deductions!C252+Deductions!D252+Tax!D252</f>
        <v>8501</v>
      </c>
      <c r="I252">
        <f t="shared" si="6"/>
        <v>779336.12</v>
      </c>
      <c r="J252">
        <f>Overtime!D252</f>
        <v>0</v>
      </c>
      <c r="K252">
        <f>IF(C252="Junior",0.06,IF(C252="Mid",0.08,IF(C252="Senior",0.1,IF(C252="Manager",0.12,0))))</f>
        <v>0.12</v>
      </c>
      <c r="L252">
        <f>IF(Performance!E252&gt;2,0.03,IF(Performance!E252&gt;=1,0.01,-0.02))</f>
        <v>0.01</v>
      </c>
      <c r="M252">
        <f t="shared" si="7"/>
        <v>0.13</v>
      </c>
      <c r="N252">
        <f>Earnings!B252*(1+M252)</f>
        <v>935142.79999999993</v>
      </c>
    </row>
    <row r="253" spans="1:14" x14ac:dyDescent="0.35">
      <c r="A253" t="s">
        <v>284</v>
      </c>
      <c r="B253" t="s">
        <v>36</v>
      </c>
      <c r="C253" t="s">
        <v>44</v>
      </c>
      <c r="D253" t="s">
        <v>22</v>
      </c>
      <c r="E253">
        <v>15</v>
      </c>
      <c r="F253" t="s">
        <v>23</v>
      </c>
      <c r="G253">
        <f>Earnings!G253</f>
        <v>924613.34</v>
      </c>
      <c r="H253">
        <f>Deductions!B253+Deductions!C253+Deductions!D253+Tax!D253</f>
        <v>10895.541666666666</v>
      </c>
      <c r="I253">
        <f t="shared" si="6"/>
        <v>1020553.3733333333</v>
      </c>
      <c r="J253">
        <f>Overtime!D253</f>
        <v>106835.57500000001</v>
      </c>
      <c r="K253">
        <f>IF(C253="Junior",0.06,IF(C253="Mid",0.08,IF(C253="Senior",0.1,IF(C253="Manager",0.12,0))))</f>
        <v>0.12</v>
      </c>
      <c r="L253">
        <f>IF(Performance!E253&gt;2,0.03,IF(Performance!E253&gt;=1,0.01,-0.02))</f>
        <v>0.01</v>
      </c>
      <c r="M253">
        <f t="shared" si="7"/>
        <v>0.13</v>
      </c>
      <c r="N253">
        <f>Earnings!B253*(1+M253)</f>
        <v>1097492.7249999999</v>
      </c>
    </row>
    <row r="254" spans="1:14" x14ac:dyDescent="0.35">
      <c r="A254" t="s">
        <v>285</v>
      </c>
      <c r="B254" t="s">
        <v>15</v>
      </c>
      <c r="C254" t="s">
        <v>34</v>
      </c>
      <c r="D254" t="s">
        <v>17</v>
      </c>
      <c r="E254">
        <v>0</v>
      </c>
      <c r="F254" t="s">
        <v>23</v>
      </c>
      <c r="G254">
        <f>Earnings!G254</f>
        <v>301698.32</v>
      </c>
      <c r="H254">
        <f>Deductions!B254+Deductions!C254+Deductions!D254+Tax!D254</f>
        <v>2278.7916666666665</v>
      </c>
      <c r="I254">
        <f t="shared" si="6"/>
        <v>299419.52833333332</v>
      </c>
      <c r="J254">
        <f>Overtime!D254</f>
        <v>0</v>
      </c>
      <c r="K254">
        <f>IF(C254="Junior",0.06,IF(C254="Mid",0.08,IF(C254="Senior",0.1,IF(C254="Manager",0.12,0))))</f>
        <v>0.08</v>
      </c>
      <c r="L254">
        <f>IF(Performance!E254&gt;2,0.03,IF(Performance!E254&gt;=1,0.01,-0.02))</f>
        <v>0.01</v>
      </c>
      <c r="M254">
        <f t="shared" si="7"/>
        <v>0.09</v>
      </c>
      <c r="N254">
        <f>Earnings!B254*(1+M254)</f>
        <v>345431.9</v>
      </c>
    </row>
    <row r="255" spans="1:14" x14ac:dyDescent="0.35">
      <c r="A255" t="s">
        <v>286</v>
      </c>
      <c r="B255" t="s">
        <v>36</v>
      </c>
      <c r="C255" t="s">
        <v>44</v>
      </c>
      <c r="D255" t="s">
        <v>17</v>
      </c>
      <c r="E255">
        <v>0</v>
      </c>
      <c r="F255" t="s">
        <v>45</v>
      </c>
      <c r="G255">
        <f>Earnings!G255</f>
        <v>683442.70399999991</v>
      </c>
      <c r="H255">
        <f>Deductions!B255+Deductions!C255+Deductions!D255+Tax!D255</f>
        <v>6673.3666666666668</v>
      </c>
      <c r="I255">
        <f t="shared" si="6"/>
        <v>676769.33733333321</v>
      </c>
      <c r="J255">
        <f>Overtime!D255</f>
        <v>0</v>
      </c>
      <c r="K255">
        <f>IF(C255="Junior",0.06,IF(C255="Mid",0.08,IF(C255="Senior",0.1,IF(C255="Manager",0.12,0))))</f>
        <v>0.12</v>
      </c>
      <c r="L255">
        <f>IF(Performance!E255&gt;2,0.03,IF(Performance!E255&gt;=1,0.01,-0.02))</f>
        <v>0.01</v>
      </c>
      <c r="M255">
        <f t="shared" si="7"/>
        <v>0.13</v>
      </c>
      <c r="N255">
        <f>Earnings!B255*(1+M255)</f>
        <v>811229.25999999989</v>
      </c>
    </row>
    <row r="256" spans="1:14" x14ac:dyDescent="0.35">
      <c r="A256" t="s">
        <v>287</v>
      </c>
      <c r="B256" t="s">
        <v>27</v>
      </c>
      <c r="C256" t="s">
        <v>34</v>
      </c>
      <c r="D256" t="s">
        <v>17</v>
      </c>
      <c r="E256">
        <v>3</v>
      </c>
      <c r="F256" t="s">
        <v>18</v>
      </c>
      <c r="G256">
        <f>Earnings!G256</f>
        <v>526327.48</v>
      </c>
      <c r="H256">
        <f>Deductions!B256+Deductions!C256+Deductions!D256+Tax!D256</f>
        <v>3922.75</v>
      </c>
      <c r="I256">
        <f t="shared" si="6"/>
        <v>583219.88</v>
      </c>
      <c r="J256">
        <f>Overtime!D256</f>
        <v>60815.149999999994</v>
      </c>
      <c r="K256">
        <f>IF(C256="Junior",0.06,IF(C256="Mid",0.08,IF(C256="Senior",0.1,IF(C256="Manager",0.12,0))))</f>
        <v>0.08</v>
      </c>
      <c r="L256">
        <f>IF(Performance!E256&gt;2,0.03,IF(Performance!E256&gt;=1,0.01,-0.02))</f>
        <v>0.01</v>
      </c>
      <c r="M256">
        <f t="shared" si="7"/>
        <v>0.09</v>
      </c>
      <c r="N256">
        <f>Earnings!B256*(1+M256)</f>
        <v>602622.85000000009</v>
      </c>
    </row>
    <row r="257" spans="1:14" x14ac:dyDescent="0.35">
      <c r="A257" t="s">
        <v>288</v>
      </c>
      <c r="B257" t="s">
        <v>30</v>
      </c>
      <c r="C257" t="s">
        <v>44</v>
      </c>
      <c r="D257" t="s">
        <v>22</v>
      </c>
      <c r="E257">
        <v>14</v>
      </c>
      <c r="F257" t="s">
        <v>18</v>
      </c>
      <c r="G257">
        <f>Earnings!G257</f>
        <v>1178863.6943999999</v>
      </c>
      <c r="H257">
        <f>Deductions!B257+Deductions!C257+Deductions!D257+Tax!D257</f>
        <v>17332.555</v>
      </c>
      <c r="I257">
        <f t="shared" si="6"/>
        <v>1285361.3594</v>
      </c>
      <c r="J257">
        <f>Overtime!D257</f>
        <v>123830.22</v>
      </c>
      <c r="K257">
        <f>IF(C257="Junior",0.06,IF(C257="Mid",0.08,IF(C257="Senior",0.1,IF(C257="Manager",0.12,0))))</f>
        <v>0.12</v>
      </c>
      <c r="L257">
        <f>IF(Performance!E257&gt;2,0.03,IF(Performance!E257&gt;=1,0.01,-0.02))</f>
        <v>0.01</v>
      </c>
      <c r="M257">
        <f t="shared" si="7"/>
        <v>0.13</v>
      </c>
      <c r="N257">
        <f>Earnings!B257*(1+M257)</f>
        <v>1399281.4859999998</v>
      </c>
    </row>
    <row r="258" spans="1:14" x14ac:dyDescent="0.35">
      <c r="A258" t="s">
        <v>289</v>
      </c>
      <c r="B258" t="s">
        <v>30</v>
      </c>
      <c r="C258" t="s">
        <v>44</v>
      </c>
      <c r="D258" t="s">
        <v>22</v>
      </c>
      <c r="E258">
        <v>15</v>
      </c>
      <c r="F258" t="s">
        <v>23</v>
      </c>
      <c r="G258">
        <f>Earnings!G258</f>
        <v>1438815.3864</v>
      </c>
      <c r="H258">
        <f>Deductions!B258+Deductions!C258+Deductions!D258+Tax!D258</f>
        <v>24159.017499999998</v>
      </c>
      <c r="I258">
        <f t="shared" ref="I258:I321" si="8">G258-H258+J258</f>
        <v>1414656.3688999999</v>
      </c>
      <c r="J258">
        <f>Overtime!D258</f>
        <v>0</v>
      </c>
      <c r="K258">
        <f>IF(C258="Junior",0.06,IF(C258="Mid",0.08,IF(C258="Senior",0.1,IF(C258="Manager",0.12,0))))</f>
        <v>0.12</v>
      </c>
      <c r="L258">
        <f>IF(Performance!E258&gt;2,0.03,IF(Performance!E258&gt;=1,0.01,-0.02))</f>
        <v>0.01</v>
      </c>
      <c r="M258">
        <f t="shared" ref="M258:M321" si="9">K258+L258</f>
        <v>0.13</v>
      </c>
      <c r="N258">
        <f>Earnings!B258*(1+M258)</f>
        <v>1707837.5909999998</v>
      </c>
    </row>
    <row r="259" spans="1:14" x14ac:dyDescent="0.35">
      <c r="A259" t="s">
        <v>290</v>
      </c>
      <c r="B259" t="s">
        <v>36</v>
      </c>
      <c r="C259" t="s">
        <v>44</v>
      </c>
      <c r="D259" t="s">
        <v>22</v>
      </c>
      <c r="E259">
        <v>3</v>
      </c>
      <c r="F259" t="s">
        <v>25</v>
      </c>
      <c r="G259">
        <f>Earnings!G259</f>
        <v>641584.0732000001</v>
      </c>
      <c r="H259">
        <f>Deductions!B259+Deductions!C259+Deductions!D259+Tax!D259</f>
        <v>5940.5475000000006</v>
      </c>
      <c r="I259">
        <f t="shared" si="8"/>
        <v>635643.52570000011</v>
      </c>
      <c r="J259">
        <f>Overtime!D259</f>
        <v>0</v>
      </c>
      <c r="K259">
        <f>IF(C259="Junior",0.06,IF(C259="Mid",0.08,IF(C259="Senior",0.1,IF(C259="Manager",0.12,0))))</f>
        <v>0.12</v>
      </c>
      <c r="L259">
        <f>IF(Performance!E259&gt;2,0.03,IF(Performance!E259&gt;=1,0.01,-0.02))</f>
        <v>0.01</v>
      </c>
      <c r="M259">
        <f t="shared" si="9"/>
        <v>0.13</v>
      </c>
      <c r="N259">
        <f>Earnings!B259*(1+M259)</f>
        <v>761544.12049999984</v>
      </c>
    </row>
    <row r="260" spans="1:14" x14ac:dyDescent="0.35">
      <c r="A260" t="s">
        <v>291</v>
      </c>
      <c r="B260" t="s">
        <v>20</v>
      </c>
      <c r="C260" t="s">
        <v>21</v>
      </c>
      <c r="D260" t="s">
        <v>22</v>
      </c>
      <c r="E260">
        <v>6</v>
      </c>
      <c r="F260" t="s">
        <v>18</v>
      </c>
      <c r="G260">
        <f>Earnings!G260</f>
        <v>769311.58079999988</v>
      </c>
      <c r="H260">
        <f>Deductions!B260+Deductions!C260+Deductions!D260+Tax!D260</f>
        <v>8176.6733333333323</v>
      </c>
      <c r="I260">
        <f t="shared" si="8"/>
        <v>761134.90746666654</v>
      </c>
      <c r="J260">
        <f>Overtime!D260</f>
        <v>0</v>
      </c>
      <c r="K260">
        <f>IF(C260="Junior",0.06,IF(C260="Mid",0.08,IF(C260="Senior",0.1,IF(C260="Manager",0.12,0))))</f>
        <v>0.1</v>
      </c>
      <c r="L260">
        <f>IF(Performance!E260&gt;2,0.03,IF(Performance!E260&gt;=1,0.01,-0.02))</f>
        <v>0.03</v>
      </c>
      <c r="M260">
        <f t="shared" si="9"/>
        <v>0.13</v>
      </c>
      <c r="N260">
        <f>Earnings!B260*(1+M260)</f>
        <v>913153.45199999982</v>
      </c>
    </row>
    <row r="261" spans="1:14" x14ac:dyDescent="0.35">
      <c r="A261" t="s">
        <v>292</v>
      </c>
      <c r="B261" t="s">
        <v>20</v>
      </c>
      <c r="C261" t="s">
        <v>16</v>
      </c>
      <c r="D261" t="s">
        <v>17</v>
      </c>
      <c r="E261">
        <v>2</v>
      </c>
      <c r="F261" t="s">
        <v>45</v>
      </c>
      <c r="G261">
        <f>Earnings!G261</f>
        <v>438402.66399999999</v>
      </c>
      <c r="H261">
        <f>Deductions!B261+Deductions!C261+Deductions!D261+Tax!D261</f>
        <v>2877.1125000000002</v>
      </c>
      <c r="I261">
        <f t="shared" si="8"/>
        <v>435525.5515</v>
      </c>
      <c r="J261">
        <f>Overtime!D261</f>
        <v>0</v>
      </c>
      <c r="K261">
        <f>IF(C261="Junior",0.06,IF(C261="Mid",0.08,IF(C261="Senior",0.1,IF(C261="Manager",0.12,0))))</f>
        <v>0.06</v>
      </c>
      <c r="L261">
        <f>IF(Performance!E261&gt;2,0.03,IF(Performance!E261&gt;=1,0.01,-0.02))</f>
        <v>0.03</v>
      </c>
      <c r="M261">
        <f t="shared" si="9"/>
        <v>0.09</v>
      </c>
      <c r="N261">
        <f>Earnings!B261*(1+M261)</f>
        <v>501952.63000000006</v>
      </c>
    </row>
    <row r="262" spans="1:14" x14ac:dyDescent="0.35">
      <c r="A262" t="s">
        <v>293</v>
      </c>
      <c r="B262" t="s">
        <v>15</v>
      </c>
      <c r="C262" t="s">
        <v>44</v>
      </c>
      <c r="D262" t="s">
        <v>22</v>
      </c>
      <c r="E262">
        <v>14</v>
      </c>
      <c r="F262" t="s">
        <v>45</v>
      </c>
      <c r="G262">
        <f>Earnings!G262</f>
        <v>774142.88559999992</v>
      </c>
      <c r="H262">
        <f>Deductions!B262+Deductions!C262+Deductions!D262+Tax!D262</f>
        <v>8261.255000000001</v>
      </c>
      <c r="I262">
        <f t="shared" si="8"/>
        <v>765881.63059999992</v>
      </c>
      <c r="J262">
        <f>Overtime!D262</f>
        <v>0</v>
      </c>
      <c r="K262">
        <f>IF(C262="Junior",0.06,IF(C262="Mid",0.08,IF(C262="Senior",0.1,IF(C262="Manager",0.12,0))))</f>
        <v>0.12</v>
      </c>
      <c r="L262">
        <f>IF(Performance!E262&gt;2,0.03,IF(Performance!E262&gt;=1,0.01,-0.02))</f>
        <v>0.01</v>
      </c>
      <c r="M262">
        <f t="shared" si="9"/>
        <v>0.13</v>
      </c>
      <c r="N262">
        <f>Earnings!B262*(1+M262)</f>
        <v>918888.0889999998</v>
      </c>
    </row>
    <row r="263" spans="1:14" x14ac:dyDescent="0.35">
      <c r="A263" t="s">
        <v>294</v>
      </c>
      <c r="B263" t="s">
        <v>15</v>
      </c>
      <c r="C263" t="s">
        <v>21</v>
      </c>
      <c r="D263" t="s">
        <v>17</v>
      </c>
      <c r="E263">
        <v>0</v>
      </c>
      <c r="F263" t="s">
        <v>28</v>
      </c>
      <c r="G263">
        <f>Earnings!G263</f>
        <v>506940</v>
      </c>
      <c r="H263">
        <f>Deductions!B263+Deductions!C263+Deductions!D263+Tax!D263</f>
        <v>3583.333333333333</v>
      </c>
      <c r="I263">
        <f t="shared" si="8"/>
        <v>503356.66666666669</v>
      </c>
      <c r="J263">
        <f>Overtime!D263</f>
        <v>0</v>
      </c>
      <c r="K263">
        <f>IF(C263="Junior",0.06,IF(C263="Mid",0.08,IF(C263="Senior",0.1,IF(C263="Manager",0.12,0))))</f>
        <v>0.1</v>
      </c>
      <c r="L263">
        <f>IF(Performance!E263&gt;2,0.03,IF(Performance!E263&gt;=1,0.01,-0.02))</f>
        <v>0.01</v>
      </c>
      <c r="M263">
        <f t="shared" si="9"/>
        <v>0.11</v>
      </c>
      <c r="N263">
        <f>Earnings!B263*(1+M263)</f>
        <v>591075</v>
      </c>
    </row>
    <row r="264" spans="1:14" x14ac:dyDescent="0.35">
      <c r="A264" t="s">
        <v>295</v>
      </c>
      <c r="B264" t="s">
        <v>27</v>
      </c>
      <c r="C264" t="s">
        <v>44</v>
      </c>
      <c r="D264" t="s">
        <v>17</v>
      </c>
      <c r="E264">
        <v>10</v>
      </c>
      <c r="F264" t="s">
        <v>45</v>
      </c>
      <c r="G264">
        <f>Earnings!G264</f>
        <v>715502.25600000005</v>
      </c>
      <c r="H264">
        <f>Deductions!B264+Deductions!C264+Deductions!D264+Tax!D264</f>
        <v>7234.6333333333341</v>
      </c>
      <c r="I264">
        <f t="shared" si="8"/>
        <v>783425.4226666668</v>
      </c>
      <c r="J264">
        <f>Overtime!D264</f>
        <v>75157.8</v>
      </c>
      <c r="K264">
        <f>IF(C264="Junior",0.06,IF(C264="Mid",0.08,IF(C264="Senior",0.1,IF(C264="Manager",0.12,0))))</f>
        <v>0.12</v>
      </c>
      <c r="L264">
        <f>IF(Performance!E264&gt;2,0.03,IF(Performance!E264&gt;=1,0.01,-0.02))</f>
        <v>0.01</v>
      </c>
      <c r="M264">
        <f t="shared" si="9"/>
        <v>0.13</v>
      </c>
      <c r="N264">
        <f>Earnings!B264*(1+M264)</f>
        <v>849283.1399999999</v>
      </c>
    </row>
    <row r="265" spans="1:14" x14ac:dyDescent="0.35">
      <c r="A265" t="s">
        <v>296</v>
      </c>
      <c r="B265" t="s">
        <v>20</v>
      </c>
      <c r="C265" t="s">
        <v>34</v>
      </c>
      <c r="D265" t="s">
        <v>17</v>
      </c>
      <c r="E265">
        <v>4</v>
      </c>
      <c r="F265" t="s">
        <v>45</v>
      </c>
      <c r="G265">
        <f>Earnings!G265</f>
        <v>760925.03200000001</v>
      </c>
      <c r="H265">
        <f>Deductions!B265+Deductions!C265+Deductions!D265+Tax!D265</f>
        <v>8029.8500000000013</v>
      </c>
      <c r="I265">
        <f t="shared" si="8"/>
        <v>812842.00699999998</v>
      </c>
      <c r="J265">
        <f>Overtime!D265</f>
        <v>59946.825000000004</v>
      </c>
      <c r="K265">
        <f>IF(C265="Junior",0.06,IF(C265="Mid",0.08,IF(C265="Senior",0.1,IF(C265="Manager",0.12,0))))</f>
        <v>0.08</v>
      </c>
      <c r="L265">
        <f>IF(Performance!E265&gt;2,0.03,IF(Performance!E265&gt;=1,0.01,-0.02))</f>
        <v>0.03</v>
      </c>
      <c r="M265">
        <f t="shared" si="9"/>
        <v>0.11</v>
      </c>
      <c r="N265">
        <f>Earnings!B265*(1+M265)</f>
        <v>887213.01000000013</v>
      </c>
    </row>
    <row r="266" spans="1:14" x14ac:dyDescent="0.35">
      <c r="A266" t="s">
        <v>297</v>
      </c>
      <c r="B266" t="s">
        <v>36</v>
      </c>
      <c r="C266" t="s">
        <v>44</v>
      </c>
      <c r="D266" t="s">
        <v>17</v>
      </c>
      <c r="E266">
        <v>5</v>
      </c>
      <c r="F266" t="s">
        <v>18</v>
      </c>
      <c r="G266">
        <f>Earnings!G266</f>
        <v>772943.08</v>
      </c>
      <c r="H266">
        <f>Deductions!B266+Deductions!C266+Deductions!D266+Tax!D266</f>
        <v>8240.25</v>
      </c>
      <c r="I266">
        <f t="shared" si="8"/>
        <v>764702.83</v>
      </c>
      <c r="J266">
        <f>Overtime!D266</f>
        <v>0</v>
      </c>
      <c r="K266">
        <f>IF(C266="Junior",0.06,IF(C266="Mid",0.08,IF(C266="Senior",0.1,IF(C266="Manager",0.12,0))))</f>
        <v>0.12</v>
      </c>
      <c r="L266">
        <f>IF(Performance!E266&gt;2,0.03,IF(Performance!E266&gt;=1,0.01,-0.02))</f>
        <v>0.01</v>
      </c>
      <c r="M266">
        <f t="shared" si="9"/>
        <v>0.13</v>
      </c>
      <c r="N266">
        <f>Earnings!B266*(1+M266)</f>
        <v>917463.95</v>
      </c>
    </row>
    <row r="267" spans="1:14" x14ac:dyDescent="0.35">
      <c r="A267" t="s">
        <v>298</v>
      </c>
      <c r="B267" t="s">
        <v>30</v>
      </c>
      <c r="C267" t="s">
        <v>34</v>
      </c>
      <c r="D267" t="s">
        <v>22</v>
      </c>
      <c r="E267">
        <v>6</v>
      </c>
      <c r="F267" t="s">
        <v>71</v>
      </c>
      <c r="G267">
        <f>Earnings!G267</f>
        <v>767699.03560000006</v>
      </c>
      <c r="H267">
        <f>Deductions!B267+Deductions!C267+Deductions!D267+Tax!D267</f>
        <v>8148.4425000000001</v>
      </c>
      <c r="I267">
        <f t="shared" si="8"/>
        <v>759550.59310000006</v>
      </c>
      <c r="J267">
        <f>Overtime!D267</f>
        <v>0</v>
      </c>
      <c r="K267">
        <f>IF(C267="Junior",0.06,IF(C267="Mid",0.08,IF(C267="Senior",0.1,IF(C267="Manager",0.12,0))))</f>
        <v>0.08</v>
      </c>
      <c r="L267">
        <f>IF(Performance!E267&gt;2,0.03,IF(Performance!E267&gt;=1,0.01,-0.02))</f>
        <v>0.01</v>
      </c>
      <c r="M267">
        <f t="shared" si="9"/>
        <v>0.09</v>
      </c>
      <c r="N267">
        <f>Earnings!B267*(1+M267)</f>
        <v>878983.13949999993</v>
      </c>
    </row>
    <row r="268" spans="1:14" x14ac:dyDescent="0.35">
      <c r="A268" t="s">
        <v>299</v>
      </c>
      <c r="B268" t="s">
        <v>36</v>
      </c>
      <c r="C268" t="s">
        <v>16</v>
      </c>
      <c r="D268" t="s">
        <v>17</v>
      </c>
      <c r="E268">
        <v>9</v>
      </c>
      <c r="F268" t="s">
        <v>45</v>
      </c>
      <c r="G268">
        <f>Earnings!G268</f>
        <v>815307.08</v>
      </c>
      <c r="H268">
        <f>Deductions!B268+Deductions!C268+Deductions!D268+Tax!D268</f>
        <v>8981.9166666666679</v>
      </c>
      <c r="I268">
        <f t="shared" si="8"/>
        <v>806325.16333333333</v>
      </c>
      <c r="J268">
        <f>Overtime!D268</f>
        <v>0</v>
      </c>
      <c r="K268">
        <f>IF(C268="Junior",0.06,IF(C268="Mid",0.08,IF(C268="Senior",0.1,IF(C268="Manager",0.12,0))))</f>
        <v>0.06</v>
      </c>
      <c r="L268">
        <f>IF(Performance!E268&gt;2,0.03,IF(Performance!E268&gt;=1,0.01,-0.02))</f>
        <v>0.01</v>
      </c>
      <c r="M268">
        <f t="shared" si="9"/>
        <v>6.9999999999999993E-2</v>
      </c>
      <c r="N268">
        <f>Earnings!B268*(1+M268)</f>
        <v>916364.05</v>
      </c>
    </row>
    <row r="269" spans="1:14" x14ac:dyDescent="0.35">
      <c r="A269" t="s">
        <v>300</v>
      </c>
      <c r="B269" t="s">
        <v>15</v>
      </c>
      <c r="C269" t="s">
        <v>21</v>
      </c>
      <c r="D269" t="s">
        <v>22</v>
      </c>
      <c r="E269">
        <v>1</v>
      </c>
      <c r="F269" t="s">
        <v>18</v>
      </c>
      <c r="G269">
        <f>Earnings!G269</f>
        <v>361541.13520000002</v>
      </c>
      <c r="H269">
        <f>Deductions!B269+Deductions!C269+Deductions!D269+Tax!D269</f>
        <v>2540.7087499999998</v>
      </c>
      <c r="I269">
        <f t="shared" si="8"/>
        <v>368494.67895000003</v>
      </c>
      <c r="J269">
        <f>Overtime!D269</f>
        <v>9494.2525000000005</v>
      </c>
      <c r="K269">
        <f>IF(C269="Junior",0.06,IF(C269="Mid",0.08,IF(C269="Senior",0.1,IF(C269="Manager",0.12,0))))</f>
        <v>0.1</v>
      </c>
      <c r="L269">
        <f>IF(Performance!E269&gt;2,0.03,IF(Performance!E269&gt;=1,0.01,-0.02))</f>
        <v>0.01</v>
      </c>
      <c r="M269">
        <f t="shared" si="9"/>
        <v>0.11</v>
      </c>
      <c r="N269">
        <f>Earnings!B269*(1+M269)</f>
        <v>421544.81099999999</v>
      </c>
    </row>
    <row r="270" spans="1:14" x14ac:dyDescent="0.35">
      <c r="A270" t="s">
        <v>301</v>
      </c>
      <c r="B270" t="s">
        <v>36</v>
      </c>
      <c r="C270" t="s">
        <v>16</v>
      </c>
      <c r="D270" t="s">
        <v>22</v>
      </c>
      <c r="E270">
        <v>4</v>
      </c>
      <c r="F270" t="s">
        <v>45</v>
      </c>
      <c r="G270">
        <f>Earnings!G270</f>
        <v>678213.17759999994</v>
      </c>
      <c r="H270">
        <f>Deductions!B270+Deductions!C270+Deductions!D270+Tax!D270</f>
        <v>6581.8133333333326</v>
      </c>
      <c r="I270">
        <f t="shared" si="8"/>
        <v>671631.36426666658</v>
      </c>
      <c r="J270">
        <f>Overtime!D270</f>
        <v>0</v>
      </c>
      <c r="K270">
        <f>IF(C270="Junior",0.06,IF(C270="Mid",0.08,IF(C270="Senior",0.1,IF(C270="Manager",0.12,0))))</f>
        <v>0.06</v>
      </c>
      <c r="L270">
        <f>IF(Performance!E270&gt;2,0.03,IF(Performance!E270&gt;=1,0.01,-0.02))</f>
        <v>0.01</v>
      </c>
      <c r="M270">
        <f t="shared" si="9"/>
        <v>6.9999999999999993E-2</v>
      </c>
      <c r="N270">
        <f>Earnings!B270*(1+M270)</f>
        <v>762277.41599999997</v>
      </c>
    </row>
    <row r="271" spans="1:14" x14ac:dyDescent="0.35">
      <c r="A271" t="s">
        <v>302</v>
      </c>
      <c r="B271" t="s">
        <v>27</v>
      </c>
      <c r="C271" t="s">
        <v>16</v>
      </c>
      <c r="D271" t="s">
        <v>22</v>
      </c>
      <c r="E271">
        <v>12</v>
      </c>
      <c r="F271" t="s">
        <v>25</v>
      </c>
      <c r="G271">
        <f>Earnings!G271</f>
        <v>866396.20759999997</v>
      </c>
      <c r="H271">
        <f>Deductions!B271+Deductions!C271+Deductions!D271+Tax!D271</f>
        <v>9876.3341666666674</v>
      </c>
      <c r="I271">
        <f t="shared" si="8"/>
        <v>929326.27743333334</v>
      </c>
      <c r="J271">
        <f>Overtime!D271</f>
        <v>72806.40400000001</v>
      </c>
      <c r="K271">
        <f>IF(C271="Junior",0.06,IF(C271="Mid",0.08,IF(C271="Senior",0.1,IF(C271="Manager",0.12,0))))</f>
        <v>0.06</v>
      </c>
      <c r="L271">
        <f>IF(Performance!E271&gt;2,0.03,IF(Performance!E271&gt;=1,0.01,-0.02))</f>
        <v>0.01</v>
      </c>
      <c r="M271">
        <f t="shared" si="9"/>
        <v>6.9999999999999993E-2</v>
      </c>
      <c r="N271">
        <f>Earnings!B271*(1+M271)</f>
        <v>973785.65350000001</v>
      </c>
    </row>
    <row r="272" spans="1:14" x14ac:dyDescent="0.35">
      <c r="A272" t="s">
        <v>303</v>
      </c>
      <c r="B272" t="s">
        <v>30</v>
      </c>
      <c r="C272" t="s">
        <v>44</v>
      </c>
      <c r="D272" t="s">
        <v>22</v>
      </c>
      <c r="E272">
        <v>11</v>
      </c>
      <c r="F272" t="s">
        <v>45</v>
      </c>
      <c r="G272">
        <f>Earnings!G272</f>
        <v>1356450.774</v>
      </c>
      <c r="H272">
        <f>Deductions!B272+Deductions!C272+Deductions!D272+Tax!D272</f>
        <v>21996.081249999999</v>
      </c>
      <c r="I272">
        <f t="shared" si="8"/>
        <v>1334454.6927499999</v>
      </c>
      <c r="J272">
        <f>Overtime!D272</f>
        <v>0</v>
      </c>
      <c r="K272">
        <f>IF(C272="Junior",0.06,IF(C272="Mid",0.08,IF(C272="Senior",0.1,IF(C272="Manager",0.12,0))))</f>
        <v>0.12</v>
      </c>
      <c r="L272">
        <f>IF(Performance!E272&gt;2,0.03,IF(Performance!E272&gt;=1,0.01,-0.02))</f>
        <v>0.01</v>
      </c>
      <c r="M272">
        <f t="shared" si="9"/>
        <v>0.13</v>
      </c>
      <c r="N272">
        <f>Earnings!B272*(1+M272)</f>
        <v>1610072.8724999998</v>
      </c>
    </row>
    <row r="273" spans="1:14" x14ac:dyDescent="0.35">
      <c r="A273" t="s">
        <v>304</v>
      </c>
      <c r="B273" t="s">
        <v>20</v>
      </c>
      <c r="C273" t="s">
        <v>34</v>
      </c>
      <c r="D273" t="s">
        <v>17</v>
      </c>
      <c r="E273">
        <v>11</v>
      </c>
      <c r="F273" t="s">
        <v>71</v>
      </c>
      <c r="G273">
        <f>Earnings!G273</f>
        <v>1031723.336</v>
      </c>
      <c r="H273">
        <f>Deductions!B273+Deductions!C273+Deductions!D273+Tax!D273</f>
        <v>13468.574999999999</v>
      </c>
      <c r="I273">
        <f t="shared" si="8"/>
        <v>1018254.7610000001</v>
      </c>
      <c r="J273">
        <f>Overtime!D273</f>
        <v>0</v>
      </c>
      <c r="K273">
        <f>IF(C273="Junior",0.06,IF(C273="Mid",0.08,IF(C273="Senior",0.1,IF(C273="Manager",0.12,0))))</f>
        <v>0.08</v>
      </c>
      <c r="L273">
        <f>IF(Performance!E273&gt;2,0.03,IF(Performance!E273&gt;=1,0.01,-0.02))</f>
        <v>0.03</v>
      </c>
      <c r="M273">
        <f t="shared" si="9"/>
        <v>0.11</v>
      </c>
      <c r="N273">
        <f>Earnings!B273*(1+M273)</f>
        <v>1202954.7300000002</v>
      </c>
    </row>
    <row r="274" spans="1:14" x14ac:dyDescent="0.35">
      <c r="A274" t="s">
        <v>305</v>
      </c>
      <c r="B274" t="s">
        <v>30</v>
      </c>
      <c r="C274" t="s">
        <v>34</v>
      </c>
      <c r="D274" t="s">
        <v>17</v>
      </c>
      <c r="E274">
        <v>2</v>
      </c>
      <c r="F274" t="s">
        <v>28</v>
      </c>
      <c r="G274">
        <f>Earnings!G274</f>
        <v>990917.76</v>
      </c>
      <c r="H274">
        <f>Deductions!B274+Deductions!C274+Deductions!D274+Tax!D274</f>
        <v>12397</v>
      </c>
      <c r="I274">
        <f t="shared" si="8"/>
        <v>1082608.76</v>
      </c>
      <c r="J274">
        <f>Overtime!D274</f>
        <v>104088</v>
      </c>
      <c r="K274">
        <f>IF(C274="Junior",0.06,IF(C274="Mid",0.08,IF(C274="Senior",0.1,IF(C274="Manager",0.12,0))))</f>
        <v>0.08</v>
      </c>
      <c r="L274">
        <f>IF(Performance!E274&gt;2,0.03,IF(Performance!E274&gt;=1,0.01,-0.02))</f>
        <v>0.01</v>
      </c>
      <c r="M274">
        <f t="shared" si="9"/>
        <v>0.09</v>
      </c>
      <c r="N274">
        <f>Earnings!B274*(1+M274)</f>
        <v>1134559.2000000002</v>
      </c>
    </row>
    <row r="275" spans="1:14" x14ac:dyDescent="0.35">
      <c r="A275" t="s">
        <v>306</v>
      </c>
      <c r="B275" t="s">
        <v>15</v>
      </c>
      <c r="C275" t="s">
        <v>16</v>
      </c>
      <c r="D275" t="s">
        <v>17</v>
      </c>
      <c r="E275">
        <v>15</v>
      </c>
      <c r="F275" t="s">
        <v>23</v>
      </c>
      <c r="G275">
        <f>Earnings!G275</f>
        <v>826005.65599999996</v>
      </c>
      <c r="H275">
        <f>Deductions!B275+Deductions!C275+Deductions!D275+Tax!D275</f>
        <v>9169.2166666666672</v>
      </c>
      <c r="I275">
        <f t="shared" si="8"/>
        <v>816836.43933333328</v>
      </c>
      <c r="J275">
        <f>Overtime!D275</f>
        <v>0</v>
      </c>
      <c r="K275">
        <f>IF(C275="Junior",0.06,IF(C275="Mid",0.08,IF(C275="Senior",0.1,IF(C275="Manager",0.12,0))))</f>
        <v>0.06</v>
      </c>
      <c r="L275">
        <f>IF(Performance!E275&gt;2,0.03,IF(Performance!E275&gt;=1,0.01,-0.02))</f>
        <v>0.01</v>
      </c>
      <c r="M275">
        <f t="shared" si="9"/>
        <v>6.9999999999999993E-2</v>
      </c>
      <c r="N275">
        <f>Earnings!B275*(1+M275)</f>
        <v>928388.71000000008</v>
      </c>
    </row>
    <row r="276" spans="1:14" x14ac:dyDescent="0.35">
      <c r="A276" t="s">
        <v>307</v>
      </c>
      <c r="B276" t="s">
        <v>30</v>
      </c>
      <c r="C276" t="s">
        <v>44</v>
      </c>
      <c r="D276" t="s">
        <v>22</v>
      </c>
      <c r="E276">
        <v>1</v>
      </c>
      <c r="F276" t="s">
        <v>45</v>
      </c>
      <c r="G276">
        <f>Earnings!G276</f>
        <v>578507.59959999996</v>
      </c>
      <c r="H276">
        <f>Deductions!B276+Deductions!C276+Deductions!D276+Tax!D276</f>
        <v>4836.2674999999999</v>
      </c>
      <c r="I276">
        <f t="shared" si="8"/>
        <v>601016.75435000006</v>
      </c>
      <c r="J276">
        <f>Overtime!D276</f>
        <v>27345.422250000003</v>
      </c>
      <c r="K276">
        <f>IF(C276="Junior",0.06,IF(C276="Mid",0.08,IF(C276="Senior",0.1,IF(C276="Manager",0.12,0))))</f>
        <v>0.12</v>
      </c>
      <c r="L276">
        <f>IF(Performance!E276&gt;2,0.03,IF(Performance!E276&gt;=1,0.01,-0.02))</f>
        <v>0.01</v>
      </c>
      <c r="M276">
        <f t="shared" si="9"/>
        <v>0.13</v>
      </c>
      <c r="N276">
        <f>Earnings!B276*(1+M276)</f>
        <v>686673.93649999984</v>
      </c>
    </row>
    <row r="277" spans="1:14" x14ac:dyDescent="0.35">
      <c r="A277" t="s">
        <v>308</v>
      </c>
      <c r="B277" t="s">
        <v>20</v>
      </c>
      <c r="C277" t="s">
        <v>16</v>
      </c>
      <c r="D277" t="s">
        <v>17</v>
      </c>
      <c r="E277">
        <v>8</v>
      </c>
      <c r="F277" t="s">
        <v>23</v>
      </c>
      <c r="G277">
        <f>Earnings!G277</f>
        <v>639663.08000000007</v>
      </c>
      <c r="H277">
        <f>Deductions!B277+Deductions!C277+Deductions!D277+Tax!D277</f>
        <v>5906.9166666666661</v>
      </c>
      <c r="I277">
        <f t="shared" si="8"/>
        <v>633756.16333333345</v>
      </c>
      <c r="J277">
        <f>Overtime!D277</f>
        <v>0</v>
      </c>
      <c r="K277">
        <f>IF(C277="Junior",0.06,IF(C277="Mid",0.08,IF(C277="Senior",0.1,IF(C277="Manager",0.12,0))))</f>
        <v>0.06</v>
      </c>
      <c r="L277">
        <f>IF(Performance!E277&gt;2,0.03,IF(Performance!E277&gt;=1,0.01,-0.02))</f>
        <v>0.03</v>
      </c>
      <c r="M277">
        <f t="shared" si="9"/>
        <v>0.09</v>
      </c>
      <c r="N277">
        <f>Earnings!B277*(1+M277)</f>
        <v>732387.35000000009</v>
      </c>
    </row>
    <row r="278" spans="1:14" x14ac:dyDescent="0.35">
      <c r="A278" t="s">
        <v>309</v>
      </c>
      <c r="B278" t="s">
        <v>30</v>
      </c>
      <c r="C278" t="s">
        <v>16</v>
      </c>
      <c r="D278" t="s">
        <v>22</v>
      </c>
      <c r="E278">
        <v>1</v>
      </c>
      <c r="F278" t="s">
        <v>18</v>
      </c>
      <c r="G278">
        <f>Earnings!G278</f>
        <v>741493.14119999995</v>
      </c>
      <c r="H278">
        <f>Deductions!B278+Deductions!C278+Deductions!D278+Tax!D278</f>
        <v>7689.6558333333332</v>
      </c>
      <c r="I278">
        <f t="shared" si="8"/>
        <v>733803.48536666657</v>
      </c>
      <c r="J278">
        <f>Overtime!D278</f>
        <v>0</v>
      </c>
      <c r="K278">
        <f>IF(C278="Junior",0.06,IF(C278="Mid",0.08,IF(C278="Senior",0.1,IF(C278="Manager",0.12,0))))</f>
        <v>0.06</v>
      </c>
      <c r="L278">
        <f>IF(Performance!E278&gt;2,0.03,IF(Performance!E278&gt;=1,0.01,-0.02))</f>
        <v>0.01</v>
      </c>
      <c r="M278">
        <f t="shared" si="9"/>
        <v>6.9999999999999993E-2</v>
      </c>
      <c r="N278">
        <f>Earnings!B278*(1+M278)</f>
        <v>833400.90450000006</v>
      </c>
    </row>
    <row r="279" spans="1:14" x14ac:dyDescent="0.35">
      <c r="A279" t="s">
        <v>310</v>
      </c>
      <c r="B279" t="s">
        <v>30</v>
      </c>
      <c r="C279" t="s">
        <v>16</v>
      </c>
      <c r="D279" t="s">
        <v>17</v>
      </c>
      <c r="E279">
        <v>11</v>
      </c>
      <c r="F279" t="s">
        <v>23</v>
      </c>
      <c r="G279">
        <f>Earnings!G279</f>
        <v>886887.96</v>
      </c>
      <c r="H279">
        <f>Deductions!B279+Deductions!C279+Deductions!D279+Tax!D279</f>
        <v>10235.083333333334</v>
      </c>
      <c r="I279">
        <f t="shared" si="8"/>
        <v>997761.52666666661</v>
      </c>
      <c r="J279">
        <f>Overtime!D279</f>
        <v>121108.65</v>
      </c>
      <c r="K279">
        <f>IF(C279="Junior",0.06,IF(C279="Mid",0.08,IF(C279="Senior",0.1,IF(C279="Manager",0.12,0))))</f>
        <v>0.06</v>
      </c>
      <c r="L279">
        <f>IF(Performance!E279&gt;2,0.03,IF(Performance!E279&gt;=1,0.01,-0.02))</f>
        <v>0.01</v>
      </c>
      <c r="M279">
        <f t="shared" si="9"/>
        <v>6.9999999999999993E-2</v>
      </c>
      <c r="N279">
        <f>Earnings!B279*(1+M279)</f>
        <v>996817.35000000009</v>
      </c>
    </row>
    <row r="280" spans="1:14" x14ac:dyDescent="0.35">
      <c r="A280" t="s">
        <v>311</v>
      </c>
      <c r="B280" t="s">
        <v>20</v>
      </c>
      <c r="C280" t="s">
        <v>21</v>
      </c>
      <c r="D280" t="s">
        <v>22</v>
      </c>
      <c r="E280">
        <v>13</v>
      </c>
      <c r="F280" t="s">
        <v>32</v>
      </c>
      <c r="G280">
        <f>Earnings!G280</f>
        <v>1089291.014</v>
      </c>
      <c r="H280">
        <f>Deductions!B280+Deductions!C280+Deductions!D280+Tax!D280</f>
        <v>14980.331250000001</v>
      </c>
      <c r="I280">
        <f t="shared" si="8"/>
        <v>1074310.6827499999</v>
      </c>
      <c r="J280">
        <f>Overtime!D280</f>
        <v>0</v>
      </c>
      <c r="K280">
        <f>IF(C280="Junior",0.06,IF(C280="Mid",0.08,IF(C280="Senior",0.1,IF(C280="Manager",0.12,0))))</f>
        <v>0.1</v>
      </c>
      <c r="L280">
        <f>IF(Performance!E280&gt;2,0.03,IF(Performance!E280&gt;=1,0.01,-0.02))</f>
        <v>0.03</v>
      </c>
      <c r="M280">
        <f t="shared" si="9"/>
        <v>0.13</v>
      </c>
      <c r="N280">
        <f>Earnings!B280*(1+M280)</f>
        <v>1292960.9724999999</v>
      </c>
    </row>
    <row r="281" spans="1:14" x14ac:dyDescent="0.35">
      <c r="A281" t="s">
        <v>312</v>
      </c>
      <c r="B281" t="s">
        <v>27</v>
      </c>
      <c r="C281" t="s">
        <v>21</v>
      </c>
      <c r="D281" t="s">
        <v>17</v>
      </c>
      <c r="E281">
        <v>15</v>
      </c>
      <c r="F281" t="s">
        <v>45</v>
      </c>
      <c r="G281">
        <f>Earnings!G281</f>
        <v>977902.96799999999</v>
      </c>
      <c r="H281">
        <f>Deductions!B281+Deductions!C281+Deductions!D281+Tax!D281</f>
        <v>12055.225</v>
      </c>
      <c r="I281">
        <f t="shared" si="8"/>
        <v>965847.74300000002</v>
      </c>
      <c r="J281">
        <f>Overtime!D281</f>
        <v>0</v>
      </c>
      <c r="K281">
        <f>IF(C281="Junior",0.06,IF(C281="Mid",0.08,IF(C281="Senior",0.1,IF(C281="Manager",0.12,0))))</f>
        <v>0.1</v>
      </c>
      <c r="L281">
        <f>IF(Performance!E281&gt;2,0.03,IF(Performance!E281&gt;=1,0.01,-0.02))</f>
        <v>0.01</v>
      </c>
      <c r="M281">
        <f t="shared" si="9"/>
        <v>0.11</v>
      </c>
      <c r="N281">
        <f>Earnings!B281*(1+M281)</f>
        <v>1140201.99</v>
      </c>
    </row>
    <row r="282" spans="1:14" x14ac:dyDescent="0.35">
      <c r="A282" t="s">
        <v>313</v>
      </c>
      <c r="B282" t="s">
        <v>27</v>
      </c>
      <c r="C282" t="s">
        <v>34</v>
      </c>
      <c r="D282" t="s">
        <v>17</v>
      </c>
      <c r="E282">
        <v>5</v>
      </c>
      <c r="F282" t="s">
        <v>25</v>
      </c>
      <c r="G282">
        <f>Earnings!G282</f>
        <v>615524.16799999995</v>
      </c>
      <c r="H282">
        <f>Deductions!B282+Deductions!C282+Deductions!D282+Tax!D282</f>
        <v>5484.3166666666675</v>
      </c>
      <c r="I282">
        <f t="shared" si="8"/>
        <v>610039.8513333333</v>
      </c>
      <c r="J282">
        <f>Overtime!D282</f>
        <v>0</v>
      </c>
      <c r="K282">
        <f>IF(C282="Junior",0.06,IF(C282="Mid",0.08,IF(C282="Senior",0.1,IF(C282="Manager",0.12,0))))</f>
        <v>0.08</v>
      </c>
      <c r="L282">
        <f>IF(Performance!E282&gt;2,0.03,IF(Performance!E282&gt;=1,0.01,-0.02))</f>
        <v>0.01</v>
      </c>
      <c r="M282">
        <f t="shared" si="9"/>
        <v>0.09</v>
      </c>
      <c r="N282">
        <f>Earnings!B282*(1+M282)</f>
        <v>704749.31</v>
      </c>
    </row>
    <row r="283" spans="1:14" x14ac:dyDescent="0.35">
      <c r="A283" t="s">
        <v>314</v>
      </c>
      <c r="B283" t="s">
        <v>30</v>
      </c>
      <c r="C283" t="s">
        <v>16</v>
      </c>
      <c r="D283" t="s">
        <v>22</v>
      </c>
      <c r="E283">
        <v>13</v>
      </c>
      <c r="F283" t="s">
        <v>18</v>
      </c>
      <c r="G283">
        <f>Earnings!G283</f>
        <v>1415662.7464000001</v>
      </c>
      <c r="H283">
        <f>Deductions!B283+Deductions!C283+Deductions!D283+Tax!D283</f>
        <v>23551.017499999998</v>
      </c>
      <c r="I283">
        <f t="shared" si="8"/>
        <v>1392111.7289</v>
      </c>
      <c r="J283">
        <f>Overtime!D283</f>
        <v>0</v>
      </c>
      <c r="K283">
        <f>IF(C283="Junior",0.06,IF(C283="Mid",0.08,IF(C283="Senior",0.1,IF(C283="Manager",0.12,0))))</f>
        <v>0.06</v>
      </c>
      <c r="L283">
        <f>IF(Performance!E283&gt;2,0.03,IF(Performance!E283&gt;=1,0.01,-0.02))</f>
        <v>0.01</v>
      </c>
      <c r="M283">
        <f t="shared" si="9"/>
        <v>6.9999999999999993E-2</v>
      </c>
      <c r="N283">
        <f>Earnings!B283*(1+M283)</f>
        <v>1591133.5490000001</v>
      </c>
    </row>
    <row r="284" spans="1:14" x14ac:dyDescent="0.35">
      <c r="A284" t="s">
        <v>315</v>
      </c>
      <c r="B284" t="s">
        <v>36</v>
      </c>
      <c r="C284" t="s">
        <v>16</v>
      </c>
      <c r="D284" t="s">
        <v>22</v>
      </c>
      <c r="E284">
        <v>2</v>
      </c>
      <c r="F284" t="s">
        <v>18</v>
      </c>
      <c r="G284">
        <f>Earnings!G284</f>
        <v>824422.09919999994</v>
      </c>
      <c r="H284">
        <f>Deductions!B284+Deductions!C284+Deductions!D284+Tax!D284</f>
        <v>9141.493333333332</v>
      </c>
      <c r="I284">
        <f t="shared" si="8"/>
        <v>815280.60586666665</v>
      </c>
      <c r="J284">
        <f>Overtime!D284</f>
        <v>0</v>
      </c>
      <c r="K284">
        <f>IF(C284="Junior",0.06,IF(C284="Mid",0.08,IF(C284="Senior",0.1,IF(C284="Manager",0.12,0))))</f>
        <v>0.06</v>
      </c>
      <c r="L284">
        <f>IF(Performance!E284&gt;2,0.03,IF(Performance!E284&gt;=1,0.01,-0.02))</f>
        <v>0.01</v>
      </c>
      <c r="M284">
        <f t="shared" si="9"/>
        <v>6.9999999999999993E-2</v>
      </c>
      <c r="N284">
        <f>Earnings!B284*(1+M284)</f>
        <v>926608.87199999997</v>
      </c>
    </row>
    <row r="285" spans="1:14" x14ac:dyDescent="0.35">
      <c r="A285" t="s">
        <v>316</v>
      </c>
      <c r="B285" t="s">
        <v>30</v>
      </c>
      <c r="C285" t="s">
        <v>16</v>
      </c>
      <c r="D285" t="s">
        <v>17</v>
      </c>
      <c r="E285">
        <v>6</v>
      </c>
      <c r="F285" t="s">
        <v>25</v>
      </c>
      <c r="G285">
        <f>Earnings!G285</f>
        <v>946616.44</v>
      </c>
      <c r="H285">
        <f>Deductions!B285+Deductions!C285+Deductions!D285+Tax!D285</f>
        <v>11280.75</v>
      </c>
      <c r="I285">
        <f t="shared" si="8"/>
        <v>935335.69</v>
      </c>
      <c r="J285">
        <f>Overtime!D285</f>
        <v>0</v>
      </c>
      <c r="K285">
        <f>IF(C285="Junior",0.06,IF(C285="Mid",0.08,IF(C285="Senior",0.1,IF(C285="Manager",0.12,0))))</f>
        <v>0.06</v>
      </c>
      <c r="L285">
        <f>IF(Performance!E285&gt;2,0.03,IF(Performance!E285&gt;=1,0.01,-0.02))</f>
        <v>0.01</v>
      </c>
      <c r="M285">
        <f t="shared" si="9"/>
        <v>6.9999999999999993E-2</v>
      </c>
      <c r="N285">
        <f>Earnings!B285*(1+M285)</f>
        <v>1063949.1500000001</v>
      </c>
    </row>
    <row r="286" spans="1:14" x14ac:dyDescent="0.35">
      <c r="A286" t="s">
        <v>317</v>
      </c>
      <c r="B286" t="s">
        <v>30</v>
      </c>
      <c r="C286" t="s">
        <v>44</v>
      </c>
      <c r="D286" t="s">
        <v>22</v>
      </c>
      <c r="E286">
        <v>2</v>
      </c>
      <c r="F286" t="s">
        <v>28</v>
      </c>
      <c r="G286">
        <f>Earnings!G286</f>
        <v>811018.89119999995</v>
      </c>
      <c r="H286">
        <f>Deductions!B286+Deductions!C286+Deductions!D286+Tax!D286</f>
        <v>8906.8433333333342</v>
      </c>
      <c r="I286">
        <f t="shared" si="8"/>
        <v>802112.04786666657</v>
      </c>
      <c r="J286">
        <f>Overtime!D286</f>
        <v>0</v>
      </c>
      <c r="K286">
        <f>IF(C286="Junior",0.06,IF(C286="Mid",0.08,IF(C286="Senior",0.1,IF(C286="Manager",0.12,0))))</f>
        <v>0.12</v>
      </c>
      <c r="L286">
        <f>IF(Performance!E286&gt;2,0.03,IF(Performance!E286&gt;=1,0.01,-0.02))</f>
        <v>0.01</v>
      </c>
      <c r="M286">
        <f t="shared" si="9"/>
        <v>0.13</v>
      </c>
      <c r="N286">
        <f>Earnings!B286*(1+M286)</f>
        <v>962658.97799999989</v>
      </c>
    </row>
    <row r="287" spans="1:14" x14ac:dyDescent="0.35">
      <c r="A287" t="s">
        <v>318</v>
      </c>
      <c r="B287" t="s">
        <v>30</v>
      </c>
      <c r="C287" t="s">
        <v>44</v>
      </c>
      <c r="D287" t="s">
        <v>22</v>
      </c>
      <c r="E287">
        <v>3</v>
      </c>
      <c r="F287" t="s">
        <v>38</v>
      </c>
      <c r="G287">
        <f>Earnings!G287</f>
        <v>1010746.5872</v>
      </c>
      <c r="H287">
        <f>Deductions!B287+Deductions!C287+Deductions!D287+Tax!D287</f>
        <v>12917.715000000002</v>
      </c>
      <c r="I287">
        <f t="shared" si="8"/>
        <v>1045605.7592</v>
      </c>
      <c r="J287">
        <f>Overtime!D287</f>
        <v>47776.887000000017</v>
      </c>
      <c r="K287">
        <f>IF(C287="Junior",0.06,IF(C287="Mid",0.08,IF(C287="Senior",0.1,IF(C287="Manager",0.12,0))))</f>
        <v>0.12</v>
      </c>
      <c r="L287">
        <f>IF(Performance!E287&gt;2,0.03,IF(Performance!E287&gt;=1,0.01,-0.02))</f>
        <v>0.01</v>
      </c>
      <c r="M287">
        <f t="shared" si="9"/>
        <v>0.13</v>
      </c>
      <c r="N287">
        <f>Earnings!B287*(1+M287)</f>
        <v>1199730.7179999999</v>
      </c>
    </row>
    <row r="288" spans="1:14" x14ac:dyDescent="0.35">
      <c r="A288" t="s">
        <v>319</v>
      </c>
      <c r="B288" t="s">
        <v>30</v>
      </c>
      <c r="C288" t="s">
        <v>34</v>
      </c>
      <c r="D288" t="s">
        <v>22</v>
      </c>
      <c r="E288">
        <v>0</v>
      </c>
      <c r="F288" t="s">
        <v>32</v>
      </c>
      <c r="G288">
        <f>Earnings!G288</f>
        <v>619168.51919999998</v>
      </c>
      <c r="H288">
        <f>Deductions!B288+Deductions!C288+Deductions!D288+Tax!D288</f>
        <v>5548.1183333333338</v>
      </c>
      <c r="I288">
        <f t="shared" si="8"/>
        <v>655895.56236666674</v>
      </c>
      <c r="J288">
        <f>Overtime!D288</f>
        <v>42275.161500000002</v>
      </c>
      <c r="K288">
        <f>IF(C288="Junior",0.06,IF(C288="Mid",0.08,IF(C288="Senior",0.1,IF(C288="Manager",0.12,0))))</f>
        <v>0.08</v>
      </c>
      <c r="L288">
        <f>IF(Performance!E288&gt;2,0.03,IF(Performance!E288&gt;=1,0.01,-0.02))</f>
        <v>0.01</v>
      </c>
      <c r="M288">
        <f t="shared" si="9"/>
        <v>0.09</v>
      </c>
      <c r="N288">
        <f>Earnings!B288*(1+M288)</f>
        <v>708921.93900000001</v>
      </c>
    </row>
    <row r="289" spans="1:14" x14ac:dyDescent="0.35">
      <c r="A289" t="s">
        <v>320</v>
      </c>
      <c r="B289" t="s">
        <v>15</v>
      </c>
      <c r="C289" t="s">
        <v>34</v>
      </c>
      <c r="D289" t="s">
        <v>17</v>
      </c>
      <c r="E289">
        <v>6</v>
      </c>
      <c r="F289" t="s">
        <v>71</v>
      </c>
      <c r="G289">
        <f>Earnings!G289</f>
        <v>510589.96799999999</v>
      </c>
      <c r="H289">
        <f>Deductions!B289+Deductions!C289+Deductions!D289+Tax!D289</f>
        <v>3647.2333333333336</v>
      </c>
      <c r="I289">
        <f t="shared" si="8"/>
        <v>582029.49466666672</v>
      </c>
      <c r="J289">
        <f>Overtime!D289</f>
        <v>75086.760000000009</v>
      </c>
      <c r="K289">
        <f>IF(C289="Junior",0.06,IF(C289="Mid",0.08,IF(C289="Senior",0.1,IF(C289="Manager",0.12,0))))</f>
        <v>0.08</v>
      </c>
      <c r="L289">
        <f>IF(Performance!E289&gt;2,0.03,IF(Performance!E289&gt;=1,0.01,-0.02))</f>
        <v>0.01</v>
      </c>
      <c r="M289">
        <f t="shared" si="9"/>
        <v>0.09</v>
      </c>
      <c r="N289">
        <f>Earnings!B289*(1+M289)</f>
        <v>584604.06000000006</v>
      </c>
    </row>
    <row r="290" spans="1:14" x14ac:dyDescent="0.35">
      <c r="A290" t="s">
        <v>321</v>
      </c>
      <c r="B290" t="s">
        <v>27</v>
      </c>
      <c r="C290" t="s">
        <v>21</v>
      </c>
      <c r="D290" t="s">
        <v>22</v>
      </c>
      <c r="E290">
        <v>9</v>
      </c>
      <c r="F290" t="s">
        <v>25</v>
      </c>
      <c r="G290">
        <f>Earnings!G290</f>
        <v>860464.24800000002</v>
      </c>
      <c r="H290">
        <f>Deductions!B290+Deductions!C290+Deductions!D290+Tax!D290</f>
        <v>9772.4833333333336</v>
      </c>
      <c r="I290">
        <f t="shared" si="8"/>
        <v>850691.76466666674</v>
      </c>
      <c r="J290">
        <f>Overtime!D290</f>
        <v>0</v>
      </c>
      <c r="K290">
        <f>IF(C290="Junior",0.06,IF(C290="Mid",0.08,IF(C290="Senior",0.1,IF(C290="Manager",0.12,0))))</f>
        <v>0.1</v>
      </c>
      <c r="L290">
        <f>IF(Performance!E290&gt;2,0.03,IF(Performance!E290&gt;=1,0.01,-0.02))</f>
        <v>0.01</v>
      </c>
      <c r="M290">
        <f t="shared" si="9"/>
        <v>0.11</v>
      </c>
      <c r="N290">
        <f>Earnings!B290*(1+M290)</f>
        <v>1003272.3900000001</v>
      </c>
    </row>
    <row r="291" spans="1:14" x14ac:dyDescent="0.35">
      <c r="A291" t="s">
        <v>322</v>
      </c>
      <c r="B291" t="s">
        <v>36</v>
      </c>
      <c r="C291" t="s">
        <v>16</v>
      </c>
      <c r="D291" t="s">
        <v>17</v>
      </c>
      <c r="E291">
        <v>1</v>
      </c>
      <c r="F291" t="s">
        <v>28</v>
      </c>
      <c r="G291">
        <f>Earnings!G291</f>
        <v>800671.03200000001</v>
      </c>
      <c r="H291">
        <f>Deductions!B291+Deductions!C291+Deductions!D291+Tax!D291</f>
        <v>8725.6833333333343</v>
      </c>
      <c r="I291">
        <f t="shared" si="8"/>
        <v>791945.34866666666</v>
      </c>
      <c r="J291">
        <f>Overtime!D291</f>
        <v>0</v>
      </c>
      <c r="K291">
        <f>IF(C291="Junior",0.06,IF(C291="Mid",0.08,IF(C291="Senior",0.1,IF(C291="Manager",0.12,0))))</f>
        <v>0.06</v>
      </c>
      <c r="L291">
        <f>IF(Performance!E291&gt;2,0.03,IF(Performance!E291&gt;=1,0.01,-0.02))</f>
        <v>0.01</v>
      </c>
      <c r="M291">
        <f t="shared" si="9"/>
        <v>6.9999999999999993E-2</v>
      </c>
      <c r="N291">
        <f>Earnings!B291*(1+M291)</f>
        <v>899913.87</v>
      </c>
    </row>
    <row r="292" spans="1:14" x14ac:dyDescent="0.35">
      <c r="A292" t="s">
        <v>323</v>
      </c>
      <c r="B292" t="s">
        <v>30</v>
      </c>
      <c r="C292" t="s">
        <v>44</v>
      </c>
      <c r="D292" t="s">
        <v>17</v>
      </c>
      <c r="E292">
        <v>11</v>
      </c>
      <c r="F292" t="s">
        <v>32</v>
      </c>
      <c r="G292">
        <f>Earnings!G292</f>
        <v>1121460.76</v>
      </c>
      <c r="H292">
        <f>Deductions!B292+Deductions!C292+Deductions!D292+Tax!D292</f>
        <v>15825.125</v>
      </c>
      <c r="I292">
        <f t="shared" si="8"/>
        <v>1105635.635</v>
      </c>
      <c r="J292">
        <f>Overtime!D292</f>
        <v>0</v>
      </c>
      <c r="K292">
        <f>IF(C292="Junior",0.06,IF(C292="Mid",0.08,IF(C292="Senior",0.1,IF(C292="Manager",0.12,0))))</f>
        <v>0.12</v>
      </c>
      <c r="L292">
        <f>IF(Performance!E292&gt;2,0.03,IF(Performance!E292&gt;=1,0.01,-0.02))</f>
        <v>0.01</v>
      </c>
      <c r="M292">
        <f t="shared" si="9"/>
        <v>0.13</v>
      </c>
      <c r="N292">
        <f>Earnings!B292*(1+M292)</f>
        <v>1331145.6499999999</v>
      </c>
    </row>
    <row r="293" spans="1:14" x14ac:dyDescent="0.35">
      <c r="A293" t="s">
        <v>324</v>
      </c>
      <c r="B293" t="s">
        <v>30</v>
      </c>
      <c r="C293" t="s">
        <v>34</v>
      </c>
      <c r="D293" t="s">
        <v>17</v>
      </c>
      <c r="E293">
        <v>10</v>
      </c>
      <c r="F293" t="s">
        <v>28</v>
      </c>
      <c r="G293">
        <f>Earnings!G293</f>
        <v>1184731.632</v>
      </c>
      <c r="H293">
        <f>Deductions!B293+Deductions!C293+Deductions!D293+Tax!D293</f>
        <v>17486.650000000001</v>
      </c>
      <c r="I293">
        <f t="shared" si="8"/>
        <v>1167244.9820000001</v>
      </c>
      <c r="J293">
        <f>Overtime!D293</f>
        <v>0</v>
      </c>
      <c r="K293">
        <f>IF(C293="Junior",0.06,IF(C293="Mid",0.08,IF(C293="Senior",0.1,IF(C293="Manager",0.12,0))))</f>
        <v>0.08</v>
      </c>
      <c r="L293">
        <f>IF(Performance!E293&gt;2,0.03,IF(Performance!E293&gt;=1,0.01,-0.02))</f>
        <v>0.01</v>
      </c>
      <c r="M293">
        <f t="shared" si="9"/>
        <v>0.09</v>
      </c>
      <c r="N293">
        <f>Earnings!B293*(1+M293)</f>
        <v>1356467.9400000002</v>
      </c>
    </row>
    <row r="294" spans="1:14" x14ac:dyDescent="0.35">
      <c r="A294" t="s">
        <v>325</v>
      </c>
      <c r="B294" t="s">
        <v>27</v>
      </c>
      <c r="C294" t="s">
        <v>16</v>
      </c>
      <c r="D294" t="s">
        <v>22</v>
      </c>
      <c r="E294">
        <v>10</v>
      </c>
      <c r="F294" t="s">
        <v>23</v>
      </c>
      <c r="G294">
        <f>Earnings!G294</f>
        <v>759095.47839999991</v>
      </c>
      <c r="H294">
        <f>Deductions!B294+Deductions!C294+Deductions!D294+Tax!D294</f>
        <v>7997.82</v>
      </c>
      <c r="I294">
        <f t="shared" si="8"/>
        <v>751097.65839999996</v>
      </c>
      <c r="J294">
        <f>Overtime!D294</f>
        <v>0</v>
      </c>
      <c r="K294">
        <f>IF(C294="Junior",0.06,IF(C294="Mid",0.08,IF(C294="Senior",0.1,IF(C294="Manager",0.12,0))))</f>
        <v>0.06</v>
      </c>
      <c r="L294">
        <f>IF(Performance!E294&gt;2,0.03,IF(Performance!E294&gt;=1,0.01,-0.02))</f>
        <v>0.01</v>
      </c>
      <c r="M294">
        <f t="shared" si="9"/>
        <v>6.9999999999999993E-2</v>
      </c>
      <c r="N294">
        <f>Earnings!B294*(1+M294)</f>
        <v>853185.04399999999</v>
      </c>
    </row>
    <row r="295" spans="1:14" x14ac:dyDescent="0.35">
      <c r="A295" t="s">
        <v>326</v>
      </c>
      <c r="B295" t="s">
        <v>27</v>
      </c>
      <c r="C295" t="s">
        <v>44</v>
      </c>
      <c r="D295" t="s">
        <v>22</v>
      </c>
      <c r="E295">
        <v>5</v>
      </c>
      <c r="F295" t="s">
        <v>32</v>
      </c>
      <c r="G295">
        <f>Earnings!G295</f>
        <v>749730.41639999999</v>
      </c>
      <c r="H295">
        <f>Deductions!B295+Deductions!C295+Deductions!D295+Tax!D295</f>
        <v>7833.8658333333324</v>
      </c>
      <c r="I295">
        <f t="shared" si="8"/>
        <v>804899.10656666663</v>
      </c>
      <c r="J295">
        <f>Overtime!D295</f>
        <v>63002.556000000004</v>
      </c>
      <c r="K295">
        <f>IF(C295="Junior",0.06,IF(C295="Mid",0.08,IF(C295="Senior",0.1,IF(C295="Manager",0.12,0))))</f>
        <v>0.12</v>
      </c>
      <c r="L295">
        <f>IF(Performance!E295&gt;2,0.03,IF(Performance!E295&gt;=1,0.01,-0.02))</f>
        <v>0.01</v>
      </c>
      <c r="M295">
        <f t="shared" si="9"/>
        <v>0.13</v>
      </c>
      <c r="N295">
        <f>Earnings!B295*(1+M295)</f>
        <v>889911.10349999985</v>
      </c>
    </row>
    <row r="296" spans="1:14" x14ac:dyDescent="0.35">
      <c r="A296" t="s">
        <v>327</v>
      </c>
      <c r="B296" t="s">
        <v>30</v>
      </c>
      <c r="C296" t="s">
        <v>21</v>
      </c>
      <c r="D296" t="s">
        <v>17</v>
      </c>
      <c r="E296">
        <v>3</v>
      </c>
      <c r="F296" t="s">
        <v>38</v>
      </c>
      <c r="G296">
        <f>Earnings!G296</f>
        <v>1058013.7679999999</v>
      </c>
      <c r="H296">
        <f>Deductions!B296+Deductions!C296+Deductions!D296+Tax!D296</f>
        <v>14158.975</v>
      </c>
      <c r="I296">
        <f t="shared" si="8"/>
        <v>1043854.7929999999</v>
      </c>
      <c r="J296">
        <f>Overtime!D296</f>
        <v>0</v>
      </c>
      <c r="K296">
        <f>IF(C296="Junior",0.06,IF(C296="Mid",0.08,IF(C296="Senior",0.1,IF(C296="Manager",0.12,0))))</f>
        <v>0.1</v>
      </c>
      <c r="L296">
        <f>IF(Performance!E296&gt;2,0.03,IF(Performance!E296&gt;=1,0.01,-0.02))</f>
        <v>0.01</v>
      </c>
      <c r="M296">
        <f t="shared" si="9"/>
        <v>0.11</v>
      </c>
      <c r="N296">
        <f>Earnings!B296*(1+M296)</f>
        <v>1233608.4900000002</v>
      </c>
    </row>
    <row r="297" spans="1:14" x14ac:dyDescent="0.35">
      <c r="A297" t="s">
        <v>328</v>
      </c>
      <c r="B297" t="s">
        <v>36</v>
      </c>
      <c r="C297" t="s">
        <v>16</v>
      </c>
      <c r="D297" t="s">
        <v>22</v>
      </c>
      <c r="E297">
        <v>5</v>
      </c>
      <c r="F297" t="s">
        <v>18</v>
      </c>
      <c r="G297">
        <f>Earnings!G297</f>
        <v>889383.34239999996</v>
      </c>
      <c r="H297">
        <f>Deductions!B297+Deductions!C297+Deductions!D297+Tax!D297</f>
        <v>10278.769999999999</v>
      </c>
      <c r="I297">
        <f t="shared" si="8"/>
        <v>879104.57239999995</v>
      </c>
      <c r="J297">
        <f>Overtime!D297</f>
        <v>0</v>
      </c>
      <c r="K297">
        <f>IF(C297="Junior",0.06,IF(C297="Mid",0.08,IF(C297="Senior",0.1,IF(C297="Manager",0.12,0))))</f>
        <v>0.06</v>
      </c>
      <c r="L297">
        <f>IF(Performance!E297&gt;2,0.03,IF(Performance!E297&gt;=1,0.01,-0.02))</f>
        <v>0.01</v>
      </c>
      <c r="M297">
        <f t="shared" si="9"/>
        <v>6.9999999999999993E-2</v>
      </c>
      <c r="N297">
        <f>Earnings!B297*(1+M297)</f>
        <v>999622.03399999999</v>
      </c>
    </row>
    <row r="298" spans="1:14" x14ac:dyDescent="0.35">
      <c r="A298" t="s">
        <v>329</v>
      </c>
      <c r="B298" t="s">
        <v>27</v>
      </c>
      <c r="C298" t="s">
        <v>44</v>
      </c>
      <c r="D298" t="s">
        <v>17</v>
      </c>
      <c r="E298">
        <v>6</v>
      </c>
      <c r="F298" t="s">
        <v>23</v>
      </c>
      <c r="G298">
        <f>Earnings!G298</f>
        <v>660601.36800000002</v>
      </c>
      <c r="H298">
        <f>Deductions!B298+Deductions!C298+Deductions!D298+Tax!D298</f>
        <v>6273.4833333333336</v>
      </c>
      <c r="I298">
        <f t="shared" si="8"/>
        <v>751475.14466666675</v>
      </c>
      <c r="J298">
        <f>Overtime!D298</f>
        <v>97147.26</v>
      </c>
      <c r="K298">
        <f>IF(C298="Junior",0.06,IF(C298="Mid",0.08,IF(C298="Senior",0.1,IF(C298="Manager",0.12,0))))</f>
        <v>0.12</v>
      </c>
      <c r="L298">
        <f>IF(Performance!E298&gt;2,0.03,IF(Performance!E298&gt;=1,0.01,-0.02))</f>
        <v>0.01</v>
      </c>
      <c r="M298">
        <f t="shared" si="9"/>
        <v>0.13</v>
      </c>
      <c r="N298">
        <f>Earnings!B298*(1+M298)</f>
        <v>784117.16999999993</v>
      </c>
    </row>
    <row r="299" spans="1:14" x14ac:dyDescent="0.35">
      <c r="A299" t="s">
        <v>330</v>
      </c>
      <c r="B299" t="s">
        <v>15</v>
      </c>
      <c r="C299" t="s">
        <v>44</v>
      </c>
      <c r="D299" t="s">
        <v>22</v>
      </c>
      <c r="E299">
        <v>2</v>
      </c>
      <c r="F299" t="s">
        <v>45</v>
      </c>
      <c r="G299">
        <f>Earnings!G299</f>
        <v>467573.89559999999</v>
      </c>
      <c r="H299">
        <f>Deductions!B299+Deductions!C299+Deductions!D299+Tax!D299</f>
        <v>3004.7877083333333</v>
      </c>
      <c r="I299">
        <f t="shared" si="8"/>
        <v>464569.10789166664</v>
      </c>
      <c r="J299">
        <f>Overtime!D299</f>
        <v>0</v>
      </c>
      <c r="K299">
        <f>IF(C299="Junior",0.06,IF(C299="Mid",0.08,IF(C299="Senior",0.1,IF(C299="Manager",0.12,0))))</f>
        <v>0.12</v>
      </c>
      <c r="L299">
        <f>IF(Performance!E299&gt;2,0.03,IF(Performance!E299&gt;=1,0.01,-0.02))</f>
        <v>0.01</v>
      </c>
      <c r="M299">
        <f t="shared" si="9"/>
        <v>0.13</v>
      </c>
      <c r="N299">
        <f>Earnings!B299*(1+M299)</f>
        <v>554998.42649999994</v>
      </c>
    </row>
    <row r="300" spans="1:14" x14ac:dyDescent="0.35">
      <c r="A300" t="s">
        <v>331</v>
      </c>
      <c r="B300" t="s">
        <v>15</v>
      </c>
      <c r="C300" t="s">
        <v>34</v>
      </c>
      <c r="D300" t="s">
        <v>17</v>
      </c>
      <c r="E300">
        <v>11</v>
      </c>
      <c r="F300" t="s">
        <v>38</v>
      </c>
      <c r="G300">
        <f>Earnings!G300</f>
        <v>884038.62399999984</v>
      </c>
      <c r="H300">
        <f>Deductions!B300+Deductions!C300+Deductions!D300+Tax!D300</f>
        <v>10185.200000000001</v>
      </c>
      <c r="I300">
        <f t="shared" si="8"/>
        <v>962071.5639999999</v>
      </c>
      <c r="J300">
        <f>Overtime!D300</f>
        <v>88218.139999999985</v>
      </c>
      <c r="K300">
        <f>IF(C300="Junior",0.06,IF(C300="Mid",0.08,IF(C300="Senior",0.1,IF(C300="Manager",0.12,0))))</f>
        <v>0.08</v>
      </c>
      <c r="L300">
        <f>IF(Performance!E300&gt;2,0.03,IF(Performance!E300&gt;=1,0.01,-0.02))</f>
        <v>0.01</v>
      </c>
      <c r="M300">
        <f t="shared" si="9"/>
        <v>0.09</v>
      </c>
      <c r="N300">
        <f>Earnings!B300*(1+M300)</f>
        <v>1012187.0800000001</v>
      </c>
    </row>
    <row r="301" spans="1:14" x14ac:dyDescent="0.35">
      <c r="A301" t="s">
        <v>332</v>
      </c>
      <c r="B301" t="s">
        <v>36</v>
      </c>
      <c r="C301" t="s">
        <v>34</v>
      </c>
      <c r="D301" t="s">
        <v>17</v>
      </c>
      <c r="E301">
        <v>9</v>
      </c>
      <c r="F301" t="s">
        <v>45</v>
      </c>
      <c r="G301">
        <f>Earnings!G301</f>
        <v>1185687.44</v>
      </c>
      <c r="H301">
        <f>Deductions!B301+Deductions!C301+Deductions!D301+Tax!D301</f>
        <v>17511.75</v>
      </c>
      <c r="I301">
        <f t="shared" si="8"/>
        <v>1168175.69</v>
      </c>
      <c r="J301">
        <f>Overtime!D301</f>
        <v>0</v>
      </c>
      <c r="K301">
        <f>IF(C301="Junior",0.06,IF(C301="Mid",0.08,IF(C301="Senior",0.1,IF(C301="Manager",0.12,0))))</f>
        <v>0.08</v>
      </c>
      <c r="L301">
        <f>IF(Performance!E301&gt;2,0.03,IF(Performance!E301&gt;=1,0.01,-0.02))</f>
        <v>0.01</v>
      </c>
      <c r="M301">
        <f t="shared" si="9"/>
        <v>0.09</v>
      </c>
      <c r="N301">
        <f>Earnings!B301*(1+M301)</f>
        <v>1357562.3</v>
      </c>
    </row>
    <row r="302" spans="1:14" x14ac:dyDescent="0.35">
      <c r="A302" t="s">
        <v>333</v>
      </c>
      <c r="B302" t="s">
        <v>15</v>
      </c>
      <c r="C302" t="s">
        <v>44</v>
      </c>
      <c r="D302" t="s">
        <v>17</v>
      </c>
      <c r="E302">
        <v>1</v>
      </c>
      <c r="F302" t="s">
        <v>23</v>
      </c>
      <c r="G302">
        <f>Earnings!G302</f>
        <v>586664.28800000006</v>
      </c>
      <c r="H302">
        <f>Deductions!B302+Deductions!C302+Deductions!D302+Tax!D302</f>
        <v>4979.0666666666675</v>
      </c>
      <c r="I302">
        <f t="shared" si="8"/>
        <v>581685.22133333341</v>
      </c>
      <c r="J302">
        <f>Overtime!D302</f>
        <v>0</v>
      </c>
      <c r="K302">
        <f>IF(C302="Junior",0.06,IF(C302="Mid",0.08,IF(C302="Senior",0.1,IF(C302="Manager",0.12,0))))</f>
        <v>0.12</v>
      </c>
      <c r="L302">
        <f>IF(Performance!E302&gt;2,0.03,IF(Performance!E302&gt;=1,0.01,-0.02))</f>
        <v>0.01</v>
      </c>
      <c r="M302">
        <f t="shared" si="9"/>
        <v>0.13</v>
      </c>
      <c r="N302">
        <f>Earnings!B302*(1+M302)</f>
        <v>696355.72</v>
      </c>
    </row>
    <row r="303" spans="1:14" x14ac:dyDescent="0.35">
      <c r="A303" t="s">
        <v>334</v>
      </c>
      <c r="B303" t="s">
        <v>20</v>
      </c>
      <c r="C303" t="s">
        <v>44</v>
      </c>
      <c r="D303" t="s">
        <v>17</v>
      </c>
      <c r="E303">
        <v>13</v>
      </c>
      <c r="F303" t="s">
        <v>32</v>
      </c>
      <c r="G303">
        <f>Earnings!G303</f>
        <v>1059678.8160000001</v>
      </c>
      <c r="H303">
        <f>Deductions!B303+Deductions!C303+Deductions!D303+Tax!D303</f>
        <v>14202.699999999999</v>
      </c>
      <c r="I303">
        <f t="shared" si="8"/>
        <v>1106697.0560000001</v>
      </c>
      <c r="J303">
        <f>Overtime!D303</f>
        <v>61220.94</v>
      </c>
      <c r="K303">
        <f>IF(C303="Junior",0.06,IF(C303="Mid",0.08,IF(C303="Senior",0.1,IF(C303="Manager",0.12,0))))</f>
        <v>0.12</v>
      </c>
      <c r="L303">
        <f>IF(Performance!E303&gt;2,0.03,IF(Performance!E303&gt;=1,0.01,-0.02))</f>
        <v>0.03</v>
      </c>
      <c r="M303">
        <f t="shared" si="9"/>
        <v>0.15</v>
      </c>
      <c r="N303">
        <f>Earnings!B303*(1+M303)</f>
        <v>1280074.2</v>
      </c>
    </row>
    <row r="304" spans="1:14" x14ac:dyDescent="0.35">
      <c r="A304" t="s">
        <v>335</v>
      </c>
      <c r="B304" t="s">
        <v>36</v>
      </c>
      <c r="C304" t="s">
        <v>16</v>
      </c>
      <c r="D304" t="s">
        <v>22</v>
      </c>
      <c r="E304">
        <v>6</v>
      </c>
      <c r="F304" t="s">
        <v>28</v>
      </c>
      <c r="G304">
        <f>Earnings!G304</f>
        <v>793843.43079999997</v>
      </c>
      <c r="H304">
        <f>Deductions!B304+Deductions!C304+Deductions!D304+Tax!D304</f>
        <v>8606.1525000000001</v>
      </c>
      <c r="I304">
        <f t="shared" si="8"/>
        <v>785237.27830000001</v>
      </c>
      <c r="J304">
        <f>Overtime!D304</f>
        <v>0</v>
      </c>
      <c r="K304">
        <f>IF(C304="Junior",0.06,IF(C304="Mid",0.08,IF(C304="Senior",0.1,IF(C304="Manager",0.12,0))))</f>
        <v>0.06</v>
      </c>
      <c r="L304">
        <f>IF(Performance!E304&gt;2,0.03,IF(Performance!E304&gt;=1,0.01,-0.02))</f>
        <v>0.01</v>
      </c>
      <c r="M304">
        <f t="shared" si="9"/>
        <v>6.9999999999999993E-2</v>
      </c>
      <c r="N304">
        <f>Earnings!B304*(1+M304)</f>
        <v>892239.99049999996</v>
      </c>
    </row>
    <row r="305" spans="1:14" x14ac:dyDescent="0.35">
      <c r="A305" t="s">
        <v>336</v>
      </c>
      <c r="B305" t="s">
        <v>30</v>
      </c>
      <c r="C305" t="s">
        <v>34</v>
      </c>
      <c r="D305" t="s">
        <v>22</v>
      </c>
      <c r="E305">
        <v>6</v>
      </c>
      <c r="F305" t="s">
        <v>18</v>
      </c>
      <c r="G305">
        <f>Earnings!G305</f>
        <v>1029635.8856</v>
      </c>
      <c r="H305">
        <f>Deductions!B305+Deductions!C305+Deductions!D305+Tax!D305</f>
        <v>13413.757500000002</v>
      </c>
      <c r="I305">
        <f t="shared" si="8"/>
        <v>1075707.3946</v>
      </c>
      <c r="J305">
        <f>Overtime!D305</f>
        <v>59485.266500000012</v>
      </c>
      <c r="K305">
        <f>IF(C305="Junior",0.06,IF(C305="Mid",0.08,IF(C305="Senior",0.1,IF(C305="Manager",0.12,0))))</f>
        <v>0.08</v>
      </c>
      <c r="L305">
        <f>IF(Performance!E305&gt;2,0.03,IF(Performance!E305&gt;=1,0.01,-0.02))</f>
        <v>0.01</v>
      </c>
      <c r="M305">
        <f t="shared" si="9"/>
        <v>0.09</v>
      </c>
      <c r="N305">
        <f>Earnings!B305*(1+M305)</f>
        <v>1178889.827</v>
      </c>
    </row>
    <row r="306" spans="1:14" x14ac:dyDescent="0.35">
      <c r="A306" t="s">
        <v>337</v>
      </c>
      <c r="B306" t="s">
        <v>27</v>
      </c>
      <c r="C306" t="s">
        <v>16</v>
      </c>
      <c r="D306" t="s">
        <v>22</v>
      </c>
      <c r="E306">
        <v>8</v>
      </c>
      <c r="F306" t="s">
        <v>71</v>
      </c>
      <c r="G306">
        <f>Earnings!G306</f>
        <v>597016.14559999993</v>
      </c>
      <c r="H306">
        <f>Deductions!B306+Deductions!C306+Deductions!D306+Tax!D306</f>
        <v>5160.2966666666653</v>
      </c>
      <c r="I306">
        <f t="shared" si="8"/>
        <v>591855.8489333333</v>
      </c>
      <c r="J306">
        <f>Overtime!D306</f>
        <v>0</v>
      </c>
      <c r="K306">
        <f>IF(C306="Junior",0.06,IF(C306="Mid",0.08,IF(C306="Senior",0.1,IF(C306="Manager",0.12,0))))</f>
        <v>0.06</v>
      </c>
      <c r="L306">
        <f>IF(Performance!E306&gt;2,0.03,IF(Performance!E306&gt;=1,0.01,-0.02))</f>
        <v>0.01</v>
      </c>
      <c r="M306">
        <f t="shared" si="9"/>
        <v>6.9999999999999993E-2</v>
      </c>
      <c r="N306">
        <f>Earnings!B306*(1+M306)</f>
        <v>671016.04599999997</v>
      </c>
    </row>
    <row r="307" spans="1:14" x14ac:dyDescent="0.35">
      <c r="A307" t="s">
        <v>338</v>
      </c>
      <c r="B307" t="s">
        <v>36</v>
      </c>
      <c r="C307" t="s">
        <v>34</v>
      </c>
      <c r="D307" t="s">
        <v>22</v>
      </c>
      <c r="E307">
        <v>9</v>
      </c>
      <c r="F307" t="s">
        <v>23</v>
      </c>
      <c r="G307">
        <f>Earnings!G307</f>
        <v>998837.44799999997</v>
      </c>
      <c r="H307">
        <f>Deductions!B307+Deductions!C307+Deductions!D307+Tax!D307</f>
        <v>12604.975</v>
      </c>
      <c r="I307">
        <f t="shared" si="8"/>
        <v>986232.473</v>
      </c>
      <c r="J307">
        <f>Overtime!D307</f>
        <v>0</v>
      </c>
      <c r="K307">
        <f>IF(C307="Junior",0.06,IF(C307="Mid",0.08,IF(C307="Senior",0.1,IF(C307="Manager",0.12,0))))</f>
        <v>0.08</v>
      </c>
      <c r="L307">
        <f>IF(Performance!E307&gt;2,0.03,IF(Performance!E307&gt;=1,0.01,-0.02))</f>
        <v>0.01</v>
      </c>
      <c r="M307">
        <f t="shared" si="9"/>
        <v>0.09</v>
      </c>
      <c r="N307">
        <f>Earnings!B307*(1+M307)</f>
        <v>1143626.9100000001</v>
      </c>
    </row>
    <row r="308" spans="1:14" x14ac:dyDescent="0.35">
      <c r="A308" t="s">
        <v>339</v>
      </c>
      <c r="B308" t="s">
        <v>27</v>
      </c>
      <c r="C308" t="s">
        <v>21</v>
      </c>
      <c r="D308" t="s">
        <v>17</v>
      </c>
      <c r="E308">
        <v>0</v>
      </c>
      <c r="F308" t="s">
        <v>23</v>
      </c>
      <c r="G308">
        <f>Earnings!G308</f>
        <v>451847.76</v>
      </c>
      <c r="H308">
        <f>Deductions!B308+Deductions!C308+Deductions!D308+Tax!D308</f>
        <v>2935.9583333333335</v>
      </c>
      <c r="I308">
        <f t="shared" si="8"/>
        <v>448911.8016666667</v>
      </c>
      <c r="J308">
        <f>Overtime!D308</f>
        <v>0</v>
      </c>
      <c r="K308">
        <f>IF(C308="Junior",0.06,IF(C308="Mid",0.08,IF(C308="Senior",0.1,IF(C308="Manager",0.12,0))))</f>
        <v>0.1</v>
      </c>
      <c r="L308">
        <f>IF(Performance!E308&gt;2,0.03,IF(Performance!E308&gt;=1,0.01,-0.02))</f>
        <v>0.01</v>
      </c>
      <c r="M308">
        <f t="shared" si="9"/>
        <v>0.11</v>
      </c>
      <c r="N308">
        <f>Earnings!B308*(1+M308)</f>
        <v>526839.30000000005</v>
      </c>
    </row>
    <row r="309" spans="1:14" x14ac:dyDescent="0.35">
      <c r="A309" t="s">
        <v>340</v>
      </c>
      <c r="B309" t="s">
        <v>15</v>
      </c>
      <c r="C309" t="s">
        <v>44</v>
      </c>
      <c r="D309" t="s">
        <v>22</v>
      </c>
      <c r="E309">
        <v>8</v>
      </c>
      <c r="F309" t="s">
        <v>71</v>
      </c>
      <c r="G309">
        <f>Earnings!G309</f>
        <v>694309.68880000012</v>
      </c>
      <c r="H309">
        <f>Deductions!B309+Deductions!C309+Deductions!D309+Tax!D309</f>
        <v>6863.6150000000007</v>
      </c>
      <c r="I309">
        <f t="shared" si="8"/>
        <v>687446.07380000013</v>
      </c>
      <c r="J309">
        <f>Overtime!D309</f>
        <v>0</v>
      </c>
      <c r="K309">
        <f>IF(C309="Junior",0.06,IF(C309="Mid",0.08,IF(C309="Senior",0.1,IF(C309="Manager",0.12,0))))</f>
        <v>0.12</v>
      </c>
      <c r="L309">
        <f>IF(Performance!E309&gt;2,0.03,IF(Performance!E309&gt;=1,0.01,-0.02))</f>
        <v>0.01</v>
      </c>
      <c r="M309">
        <f t="shared" si="9"/>
        <v>0.13</v>
      </c>
      <c r="N309">
        <f>Earnings!B309*(1+M309)</f>
        <v>824128.09699999995</v>
      </c>
    </row>
    <row r="310" spans="1:14" x14ac:dyDescent="0.35">
      <c r="A310" t="s">
        <v>341</v>
      </c>
      <c r="B310" t="s">
        <v>27</v>
      </c>
      <c r="C310" t="s">
        <v>21</v>
      </c>
      <c r="D310" t="s">
        <v>22</v>
      </c>
      <c r="E310">
        <v>13</v>
      </c>
      <c r="F310" t="s">
        <v>25</v>
      </c>
      <c r="G310">
        <f>Earnings!G310</f>
        <v>827315.2747999999</v>
      </c>
      <c r="H310">
        <f>Deductions!B310+Deductions!C310+Deductions!D310+Tax!D310</f>
        <v>9192.1441666666651</v>
      </c>
      <c r="I310">
        <f t="shared" si="8"/>
        <v>818123.13063333323</v>
      </c>
      <c r="J310">
        <f>Overtime!D310</f>
        <v>0</v>
      </c>
      <c r="K310">
        <f>IF(C310="Junior",0.06,IF(C310="Mid",0.08,IF(C310="Senior",0.1,IF(C310="Manager",0.12,0))))</f>
        <v>0.1</v>
      </c>
      <c r="L310">
        <f>IF(Performance!E310&gt;2,0.03,IF(Performance!E310&gt;=1,0.01,-0.02))</f>
        <v>0.01</v>
      </c>
      <c r="M310">
        <f t="shared" si="9"/>
        <v>0.11</v>
      </c>
      <c r="N310">
        <f>Earnings!B310*(1+M310)</f>
        <v>964621.80149999994</v>
      </c>
    </row>
    <row r="311" spans="1:14" x14ac:dyDescent="0.35">
      <c r="A311" t="s">
        <v>342</v>
      </c>
      <c r="B311" t="s">
        <v>30</v>
      </c>
      <c r="C311" t="s">
        <v>34</v>
      </c>
      <c r="D311" t="s">
        <v>22</v>
      </c>
      <c r="E311">
        <v>3</v>
      </c>
      <c r="F311" t="s">
        <v>32</v>
      </c>
      <c r="G311">
        <f>Earnings!G311</f>
        <v>760778.5667999998</v>
      </c>
      <c r="H311">
        <f>Deductions!B311+Deductions!C311+Deductions!D311+Tax!D311</f>
        <v>8027.2858333333324</v>
      </c>
      <c r="I311">
        <f t="shared" si="8"/>
        <v>872621.85346666642</v>
      </c>
      <c r="J311">
        <f>Overtime!D311</f>
        <v>119870.57249999999</v>
      </c>
      <c r="K311">
        <f>IF(C311="Junior",0.06,IF(C311="Mid",0.08,IF(C311="Senior",0.1,IF(C311="Manager",0.12,0))))</f>
        <v>0.08</v>
      </c>
      <c r="L311">
        <f>IF(Performance!E311&gt;2,0.03,IF(Performance!E311&gt;=1,0.01,-0.02))</f>
        <v>0.01</v>
      </c>
      <c r="M311">
        <f t="shared" si="9"/>
        <v>0.09</v>
      </c>
      <c r="N311">
        <f>Earnings!B311*(1+M311)</f>
        <v>871059.49349999998</v>
      </c>
    </row>
    <row r="312" spans="1:14" x14ac:dyDescent="0.35">
      <c r="A312" t="s">
        <v>343</v>
      </c>
      <c r="B312" t="s">
        <v>30</v>
      </c>
      <c r="C312" t="s">
        <v>21</v>
      </c>
      <c r="D312" t="s">
        <v>22</v>
      </c>
      <c r="E312">
        <v>6</v>
      </c>
      <c r="F312" t="s">
        <v>28</v>
      </c>
      <c r="G312">
        <f>Earnings!G312</f>
        <v>1043251.6276</v>
      </c>
      <c r="H312">
        <f>Deductions!B312+Deductions!C312+Deductions!D312+Tax!D312</f>
        <v>13771.313750000001</v>
      </c>
      <c r="I312">
        <f t="shared" si="8"/>
        <v>1029480.31385</v>
      </c>
      <c r="J312">
        <f>Overtime!D312</f>
        <v>0</v>
      </c>
      <c r="K312">
        <f>IF(C312="Junior",0.06,IF(C312="Mid",0.08,IF(C312="Senior",0.1,IF(C312="Manager",0.12,0))))</f>
        <v>0.1</v>
      </c>
      <c r="L312">
        <f>IF(Performance!E312&gt;2,0.03,IF(Performance!E312&gt;=1,0.01,-0.02))</f>
        <v>0.01</v>
      </c>
      <c r="M312">
        <f t="shared" si="9"/>
        <v>0.11</v>
      </c>
      <c r="N312">
        <f>Earnings!B312*(1+M312)</f>
        <v>1216396.3305000002</v>
      </c>
    </row>
    <row r="313" spans="1:14" x14ac:dyDescent="0.35">
      <c r="A313" t="s">
        <v>344</v>
      </c>
      <c r="B313" t="s">
        <v>27</v>
      </c>
      <c r="C313" t="s">
        <v>34</v>
      </c>
      <c r="D313" t="s">
        <v>22</v>
      </c>
      <c r="E313">
        <v>9</v>
      </c>
      <c r="F313" t="s">
        <v>18</v>
      </c>
      <c r="G313">
        <f>Earnings!G313</f>
        <v>583498.07880000002</v>
      </c>
      <c r="H313">
        <f>Deductions!B313+Deductions!C313+Deductions!D313+Tax!D313</f>
        <v>4923.6358333333337</v>
      </c>
      <c r="I313">
        <f t="shared" si="8"/>
        <v>612284.94121666672</v>
      </c>
      <c r="J313">
        <f>Overtime!D313</f>
        <v>33710.498250000004</v>
      </c>
      <c r="K313">
        <f>IF(C313="Junior",0.06,IF(C313="Mid",0.08,IF(C313="Senior",0.1,IF(C313="Manager",0.12,0))))</f>
        <v>0.08</v>
      </c>
      <c r="L313">
        <f>IF(Performance!E313&gt;2,0.03,IF(Performance!E313&gt;=1,0.01,-0.02))</f>
        <v>0.01</v>
      </c>
      <c r="M313">
        <f t="shared" si="9"/>
        <v>0.09</v>
      </c>
      <c r="N313">
        <f>Earnings!B313*(1+M313)</f>
        <v>668080.78350000002</v>
      </c>
    </row>
    <row r="314" spans="1:14" x14ac:dyDescent="0.35">
      <c r="A314" t="s">
        <v>345</v>
      </c>
      <c r="B314" t="s">
        <v>30</v>
      </c>
      <c r="C314" t="s">
        <v>21</v>
      </c>
      <c r="D314" t="s">
        <v>22</v>
      </c>
      <c r="E314">
        <v>5</v>
      </c>
      <c r="F314" t="s">
        <v>28</v>
      </c>
      <c r="G314">
        <f>Earnings!G314</f>
        <v>741651.41119999997</v>
      </c>
      <c r="H314">
        <f>Deductions!B314+Deductions!C314+Deductions!D314+Tax!D314</f>
        <v>7692.4266666666663</v>
      </c>
      <c r="I314">
        <f t="shared" si="8"/>
        <v>733958.98453333334</v>
      </c>
      <c r="J314">
        <f>Overtime!D314</f>
        <v>0</v>
      </c>
      <c r="K314">
        <f>IF(C314="Junior",0.06,IF(C314="Mid",0.08,IF(C314="Senior",0.1,IF(C314="Manager",0.12,0))))</f>
        <v>0.1</v>
      </c>
      <c r="L314">
        <f>IF(Performance!E314&gt;2,0.03,IF(Performance!E314&gt;=1,0.01,-0.02))</f>
        <v>0.01</v>
      </c>
      <c r="M314">
        <f t="shared" si="9"/>
        <v>0.11</v>
      </c>
      <c r="N314">
        <f>Earnings!B314*(1+M314)</f>
        <v>864740.61600000004</v>
      </c>
    </row>
    <row r="315" spans="1:14" x14ac:dyDescent="0.35">
      <c r="A315" t="s">
        <v>346</v>
      </c>
      <c r="B315" t="s">
        <v>30</v>
      </c>
      <c r="C315" t="s">
        <v>21</v>
      </c>
      <c r="D315" t="s">
        <v>22</v>
      </c>
      <c r="E315">
        <v>6</v>
      </c>
      <c r="F315" t="s">
        <v>25</v>
      </c>
      <c r="G315">
        <f>Earnings!G315</f>
        <v>950183.4412</v>
      </c>
      <c r="H315">
        <f>Deductions!B315+Deductions!C315+Deductions!D315+Tax!D315</f>
        <v>11343.1975</v>
      </c>
      <c r="I315">
        <f t="shared" si="8"/>
        <v>938840.24369999999</v>
      </c>
      <c r="J315">
        <f>Overtime!D315</f>
        <v>0</v>
      </c>
      <c r="K315">
        <f>IF(C315="Junior",0.06,IF(C315="Mid",0.08,IF(C315="Senior",0.1,IF(C315="Manager",0.12,0))))</f>
        <v>0.1</v>
      </c>
      <c r="L315">
        <f>IF(Performance!E315&gt;2,0.03,IF(Performance!E315&gt;=1,0.01,-0.02))</f>
        <v>0.01</v>
      </c>
      <c r="M315">
        <f t="shared" si="9"/>
        <v>0.11</v>
      </c>
      <c r="N315">
        <f>Earnings!B315*(1+M315)</f>
        <v>1107881.9535000001</v>
      </c>
    </row>
    <row r="316" spans="1:14" x14ac:dyDescent="0.35">
      <c r="A316" t="s">
        <v>347</v>
      </c>
      <c r="B316" t="s">
        <v>36</v>
      </c>
      <c r="C316" t="s">
        <v>44</v>
      </c>
      <c r="D316" t="s">
        <v>17</v>
      </c>
      <c r="E316">
        <v>1</v>
      </c>
      <c r="F316" t="s">
        <v>38</v>
      </c>
      <c r="G316">
        <f>Earnings!G316</f>
        <v>641731.77600000007</v>
      </c>
      <c r="H316">
        <f>Deductions!B316+Deductions!C316+Deductions!D316+Tax!D316</f>
        <v>5943.1333333333332</v>
      </c>
      <c r="I316">
        <f t="shared" si="8"/>
        <v>693086.12266666675</v>
      </c>
      <c r="J316">
        <f>Overtime!D316</f>
        <v>57297.48</v>
      </c>
      <c r="K316">
        <f>IF(C316="Junior",0.06,IF(C316="Mid",0.08,IF(C316="Senior",0.1,IF(C316="Manager",0.12,0))))</f>
        <v>0.12</v>
      </c>
      <c r="L316">
        <f>IF(Performance!E316&gt;2,0.03,IF(Performance!E316&gt;=1,0.01,-0.02))</f>
        <v>0.01</v>
      </c>
      <c r="M316">
        <f t="shared" si="9"/>
        <v>0.13</v>
      </c>
      <c r="N316">
        <f>Earnings!B316*(1+M316)</f>
        <v>761719.44</v>
      </c>
    </row>
    <row r="317" spans="1:14" x14ac:dyDescent="0.35">
      <c r="A317" t="s">
        <v>348</v>
      </c>
      <c r="B317" t="s">
        <v>36</v>
      </c>
      <c r="C317" t="s">
        <v>21</v>
      </c>
      <c r="D317" t="s">
        <v>22</v>
      </c>
      <c r="E317">
        <v>0</v>
      </c>
      <c r="F317" t="s">
        <v>45</v>
      </c>
      <c r="G317">
        <f>Earnings!G317</f>
        <v>591778.76520000002</v>
      </c>
      <c r="H317">
        <f>Deductions!B317+Deductions!C317+Deductions!D317+Tax!D317</f>
        <v>5068.6058333333331</v>
      </c>
      <c r="I317">
        <f t="shared" si="8"/>
        <v>586710.15936666669</v>
      </c>
      <c r="J317">
        <f>Overtime!D317</f>
        <v>0</v>
      </c>
      <c r="K317">
        <f>IF(C317="Junior",0.06,IF(C317="Mid",0.08,IF(C317="Senior",0.1,IF(C317="Manager",0.12,0))))</f>
        <v>0.1</v>
      </c>
      <c r="L317">
        <f>IF(Performance!E317&gt;2,0.03,IF(Performance!E317&gt;=1,0.01,-0.02))</f>
        <v>0.01</v>
      </c>
      <c r="M317">
        <f t="shared" si="9"/>
        <v>0.11</v>
      </c>
      <c r="N317">
        <f>Earnings!B317*(1+M317)</f>
        <v>689994.14850000001</v>
      </c>
    </row>
    <row r="318" spans="1:14" x14ac:dyDescent="0.35">
      <c r="A318" t="s">
        <v>349</v>
      </c>
      <c r="B318" t="s">
        <v>36</v>
      </c>
      <c r="C318" t="s">
        <v>34</v>
      </c>
      <c r="D318" t="s">
        <v>22</v>
      </c>
      <c r="E318">
        <v>12</v>
      </c>
      <c r="F318" t="s">
        <v>71</v>
      </c>
      <c r="G318">
        <f>Earnings!G318</f>
        <v>993364.9236000001</v>
      </c>
      <c r="H318">
        <f>Deductions!B318+Deductions!C318+Deductions!D318+Tax!D318</f>
        <v>12461.26375</v>
      </c>
      <c r="I318">
        <f t="shared" si="8"/>
        <v>1048727.9456</v>
      </c>
      <c r="J318">
        <f>Overtime!D318</f>
        <v>67824.285749999995</v>
      </c>
      <c r="K318">
        <f>IF(C318="Junior",0.06,IF(C318="Mid",0.08,IF(C318="Senior",0.1,IF(C318="Manager",0.12,0))))</f>
        <v>0.08</v>
      </c>
      <c r="L318">
        <f>IF(Performance!E318&gt;2,0.03,IF(Performance!E318&gt;=1,0.01,-0.02))</f>
        <v>0.01</v>
      </c>
      <c r="M318">
        <f t="shared" si="9"/>
        <v>0.09</v>
      </c>
      <c r="N318">
        <f>Earnings!B318*(1+M318)</f>
        <v>1137361.0995000002</v>
      </c>
    </row>
    <row r="319" spans="1:14" x14ac:dyDescent="0.35">
      <c r="A319" t="s">
        <v>350</v>
      </c>
      <c r="B319" t="s">
        <v>27</v>
      </c>
      <c r="C319" t="s">
        <v>34</v>
      </c>
      <c r="D319" t="s">
        <v>22</v>
      </c>
      <c r="E319">
        <v>12</v>
      </c>
      <c r="F319" t="s">
        <v>18</v>
      </c>
      <c r="G319">
        <f>Earnings!G319</f>
        <v>829435.18839999998</v>
      </c>
      <c r="H319">
        <f>Deductions!B319+Deductions!C319+Deductions!D319+Tax!D319</f>
        <v>9229.2574999999997</v>
      </c>
      <c r="I319">
        <f t="shared" si="8"/>
        <v>929112.86215000006</v>
      </c>
      <c r="J319">
        <f>Overtime!D319</f>
        <v>108906.93125000001</v>
      </c>
      <c r="K319">
        <f>IF(C319="Junior",0.06,IF(C319="Mid",0.08,IF(C319="Senior",0.1,IF(C319="Manager",0.12,0))))</f>
        <v>0.08</v>
      </c>
      <c r="L319">
        <f>IF(Performance!E319&gt;2,0.03,IF(Performance!E319&gt;=1,0.01,-0.02))</f>
        <v>0.01</v>
      </c>
      <c r="M319">
        <f t="shared" si="9"/>
        <v>0.09</v>
      </c>
      <c r="N319">
        <f>Earnings!B319*(1+M319)</f>
        <v>949668.44050000003</v>
      </c>
    </row>
    <row r="320" spans="1:14" x14ac:dyDescent="0.35">
      <c r="A320" t="s">
        <v>351</v>
      </c>
      <c r="B320" t="s">
        <v>27</v>
      </c>
      <c r="C320" t="s">
        <v>44</v>
      </c>
      <c r="D320" t="s">
        <v>17</v>
      </c>
      <c r="E320">
        <v>13</v>
      </c>
      <c r="F320" t="s">
        <v>38</v>
      </c>
      <c r="G320">
        <f>Earnings!G320</f>
        <v>893233.04</v>
      </c>
      <c r="H320">
        <f>Deductions!B320+Deductions!C320+Deductions!D320+Tax!D320</f>
        <v>10346.166666666666</v>
      </c>
      <c r="I320">
        <f t="shared" si="8"/>
        <v>882886.87333333341</v>
      </c>
      <c r="J320">
        <f>Overtime!D320</f>
        <v>0</v>
      </c>
      <c r="K320">
        <f>IF(C320="Junior",0.06,IF(C320="Mid",0.08,IF(C320="Senior",0.1,IF(C320="Manager",0.12,0))))</f>
        <v>0.12</v>
      </c>
      <c r="L320">
        <f>IF(Performance!E320&gt;2,0.03,IF(Performance!E320&gt;=1,0.01,-0.02))</f>
        <v>0.01</v>
      </c>
      <c r="M320">
        <f t="shared" si="9"/>
        <v>0.13</v>
      </c>
      <c r="N320">
        <f>Earnings!B320*(1+M320)</f>
        <v>1060245.0999999999</v>
      </c>
    </row>
    <row r="321" spans="1:14" x14ac:dyDescent="0.35">
      <c r="A321" t="s">
        <v>352</v>
      </c>
      <c r="B321" t="s">
        <v>30</v>
      </c>
      <c r="C321" t="s">
        <v>44</v>
      </c>
      <c r="D321" t="s">
        <v>17</v>
      </c>
      <c r="E321">
        <v>8</v>
      </c>
      <c r="F321" t="s">
        <v>18</v>
      </c>
      <c r="G321">
        <f>Earnings!G321</f>
        <v>864909.13599999994</v>
      </c>
      <c r="H321">
        <f>Deductions!B321+Deductions!C321+Deductions!D321+Tax!D321</f>
        <v>9850.2999999999993</v>
      </c>
      <c r="I321">
        <f t="shared" si="8"/>
        <v>886856.9659999999</v>
      </c>
      <c r="J321">
        <f>Overtime!D321</f>
        <v>31798.13</v>
      </c>
      <c r="K321">
        <f>IF(C321="Junior",0.06,IF(C321="Mid",0.08,IF(C321="Senior",0.1,IF(C321="Manager",0.12,0))))</f>
        <v>0.12</v>
      </c>
      <c r="L321">
        <f>IF(Performance!E321&gt;2,0.03,IF(Performance!E321&gt;=1,0.01,-0.02))</f>
        <v>0.01</v>
      </c>
      <c r="M321">
        <f t="shared" si="9"/>
        <v>0.13</v>
      </c>
      <c r="N321">
        <f>Earnings!B321*(1+M321)</f>
        <v>1026625.3399999999</v>
      </c>
    </row>
    <row r="322" spans="1:14" x14ac:dyDescent="0.35">
      <c r="A322" t="s">
        <v>353</v>
      </c>
      <c r="B322" t="s">
        <v>27</v>
      </c>
      <c r="C322" t="s">
        <v>44</v>
      </c>
      <c r="D322" t="s">
        <v>22</v>
      </c>
      <c r="E322">
        <v>3</v>
      </c>
      <c r="F322" t="s">
        <v>45</v>
      </c>
      <c r="G322">
        <f>Earnings!G322</f>
        <v>620199.53520000004</v>
      </c>
      <c r="H322">
        <f>Deductions!B322+Deductions!C322+Deductions!D322+Tax!D322</f>
        <v>5566.1683333333331</v>
      </c>
      <c r="I322">
        <f t="shared" ref="I322:I385" si="10">G322-H322+J322</f>
        <v>676523.02636666666</v>
      </c>
      <c r="J322">
        <f>Overtime!D322</f>
        <v>61889.659500000002</v>
      </c>
      <c r="K322">
        <f>IF(C322="Junior",0.06,IF(C322="Mid",0.08,IF(C322="Senior",0.1,IF(C322="Manager",0.12,0))))</f>
        <v>0.12</v>
      </c>
      <c r="L322">
        <f>IF(Performance!E322&gt;2,0.03,IF(Performance!E322&gt;=1,0.01,-0.02))</f>
        <v>0.01</v>
      </c>
      <c r="M322">
        <f t="shared" ref="M322:M385" si="11">K322+L322</f>
        <v>0.13</v>
      </c>
      <c r="N322">
        <f>Earnings!B322*(1+M322)</f>
        <v>736161.21299999987</v>
      </c>
    </row>
    <row r="323" spans="1:14" x14ac:dyDescent="0.35">
      <c r="A323" t="s">
        <v>354</v>
      </c>
      <c r="B323" t="s">
        <v>36</v>
      </c>
      <c r="C323" t="s">
        <v>16</v>
      </c>
      <c r="D323" t="s">
        <v>22</v>
      </c>
      <c r="E323">
        <v>3</v>
      </c>
      <c r="F323" t="s">
        <v>38</v>
      </c>
      <c r="G323">
        <f>Earnings!G323</f>
        <v>725200.37520000001</v>
      </c>
      <c r="H323">
        <f>Deductions!B323+Deductions!C323+Deductions!D323+Tax!D323</f>
        <v>7404.4183333333331</v>
      </c>
      <c r="I323">
        <f t="shared" si="10"/>
        <v>717795.95686666667</v>
      </c>
      <c r="J323">
        <f>Overtime!D323</f>
        <v>0</v>
      </c>
      <c r="K323">
        <f>IF(C323="Junior",0.06,IF(C323="Mid",0.08,IF(C323="Senior",0.1,IF(C323="Manager",0.12,0))))</f>
        <v>0.06</v>
      </c>
      <c r="L323">
        <f>IF(Performance!E323&gt;2,0.03,IF(Performance!E323&gt;=1,0.01,-0.02))</f>
        <v>0.01</v>
      </c>
      <c r="M323">
        <f t="shared" si="11"/>
        <v>6.9999999999999993E-2</v>
      </c>
      <c r="N323">
        <f>Earnings!B323*(1+M323)</f>
        <v>815088.65700000001</v>
      </c>
    </row>
    <row r="324" spans="1:14" x14ac:dyDescent="0.35">
      <c r="A324" t="s">
        <v>355</v>
      </c>
      <c r="B324" t="s">
        <v>30</v>
      </c>
      <c r="C324" t="s">
        <v>16</v>
      </c>
      <c r="D324" t="s">
        <v>17</v>
      </c>
      <c r="E324">
        <v>11</v>
      </c>
      <c r="F324" t="s">
        <v>25</v>
      </c>
      <c r="G324">
        <f>Earnings!G324</f>
        <v>1143964.1359999999</v>
      </c>
      <c r="H324">
        <f>Deductions!B324+Deductions!C324+Deductions!D324+Tax!D324</f>
        <v>16416.074999999997</v>
      </c>
      <c r="I324">
        <f t="shared" si="10"/>
        <v>1127548.061</v>
      </c>
      <c r="J324">
        <f>Overtime!D324</f>
        <v>0</v>
      </c>
      <c r="K324">
        <f>IF(C324="Junior",0.06,IF(C324="Mid",0.08,IF(C324="Senior",0.1,IF(C324="Manager",0.12,0))))</f>
        <v>0.06</v>
      </c>
      <c r="L324">
        <f>IF(Performance!E324&gt;2,0.03,IF(Performance!E324&gt;=1,0.01,-0.02))</f>
        <v>0.01</v>
      </c>
      <c r="M324">
        <f t="shared" si="11"/>
        <v>6.9999999999999993E-2</v>
      </c>
      <c r="N324">
        <f>Earnings!B324*(1+M324)</f>
        <v>1285758.01</v>
      </c>
    </row>
    <row r="325" spans="1:14" x14ac:dyDescent="0.35">
      <c r="A325" t="s">
        <v>356</v>
      </c>
      <c r="B325" t="s">
        <v>36</v>
      </c>
      <c r="C325" t="s">
        <v>34</v>
      </c>
      <c r="D325" t="s">
        <v>17</v>
      </c>
      <c r="E325">
        <v>10</v>
      </c>
      <c r="F325" t="s">
        <v>32</v>
      </c>
      <c r="G325">
        <f>Earnings!G325</f>
        <v>1031956.576</v>
      </c>
      <c r="H325">
        <f>Deductions!B325+Deductions!C325+Deductions!D325+Tax!D325</f>
        <v>13474.699999999999</v>
      </c>
      <c r="I325">
        <f t="shared" si="10"/>
        <v>1018481.876</v>
      </c>
      <c r="J325">
        <f>Overtime!D325</f>
        <v>0</v>
      </c>
      <c r="K325">
        <f>IF(C325="Junior",0.06,IF(C325="Mid",0.08,IF(C325="Senior",0.1,IF(C325="Manager",0.12,0))))</f>
        <v>0.08</v>
      </c>
      <c r="L325">
        <f>IF(Performance!E325&gt;2,0.03,IF(Performance!E325&gt;=1,0.01,-0.02))</f>
        <v>0.01</v>
      </c>
      <c r="M325">
        <f t="shared" si="11"/>
        <v>0.09</v>
      </c>
      <c r="N325">
        <f>Earnings!B325*(1+M325)</f>
        <v>1181546.9200000002</v>
      </c>
    </row>
    <row r="326" spans="1:14" x14ac:dyDescent="0.35">
      <c r="A326" t="s">
        <v>357</v>
      </c>
      <c r="B326" t="s">
        <v>27</v>
      </c>
      <c r="C326" t="s">
        <v>16</v>
      </c>
      <c r="D326" t="s">
        <v>22</v>
      </c>
      <c r="E326">
        <v>6</v>
      </c>
      <c r="F326" t="s">
        <v>18</v>
      </c>
      <c r="G326">
        <f>Earnings!G326</f>
        <v>675532.53600000008</v>
      </c>
      <c r="H326">
        <f>Deductions!B326+Deductions!C326+Deductions!D326+Tax!D326</f>
        <v>6534.8833333333341</v>
      </c>
      <c r="I326">
        <f t="shared" si="10"/>
        <v>668997.65266666678</v>
      </c>
      <c r="J326">
        <f>Overtime!D326</f>
        <v>0</v>
      </c>
      <c r="K326">
        <f>IF(C326="Junior",0.06,IF(C326="Mid",0.08,IF(C326="Senior",0.1,IF(C326="Manager",0.12,0))))</f>
        <v>0.06</v>
      </c>
      <c r="L326">
        <f>IF(Performance!E326&gt;2,0.03,IF(Performance!E326&gt;=1,0.01,-0.02))</f>
        <v>0.01</v>
      </c>
      <c r="M326">
        <f t="shared" si="11"/>
        <v>6.9999999999999993E-2</v>
      </c>
      <c r="N326">
        <f>Earnings!B326*(1+M326)</f>
        <v>759264.51</v>
      </c>
    </row>
    <row r="327" spans="1:14" x14ac:dyDescent="0.35">
      <c r="A327" t="s">
        <v>358</v>
      </c>
      <c r="B327" t="s">
        <v>36</v>
      </c>
      <c r="C327" t="s">
        <v>34</v>
      </c>
      <c r="D327" t="s">
        <v>22</v>
      </c>
      <c r="E327">
        <v>14</v>
      </c>
      <c r="F327" t="s">
        <v>32</v>
      </c>
      <c r="G327">
        <f>Earnings!G327</f>
        <v>929727.72199999995</v>
      </c>
      <c r="H327">
        <f>Deductions!B327+Deductions!C327+Deductions!D327+Tax!D327</f>
        <v>10985.079166666668</v>
      </c>
      <c r="I327">
        <f t="shared" si="10"/>
        <v>918742.64283333323</v>
      </c>
      <c r="J327">
        <f>Overtime!D327</f>
        <v>0</v>
      </c>
      <c r="K327">
        <f>IF(C327="Junior",0.06,IF(C327="Mid",0.08,IF(C327="Senior",0.1,IF(C327="Manager",0.12,0))))</f>
        <v>0.08</v>
      </c>
      <c r="L327">
        <f>IF(Performance!E327&gt;2,0.03,IF(Performance!E327&gt;=1,0.01,-0.02))</f>
        <v>0.01</v>
      </c>
      <c r="M327">
        <f t="shared" si="11"/>
        <v>0.09</v>
      </c>
      <c r="N327">
        <f>Earnings!B327*(1+M327)</f>
        <v>1064499.1775</v>
      </c>
    </row>
    <row r="328" spans="1:14" x14ac:dyDescent="0.35">
      <c r="A328" t="s">
        <v>359</v>
      </c>
      <c r="B328" t="s">
        <v>20</v>
      </c>
      <c r="C328" t="s">
        <v>44</v>
      </c>
      <c r="D328" t="s">
        <v>22</v>
      </c>
      <c r="E328">
        <v>11</v>
      </c>
      <c r="F328" t="s">
        <v>23</v>
      </c>
      <c r="G328">
        <f>Earnings!G328</f>
        <v>864052.0027999999</v>
      </c>
      <c r="H328">
        <f>Deductions!B328+Deductions!C328+Deductions!D328+Tax!D328</f>
        <v>9835.2941666666666</v>
      </c>
      <c r="I328">
        <f t="shared" si="10"/>
        <v>944978.47363333323</v>
      </c>
      <c r="J328">
        <f>Overtime!D328</f>
        <v>90761.764999999999</v>
      </c>
      <c r="K328">
        <f>IF(C328="Junior",0.06,IF(C328="Mid",0.08,IF(C328="Senior",0.1,IF(C328="Manager",0.12,0))))</f>
        <v>0.12</v>
      </c>
      <c r="L328">
        <f>IF(Performance!E328&gt;2,0.03,IF(Performance!E328&gt;=1,0.01,-0.02))</f>
        <v>0.03</v>
      </c>
      <c r="M328">
        <f t="shared" si="11"/>
        <v>0.15</v>
      </c>
      <c r="N328">
        <f>Earnings!B328*(1+M328)</f>
        <v>1043760.2974999999</v>
      </c>
    </row>
    <row r="329" spans="1:14" x14ac:dyDescent="0.35">
      <c r="A329" t="s">
        <v>360</v>
      </c>
      <c r="B329" t="s">
        <v>15</v>
      </c>
      <c r="C329" t="s">
        <v>21</v>
      </c>
      <c r="D329" t="s">
        <v>22</v>
      </c>
      <c r="E329">
        <v>13</v>
      </c>
      <c r="F329" t="s">
        <v>45</v>
      </c>
      <c r="G329">
        <f>Earnings!G329</f>
        <v>713398.85959999997</v>
      </c>
      <c r="H329">
        <f>Deductions!B329+Deductions!C329+Deductions!D329+Tax!D329</f>
        <v>7197.809166666666</v>
      </c>
      <c r="I329">
        <f t="shared" si="10"/>
        <v>706201.05043333326</v>
      </c>
      <c r="J329">
        <f>Overtime!D329</f>
        <v>0</v>
      </c>
      <c r="K329">
        <f>IF(C329="Junior",0.06,IF(C329="Mid",0.08,IF(C329="Senior",0.1,IF(C329="Manager",0.12,0))))</f>
        <v>0.1</v>
      </c>
      <c r="L329">
        <f>IF(Performance!E329&gt;2,0.03,IF(Performance!E329&gt;=1,0.01,-0.02))</f>
        <v>0.01</v>
      </c>
      <c r="M329">
        <f t="shared" si="11"/>
        <v>0.11</v>
      </c>
      <c r="N329">
        <f>Earnings!B329*(1+M329)</f>
        <v>831799.09050000005</v>
      </c>
    </row>
    <row r="330" spans="1:14" x14ac:dyDescent="0.35">
      <c r="A330" t="s">
        <v>361</v>
      </c>
      <c r="B330" t="s">
        <v>36</v>
      </c>
      <c r="C330" t="s">
        <v>16</v>
      </c>
      <c r="D330" t="s">
        <v>22</v>
      </c>
      <c r="E330">
        <v>6</v>
      </c>
      <c r="F330" t="s">
        <v>45</v>
      </c>
      <c r="G330">
        <f>Earnings!G330</f>
        <v>1029403.4547999999</v>
      </c>
      <c r="H330">
        <f>Deductions!B330+Deductions!C330+Deductions!D330+Tax!D330</f>
        <v>13407.653749999998</v>
      </c>
      <c r="I330">
        <f t="shared" si="10"/>
        <v>1059248.0470499999</v>
      </c>
      <c r="J330">
        <f>Overtime!D330</f>
        <v>43252.245999999999</v>
      </c>
      <c r="K330">
        <f>IF(C330="Junior",0.06,IF(C330="Mid",0.08,IF(C330="Senior",0.1,IF(C330="Manager",0.12,0))))</f>
        <v>0.06</v>
      </c>
      <c r="L330">
        <f>IF(Performance!E330&gt;2,0.03,IF(Performance!E330&gt;=1,0.01,-0.02))</f>
        <v>0.01</v>
      </c>
      <c r="M330">
        <f t="shared" si="11"/>
        <v>6.9999999999999993E-2</v>
      </c>
      <c r="N330">
        <f>Earnings!B330*(1+M330)</f>
        <v>1156997.5804999999</v>
      </c>
    </row>
    <row r="331" spans="1:14" x14ac:dyDescent="0.35">
      <c r="A331" t="s">
        <v>362</v>
      </c>
      <c r="B331" t="s">
        <v>36</v>
      </c>
      <c r="C331" t="s">
        <v>34</v>
      </c>
      <c r="D331" t="s">
        <v>17</v>
      </c>
      <c r="E331">
        <v>9</v>
      </c>
      <c r="F331" t="s">
        <v>28</v>
      </c>
      <c r="G331">
        <f>Earnings!G331</f>
        <v>1189365.9680000001</v>
      </c>
      <c r="H331">
        <f>Deductions!B331+Deductions!C331+Deductions!D331+Tax!D331</f>
        <v>17608.349999999999</v>
      </c>
      <c r="I331">
        <f t="shared" si="10"/>
        <v>1171757.618</v>
      </c>
      <c r="J331">
        <f>Overtime!D331</f>
        <v>0</v>
      </c>
      <c r="K331">
        <f>IF(C331="Junior",0.06,IF(C331="Mid",0.08,IF(C331="Senior",0.1,IF(C331="Manager",0.12,0))))</f>
        <v>0.08</v>
      </c>
      <c r="L331">
        <f>IF(Performance!E331&gt;2,0.03,IF(Performance!E331&gt;=1,0.01,-0.02))</f>
        <v>0.01</v>
      </c>
      <c r="M331">
        <f t="shared" si="11"/>
        <v>0.09</v>
      </c>
      <c r="N331">
        <f>Earnings!B331*(1+M331)</f>
        <v>1361774.06</v>
      </c>
    </row>
    <row r="332" spans="1:14" x14ac:dyDescent="0.35">
      <c r="A332" t="s">
        <v>363</v>
      </c>
      <c r="B332" t="s">
        <v>20</v>
      </c>
      <c r="C332" t="s">
        <v>21</v>
      </c>
      <c r="D332" t="s">
        <v>22</v>
      </c>
      <c r="E332">
        <v>1</v>
      </c>
      <c r="F332" t="s">
        <v>18</v>
      </c>
      <c r="G332">
        <f>Earnings!G332</f>
        <v>443358.58559999999</v>
      </c>
      <c r="H332">
        <f>Deductions!B332+Deductions!C332+Deductions!D332+Tax!D332</f>
        <v>2898.8033333333333</v>
      </c>
      <c r="I332">
        <f t="shared" si="10"/>
        <v>505659.57426666666</v>
      </c>
      <c r="J332">
        <f>Overtime!D332</f>
        <v>65199.791999999994</v>
      </c>
      <c r="K332">
        <f>IF(C332="Junior",0.06,IF(C332="Mid",0.08,IF(C332="Senior",0.1,IF(C332="Manager",0.12,0))))</f>
        <v>0.1</v>
      </c>
      <c r="L332">
        <f>IF(Performance!E332&gt;2,0.03,IF(Performance!E332&gt;=1,0.01,-0.02))</f>
        <v>0.03</v>
      </c>
      <c r="M332">
        <f t="shared" si="11"/>
        <v>0.13</v>
      </c>
      <c r="N332">
        <f>Earnings!B332*(1+M332)</f>
        <v>526255.46399999992</v>
      </c>
    </row>
    <row r="333" spans="1:14" x14ac:dyDescent="0.35">
      <c r="A333" t="s">
        <v>364</v>
      </c>
      <c r="B333" t="s">
        <v>20</v>
      </c>
      <c r="C333" t="s">
        <v>21</v>
      </c>
      <c r="D333" t="s">
        <v>22</v>
      </c>
      <c r="E333">
        <v>2</v>
      </c>
      <c r="F333" t="s">
        <v>45</v>
      </c>
      <c r="G333">
        <f>Earnings!G333</f>
        <v>564778.80759999994</v>
      </c>
      <c r="H333">
        <f>Deductions!B333+Deductions!C333+Deductions!D333+Tax!D333</f>
        <v>4595.9174999999996</v>
      </c>
      <c r="I333">
        <f t="shared" si="10"/>
        <v>560182.89009999996</v>
      </c>
      <c r="J333">
        <f>Overtime!D333</f>
        <v>0</v>
      </c>
      <c r="K333">
        <f>IF(C333="Junior",0.06,IF(C333="Mid",0.08,IF(C333="Senior",0.1,IF(C333="Manager",0.12,0))))</f>
        <v>0.1</v>
      </c>
      <c r="L333">
        <f>IF(Performance!E333&gt;2,0.03,IF(Performance!E333&gt;=1,0.01,-0.02))</f>
        <v>0.03</v>
      </c>
      <c r="M333">
        <f t="shared" si="11"/>
        <v>0.13</v>
      </c>
      <c r="N333">
        <f>Earnings!B333*(1+M333)</f>
        <v>670378.20649999985</v>
      </c>
    </row>
    <row r="334" spans="1:14" x14ac:dyDescent="0.35">
      <c r="A334" t="s">
        <v>365</v>
      </c>
      <c r="B334" t="s">
        <v>15</v>
      </c>
      <c r="C334" t="s">
        <v>21</v>
      </c>
      <c r="D334" t="s">
        <v>17</v>
      </c>
      <c r="E334">
        <v>9</v>
      </c>
      <c r="F334" t="s">
        <v>28</v>
      </c>
      <c r="G334">
        <f>Earnings!G334</f>
        <v>659538.93599999999</v>
      </c>
      <c r="H334">
        <f>Deductions!B334+Deductions!C334+Deductions!D334+Tax!D334</f>
        <v>6254.8833333333332</v>
      </c>
      <c r="I334">
        <f t="shared" si="10"/>
        <v>653284.05266666668</v>
      </c>
      <c r="J334">
        <f>Overtime!D334</f>
        <v>0</v>
      </c>
      <c r="K334">
        <f>IF(C334="Junior",0.06,IF(C334="Mid",0.08,IF(C334="Senior",0.1,IF(C334="Manager",0.12,0))))</f>
        <v>0.1</v>
      </c>
      <c r="L334">
        <f>IF(Performance!E334&gt;2,0.03,IF(Performance!E334&gt;=1,0.01,-0.02))</f>
        <v>0.01</v>
      </c>
      <c r="M334">
        <f t="shared" si="11"/>
        <v>0.11</v>
      </c>
      <c r="N334">
        <f>Earnings!B334*(1+M334)</f>
        <v>769000.2300000001</v>
      </c>
    </row>
    <row r="335" spans="1:14" x14ac:dyDescent="0.35">
      <c r="A335" t="s">
        <v>366</v>
      </c>
      <c r="B335" t="s">
        <v>27</v>
      </c>
      <c r="C335" t="s">
        <v>44</v>
      </c>
      <c r="D335" t="s">
        <v>17</v>
      </c>
      <c r="E335">
        <v>12</v>
      </c>
      <c r="F335" t="s">
        <v>18</v>
      </c>
      <c r="G335">
        <f>Earnings!G335</f>
        <v>853833.56799999997</v>
      </c>
      <c r="H335">
        <f>Deductions!B335+Deductions!C335+Deductions!D335+Tax!D335</f>
        <v>9656.4000000000015</v>
      </c>
      <c r="I335">
        <f t="shared" si="10"/>
        <v>844177.16799999995</v>
      </c>
      <c r="J335">
        <f>Overtime!D335</f>
        <v>0</v>
      </c>
      <c r="K335">
        <f>IF(C335="Junior",0.06,IF(C335="Mid",0.08,IF(C335="Senior",0.1,IF(C335="Manager",0.12,0))))</f>
        <v>0.12</v>
      </c>
      <c r="L335">
        <f>IF(Performance!E335&gt;2,0.03,IF(Performance!E335&gt;=1,0.01,-0.02))</f>
        <v>0.01</v>
      </c>
      <c r="M335">
        <f t="shared" si="11"/>
        <v>0.13</v>
      </c>
      <c r="N335">
        <f>Earnings!B335*(1+M335)</f>
        <v>1013478.9199999999</v>
      </c>
    </row>
    <row r="336" spans="1:14" x14ac:dyDescent="0.35">
      <c r="A336" t="s">
        <v>367</v>
      </c>
      <c r="B336" t="s">
        <v>30</v>
      </c>
      <c r="C336" t="s">
        <v>21</v>
      </c>
      <c r="D336" t="s">
        <v>17</v>
      </c>
      <c r="E336">
        <v>14</v>
      </c>
      <c r="F336" t="s">
        <v>32</v>
      </c>
      <c r="G336">
        <f>Earnings!G336</f>
        <v>1044391.6</v>
      </c>
      <c r="H336">
        <f>Deductions!B336+Deductions!C336+Deductions!D336+Tax!D336</f>
        <v>13801.25</v>
      </c>
      <c r="I336">
        <f t="shared" si="10"/>
        <v>1112869.1000000001</v>
      </c>
      <c r="J336">
        <f>Overtime!D336</f>
        <v>82278.75</v>
      </c>
      <c r="K336">
        <f>IF(C336="Junior",0.06,IF(C336="Mid",0.08,IF(C336="Senior",0.1,IF(C336="Manager",0.12,0))))</f>
        <v>0.1</v>
      </c>
      <c r="L336">
        <f>IF(Performance!E336&gt;2,0.03,IF(Performance!E336&gt;=1,0.01,-0.02))</f>
        <v>0.01</v>
      </c>
      <c r="M336">
        <f t="shared" si="11"/>
        <v>0.11</v>
      </c>
      <c r="N336">
        <f>Earnings!B336*(1+M336)</f>
        <v>1217725.5</v>
      </c>
    </row>
    <row r="337" spans="1:14" x14ac:dyDescent="0.35">
      <c r="A337" t="s">
        <v>368</v>
      </c>
      <c r="B337" t="s">
        <v>20</v>
      </c>
      <c r="C337" t="s">
        <v>34</v>
      </c>
      <c r="D337" t="s">
        <v>17</v>
      </c>
      <c r="E337">
        <v>1</v>
      </c>
      <c r="F337" t="s">
        <v>45</v>
      </c>
      <c r="G337">
        <f>Earnings!G337</f>
        <v>524139.78399999999</v>
      </c>
      <c r="H337">
        <f>Deductions!B337+Deductions!C337+Deductions!D337+Tax!D337</f>
        <v>3884.45</v>
      </c>
      <c r="I337">
        <f t="shared" si="10"/>
        <v>520255.33399999997</v>
      </c>
      <c r="J337">
        <f>Overtime!D337</f>
        <v>0</v>
      </c>
      <c r="K337">
        <f>IF(C337="Junior",0.06,IF(C337="Mid",0.08,IF(C337="Senior",0.1,IF(C337="Manager",0.12,0))))</f>
        <v>0.08</v>
      </c>
      <c r="L337">
        <f>IF(Performance!E337&gt;2,0.03,IF(Performance!E337&gt;=1,0.01,-0.02))</f>
        <v>0.03</v>
      </c>
      <c r="M337">
        <f t="shared" si="11"/>
        <v>0.11</v>
      </c>
      <c r="N337">
        <f>Earnings!B337*(1+M337)</f>
        <v>611129.37000000011</v>
      </c>
    </row>
    <row r="338" spans="1:14" x14ac:dyDescent="0.35">
      <c r="A338" t="s">
        <v>369</v>
      </c>
      <c r="B338" t="s">
        <v>27</v>
      </c>
      <c r="C338" t="s">
        <v>34</v>
      </c>
      <c r="D338" t="s">
        <v>22</v>
      </c>
      <c r="E338">
        <v>2</v>
      </c>
      <c r="F338" t="s">
        <v>71</v>
      </c>
      <c r="G338">
        <f>Earnings!G338</f>
        <v>439167.59600000002</v>
      </c>
      <c r="H338">
        <f>Deductions!B338+Deductions!C338+Deductions!D338+Tax!D338</f>
        <v>2880.4604166666668</v>
      </c>
      <c r="I338">
        <f t="shared" si="10"/>
        <v>505483.71058333339</v>
      </c>
      <c r="J338">
        <f>Overtime!D338</f>
        <v>69196.575000000012</v>
      </c>
      <c r="K338">
        <f>IF(C338="Junior",0.06,IF(C338="Mid",0.08,IF(C338="Senior",0.1,IF(C338="Manager",0.12,0))))</f>
        <v>0.08</v>
      </c>
      <c r="L338">
        <f>IF(Performance!E338&gt;2,0.03,IF(Performance!E338&gt;=1,0.01,-0.02))</f>
        <v>0.01</v>
      </c>
      <c r="M338">
        <f t="shared" si="11"/>
        <v>0.09</v>
      </c>
      <c r="N338">
        <f>Earnings!B338*(1+M338)</f>
        <v>502828.44500000007</v>
      </c>
    </row>
    <row r="339" spans="1:14" x14ac:dyDescent="0.35">
      <c r="A339" t="s">
        <v>370</v>
      </c>
      <c r="B339" t="s">
        <v>15</v>
      </c>
      <c r="C339" t="s">
        <v>44</v>
      </c>
      <c r="D339" t="s">
        <v>17</v>
      </c>
      <c r="E339">
        <v>14</v>
      </c>
      <c r="F339" t="s">
        <v>28</v>
      </c>
      <c r="G339">
        <f>Earnings!G339</f>
        <v>765178.56799999997</v>
      </c>
      <c r="H339">
        <f>Deductions!B339+Deductions!C339+Deductions!D339+Tax!D339</f>
        <v>8104.3166666666666</v>
      </c>
      <c r="I339">
        <f t="shared" si="10"/>
        <v>757074.25133333332</v>
      </c>
      <c r="J339">
        <f>Overtime!D339</f>
        <v>0</v>
      </c>
      <c r="K339">
        <f>IF(C339="Junior",0.06,IF(C339="Mid",0.08,IF(C339="Senior",0.1,IF(C339="Manager",0.12,0))))</f>
        <v>0.12</v>
      </c>
      <c r="L339">
        <f>IF(Performance!E339&gt;2,0.03,IF(Performance!E339&gt;=1,0.01,-0.02))</f>
        <v>0.01</v>
      </c>
      <c r="M339">
        <f t="shared" si="11"/>
        <v>0.13</v>
      </c>
      <c r="N339">
        <f>Earnings!B339*(1+M339)</f>
        <v>908247.66999999993</v>
      </c>
    </row>
    <row r="340" spans="1:14" x14ac:dyDescent="0.35">
      <c r="A340" t="s">
        <v>371</v>
      </c>
      <c r="B340" t="s">
        <v>30</v>
      </c>
      <c r="C340" t="s">
        <v>21</v>
      </c>
      <c r="D340" t="s">
        <v>22</v>
      </c>
      <c r="E340">
        <v>13</v>
      </c>
      <c r="F340" t="s">
        <v>18</v>
      </c>
      <c r="G340">
        <f>Earnings!G340</f>
        <v>1239455.7812000001</v>
      </c>
      <c r="H340">
        <f>Deductions!B340+Deductions!C340+Deductions!D340+Tax!D340</f>
        <v>18923.733750000003</v>
      </c>
      <c r="I340">
        <f t="shared" si="10"/>
        <v>1324687.9954500003</v>
      </c>
      <c r="J340">
        <f>Overtime!D340</f>
        <v>104155.948</v>
      </c>
      <c r="K340">
        <f>IF(C340="Junior",0.06,IF(C340="Mid",0.08,IF(C340="Senior",0.1,IF(C340="Manager",0.12,0))))</f>
        <v>0.1</v>
      </c>
      <c r="L340">
        <f>IF(Performance!E340&gt;2,0.03,IF(Performance!E340&gt;=1,0.01,-0.02))</f>
        <v>0.01</v>
      </c>
      <c r="M340">
        <f t="shared" si="11"/>
        <v>0.11</v>
      </c>
      <c r="N340">
        <f>Earnings!B340*(1+M340)</f>
        <v>1445163.7785000002</v>
      </c>
    </row>
    <row r="341" spans="1:14" x14ac:dyDescent="0.35">
      <c r="A341" t="s">
        <v>372</v>
      </c>
      <c r="B341" t="s">
        <v>15</v>
      </c>
      <c r="C341" t="s">
        <v>16</v>
      </c>
      <c r="D341" t="s">
        <v>22</v>
      </c>
      <c r="E341">
        <v>8</v>
      </c>
      <c r="F341" t="s">
        <v>18</v>
      </c>
      <c r="G341">
        <f>Earnings!G341</f>
        <v>727831.2747999999</v>
      </c>
      <c r="H341">
        <f>Deductions!B341+Deductions!C341+Deductions!D341+Tax!D341</f>
        <v>7450.4774999999981</v>
      </c>
      <c r="I341">
        <f t="shared" si="10"/>
        <v>819769.52179999987</v>
      </c>
      <c r="J341">
        <f>Overtime!D341</f>
        <v>99388.724499999997</v>
      </c>
      <c r="K341">
        <f>IF(C341="Junior",0.06,IF(C341="Mid",0.08,IF(C341="Senior",0.1,IF(C341="Manager",0.12,0))))</f>
        <v>0.06</v>
      </c>
      <c r="L341">
        <f>IF(Performance!E341&gt;2,0.03,IF(Performance!E341&gt;=1,0.01,-0.02))</f>
        <v>0.01</v>
      </c>
      <c r="M341">
        <f t="shared" si="11"/>
        <v>6.9999999999999993E-2</v>
      </c>
      <c r="N341">
        <f>Earnings!B341*(1+M341)</f>
        <v>818045.65549999999</v>
      </c>
    </row>
    <row r="342" spans="1:14" x14ac:dyDescent="0.35">
      <c r="A342" t="s">
        <v>373</v>
      </c>
      <c r="B342" t="s">
        <v>20</v>
      </c>
      <c r="C342" t="s">
        <v>21</v>
      </c>
      <c r="D342" t="s">
        <v>17</v>
      </c>
      <c r="E342">
        <v>5</v>
      </c>
      <c r="F342" t="s">
        <v>18</v>
      </c>
      <c r="G342">
        <f>Earnings!G342</f>
        <v>541529.96799999999</v>
      </c>
      <c r="H342">
        <f>Deductions!B342+Deductions!C342+Deductions!D342+Tax!D342</f>
        <v>4188.8999999999996</v>
      </c>
      <c r="I342">
        <f t="shared" si="10"/>
        <v>537341.06799999997</v>
      </c>
      <c r="J342">
        <f>Overtime!D342</f>
        <v>0</v>
      </c>
      <c r="K342">
        <f>IF(C342="Junior",0.06,IF(C342="Mid",0.08,IF(C342="Senior",0.1,IF(C342="Manager",0.12,0))))</f>
        <v>0.1</v>
      </c>
      <c r="L342">
        <f>IF(Performance!E342&gt;2,0.03,IF(Performance!E342&gt;=1,0.01,-0.02))</f>
        <v>0.03</v>
      </c>
      <c r="M342">
        <f t="shared" si="11"/>
        <v>0.13</v>
      </c>
      <c r="N342">
        <f>Earnings!B342*(1+M342)</f>
        <v>642782.41999999993</v>
      </c>
    </row>
    <row r="343" spans="1:14" x14ac:dyDescent="0.35">
      <c r="A343" t="s">
        <v>374</v>
      </c>
      <c r="B343" t="s">
        <v>15</v>
      </c>
      <c r="C343" t="s">
        <v>16</v>
      </c>
      <c r="D343" t="s">
        <v>22</v>
      </c>
      <c r="E343">
        <v>10</v>
      </c>
      <c r="F343" t="s">
        <v>23</v>
      </c>
      <c r="G343">
        <f>Earnings!G343</f>
        <v>681585.68519999995</v>
      </c>
      <c r="H343">
        <f>Deductions!B343+Deductions!C343+Deductions!D343+Tax!D343</f>
        <v>6640.8558333333331</v>
      </c>
      <c r="I343">
        <f t="shared" si="10"/>
        <v>674944.82936666661</v>
      </c>
      <c r="J343">
        <f>Overtime!D343</f>
        <v>0</v>
      </c>
      <c r="K343">
        <f>IF(C343="Junior",0.06,IF(C343="Mid",0.08,IF(C343="Senior",0.1,IF(C343="Manager",0.12,0))))</f>
        <v>0.06</v>
      </c>
      <c r="L343">
        <f>IF(Performance!E343&gt;2,0.03,IF(Performance!E343&gt;=1,0.01,-0.02))</f>
        <v>0.01</v>
      </c>
      <c r="M343">
        <f t="shared" si="11"/>
        <v>6.9999999999999993E-2</v>
      </c>
      <c r="N343">
        <f>Earnings!B343*(1+M343)</f>
        <v>766067.94449999998</v>
      </c>
    </row>
    <row r="344" spans="1:14" x14ac:dyDescent="0.35">
      <c r="A344" t="s">
        <v>375</v>
      </c>
      <c r="B344" t="s">
        <v>15</v>
      </c>
      <c r="C344" t="s">
        <v>44</v>
      </c>
      <c r="D344" t="s">
        <v>17</v>
      </c>
      <c r="E344">
        <v>9</v>
      </c>
      <c r="F344" t="s">
        <v>71</v>
      </c>
      <c r="G344">
        <f>Earnings!G344</f>
        <v>635623.74399999995</v>
      </c>
      <c r="H344">
        <f>Deductions!B344+Deductions!C344+Deductions!D344+Tax!D344</f>
        <v>5836.2000000000007</v>
      </c>
      <c r="I344">
        <f t="shared" si="10"/>
        <v>629787.54399999999</v>
      </c>
      <c r="J344">
        <f>Overtime!D344</f>
        <v>0</v>
      </c>
      <c r="K344">
        <f>IF(C344="Junior",0.06,IF(C344="Mid",0.08,IF(C344="Senior",0.1,IF(C344="Manager",0.12,0))))</f>
        <v>0.12</v>
      </c>
      <c r="L344">
        <f>IF(Performance!E344&gt;2,0.03,IF(Performance!E344&gt;=1,0.01,-0.02))</f>
        <v>0.01</v>
      </c>
      <c r="M344">
        <f t="shared" si="11"/>
        <v>0.13</v>
      </c>
      <c r="N344">
        <f>Earnings!B344*(1+M344)</f>
        <v>754469.36</v>
      </c>
    </row>
    <row r="345" spans="1:14" x14ac:dyDescent="0.35">
      <c r="A345" t="s">
        <v>376</v>
      </c>
      <c r="B345" t="s">
        <v>36</v>
      </c>
      <c r="C345" t="s">
        <v>44</v>
      </c>
      <c r="D345" t="s">
        <v>22</v>
      </c>
      <c r="E345">
        <v>10</v>
      </c>
      <c r="F345" t="s">
        <v>32</v>
      </c>
      <c r="G345">
        <f>Earnings!G345</f>
        <v>760224.16959999991</v>
      </c>
      <c r="H345">
        <f>Deductions!B345+Deductions!C345+Deductions!D345+Tax!D345</f>
        <v>8017.579999999999</v>
      </c>
      <c r="I345">
        <f t="shared" si="10"/>
        <v>848033.16559999995</v>
      </c>
      <c r="J345">
        <f>Overtime!D345</f>
        <v>95826.576000000001</v>
      </c>
      <c r="K345">
        <f>IF(C345="Junior",0.06,IF(C345="Mid",0.08,IF(C345="Senior",0.1,IF(C345="Manager",0.12,0))))</f>
        <v>0.12</v>
      </c>
      <c r="L345">
        <f>IF(Performance!E345&gt;2,0.03,IF(Performance!E345&gt;=1,0.01,-0.02))</f>
        <v>0.01</v>
      </c>
      <c r="M345">
        <f t="shared" si="11"/>
        <v>0.13</v>
      </c>
      <c r="N345">
        <f>Earnings!B345*(1+M345)</f>
        <v>902366.92399999988</v>
      </c>
    </row>
    <row r="346" spans="1:14" x14ac:dyDescent="0.35">
      <c r="A346" t="s">
        <v>377</v>
      </c>
      <c r="B346" t="s">
        <v>20</v>
      </c>
      <c r="C346" t="s">
        <v>44</v>
      </c>
      <c r="D346" t="s">
        <v>22</v>
      </c>
      <c r="E346">
        <v>13</v>
      </c>
      <c r="F346" t="s">
        <v>28</v>
      </c>
      <c r="G346">
        <f>Earnings!G346</f>
        <v>932212.10879999981</v>
      </c>
      <c r="H346">
        <f>Deductions!B346+Deductions!C346+Deductions!D346+Tax!D346</f>
        <v>11028.573333333332</v>
      </c>
      <c r="I346">
        <f t="shared" si="10"/>
        <v>921183.53546666645</v>
      </c>
      <c r="J346">
        <f>Overtime!D346</f>
        <v>0</v>
      </c>
      <c r="K346">
        <f>IF(C346="Junior",0.06,IF(C346="Mid",0.08,IF(C346="Senior",0.1,IF(C346="Manager",0.12,0))))</f>
        <v>0.12</v>
      </c>
      <c r="L346">
        <f>IF(Performance!E346&gt;2,0.03,IF(Performance!E346&gt;=1,0.01,-0.02))</f>
        <v>0.03</v>
      </c>
      <c r="M346">
        <f t="shared" si="11"/>
        <v>0.15</v>
      </c>
      <c r="N346">
        <f>Earnings!B346*(1+M346)</f>
        <v>1126096.5599999998</v>
      </c>
    </row>
    <row r="347" spans="1:14" x14ac:dyDescent="0.35">
      <c r="A347" t="s">
        <v>378</v>
      </c>
      <c r="B347" t="s">
        <v>15</v>
      </c>
      <c r="C347" t="s">
        <v>34</v>
      </c>
      <c r="D347" t="s">
        <v>17</v>
      </c>
      <c r="E347">
        <v>11</v>
      </c>
      <c r="F347" t="s">
        <v>28</v>
      </c>
      <c r="G347">
        <f>Earnings!G347</f>
        <v>686776.60800000001</v>
      </c>
      <c r="H347">
        <f>Deductions!B347+Deductions!C347+Deductions!D347+Tax!D347</f>
        <v>6731.7333333333336</v>
      </c>
      <c r="I347">
        <f t="shared" si="10"/>
        <v>781041.43466666667</v>
      </c>
      <c r="J347">
        <f>Overtime!D347</f>
        <v>100996.55999999998</v>
      </c>
      <c r="K347">
        <f>IF(C347="Junior",0.06,IF(C347="Mid",0.08,IF(C347="Senior",0.1,IF(C347="Manager",0.12,0))))</f>
        <v>0.08</v>
      </c>
      <c r="L347">
        <f>IF(Performance!E347&gt;2,0.03,IF(Performance!E347&gt;=1,0.01,-0.02))</f>
        <v>0.01</v>
      </c>
      <c r="M347">
        <f t="shared" si="11"/>
        <v>0.09</v>
      </c>
      <c r="N347">
        <f>Earnings!B347*(1+M347)</f>
        <v>786330.3600000001</v>
      </c>
    </row>
    <row r="348" spans="1:14" x14ac:dyDescent="0.35">
      <c r="A348" t="s">
        <v>379</v>
      </c>
      <c r="B348" t="s">
        <v>27</v>
      </c>
      <c r="C348" t="s">
        <v>21</v>
      </c>
      <c r="D348" t="s">
        <v>17</v>
      </c>
      <c r="E348">
        <v>8</v>
      </c>
      <c r="F348" t="s">
        <v>23</v>
      </c>
      <c r="G348">
        <f>Earnings!G348</f>
        <v>580990.36800000002</v>
      </c>
      <c r="H348">
        <f>Deductions!B348+Deductions!C348+Deductions!D348+Tax!D348</f>
        <v>4879.7333333333336</v>
      </c>
      <c r="I348">
        <f t="shared" si="10"/>
        <v>637139.03466666676</v>
      </c>
      <c r="J348">
        <f>Overtime!D348</f>
        <v>61028.4</v>
      </c>
      <c r="K348">
        <f>IF(C348="Junior",0.06,IF(C348="Mid",0.08,IF(C348="Senior",0.1,IF(C348="Manager",0.12,0))))</f>
        <v>0.1</v>
      </c>
      <c r="L348">
        <f>IF(Performance!E348&gt;2,0.03,IF(Performance!E348&gt;=1,0.01,-0.02))</f>
        <v>0.01</v>
      </c>
      <c r="M348">
        <f t="shared" si="11"/>
        <v>0.11</v>
      </c>
      <c r="N348">
        <f>Earnings!B348*(1+M348)</f>
        <v>677415.24000000011</v>
      </c>
    </row>
    <row r="349" spans="1:14" x14ac:dyDescent="0.35">
      <c r="A349" t="s">
        <v>380</v>
      </c>
      <c r="B349" t="s">
        <v>20</v>
      </c>
      <c r="C349" t="s">
        <v>44</v>
      </c>
      <c r="D349" t="s">
        <v>22</v>
      </c>
      <c r="E349">
        <v>1</v>
      </c>
      <c r="F349" t="s">
        <v>18</v>
      </c>
      <c r="G349">
        <f>Earnings!G349</f>
        <v>672952.28280000004</v>
      </c>
      <c r="H349">
        <f>Deductions!B349+Deductions!C349+Deductions!D349+Tax!D349</f>
        <v>6489.7108333333335</v>
      </c>
      <c r="I349">
        <f t="shared" si="10"/>
        <v>684134.63821666676</v>
      </c>
      <c r="J349">
        <f>Overtime!D349</f>
        <v>17672.06625</v>
      </c>
      <c r="K349">
        <f>IF(C349="Junior",0.06,IF(C349="Mid",0.08,IF(C349="Senior",0.1,IF(C349="Manager",0.12,0))))</f>
        <v>0.12</v>
      </c>
      <c r="L349">
        <f>IF(Performance!E349&gt;2,0.03,IF(Performance!E349&gt;=1,0.01,-0.02))</f>
        <v>0.03</v>
      </c>
      <c r="M349">
        <f t="shared" si="11"/>
        <v>0.15</v>
      </c>
      <c r="N349">
        <f>Earnings!B349*(1+M349)</f>
        <v>812915.04749999999</v>
      </c>
    </row>
    <row r="350" spans="1:14" x14ac:dyDescent="0.35">
      <c r="A350" t="s">
        <v>381</v>
      </c>
      <c r="B350" t="s">
        <v>20</v>
      </c>
      <c r="C350" t="s">
        <v>21</v>
      </c>
      <c r="D350" t="s">
        <v>22</v>
      </c>
      <c r="E350">
        <v>10</v>
      </c>
      <c r="F350" t="s">
        <v>71</v>
      </c>
      <c r="G350">
        <f>Earnings!G350</f>
        <v>724050.8827999999</v>
      </c>
      <c r="H350">
        <f>Deductions!B350+Deductions!C350+Deductions!D350+Tax!D350</f>
        <v>7384.2941666666657</v>
      </c>
      <c r="I350">
        <f t="shared" si="10"/>
        <v>716666.58863333322</v>
      </c>
      <c r="J350">
        <f>Overtime!D350</f>
        <v>0</v>
      </c>
      <c r="K350">
        <f>IF(C350="Junior",0.06,IF(C350="Mid",0.08,IF(C350="Senior",0.1,IF(C350="Manager",0.12,0))))</f>
        <v>0.1</v>
      </c>
      <c r="L350">
        <f>IF(Performance!E350&gt;2,0.03,IF(Performance!E350&gt;=1,0.01,-0.02))</f>
        <v>0.03</v>
      </c>
      <c r="M350">
        <f t="shared" si="11"/>
        <v>0.13</v>
      </c>
      <c r="N350">
        <f>Earnings!B350*(1+M350)</f>
        <v>859430.14449999982</v>
      </c>
    </row>
    <row r="351" spans="1:14" x14ac:dyDescent="0.35">
      <c r="A351" t="s">
        <v>382</v>
      </c>
      <c r="B351" t="s">
        <v>30</v>
      </c>
      <c r="C351" t="s">
        <v>34</v>
      </c>
      <c r="D351" t="s">
        <v>22</v>
      </c>
      <c r="E351">
        <v>7</v>
      </c>
      <c r="F351" t="s">
        <v>25</v>
      </c>
      <c r="G351">
        <f>Earnings!G351</f>
        <v>1086350.8096</v>
      </c>
      <c r="H351">
        <f>Deductions!B351+Deductions!C351+Deductions!D351+Tax!D351</f>
        <v>14903.12</v>
      </c>
      <c r="I351">
        <f t="shared" si="10"/>
        <v>1071447.6895999999</v>
      </c>
      <c r="J351">
        <f>Overtime!D351</f>
        <v>0</v>
      </c>
      <c r="K351">
        <f>IF(C351="Junior",0.06,IF(C351="Mid",0.08,IF(C351="Senior",0.1,IF(C351="Manager",0.12,0))))</f>
        <v>0.08</v>
      </c>
      <c r="L351">
        <f>IF(Performance!E351&gt;2,0.03,IF(Performance!E351&gt;=1,0.01,-0.02))</f>
        <v>0.01</v>
      </c>
      <c r="M351">
        <f t="shared" si="11"/>
        <v>0.09</v>
      </c>
      <c r="N351">
        <f>Earnings!B351*(1+M351)</f>
        <v>1243826.0320000001</v>
      </c>
    </row>
    <row r="352" spans="1:14" x14ac:dyDescent="0.35">
      <c r="A352" t="s">
        <v>383</v>
      </c>
      <c r="B352" t="s">
        <v>15</v>
      </c>
      <c r="C352" t="s">
        <v>21</v>
      </c>
      <c r="D352" t="s">
        <v>17</v>
      </c>
      <c r="E352">
        <v>11</v>
      </c>
      <c r="F352" t="s">
        <v>28</v>
      </c>
      <c r="G352">
        <f>Earnings!G352</f>
        <v>826920.52800000005</v>
      </c>
      <c r="H352">
        <f>Deductions!B352+Deductions!C352+Deductions!D352+Tax!D352</f>
        <v>9185.2333333333336</v>
      </c>
      <c r="I352">
        <f t="shared" si="10"/>
        <v>817735.29466666677</v>
      </c>
      <c r="J352">
        <f>Overtime!D352</f>
        <v>0</v>
      </c>
      <c r="K352">
        <f>IF(C352="Junior",0.06,IF(C352="Mid",0.08,IF(C352="Senior",0.1,IF(C352="Manager",0.12,0))))</f>
        <v>0.1</v>
      </c>
      <c r="L352">
        <f>IF(Performance!E352&gt;2,0.03,IF(Performance!E352&gt;=1,0.01,-0.02))</f>
        <v>0.01</v>
      </c>
      <c r="M352">
        <f t="shared" si="11"/>
        <v>0.11</v>
      </c>
      <c r="N352">
        <f>Earnings!B352*(1+M352)</f>
        <v>964161.54</v>
      </c>
    </row>
    <row r="353" spans="1:14" x14ac:dyDescent="0.35">
      <c r="A353" t="s">
        <v>384</v>
      </c>
      <c r="B353" t="s">
        <v>15</v>
      </c>
      <c r="C353" t="s">
        <v>21</v>
      </c>
      <c r="D353" t="s">
        <v>17</v>
      </c>
      <c r="E353">
        <v>13</v>
      </c>
      <c r="F353" t="s">
        <v>28</v>
      </c>
      <c r="G353">
        <f>Earnings!G353</f>
        <v>906457.272</v>
      </c>
      <c r="H353">
        <f>Deductions!B353+Deductions!C353+Deductions!D353+Tax!D353</f>
        <v>10577.683333333334</v>
      </c>
      <c r="I353">
        <f t="shared" si="10"/>
        <v>938726.83366666664</v>
      </c>
      <c r="J353">
        <f>Overtime!D353</f>
        <v>42847.245000000003</v>
      </c>
      <c r="K353">
        <f>IF(C353="Junior",0.06,IF(C353="Mid",0.08,IF(C353="Senior",0.1,IF(C353="Manager",0.12,0))))</f>
        <v>0.1</v>
      </c>
      <c r="L353">
        <f>IF(Performance!E353&gt;2,0.03,IF(Performance!E353&gt;=1,0.01,-0.02))</f>
        <v>0.01</v>
      </c>
      <c r="M353">
        <f t="shared" si="11"/>
        <v>0.11</v>
      </c>
      <c r="N353">
        <f>Earnings!B353*(1+M353)</f>
        <v>1056898.7100000002</v>
      </c>
    </row>
    <row r="354" spans="1:14" x14ac:dyDescent="0.35">
      <c r="A354" t="s">
        <v>385</v>
      </c>
      <c r="B354" t="s">
        <v>30</v>
      </c>
      <c r="C354" t="s">
        <v>44</v>
      </c>
      <c r="D354" t="s">
        <v>22</v>
      </c>
      <c r="E354">
        <v>2</v>
      </c>
      <c r="F354" t="s">
        <v>32</v>
      </c>
      <c r="G354">
        <f>Earnings!G354</f>
        <v>1093493.7608</v>
      </c>
      <c r="H354">
        <f>Deductions!B354+Deductions!C354+Deductions!D354+Tax!D354</f>
        <v>15090.697499999997</v>
      </c>
      <c r="I354">
        <f t="shared" si="10"/>
        <v>1078403.0633</v>
      </c>
      <c r="J354">
        <f>Overtime!D354</f>
        <v>0</v>
      </c>
      <c r="K354">
        <f>IF(C354="Junior",0.06,IF(C354="Mid",0.08,IF(C354="Senior",0.1,IF(C354="Manager",0.12,0))))</f>
        <v>0.12</v>
      </c>
      <c r="L354">
        <f>IF(Performance!E354&gt;2,0.03,IF(Performance!E354&gt;=1,0.01,-0.02))</f>
        <v>0.01</v>
      </c>
      <c r="M354">
        <f t="shared" si="11"/>
        <v>0.13</v>
      </c>
      <c r="N354">
        <f>Earnings!B354*(1+M354)</f>
        <v>1297949.5269999998</v>
      </c>
    </row>
    <row r="355" spans="1:14" x14ac:dyDescent="0.35">
      <c r="A355" t="s">
        <v>386</v>
      </c>
      <c r="B355" t="s">
        <v>20</v>
      </c>
      <c r="C355" t="s">
        <v>16</v>
      </c>
      <c r="D355" t="s">
        <v>17</v>
      </c>
      <c r="E355">
        <v>13</v>
      </c>
      <c r="F355" t="s">
        <v>23</v>
      </c>
      <c r="G355">
        <f>Earnings!G355</f>
        <v>946982.96</v>
      </c>
      <c r="H355">
        <f>Deductions!B355+Deductions!C355+Deductions!D355+Tax!D355</f>
        <v>11287.166666666666</v>
      </c>
      <c r="I355">
        <f t="shared" si="10"/>
        <v>935695.79333333333</v>
      </c>
      <c r="J355">
        <f>Overtime!D355</f>
        <v>0</v>
      </c>
      <c r="K355">
        <f>IF(C355="Junior",0.06,IF(C355="Mid",0.08,IF(C355="Senior",0.1,IF(C355="Manager",0.12,0))))</f>
        <v>0.06</v>
      </c>
      <c r="L355">
        <f>IF(Performance!E355&gt;2,0.03,IF(Performance!E355&gt;=1,0.01,-0.02))</f>
        <v>0.03</v>
      </c>
      <c r="M355">
        <f t="shared" si="11"/>
        <v>0.09</v>
      </c>
      <c r="N355">
        <f>Earnings!B355*(1+M355)</f>
        <v>1084255.7000000002</v>
      </c>
    </row>
    <row r="356" spans="1:14" x14ac:dyDescent="0.35">
      <c r="A356" t="s">
        <v>387</v>
      </c>
      <c r="B356" t="s">
        <v>15</v>
      </c>
      <c r="C356" t="s">
        <v>16</v>
      </c>
      <c r="D356" t="s">
        <v>22</v>
      </c>
      <c r="E356">
        <v>2</v>
      </c>
      <c r="F356" t="s">
        <v>25</v>
      </c>
      <c r="G356">
        <f>Earnings!G356</f>
        <v>592439.88159999985</v>
      </c>
      <c r="H356">
        <f>Deductions!B356+Deductions!C356+Deductions!D356+Tax!D356</f>
        <v>5080.1799999999985</v>
      </c>
      <c r="I356">
        <f t="shared" si="10"/>
        <v>587359.7015999998</v>
      </c>
      <c r="J356">
        <f>Overtime!D356</f>
        <v>0</v>
      </c>
      <c r="K356">
        <f>IF(C356="Junior",0.06,IF(C356="Mid",0.08,IF(C356="Senior",0.1,IF(C356="Manager",0.12,0))))</f>
        <v>0.06</v>
      </c>
      <c r="L356">
        <f>IF(Performance!E356&gt;2,0.03,IF(Performance!E356&gt;=1,0.01,-0.02))</f>
        <v>0.01</v>
      </c>
      <c r="M356">
        <f t="shared" si="11"/>
        <v>6.9999999999999993E-2</v>
      </c>
      <c r="N356">
        <f>Earnings!B356*(1+M356)</f>
        <v>665872.55599999998</v>
      </c>
    </row>
    <row r="357" spans="1:14" x14ac:dyDescent="0.35">
      <c r="A357" t="s">
        <v>388</v>
      </c>
      <c r="B357" t="s">
        <v>36</v>
      </c>
      <c r="C357" t="s">
        <v>16</v>
      </c>
      <c r="D357" t="s">
        <v>22</v>
      </c>
      <c r="E357">
        <v>2</v>
      </c>
      <c r="F357" t="s">
        <v>32</v>
      </c>
      <c r="G357">
        <f>Earnings!G357</f>
        <v>645889.0172</v>
      </c>
      <c r="H357">
        <f>Deductions!B357+Deductions!C357+Deductions!D357+Tax!D357</f>
        <v>6015.9141666666656</v>
      </c>
      <c r="I357">
        <f t="shared" si="10"/>
        <v>639873.10303333332</v>
      </c>
      <c r="J357">
        <f>Overtime!D357</f>
        <v>0</v>
      </c>
      <c r="K357">
        <f>IF(C357="Junior",0.06,IF(C357="Mid",0.08,IF(C357="Senior",0.1,IF(C357="Manager",0.12,0))))</f>
        <v>0.06</v>
      </c>
      <c r="L357">
        <f>IF(Performance!E357&gt;2,0.03,IF(Performance!E357&gt;=1,0.01,-0.02))</f>
        <v>0.01</v>
      </c>
      <c r="M357">
        <f t="shared" si="11"/>
        <v>6.9999999999999993E-2</v>
      </c>
      <c r="N357">
        <f>Earnings!B357*(1+M357)</f>
        <v>725946.68949999998</v>
      </c>
    </row>
    <row r="358" spans="1:14" x14ac:dyDescent="0.35">
      <c r="A358" t="s">
        <v>389</v>
      </c>
      <c r="B358" t="s">
        <v>15</v>
      </c>
      <c r="C358" t="s">
        <v>21</v>
      </c>
      <c r="D358" t="s">
        <v>22</v>
      </c>
      <c r="E358">
        <v>5</v>
      </c>
      <c r="F358" t="s">
        <v>25</v>
      </c>
      <c r="G358">
        <f>Earnings!G358</f>
        <v>445481.21240000002</v>
      </c>
      <c r="H358">
        <f>Deductions!B358+Deductions!C358+Deductions!D358+Tax!D358</f>
        <v>2908.0935416666666</v>
      </c>
      <c r="I358">
        <f t="shared" si="10"/>
        <v>454271.68010833336</v>
      </c>
      <c r="J358">
        <f>Overtime!D358</f>
        <v>11698.561250000001</v>
      </c>
      <c r="K358">
        <f>IF(C358="Junior",0.06,IF(C358="Mid",0.08,IF(C358="Senior",0.1,IF(C358="Manager",0.12,0))))</f>
        <v>0.1</v>
      </c>
      <c r="L358">
        <f>IF(Performance!E358&gt;2,0.03,IF(Performance!E358&gt;=1,0.01,-0.02))</f>
        <v>0.01</v>
      </c>
      <c r="M358">
        <f t="shared" si="11"/>
        <v>0.11</v>
      </c>
      <c r="N358">
        <f>Earnings!B358*(1+M358)</f>
        <v>519416.11950000003</v>
      </c>
    </row>
    <row r="359" spans="1:14" x14ac:dyDescent="0.35">
      <c r="A359" t="s">
        <v>390</v>
      </c>
      <c r="B359" t="s">
        <v>15</v>
      </c>
      <c r="C359" t="s">
        <v>21</v>
      </c>
      <c r="D359" t="s">
        <v>17</v>
      </c>
      <c r="E359">
        <v>11</v>
      </c>
      <c r="F359" t="s">
        <v>25</v>
      </c>
      <c r="G359">
        <f>Earnings!G359</f>
        <v>802381.77599999995</v>
      </c>
      <c r="H359">
        <f>Deductions!B359+Deductions!C359+Deductions!D359+Tax!D359</f>
        <v>8755.633333333335</v>
      </c>
      <c r="I359">
        <f t="shared" si="10"/>
        <v>793626.14266666665</v>
      </c>
      <c r="J359">
        <f>Overtime!D359</f>
        <v>0</v>
      </c>
      <c r="K359">
        <f>IF(C359="Junior",0.06,IF(C359="Mid",0.08,IF(C359="Senior",0.1,IF(C359="Manager",0.12,0))))</f>
        <v>0.1</v>
      </c>
      <c r="L359">
        <f>IF(Performance!E359&gt;2,0.03,IF(Performance!E359&gt;=1,0.01,-0.02))</f>
        <v>0.01</v>
      </c>
      <c r="M359">
        <f t="shared" si="11"/>
        <v>0.11</v>
      </c>
      <c r="N359">
        <f>Earnings!B359*(1+M359)</f>
        <v>935550.18</v>
      </c>
    </row>
    <row r="360" spans="1:14" x14ac:dyDescent="0.35">
      <c r="A360" t="s">
        <v>391</v>
      </c>
      <c r="B360" t="s">
        <v>36</v>
      </c>
      <c r="C360" t="s">
        <v>21</v>
      </c>
      <c r="D360" t="s">
        <v>17</v>
      </c>
      <c r="E360">
        <v>2</v>
      </c>
      <c r="F360" t="s">
        <v>45</v>
      </c>
      <c r="G360">
        <f>Earnings!G360</f>
        <v>752723.55200000003</v>
      </c>
      <c r="H360">
        <f>Deductions!B360+Deductions!C360+Deductions!D360+Tax!D360</f>
        <v>7886.2666666666673</v>
      </c>
      <c r="I360">
        <f t="shared" si="10"/>
        <v>744837.2853333333</v>
      </c>
      <c r="J360">
        <f>Overtime!D360</f>
        <v>0</v>
      </c>
      <c r="K360">
        <f>IF(C360="Junior",0.06,IF(C360="Mid",0.08,IF(C360="Senior",0.1,IF(C360="Manager",0.12,0))))</f>
        <v>0.1</v>
      </c>
      <c r="L360">
        <f>IF(Performance!E360&gt;2,0.03,IF(Performance!E360&gt;=1,0.01,-0.02))</f>
        <v>0.01</v>
      </c>
      <c r="M360">
        <f t="shared" si="11"/>
        <v>0.11</v>
      </c>
      <c r="N360">
        <f>Earnings!B360*(1+M360)</f>
        <v>877650.3600000001</v>
      </c>
    </row>
    <row r="361" spans="1:14" x14ac:dyDescent="0.35">
      <c r="A361" t="s">
        <v>392</v>
      </c>
      <c r="B361" t="s">
        <v>30</v>
      </c>
      <c r="C361" t="s">
        <v>21</v>
      </c>
      <c r="D361" t="s">
        <v>22</v>
      </c>
      <c r="E361">
        <v>7</v>
      </c>
      <c r="F361" t="s">
        <v>32</v>
      </c>
      <c r="G361">
        <f>Earnings!G361</f>
        <v>1242616.6592000001</v>
      </c>
      <c r="H361">
        <f>Deductions!B361+Deductions!C361+Deductions!D361+Tax!D361</f>
        <v>19006.740000000002</v>
      </c>
      <c r="I361">
        <f t="shared" si="10"/>
        <v>1223609.9192000001</v>
      </c>
      <c r="J361">
        <f>Overtime!D361</f>
        <v>0</v>
      </c>
      <c r="K361">
        <f>IF(C361="Junior",0.06,IF(C361="Mid",0.08,IF(C361="Senior",0.1,IF(C361="Manager",0.12,0))))</f>
        <v>0.1</v>
      </c>
      <c r="L361">
        <f>IF(Performance!E361&gt;2,0.03,IF(Performance!E361&gt;=1,0.01,-0.02))</f>
        <v>0.01</v>
      </c>
      <c r="M361">
        <f t="shared" si="11"/>
        <v>0.11</v>
      </c>
      <c r="N361">
        <f>Earnings!B361*(1+M361)</f>
        <v>1448849.2560000003</v>
      </c>
    </row>
    <row r="362" spans="1:14" x14ac:dyDescent="0.35">
      <c r="A362" t="s">
        <v>393</v>
      </c>
      <c r="B362" t="s">
        <v>15</v>
      </c>
      <c r="C362" t="s">
        <v>16</v>
      </c>
      <c r="D362" t="s">
        <v>22</v>
      </c>
      <c r="E362">
        <v>2</v>
      </c>
      <c r="F362" t="s">
        <v>32</v>
      </c>
      <c r="G362">
        <f>Earnings!G362</f>
        <v>569453.65119999996</v>
      </c>
      <c r="H362">
        <f>Deductions!B362+Deductions!C362+Deductions!D362+Tax!D362</f>
        <v>4677.76</v>
      </c>
      <c r="I362">
        <f t="shared" si="10"/>
        <v>594684.17119999998</v>
      </c>
      <c r="J362">
        <f>Overtime!D362</f>
        <v>29908.28</v>
      </c>
      <c r="K362">
        <f>IF(C362="Junior",0.06,IF(C362="Mid",0.08,IF(C362="Senior",0.1,IF(C362="Manager",0.12,0))))</f>
        <v>0.06</v>
      </c>
      <c r="L362">
        <f>IF(Performance!E362&gt;2,0.03,IF(Performance!E362&gt;=1,0.01,-0.02))</f>
        <v>0.01</v>
      </c>
      <c r="M362">
        <f t="shared" si="11"/>
        <v>6.9999999999999993E-2</v>
      </c>
      <c r="N362">
        <f>Earnings!B362*(1+M362)</f>
        <v>640037.19200000004</v>
      </c>
    </row>
    <row r="363" spans="1:14" x14ac:dyDescent="0.35">
      <c r="A363" t="s">
        <v>394</v>
      </c>
      <c r="B363" t="s">
        <v>30</v>
      </c>
      <c r="C363" t="s">
        <v>44</v>
      </c>
      <c r="D363" t="s">
        <v>17</v>
      </c>
      <c r="E363">
        <v>13</v>
      </c>
      <c r="F363" t="s">
        <v>25</v>
      </c>
      <c r="G363">
        <f>Earnings!G363</f>
        <v>1076599.6640000001</v>
      </c>
      <c r="H363">
        <f>Deductions!B363+Deductions!C363+Deductions!D363+Tax!D363</f>
        <v>14647.050000000001</v>
      </c>
      <c r="I363">
        <f t="shared" si="10"/>
        <v>1061952.6140000001</v>
      </c>
      <c r="J363">
        <f>Overtime!D363</f>
        <v>0</v>
      </c>
      <c r="K363">
        <f>IF(C363="Junior",0.06,IF(C363="Mid",0.08,IF(C363="Senior",0.1,IF(C363="Manager",0.12,0))))</f>
        <v>0.12</v>
      </c>
      <c r="L363">
        <f>IF(Performance!E363&gt;2,0.03,IF(Performance!E363&gt;=1,0.01,-0.02))</f>
        <v>0.01</v>
      </c>
      <c r="M363">
        <f t="shared" si="11"/>
        <v>0.13</v>
      </c>
      <c r="N363">
        <f>Earnings!B363*(1+M363)</f>
        <v>1277896.6599999999</v>
      </c>
    </row>
    <row r="364" spans="1:14" x14ac:dyDescent="0.35">
      <c r="A364" t="s">
        <v>395</v>
      </c>
      <c r="B364" t="s">
        <v>30</v>
      </c>
      <c r="C364" t="s">
        <v>34</v>
      </c>
      <c r="D364" t="s">
        <v>17</v>
      </c>
      <c r="E364">
        <v>12</v>
      </c>
      <c r="F364" t="s">
        <v>71</v>
      </c>
      <c r="G364">
        <f>Earnings!G364</f>
        <v>1429181.432</v>
      </c>
      <c r="H364">
        <f>Deductions!B364+Deductions!C364+Deductions!D364+Tax!D364</f>
        <v>23906.024999999998</v>
      </c>
      <c r="I364">
        <f t="shared" si="10"/>
        <v>1577918.1220000002</v>
      </c>
      <c r="J364">
        <f>Overtime!D364</f>
        <v>172642.715</v>
      </c>
      <c r="K364">
        <f>IF(C364="Junior",0.06,IF(C364="Mid",0.08,IF(C364="Senior",0.1,IF(C364="Manager",0.12,0))))</f>
        <v>0.08</v>
      </c>
      <c r="L364">
        <f>IF(Performance!E364&gt;2,0.03,IF(Performance!E364&gt;=1,0.01,-0.02))</f>
        <v>0.01</v>
      </c>
      <c r="M364">
        <f t="shared" si="11"/>
        <v>0.09</v>
      </c>
      <c r="N364">
        <f>Earnings!B364*(1+M364)</f>
        <v>1636352.6900000002</v>
      </c>
    </row>
    <row r="365" spans="1:14" x14ac:dyDescent="0.35">
      <c r="A365" t="s">
        <v>396</v>
      </c>
      <c r="B365" t="s">
        <v>30</v>
      </c>
      <c r="C365" t="s">
        <v>16</v>
      </c>
      <c r="D365" t="s">
        <v>17</v>
      </c>
      <c r="E365">
        <v>6</v>
      </c>
      <c r="F365" t="s">
        <v>32</v>
      </c>
      <c r="G365">
        <f>Earnings!G365</f>
        <v>1055579.504</v>
      </c>
      <c r="H365">
        <f>Deductions!B365+Deductions!C365+Deductions!D365+Tax!D365</f>
        <v>14095.050000000001</v>
      </c>
      <c r="I365">
        <f t="shared" si="10"/>
        <v>1041484.4539999999</v>
      </c>
      <c r="J365">
        <f>Overtime!D365</f>
        <v>0</v>
      </c>
      <c r="K365">
        <f>IF(C365="Junior",0.06,IF(C365="Mid",0.08,IF(C365="Senior",0.1,IF(C365="Manager",0.12,0))))</f>
        <v>0.06</v>
      </c>
      <c r="L365">
        <f>IF(Performance!E365&gt;2,0.03,IF(Performance!E365&gt;=1,0.01,-0.02))</f>
        <v>0.01</v>
      </c>
      <c r="M365">
        <f t="shared" si="11"/>
        <v>6.9999999999999993E-2</v>
      </c>
      <c r="N365">
        <f>Earnings!B365*(1+M365)</f>
        <v>1186418.1400000001</v>
      </c>
    </row>
    <row r="366" spans="1:14" x14ac:dyDescent="0.35">
      <c r="A366" t="s">
        <v>397</v>
      </c>
      <c r="B366" t="s">
        <v>20</v>
      </c>
      <c r="C366" t="s">
        <v>44</v>
      </c>
      <c r="D366" t="s">
        <v>22</v>
      </c>
      <c r="E366">
        <v>6</v>
      </c>
      <c r="F366" t="s">
        <v>32</v>
      </c>
      <c r="G366">
        <f>Earnings!G366</f>
        <v>879392.43559999997</v>
      </c>
      <c r="H366">
        <f>Deductions!B366+Deductions!C366+Deductions!D366+Tax!D366</f>
        <v>10103.859166666665</v>
      </c>
      <c r="I366">
        <f t="shared" si="10"/>
        <v>869288.57643333334</v>
      </c>
      <c r="J366">
        <f>Overtime!D366</f>
        <v>0</v>
      </c>
      <c r="K366">
        <f>IF(C366="Junior",0.06,IF(C366="Mid",0.08,IF(C366="Senior",0.1,IF(C366="Manager",0.12,0))))</f>
        <v>0.12</v>
      </c>
      <c r="L366">
        <f>IF(Performance!E366&gt;2,0.03,IF(Performance!E366&gt;=1,0.01,-0.02))</f>
        <v>0.03</v>
      </c>
      <c r="M366">
        <f t="shared" si="11"/>
        <v>0.15</v>
      </c>
      <c r="N366">
        <f>Earnings!B366*(1+M366)</f>
        <v>1062291.2824999997</v>
      </c>
    </row>
    <row r="367" spans="1:14" x14ac:dyDescent="0.35">
      <c r="A367" t="s">
        <v>398</v>
      </c>
      <c r="B367" t="s">
        <v>15</v>
      </c>
      <c r="C367" t="s">
        <v>16</v>
      </c>
      <c r="D367" t="s">
        <v>17</v>
      </c>
      <c r="E367">
        <v>14</v>
      </c>
      <c r="F367" t="s">
        <v>38</v>
      </c>
      <c r="G367">
        <f>Earnings!G367</f>
        <v>966757.90399999986</v>
      </c>
      <c r="H367">
        <f>Deductions!B367+Deductions!C367+Deductions!D367+Tax!D367</f>
        <v>11762.550000000001</v>
      </c>
      <c r="I367">
        <f t="shared" si="10"/>
        <v>954995.35399999982</v>
      </c>
      <c r="J367">
        <f>Overtime!D367</f>
        <v>0</v>
      </c>
      <c r="K367">
        <f>IF(C367="Junior",0.06,IF(C367="Mid",0.08,IF(C367="Senior",0.1,IF(C367="Manager",0.12,0))))</f>
        <v>0.06</v>
      </c>
      <c r="L367">
        <f>IF(Performance!E367&gt;2,0.03,IF(Performance!E367&gt;=1,0.01,-0.02))</f>
        <v>0.01</v>
      </c>
      <c r="M367">
        <f t="shared" si="11"/>
        <v>6.9999999999999993E-2</v>
      </c>
      <c r="N367">
        <f>Earnings!B367*(1+M367)</f>
        <v>1086587.1400000001</v>
      </c>
    </row>
    <row r="368" spans="1:14" x14ac:dyDescent="0.35">
      <c r="A368" t="s">
        <v>399</v>
      </c>
      <c r="B368" t="s">
        <v>30</v>
      </c>
      <c r="C368" t="s">
        <v>44</v>
      </c>
      <c r="D368" t="s">
        <v>22</v>
      </c>
      <c r="E368">
        <v>7</v>
      </c>
      <c r="F368" t="s">
        <v>25</v>
      </c>
      <c r="G368">
        <f>Earnings!G368</f>
        <v>770017.01279999991</v>
      </c>
      <c r="H368">
        <f>Deductions!B368+Deductions!C368+Deductions!D368+Tax!D368</f>
        <v>8189.0233333333317</v>
      </c>
      <c r="I368">
        <f t="shared" si="10"/>
        <v>879109.99246666662</v>
      </c>
      <c r="J368">
        <f>Overtime!D368</f>
        <v>117282.003</v>
      </c>
      <c r="K368">
        <f>IF(C368="Junior",0.06,IF(C368="Mid",0.08,IF(C368="Senior",0.1,IF(C368="Manager",0.12,0))))</f>
        <v>0.12</v>
      </c>
      <c r="L368">
        <f>IF(Performance!E368&gt;2,0.03,IF(Performance!E368&gt;=1,0.01,-0.02))</f>
        <v>0.01</v>
      </c>
      <c r="M368">
        <f t="shared" si="11"/>
        <v>0.13</v>
      </c>
      <c r="N368">
        <f>Earnings!B368*(1+M368)</f>
        <v>913990.78199999977</v>
      </c>
    </row>
    <row r="369" spans="1:14" x14ac:dyDescent="0.35">
      <c r="A369" t="s">
        <v>400</v>
      </c>
      <c r="B369" t="s">
        <v>15</v>
      </c>
      <c r="C369" t="s">
        <v>21</v>
      </c>
      <c r="D369" t="s">
        <v>22</v>
      </c>
      <c r="E369">
        <v>0</v>
      </c>
      <c r="F369" t="s">
        <v>23</v>
      </c>
      <c r="G369">
        <f>Earnings!G369</f>
        <v>333923.47240000003</v>
      </c>
      <c r="H369">
        <f>Deductions!B369+Deductions!C369+Deductions!D369+Tax!D369</f>
        <v>2419.8331250000001</v>
      </c>
      <c r="I369">
        <f t="shared" si="10"/>
        <v>331503.63927500002</v>
      </c>
      <c r="J369">
        <f>Overtime!D369</f>
        <v>0</v>
      </c>
      <c r="K369">
        <f>IF(C369="Junior",0.06,IF(C369="Mid",0.08,IF(C369="Senior",0.1,IF(C369="Manager",0.12,0))))</f>
        <v>0.1</v>
      </c>
      <c r="L369">
        <f>IF(Performance!E369&gt;2,0.03,IF(Performance!E369&gt;=1,0.01,-0.02))</f>
        <v>0.01</v>
      </c>
      <c r="M369">
        <f t="shared" si="11"/>
        <v>0.11</v>
      </c>
      <c r="N369">
        <f>Earnings!B369*(1+M369)</f>
        <v>389343.54450000002</v>
      </c>
    </row>
    <row r="370" spans="1:14" x14ac:dyDescent="0.35">
      <c r="A370" t="s">
        <v>401</v>
      </c>
      <c r="B370" t="s">
        <v>15</v>
      </c>
      <c r="C370" t="s">
        <v>44</v>
      </c>
      <c r="D370" t="s">
        <v>22</v>
      </c>
      <c r="E370">
        <v>9</v>
      </c>
      <c r="F370" t="s">
        <v>45</v>
      </c>
      <c r="G370">
        <f>Earnings!G370</f>
        <v>678533.33519999997</v>
      </c>
      <c r="H370">
        <f>Deductions!B370+Deductions!C370+Deductions!D370+Tax!D370</f>
        <v>6587.4183333333331</v>
      </c>
      <c r="I370">
        <f t="shared" si="10"/>
        <v>671945.91686666664</v>
      </c>
      <c r="J370">
        <f>Overtime!D370</f>
        <v>0</v>
      </c>
      <c r="K370">
        <f>IF(C370="Junior",0.06,IF(C370="Mid",0.08,IF(C370="Senior",0.1,IF(C370="Manager",0.12,0))))</f>
        <v>0.12</v>
      </c>
      <c r="L370">
        <f>IF(Performance!E370&gt;2,0.03,IF(Performance!E370&gt;=1,0.01,-0.02))</f>
        <v>0.01</v>
      </c>
      <c r="M370">
        <f t="shared" si="11"/>
        <v>0.13</v>
      </c>
      <c r="N370">
        <f>Earnings!B370*(1+M370)</f>
        <v>805401.96299999987</v>
      </c>
    </row>
    <row r="371" spans="1:14" x14ac:dyDescent="0.35">
      <c r="A371" t="s">
        <v>402</v>
      </c>
      <c r="B371" t="s">
        <v>27</v>
      </c>
      <c r="C371" t="s">
        <v>16</v>
      </c>
      <c r="D371" t="s">
        <v>22</v>
      </c>
      <c r="E371">
        <v>15</v>
      </c>
      <c r="F371" t="s">
        <v>32</v>
      </c>
      <c r="G371">
        <f>Earnings!G371</f>
        <v>1002061.634</v>
      </c>
      <c r="H371">
        <f>Deductions!B371+Deductions!C371+Deductions!D371+Tax!D371</f>
        <v>12689.643750000001</v>
      </c>
      <c r="I371">
        <f t="shared" si="10"/>
        <v>989371.99024999992</v>
      </c>
      <c r="J371">
        <f>Overtime!D371</f>
        <v>0</v>
      </c>
      <c r="K371">
        <f>IF(C371="Junior",0.06,IF(C371="Mid",0.08,IF(C371="Senior",0.1,IF(C371="Manager",0.12,0))))</f>
        <v>0.06</v>
      </c>
      <c r="L371">
        <f>IF(Performance!E371&gt;2,0.03,IF(Performance!E371&gt;=1,0.01,-0.02))</f>
        <v>0.01</v>
      </c>
      <c r="M371">
        <f t="shared" si="11"/>
        <v>6.9999999999999993E-2</v>
      </c>
      <c r="N371">
        <f>Earnings!B371*(1+M371)</f>
        <v>1126266.7525000002</v>
      </c>
    </row>
    <row r="372" spans="1:14" x14ac:dyDescent="0.35">
      <c r="A372" t="s">
        <v>403</v>
      </c>
      <c r="B372" t="s">
        <v>27</v>
      </c>
      <c r="C372" t="s">
        <v>21</v>
      </c>
      <c r="D372" t="s">
        <v>17</v>
      </c>
      <c r="E372">
        <v>4</v>
      </c>
      <c r="F372" t="s">
        <v>18</v>
      </c>
      <c r="G372">
        <f>Earnings!G372</f>
        <v>491489.04</v>
      </c>
      <c r="H372">
        <f>Deductions!B372+Deductions!C372+Deductions!D372+Tax!D372</f>
        <v>3312.833333333333</v>
      </c>
      <c r="I372">
        <f t="shared" si="10"/>
        <v>488176.20666666667</v>
      </c>
      <c r="J372">
        <f>Overtime!D372</f>
        <v>0</v>
      </c>
      <c r="K372">
        <f>IF(C372="Junior",0.06,IF(C372="Mid",0.08,IF(C372="Senior",0.1,IF(C372="Manager",0.12,0))))</f>
        <v>0.1</v>
      </c>
      <c r="L372">
        <f>IF(Performance!E372&gt;2,0.03,IF(Performance!E372&gt;=1,0.01,-0.02))</f>
        <v>0.01</v>
      </c>
      <c r="M372">
        <f t="shared" si="11"/>
        <v>0.11</v>
      </c>
      <c r="N372">
        <f>Earnings!B372*(1+M372)</f>
        <v>573059.70000000007</v>
      </c>
    </row>
    <row r="373" spans="1:14" x14ac:dyDescent="0.35">
      <c r="A373" t="s">
        <v>404</v>
      </c>
      <c r="B373" t="s">
        <v>20</v>
      </c>
      <c r="C373" t="s">
        <v>34</v>
      </c>
      <c r="D373" t="s">
        <v>17</v>
      </c>
      <c r="E373">
        <v>5</v>
      </c>
      <c r="F373" t="s">
        <v>23</v>
      </c>
      <c r="G373">
        <f>Earnings!G373</f>
        <v>771151.41599999997</v>
      </c>
      <c r="H373">
        <f>Deductions!B373+Deductions!C373+Deductions!D373+Tax!D373</f>
        <v>8208.883333333335</v>
      </c>
      <c r="I373">
        <f t="shared" si="10"/>
        <v>762942.53266666667</v>
      </c>
      <c r="J373">
        <f>Overtime!D373</f>
        <v>0</v>
      </c>
      <c r="K373">
        <f>IF(C373="Junior",0.06,IF(C373="Mid",0.08,IF(C373="Senior",0.1,IF(C373="Manager",0.12,0))))</f>
        <v>0.08</v>
      </c>
      <c r="L373">
        <f>IF(Performance!E373&gt;2,0.03,IF(Performance!E373&gt;=1,0.01,-0.02))</f>
        <v>0.03</v>
      </c>
      <c r="M373">
        <f t="shared" si="11"/>
        <v>0.11</v>
      </c>
      <c r="N373">
        <f>Earnings!B373*(1+M373)</f>
        <v>899136.63000000012</v>
      </c>
    </row>
    <row r="374" spans="1:14" x14ac:dyDescent="0.35">
      <c r="A374" t="s">
        <v>405</v>
      </c>
      <c r="B374" t="s">
        <v>30</v>
      </c>
      <c r="C374" t="s">
        <v>34</v>
      </c>
      <c r="D374" t="s">
        <v>22</v>
      </c>
      <c r="E374">
        <v>8</v>
      </c>
      <c r="F374" t="s">
        <v>18</v>
      </c>
      <c r="G374">
        <f>Earnings!G374</f>
        <v>939401.18439999991</v>
      </c>
      <c r="H374">
        <f>Deductions!B374+Deductions!C374+Deductions!D374+Tax!D374</f>
        <v>11154.432500000001</v>
      </c>
      <c r="I374">
        <f t="shared" si="10"/>
        <v>1056526.3254</v>
      </c>
      <c r="J374">
        <f>Overtime!D374</f>
        <v>128279.5735</v>
      </c>
      <c r="K374">
        <f>IF(C374="Junior",0.06,IF(C374="Mid",0.08,IF(C374="Senior",0.1,IF(C374="Manager",0.12,0))))</f>
        <v>0.08</v>
      </c>
      <c r="L374">
        <f>IF(Performance!E374&gt;2,0.03,IF(Performance!E374&gt;=1,0.01,-0.02))</f>
        <v>0.01</v>
      </c>
      <c r="M374">
        <f t="shared" si="11"/>
        <v>0.09</v>
      </c>
      <c r="N374">
        <f>Earnings!B374*(1+M374)</f>
        <v>1075574.8855000001</v>
      </c>
    </row>
    <row r="375" spans="1:14" x14ac:dyDescent="0.35">
      <c r="A375" t="s">
        <v>406</v>
      </c>
      <c r="B375" t="s">
        <v>30</v>
      </c>
      <c r="C375" t="s">
        <v>44</v>
      </c>
      <c r="D375" t="s">
        <v>22</v>
      </c>
      <c r="E375">
        <v>15</v>
      </c>
      <c r="F375" t="s">
        <v>32</v>
      </c>
      <c r="G375">
        <f>Earnings!G375</f>
        <v>1398266.6124</v>
      </c>
      <c r="H375">
        <f>Deductions!B375+Deductions!C375+Deductions!D375+Tax!D375</f>
        <v>23094.186249999999</v>
      </c>
      <c r="I375">
        <f t="shared" si="10"/>
        <v>1375172.42615</v>
      </c>
      <c r="J375">
        <f>Overtime!D375</f>
        <v>0</v>
      </c>
      <c r="K375">
        <f>IF(C375="Junior",0.06,IF(C375="Mid",0.08,IF(C375="Senior",0.1,IF(C375="Manager",0.12,0))))</f>
        <v>0.12</v>
      </c>
      <c r="L375">
        <f>IF(Performance!E375&gt;2,0.03,IF(Performance!E375&gt;=1,0.01,-0.02))</f>
        <v>0.01</v>
      </c>
      <c r="M375">
        <f t="shared" si="11"/>
        <v>0.13</v>
      </c>
      <c r="N375">
        <f>Earnings!B375*(1+M375)</f>
        <v>1659707.2184999997</v>
      </c>
    </row>
    <row r="376" spans="1:14" x14ac:dyDescent="0.35">
      <c r="A376" t="s">
        <v>407</v>
      </c>
      <c r="B376" t="s">
        <v>30</v>
      </c>
      <c r="C376" t="s">
        <v>21</v>
      </c>
      <c r="D376" t="s">
        <v>22</v>
      </c>
      <c r="E376">
        <v>3</v>
      </c>
      <c r="F376" t="s">
        <v>25</v>
      </c>
      <c r="G376">
        <f>Earnings!G376</f>
        <v>697158.54879999999</v>
      </c>
      <c r="H376">
        <f>Deductions!B376+Deductions!C376+Deductions!D376+Tax!D376</f>
        <v>6913.4900000000007</v>
      </c>
      <c r="I376">
        <f t="shared" si="10"/>
        <v>796429.92180000001</v>
      </c>
      <c r="J376">
        <f>Overtime!D376</f>
        <v>106184.863</v>
      </c>
      <c r="K376">
        <f>IF(C376="Junior",0.06,IF(C376="Mid",0.08,IF(C376="Senior",0.1,IF(C376="Manager",0.12,0))))</f>
        <v>0.1</v>
      </c>
      <c r="L376">
        <f>IF(Performance!E376&gt;2,0.03,IF(Performance!E376&gt;=1,0.01,-0.02))</f>
        <v>0.01</v>
      </c>
      <c r="M376">
        <f t="shared" si="11"/>
        <v>0.11</v>
      </c>
      <c r="N376">
        <f>Earnings!B376*(1+M376)</f>
        <v>812863.43400000012</v>
      </c>
    </row>
    <row r="377" spans="1:14" x14ac:dyDescent="0.35">
      <c r="A377" t="s">
        <v>408</v>
      </c>
      <c r="B377" t="s">
        <v>20</v>
      </c>
      <c r="C377" t="s">
        <v>16</v>
      </c>
      <c r="D377" t="s">
        <v>22</v>
      </c>
      <c r="E377">
        <v>12</v>
      </c>
      <c r="F377" t="s">
        <v>38</v>
      </c>
      <c r="G377">
        <f>Earnings!G377</f>
        <v>725921.18199999991</v>
      </c>
      <c r="H377">
        <f>Deductions!B377+Deductions!C377+Deductions!D377+Tax!D377</f>
        <v>7417.0375000000004</v>
      </c>
      <c r="I377">
        <f t="shared" si="10"/>
        <v>813819.42574999994</v>
      </c>
      <c r="J377">
        <f>Overtime!D377</f>
        <v>95315.281250000015</v>
      </c>
      <c r="K377">
        <f>IF(C377="Junior",0.06,IF(C377="Mid",0.08,IF(C377="Senior",0.1,IF(C377="Manager",0.12,0))))</f>
        <v>0.06</v>
      </c>
      <c r="L377">
        <f>IF(Performance!E377&gt;2,0.03,IF(Performance!E377&gt;=1,0.01,-0.02))</f>
        <v>0.03</v>
      </c>
      <c r="M377">
        <f t="shared" si="11"/>
        <v>0.09</v>
      </c>
      <c r="N377">
        <f>Earnings!B377*(1+M377)</f>
        <v>831149.25250000006</v>
      </c>
    </row>
    <row r="378" spans="1:14" x14ac:dyDescent="0.35">
      <c r="A378" t="s">
        <v>409</v>
      </c>
      <c r="B378" t="s">
        <v>15</v>
      </c>
      <c r="C378" t="s">
        <v>44</v>
      </c>
      <c r="D378" t="s">
        <v>17</v>
      </c>
      <c r="E378">
        <v>2</v>
      </c>
      <c r="F378" t="s">
        <v>25</v>
      </c>
      <c r="G378">
        <f>Earnings!G378</f>
        <v>597410.46399999992</v>
      </c>
      <c r="H378">
        <f>Deductions!B378+Deductions!C378+Deductions!D378+Tax!D378</f>
        <v>5167.2000000000007</v>
      </c>
      <c r="I378">
        <f t="shared" si="10"/>
        <v>611069.22399999993</v>
      </c>
      <c r="J378">
        <f>Overtime!D378</f>
        <v>18825.96</v>
      </c>
      <c r="K378">
        <f>IF(C378="Junior",0.06,IF(C378="Mid",0.08,IF(C378="Senior",0.1,IF(C378="Manager",0.12,0))))</f>
        <v>0.12</v>
      </c>
      <c r="L378">
        <f>IF(Performance!E378&gt;2,0.03,IF(Performance!E378&gt;=1,0.01,-0.02))</f>
        <v>0.01</v>
      </c>
      <c r="M378">
        <f t="shared" si="11"/>
        <v>0.13</v>
      </c>
      <c r="N378">
        <f>Earnings!B378*(1+M378)</f>
        <v>709111.15999999992</v>
      </c>
    </row>
    <row r="379" spans="1:14" x14ac:dyDescent="0.35">
      <c r="A379" t="s">
        <v>410</v>
      </c>
      <c r="B379" t="s">
        <v>15</v>
      </c>
      <c r="C379" t="s">
        <v>21</v>
      </c>
      <c r="D379" t="s">
        <v>22</v>
      </c>
      <c r="E379">
        <v>3</v>
      </c>
      <c r="F379" t="s">
        <v>71</v>
      </c>
      <c r="G379">
        <f>Earnings!G379</f>
        <v>620197.72639999993</v>
      </c>
      <c r="H379">
        <f>Deductions!B379+Deductions!C379+Deductions!D379+Tax!D379</f>
        <v>5566.1366666666654</v>
      </c>
      <c r="I379">
        <f t="shared" si="10"/>
        <v>660234.36373333319</v>
      </c>
      <c r="J379">
        <f>Overtime!D379</f>
        <v>45602.773999999998</v>
      </c>
      <c r="K379">
        <f>IF(C379="Junior",0.06,IF(C379="Mid",0.08,IF(C379="Senior",0.1,IF(C379="Manager",0.12,0))))</f>
        <v>0.1</v>
      </c>
      <c r="L379">
        <f>IF(Performance!E379&gt;2,0.03,IF(Performance!E379&gt;=1,0.01,-0.02))</f>
        <v>0.01</v>
      </c>
      <c r="M379">
        <f t="shared" si="11"/>
        <v>0.11</v>
      </c>
      <c r="N379">
        <f>Earnings!B379*(1+M379)</f>
        <v>723129.70200000005</v>
      </c>
    </row>
    <row r="380" spans="1:14" x14ac:dyDescent="0.35">
      <c r="A380" t="s">
        <v>411</v>
      </c>
      <c r="B380" t="s">
        <v>20</v>
      </c>
      <c r="C380" t="s">
        <v>44</v>
      </c>
      <c r="D380" t="s">
        <v>22</v>
      </c>
      <c r="E380">
        <v>7</v>
      </c>
      <c r="F380" t="s">
        <v>45</v>
      </c>
      <c r="G380">
        <f>Earnings!G380</f>
        <v>774975.83799999999</v>
      </c>
      <c r="H380">
        <f>Deductions!B380+Deductions!C380+Deductions!D380+Tax!D380</f>
        <v>8275.8375000000015</v>
      </c>
      <c r="I380">
        <f t="shared" si="10"/>
        <v>766700.00049999997</v>
      </c>
      <c r="J380">
        <f>Overtime!D380</f>
        <v>0</v>
      </c>
      <c r="K380">
        <f>IF(C380="Junior",0.06,IF(C380="Mid",0.08,IF(C380="Senior",0.1,IF(C380="Manager",0.12,0))))</f>
        <v>0.12</v>
      </c>
      <c r="L380">
        <f>IF(Performance!E380&gt;2,0.03,IF(Performance!E380&gt;=1,0.01,-0.02))</f>
        <v>0.03</v>
      </c>
      <c r="M380">
        <f t="shared" si="11"/>
        <v>0.15</v>
      </c>
      <c r="N380">
        <f>Earnings!B380*(1+M380)</f>
        <v>936157.78749999998</v>
      </c>
    </row>
    <row r="381" spans="1:14" x14ac:dyDescent="0.35">
      <c r="A381" t="s">
        <v>412</v>
      </c>
      <c r="B381" t="s">
        <v>36</v>
      </c>
      <c r="C381" t="s">
        <v>21</v>
      </c>
      <c r="D381" t="s">
        <v>22</v>
      </c>
      <c r="E381">
        <v>4</v>
      </c>
      <c r="F381" t="s">
        <v>32</v>
      </c>
      <c r="G381">
        <f>Earnings!G381</f>
        <v>659974.14280000003</v>
      </c>
      <c r="H381">
        <f>Deductions!B381+Deductions!C381+Deductions!D381+Tax!D381</f>
        <v>6262.5025000000005</v>
      </c>
      <c r="I381">
        <f t="shared" si="10"/>
        <v>674509.14480000013</v>
      </c>
      <c r="J381">
        <f>Overtime!D381</f>
        <v>20797.504500000003</v>
      </c>
      <c r="K381">
        <f>IF(C381="Junior",0.06,IF(C381="Mid",0.08,IF(C381="Senior",0.1,IF(C381="Manager",0.12,0))))</f>
        <v>0.1</v>
      </c>
      <c r="L381">
        <f>IF(Performance!E381&gt;2,0.03,IF(Performance!E381&gt;=1,0.01,-0.02))</f>
        <v>0.01</v>
      </c>
      <c r="M381">
        <f t="shared" si="11"/>
        <v>0.11</v>
      </c>
      <c r="N381">
        <f>Earnings!B381*(1+M381)</f>
        <v>769507.66650000005</v>
      </c>
    </row>
    <row r="382" spans="1:14" x14ac:dyDescent="0.35">
      <c r="A382" t="s">
        <v>413</v>
      </c>
      <c r="B382" t="s">
        <v>36</v>
      </c>
      <c r="C382" t="s">
        <v>21</v>
      </c>
      <c r="D382" t="s">
        <v>17</v>
      </c>
      <c r="E382">
        <v>10</v>
      </c>
      <c r="F382" t="s">
        <v>45</v>
      </c>
      <c r="G382">
        <f>Earnings!G382</f>
        <v>956203.08</v>
      </c>
      <c r="H382">
        <f>Deductions!B382+Deductions!C382+Deductions!D382+Tax!D382</f>
        <v>11485.375</v>
      </c>
      <c r="I382">
        <f t="shared" si="10"/>
        <v>944717.70499999996</v>
      </c>
      <c r="J382">
        <f>Overtime!D382</f>
        <v>0</v>
      </c>
      <c r="K382">
        <f>IF(C382="Junior",0.06,IF(C382="Mid",0.08,IF(C382="Senior",0.1,IF(C382="Manager",0.12,0))))</f>
        <v>0.1</v>
      </c>
      <c r="L382">
        <f>IF(Performance!E382&gt;2,0.03,IF(Performance!E382&gt;=1,0.01,-0.02))</f>
        <v>0.01</v>
      </c>
      <c r="M382">
        <f t="shared" si="11"/>
        <v>0.11</v>
      </c>
      <c r="N382">
        <f>Earnings!B382*(1+M382)</f>
        <v>1114900.6500000001</v>
      </c>
    </row>
    <row r="383" spans="1:14" x14ac:dyDescent="0.35">
      <c r="A383" t="s">
        <v>414</v>
      </c>
      <c r="B383" t="s">
        <v>27</v>
      </c>
      <c r="C383" t="s">
        <v>16</v>
      </c>
      <c r="D383" t="s">
        <v>17</v>
      </c>
      <c r="E383">
        <v>3</v>
      </c>
      <c r="F383" t="s">
        <v>18</v>
      </c>
      <c r="G383">
        <f>Earnings!G383</f>
        <v>566000.17599999998</v>
      </c>
      <c r="H383">
        <f>Deductions!B383+Deductions!C383+Deductions!D383+Tax!D383</f>
        <v>4617.3</v>
      </c>
      <c r="I383">
        <f t="shared" si="10"/>
        <v>561382.87599999993</v>
      </c>
      <c r="J383">
        <f>Overtime!D383</f>
        <v>0</v>
      </c>
      <c r="K383">
        <f>IF(C383="Junior",0.06,IF(C383="Mid",0.08,IF(C383="Senior",0.1,IF(C383="Manager",0.12,0))))</f>
        <v>0.06</v>
      </c>
      <c r="L383">
        <f>IF(Performance!E383&gt;2,0.03,IF(Performance!E383&gt;=1,0.01,-0.02))</f>
        <v>0.01</v>
      </c>
      <c r="M383">
        <f t="shared" si="11"/>
        <v>6.9999999999999993E-2</v>
      </c>
      <c r="N383">
        <f>Earnings!B383*(1+M383)</f>
        <v>636155.66</v>
      </c>
    </row>
    <row r="384" spans="1:14" x14ac:dyDescent="0.35">
      <c r="A384" t="s">
        <v>415</v>
      </c>
      <c r="B384" t="s">
        <v>27</v>
      </c>
      <c r="C384" t="s">
        <v>16</v>
      </c>
      <c r="D384" t="s">
        <v>17</v>
      </c>
      <c r="E384">
        <v>12</v>
      </c>
      <c r="F384" t="s">
        <v>38</v>
      </c>
      <c r="G384">
        <f>Earnings!G384</f>
        <v>931858.53599999996</v>
      </c>
      <c r="H384">
        <f>Deductions!B384+Deductions!C384+Deductions!D384+Tax!D384</f>
        <v>11022.383333333333</v>
      </c>
      <c r="I384">
        <f t="shared" si="10"/>
        <v>1028508.8826666666</v>
      </c>
      <c r="J384">
        <f>Overtime!D384</f>
        <v>107672.73000000001</v>
      </c>
      <c r="K384">
        <f>IF(C384="Junior",0.06,IF(C384="Mid",0.08,IF(C384="Senior",0.1,IF(C384="Manager",0.12,0))))</f>
        <v>0.06</v>
      </c>
      <c r="L384">
        <f>IF(Performance!E384&gt;2,0.03,IF(Performance!E384&gt;=1,0.01,-0.02))</f>
        <v>0.01</v>
      </c>
      <c r="M384">
        <f t="shared" si="11"/>
        <v>6.9999999999999993E-2</v>
      </c>
      <c r="N384">
        <f>Earnings!B384*(1+M384)</f>
        <v>1047362.01</v>
      </c>
    </row>
    <row r="385" spans="1:14" x14ac:dyDescent="0.35">
      <c r="A385" t="s">
        <v>416</v>
      </c>
      <c r="B385" t="s">
        <v>15</v>
      </c>
      <c r="C385" t="s">
        <v>34</v>
      </c>
      <c r="D385" t="s">
        <v>17</v>
      </c>
      <c r="E385">
        <v>8</v>
      </c>
      <c r="F385" t="s">
        <v>25</v>
      </c>
      <c r="G385">
        <f>Earnings!G385</f>
        <v>520756.37599999999</v>
      </c>
      <c r="H385">
        <f>Deductions!B385+Deductions!C385+Deductions!D385+Tax!D385</f>
        <v>3825.2166666666662</v>
      </c>
      <c r="I385">
        <f t="shared" si="10"/>
        <v>516931.15933333331</v>
      </c>
      <c r="J385">
        <f>Overtime!D385</f>
        <v>0</v>
      </c>
      <c r="K385">
        <f>IF(C385="Junior",0.06,IF(C385="Mid",0.08,IF(C385="Senior",0.1,IF(C385="Manager",0.12,0))))</f>
        <v>0.08</v>
      </c>
      <c r="L385">
        <f>IF(Performance!E385&gt;2,0.03,IF(Performance!E385&gt;=1,0.01,-0.02))</f>
        <v>0.01</v>
      </c>
      <c r="M385">
        <f t="shared" si="11"/>
        <v>0.09</v>
      </c>
      <c r="N385">
        <f>Earnings!B385*(1+M385)</f>
        <v>596244.17000000004</v>
      </c>
    </row>
    <row r="386" spans="1:14" x14ac:dyDescent="0.35">
      <c r="A386" t="s">
        <v>417</v>
      </c>
      <c r="B386" t="s">
        <v>20</v>
      </c>
      <c r="C386" t="s">
        <v>44</v>
      </c>
      <c r="D386" t="s">
        <v>22</v>
      </c>
      <c r="E386">
        <v>11</v>
      </c>
      <c r="F386" t="s">
        <v>18</v>
      </c>
      <c r="G386">
        <f>Earnings!G386</f>
        <v>914588.06599999999</v>
      </c>
      <c r="H386">
        <f>Deductions!B386+Deductions!C386+Deductions!D386+Tax!D386</f>
        <v>10720.029166666667</v>
      </c>
      <c r="I386">
        <f t="shared" ref="I386:I449" si="12">G386-H386+J386</f>
        <v>995134.70308333333</v>
      </c>
      <c r="J386">
        <f>Overtime!D386</f>
        <v>91266.666249999995</v>
      </c>
      <c r="K386">
        <f>IF(C386="Junior",0.06,IF(C386="Mid",0.08,IF(C386="Senior",0.1,IF(C386="Manager",0.12,0))))</f>
        <v>0.12</v>
      </c>
      <c r="L386">
        <f>IF(Performance!E386&gt;2,0.03,IF(Performance!E386&gt;=1,0.01,-0.02))</f>
        <v>0.03</v>
      </c>
      <c r="M386">
        <f t="shared" ref="M386:M449" si="13">K386+L386</f>
        <v>0.15</v>
      </c>
      <c r="N386">
        <f>Earnings!B386*(1+M386)</f>
        <v>1104807.0125</v>
      </c>
    </row>
    <row r="387" spans="1:14" x14ac:dyDescent="0.35">
      <c r="A387" t="s">
        <v>418</v>
      </c>
      <c r="B387" t="s">
        <v>30</v>
      </c>
      <c r="C387" t="s">
        <v>21</v>
      </c>
      <c r="D387" t="s">
        <v>22</v>
      </c>
      <c r="E387">
        <v>13</v>
      </c>
      <c r="F387" t="s">
        <v>38</v>
      </c>
      <c r="G387">
        <f>Earnings!G387</f>
        <v>1236302.1384000001</v>
      </c>
      <c r="H387">
        <f>Deductions!B387+Deductions!C387+Deductions!D387+Tax!D387</f>
        <v>18840.9175</v>
      </c>
      <c r="I387">
        <f t="shared" si="12"/>
        <v>1282393.0559</v>
      </c>
      <c r="J387">
        <f>Overtime!D387</f>
        <v>64931.834999999999</v>
      </c>
      <c r="K387">
        <f>IF(C387="Junior",0.06,IF(C387="Mid",0.08,IF(C387="Senior",0.1,IF(C387="Manager",0.12,0))))</f>
        <v>0.1</v>
      </c>
      <c r="L387">
        <f>IF(Performance!E387&gt;2,0.03,IF(Performance!E387&gt;=1,0.01,-0.02))</f>
        <v>0.01</v>
      </c>
      <c r="M387">
        <f t="shared" si="13"/>
        <v>0.11</v>
      </c>
      <c r="N387">
        <f>Earnings!B387*(1+M387)</f>
        <v>1441486.737</v>
      </c>
    </row>
    <row r="388" spans="1:14" x14ac:dyDescent="0.35">
      <c r="A388" t="s">
        <v>419</v>
      </c>
      <c r="B388" t="s">
        <v>15</v>
      </c>
      <c r="C388" t="s">
        <v>16</v>
      </c>
      <c r="D388" t="s">
        <v>22</v>
      </c>
      <c r="E388">
        <v>8</v>
      </c>
      <c r="F388" t="s">
        <v>32</v>
      </c>
      <c r="G388">
        <f>Earnings!G388</f>
        <v>658633.82199999993</v>
      </c>
      <c r="H388">
        <f>Deductions!B388+Deductions!C388+Deductions!D388+Tax!D388</f>
        <v>6239.0375000000004</v>
      </c>
      <c r="I388">
        <f t="shared" si="12"/>
        <v>676609.26324999996</v>
      </c>
      <c r="J388">
        <f>Overtime!D388</f>
        <v>24214.478750000002</v>
      </c>
      <c r="K388">
        <f>IF(C388="Junior",0.06,IF(C388="Mid",0.08,IF(C388="Senior",0.1,IF(C388="Manager",0.12,0))))</f>
        <v>0.06</v>
      </c>
      <c r="L388">
        <f>IF(Performance!E388&gt;2,0.03,IF(Performance!E388&gt;=1,0.01,-0.02))</f>
        <v>0.01</v>
      </c>
      <c r="M388">
        <f t="shared" si="13"/>
        <v>6.9999999999999993E-2</v>
      </c>
      <c r="N388">
        <f>Earnings!B388*(1+M388)</f>
        <v>740271.20750000002</v>
      </c>
    </row>
    <row r="389" spans="1:14" x14ac:dyDescent="0.35">
      <c r="A389" t="s">
        <v>420</v>
      </c>
      <c r="B389" t="s">
        <v>36</v>
      </c>
      <c r="C389" t="s">
        <v>34</v>
      </c>
      <c r="D389" t="s">
        <v>22</v>
      </c>
      <c r="E389">
        <v>1</v>
      </c>
      <c r="F389" t="s">
        <v>45</v>
      </c>
      <c r="G389">
        <f>Earnings!G389</f>
        <v>834314.4264</v>
      </c>
      <c r="H389">
        <f>Deductions!B389+Deductions!C389+Deductions!D389+Tax!D389</f>
        <v>9314.6783333333333</v>
      </c>
      <c r="I389">
        <f t="shared" si="12"/>
        <v>824999.74806666665</v>
      </c>
      <c r="J389">
        <f>Overtime!D389</f>
        <v>0</v>
      </c>
      <c r="K389">
        <f>IF(C389="Junior",0.06,IF(C389="Mid",0.08,IF(C389="Senior",0.1,IF(C389="Manager",0.12,0))))</f>
        <v>0.08</v>
      </c>
      <c r="L389">
        <f>IF(Performance!E389&gt;2,0.03,IF(Performance!E389&gt;=1,0.01,-0.02))</f>
        <v>0.01</v>
      </c>
      <c r="M389">
        <f t="shared" si="13"/>
        <v>0.09</v>
      </c>
      <c r="N389">
        <f>Earnings!B389*(1+M389)</f>
        <v>955254.96299999999</v>
      </c>
    </row>
    <row r="390" spans="1:14" x14ac:dyDescent="0.35">
      <c r="A390" t="s">
        <v>421</v>
      </c>
      <c r="B390" t="s">
        <v>20</v>
      </c>
      <c r="C390" t="s">
        <v>44</v>
      </c>
      <c r="D390" t="s">
        <v>17</v>
      </c>
      <c r="E390">
        <v>15</v>
      </c>
      <c r="F390" t="s">
        <v>18</v>
      </c>
      <c r="G390">
        <f>Earnings!G390</f>
        <v>1260782.152</v>
      </c>
      <c r="H390">
        <f>Deductions!B390+Deductions!C390+Deductions!D390+Tax!D390</f>
        <v>19483.774999999998</v>
      </c>
      <c r="I390">
        <f t="shared" si="12"/>
        <v>1420085.7620000001</v>
      </c>
      <c r="J390">
        <f>Overtime!D390</f>
        <v>178787.38500000001</v>
      </c>
      <c r="K390">
        <f>IF(C390="Junior",0.06,IF(C390="Mid",0.08,IF(C390="Senior",0.1,IF(C390="Manager",0.12,0))))</f>
        <v>0.12</v>
      </c>
      <c r="L390">
        <f>IF(Performance!E390&gt;2,0.03,IF(Performance!E390&gt;=1,0.01,-0.02))</f>
        <v>0.03</v>
      </c>
      <c r="M390">
        <f t="shared" si="13"/>
        <v>0.15</v>
      </c>
      <c r="N390">
        <f>Earnings!B390*(1+M390)</f>
        <v>1523003.65</v>
      </c>
    </row>
    <row r="391" spans="1:14" x14ac:dyDescent="0.35">
      <c r="A391" t="s">
        <v>422</v>
      </c>
      <c r="B391" t="s">
        <v>30</v>
      </c>
      <c r="C391" t="s">
        <v>21</v>
      </c>
      <c r="D391" t="s">
        <v>22</v>
      </c>
      <c r="E391">
        <v>15</v>
      </c>
      <c r="F391" t="s">
        <v>25</v>
      </c>
      <c r="G391">
        <f>Earnings!G391</f>
        <v>1360298.0915999999</v>
      </c>
      <c r="H391">
        <f>Deductions!B391+Deductions!C391+Deductions!D391+Tax!D391</f>
        <v>22097.11375</v>
      </c>
      <c r="I391">
        <f t="shared" si="12"/>
        <v>1545389.2375999999</v>
      </c>
      <c r="J391">
        <f>Overtime!D391</f>
        <v>207188.25975000003</v>
      </c>
      <c r="K391">
        <f>IF(C391="Junior",0.06,IF(C391="Mid",0.08,IF(C391="Senior",0.1,IF(C391="Manager",0.12,0))))</f>
        <v>0.1</v>
      </c>
      <c r="L391">
        <f>IF(Performance!E391&gt;2,0.03,IF(Performance!E391&gt;=1,0.01,-0.02))</f>
        <v>0.01</v>
      </c>
      <c r="M391">
        <f t="shared" si="13"/>
        <v>0.11</v>
      </c>
      <c r="N391">
        <f>Earnings!B391*(1+M391)</f>
        <v>1586061.8505000002</v>
      </c>
    </row>
    <row r="392" spans="1:14" x14ac:dyDescent="0.35">
      <c r="A392" t="s">
        <v>423</v>
      </c>
      <c r="B392" t="s">
        <v>30</v>
      </c>
      <c r="C392" t="s">
        <v>21</v>
      </c>
      <c r="D392" t="s">
        <v>22</v>
      </c>
      <c r="E392">
        <v>11</v>
      </c>
      <c r="F392" t="s">
        <v>45</v>
      </c>
      <c r="G392">
        <f>Earnings!G392</f>
        <v>851304.48479999986</v>
      </c>
      <c r="H392">
        <f>Deductions!B392+Deductions!C392+Deductions!D392+Tax!D392</f>
        <v>9612.123333333333</v>
      </c>
      <c r="I392">
        <f t="shared" si="12"/>
        <v>841692.36146666657</v>
      </c>
      <c r="J392">
        <f>Overtime!D392</f>
        <v>0</v>
      </c>
      <c r="K392">
        <f>IF(C392="Junior",0.06,IF(C392="Mid",0.08,IF(C392="Senior",0.1,IF(C392="Manager",0.12,0))))</f>
        <v>0.1</v>
      </c>
      <c r="L392">
        <f>IF(Performance!E392&gt;2,0.03,IF(Performance!E392&gt;=1,0.01,-0.02))</f>
        <v>0.01</v>
      </c>
      <c r="M392">
        <f t="shared" si="13"/>
        <v>0.11</v>
      </c>
      <c r="N392">
        <f>Earnings!B392*(1+M392)</f>
        <v>992592.41399999999</v>
      </c>
    </row>
    <row r="393" spans="1:14" x14ac:dyDescent="0.35">
      <c r="A393" t="s">
        <v>424</v>
      </c>
      <c r="B393" t="s">
        <v>30</v>
      </c>
      <c r="C393" t="s">
        <v>16</v>
      </c>
      <c r="D393" t="s">
        <v>17</v>
      </c>
      <c r="E393">
        <v>2</v>
      </c>
      <c r="F393" t="s">
        <v>28</v>
      </c>
      <c r="G393">
        <f>Earnings!G393</f>
        <v>982163.16799999995</v>
      </c>
      <c r="H393">
        <f>Deductions!B393+Deductions!C393+Deductions!D393+Tax!D393</f>
        <v>12167.1</v>
      </c>
      <c r="I393">
        <f t="shared" si="12"/>
        <v>1057689.2079999999</v>
      </c>
      <c r="J393">
        <f>Overtime!D393</f>
        <v>87693.14</v>
      </c>
      <c r="K393">
        <f>IF(C393="Junior",0.06,IF(C393="Mid",0.08,IF(C393="Senior",0.1,IF(C393="Manager",0.12,0))))</f>
        <v>0.06</v>
      </c>
      <c r="L393">
        <f>IF(Performance!E393&gt;2,0.03,IF(Performance!E393&gt;=1,0.01,-0.02))</f>
        <v>0.01</v>
      </c>
      <c r="M393">
        <f t="shared" si="13"/>
        <v>6.9999999999999993E-2</v>
      </c>
      <c r="N393">
        <f>Earnings!B393*(1+M393)</f>
        <v>1103901.8800000001</v>
      </c>
    </row>
    <row r="394" spans="1:14" x14ac:dyDescent="0.35">
      <c r="A394" t="s">
        <v>425</v>
      </c>
      <c r="B394" t="s">
        <v>20</v>
      </c>
      <c r="C394" t="s">
        <v>44</v>
      </c>
      <c r="D394" t="s">
        <v>22</v>
      </c>
      <c r="E394">
        <v>10</v>
      </c>
      <c r="F394" t="s">
        <v>38</v>
      </c>
      <c r="G394">
        <f>Earnings!G394</f>
        <v>991572.40280000004</v>
      </c>
      <c r="H394">
        <f>Deductions!B394+Deductions!C394+Deductions!D394+Tax!D394</f>
        <v>12414.191250000002</v>
      </c>
      <c r="I394">
        <f t="shared" si="12"/>
        <v>979158.21155000001</v>
      </c>
      <c r="J394">
        <f>Overtime!D394</f>
        <v>0</v>
      </c>
      <c r="K394">
        <f>IF(C394="Junior",0.06,IF(C394="Mid",0.08,IF(C394="Senior",0.1,IF(C394="Manager",0.12,0))))</f>
        <v>0.12</v>
      </c>
      <c r="L394">
        <f>IF(Performance!E394&gt;2,0.03,IF(Performance!E394&gt;=1,0.01,-0.02))</f>
        <v>0.03</v>
      </c>
      <c r="M394">
        <f t="shared" si="13"/>
        <v>0.15</v>
      </c>
      <c r="N394">
        <f>Earnings!B394*(1+M394)</f>
        <v>1197802.7974999999</v>
      </c>
    </row>
    <row r="395" spans="1:14" x14ac:dyDescent="0.35">
      <c r="A395" t="s">
        <v>426</v>
      </c>
      <c r="B395" t="s">
        <v>36</v>
      </c>
      <c r="C395" t="s">
        <v>44</v>
      </c>
      <c r="D395" t="s">
        <v>22</v>
      </c>
      <c r="E395">
        <v>0</v>
      </c>
      <c r="F395" t="s">
        <v>38</v>
      </c>
      <c r="G395">
        <f>Earnings!G395</f>
        <v>631848.20719999995</v>
      </c>
      <c r="H395">
        <f>Deductions!B395+Deductions!C395+Deductions!D395+Tax!D395</f>
        <v>5770.1016666666674</v>
      </c>
      <c r="I395">
        <f t="shared" si="12"/>
        <v>649307.81903333322</v>
      </c>
      <c r="J395">
        <f>Overtime!D395</f>
        <v>23229.713499999998</v>
      </c>
      <c r="K395">
        <f>IF(C395="Junior",0.06,IF(C395="Mid",0.08,IF(C395="Senior",0.1,IF(C395="Manager",0.12,0))))</f>
        <v>0.12</v>
      </c>
      <c r="L395">
        <f>IF(Performance!E395&gt;2,0.03,IF(Performance!E395&gt;=1,0.01,-0.02))</f>
        <v>0.01</v>
      </c>
      <c r="M395">
        <f t="shared" si="13"/>
        <v>0.13</v>
      </c>
      <c r="N395">
        <f>Earnings!B395*(1+M395)</f>
        <v>749987.89299999992</v>
      </c>
    </row>
    <row r="396" spans="1:14" x14ac:dyDescent="0.35">
      <c r="A396" t="s">
        <v>427</v>
      </c>
      <c r="B396" t="s">
        <v>15</v>
      </c>
      <c r="C396" t="s">
        <v>44</v>
      </c>
      <c r="D396" t="s">
        <v>17</v>
      </c>
      <c r="E396">
        <v>2</v>
      </c>
      <c r="F396" t="s">
        <v>45</v>
      </c>
      <c r="G396">
        <f>Earnings!G396</f>
        <v>627391.80000000005</v>
      </c>
      <c r="H396">
        <f>Deductions!B396+Deductions!C396+Deductions!D396+Tax!D396</f>
        <v>5692.0833333333339</v>
      </c>
      <c r="I396">
        <f t="shared" si="12"/>
        <v>621699.71666666667</v>
      </c>
      <c r="J396">
        <f>Overtime!D396</f>
        <v>0</v>
      </c>
      <c r="K396">
        <f>IF(C396="Junior",0.06,IF(C396="Mid",0.08,IF(C396="Senior",0.1,IF(C396="Manager",0.12,0))))</f>
        <v>0.12</v>
      </c>
      <c r="L396">
        <f>IF(Performance!E396&gt;2,0.03,IF(Performance!E396&gt;=1,0.01,-0.02))</f>
        <v>0.01</v>
      </c>
      <c r="M396">
        <f t="shared" si="13"/>
        <v>0.13</v>
      </c>
      <c r="N396">
        <f>Earnings!B396*(1+M396)</f>
        <v>744698.24999999988</v>
      </c>
    </row>
    <row r="397" spans="1:14" x14ac:dyDescent="0.35">
      <c r="A397" t="s">
        <v>428</v>
      </c>
      <c r="B397" t="s">
        <v>36</v>
      </c>
      <c r="C397" t="s">
        <v>44</v>
      </c>
      <c r="D397" t="s">
        <v>22</v>
      </c>
      <c r="E397">
        <v>10</v>
      </c>
      <c r="F397" t="s">
        <v>25</v>
      </c>
      <c r="G397">
        <f>Earnings!G397</f>
        <v>907743.56679999991</v>
      </c>
      <c r="H397">
        <f>Deductions!B397+Deductions!C397+Deductions!D397+Tax!D397</f>
        <v>10600.202499999999</v>
      </c>
      <c r="I397">
        <f t="shared" si="12"/>
        <v>1030635.0652999999</v>
      </c>
      <c r="J397">
        <f>Overtime!D397</f>
        <v>133491.701</v>
      </c>
      <c r="K397">
        <f>IF(C397="Junior",0.06,IF(C397="Mid",0.08,IF(C397="Senior",0.1,IF(C397="Manager",0.12,0))))</f>
        <v>0.12</v>
      </c>
      <c r="L397">
        <f>IF(Performance!E397&gt;2,0.03,IF(Performance!E397&gt;=1,0.01,-0.02))</f>
        <v>0.01</v>
      </c>
      <c r="M397">
        <f t="shared" si="13"/>
        <v>0.13</v>
      </c>
      <c r="N397">
        <f>Earnings!B397*(1+M397)</f>
        <v>1077468.7294999999</v>
      </c>
    </row>
    <row r="398" spans="1:14" x14ac:dyDescent="0.35">
      <c r="A398" t="s">
        <v>429</v>
      </c>
      <c r="B398" t="s">
        <v>30</v>
      </c>
      <c r="C398" t="s">
        <v>21</v>
      </c>
      <c r="D398" t="s">
        <v>17</v>
      </c>
      <c r="E398">
        <v>3</v>
      </c>
      <c r="F398" t="s">
        <v>71</v>
      </c>
      <c r="G398">
        <f>Earnings!G398</f>
        <v>1197252.3359999999</v>
      </c>
      <c r="H398">
        <f>Deductions!B398+Deductions!C398+Deductions!D398+Tax!D398</f>
        <v>17815.449999999997</v>
      </c>
      <c r="I398">
        <f t="shared" si="12"/>
        <v>1179436.8859999999</v>
      </c>
      <c r="J398">
        <f>Overtime!D398</f>
        <v>0</v>
      </c>
      <c r="K398">
        <f>IF(C398="Junior",0.06,IF(C398="Mid",0.08,IF(C398="Senior",0.1,IF(C398="Manager",0.12,0))))</f>
        <v>0.1</v>
      </c>
      <c r="L398">
        <f>IF(Performance!E398&gt;2,0.03,IF(Performance!E398&gt;=1,0.01,-0.02))</f>
        <v>0.01</v>
      </c>
      <c r="M398">
        <f t="shared" si="13"/>
        <v>0.11</v>
      </c>
      <c r="N398">
        <f>Earnings!B398*(1+M398)</f>
        <v>1395955.9800000002</v>
      </c>
    </row>
    <row r="399" spans="1:14" x14ac:dyDescent="0.35">
      <c r="A399" t="s">
        <v>430</v>
      </c>
      <c r="B399" t="s">
        <v>20</v>
      </c>
      <c r="C399" t="s">
        <v>16</v>
      </c>
      <c r="D399" t="s">
        <v>22</v>
      </c>
      <c r="E399">
        <v>15</v>
      </c>
      <c r="F399" t="s">
        <v>45</v>
      </c>
      <c r="G399">
        <f>Earnings!G399</f>
        <v>878785.58319999999</v>
      </c>
      <c r="H399">
        <f>Deductions!B399+Deductions!C399+Deductions!D399+Tax!D399</f>
        <v>10093.235000000001</v>
      </c>
      <c r="I399">
        <f t="shared" si="12"/>
        <v>970232.69920000003</v>
      </c>
      <c r="J399">
        <f>Overtime!D399</f>
        <v>101540.35100000001</v>
      </c>
      <c r="K399">
        <f>IF(C399="Junior",0.06,IF(C399="Mid",0.08,IF(C399="Senior",0.1,IF(C399="Manager",0.12,0))))</f>
        <v>0.06</v>
      </c>
      <c r="L399">
        <f>IF(Performance!E399&gt;2,0.03,IF(Performance!E399&gt;=1,0.01,-0.02))</f>
        <v>0.03</v>
      </c>
      <c r="M399">
        <f t="shared" si="13"/>
        <v>0.09</v>
      </c>
      <c r="N399">
        <f>Earnings!B399*(1+M399)</f>
        <v>1006172.569</v>
      </c>
    </row>
    <row r="400" spans="1:14" x14ac:dyDescent="0.35">
      <c r="A400" t="s">
        <v>431</v>
      </c>
      <c r="B400" t="s">
        <v>30</v>
      </c>
      <c r="C400" t="s">
        <v>16</v>
      </c>
      <c r="D400" t="s">
        <v>22</v>
      </c>
      <c r="E400">
        <v>14</v>
      </c>
      <c r="F400" t="s">
        <v>38</v>
      </c>
      <c r="G400">
        <f>Earnings!G400</f>
        <v>1358596.0108</v>
      </c>
      <c r="H400">
        <f>Deductions!B400+Deductions!C400+Deductions!D400+Tax!D400</f>
        <v>22052.416249999998</v>
      </c>
      <c r="I400">
        <f t="shared" si="12"/>
        <v>1457846.8097999999</v>
      </c>
      <c r="J400">
        <f>Overtime!D400</f>
        <v>121303.21525000001</v>
      </c>
      <c r="K400">
        <f>IF(C400="Junior",0.06,IF(C400="Mid",0.08,IF(C400="Senior",0.1,IF(C400="Manager",0.12,0))))</f>
        <v>0.06</v>
      </c>
      <c r="L400">
        <f>IF(Performance!E400&gt;2,0.03,IF(Performance!E400&gt;=1,0.01,-0.02))</f>
        <v>0.01</v>
      </c>
      <c r="M400">
        <f t="shared" si="13"/>
        <v>6.9999999999999993E-2</v>
      </c>
      <c r="N400">
        <f>Earnings!B400*(1+M400)</f>
        <v>1526993.4154999999</v>
      </c>
    </row>
    <row r="401" spans="1:14" x14ac:dyDescent="0.35">
      <c r="A401" t="s">
        <v>432</v>
      </c>
      <c r="B401" t="s">
        <v>30</v>
      </c>
      <c r="C401" t="s">
        <v>44</v>
      </c>
      <c r="D401" t="s">
        <v>22</v>
      </c>
      <c r="E401">
        <v>6</v>
      </c>
      <c r="F401" t="s">
        <v>45</v>
      </c>
      <c r="G401">
        <f>Earnings!G401</f>
        <v>908345.89720000001</v>
      </c>
      <c r="H401">
        <f>Deductions!B401+Deductions!C401+Deductions!D401+Tax!D401</f>
        <v>10610.747499999999</v>
      </c>
      <c r="I401">
        <f t="shared" si="12"/>
        <v>969296.01344999997</v>
      </c>
      <c r="J401">
        <f>Overtime!D401</f>
        <v>71560.863750000004</v>
      </c>
      <c r="K401">
        <f>IF(C401="Junior",0.06,IF(C401="Mid",0.08,IF(C401="Senior",0.1,IF(C401="Manager",0.12,0))))</f>
        <v>0.12</v>
      </c>
      <c r="L401">
        <f>IF(Performance!E401&gt;2,0.03,IF(Performance!E401&gt;=1,0.01,-0.02))</f>
        <v>0.01</v>
      </c>
      <c r="M401">
        <f t="shared" si="13"/>
        <v>0.13</v>
      </c>
      <c r="N401">
        <f>Earnings!B401*(1+M401)</f>
        <v>1078183.6804999998</v>
      </c>
    </row>
    <row r="402" spans="1:14" x14ac:dyDescent="0.35">
      <c r="A402" t="s">
        <v>433</v>
      </c>
      <c r="B402" t="s">
        <v>30</v>
      </c>
      <c r="C402" t="s">
        <v>16</v>
      </c>
      <c r="D402" t="s">
        <v>22</v>
      </c>
      <c r="E402">
        <v>4</v>
      </c>
      <c r="F402" t="s">
        <v>45</v>
      </c>
      <c r="G402">
        <f>Earnings!G402</f>
        <v>789821.56400000001</v>
      </c>
      <c r="H402">
        <f>Deductions!B402+Deductions!C402+Deductions!D402+Tax!D402</f>
        <v>8535.7416666666686</v>
      </c>
      <c r="I402">
        <f t="shared" si="12"/>
        <v>781285.82233333332</v>
      </c>
      <c r="J402">
        <f>Overtime!D402</f>
        <v>0</v>
      </c>
      <c r="K402">
        <f>IF(C402="Junior",0.06,IF(C402="Mid",0.08,IF(C402="Senior",0.1,IF(C402="Manager",0.12,0))))</f>
        <v>0.06</v>
      </c>
      <c r="L402">
        <f>IF(Performance!E402&gt;2,0.03,IF(Performance!E402&gt;=1,0.01,-0.02))</f>
        <v>0.01</v>
      </c>
      <c r="M402">
        <f t="shared" si="13"/>
        <v>6.9999999999999993E-2</v>
      </c>
      <c r="N402">
        <f>Earnings!B402*(1+M402)</f>
        <v>887719.61500000011</v>
      </c>
    </row>
    <row r="403" spans="1:14" x14ac:dyDescent="0.35">
      <c r="A403" t="s">
        <v>434</v>
      </c>
      <c r="B403" t="s">
        <v>30</v>
      </c>
      <c r="C403" t="s">
        <v>21</v>
      </c>
      <c r="D403" t="s">
        <v>22</v>
      </c>
      <c r="E403">
        <v>7</v>
      </c>
      <c r="F403" t="s">
        <v>25</v>
      </c>
      <c r="G403">
        <f>Earnings!G403</f>
        <v>859264.10919999995</v>
      </c>
      <c r="H403">
        <f>Deductions!B403+Deductions!C403+Deductions!D403+Tax!D403</f>
        <v>9751.4724999999999</v>
      </c>
      <c r="I403">
        <f t="shared" si="12"/>
        <v>908180.87944999989</v>
      </c>
      <c r="J403">
        <f>Overtime!D403</f>
        <v>58668.242749999998</v>
      </c>
      <c r="K403">
        <f>IF(C403="Junior",0.06,IF(C403="Mid",0.08,IF(C403="Senior",0.1,IF(C403="Manager",0.12,0))))</f>
        <v>0.1</v>
      </c>
      <c r="L403">
        <f>IF(Performance!E403&gt;2,0.03,IF(Performance!E403&gt;=1,0.01,-0.02))</f>
        <v>0.01</v>
      </c>
      <c r="M403">
        <f t="shared" si="13"/>
        <v>0.11</v>
      </c>
      <c r="N403">
        <f>Earnings!B403*(1+M403)</f>
        <v>1001873.0685000001</v>
      </c>
    </row>
    <row r="404" spans="1:14" x14ac:dyDescent="0.35">
      <c r="A404" t="s">
        <v>435</v>
      </c>
      <c r="B404" t="s">
        <v>20</v>
      </c>
      <c r="C404" t="s">
        <v>16</v>
      </c>
      <c r="D404" t="s">
        <v>17</v>
      </c>
      <c r="E404">
        <v>6</v>
      </c>
      <c r="F404" t="s">
        <v>38</v>
      </c>
      <c r="G404">
        <f>Earnings!G404</f>
        <v>702033.36</v>
      </c>
      <c r="H404">
        <f>Deductions!B404+Deductions!C404+Deductions!D404+Tax!D404</f>
        <v>6998.833333333333</v>
      </c>
      <c r="I404">
        <f t="shared" si="12"/>
        <v>717157.42666666664</v>
      </c>
      <c r="J404">
        <f>Overtime!D404</f>
        <v>22122.9</v>
      </c>
      <c r="K404">
        <f>IF(C404="Junior",0.06,IF(C404="Mid",0.08,IF(C404="Senior",0.1,IF(C404="Manager",0.12,0))))</f>
        <v>0.06</v>
      </c>
      <c r="L404">
        <f>IF(Performance!E404&gt;2,0.03,IF(Performance!E404&gt;=1,0.01,-0.02))</f>
        <v>0.03</v>
      </c>
      <c r="M404">
        <f t="shared" si="13"/>
        <v>0.09</v>
      </c>
      <c r="N404">
        <f>Earnings!B404*(1+M404)</f>
        <v>803798.70000000007</v>
      </c>
    </row>
    <row r="405" spans="1:14" x14ac:dyDescent="0.35">
      <c r="A405" t="s">
        <v>436</v>
      </c>
      <c r="B405" t="s">
        <v>36</v>
      </c>
      <c r="C405" t="s">
        <v>44</v>
      </c>
      <c r="D405" t="s">
        <v>17</v>
      </c>
      <c r="E405">
        <v>7</v>
      </c>
      <c r="F405" t="s">
        <v>71</v>
      </c>
      <c r="G405">
        <f>Earnings!G405</f>
        <v>714616.89599999995</v>
      </c>
      <c r="H405">
        <f>Deductions!B405+Deductions!C405+Deductions!D405+Tax!D405</f>
        <v>7219.1333333333341</v>
      </c>
      <c r="I405">
        <f t="shared" si="12"/>
        <v>707397.76266666665</v>
      </c>
      <c r="J405">
        <f>Overtime!D405</f>
        <v>0</v>
      </c>
      <c r="K405">
        <f>IF(C405="Junior",0.06,IF(C405="Mid",0.08,IF(C405="Senior",0.1,IF(C405="Manager",0.12,0))))</f>
        <v>0.12</v>
      </c>
      <c r="L405">
        <f>IF(Performance!E405&gt;2,0.03,IF(Performance!E405&gt;=1,0.01,-0.02))</f>
        <v>0.01</v>
      </c>
      <c r="M405">
        <f t="shared" si="13"/>
        <v>0.13</v>
      </c>
      <c r="N405">
        <f>Earnings!B405*(1+M405)</f>
        <v>848232.23999999987</v>
      </c>
    </row>
    <row r="406" spans="1:14" x14ac:dyDescent="0.35">
      <c r="A406" t="s">
        <v>437</v>
      </c>
      <c r="B406" t="s">
        <v>36</v>
      </c>
      <c r="C406" t="s">
        <v>16</v>
      </c>
      <c r="D406" t="s">
        <v>17</v>
      </c>
      <c r="E406">
        <v>5</v>
      </c>
      <c r="F406" t="s">
        <v>28</v>
      </c>
      <c r="G406">
        <f>Earnings!G406</f>
        <v>722829.8</v>
      </c>
      <c r="H406">
        <f>Deductions!B406+Deductions!C406+Deductions!D406+Tax!D406</f>
        <v>7362.916666666667</v>
      </c>
      <c r="I406">
        <f t="shared" si="12"/>
        <v>791394.38333333342</v>
      </c>
      <c r="J406">
        <f>Overtime!D406</f>
        <v>75927.5</v>
      </c>
      <c r="K406">
        <f>IF(C406="Junior",0.06,IF(C406="Mid",0.08,IF(C406="Senior",0.1,IF(C406="Manager",0.12,0))))</f>
        <v>0.06</v>
      </c>
      <c r="L406">
        <f>IF(Performance!E406&gt;2,0.03,IF(Performance!E406&gt;=1,0.01,-0.02))</f>
        <v>0.01</v>
      </c>
      <c r="M406">
        <f t="shared" si="13"/>
        <v>6.9999999999999993E-2</v>
      </c>
      <c r="N406">
        <f>Earnings!B406*(1+M406)</f>
        <v>812424.25</v>
      </c>
    </row>
    <row r="407" spans="1:14" x14ac:dyDescent="0.35">
      <c r="A407" t="s">
        <v>438</v>
      </c>
      <c r="B407" t="s">
        <v>27</v>
      </c>
      <c r="C407" t="s">
        <v>16</v>
      </c>
      <c r="D407" t="s">
        <v>22</v>
      </c>
      <c r="E407">
        <v>11</v>
      </c>
      <c r="F407" t="s">
        <v>38</v>
      </c>
      <c r="G407">
        <f>Earnings!G407</f>
        <v>673844.92559999996</v>
      </c>
      <c r="H407">
        <f>Deductions!B407+Deductions!C407+Deductions!D407+Tax!D407</f>
        <v>6505.3383333333322</v>
      </c>
      <c r="I407">
        <f t="shared" si="12"/>
        <v>745199.82026666659</v>
      </c>
      <c r="J407">
        <f>Overtime!D407</f>
        <v>77860.232999999993</v>
      </c>
      <c r="K407">
        <f>IF(C407="Junior",0.06,IF(C407="Mid",0.08,IF(C407="Senior",0.1,IF(C407="Manager",0.12,0))))</f>
        <v>0.06</v>
      </c>
      <c r="L407">
        <f>IF(Performance!E407&gt;2,0.03,IF(Performance!E407&gt;=1,0.01,-0.02))</f>
        <v>0.01</v>
      </c>
      <c r="M407">
        <f t="shared" si="13"/>
        <v>6.9999999999999993E-2</v>
      </c>
      <c r="N407">
        <f>Earnings!B407*(1+M407)</f>
        <v>757367.72100000002</v>
      </c>
    </row>
    <row r="408" spans="1:14" x14ac:dyDescent="0.35">
      <c r="A408" t="s">
        <v>439</v>
      </c>
      <c r="B408" t="s">
        <v>20</v>
      </c>
      <c r="C408" t="s">
        <v>21</v>
      </c>
      <c r="D408" t="s">
        <v>17</v>
      </c>
      <c r="E408">
        <v>14</v>
      </c>
      <c r="F408" t="s">
        <v>45</v>
      </c>
      <c r="G408">
        <f>Earnings!G408</f>
        <v>1159517.912</v>
      </c>
      <c r="H408">
        <f>Deductions!B408+Deductions!C408+Deductions!D408+Tax!D408</f>
        <v>16824.525000000001</v>
      </c>
      <c r="I408">
        <f t="shared" si="12"/>
        <v>1173142.912</v>
      </c>
      <c r="J408">
        <f>Overtime!D408</f>
        <v>30449.525000000001</v>
      </c>
      <c r="K408">
        <f>IF(C408="Junior",0.06,IF(C408="Mid",0.08,IF(C408="Senior",0.1,IF(C408="Manager",0.12,0))))</f>
        <v>0.1</v>
      </c>
      <c r="L408">
        <f>IF(Performance!E408&gt;2,0.03,IF(Performance!E408&gt;=1,0.01,-0.02))</f>
        <v>0.03</v>
      </c>
      <c r="M408">
        <f t="shared" si="13"/>
        <v>0.13</v>
      </c>
      <c r="N408">
        <f>Earnings!B408*(1+M408)</f>
        <v>1376318.5299999998</v>
      </c>
    </row>
    <row r="409" spans="1:14" x14ac:dyDescent="0.35">
      <c r="A409" t="s">
        <v>440</v>
      </c>
      <c r="B409" t="s">
        <v>20</v>
      </c>
      <c r="C409" t="s">
        <v>44</v>
      </c>
      <c r="D409" t="s">
        <v>17</v>
      </c>
      <c r="E409">
        <v>0</v>
      </c>
      <c r="F409" t="s">
        <v>45</v>
      </c>
      <c r="G409">
        <f>Earnings!G409</f>
        <v>758141.38399999985</v>
      </c>
      <c r="H409">
        <f>Deductions!B409+Deductions!C409+Deductions!D409+Tax!D409</f>
        <v>7981.1166666666659</v>
      </c>
      <c r="I409">
        <f t="shared" si="12"/>
        <v>789978.61733333312</v>
      </c>
      <c r="J409">
        <f>Overtime!D409</f>
        <v>39818.35</v>
      </c>
      <c r="K409">
        <f>IF(C409="Junior",0.06,IF(C409="Mid",0.08,IF(C409="Senior",0.1,IF(C409="Manager",0.12,0))))</f>
        <v>0.12</v>
      </c>
      <c r="L409">
        <f>IF(Performance!E409&gt;2,0.03,IF(Performance!E409&gt;=1,0.01,-0.02))</f>
        <v>0.03</v>
      </c>
      <c r="M409">
        <f t="shared" si="13"/>
        <v>0.15</v>
      </c>
      <c r="N409">
        <f>Earnings!B409*(1+M409)</f>
        <v>915822.04999999993</v>
      </c>
    </row>
    <row r="410" spans="1:14" x14ac:dyDescent="0.35">
      <c r="A410" t="s">
        <v>441</v>
      </c>
      <c r="B410" t="s">
        <v>27</v>
      </c>
      <c r="C410" t="s">
        <v>16</v>
      </c>
      <c r="D410" t="s">
        <v>17</v>
      </c>
      <c r="E410">
        <v>7</v>
      </c>
      <c r="F410" t="s">
        <v>38</v>
      </c>
      <c r="G410">
        <f>Earnings!G410</f>
        <v>807871.00800000003</v>
      </c>
      <c r="H410">
        <f>Deductions!B410+Deductions!C410+Deductions!D410+Tax!D410</f>
        <v>8851.7333333333336</v>
      </c>
      <c r="I410">
        <f t="shared" si="12"/>
        <v>799019.27466666675</v>
      </c>
      <c r="J410">
        <f>Overtime!D410</f>
        <v>0</v>
      </c>
      <c r="K410">
        <f>IF(C410="Junior",0.06,IF(C410="Mid",0.08,IF(C410="Senior",0.1,IF(C410="Manager",0.12,0))))</f>
        <v>0.06</v>
      </c>
      <c r="L410">
        <f>IF(Performance!E410&gt;2,0.03,IF(Performance!E410&gt;=1,0.01,-0.02))</f>
        <v>0.01</v>
      </c>
      <c r="M410">
        <f t="shared" si="13"/>
        <v>6.9999999999999993E-2</v>
      </c>
      <c r="N410">
        <f>Earnings!B410*(1+M410)</f>
        <v>908006.28</v>
      </c>
    </row>
    <row r="411" spans="1:14" x14ac:dyDescent="0.35">
      <c r="A411" t="s">
        <v>442</v>
      </c>
      <c r="B411" t="s">
        <v>30</v>
      </c>
      <c r="C411" t="s">
        <v>34</v>
      </c>
      <c r="D411" t="s">
        <v>22</v>
      </c>
      <c r="E411">
        <v>10</v>
      </c>
      <c r="F411" t="s">
        <v>23</v>
      </c>
      <c r="G411">
        <f>Earnings!G411</f>
        <v>927533.64759999991</v>
      </c>
      <c r="H411">
        <f>Deductions!B411+Deductions!C411+Deductions!D411+Tax!D411</f>
        <v>10946.6675</v>
      </c>
      <c r="I411">
        <f t="shared" si="12"/>
        <v>916586.98009999993</v>
      </c>
      <c r="J411">
        <f>Overtime!D411</f>
        <v>0</v>
      </c>
      <c r="K411">
        <f>IF(C411="Junior",0.06,IF(C411="Mid",0.08,IF(C411="Senior",0.1,IF(C411="Manager",0.12,0))))</f>
        <v>0.08</v>
      </c>
      <c r="L411">
        <f>IF(Performance!E411&gt;2,0.03,IF(Performance!E411&gt;=1,0.01,-0.02))</f>
        <v>0.01</v>
      </c>
      <c r="M411">
        <f t="shared" si="13"/>
        <v>0.09</v>
      </c>
      <c r="N411">
        <f>Earnings!B411*(1+M411)</f>
        <v>1061987.0545000001</v>
      </c>
    </row>
    <row r="412" spans="1:14" x14ac:dyDescent="0.35">
      <c r="A412" t="s">
        <v>443</v>
      </c>
      <c r="B412" t="s">
        <v>20</v>
      </c>
      <c r="C412" t="s">
        <v>21</v>
      </c>
      <c r="D412" t="s">
        <v>22</v>
      </c>
      <c r="E412">
        <v>4</v>
      </c>
      <c r="F412" t="s">
        <v>25</v>
      </c>
      <c r="G412">
        <f>Earnings!G412</f>
        <v>586237.50639999995</v>
      </c>
      <c r="H412">
        <f>Deductions!B412+Deductions!C412+Deductions!D412+Tax!D412</f>
        <v>4971.5949999999993</v>
      </c>
      <c r="I412">
        <f t="shared" si="12"/>
        <v>581265.91139999998</v>
      </c>
      <c r="J412">
        <f>Overtime!D412</f>
        <v>0</v>
      </c>
      <c r="K412">
        <f>IF(C412="Junior",0.06,IF(C412="Mid",0.08,IF(C412="Senior",0.1,IF(C412="Manager",0.12,0))))</f>
        <v>0.1</v>
      </c>
      <c r="L412">
        <f>IF(Performance!E412&gt;2,0.03,IF(Performance!E412&gt;=1,0.01,-0.02))</f>
        <v>0.03</v>
      </c>
      <c r="M412">
        <f t="shared" si="13"/>
        <v>0.13</v>
      </c>
      <c r="N412">
        <f>Earnings!B412*(1+M412)</f>
        <v>695849.14099999983</v>
      </c>
    </row>
    <row r="413" spans="1:14" x14ac:dyDescent="0.35">
      <c r="A413" t="s">
        <v>444</v>
      </c>
      <c r="B413" t="s">
        <v>30</v>
      </c>
      <c r="C413" t="s">
        <v>34</v>
      </c>
      <c r="D413" t="s">
        <v>17</v>
      </c>
      <c r="E413">
        <v>15</v>
      </c>
      <c r="F413" t="s">
        <v>71</v>
      </c>
      <c r="G413">
        <f>Earnings!G413</f>
        <v>1188477.7520000001</v>
      </c>
      <c r="H413">
        <f>Deductions!B413+Deductions!C413+Deductions!D413+Tax!D413</f>
        <v>17585.025000000001</v>
      </c>
      <c r="I413">
        <f t="shared" si="12"/>
        <v>1170892.7270000002</v>
      </c>
      <c r="J413">
        <f>Overtime!D413</f>
        <v>0</v>
      </c>
      <c r="K413">
        <f>IF(C413="Junior",0.06,IF(C413="Mid",0.08,IF(C413="Senior",0.1,IF(C413="Manager",0.12,0))))</f>
        <v>0.08</v>
      </c>
      <c r="L413">
        <f>IF(Performance!E413&gt;2,0.03,IF(Performance!E413&gt;=1,0.01,-0.02))</f>
        <v>0.01</v>
      </c>
      <c r="M413">
        <f t="shared" si="13"/>
        <v>0.09</v>
      </c>
      <c r="N413">
        <f>Earnings!B413*(1+M413)</f>
        <v>1360757.09</v>
      </c>
    </row>
    <row r="414" spans="1:14" x14ac:dyDescent="0.35">
      <c r="A414" t="s">
        <v>445</v>
      </c>
      <c r="B414" t="s">
        <v>15</v>
      </c>
      <c r="C414" t="s">
        <v>44</v>
      </c>
      <c r="D414" t="s">
        <v>17</v>
      </c>
      <c r="E414">
        <v>10</v>
      </c>
      <c r="F414" t="s">
        <v>32</v>
      </c>
      <c r="G414">
        <f>Earnings!G414</f>
        <v>775959.96799999999</v>
      </c>
      <c r="H414">
        <f>Deductions!B414+Deductions!C414+Deductions!D414+Tax!D414</f>
        <v>8293.0666666666657</v>
      </c>
      <c r="I414">
        <f t="shared" si="12"/>
        <v>861401.56133333337</v>
      </c>
      <c r="J414">
        <f>Overtime!D414</f>
        <v>93734.659999999989</v>
      </c>
      <c r="K414">
        <f>IF(C414="Junior",0.06,IF(C414="Mid",0.08,IF(C414="Senior",0.1,IF(C414="Manager",0.12,0))))</f>
        <v>0.12</v>
      </c>
      <c r="L414">
        <f>IF(Performance!E414&gt;2,0.03,IF(Performance!E414&gt;=1,0.01,-0.02))</f>
        <v>0.01</v>
      </c>
      <c r="M414">
        <f t="shared" si="13"/>
        <v>0.13</v>
      </c>
      <c r="N414">
        <f>Earnings!B414*(1+M414)</f>
        <v>921044.91999999993</v>
      </c>
    </row>
    <row r="415" spans="1:14" x14ac:dyDescent="0.35">
      <c r="A415" t="s">
        <v>446</v>
      </c>
      <c r="B415" t="s">
        <v>36</v>
      </c>
      <c r="C415" t="s">
        <v>34</v>
      </c>
      <c r="D415" t="s">
        <v>17</v>
      </c>
      <c r="E415">
        <v>13</v>
      </c>
      <c r="F415" t="s">
        <v>45</v>
      </c>
      <c r="G415">
        <f>Earnings!G415</f>
        <v>877760.18399999989</v>
      </c>
      <c r="H415">
        <f>Deductions!B415+Deductions!C415+Deductions!D415+Tax!D415</f>
        <v>10075.283333333333</v>
      </c>
      <c r="I415">
        <f t="shared" si="12"/>
        <v>867684.90066666657</v>
      </c>
      <c r="J415">
        <f>Overtime!D415</f>
        <v>0</v>
      </c>
      <c r="K415">
        <f>IF(C415="Junior",0.06,IF(C415="Mid",0.08,IF(C415="Senior",0.1,IF(C415="Manager",0.12,0))))</f>
        <v>0.08</v>
      </c>
      <c r="L415">
        <f>IF(Performance!E415&gt;2,0.03,IF(Performance!E415&gt;=1,0.01,-0.02))</f>
        <v>0.01</v>
      </c>
      <c r="M415">
        <f t="shared" si="13"/>
        <v>0.09</v>
      </c>
      <c r="N415">
        <f>Earnings!B415*(1+M415)</f>
        <v>1004998.53</v>
      </c>
    </row>
    <row r="416" spans="1:14" x14ac:dyDescent="0.35">
      <c r="A416" t="s">
        <v>447</v>
      </c>
      <c r="B416" t="s">
        <v>15</v>
      </c>
      <c r="C416" t="s">
        <v>21</v>
      </c>
      <c r="D416" t="s">
        <v>22</v>
      </c>
      <c r="E416">
        <v>11</v>
      </c>
      <c r="F416" t="s">
        <v>45</v>
      </c>
      <c r="G416">
        <f>Earnings!G416</f>
        <v>756064.83400000003</v>
      </c>
      <c r="H416">
        <f>Deductions!B416+Deductions!C416+Deductions!D416+Tax!D416</f>
        <v>7944.7624999999998</v>
      </c>
      <c r="I416">
        <f t="shared" si="12"/>
        <v>847393.29025000008</v>
      </c>
      <c r="J416">
        <f>Overtime!D416</f>
        <v>99273.21875</v>
      </c>
      <c r="K416">
        <f>IF(C416="Junior",0.06,IF(C416="Mid",0.08,IF(C416="Senior",0.1,IF(C416="Manager",0.12,0))))</f>
        <v>0.1</v>
      </c>
      <c r="L416">
        <f>IF(Performance!E416&gt;2,0.03,IF(Performance!E416&gt;=1,0.01,-0.02))</f>
        <v>0.01</v>
      </c>
      <c r="M416">
        <f t="shared" si="13"/>
        <v>0.11</v>
      </c>
      <c r="N416">
        <f>Earnings!B416*(1+M416)</f>
        <v>881546.18250000011</v>
      </c>
    </row>
    <row r="417" spans="1:14" x14ac:dyDescent="0.35">
      <c r="A417" t="s">
        <v>448</v>
      </c>
      <c r="B417" t="s">
        <v>36</v>
      </c>
      <c r="C417" t="s">
        <v>34</v>
      </c>
      <c r="D417" t="s">
        <v>22</v>
      </c>
      <c r="E417">
        <v>6</v>
      </c>
      <c r="F417" t="s">
        <v>38</v>
      </c>
      <c r="G417">
        <f>Earnings!G417</f>
        <v>966712.25560000003</v>
      </c>
      <c r="H417">
        <f>Deductions!B417+Deductions!C417+Deductions!D417+Tax!D417</f>
        <v>11761.351250000002</v>
      </c>
      <c r="I417">
        <f t="shared" si="12"/>
        <v>1086959.9308500001</v>
      </c>
      <c r="J417">
        <f>Overtime!D417</f>
        <v>132009.02650000004</v>
      </c>
      <c r="K417">
        <f>IF(C417="Junior",0.06,IF(C417="Mid",0.08,IF(C417="Senior",0.1,IF(C417="Manager",0.12,0))))</f>
        <v>0.08</v>
      </c>
      <c r="L417">
        <f>IF(Performance!E417&gt;2,0.03,IF(Performance!E417&gt;=1,0.01,-0.02))</f>
        <v>0.01</v>
      </c>
      <c r="M417">
        <f t="shared" si="13"/>
        <v>0.09</v>
      </c>
      <c r="N417">
        <f>Earnings!B417*(1+M417)</f>
        <v>1106844.9145000002</v>
      </c>
    </row>
    <row r="418" spans="1:14" x14ac:dyDescent="0.35">
      <c r="A418" t="s">
        <v>449</v>
      </c>
      <c r="B418" t="s">
        <v>36</v>
      </c>
      <c r="C418" t="s">
        <v>44</v>
      </c>
      <c r="D418" t="s">
        <v>17</v>
      </c>
      <c r="E418">
        <v>7</v>
      </c>
      <c r="F418" t="s">
        <v>45</v>
      </c>
      <c r="G418">
        <f>Earnings!G418</f>
        <v>773667.55200000003</v>
      </c>
      <c r="H418">
        <f>Deductions!B418+Deductions!C418+Deductions!D418+Tax!D418</f>
        <v>8252.9333333333343</v>
      </c>
      <c r="I418">
        <f t="shared" si="12"/>
        <v>765414.61866666668</v>
      </c>
      <c r="J418">
        <f>Overtime!D418</f>
        <v>0</v>
      </c>
      <c r="K418">
        <f>IF(C418="Junior",0.06,IF(C418="Mid",0.08,IF(C418="Senior",0.1,IF(C418="Manager",0.12,0))))</f>
        <v>0.12</v>
      </c>
      <c r="L418">
        <f>IF(Performance!E418&gt;2,0.03,IF(Performance!E418&gt;=1,0.01,-0.02))</f>
        <v>0.01</v>
      </c>
      <c r="M418">
        <f t="shared" si="13"/>
        <v>0.13</v>
      </c>
      <c r="N418">
        <f>Earnings!B418*(1+M418)</f>
        <v>918323.87999999989</v>
      </c>
    </row>
    <row r="419" spans="1:14" x14ac:dyDescent="0.35">
      <c r="A419" t="s">
        <v>450</v>
      </c>
      <c r="B419" t="s">
        <v>15</v>
      </c>
      <c r="C419" t="s">
        <v>21</v>
      </c>
      <c r="D419" t="s">
        <v>17</v>
      </c>
      <c r="E419">
        <v>7</v>
      </c>
      <c r="F419" t="s">
        <v>45</v>
      </c>
      <c r="G419">
        <f>Earnings!G419</f>
        <v>536236.848</v>
      </c>
      <c r="H419">
        <f>Deductions!B419+Deductions!C419+Deductions!D419+Tax!D419</f>
        <v>4096.2333333333336</v>
      </c>
      <c r="I419">
        <f t="shared" si="12"/>
        <v>532140.61466666672</v>
      </c>
      <c r="J419">
        <f>Overtime!D419</f>
        <v>0</v>
      </c>
      <c r="K419">
        <f>IF(C419="Junior",0.06,IF(C419="Mid",0.08,IF(C419="Senior",0.1,IF(C419="Manager",0.12,0))))</f>
        <v>0.1</v>
      </c>
      <c r="L419">
        <f>IF(Performance!E419&gt;2,0.03,IF(Performance!E419&gt;=1,0.01,-0.02))</f>
        <v>0.01</v>
      </c>
      <c r="M419">
        <f t="shared" si="13"/>
        <v>0.11</v>
      </c>
      <c r="N419">
        <f>Earnings!B419*(1+M419)</f>
        <v>625234.14</v>
      </c>
    </row>
    <row r="420" spans="1:14" x14ac:dyDescent="0.35">
      <c r="A420" t="s">
        <v>451</v>
      </c>
      <c r="B420" t="s">
        <v>30</v>
      </c>
      <c r="C420" t="s">
        <v>21</v>
      </c>
      <c r="D420" t="s">
        <v>17</v>
      </c>
      <c r="E420">
        <v>11</v>
      </c>
      <c r="F420" t="s">
        <v>45</v>
      </c>
      <c r="G420">
        <f>Earnings!G420</f>
        <v>1263039.344</v>
      </c>
      <c r="H420">
        <f>Deductions!B420+Deductions!C420+Deductions!D420+Tax!D420</f>
        <v>19543.05</v>
      </c>
      <c r="I420">
        <f t="shared" si="12"/>
        <v>1343000.4439999999</v>
      </c>
      <c r="J420">
        <f>Overtime!D420</f>
        <v>99504.150000000009</v>
      </c>
      <c r="K420">
        <f>IF(C420="Junior",0.06,IF(C420="Mid",0.08,IF(C420="Senior",0.1,IF(C420="Manager",0.12,0))))</f>
        <v>0.1</v>
      </c>
      <c r="L420">
        <f>IF(Performance!E420&gt;2,0.03,IF(Performance!E420&gt;=1,0.01,-0.02))</f>
        <v>0.01</v>
      </c>
      <c r="M420">
        <f t="shared" si="13"/>
        <v>0.11</v>
      </c>
      <c r="N420">
        <f>Earnings!B420*(1+M420)</f>
        <v>1472661.4200000002</v>
      </c>
    </row>
    <row r="421" spans="1:14" x14ac:dyDescent="0.35">
      <c r="A421" t="s">
        <v>452</v>
      </c>
      <c r="B421" t="s">
        <v>27</v>
      </c>
      <c r="C421" t="s">
        <v>21</v>
      </c>
      <c r="D421" t="s">
        <v>22</v>
      </c>
      <c r="E421">
        <v>3</v>
      </c>
      <c r="F421" t="s">
        <v>45</v>
      </c>
      <c r="G421">
        <f>Earnings!G421</f>
        <v>679302.07519999996</v>
      </c>
      <c r="H421">
        <f>Deductions!B421+Deductions!C421+Deductions!D421+Tax!D421</f>
        <v>6600.8766666666661</v>
      </c>
      <c r="I421">
        <f t="shared" si="12"/>
        <v>736920.93253333331</v>
      </c>
      <c r="J421">
        <f>Overtime!D421</f>
        <v>64219.733999999997</v>
      </c>
      <c r="K421">
        <f>IF(C421="Junior",0.06,IF(C421="Mid",0.08,IF(C421="Senior",0.1,IF(C421="Manager",0.12,0))))</f>
        <v>0.1</v>
      </c>
      <c r="L421">
        <f>IF(Performance!E421&gt;2,0.03,IF(Performance!E421&gt;=1,0.01,-0.02))</f>
        <v>0.01</v>
      </c>
      <c r="M421">
        <f t="shared" si="13"/>
        <v>0.11</v>
      </c>
      <c r="N421">
        <f>Earnings!B421*(1+M421)</f>
        <v>792043.38600000006</v>
      </c>
    </row>
    <row r="422" spans="1:14" x14ac:dyDescent="0.35">
      <c r="A422" t="s">
        <v>453</v>
      </c>
      <c r="B422" t="s">
        <v>27</v>
      </c>
      <c r="C422" t="s">
        <v>16</v>
      </c>
      <c r="D422" t="s">
        <v>17</v>
      </c>
      <c r="E422">
        <v>7</v>
      </c>
      <c r="F422" t="s">
        <v>32</v>
      </c>
      <c r="G422">
        <f>Earnings!G422</f>
        <v>807359.78399999999</v>
      </c>
      <c r="H422">
        <f>Deductions!B422+Deductions!C422+Deductions!D422+Tax!D422</f>
        <v>8842.7833333333328</v>
      </c>
      <c r="I422">
        <f t="shared" si="12"/>
        <v>900285.0406666667</v>
      </c>
      <c r="J422">
        <f>Overtime!D422</f>
        <v>101768.04000000001</v>
      </c>
      <c r="K422">
        <f>IF(C422="Junior",0.06,IF(C422="Mid",0.08,IF(C422="Senior",0.1,IF(C422="Manager",0.12,0))))</f>
        <v>0.06</v>
      </c>
      <c r="L422">
        <f>IF(Performance!E422&gt;2,0.03,IF(Performance!E422&gt;=1,0.01,-0.02))</f>
        <v>0.01</v>
      </c>
      <c r="M422">
        <f t="shared" si="13"/>
        <v>6.9999999999999993E-2</v>
      </c>
      <c r="N422">
        <f>Earnings!B422*(1+M422)</f>
        <v>907431.69000000006</v>
      </c>
    </row>
    <row r="423" spans="1:14" x14ac:dyDescent="0.35">
      <c r="A423" t="s">
        <v>454</v>
      </c>
      <c r="B423" t="s">
        <v>27</v>
      </c>
      <c r="C423" t="s">
        <v>16</v>
      </c>
      <c r="D423" t="s">
        <v>22</v>
      </c>
      <c r="E423">
        <v>5</v>
      </c>
      <c r="F423" t="s">
        <v>23</v>
      </c>
      <c r="G423">
        <f>Earnings!G423</f>
        <v>720350.98239999998</v>
      </c>
      <c r="H423">
        <f>Deductions!B423+Deductions!C423+Deductions!D423+Tax!D423</f>
        <v>7319.5199999999995</v>
      </c>
      <c r="I423">
        <f t="shared" si="12"/>
        <v>743298.31039999996</v>
      </c>
      <c r="J423">
        <f>Overtime!D423</f>
        <v>30266.847999999998</v>
      </c>
      <c r="K423">
        <f>IF(C423="Junior",0.06,IF(C423="Mid",0.08,IF(C423="Senior",0.1,IF(C423="Manager",0.12,0))))</f>
        <v>0.06</v>
      </c>
      <c r="L423">
        <f>IF(Performance!E423&gt;2,0.03,IF(Performance!E423&gt;=1,0.01,-0.02))</f>
        <v>0.01</v>
      </c>
      <c r="M423">
        <f t="shared" si="13"/>
        <v>6.9999999999999993E-2</v>
      </c>
      <c r="N423">
        <f>Earnings!B423*(1+M423)</f>
        <v>809638.18400000001</v>
      </c>
    </row>
    <row r="424" spans="1:14" x14ac:dyDescent="0.35">
      <c r="A424" t="s">
        <v>455</v>
      </c>
      <c r="B424" t="s">
        <v>36</v>
      </c>
      <c r="C424" t="s">
        <v>34</v>
      </c>
      <c r="D424" t="s">
        <v>22</v>
      </c>
      <c r="E424">
        <v>12</v>
      </c>
      <c r="F424" t="s">
        <v>71</v>
      </c>
      <c r="G424">
        <f>Earnings!G424</f>
        <v>1154836.4996</v>
      </c>
      <c r="H424">
        <f>Deductions!B424+Deductions!C424+Deductions!D424+Tax!D424</f>
        <v>16701.588750000003</v>
      </c>
      <c r="I424">
        <f t="shared" si="12"/>
        <v>1138134.9108499999</v>
      </c>
      <c r="J424">
        <f>Overtime!D424</f>
        <v>0</v>
      </c>
      <c r="K424">
        <f>IF(C424="Junior",0.06,IF(C424="Mid",0.08,IF(C424="Senior",0.1,IF(C424="Manager",0.12,0))))</f>
        <v>0.08</v>
      </c>
      <c r="L424">
        <f>IF(Performance!E424&gt;2,0.03,IF(Performance!E424&gt;=1,0.01,-0.02))</f>
        <v>0.01</v>
      </c>
      <c r="M424">
        <f t="shared" si="13"/>
        <v>0.09</v>
      </c>
      <c r="N424">
        <f>Earnings!B424*(1+M424)</f>
        <v>1322239.2695000002</v>
      </c>
    </row>
    <row r="425" spans="1:14" x14ac:dyDescent="0.35">
      <c r="A425" t="s">
        <v>456</v>
      </c>
      <c r="B425" t="s">
        <v>15</v>
      </c>
      <c r="C425" t="s">
        <v>34</v>
      </c>
      <c r="D425" t="s">
        <v>22</v>
      </c>
      <c r="E425">
        <v>1</v>
      </c>
      <c r="F425" t="s">
        <v>38</v>
      </c>
      <c r="G425">
        <f>Earnings!G425</f>
        <v>323876.49280000001</v>
      </c>
      <c r="H425">
        <f>Deductions!B425+Deductions!C425+Deductions!D425+Tax!D425</f>
        <v>2375.86</v>
      </c>
      <c r="I425">
        <f t="shared" si="12"/>
        <v>321500.63280000002</v>
      </c>
      <c r="J425">
        <f>Overtime!D425</f>
        <v>0</v>
      </c>
      <c r="K425">
        <f>IF(C425="Junior",0.06,IF(C425="Mid",0.08,IF(C425="Senior",0.1,IF(C425="Manager",0.12,0))))</f>
        <v>0.08</v>
      </c>
      <c r="L425">
        <f>IF(Performance!E425&gt;2,0.03,IF(Performance!E425&gt;=1,0.01,-0.02))</f>
        <v>0.01</v>
      </c>
      <c r="M425">
        <f t="shared" si="13"/>
        <v>0.09</v>
      </c>
      <c r="N425">
        <f>Earnings!B425*(1+M425)</f>
        <v>370824.97600000002</v>
      </c>
    </row>
    <row r="426" spans="1:14" x14ac:dyDescent="0.35">
      <c r="A426" t="s">
        <v>457</v>
      </c>
      <c r="B426" t="s">
        <v>36</v>
      </c>
      <c r="C426" t="s">
        <v>44</v>
      </c>
      <c r="D426" t="s">
        <v>22</v>
      </c>
      <c r="E426">
        <v>15</v>
      </c>
      <c r="F426" t="s">
        <v>71</v>
      </c>
      <c r="G426">
        <f>Earnings!G426</f>
        <v>1270159.2568000001</v>
      </c>
      <c r="H426">
        <f>Deductions!B426+Deductions!C426+Deductions!D426+Tax!D426</f>
        <v>19730.022499999995</v>
      </c>
      <c r="I426">
        <f t="shared" si="12"/>
        <v>1250429.2343000001</v>
      </c>
      <c r="J426">
        <f>Overtime!D426</f>
        <v>0</v>
      </c>
      <c r="K426">
        <f>IF(C426="Junior",0.06,IF(C426="Mid",0.08,IF(C426="Senior",0.1,IF(C426="Manager",0.12,0))))</f>
        <v>0.12</v>
      </c>
      <c r="L426">
        <f>IF(Performance!E426&gt;2,0.03,IF(Performance!E426&gt;=1,0.01,-0.02))</f>
        <v>0.01</v>
      </c>
      <c r="M426">
        <f t="shared" si="13"/>
        <v>0.13</v>
      </c>
      <c r="N426">
        <f>Earnings!B426*(1+M426)</f>
        <v>1507647.0169999998</v>
      </c>
    </row>
    <row r="427" spans="1:14" x14ac:dyDescent="0.35">
      <c r="A427" t="s">
        <v>458</v>
      </c>
      <c r="B427" t="s">
        <v>20</v>
      </c>
      <c r="C427" t="s">
        <v>16</v>
      </c>
      <c r="D427" t="s">
        <v>22</v>
      </c>
      <c r="E427">
        <v>6</v>
      </c>
      <c r="F427" t="s">
        <v>28</v>
      </c>
      <c r="G427">
        <f>Earnings!G427</f>
        <v>741099.72719999996</v>
      </c>
      <c r="H427">
        <f>Deductions!B427+Deductions!C427+Deductions!D427+Tax!D427</f>
        <v>7682.7683333333334</v>
      </c>
      <c r="I427">
        <f t="shared" si="12"/>
        <v>850186.87386666669</v>
      </c>
      <c r="J427">
        <f>Overtime!D427</f>
        <v>116769.91500000001</v>
      </c>
      <c r="K427">
        <f>IF(C427="Junior",0.06,IF(C427="Mid",0.08,IF(C427="Senior",0.1,IF(C427="Manager",0.12,0))))</f>
        <v>0.06</v>
      </c>
      <c r="L427">
        <f>IF(Performance!E427&gt;2,0.03,IF(Performance!E427&gt;=1,0.01,-0.02))</f>
        <v>0.03</v>
      </c>
      <c r="M427">
        <f t="shared" si="13"/>
        <v>0.09</v>
      </c>
      <c r="N427">
        <f>Earnings!B427*(1+M427)</f>
        <v>848528.049</v>
      </c>
    </row>
    <row r="428" spans="1:14" x14ac:dyDescent="0.35">
      <c r="A428" t="s">
        <v>459</v>
      </c>
      <c r="B428" t="s">
        <v>15</v>
      </c>
      <c r="C428" t="s">
        <v>34</v>
      </c>
      <c r="D428" t="s">
        <v>22</v>
      </c>
      <c r="E428">
        <v>12</v>
      </c>
      <c r="F428" t="s">
        <v>32</v>
      </c>
      <c r="G428">
        <f>Earnings!G428</f>
        <v>827908.56120000011</v>
      </c>
      <c r="H428">
        <f>Deductions!B428+Deductions!C428+Deductions!D428+Tax!D428</f>
        <v>9202.5308333333342</v>
      </c>
      <c r="I428">
        <f t="shared" si="12"/>
        <v>818706.03036666673</v>
      </c>
      <c r="J428">
        <f>Overtime!D428</f>
        <v>0</v>
      </c>
      <c r="K428">
        <f>IF(C428="Junior",0.06,IF(C428="Mid",0.08,IF(C428="Senior",0.1,IF(C428="Manager",0.12,0))))</f>
        <v>0.08</v>
      </c>
      <c r="L428">
        <f>IF(Performance!E428&gt;2,0.03,IF(Performance!E428&gt;=1,0.01,-0.02))</f>
        <v>0.01</v>
      </c>
      <c r="M428">
        <f t="shared" si="13"/>
        <v>0.09</v>
      </c>
      <c r="N428">
        <f>Earnings!B428*(1+M428)</f>
        <v>947920.51650000003</v>
      </c>
    </row>
    <row r="429" spans="1:14" x14ac:dyDescent="0.35">
      <c r="A429" t="s">
        <v>460</v>
      </c>
      <c r="B429" t="s">
        <v>27</v>
      </c>
      <c r="C429" t="s">
        <v>44</v>
      </c>
      <c r="D429" t="s">
        <v>17</v>
      </c>
      <c r="E429">
        <v>4</v>
      </c>
      <c r="F429" t="s">
        <v>28</v>
      </c>
      <c r="G429">
        <f>Earnings!G429</f>
        <v>729877.45600000001</v>
      </c>
      <c r="H429">
        <f>Deductions!B429+Deductions!C429+Deductions!D429+Tax!D429</f>
        <v>7486.3</v>
      </c>
      <c r="I429">
        <f t="shared" si="12"/>
        <v>810559.12599999993</v>
      </c>
      <c r="J429">
        <f>Overtime!D429</f>
        <v>88167.97</v>
      </c>
      <c r="K429">
        <f>IF(C429="Junior",0.06,IF(C429="Mid",0.08,IF(C429="Senior",0.1,IF(C429="Manager",0.12,0))))</f>
        <v>0.12</v>
      </c>
      <c r="L429">
        <f>IF(Performance!E429&gt;2,0.03,IF(Performance!E429&gt;=1,0.01,-0.02))</f>
        <v>0.01</v>
      </c>
      <c r="M429">
        <f t="shared" si="13"/>
        <v>0.13</v>
      </c>
      <c r="N429">
        <f>Earnings!B429*(1+M429)</f>
        <v>866346.1399999999</v>
      </c>
    </row>
    <row r="430" spans="1:14" x14ac:dyDescent="0.35">
      <c r="A430" t="s">
        <v>461</v>
      </c>
      <c r="B430" t="s">
        <v>30</v>
      </c>
      <c r="C430" t="s">
        <v>44</v>
      </c>
      <c r="D430" t="s">
        <v>22</v>
      </c>
      <c r="E430">
        <v>4</v>
      </c>
      <c r="F430" t="s">
        <v>28</v>
      </c>
      <c r="G430">
        <f>Earnings!G430</f>
        <v>778277.80239999993</v>
      </c>
      <c r="H430">
        <f>Deductions!B430+Deductions!C430+Deductions!D430+Tax!D430</f>
        <v>8333.6450000000004</v>
      </c>
      <c r="I430">
        <f t="shared" si="12"/>
        <v>769944.15739999991</v>
      </c>
      <c r="J430">
        <f>Overtime!D430</f>
        <v>0</v>
      </c>
      <c r="K430">
        <f>IF(C430="Junior",0.06,IF(C430="Mid",0.08,IF(C430="Senior",0.1,IF(C430="Manager",0.12,0))))</f>
        <v>0.12</v>
      </c>
      <c r="L430">
        <f>IF(Performance!E430&gt;2,0.03,IF(Performance!E430&gt;=1,0.01,-0.02))</f>
        <v>0.01</v>
      </c>
      <c r="M430">
        <f t="shared" si="13"/>
        <v>0.13</v>
      </c>
      <c r="N430">
        <f>Earnings!B430*(1+M430)</f>
        <v>923796.13099999982</v>
      </c>
    </row>
    <row r="431" spans="1:14" x14ac:dyDescent="0.35">
      <c r="A431" t="s">
        <v>462</v>
      </c>
      <c r="B431" t="s">
        <v>36</v>
      </c>
      <c r="C431" t="s">
        <v>44</v>
      </c>
      <c r="D431" t="s">
        <v>22</v>
      </c>
      <c r="E431">
        <v>3</v>
      </c>
      <c r="F431" t="s">
        <v>23</v>
      </c>
      <c r="G431">
        <f>Earnings!G431</f>
        <v>717451.47600000002</v>
      </c>
      <c r="H431">
        <f>Deductions!B431+Deductions!C431+Deductions!D431+Tax!D431</f>
        <v>7268.7583333333341</v>
      </c>
      <c r="I431">
        <f t="shared" si="12"/>
        <v>710182.71766666672</v>
      </c>
      <c r="J431">
        <f>Overtime!D431</f>
        <v>0</v>
      </c>
      <c r="K431">
        <f>IF(C431="Junior",0.06,IF(C431="Mid",0.08,IF(C431="Senior",0.1,IF(C431="Manager",0.12,0))))</f>
        <v>0.12</v>
      </c>
      <c r="L431">
        <f>IF(Performance!E431&gt;2,0.03,IF(Performance!E431&gt;=1,0.01,-0.02))</f>
        <v>0.01</v>
      </c>
      <c r="M431">
        <f t="shared" si="13"/>
        <v>0.13</v>
      </c>
      <c r="N431">
        <f>Earnings!B431*(1+M431)</f>
        <v>851596.81499999994</v>
      </c>
    </row>
    <row r="432" spans="1:14" x14ac:dyDescent="0.35">
      <c r="A432" t="s">
        <v>463</v>
      </c>
      <c r="B432" t="s">
        <v>27</v>
      </c>
      <c r="C432" t="s">
        <v>34</v>
      </c>
      <c r="D432" t="s">
        <v>22</v>
      </c>
      <c r="E432">
        <v>1</v>
      </c>
      <c r="F432" t="s">
        <v>28</v>
      </c>
      <c r="G432">
        <f>Earnings!G432</f>
        <v>368203.85</v>
      </c>
      <c r="H432">
        <f>Deductions!B432+Deductions!C432+Deductions!D432+Tax!D432</f>
        <v>2569.8697916666665</v>
      </c>
      <c r="I432">
        <f t="shared" si="12"/>
        <v>365633.98020833329</v>
      </c>
      <c r="J432">
        <f>Overtime!D432</f>
        <v>0</v>
      </c>
      <c r="K432">
        <f>IF(C432="Junior",0.06,IF(C432="Mid",0.08,IF(C432="Senior",0.1,IF(C432="Manager",0.12,0))))</f>
        <v>0.08</v>
      </c>
      <c r="L432">
        <f>IF(Performance!E432&gt;2,0.03,IF(Performance!E432&gt;=1,0.01,-0.02))</f>
        <v>0.01</v>
      </c>
      <c r="M432">
        <f t="shared" si="13"/>
        <v>0.09</v>
      </c>
      <c r="N432">
        <f>Earnings!B432*(1+M432)</f>
        <v>421577.93750000006</v>
      </c>
    </row>
    <row r="433" spans="1:14" x14ac:dyDescent="0.35">
      <c r="A433" t="s">
        <v>464</v>
      </c>
      <c r="B433" t="s">
        <v>20</v>
      </c>
      <c r="C433" t="s">
        <v>34</v>
      </c>
      <c r="D433" t="s">
        <v>17</v>
      </c>
      <c r="E433">
        <v>12</v>
      </c>
      <c r="F433" t="s">
        <v>45</v>
      </c>
      <c r="G433">
        <f>Earnings!G433</f>
        <v>882260.28799999994</v>
      </c>
      <c r="H433">
        <f>Deductions!B433+Deductions!C433+Deductions!D433+Tax!D433</f>
        <v>10154.066666666666</v>
      </c>
      <c r="I433">
        <f t="shared" si="12"/>
        <v>872106.22133333329</v>
      </c>
      <c r="J433">
        <f>Overtime!D433</f>
        <v>0</v>
      </c>
      <c r="K433">
        <f>IF(C433="Junior",0.06,IF(C433="Mid",0.08,IF(C433="Senior",0.1,IF(C433="Manager",0.12,0))))</f>
        <v>0.08</v>
      </c>
      <c r="L433">
        <f>IF(Performance!E433&gt;2,0.03,IF(Performance!E433&gt;=1,0.01,-0.02))</f>
        <v>0.03</v>
      </c>
      <c r="M433">
        <f t="shared" si="13"/>
        <v>0.11</v>
      </c>
      <c r="N433">
        <f>Earnings!B433*(1+M433)</f>
        <v>1028685.8400000001</v>
      </c>
    </row>
    <row r="434" spans="1:14" x14ac:dyDescent="0.35">
      <c r="A434" t="s">
        <v>465</v>
      </c>
      <c r="B434" t="s">
        <v>36</v>
      </c>
      <c r="C434" t="s">
        <v>34</v>
      </c>
      <c r="D434" t="s">
        <v>17</v>
      </c>
      <c r="E434">
        <v>4</v>
      </c>
      <c r="F434" t="s">
        <v>28</v>
      </c>
      <c r="G434">
        <f>Earnings!G434</f>
        <v>824293.00800000003</v>
      </c>
      <c r="H434">
        <f>Deductions!B434+Deductions!C434+Deductions!D434+Tax!D434</f>
        <v>9139.2333333333336</v>
      </c>
      <c r="I434">
        <f t="shared" si="12"/>
        <v>815153.77466666675</v>
      </c>
      <c r="J434">
        <f>Overtime!D434</f>
        <v>0</v>
      </c>
      <c r="K434">
        <f>IF(C434="Junior",0.06,IF(C434="Mid",0.08,IF(C434="Senior",0.1,IF(C434="Manager",0.12,0))))</f>
        <v>0.08</v>
      </c>
      <c r="L434">
        <f>IF(Performance!E434&gt;2,0.03,IF(Performance!E434&gt;=1,0.01,-0.02))</f>
        <v>0.01</v>
      </c>
      <c r="M434">
        <f t="shared" si="13"/>
        <v>0.09</v>
      </c>
      <c r="N434">
        <f>Earnings!B434*(1+M434)</f>
        <v>943780.8600000001</v>
      </c>
    </row>
    <row r="435" spans="1:14" x14ac:dyDescent="0.35">
      <c r="A435" t="s">
        <v>466</v>
      </c>
      <c r="B435" t="s">
        <v>36</v>
      </c>
      <c r="C435" t="s">
        <v>16</v>
      </c>
      <c r="D435" t="s">
        <v>22</v>
      </c>
      <c r="E435">
        <v>10</v>
      </c>
      <c r="F435" t="s">
        <v>45</v>
      </c>
      <c r="G435">
        <f>Earnings!G435</f>
        <v>852061.46759999997</v>
      </c>
      <c r="H435">
        <f>Deductions!B435+Deductions!C435+Deductions!D435+Tax!D435</f>
        <v>9625.3758333333317</v>
      </c>
      <c r="I435">
        <f t="shared" si="12"/>
        <v>842436.09176666662</v>
      </c>
      <c r="J435">
        <f>Overtime!D435</f>
        <v>0</v>
      </c>
      <c r="K435">
        <f>IF(C435="Junior",0.06,IF(C435="Mid",0.08,IF(C435="Senior",0.1,IF(C435="Manager",0.12,0))))</f>
        <v>0.06</v>
      </c>
      <c r="L435">
        <f>IF(Performance!E435&gt;2,0.03,IF(Performance!E435&gt;=1,0.01,-0.02))</f>
        <v>0.01</v>
      </c>
      <c r="M435">
        <f t="shared" si="13"/>
        <v>6.9999999999999993E-2</v>
      </c>
      <c r="N435">
        <f>Earnings!B435*(1+M435)</f>
        <v>957674.12849999999</v>
      </c>
    </row>
    <row r="436" spans="1:14" x14ac:dyDescent="0.35">
      <c r="A436" t="s">
        <v>467</v>
      </c>
      <c r="B436" t="s">
        <v>30</v>
      </c>
      <c r="C436" t="s">
        <v>34</v>
      </c>
      <c r="D436" t="s">
        <v>17</v>
      </c>
      <c r="E436">
        <v>2</v>
      </c>
      <c r="F436" t="s">
        <v>25</v>
      </c>
      <c r="G436">
        <f>Earnings!G436</f>
        <v>906940.88800000004</v>
      </c>
      <c r="H436">
        <f>Deductions!B436+Deductions!C436+Deductions!D436+Tax!D436</f>
        <v>10586.15</v>
      </c>
      <c r="I436">
        <f t="shared" si="12"/>
        <v>896354.73800000001</v>
      </c>
      <c r="J436">
        <f>Overtime!D436</f>
        <v>0</v>
      </c>
      <c r="K436">
        <f>IF(C436="Junior",0.06,IF(C436="Mid",0.08,IF(C436="Senior",0.1,IF(C436="Manager",0.12,0))))</f>
        <v>0.08</v>
      </c>
      <c r="L436">
        <f>IF(Performance!E436&gt;2,0.03,IF(Performance!E436&gt;=1,0.01,-0.02))</f>
        <v>0.01</v>
      </c>
      <c r="M436">
        <f t="shared" si="13"/>
        <v>0.09</v>
      </c>
      <c r="N436">
        <f>Earnings!B436*(1+M436)</f>
        <v>1038409.2100000001</v>
      </c>
    </row>
    <row r="437" spans="1:14" x14ac:dyDescent="0.35">
      <c r="A437" t="s">
        <v>468</v>
      </c>
      <c r="B437" t="s">
        <v>36</v>
      </c>
      <c r="C437" t="s">
        <v>21</v>
      </c>
      <c r="D437" t="s">
        <v>17</v>
      </c>
      <c r="E437">
        <v>3</v>
      </c>
      <c r="F437" t="s">
        <v>18</v>
      </c>
      <c r="G437">
        <f>Earnings!G437</f>
        <v>733289.424</v>
      </c>
      <c r="H437">
        <f>Deductions!B437+Deductions!C437+Deductions!D437+Tax!D437</f>
        <v>7546.0333333333328</v>
      </c>
      <c r="I437">
        <f t="shared" si="12"/>
        <v>725743.39066666667</v>
      </c>
      <c r="J437">
        <f>Overtime!D437</f>
        <v>0</v>
      </c>
      <c r="K437">
        <f>IF(C437="Junior",0.06,IF(C437="Mid",0.08,IF(C437="Senior",0.1,IF(C437="Manager",0.12,0))))</f>
        <v>0.1</v>
      </c>
      <c r="L437">
        <f>IF(Performance!E437&gt;2,0.03,IF(Performance!E437&gt;=1,0.01,-0.02))</f>
        <v>0.01</v>
      </c>
      <c r="M437">
        <f t="shared" si="13"/>
        <v>0.11</v>
      </c>
      <c r="N437">
        <f>Earnings!B437*(1+M437)</f>
        <v>854990.82000000007</v>
      </c>
    </row>
    <row r="438" spans="1:14" x14ac:dyDescent="0.35">
      <c r="A438" t="s">
        <v>469</v>
      </c>
      <c r="B438" t="s">
        <v>15</v>
      </c>
      <c r="C438" t="s">
        <v>16</v>
      </c>
      <c r="D438" t="s">
        <v>17</v>
      </c>
      <c r="E438">
        <v>6</v>
      </c>
      <c r="F438" t="s">
        <v>28</v>
      </c>
      <c r="G438">
        <f>Earnings!G438</f>
        <v>509436.14399999997</v>
      </c>
      <c r="H438">
        <f>Deductions!B438+Deductions!C438+Deductions!D438+Tax!D438</f>
        <v>3627.0333333333338</v>
      </c>
      <c r="I438">
        <f t="shared" si="12"/>
        <v>505809.11066666665</v>
      </c>
      <c r="J438">
        <f>Overtime!D438</f>
        <v>0</v>
      </c>
      <c r="K438">
        <f>IF(C438="Junior",0.06,IF(C438="Mid",0.08,IF(C438="Senior",0.1,IF(C438="Manager",0.12,0))))</f>
        <v>0.06</v>
      </c>
      <c r="L438">
        <f>IF(Performance!E438&gt;2,0.03,IF(Performance!E438&gt;=1,0.01,-0.02))</f>
        <v>0.01</v>
      </c>
      <c r="M438">
        <f t="shared" si="13"/>
        <v>6.9999999999999993E-2</v>
      </c>
      <c r="N438">
        <f>Earnings!B438*(1+M438)</f>
        <v>572580.54</v>
      </c>
    </row>
    <row r="439" spans="1:14" x14ac:dyDescent="0.35">
      <c r="A439" t="s">
        <v>470</v>
      </c>
      <c r="B439" t="s">
        <v>30</v>
      </c>
      <c r="C439" t="s">
        <v>44</v>
      </c>
      <c r="D439" t="s">
        <v>22</v>
      </c>
      <c r="E439">
        <v>10</v>
      </c>
      <c r="F439" t="s">
        <v>28</v>
      </c>
      <c r="G439">
        <f>Earnings!G439</f>
        <v>978352.78799999994</v>
      </c>
      <c r="H439">
        <f>Deductions!B439+Deductions!C439+Deductions!D439+Tax!D439</f>
        <v>12067.0375</v>
      </c>
      <c r="I439">
        <f t="shared" si="12"/>
        <v>966285.75049999997</v>
      </c>
      <c r="J439">
        <f>Overtime!D439</f>
        <v>0</v>
      </c>
      <c r="K439">
        <f>IF(C439="Junior",0.06,IF(C439="Mid",0.08,IF(C439="Senior",0.1,IF(C439="Manager",0.12,0))))</f>
        <v>0.12</v>
      </c>
      <c r="L439">
        <f>IF(Performance!E439&gt;2,0.03,IF(Performance!E439&gt;=1,0.01,-0.02))</f>
        <v>0.01</v>
      </c>
      <c r="M439">
        <f t="shared" si="13"/>
        <v>0.13</v>
      </c>
      <c r="N439">
        <f>Earnings!B439*(1+M439)</f>
        <v>1161280.095</v>
      </c>
    </row>
    <row r="440" spans="1:14" x14ac:dyDescent="0.35">
      <c r="A440" t="s">
        <v>471</v>
      </c>
      <c r="B440" t="s">
        <v>27</v>
      </c>
      <c r="C440" t="s">
        <v>44</v>
      </c>
      <c r="D440" t="s">
        <v>22</v>
      </c>
      <c r="E440">
        <v>9</v>
      </c>
      <c r="F440" t="s">
        <v>32</v>
      </c>
      <c r="G440">
        <f>Earnings!G440</f>
        <v>678772.09679999994</v>
      </c>
      <c r="H440">
        <f>Deductions!B440+Deductions!C440+Deductions!D440+Tax!D440</f>
        <v>6591.5983333333343</v>
      </c>
      <c r="I440">
        <f t="shared" si="12"/>
        <v>761304.9859666666</v>
      </c>
      <c r="J440">
        <f>Overtime!D440</f>
        <v>89124.487500000003</v>
      </c>
      <c r="K440">
        <f>IF(C440="Junior",0.06,IF(C440="Mid",0.08,IF(C440="Senior",0.1,IF(C440="Manager",0.12,0))))</f>
        <v>0.12</v>
      </c>
      <c r="L440">
        <f>IF(Performance!E440&gt;2,0.03,IF(Performance!E440&gt;=1,0.01,-0.02))</f>
        <v>0.01</v>
      </c>
      <c r="M440">
        <f t="shared" si="13"/>
        <v>0.13</v>
      </c>
      <c r="N440">
        <f>Earnings!B440*(1+M440)</f>
        <v>805685.36699999997</v>
      </c>
    </row>
    <row r="441" spans="1:14" x14ac:dyDescent="0.35">
      <c r="A441" t="s">
        <v>472</v>
      </c>
      <c r="B441" t="s">
        <v>15</v>
      </c>
      <c r="C441" t="s">
        <v>34</v>
      </c>
      <c r="D441" t="s">
        <v>17</v>
      </c>
      <c r="E441">
        <v>2</v>
      </c>
      <c r="F441" t="s">
        <v>38</v>
      </c>
      <c r="G441">
        <f>Earnings!G441</f>
        <v>598316.76800000004</v>
      </c>
      <c r="H441">
        <f>Deductions!B441+Deductions!C441+Deductions!D441+Tax!D441</f>
        <v>5183.0666666666675</v>
      </c>
      <c r="I441">
        <f t="shared" si="12"/>
        <v>593133.70133333339</v>
      </c>
      <c r="J441">
        <f>Overtime!D441</f>
        <v>0</v>
      </c>
      <c r="K441">
        <f>IF(C441="Junior",0.06,IF(C441="Mid",0.08,IF(C441="Senior",0.1,IF(C441="Manager",0.12,0))))</f>
        <v>0.08</v>
      </c>
      <c r="L441">
        <f>IF(Performance!E441&gt;2,0.03,IF(Performance!E441&gt;=1,0.01,-0.02))</f>
        <v>0.01</v>
      </c>
      <c r="M441">
        <f t="shared" si="13"/>
        <v>0.09</v>
      </c>
      <c r="N441">
        <f>Earnings!B441*(1+M441)</f>
        <v>685047.56</v>
      </c>
    </row>
    <row r="442" spans="1:14" x14ac:dyDescent="0.35">
      <c r="A442" t="s">
        <v>473</v>
      </c>
      <c r="B442" t="s">
        <v>15</v>
      </c>
      <c r="C442" t="s">
        <v>34</v>
      </c>
      <c r="D442" t="s">
        <v>17</v>
      </c>
      <c r="E442">
        <v>6</v>
      </c>
      <c r="F442" t="s">
        <v>38</v>
      </c>
      <c r="G442">
        <f>Earnings!G442</f>
        <v>478696.06400000001</v>
      </c>
      <c r="H442">
        <f>Deductions!B442+Deductions!C442+Deductions!D442+Tax!D442</f>
        <v>3088.8666666666668</v>
      </c>
      <c r="I442">
        <f t="shared" si="12"/>
        <v>475607.19733333337</v>
      </c>
      <c r="J442">
        <f>Overtime!D442</f>
        <v>0</v>
      </c>
      <c r="K442">
        <f>IF(C442="Junior",0.06,IF(C442="Mid",0.08,IF(C442="Senior",0.1,IF(C442="Manager",0.12,0))))</f>
        <v>0.08</v>
      </c>
      <c r="L442">
        <f>IF(Performance!E442&gt;2,0.03,IF(Performance!E442&gt;=1,0.01,-0.02))</f>
        <v>0.01</v>
      </c>
      <c r="M442">
        <f t="shared" si="13"/>
        <v>0.09</v>
      </c>
      <c r="N442">
        <f>Earnings!B442*(1+M442)</f>
        <v>548086.88</v>
      </c>
    </row>
    <row r="443" spans="1:14" x14ac:dyDescent="0.35">
      <c r="A443" t="s">
        <v>474</v>
      </c>
      <c r="B443" t="s">
        <v>30</v>
      </c>
      <c r="C443" t="s">
        <v>16</v>
      </c>
      <c r="D443" t="s">
        <v>17</v>
      </c>
      <c r="E443">
        <v>8</v>
      </c>
      <c r="F443" t="s">
        <v>23</v>
      </c>
      <c r="G443">
        <f>Earnings!G443</f>
        <v>1237603.808</v>
      </c>
      <c r="H443">
        <f>Deductions!B443+Deductions!C443+Deductions!D443+Tax!D443</f>
        <v>18875.100000000002</v>
      </c>
      <c r="I443">
        <f t="shared" si="12"/>
        <v>1218728.7079999999</v>
      </c>
      <c r="J443">
        <f>Overtime!D443</f>
        <v>0</v>
      </c>
      <c r="K443">
        <f>IF(C443="Junior",0.06,IF(C443="Mid",0.08,IF(C443="Senior",0.1,IF(C443="Manager",0.12,0))))</f>
        <v>0.06</v>
      </c>
      <c r="L443">
        <f>IF(Performance!E443&gt;2,0.03,IF(Performance!E443&gt;=1,0.01,-0.02))</f>
        <v>0.01</v>
      </c>
      <c r="M443">
        <f t="shared" si="13"/>
        <v>6.9999999999999993E-2</v>
      </c>
      <c r="N443">
        <f>Earnings!B443*(1+M443)</f>
        <v>1391004.28</v>
      </c>
    </row>
    <row r="444" spans="1:14" x14ac:dyDescent="0.35">
      <c r="A444" t="s">
        <v>475</v>
      </c>
      <c r="B444" t="s">
        <v>20</v>
      </c>
      <c r="C444" t="s">
        <v>21</v>
      </c>
      <c r="D444" t="s">
        <v>17</v>
      </c>
      <c r="E444">
        <v>15</v>
      </c>
      <c r="F444" t="s">
        <v>25</v>
      </c>
      <c r="G444">
        <f>Earnings!G444</f>
        <v>1282991.3600000001</v>
      </c>
      <c r="H444">
        <f>Deductions!B444+Deductions!C444+Deductions!D444+Tax!D444</f>
        <v>20067</v>
      </c>
      <c r="I444">
        <f t="shared" si="12"/>
        <v>1262924.3600000001</v>
      </c>
      <c r="J444">
        <f>Overtime!D444</f>
        <v>0</v>
      </c>
      <c r="K444">
        <f>IF(C444="Junior",0.06,IF(C444="Mid",0.08,IF(C444="Senior",0.1,IF(C444="Manager",0.12,0))))</f>
        <v>0.1</v>
      </c>
      <c r="L444">
        <f>IF(Performance!E444&gt;2,0.03,IF(Performance!E444&gt;=1,0.01,-0.02))</f>
        <v>0.03</v>
      </c>
      <c r="M444">
        <f t="shared" si="13"/>
        <v>0.13</v>
      </c>
      <c r="N444">
        <f>Earnings!B444*(1+M444)</f>
        <v>1522878.4</v>
      </c>
    </row>
    <row r="445" spans="1:14" x14ac:dyDescent="0.35">
      <c r="A445" t="s">
        <v>476</v>
      </c>
      <c r="B445" t="s">
        <v>20</v>
      </c>
      <c r="C445" t="s">
        <v>44</v>
      </c>
      <c r="D445" t="s">
        <v>22</v>
      </c>
      <c r="E445">
        <v>11</v>
      </c>
      <c r="F445" t="s">
        <v>32</v>
      </c>
      <c r="G445">
        <f>Earnings!G445</f>
        <v>751040.89199999988</v>
      </c>
      <c r="H445">
        <f>Deductions!B445+Deductions!C445+Deductions!D445+Tax!D445</f>
        <v>7856.8083333333343</v>
      </c>
      <c r="I445">
        <f t="shared" si="12"/>
        <v>743184.08366666653</v>
      </c>
      <c r="J445">
        <f>Overtime!D445</f>
        <v>0</v>
      </c>
      <c r="K445">
        <f>IF(C445="Junior",0.06,IF(C445="Mid",0.08,IF(C445="Senior",0.1,IF(C445="Manager",0.12,0))))</f>
        <v>0.12</v>
      </c>
      <c r="L445">
        <f>IF(Performance!E445&gt;2,0.03,IF(Performance!E445&gt;=1,0.01,-0.02))</f>
        <v>0.03</v>
      </c>
      <c r="M445">
        <f t="shared" si="13"/>
        <v>0.15</v>
      </c>
      <c r="N445">
        <f>Earnings!B445*(1+M445)</f>
        <v>907244.77499999991</v>
      </c>
    </row>
    <row r="446" spans="1:14" x14ac:dyDescent="0.35">
      <c r="A446" t="s">
        <v>477</v>
      </c>
      <c r="B446" t="s">
        <v>36</v>
      </c>
      <c r="C446" t="s">
        <v>21</v>
      </c>
      <c r="D446" t="s">
        <v>22</v>
      </c>
      <c r="E446">
        <v>1</v>
      </c>
      <c r="F446" t="s">
        <v>28</v>
      </c>
      <c r="G446">
        <f>Earnings!G446</f>
        <v>920059.68599999999</v>
      </c>
      <c r="H446">
        <f>Deductions!B446+Deductions!C446+Deductions!D446+Tax!D446</f>
        <v>10815.820833333333</v>
      </c>
      <c r="I446">
        <f t="shared" si="12"/>
        <v>909243.86516666668</v>
      </c>
      <c r="J446">
        <f>Overtime!D446</f>
        <v>0</v>
      </c>
      <c r="K446">
        <f>IF(C446="Junior",0.06,IF(C446="Mid",0.08,IF(C446="Senior",0.1,IF(C446="Manager",0.12,0))))</f>
        <v>0.1</v>
      </c>
      <c r="L446">
        <f>IF(Performance!E446&gt;2,0.03,IF(Performance!E446&gt;=1,0.01,-0.02))</f>
        <v>0.01</v>
      </c>
      <c r="M446">
        <f t="shared" si="13"/>
        <v>0.11</v>
      </c>
      <c r="N446">
        <f>Earnings!B446*(1+M446)</f>
        <v>1072758.6675</v>
      </c>
    </row>
    <row r="447" spans="1:14" x14ac:dyDescent="0.35">
      <c r="A447" t="s">
        <v>478</v>
      </c>
      <c r="B447" t="s">
        <v>36</v>
      </c>
      <c r="C447" t="s">
        <v>21</v>
      </c>
      <c r="D447" t="s">
        <v>22</v>
      </c>
      <c r="E447">
        <v>15</v>
      </c>
      <c r="F447" t="s">
        <v>28</v>
      </c>
      <c r="G447">
        <f>Earnings!G447</f>
        <v>1223311.3367999999</v>
      </c>
      <c r="H447">
        <f>Deductions!B447+Deductions!C447+Deductions!D447+Tax!D447</f>
        <v>18499.772499999995</v>
      </c>
      <c r="I447">
        <f t="shared" si="12"/>
        <v>1275486.0637999999</v>
      </c>
      <c r="J447">
        <f>Overtime!D447</f>
        <v>70674.499500000005</v>
      </c>
      <c r="K447">
        <f>IF(C447="Junior",0.06,IF(C447="Mid",0.08,IF(C447="Senior",0.1,IF(C447="Manager",0.12,0))))</f>
        <v>0.1</v>
      </c>
      <c r="L447">
        <f>IF(Performance!E447&gt;2,0.03,IF(Performance!E447&gt;=1,0.01,-0.02))</f>
        <v>0.01</v>
      </c>
      <c r="M447">
        <f t="shared" si="13"/>
        <v>0.11</v>
      </c>
      <c r="N447">
        <f>Earnings!B447*(1+M447)</f>
        <v>1426339.899</v>
      </c>
    </row>
    <row r="448" spans="1:14" x14ac:dyDescent="0.35">
      <c r="A448" t="s">
        <v>479</v>
      </c>
      <c r="B448" t="s">
        <v>20</v>
      </c>
      <c r="C448" t="s">
        <v>21</v>
      </c>
      <c r="D448" t="s">
        <v>22</v>
      </c>
      <c r="E448">
        <v>10</v>
      </c>
      <c r="F448" t="s">
        <v>38</v>
      </c>
      <c r="G448">
        <f>Earnings!G448</f>
        <v>848313.63399999985</v>
      </c>
      <c r="H448">
        <f>Deductions!B448+Deductions!C448+Deductions!D448+Tax!D448</f>
        <v>9559.7625000000007</v>
      </c>
      <c r="I448">
        <f t="shared" si="12"/>
        <v>838753.87149999989</v>
      </c>
      <c r="J448">
        <f>Overtime!D448</f>
        <v>0</v>
      </c>
      <c r="K448">
        <f>IF(C448="Junior",0.06,IF(C448="Mid",0.08,IF(C448="Senior",0.1,IF(C448="Manager",0.12,0))))</f>
        <v>0.1</v>
      </c>
      <c r="L448">
        <f>IF(Performance!E448&gt;2,0.03,IF(Performance!E448&gt;=1,0.01,-0.02))</f>
        <v>0.03</v>
      </c>
      <c r="M448">
        <f t="shared" si="13"/>
        <v>0.13</v>
      </c>
      <c r="N448">
        <f>Earnings!B448*(1+M448)</f>
        <v>1006926.8975</v>
      </c>
    </row>
    <row r="449" spans="1:14" x14ac:dyDescent="0.35">
      <c r="A449" t="s">
        <v>480</v>
      </c>
      <c r="B449" t="s">
        <v>20</v>
      </c>
      <c r="C449" t="s">
        <v>44</v>
      </c>
      <c r="D449" t="s">
        <v>17</v>
      </c>
      <c r="E449">
        <v>12</v>
      </c>
      <c r="F449" t="s">
        <v>28</v>
      </c>
      <c r="G449">
        <f>Earnings!G449</f>
        <v>1120748.6640000001</v>
      </c>
      <c r="H449">
        <f>Deductions!B449+Deductions!C449+Deductions!D449+Tax!D449</f>
        <v>15806.425000000001</v>
      </c>
      <c r="I449">
        <f t="shared" si="12"/>
        <v>1104942.2390000001</v>
      </c>
      <c r="J449">
        <f>Overtime!D449</f>
        <v>0</v>
      </c>
      <c r="K449">
        <f>IF(C449="Junior",0.06,IF(C449="Mid",0.08,IF(C449="Senior",0.1,IF(C449="Manager",0.12,0))))</f>
        <v>0.12</v>
      </c>
      <c r="L449">
        <f>IF(Performance!E449&gt;2,0.03,IF(Performance!E449&gt;=1,0.01,-0.02))</f>
        <v>0.03</v>
      </c>
      <c r="M449">
        <f t="shared" si="13"/>
        <v>0.15</v>
      </c>
      <c r="N449">
        <f>Earnings!B449*(1+M449)</f>
        <v>1353845.5499999998</v>
      </c>
    </row>
    <row r="450" spans="1:14" x14ac:dyDescent="0.35">
      <c r="A450" t="s">
        <v>481</v>
      </c>
      <c r="B450" t="s">
        <v>27</v>
      </c>
      <c r="C450" t="s">
        <v>44</v>
      </c>
      <c r="D450" t="s">
        <v>17</v>
      </c>
      <c r="E450">
        <v>14</v>
      </c>
      <c r="F450" t="s">
        <v>45</v>
      </c>
      <c r="G450">
        <f>Earnings!G450</f>
        <v>763973.33600000001</v>
      </c>
      <c r="H450">
        <f>Deductions!B450+Deductions!C450+Deductions!D450+Tax!D450</f>
        <v>8083.2166666666672</v>
      </c>
      <c r="I450">
        <f t="shared" ref="I450:I513" si="14">G450-H450+J450</f>
        <v>876264.06933333329</v>
      </c>
      <c r="J450">
        <f>Overtime!D450</f>
        <v>120373.95000000001</v>
      </c>
      <c r="K450">
        <f>IF(C450="Junior",0.06,IF(C450="Mid",0.08,IF(C450="Senior",0.1,IF(C450="Manager",0.12,0))))</f>
        <v>0.12</v>
      </c>
      <c r="L450">
        <f>IF(Performance!E450&gt;2,0.03,IF(Performance!E450&gt;=1,0.01,-0.02))</f>
        <v>0.01</v>
      </c>
      <c r="M450">
        <f t="shared" ref="M450:M513" si="15">K450+L450</f>
        <v>0.13</v>
      </c>
      <c r="N450">
        <f>Earnings!B450*(1+M450)</f>
        <v>906817.09</v>
      </c>
    </row>
    <row r="451" spans="1:14" x14ac:dyDescent="0.35">
      <c r="A451" t="s">
        <v>482</v>
      </c>
      <c r="B451" t="s">
        <v>15</v>
      </c>
      <c r="C451" t="s">
        <v>16</v>
      </c>
      <c r="D451" t="s">
        <v>22</v>
      </c>
      <c r="E451">
        <v>7</v>
      </c>
      <c r="F451" t="s">
        <v>18</v>
      </c>
      <c r="G451">
        <f>Earnings!G451</f>
        <v>569009.59080000001</v>
      </c>
      <c r="H451">
        <f>Deductions!B451+Deductions!C451+Deductions!D451+Tax!D451</f>
        <v>4669.9858333333341</v>
      </c>
      <c r="I451">
        <f t="shared" si="14"/>
        <v>564339.60496666667</v>
      </c>
      <c r="J451">
        <f>Overtime!D451</f>
        <v>0</v>
      </c>
      <c r="K451">
        <f>IF(C451="Junior",0.06,IF(C451="Mid",0.08,IF(C451="Senior",0.1,IF(C451="Manager",0.12,0))))</f>
        <v>0.06</v>
      </c>
      <c r="L451">
        <f>IF(Performance!E451&gt;2,0.03,IF(Performance!E451&gt;=1,0.01,-0.02))</f>
        <v>0.01</v>
      </c>
      <c r="M451">
        <f t="shared" si="15"/>
        <v>6.9999999999999993E-2</v>
      </c>
      <c r="N451">
        <f>Earnings!B451*(1+M451)</f>
        <v>639538.09050000005</v>
      </c>
    </row>
    <row r="452" spans="1:14" x14ac:dyDescent="0.35">
      <c r="A452" t="s">
        <v>483</v>
      </c>
      <c r="B452" t="s">
        <v>20</v>
      </c>
      <c r="C452" t="s">
        <v>34</v>
      </c>
      <c r="D452" t="s">
        <v>22</v>
      </c>
      <c r="E452">
        <v>10</v>
      </c>
      <c r="F452" t="s">
        <v>23</v>
      </c>
      <c r="G452">
        <f>Earnings!G452</f>
        <v>991240.48800000001</v>
      </c>
      <c r="H452">
        <f>Deductions!B452+Deductions!C452+Deductions!D452+Tax!D452</f>
        <v>12405.475</v>
      </c>
      <c r="I452">
        <f t="shared" si="14"/>
        <v>1051720.3430000001</v>
      </c>
      <c r="J452">
        <f>Overtime!D452</f>
        <v>72885.329999999987</v>
      </c>
      <c r="K452">
        <f>IF(C452="Junior",0.06,IF(C452="Mid",0.08,IF(C452="Senior",0.1,IF(C452="Manager",0.12,0))))</f>
        <v>0.08</v>
      </c>
      <c r="L452">
        <f>IF(Performance!E452&gt;2,0.03,IF(Performance!E452&gt;=1,0.01,-0.02))</f>
        <v>0.03</v>
      </c>
      <c r="M452">
        <f t="shared" si="15"/>
        <v>0.11</v>
      </c>
      <c r="N452">
        <f>Earnings!B452*(1+M452)</f>
        <v>1155753.0900000001</v>
      </c>
    </row>
    <row r="453" spans="1:14" x14ac:dyDescent="0.35">
      <c r="A453" t="s">
        <v>484</v>
      </c>
      <c r="B453" t="s">
        <v>30</v>
      </c>
      <c r="C453" t="s">
        <v>16</v>
      </c>
      <c r="D453" t="s">
        <v>22</v>
      </c>
      <c r="E453">
        <v>14</v>
      </c>
      <c r="F453" t="s">
        <v>18</v>
      </c>
      <c r="G453">
        <f>Earnings!G453</f>
        <v>1451182.152</v>
      </c>
      <c r="H453">
        <f>Deductions!B453+Deductions!C453+Deductions!D453+Tax!D453</f>
        <v>24483.774999999998</v>
      </c>
      <c r="I453">
        <f t="shared" si="14"/>
        <v>1426698.3770000001</v>
      </c>
      <c r="J453">
        <f>Overtime!D453</f>
        <v>0</v>
      </c>
      <c r="K453">
        <f>IF(C453="Junior",0.06,IF(C453="Mid",0.08,IF(C453="Senior",0.1,IF(C453="Manager",0.12,0))))</f>
        <v>0.06</v>
      </c>
      <c r="L453">
        <f>IF(Performance!E453&gt;2,0.03,IF(Performance!E453&gt;=1,0.01,-0.02))</f>
        <v>0.01</v>
      </c>
      <c r="M453">
        <f t="shared" si="15"/>
        <v>6.9999999999999993E-2</v>
      </c>
      <c r="N453">
        <f>Earnings!B453*(1+M453)</f>
        <v>1631055.57</v>
      </c>
    </row>
    <row r="454" spans="1:14" x14ac:dyDescent="0.35">
      <c r="A454" t="s">
        <v>485</v>
      </c>
      <c r="B454" t="s">
        <v>30</v>
      </c>
      <c r="C454" t="s">
        <v>16</v>
      </c>
      <c r="D454" t="s">
        <v>22</v>
      </c>
      <c r="E454">
        <v>1</v>
      </c>
      <c r="F454" t="s">
        <v>45</v>
      </c>
      <c r="G454">
        <f>Earnings!G454</f>
        <v>931040.91079999995</v>
      </c>
      <c r="H454">
        <f>Deductions!B454+Deductions!C454+Deductions!D454+Tax!D454</f>
        <v>11008.069166666666</v>
      </c>
      <c r="I454">
        <f t="shared" si="14"/>
        <v>1066730.4641333332</v>
      </c>
      <c r="J454">
        <f>Overtime!D454</f>
        <v>146697.62249999997</v>
      </c>
      <c r="K454">
        <f>IF(C454="Junior",0.06,IF(C454="Mid",0.08,IF(C454="Senior",0.1,IF(C454="Manager",0.12,0))))</f>
        <v>0.06</v>
      </c>
      <c r="L454">
        <f>IF(Performance!E454&gt;2,0.03,IF(Performance!E454&gt;=1,0.01,-0.02))</f>
        <v>0.01</v>
      </c>
      <c r="M454">
        <f t="shared" si="15"/>
        <v>6.9999999999999993E-2</v>
      </c>
      <c r="N454">
        <f>Earnings!B454*(1+M454)</f>
        <v>1046443.0405</v>
      </c>
    </row>
    <row r="455" spans="1:14" x14ac:dyDescent="0.35">
      <c r="A455" t="s">
        <v>486</v>
      </c>
      <c r="B455" t="s">
        <v>20</v>
      </c>
      <c r="C455" t="s">
        <v>16</v>
      </c>
      <c r="D455" t="s">
        <v>22</v>
      </c>
      <c r="E455">
        <v>4</v>
      </c>
      <c r="F455" t="s">
        <v>25</v>
      </c>
      <c r="G455">
        <f>Earnings!G455</f>
        <v>585785.30639999988</v>
      </c>
      <c r="H455">
        <f>Deductions!B455+Deductions!C455+Deductions!D455+Tax!D455</f>
        <v>4963.6783333333333</v>
      </c>
      <c r="I455">
        <f t="shared" si="14"/>
        <v>648506.90506666654</v>
      </c>
      <c r="J455">
        <f>Overtime!D455</f>
        <v>67685.277000000002</v>
      </c>
      <c r="K455">
        <f>IF(C455="Junior",0.06,IF(C455="Mid",0.08,IF(C455="Senior",0.1,IF(C455="Manager",0.12,0))))</f>
        <v>0.06</v>
      </c>
      <c r="L455">
        <f>IF(Performance!E455&gt;2,0.03,IF(Performance!E455&gt;=1,0.01,-0.02))</f>
        <v>0.03</v>
      </c>
      <c r="M455">
        <f t="shared" si="15"/>
        <v>0.09</v>
      </c>
      <c r="N455">
        <f>Earnings!B455*(1+M455)</f>
        <v>670699.56299999997</v>
      </c>
    </row>
    <row r="456" spans="1:14" x14ac:dyDescent="0.35">
      <c r="A456" t="s">
        <v>487</v>
      </c>
      <c r="B456" t="s">
        <v>15</v>
      </c>
      <c r="C456" t="s">
        <v>44</v>
      </c>
      <c r="D456" t="s">
        <v>22</v>
      </c>
      <c r="E456">
        <v>0</v>
      </c>
      <c r="F456" t="s">
        <v>28</v>
      </c>
      <c r="G456">
        <f>Earnings!G456</f>
        <v>285374.37599999999</v>
      </c>
      <c r="H456">
        <f>Deductions!B456+Deductions!C456+Deductions!D456+Tax!D456</f>
        <v>2207.3458333333333</v>
      </c>
      <c r="I456">
        <f t="shared" si="14"/>
        <v>290661.10516666668</v>
      </c>
      <c r="J456">
        <f>Overtime!D456</f>
        <v>7494.0750000000007</v>
      </c>
      <c r="K456">
        <f>IF(C456="Junior",0.06,IF(C456="Mid",0.08,IF(C456="Senior",0.1,IF(C456="Manager",0.12,0))))</f>
        <v>0.12</v>
      </c>
      <c r="L456">
        <f>IF(Performance!E456&gt;2,0.03,IF(Performance!E456&gt;=1,0.01,-0.02))</f>
        <v>0.01</v>
      </c>
      <c r="M456">
        <f t="shared" si="15"/>
        <v>0.13</v>
      </c>
      <c r="N456">
        <f>Earnings!B456*(1+M456)</f>
        <v>338732.18999999994</v>
      </c>
    </row>
    <row r="457" spans="1:14" x14ac:dyDescent="0.35">
      <c r="A457" t="s">
        <v>488</v>
      </c>
      <c r="B457" t="s">
        <v>20</v>
      </c>
      <c r="C457" t="s">
        <v>16</v>
      </c>
      <c r="D457" t="s">
        <v>17</v>
      </c>
      <c r="E457">
        <v>0</v>
      </c>
      <c r="F457" t="s">
        <v>38</v>
      </c>
      <c r="G457">
        <f>Earnings!G457</f>
        <v>636044.52800000005</v>
      </c>
      <c r="H457">
        <f>Deductions!B457+Deductions!C457+Deductions!D457+Tax!D457</f>
        <v>5843.5666666666675</v>
      </c>
      <c r="I457">
        <f t="shared" si="14"/>
        <v>713715.2113333334</v>
      </c>
      <c r="J457">
        <f>Overtime!D457</f>
        <v>83514.25</v>
      </c>
      <c r="K457">
        <f>IF(C457="Junior",0.06,IF(C457="Mid",0.08,IF(C457="Senior",0.1,IF(C457="Manager",0.12,0))))</f>
        <v>0.06</v>
      </c>
      <c r="L457">
        <f>IF(Performance!E457&gt;2,0.03,IF(Performance!E457&gt;=1,0.01,-0.02))</f>
        <v>0.03</v>
      </c>
      <c r="M457">
        <f t="shared" si="15"/>
        <v>0.09</v>
      </c>
      <c r="N457">
        <f>Earnings!B457*(1+M457)</f>
        <v>728244.26</v>
      </c>
    </row>
    <row r="458" spans="1:14" x14ac:dyDescent="0.35">
      <c r="A458" t="s">
        <v>489</v>
      </c>
      <c r="B458" t="s">
        <v>15</v>
      </c>
      <c r="C458" t="s">
        <v>34</v>
      </c>
      <c r="D458" t="s">
        <v>22</v>
      </c>
      <c r="E458">
        <v>15</v>
      </c>
      <c r="F458" t="s">
        <v>32</v>
      </c>
      <c r="G458">
        <f>Earnings!G458</f>
        <v>834912.23479999986</v>
      </c>
      <c r="H458">
        <f>Deductions!B458+Deductions!C458+Deductions!D458+Tax!D458</f>
        <v>9325.1441666666651</v>
      </c>
      <c r="I458">
        <f t="shared" si="14"/>
        <v>865052.4798833332</v>
      </c>
      <c r="J458">
        <f>Overtime!D458</f>
        <v>39465.389250000007</v>
      </c>
      <c r="K458">
        <f>IF(C458="Junior",0.06,IF(C458="Mid",0.08,IF(C458="Senior",0.1,IF(C458="Manager",0.12,0))))</f>
        <v>0.08</v>
      </c>
      <c r="L458">
        <f>IF(Performance!E458&gt;2,0.03,IF(Performance!E458&gt;=1,0.01,-0.02))</f>
        <v>0.01</v>
      </c>
      <c r="M458">
        <f t="shared" si="15"/>
        <v>0.09</v>
      </c>
      <c r="N458">
        <f>Earnings!B458*(1+M458)</f>
        <v>955939.42849999992</v>
      </c>
    </row>
    <row r="459" spans="1:14" x14ac:dyDescent="0.35">
      <c r="A459" t="s">
        <v>490</v>
      </c>
      <c r="B459" t="s">
        <v>15</v>
      </c>
      <c r="C459" t="s">
        <v>21</v>
      </c>
      <c r="D459" t="s">
        <v>17</v>
      </c>
      <c r="E459">
        <v>0</v>
      </c>
      <c r="F459" t="s">
        <v>23</v>
      </c>
      <c r="G459">
        <f>Earnings!G459</f>
        <v>433801.64799999999</v>
      </c>
      <c r="H459">
        <f>Deductions!B459+Deductions!C459+Deductions!D459+Tax!D459</f>
        <v>2856.9749999999999</v>
      </c>
      <c r="I459">
        <f t="shared" si="14"/>
        <v>460563.48300000001</v>
      </c>
      <c r="J459">
        <f>Overtime!D459</f>
        <v>29618.809999999998</v>
      </c>
      <c r="K459">
        <f>IF(C459="Junior",0.06,IF(C459="Mid",0.08,IF(C459="Senior",0.1,IF(C459="Manager",0.12,0))))</f>
        <v>0.1</v>
      </c>
      <c r="L459">
        <f>IF(Performance!E459&gt;2,0.03,IF(Performance!E459&gt;=1,0.01,-0.02))</f>
        <v>0.01</v>
      </c>
      <c r="M459">
        <f t="shared" si="15"/>
        <v>0.11</v>
      </c>
      <c r="N459">
        <f>Earnings!B459*(1+M459)</f>
        <v>505798.14000000007</v>
      </c>
    </row>
    <row r="460" spans="1:14" x14ac:dyDescent="0.35">
      <c r="A460" t="s">
        <v>491</v>
      </c>
      <c r="B460" t="s">
        <v>27</v>
      </c>
      <c r="C460" t="s">
        <v>16</v>
      </c>
      <c r="D460" t="s">
        <v>17</v>
      </c>
      <c r="E460">
        <v>3</v>
      </c>
      <c r="F460" t="s">
        <v>23</v>
      </c>
      <c r="G460">
        <f>Earnings!G460</f>
        <v>584654.61600000004</v>
      </c>
      <c r="H460">
        <f>Deductions!B460+Deductions!C460+Deductions!D460+Tax!D460</f>
        <v>4943.8833333333332</v>
      </c>
      <c r="I460">
        <f t="shared" si="14"/>
        <v>579710.73266666674</v>
      </c>
      <c r="J460">
        <f>Overtime!D460</f>
        <v>0</v>
      </c>
      <c r="K460">
        <f>IF(C460="Junior",0.06,IF(C460="Mid",0.08,IF(C460="Senior",0.1,IF(C460="Manager",0.12,0))))</f>
        <v>0.06</v>
      </c>
      <c r="L460">
        <f>IF(Performance!E460&gt;2,0.03,IF(Performance!E460&gt;=1,0.01,-0.02))</f>
        <v>0.01</v>
      </c>
      <c r="M460">
        <f t="shared" si="15"/>
        <v>6.9999999999999993E-2</v>
      </c>
      <c r="N460">
        <f>Earnings!B460*(1+M460)</f>
        <v>657122.31000000006</v>
      </c>
    </row>
    <row r="461" spans="1:14" x14ac:dyDescent="0.35">
      <c r="A461" t="s">
        <v>492</v>
      </c>
      <c r="B461" t="s">
        <v>15</v>
      </c>
      <c r="C461" t="s">
        <v>44</v>
      </c>
      <c r="D461" t="s">
        <v>22</v>
      </c>
      <c r="E461">
        <v>15</v>
      </c>
      <c r="F461" t="s">
        <v>18</v>
      </c>
      <c r="G461">
        <f>Earnings!G461</f>
        <v>796920.19959999993</v>
      </c>
      <c r="H461">
        <f>Deductions!B461+Deductions!C461+Deductions!D461+Tax!D461</f>
        <v>8660.0174999999981</v>
      </c>
      <c r="I461">
        <f t="shared" si="14"/>
        <v>892897.81334999995</v>
      </c>
      <c r="J461">
        <f>Overtime!D461</f>
        <v>104637.63125000001</v>
      </c>
      <c r="K461">
        <f>IF(C461="Junior",0.06,IF(C461="Mid",0.08,IF(C461="Senior",0.1,IF(C461="Manager",0.12,0))))</f>
        <v>0.12</v>
      </c>
      <c r="L461">
        <f>IF(Performance!E461&gt;2,0.03,IF(Performance!E461&gt;=1,0.01,-0.02))</f>
        <v>0.01</v>
      </c>
      <c r="M461">
        <f t="shared" si="15"/>
        <v>0.13</v>
      </c>
      <c r="N461">
        <f>Earnings!B461*(1+M461)</f>
        <v>945924.18649999984</v>
      </c>
    </row>
    <row r="462" spans="1:14" x14ac:dyDescent="0.35">
      <c r="A462" t="s">
        <v>493</v>
      </c>
      <c r="B462" t="s">
        <v>27</v>
      </c>
      <c r="C462" t="s">
        <v>21</v>
      </c>
      <c r="D462" t="s">
        <v>22</v>
      </c>
      <c r="E462">
        <v>5</v>
      </c>
      <c r="F462" t="s">
        <v>38</v>
      </c>
      <c r="G462">
        <f>Earnings!G462</f>
        <v>472757.01199999999</v>
      </c>
      <c r="H462">
        <f>Deductions!B462+Deductions!C462+Deductions!D462+Tax!D462</f>
        <v>3027.4729166666666</v>
      </c>
      <c r="I462">
        <f t="shared" si="14"/>
        <v>526837.79158333328</v>
      </c>
      <c r="J462">
        <f>Overtime!D462</f>
        <v>57108.252499999995</v>
      </c>
      <c r="K462">
        <f>IF(C462="Junior",0.06,IF(C462="Mid",0.08,IF(C462="Senior",0.1,IF(C462="Manager",0.12,0))))</f>
        <v>0.1</v>
      </c>
      <c r="L462">
        <f>IF(Performance!E462&gt;2,0.03,IF(Performance!E462&gt;=1,0.01,-0.02))</f>
        <v>0.01</v>
      </c>
      <c r="M462">
        <f t="shared" si="15"/>
        <v>0.11</v>
      </c>
      <c r="N462">
        <f>Earnings!B462*(1+M462)</f>
        <v>551218.78500000003</v>
      </c>
    </row>
    <row r="463" spans="1:14" x14ac:dyDescent="0.35">
      <c r="A463" t="s">
        <v>494</v>
      </c>
      <c r="B463" t="s">
        <v>30</v>
      </c>
      <c r="C463" t="s">
        <v>34</v>
      </c>
      <c r="D463" t="s">
        <v>22</v>
      </c>
      <c r="E463">
        <v>11</v>
      </c>
      <c r="F463" t="s">
        <v>28</v>
      </c>
      <c r="G463">
        <f>Earnings!G463</f>
        <v>941228.97679999995</v>
      </c>
      <c r="H463">
        <f>Deductions!B463+Deductions!C463+Deductions!D463+Tax!D463</f>
        <v>11186.431666666665</v>
      </c>
      <c r="I463">
        <f t="shared" si="14"/>
        <v>1028911.1351333333</v>
      </c>
      <c r="J463">
        <f>Overtime!D463</f>
        <v>98868.59</v>
      </c>
      <c r="K463">
        <f>IF(C463="Junior",0.06,IF(C463="Mid",0.08,IF(C463="Senior",0.1,IF(C463="Manager",0.12,0))))</f>
        <v>0.08</v>
      </c>
      <c r="L463">
        <f>IF(Performance!E463&gt;2,0.03,IF(Performance!E463&gt;=1,0.01,-0.02))</f>
        <v>0.01</v>
      </c>
      <c r="M463">
        <f t="shared" si="15"/>
        <v>0.09</v>
      </c>
      <c r="N463">
        <f>Earnings!B463*(1+M463)</f>
        <v>1077667.6310000001</v>
      </c>
    </row>
    <row r="464" spans="1:14" x14ac:dyDescent="0.35">
      <c r="A464" t="s">
        <v>495</v>
      </c>
      <c r="B464" t="s">
        <v>30</v>
      </c>
      <c r="C464" t="s">
        <v>34</v>
      </c>
      <c r="D464" t="s">
        <v>22</v>
      </c>
      <c r="E464">
        <v>14</v>
      </c>
      <c r="F464" t="s">
        <v>32</v>
      </c>
      <c r="G464">
        <f>Earnings!G464</f>
        <v>1255262.8844000001</v>
      </c>
      <c r="H464">
        <f>Deductions!B464+Deductions!C464+Deductions!D464+Tax!D464</f>
        <v>19338.836249999997</v>
      </c>
      <c r="I464">
        <f t="shared" si="14"/>
        <v>1387557.6949000002</v>
      </c>
      <c r="J464">
        <f>Overtime!D464</f>
        <v>151633.64674999999</v>
      </c>
      <c r="K464">
        <f>IF(C464="Junior",0.06,IF(C464="Mid",0.08,IF(C464="Senior",0.1,IF(C464="Manager",0.12,0))))</f>
        <v>0.08</v>
      </c>
      <c r="L464">
        <f>IF(Performance!E464&gt;2,0.03,IF(Performance!E464&gt;=1,0.01,-0.02))</f>
        <v>0.01</v>
      </c>
      <c r="M464">
        <f t="shared" si="15"/>
        <v>0.09</v>
      </c>
      <c r="N464">
        <f>Earnings!B464*(1+M464)</f>
        <v>1437223.2605000001</v>
      </c>
    </row>
    <row r="465" spans="1:14" x14ac:dyDescent="0.35">
      <c r="A465" t="s">
        <v>496</v>
      </c>
      <c r="B465" t="s">
        <v>20</v>
      </c>
      <c r="C465" t="s">
        <v>44</v>
      </c>
      <c r="D465" t="s">
        <v>22</v>
      </c>
      <c r="E465">
        <v>14</v>
      </c>
      <c r="F465" t="s">
        <v>25</v>
      </c>
      <c r="G465">
        <f>Earnings!G465</f>
        <v>853492.22839999991</v>
      </c>
      <c r="H465">
        <f>Deductions!B465+Deductions!C465+Deductions!D465+Tax!D465</f>
        <v>9650.4241666666676</v>
      </c>
      <c r="I465">
        <f t="shared" si="14"/>
        <v>843841.80423333321</v>
      </c>
      <c r="J465">
        <f>Overtime!D465</f>
        <v>0</v>
      </c>
      <c r="K465">
        <f>IF(C465="Junior",0.06,IF(C465="Mid",0.08,IF(C465="Senior",0.1,IF(C465="Manager",0.12,0))))</f>
        <v>0.12</v>
      </c>
      <c r="L465">
        <f>IF(Performance!E465&gt;2,0.03,IF(Performance!E465&gt;=1,0.01,-0.02))</f>
        <v>0.03</v>
      </c>
      <c r="M465">
        <f t="shared" si="15"/>
        <v>0.15</v>
      </c>
      <c r="N465">
        <f>Earnings!B465*(1+M465)</f>
        <v>1031004.2674999998</v>
      </c>
    </row>
    <row r="466" spans="1:14" x14ac:dyDescent="0.35">
      <c r="A466" t="s">
        <v>497</v>
      </c>
      <c r="B466" t="s">
        <v>27</v>
      </c>
      <c r="C466" t="s">
        <v>34</v>
      </c>
      <c r="D466" t="s">
        <v>17</v>
      </c>
      <c r="E466">
        <v>6</v>
      </c>
      <c r="F466" t="s">
        <v>18</v>
      </c>
      <c r="G466">
        <f>Earnings!G466</f>
        <v>754959.8</v>
      </c>
      <c r="H466">
        <f>Deductions!B466+Deductions!C466+Deductions!D466+Tax!D466</f>
        <v>7925.416666666667</v>
      </c>
      <c r="I466">
        <f t="shared" si="14"/>
        <v>747034.38333333342</v>
      </c>
      <c r="J466">
        <f>Overtime!D466</f>
        <v>0</v>
      </c>
      <c r="K466">
        <f>IF(C466="Junior",0.06,IF(C466="Mid",0.08,IF(C466="Senior",0.1,IF(C466="Manager",0.12,0))))</f>
        <v>0.08</v>
      </c>
      <c r="L466">
        <f>IF(Performance!E466&gt;2,0.03,IF(Performance!E466&gt;=1,0.01,-0.02))</f>
        <v>0.01</v>
      </c>
      <c r="M466">
        <f t="shared" si="15"/>
        <v>0.09</v>
      </c>
      <c r="N466">
        <f>Earnings!B466*(1+M466)</f>
        <v>864397.25000000012</v>
      </c>
    </row>
    <row r="467" spans="1:14" x14ac:dyDescent="0.35">
      <c r="A467" t="s">
        <v>498</v>
      </c>
      <c r="B467" t="s">
        <v>20</v>
      </c>
      <c r="C467" t="s">
        <v>16</v>
      </c>
      <c r="D467" t="s">
        <v>22</v>
      </c>
      <c r="E467">
        <v>14</v>
      </c>
      <c r="F467" t="s">
        <v>45</v>
      </c>
      <c r="G467">
        <f>Earnings!G467</f>
        <v>1045414.9524</v>
      </c>
      <c r="H467">
        <f>Deductions!B467+Deductions!C467+Deductions!D467+Tax!D467</f>
        <v>13828.123749999999</v>
      </c>
      <c r="I467">
        <f t="shared" si="14"/>
        <v>1059039.9523999998</v>
      </c>
      <c r="J467">
        <f>Overtime!D467</f>
        <v>27453.123749999999</v>
      </c>
      <c r="K467">
        <f>IF(C467="Junior",0.06,IF(C467="Mid",0.08,IF(C467="Senior",0.1,IF(C467="Manager",0.12,0))))</f>
        <v>0.06</v>
      </c>
      <c r="L467">
        <f>IF(Performance!E467&gt;2,0.03,IF(Performance!E467&gt;=1,0.01,-0.02))</f>
        <v>0.03</v>
      </c>
      <c r="M467">
        <f t="shared" si="15"/>
        <v>0.09</v>
      </c>
      <c r="N467">
        <f>Earnings!B467*(1+M467)</f>
        <v>1196956.1955000001</v>
      </c>
    </row>
    <row r="468" spans="1:14" x14ac:dyDescent="0.35">
      <c r="A468" t="s">
        <v>499</v>
      </c>
      <c r="B468" t="s">
        <v>30</v>
      </c>
      <c r="C468" t="s">
        <v>44</v>
      </c>
      <c r="D468" t="s">
        <v>22</v>
      </c>
      <c r="E468">
        <v>10</v>
      </c>
      <c r="F468" t="s">
        <v>71</v>
      </c>
      <c r="G468">
        <f>Earnings!G468</f>
        <v>860702.10519999999</v>
      </c>
      <c r="H468">
        <f>Deductions!B468+Deductions!C468+Deductions!D468+Tax!D468</f>
        <v>9776.6474999999991</v>
      </c>
      <c r="I468">
        <f t="shared" si="14"/>
        <v>873527.92894999997</v>
      </c>
      <c r="J468">
        <f>Overtime!D468</f>
        <v>22602.471249999999</v>
      </c>
      <c r="K468">
        <f>IF(C468="Junior",0.06,IF(C468="Mid",0.08,IF(C468="Senior",0.1,IF(C468="Manager",0.12,0))))</f>
        <v>0.12</v>
      </c>
      <c r="L468">
        <f>IF(Performance!E468&gt;2,0.03,IF(Performance!E468&gt;=1,0.01,-0.02))</f>
        <v>0.01</v>
      </c>
      <c r="M468">
        <f t="shared" si="15"/>
        <v>0.13</v>
      </c>
      <c r="N468">
        <f>Earnings!B468*(1+M468)</f>
        <v>1021631.7004999999</v>
      </c>
    </row>
    <row r="469" spans="1:14" x14ac:dyDescent="0.35">
      <c r="A469" t="s">
        <v>500</v>
      </c>
      <c r="B469" t="s">
        <v>30</v>
      </c>
      <c r="C469" t="s">
        <v>44</v>
      </c>
      <c r="D469" t="s">
        <v>17</v>
      </c>
      <c r="E469">
        <v>3</v>
      </c>
      <c r="F469" t="s">
        <v>23</v>
      </c>
      <c r="G469">
        <f>Earnings!G469</f>
        <v>1051936.2</v>
      </c>
      <c r="H469">
        <f>Deductions!B469+Deductions!C469+Deductions!D469+Tax!D469</f>
        <v>13999.375</v>
      </c>
      <c r="I469">
        <f t="shared" si="14"/>
        <v>1037936.825</v>
      </c>
      <c r="J469">
        <f>Overtime!D469</f>
        <v>0</v>
      </c>
      <c r="K469">
        <f>IF(C469="Junior",0.06,IF(C469="Mid",0.08,IF(C469="Senior",0.1,IF(C469="Manager",0.12,0))))</f>
        <v>0.12</v>
      </c>
      <c r="L469">
        <f>IF(Performance!E469&gt;2,0.03,IF(Performance!E469&gt;=1,0.01,-0.02))</f>
        <v>0.01</v>
      </c>
      <c r="M469">
        <f t="shared" si="15"/>
        <v>0.13</v>
      </c>
      <c r="N469">
        <f>Earnings!B469*(1+M469)</f>
        <v>1248621.7499999998</v>
      </c>
    </row>
    <row r="470" spans="1:14" x14ac:dyDescent="0.35">
      <c r="A470" t="s">
        <v>501</v>
      </c>
      <c r="B470" t="s">
        <v>27</v>
      </c>
      <c r="C470" t="s">
        <v>34</v>
      </c>
      <c r="D470" t="s">
        <v>22</v>
      </c>
      <c r="E470">
        <v>11</v>
      </c>
      <c r="F470" t="s">
        <v>28</v>
      </c>
      <c r="G470">
        <f>Earnings!G470</f>
        <v>736063.12359999982</v>
      </c>
      <c r="H470">
        <f>Deductions!B470+Deductions!C470+Deductions!D470+Tax!D470</f>
        <v>7594.5924999999988</v>
      </c>
      <c r="I470">
        <f t="shared" si="14"/>
        <v>728468.53109999979</v>
      </c>
      <c r="J470">
        <f>Overtime!D470</f>
        <v>0</v>
      </c>
      <c r="K470">
        <f>IF(C470="Junior",0.06,IF(C470="Mid",0.08,IF(C470="Senior",0.1,IF(C470="Manager",0.12,0))))</f>
        <v>0.08</v>
      </c>
      <c r="L470">
        <f>IF(Performance!E470&gt;2,0.03,IF(Performance!E470&gt;=1,0.01,-0.02))</f>
        <v>0.01</v>
      </c>
      <c r="M470">
        <f t="shared" si="15"/>
        <v>0.09</v>
      </c>
      <c r="N470">
        <f>Earnings!B470*(1+M470)</f>
        <v>842761.34950000001</v>
      </c>
    </row>
    <row r="471" spans="1:14" x14ac:dyDescent="0.35">
      <c r="A471" t="s">
        <v>502</v>
      </c>
      <c r="B471" t="s">
        <v>36</v>
      </c>
      <c r="C471" t="s">
        <v>44</v>
      </c>
      <c r="D471" t="s">
        <v>22</v>
      </c>
      <c r="E471">
        <v>4</v>
      </c>
      <c r="F471" t="s">
        <v>45</v>
      </c>
      <c r="G471">
        <f>Earnings!G471</f>
        <v>720019.97199999995</v>
      </c>
      <c r="H471">
        <f>Deductions!B471+Deductions!C471+Deductions!D471+Tax!D471</f>
        <v>7313.7250000000004</v>
      </c>
      <c r="I471">
        <f t="shared" si="14"/>
        <v>776993.74450000003</v>
      </c>
      <c r="J471">
        <f>Overtime!D471</f>
        <v>64287.497500000005</v>
      </c>
      <c r="K471">
        <f>IF(C471="Junior",0.06,IF(C471="Mid",0.08,IF(C471="Senior",0.1,IF(C471="Manager",0.12,0))))</f>
        <v>0.12</v>
      </c>
      <c r="L471">
        <f>IF(Performance!E471&gt;2,0.03,IF(Performance!E471&gt;=1,0.01,-0.02))</f>
        <v>0.01</v>
      </c>
      <c r="M471">
        <f t="shared" si="15"/>
        <v>0.13</v>
      </c>
      <c r="N471">
        <f>Earnings!B471*(1+M471)</f>
        <v>854645.55499999993</v>
      </c>
    </row>
    <row r="472" spans="1:14" x14ac:dyDescent="0.35">
      <c r="A472" t="s">
        <v>503</v>
      </c>
      <c r="B472" t="s">
        <v>15</v>
      </c>
      <c r="C472" t="s">
        <v>16</v>
      </c>
      <c r="D472" t="s">
        <v>22</v>
      </c>
      <c r="E472">
        <v>0</v>
      </c>
      <c r="F472" t="s">
        <v>71</v>
      </c>
      <c r="G472">
        <f>Earnings!G472</f>
        <v>369659.02960000001</v>
      </c>
      <c r="H472">
        <f>Deductions!B472+Deductions!C472+Deductions!D472+Tax!D472</f>
        <v>2576.23875</v>
      </c>
      <c r="I472">
        <f t="shared" si="14"/>
        <v>367082.79084999999</v>
      </c>
      <c r="J472">
        <f>Overtime!D472</f>
        <v>0</v>
      </c>
      <c r="K472">
        <f>IF(C472="Junior",0.06,IF(C472="Mid",0.08,IF(C472="Senior",0.1,IF(C472="Manager",0.12,0))))</f>
        <v>0.06</v>
      </c>
      <c r="L472">
        <f>IF(Performance!E472&gt;2,0.03,IF(Performance!E472&gt;=1,0.01,-0.02))</f>
        <v>0.01</v>
      </c>
      <c r="M472">
        <f t="shared" si="15"/>
        <v>6.9999999999999993E-2</v>
      </c>
      <c r="N472">
        <f>Earnings!B472*(1+M472)</f>
        <v>415478.11100000003</v>
      </c>
    </row>
    <row r="473" spans="1:14" x14ac:dyDescent="0.35">
      <c r="A473" t="s">
        <v>504</v>
      </c>
      <c r="B473" t="s">
        <v>27</v>
      </c>
      <c r="C473" t="s">
        <v>44</v>
      </c>
      <c r="D473" t="s">
        <v>17</v>
      </c>
      <c r="E473">
        <v>6</v>
      </c>
      <c r="F473" t="s">
        <v>25</v>
      </c>
      <c r="G473">
        <f>Earnings!G473</f>
        <v>677284.21600000001</v>
      </c>
      <c r="H473">
        <f>Deductions!B473+Deductions!C473+Deductions!D473+Tax!D473</f>
        <v>6565.55</v>
      </c>
      <c r="I473">
        <f t="shared" si="14"/>
        <v>670718.66599999997</v>
      </c>
      <c r="J473">
        <f>Overtime!D473</f>
        <v>0</v>
      </c>
      <c r="K473">
        <f>IF(C473="Junior",0.06,IF(C473="Mid",0.08,IF(C473="Senior",0.1,IF(C473="Manager",0.12,0))))</f>
        <v>0.12</v>
      </c>
      <c r="L473">
        <f>IF(Performance!E473&gt;2,0.03,IF(Performance!E473&gt;=1,0.01,-0.02))</f>
        <v>0.01</v>
      </c>
      <c r="M473">
        <f t="shared" si="15"/>
        <v>0.13</v>
      </c>
      <c r="N473">
        <f>Earnings!B473*(1+M473)</f>
        <v>803919.28999999992</v>
      </c>
    </row>
    <row r="474" spans="1:14" x14ac:dyDescent="0.35">
      <c r="A474" t="s">
        <v>505</v>
      </c>
      <c r="B474" t="s">
        <v>36</v>
      </c>
      <c r="C474" t="s">
        <v>16</v>
      </c>
      <c r="D474" t="s">
        <v>17</v>
      </c>
      <c r="E474">
        <v>14</v>
      </c>
      <c r="F474" t="s">
        <v>18</v>
      </c>
      <c r="G474">
        <f>Earnings!G474</f>
        <v>1232054.6000000001</v>
      </c>
      <c r="H474">
        <f>Deductions!B474+Deductions!C474+Deductions!D474+Tax!D474</f>
        <v>18729.375</v>
      </c>
      <c r="I474">
        <f t="shared" si="14"/>
        <v>1278033.9750000001</v>
      </c>
      <c r="J474">
        <f>Overtime!D474</f>
        <v>64708.75</v>
      </c>
      <c r="K474">
        <f>IF(C474="Junior",0.06,IF(C474="Mid",0.08,IF(C474="Senior",0.1,IF(C474="Manager",0.12,0))))</f>
        <v>0.06</v>
      </c>
      <c r="L474">
        <f>IF(Performance!E474&gt;2,0.03,IF(Performance!E474&gt;=1,0.01,-0.02))</f>
        <v>0.01</v>
      </c>
      <c r="M474">
        <f t="shared" si="15"/>
        <v>6.9999999999999993E-2</v>
      </c>
      <c r="N474">
        <f>Earnings!B474*(1+M474)</f>
        <v>1384767.25</v>
      </c>
    </row>
    <row r="475" spans="1:14" x14ac:dyDescent="0.35">
      <c r="A475" t="s">
        <v>506</v>
      </c>
      <c r="B475" t="s">
        <v>30</v>
      </c>
      <c r="C475" t="s">
        <v>16</v>
      </c>
      <c r="D475" t="s">
        <v>17</v>
      </c>
      <c r="E475">
        <v>10</v>
      </c>
      <c r="F475" t="s">
        <v>23</v>
      </c>
      <c r="G475">
        <f>Earnings!G475</f>
        <v>860242.43200000003</v>
      </c>
      <c r="H475">
        <f>Deductions!B475+Deductions!C475+Deductions!D475+Tax!D475</f>
        <v>9768.6000000000022</v>
      </c>
      <c r="I475">
        <f t="shared" si="14"/>
        <v>936317.35200000007</v>
      </c>
      <c r="J475">
        <f>Overtime!D475</f>
        <v>85843.520000000004</v>
      </c>
      <c r="K475">
        <f>IF(C475="Junior",0.06,IF(C475="Mid",0.08,IF(C475="Senior",0.1,IF(C475="Manager",0.12,0))))</f>
        <v>0.06</v>
      </c>
      <c r="L475">
        <f>IF(Performance!E475&gt;2,0.03,IF(Performance!E475&gt;=1,0.01,-0.02))</f>
        <v>0.01</v>
      </c>
      <c r="M475">
        <f t="shared" si="15"/>
        <v>6.9999999999999993E-2</v>
      </c>
      <c r="N475">
        <f>Earnings!B475*(1+M475)</f>
        <v>966869.12000000011</v>
      </c>
    </row>
    <row r="476" spans="1:14" x14ac:dyDescent="0.35">
      <c r="A476" t="s">
        <v>507</v>
      </c>
      <c r="B476" t="s">
        <v>30</v>
      </c>
      <c r="C476" t="s">
        <v>21</v>
      </c>
      <c r="D476" t="s">
        <v>22</v>
      </c>
      <c r="E476">
        <v>2</v>
      </c>
      <c r="F476" t="s">
        <v>23</v>
      </c>
      <c r="G476">
        <f>Earnings!G476</f>
        <v>1123640.1259999999</v>
      </c>
      <c r="H476">
        <f>Deductions!B476+Deductions!C476+Deductions!D476+Tax!D476</f>
        <v>15882.356249999999</v>
      </c>
      <c r="I476">
        <f t="shared" si="14"/>
        <v>1143166.5972499999</v>
      </c>
      <c r="J476">
        <f>Overtime!D476</f>
        <v>35408.827499999999</v>
      </c>
      <c r="K476">
        <f>IF(C476="Junior",0.06,IF(C476="Mid",0.08,IF(C476="Senior",0.1,IF(C476="Manager",0.12,0))))</f>
        <v>0.1</v>
      </c>
      <c r="L476">
        <f>IF(Performance!E476&gt;2,0.03,IF(Performance!E476&gt;=1,0.01,-0.02))</f>
        <v>0.01</v>
      </c>
      <c r="M476">
        <f t="shared" si="15"/>
        <v>0.11</v>
      </c>
      <c r="N476">
        <f>Earnings!B476*(1+M476)</f>
        <v>1310126.6175000002</v>
      </c>
    </row>
    <row r="477" spans="1:14" x14ac:dyDescent="0.35">
      <c r="A477" t="s">
        <v>508</v>
      </c>
      <c r="B477" t="s">
        <v>20</v>
      </c>
      <c r="C477" t="s">
        <v>34</v>
      </c>
      <c r="D477" t="s">
        <v>17</v>
      </c>
      <c r="E477">
        <v>8</v>
      </c>
      <c r="F477" t="s">
        <v>32</v>
      </c>
      <c r="G477">
        <f>Earnings!G477</f>
        <v>1057403.5360000001</v>
      </c>
      <c r="H477">
        <f>Deductions!B477+Deductions!C477+Deductions!D477+Tax!D477</f>
        <v>14142.949999999999</v>
      </c>
      <c r="I477">
        <f t="shared" si="14"/>
        <v>1043260.5860000001</v>
      </c>
      <c r="J477">
        <f>Overtime!D477</f>
        <v>0</v>
      </c>
      <c r="K477">
        <f>IF(C477="Junior",0.06,IF(C477="Mid",0.08,IF(C477="Senior",0.1,IF(C477="Manager",0.12,0))))</f>
        <v>0.08</v>
      </c>
      <c r="L477">
        <f>IF(Performance!E477&gt;2,0.03,IF(Performance!E477&gt;=1,0.01,-0.02))</f>
        <v>0.03</v>
      </c>
      <c r="M477">
        <f t="shared" si="15"/>
        <v>0.11</v>
      </c>
      <c r="N477">
        <f>Earnings!B477*(1+M477)</f>
        <v>1232896.9800000002</v>
      </c>
    </row>
    <row r="478" spans="1:14" x14ac:dyDescent="0.35">
      <c r="A478" t="s">
        <v>509</v>
      </c>
      <c r="B478" t="s">
        <v>15</v>
      </c>
      <c r="C478" t="s">
        <v>21</v>
      </c>
      <c r="D478" t="s">
        <v>22</v>
      </c>
      <c r="E478">
        <v>2</v>
      </c>
      <c r="F478" t="s">
        <v>18</v>
      </c>
      <c r="G478">
        <f>Earnings!G478</f>
        <v>546199.71840000001</v>
      </c>
      <c r="H478">
        <f>Deductions!B478+Deductions!C478+Deductions!D478+Tax!D478</f>
        <v>4270.6533333333318</v>
      </c>
      <c r="I478">
        <f t="shared" si="14"/>
        <v>541929.06506666669</v>
      </c>
      <c r="J478">
        <f>Overtime!D478</f>
        <v>0</v>
      </c>
      <c r="K478">
        <f>IF(C478="Junior",0.06,IF(C478="Mid",0.08,IF(C478="Senior",0.1,IF(C478="Manager",0.12,0))))</f>
        <v>0.1</v>
      </c>
      <c r="L478">
        <f>IF(Performance!E478&gt;2,0.03,IF(Performance!E478&gt;=1,0.01,-0.02))</f>
        <v>0.01</v>
      </c>
      <c r="M478">
        <f t="shared" si="15"/>
        <v>0.11</v>
      </c>
      <c r="N478">
        <f>Earnings!B478*(1+M478)</f>
        <v>636850.51199999999</v>
      </c>
    </row>
    <row r="479" spans="1:14" x14ac:dyDescent="0.35">
      <c r="A479" t="s">
        <v>510</v>
      </c>
      <c r="B479" t="s">
        <v>20</v>
      </c>
      <c r="C479" t="s">
        <v>44</v>
      </c>
      <c r="D479" t="s">
        <v>22</v>
      </c>
      <c r="E479">
        <v>8</v>
      </c>
      <c r="F479" t="s">
        <v>45</v>
      </c>
      <c r="G479">
        <f>Earnings!G479</f>
        <v>947794.92079999996</v>
      </c>
      <c r="H479">
        <f>Deductions!B479+Deductions!C479+Deductions!D479+Tax!D479</f>
        <v>11301.381666666666</v>
      </c>
      <c r="I479">
        <f t="shared" si="14"/>
        <v>936493.53913333325</v>
      </c>
      <c r="J479">
        <f>Overtime!D479</f>
        <v>0</v>
      </c>
      <c r="K479">
        <f>IF(C479="Junior",0.06,IF(C479="Mid",0.08,IF(C479="Senior",0.1,IF(C479="Manager",0.12,0))))</f>
        <v>0.12</v>
      </c>
      <c r="L479">
        <f>IF(Performance!E479&gt;2,0.03,IF(Performance!E479&gt;=1,0.01,-0.02))</f>
        <v>0.03</v>
      </c>
      <c r="M479">
        <f t="shared" si="15"/>
        <v>0.15</v>
      </c>
      <c r="N479">
        <f>Earnings!B479*(1+M479)</f>
        <v>1144920.3349999997</v>
      </c>
    </row>
    <row r="480" spans="1:14" x14ac:dyDescent="0.35">
      <c r="A480" t="s">
        <v>511</v>
      </c>
      <c r="B480" t="s">
        <v>27</v>
      </c>
      <c r="C480" t="s">
        <v>44</v>
      </c>
      <c r="D480" t="s">
        <v>22</v>
      </c>
      <c r="E480">
        <v>13</v>
      </c>
      <c r="F480" t="s">
        <v>18</v>
      </c>
      <c r="G480">
        <f>Earnings!G480</f>
        <v>782373.83</v>
      </c>
      <c r="H480">
        <f>Deductions!B480+Deductions!C480+Deductions!D480+Tax!D480</f>
        <v>8405.3541666666679</v>
      </c>
      <c r="I480">
        <f t="shared" si="14"/>
        <v>773968.47583333333</v>
      </c>
      <c r="J480">
        <f>Overtime!D480</f>
        <v>0</v>
      </c>
      <c r="K480">
        <f>IF(C480="Junior",0.06,IF(C480="Mid",0.08,IF(C480="Senior",0.1,IF(C480="Manager",0.12,0))))</f>
        <v>0.12</v>
      </c>
      <c r="L480">
        <f>IF(Performance!E480&gt;2,0.03,IF(Performance!E480&gt;=1,0.01,-0.02))</f>
        <v>0.01</v>
      </c>
      <c r="M480">
        <f t="shared" si="15"/>
        <v>0.13</v>
      </c>
      <c r="N480">
        <f>Earnings!B480*(1+M480)</f>
        <v>928658.01249999995</v>
      </c>
    </row>
    <row r="481" spans="1:14" x14ac:dyDescent="0.35">
      <c r="A481" t="s">
        <v>512</v>
      </c>
      <c r="B481" t="s">
        <v>15</v>
      </c>
      <c r="C481" t="s">
        <v>44</v>
      </c>
      <c r="D481" t="s">
        <v>17</v>
      </c>
      <c r="E481">
        <v>15</v>
      </c>
      <c r="F481" t="s">
        <v>28</v>
      </c>
      <c r="G481">
        <f>Earnings!G481</f>
        <v>901205.08799999999</v>
      </c>
      <c r="H481">
        <f>Deductions!B481+Deductions!C481+Deductions!D481+Tax!D481</f>
        <v>10485.733333333334</v>
      </c>
      <c r="I481">
        <f t="shared" si="14"/>
        <v>1013783.0746666667</v>
      </c>
      <c r="J481">
        <f>Overtime!D481</f>
        <v>123063.71999999999</v>
      </c>
      <c r="K481">
        <f>IF(C481="Junior",0.06,IF(C481="Mid",0.08,IF(C481="Senior",0.1,IF(C481="Manager",0.12,0))))</f>
        <v>0.12</v>
      </c>
      <c r="L481">
        <f>IF(Performance!E481&gt;2,0.03,IF(Performance!E481&gt;=1,0.01,-0.02))</f>
        <v>0.01</v>
      </c>
      <c r="M481">
        <f t="shared" si="15"/>
        <v>0.13</v>
      </c>
      <c r="N481">
        <f>Earnings!B481*(1+M481)</f>
        <v>1069707.72</v>
      </c>
    </row>
    <row r="482" spans="1:14" x14ac:dyDescent="0.35">
      <c r="A482" t="s">
        <v>513</v>
      </c>
      <c r="B482" t="s">
        <v>15</v>
      </c>
      <c r="C482" t="s">
        <v>34</v>
      </c>
      <c r="D482" t="s">
        <v>22</v>
      </c>
      <c r="E482">
        <v>8</v>
      </c>
      <c r="F482" t="s">
        <v>18</v>
      </c>
      <c r="G482">
        <f>Earnings!G482</f>
        <v>512208.7488</v>
      </c>
      <c r="H482">
        <f>Deductions!B482+Deductions!C482+Deductions!D482+Tax!D482</f>
        <v>3675.5733333333337</v>
      </c>
      <c r="I482">
        <f t="shared" si="14"/>
        <v>508533.1754666667</v>
      </c>
      <c r="J482">
        <f>Overtime!D482</f>
        <v>0</v>
      </c>
      <c r="K482">
        <f>IF(C482="Junior",0.06,IF(C482="Mid",0.08,IF(C482="Senior",0.1,IF(C482="Manager",0.12,0))))</f>
        <v>0.08</v>
      </c>
      <c r="L482">
        <f>IF(Performance!E482&gt;2,0.03,IF(Performance!E482&gt;=1,0.01,-0.02))</f>
        <v>0.01</v>
      </c>
      <c r="M482">
        <f t="shared" si="15"/>
        <v>0.09</v>
      </c>
      <c r="N482">
        <f>Earnings!B482*(1+M482)</f>
        <v>586457.49600000004</v>
      </c>
    </row>
    <row r="483" spans="1:14" x14ac:dyDescent="0.35">
      <c r="A483" t="s">
        <v>514</v>
      </c>
      <c r="B483" t="s">
        <v>30</v>
      </c>
      <c r="C483" t="s">
        <v>34</v>
      </c>
      <c r="D483" t="s">
        <v>17</v>
      </c>
      <c r="E483">
        <v>8</v>
      </c>
      <c r="F483" t="s">
        <v>23</v>
      </c>
      <c r="G483">
        <f>Earnings!G483</f>
        <v>1193676.6240000001</v>
      </c>
      <c r="H483">
        <f>Deductions!B483+Deductions!C483+Deductions!D483+Tax!D483</f>
        <v>17721.549999999996</v>
      </c>
      <c r="I483">
        <f t="shared" si="14"/>
        <v>1226109.554</v>
      </c>
      <c r="J483">
        <f>Overtime!D483</f>
        <v>50154.479999999996</v>
      </c>
      <c r="K483">
        <f>IF(C483="Junior",0.06,IF(C483="Mid",0.08,IF(C483="Senior",0.1,IF(C483="Manager",0.12,0))))</f>
        <v>0.08</v>
      </c>
      <c r="L483">
        <f>IF(Performance!E483&gt;2,0.03,IF(Performance!E483&gt;=1,0.01,-0.02))</f>
        <v>0.01</v>
      </c>
      <c r="M483">
        <f t="shared" si="15"/>
        <v>0.09</v>
      </c>
      <c r="N483">
        <f>Earnings!B483*(1+M483)</f>
        <v>1366709.58</v>
      </c>
    </row>
    <row r="484" spans="1:14" x14ac:dyDescent="0.35">
      <c r="A484" t="s">
        <v>515</v>
      </c>
      <c r="B484" t="s">
        <v>30</v>
      </c>
      <c r="C484" t="s">
        <v>34</v>
      </c>
      <c r="D484" t="s">
        <v>22</v>
      </c>
      <c r="E484">
        <v>6</v>
      </c>
      <c r="F484" t="s">
        <v>71</v>
      </c>
      <c r="G484">
        <f>Earnings!G484</f>
        <v>1127482.9216</v>
      </c>
      <c r="H484">
        <f>Deductions!B484+Deductions!C484+Deductions!D484+Tax!D484</f>
        <v>15983.270000000002</v>
      </c>
      <c r="I484">
        <f t="shared" si="14"/>
        <v>1111499.6516</v>
      </c>
      <c r="J484">
        <f>Overtime!D484</f>
        <v>0</v>
      </c>
      <c r="K484">
        <f>IF(C484="Junior",0.06,IF(C484="Mid",0.08,IF(C484="Senior",0.1,IF(C484="Manager",0.12,0))))</f>
        <v>0.08</v>
      </c>
      <c r="L484">
        <f>IF(Performance!E484&gt;2,0.03,IF(Performance!E484&gt;=1,0.01,-0.02))</f>
        <v>0.01</v>
      </c>
      <c r="M484">
        <f t="shared" si="15"/>
        <v>0.09</v>
      </c>
      <c r="N484">
        <f>Earnings!B484*(1+M484)</f>
        <v>1290920.5720000002</v>
      </c>
    </row>
    <row r="485" spans="1:14" x14ac:dyDescent="0.35">
      <c r="A485" t="s">
        <v>516</v>
      </c>
      <c r="B485" t="s">
        <v>27</v>
      </c>
      <c r="C485" t="s">
        <v>34</v>
      </c>
      <c r="D485" t="s">
        <v>22</v>
      </c>
      <c r="E485">
        <v>5</v>
      </c>
      <c r="F485" t="s">
        <v>28</v>
      </c>
      <c r="G485">
        <f>Earnings!G485</f>
        <v>507216.4608</v>
      </c>
      <c r="H485">
        <f>Deductions!B485+Deductions!C485+Deductions!D485+Tax!D485</f>
        <v>3588.1733333333341</v>
      </c>
      <c r="I485">
        <f t="shared" si="14"/>
        <v>551579.42346666672</v>
      </c>
      <c r="J485">
        <f>Overtime!D485</f>
        <v>47951.136000000006</v>
      </c>
      <c r="K485">
        <f>IF(C485="Junior",0.06,IF(C485="Mid",0.08,IF(C485="Senior",0.1,IF(C485="Manager",0.12,0))))</f>
        <v>0.08</v>
      </c>
      <c r="L485">
        <f>IF(Performance!E485&gt;2,0.03,IF(Performance!E485&gt;=1,0.01,-0.02))</f>
        <v>0.01</v>
      </c>
      <c r="M485">
        <f t="shared" si="15"/>
        <v>0.09</v>
      </c>
      <c r="N485">
        <f>Earnings!B485*(1+M485)</f>
        <v>580741.53600000008</v>
      </c>
    </row>
    <row r="486" spans="1:14" x14ac:dyDescent="0.35">
      <c r="A486" t="s">
        <v>517</v>
      </c>
      <c r="B486" t="s">
        <v>36</v>
      </c>
      <c r="C486" t="s">
        <v>44</v>
      </c>
      <c r="D486" t="s">
        <v>17</v>
      </c>
      <c r="E486">
        <v>9</v>
      </c>
      <c r="F486" t="s">
        <v>45</v>
      </c>
      <c r="G486">
        <f>Earnings!G486</f>
        <v>1040722.5919999999</v>
      </c>
      <c r="H486">
        <f>Deductions!B486+Deductions!C486+Deductions!D486+Tax!D486</f>
        <v>13704.9</v>
      </c>
      <c r="I486">
        <f t="shared" si="14"/>
        <v>1092609.452</v>
      </c>
      <c r="J486">
        <f>Overtime!D486</f>
        <v>65591.760000000009</v>
      </c>
      <c r="K486">
        <f>IF(C486="Junior",0.06,IF(C486="Mid",0.08,IF(C486="Senior",0.1,IF(C486="Manager",0.12,0))))</f>
        <v>0.12</v>
      </c>
      <c r="L486">
        <f>IF(Performance!E486&gt;2,0.03,IF(Performance!E486&gt;=1,0.01,-0.02))</f>
        <v>0.01</v>
      </c>
      <c r="M486">
        <f t="shared" si="15"/>
        <v>0.13</v>
      </c>
      <c r="N486">
        <f>Earnings!B486*(1+M486)</f>
        <v>1235311.48</v>
      </c>
    </row>
    <row r="487" spans="1:14" x14ac:dyDescent="0.35">
      <c r="A487" t="s">
        <v>518</v>
      </c>
      <c r="B487" t="s">
        <v>30</v>
      </c>
      <c r="C487" t="s">
        <v>21</v>
      </c>
      <c r="D487" t="s">
        <v>22</v>
      </c>
      <c r="E487">
        <v>12</v>
      </c>
      <c r="F487" t="s">
        <v>23</v>
      </c>
      <c r="G487">
        <f>Earnings!G487</f>
        <v>1342888.3916</v>
      </c>
      <c r="H487">
        <f>Deductions!B487+Deductions!C487+Deductions!D487+Tax!D487</f>
        <v>21639.92625</v>
      </c>
      <c r="I487">
        <f t="shared" si="14"/>
        <v>1532838.0228500001</v>
      </c>
      <c r="J487">
        <f>Overtime!D487</f>
        <v>211589.55750000002</v>
      </c>
      <c r="K487">
        <f>IF(C487="Junior",0.06,IF(C487="Mid",0.08,IF(C487="Senior",0.1,IF(C487="Manager",0.12,0))))</f>
        <v>0.1</v>
      </c>
      <c r="L487">
        <f>IF(Performance!E487&gt;2,0.03,IF(Performance!E487&gt;=1,0.01,-0.02))</f>
        <v>0.01</v>
      </c>
      <c r="M487">
        <f t="shared" si="15"/>
        <v>0.11</v>
      </c>
      <c r="N487">
        <f>Earnings!B487*(1+M487)</f>
        <v>1565762.7255000002</v>
      </c>
    </row>
    <row r="488" spans="1:14" x14ac:dyDescent="0.35">
      <c r="A488" t="s">
        <v>519</v>
      </c>
      <c r="B488" t="s">
        <v>15</v>
      </c>
      <c r="C488" t="s">
        <v>21</v>
      </c>
      <c r="D488" t="s">
        <v>17</v>
      </c>
      <c r="E488">
        <v>0</v>
      </c>
      <c r="F488" t="s">
        <v>18</v>
      </c>
      <c r="G488">
        <f>Earnings!G488</f>
        <v>332583.10399999999</v>
      </c>
      <c r="H488">
        <f>Deductions!B488+Deductions!C488+Deductions!D488+Tax!D488</f>
        <v>2413.9666666666667</v>
      </c>
      <c r="I488">
        <f t="shared" si="14"/>
        <v>372091.37733333331</v>
      </c>
      <c r="J488">
        <f>Overtime!D488</f>
        <v>41922.239999999991</v>
      </c>
      <c r="K488">
        <f>IF(C488="Junior",0.06,IF(C488="Mid",0.08,IF(C488="Senior",0.1,IF(C488="Manager",0.12,0))))</f>
        <v>0.1</v>
      </c>
      <c r="L488">
        <f>IF(Performance!E488&gt;2,0.03,IF(Performance!E488&gt;=1,0.01,-0.02))</f>
        <v>0.01</v>
      </c>
      <c r="M488">
        <f t="shared" si="15"/>
        <v>0.11</v>
      </c>
      <c r="N488">
        <f>Earnings!B488*(1+M488)</f>
        <v>387780.72000000003</v>
      </c>
    </row>
    <row r="489" spans="1:14" x14ac:dyDescent="0.35">
      <c r="A489" t="s">
        <v>520</v>
      </c>
      <c r="B489" t="s">
        <v>36</v>
      </c>
      <c r="C489" t="s">
        <v>44</v>
      </c>
      <c r="D489" t="s">
        <v>22</v>
      </c>
      <c r="E489">
        <v>5</v>
      </c>
      <c r="F489" t="s">
        <v>45</v>
      </c>
      <c r="G489">
        <f>Earnings!G489</f>
        <v>770541.56479999993</v>
      </c>
      <c r="H489">
        <f>Deductions!B489+Deductions!C489+Deductions!D489+Tax!D489</f>
        <v>8198.2066666666651</v>
      </c>
      <c r="I489">
        <f t="shared" si="14"/>
        <v>875658.29413333326</v>
      </c>
      <c r="J489">
        <f>Overtime!D489</f>
        <v>113314.93600000002</v>
      </c>
      <c r="K489">
        <f>IF(C489="Junior",0.06,IF(C489="Mid",0.08,IF(C489="Senior",0.1,IF(C489="Manager",0.12,0))))</f>
        <v>0.12</v>
      </c>
      <c r="L489">
        <f>IF(Performance!E489&gt;2,0.03,IF(Performance!E489&gt;=1,0.01,-0.02))</f>
        <v>0.01</v>
      </c>
      <c r="M489">
        <f t="shared" si="15"/>
        <v>0.13</v>
      </c>
      <c r="N489">
        <f>Earnings!B489*(1+M489)</f>
        <v>914613.41199999978</v>
      </c>
    </row>
    <row r="490" spans="1:14" x14ac:dyDescent="0.35">
      <c r="A490" t="s">
        <v>521</v>
      </c>
      <c r="B490" t="s">
        <v>15</v>
      </c>
      <c r="C490" t="s">
        <v>44</v>
      </c>
      <c r="D490" t="s">
        <v>22</v>
      </c>
      <c r="E490">
        <v>2</v>
      </c>
      <c r="F490" t="s">
        <v>23</v>
      </c>
      <c r="G490">
        <f>Earnings!G490</f>
        <v>547748.95559999999</v>
      </c>
      <c r="H490">
        <f>Deductions!B490+Deductions!C490+Deductions!D490+Tax!D490</f>
        <v>4297.7758333333322</v>
      </c>
      <c r="I490">
        <f t="shared" si="14"/>
        <v>560712.17626666662</v>
      </c>
      <c r="J490">
        <f>Overtime!D490</f>
        <v>17260.996500000001</v>
      </c>
      <c r="K490">
        <f>IF(C490="Junior",0.06,IF(C490="Mid",0.08,IF(C490="Senior",0.1,IF(C490="Manager",0.12,0))))</f>
        <v>0.12</v>
      </c>
      <c r="L490">
        <f>IF(Performance!E490&gt;2,0.03,IF(Performance!E490&gt;=1,0.01,-0.02))</f>
        <v>0.01</v>
      </c>
      <c r="M490">
        <f t="shared" si="15"/>
        <v>0.13</v>
      </c>
      <c r="N490">
        <f>Earnings!B490*(1+M490)</f>
        <v>650164.20149999985</v>
      </c>
    </row>
    <row r="491" spans="1:14" x14ac:dyDescent="0.35">
      <c r="A491" t="s">
        <v>522</v>
      </c>
      <c r="B491" t="s">
        <v>15</v>
      </c>
      <c r="C491" t="s">
        <v>21</v>
      </c>
      <c r="D491" t="s">
        <v>17</v>
      </c>
      <c r="E491">
        <v>12</v>
      </c>
      <c r="F491" t="s">
        <v>45</v>
      </c>
      <c r="G491">
        <f>Earnings!G491</f>
        <v>829747.96799999999</v>
      </c>
      <c r="H491">
        <f>Deductions!B491+Deductions!C491+Deductions!D491+Tax!D491</f>
        <v>9234.7333333333336</v>
      </c>
      <c r="I491">
        <f t="shared" si="14"/>
        <v>820513.23466666671</v>
      </c>
      <c r="J491">
        <f>Overtime!D491</f>
        <v>0</v>
      </c>
      <c r="K491">
        <f>IF(C491="Junior",0.06,IF(C491="Mid",0.08,IF(C491="Senior",0.1,IF(C491="Manager",0.12,0))))</f>
        <v>0.1</v>
      </c>
      <c r="L491">
        <f>IF(Performance!E491&gt;2,0.03,IF(Performance!E491&gt;=1,0.01,-0.02))</f>
        <v>0.01</v>
      </c>
      <c r="M491">
        <f t="shared" si="15"/>
        <v>0.11</v>
      </c>
      <c r="N491">
        <f>Earnings!B491*(1+M491)</f>
        <v>967458.24000000011</v>
      </c>
    </row>
    <row r="492" spans="1:14" x14ac:dyDescent="0.35">
      <c r="A492" t="s">
        <v>523</v>
      </c>
      <c r="B492" t="s">
        <v>36</v>
      </c>
      <c r="C492" t="s">
        <v>44</v>
      </c>
      <c r="D492" t="s">
        <v>22</v>
      </c>
      <c r="E492">
        <v>14</v>
      </c>
      <c r="F492" t="s">
        <v>28</v>
      </c>
      <c r="G492">
        <f>Earnings!G492</f>
        <v>1022034.4036</v>
      </c>
      <c r="H492">
        <f>Deductions!B492+Deductions!C492+Deductions!D492+Tax!D492</f>
        <v>13214.13875</v>
      </c>
      <c r="I492">
        <f t="shared" si="14"/>
        <v>1083969.85335</v>
      </c>
      <c r="J492">
        <f>Overtime!D492</f>
        <v>75149.588499999998</v>
      </c>
      <c r="K492">
        <f>IF(C492="Junior",0.06,IF(C492="Mid",0.08,IF(C492="Senior",0.1,IF(C492="Manager",0.12,0))))</f>
        <v>0.12</v>
      </c>
      <c r="L492">
        <f>IF(Performance!E492&gt;2,0.03,IF(Performance!E492&gt;=1,0.01,-0.02))</f>
        <v>0.01</v>
      </c>
      <c r="M492">
        <f t="shared" si="15"/>
        <v>0.13</v>
      </c>
      <c r="N492">
        <f>Earnings!B492*(1+M492)</f>
        <v>1213129.0714999998</v>
      </c>
    </row>
    <row r="493" spans="1:14" x14ac:dyDescent="0.35">
      <c r="A493" t="s">
        <v>524</v>
      </c>
      <c r="B493" t="s">
        <v>20</v>
      </c>
      <c r="C493" t="s">
        <v>16</v>
      </c>
      <c r="D493" t="s">
        <v>17</v>
      </c>
      <c r="E493">
        <v>8</v>
      </c>
      <c r="F493" t="s">
        <v>71</v>
      </c>
      <c r="G493">
        <f>Earnings!G493</f>
        <v>844527.76800000004</v>
      </c>
      <c r="H493">
        <f>Deductions!B493+Deductions!C493+Deductions!D493+Tax!D493</f>
        <v>9493.4833333333336</v>
      </c>
      <c r="I493">
        <f t="shared" si="14"/>
        <v>888260.8246666668</v>
      </c>
      <c r="J493">
        <f>Overtime!D493</f>
        <v>53226.54</v>
      </c>
      <c r="K493">
        <f>IF(C493="Junior",0.06,IF(C493="Mid",0.08,IF(C493="Senior",0.1,IF(C493="Manager",0.12,0))))</f>
        <v>0.06</v>
      </c>
      <c r="L493">
        <f>IF(Performance!E493&gt;2,0.03,IF(Performance!E493&gt;=1,0.01,-0.02))</f>
        <v>0.03</v>
      </c>
      <c r="M493">
        <f t="shared" si="15"/>
        <v>0.09</v>
      </c>
      <c r="N493">
        <f>Earnings!B493*(1+M493)</f>
        <v>966948.81</v>
      </c>
    </row>
    <row r="494" spans="1:14" x14ac:dyDescent="0.35">
      <c r="A494" t="s">
        <v>525</v>
      </c>
      <c r="B494" t="s">
        <v>30</v>
      </c>
      <c r="C494" t="s">
        <v>34</v>
      </c>
      <c r="D494" t="s">
        <v>22</v>
      </c>
      <c r="E494">
        <v>10</v>
      </c>
      <c r="F494" t="s">
        <v>32</v>
      </c>
      <c r="G494">
        <f>Earnings!G494</f>
        <v>971449.50280000002</v>
      </c>
      <c r="H494">
        <f>Deductions!B494+Deductions!C494+Deductions!D494+Tax!D494</f>
        <v>11885.753750000002</v>
      </c>
      <c r="I494">
        <f t="shared" si="14"/>
        <v>1082015.36705</v>
      </c>
      <c r="J494">
        <f>Overtime!D494</f>
        <v>122451.61800000005</v>
      </c>
      <c r="K494">
        <f>IF(C494="Junior",0.06,IF(C494="Mid",0.08,IF(C494="Senior",0.1,IF(C494="Manager",0.12,0))))</f>
        <v>0.08</v>
      </c>
      <c r="L494">
        <f>IF(Performance!E494&gt;2,0.03,IF(Performance!E494&gt;=1,0.01,-0.02))</f>
        <v>0.01</v>
      </c>
      <c r="M494">
        <f t="shared" si="15"/>
        <v>0.09</v>
      </c>
      <c r="N494">
        <f>Earnings!B494*(1+M494)</f>
        <v>1112268.8635000002</v>
      </c>
    </row>
    <row r="495" spans="1:14" x14ac:dyDescent="0.35">
      <c r="A495" t="s">
        <v>526</v>
      </c>
      <c r="B495" t="s">
        <v>15</v>
      </c>
      <c r="C495" t="s">
        <v>44</v>
      </c>
      <c r="D495" t="s">
        <v>17</v>
      </c>
      <c r="E495">
        <v>7</v>
      </c>
      <c r="F495" t="s">
        <v>28</v>
      </c>
      <c r="G495">
        <f>Earnings!G495</f>
        <v>583162.83199999994</v>
      </c>
      <c r="H495">
        <f>Deductions!B495+Deductions!C495+Deductions!D495+Tax!D495</f>
        <v>4917.7666666666664</v>
      </c>
      <c r="I495">
        <f t="shared" si="14"/>
        <v>578245.06533333322</v>
      </c>
      <c r="J495">
        <f>Overtime!D495</f>
        <v>0</v>
      </c>
      <c r="K495">
        <f>IF(C495="Junior",0.06,IF(C495="Mid",0.08,IF(C495="Senior",0.1,IF(C495="Manager",0.12,0))))</f>
        <v>0.12</v>
      </c>
      <c r="L495">
        <f>IF(Performance!E495&gt;2,0.03,IF(Performance!E495&gt;=1,0.01,-0.02))</f>
        <v>0.01</v>
      </c>
      <c r="M495">
        <f t="shared" si="15"/>
        <v>0.13</v>
      </c>
      <c r="N495">
        <f>Earnings!B495*(1+M495)</f>
        <v>692199.58</v>
      </c>
    </row>
    <row r="496" spans="1:14" x14ac:dyDescent="0.35">
      <c r="A496" t="s">
        <v>527</v>
      </c>
      <c r="B496" t="s">
        <v>15</v>
      </c>
      <c r="C496" t="s">
        <v>21</v>
      </c>
      <c r="D496" t="s">
        <v>22</v>
      </c>
      <c r="E496">
        <v>11</v>
      </c>
      <c r="F496" t="s">
        <v>71</v>
      </c>
      <c r="G496">
        <f>Earnings!G496</f>
        <v>687580.04839999997</v>
      </c>
      <c r="H496">
        <f>Deductions!B496+Deductions!C496+Deductions!D496+Tax!D496</f>
        <v>6745.7991666666667</v>
      </c>
      <c r="I496">
        <f t="shared" si="14"/>
        <v>680834.24923333328</v>
      </c>
      <c r="J496">
        <f>Overtime!D496</f>
        <v>0</v>
      </c>
      <c r="K496">
        <f>IF(C496="Junior",0.06,IF(C496="Mid",0.08,IF(C496="Senior",0.1,IF(C496="Manager",0.12,0))))</f>
        <v>0.1</v>
      </c>
      <c r="L496">
        <f>IF(Performance!E496&gt;2,0.03,IF(Performance!E496&gt;=1,0.01,-0.02))</f>
        <v>0.01</v>
      </c>
      <c r="M496">
        <f t="shared" si="15"/>
        <v>0.11</v>
      </c>
      <c r="N496">
        <f>Earnings!B496*(1+M496)</f>
        <v>801695.22450000001</v>
      </c>
    </row>
    <row r="497" spans="1:14" x14ac:dyDescent="0.35">
      <c r="A497" t="s">
        <v>528</v>
      </c>
      <c r="B497" t="s">
        <v>27</v>
      </c>
      <c r="C497" t="s">
        <v>44</v>
      </c>
      <c r="D497" t="s">
        <v>22</v>
      </c>
      <c r="E497">
        <v>9</v>
      </c>
      <c r="F497" t="s">
        <v>28</v>
      </c>
      <c r="G497">
        <f>Earnings!G497</f>
        <v>832710.02079999994</v>
      </c>
      <c r="H497">
        <f>Deductions!B497+Deductions!C497+Deductions!D497+Tax!D497</f>
        <v>9286.59</v>
      </c>
      <c r="I497">
        <f t="shared" si="14"/>
        <v>823423.43079999997</v>
      </c>
      <c r="J497">
        <f>Overtime!D497</f>
        <v>0</v>
      </c>
      <c r="K497">
        <f>IF(C497="Junior",0.06,IF(C497="Mid",0.08,IF(C497="Senior",0.1,IF(C497="Manager",0.12,0))))</f>
        <v>0.12</v>
      </c>
      <c r="L497">
        <f>IF(Performance!E497&gt;2,0.03,IF(Performance!E497&gt;=1,0.01,-0.02))</f>
        <v>0.01</v>
      </c>
      <c r="M497">
        <f t="shared" si="15"/>
        <v>0.13</v>
      </c>
      <c r="N497">
        <f>Earnings!B497*(1+M497)</f>
        <v>988405.80199999979</v>
      </c>
    </row>
    <row r="498" spans="1:14" x14ac:dyDescent="0.35">
      <c r="A498" t="s">
        <v>529</v>
      </c>
      <c r="B498" t="s">
        <v>15</v>
      </c>
      <c r="C498" t="s">
        <v>16</v>
      </c>
      <c r="D498" t="s">
        <v>17</v>
      </c>
      <c r="E498">
        <v>14</v>
      </c>
      <c r="F498" t="s">
        <v>38</v>
      </c>
      <c r="G498">
        <f>Earnings!G498</f>
        <v>887973.24</v>
      </c>
      <c r="H498">
        <f>Deductions!B498+Deductions!C498+Deductions!D498+Tax!D498</f>
        <v>10254.083333333334</v>
      </c>
      <c r="I498">
        <f t="shared" si="14"/>
        <v>1012967.1816666666</v>
      </c>
      <c r="J498">
        <f>Overtime!D498</f>
        <v>135248.02500000002</v>
      </c>
      <c r="K498">
        <f>IF(C498="Junior",0.06,IF(C498="Mid",0.08,IF(C498="Senior",0.1,IF(C498="Manager",0.12,0))))</f>
        <v>0.06</v>
      </c>
      <c r="L498">
        <f>IF(Performance!E498&gt;2,0.03,IF(Performance!E498&gt;=1,0.01,-0.02))</f>
        <v>0.01</v>
      </c>
      <c r="M498">
        <f t="shared" si="15"/>
        <v>6.9999999999999993E-2</v>
      </c>
      <c r="N498">
        <f>Earnings!B498*(1+M498)</f>
        <v>998037.15</v>
      </c>
    </row>
    <row r="499" spans="1:14" x14ac:dyDescent="0.35">
      <c r="A499" t="s">
        <v>530</v>
      </c>
      <c r="B499" t="s">
        <v>30</v>
      </c>
      <c r="C499" t="s">
        <v>34</v>
      </c>
      <c r="D499" t="s">
        <v>22</v>
      </c>
      <c r="E499">
        <v>4</v>
      </c>
      <c r="F499" t="s">
        <v>28</v>
      </c>
      <c r="G499">
        <f>Earnings!G499</f>
        <v>1054875.8807999999</v>
      </c>
      <c r="H499">
        <f>Deductions!B499+Deductions!C499+Deductions!D499+Tax!D499</f>
        <v>14076.572499999997</v>
      </c>
      <c r="I499">
        <f t="shared" si="14"/>
        <v>1040799.3082999999</v>
      </c>
      <c r="J499">
        <f>Overtime!D499</f>
        <v>0</v>
      </c>
      <c r="K499">
        <f>IF(C499="Junior",0.06,IF(C499="Mid",0.08,IF(C499="Senior",0.1,IF(C499="Manager",0.12,0))))</f>
        <v>0.08</v>
      </c>
      <c r="L499">
        <f>IF(Performance!E499&gt;2,0.03,IF(Performance!E499&gt;=1,0.01,-0.02))</f>
        <v>0.01</v>
      </c>
      <c r="M499">
        <f t="shared" si="15"/>
        <v>0.09</v>
      </c>
      <c r="N499">
        <f>Earnings!B499*(1+M499)</f>
        <v>1207788.561</v>
      </c>
    </row>
    <row r="500" spans="1:14" x14ac:dyDescent="0.35">
      <c r="A500" t="s">
        <v>531</v>
      </c>
      <c r="B500" t="s">
        <v>20</v>
      </c>
      <c r="C500" t="s">
        <v>16</v>
      </c>
      <c r="D500" t="s">
        <v>17</v>
      </c>
      <c r="E500">
        <v>10</v>
      </c>
      <c r="F500" t="s">
        <v>28</v>
      </c>
      <c r="G500">
        <f>Earnings!G500</f>
        <v>923184.86399999983</v>
      </c>
      <c r="H500">
        <f>Deductions!B500+Deductions!C500+Deductions!D500+Tax!D500</f>
        <v>10870.533333333335</v>
      </c>
      <c r="I500">
        <f t="shared" si="14"/>
        <v>965649.59066666651</v>
      </c>
      <c r="J500">
        <f>Overtime!D500</f>
        <v>53335.259999999995</v>
      </c>
      <c r="K500">
        <f>IF(C500="Junior",0.06,IF(C500="Mid",0.08,IF(C500="Senior",0.1,IF(C500="Manager",0.12,0))))</f>
        <v>0.06</v>
      </c>
      <c r="L500">
        <f>IF(Performance!E500&gt;2,0.03,IF(Performance!E500&gt;=1,0.01,-0.02))</f>
        <v>0.03</v>
      </c>
      <c r="M500">
        <f t="shared" si="15"/>
        <v>0.09</v>
      </c>
      <c r="N500">
        <f>Earnings!B500*(1+M500)</f>
        <v>1057007.8800000001</v>
      </c>
    </row>
    <row r="501" spans="1:14" x14ac:dyDescent="0.35">
      <c r="A501" t="s">
        <v>532</v>
      </c>
      <c r="B501" t="s">
        <v>30</v>
      </c>
      <c r="C501" t="s">
        <v>21</v>
      </c>
      <c r="D501" t="s">
        <v>17</v>
      </c>
      <c r="E501">
        <v>10</v>
      </c>
      <c r="F501" t="s">
        <v>28</v>
      </c>
      <c r="G501">
        <f>Earnings!G501</f>
        <v>990325.61600000004</v>
      </c>
      <c r="H501">
        <f>Deductions!B501+Deductions!C501+Deductions!D501+Tax!D501</f>
        <v>12381.449999999999</v>
      </c>
      <c r="I501">
        <f t="shared" si="14"/>
        <v>977944.16600000008</v>
      </c>
      <c r="J501">
        <f>Overtime!D501</f>
        <v>0</v>
      </c>
      <c r="K501">
        <f>IF(C501="Junior",0.06,IF(C501="Mid",0.08,IF(C501="Senior",0.1,IF(C501="Manager",0.12,0))))</f>
        <v>0.1</v>
      </c>
      <c r="L501">
        <f>IF(Performance!E501&gt;2,0.03,IF(Performance!E501&gt;=1,0.01,-0.02))</f>
        <v>0.01</v>
      </c>
      <c r="M501">
        <f t="shared" si="15"/>
        <v>0.11</v>
      </c>
      <c r="N501">
        <f>Earnings!B501*(1+M501)</f>
        <v>1154686.3800000001</v>
      </c>
    </row>
    <row r="502" spans="1:14" x14ac:dyDescent="0.35">
      <c r="A502" t="s">
        <v>533</v>
      </c>
      <c r="B502" t="s">
        <v>30</v>
      </c>
      <c r="C502" t="s">
        <v>21</v>
      </c>
      <c r="D502" t="s">
        <v>22</v>
      </c>
      <c r="E502">
        <v>0</v>
      </c>
      <c r="F502" t="s">
        <v>38</v>
      </c>
      <c r="G502">
        <f>Earnings!G502</f>
        <v>573379.65159999987</v>
      </c>
      <c r="H502">
        <f>Deductions!B502+Deductions!C502+Deductions!D502+Tax!D502</f>
        <v>4746.4924999999985</v>
      </c>
      <c r="I502">
        <f t="shared" si="14"/>
        <v>592724.74109999987</v>
      </c>
      <c r="J502">
        <f>Overtime!D502</f>
        <v>24091.582000000002</v>
      </c>
      <c r="K502">
        <f>IF(C502="Junior",0.06,IF(C502="Mid",0.08,IF(C502="Senior",0.1,IF(C502="Manager",0.12,0))))</f>
        <v>0.1</v>
      </c>
      <c r="L502">
        <f>IF(Performance!E502&gt;2,0.03,IF(Performance!E502&gt;=1,0.01,-0.02))</f>
        <v>0.01</v>
      </c>
      <c r="M502">
        <f t="shared" si="15"/>
        <v>0.11</v>
      </c>
      <c r="N502">
        <f>Earnings!B502*(1+M502)</f>
        <v>668541.40049999999</v>
      </c>
    </row>
    <row r="503" spans="1:14" x14ac:dyDescent="0.35">
      <c r="A503" t="s">
        <v>534</v>
      </c>
      <c r="B503" t="s">
        <v>15</v>
      </c>
      <c r="C503" t="s">
        <v>21</v>
      </c>
      <c r="D503" t="s">
        <v>22</v>
      </c>
      <c r="E503">
        <v>4</v>
      </c>
      <c r="F503" t="s">
        <v>32</v>
      </c>
      <c r="G503">
        <f>Earnings!G503</f>
        <v>382413.78279999999</v>
      </c>
      <c r="H503">
        <f>Deductions!B503+Deductions!C503+Deductions!D503+Tax!D503</f>
        <v>2632.0631250000001</v>
      </c>
      <c r="I503">
        <f t="shared" si="14"/>
        <v>415934.28317499999</v>
      </c>
      <c r="J503">
        <f>Overtime!D503</f>
        <v>36152.563500000004</v>
      </c>
      <c r="K503">
        <f>IF(C503="Junior",0.06,IF(C503="Mid",0.08,IF(C503="Senior",0.1,IF(C503="Manager",0.12,0))))</f>
        <v>0.1</v>
      </c>
      <c r="L503">
        <f>IF(Performance!E503&gt;2,0.03,IF(Performance!E503&gt;=1,0.01,-0.02))</f>
        <v>0.01</v>
      </c>
      <c r="M503">
        <f t="shared" si="15"/>
        <v>0.11</v>
      </c>
      <c r="N503">
        <f>Earnings!B503*(1+M503)</f>
        <v>445881.61650000006</v>
      </c>
    </row>
    <row r="504" spans="1:14" x14ac:dyDescent="0.35">
      <c r="A504" t="s">
        <v>535</v>
      </c>
      <c r="B504" t="s">
        <v>15</v>
      </c>
      <c r="C504" t="s">
        <v>21</v>
      </c>
      <c r="D504" t="s">
        <v>17</v>
      </c>
      <c r="E504">
        <v>1</v>
      </c>
      <c r="F504" t="s">
        <v>28</v>
      </c>
      <c r="G504">
        <f>Earnings!G504</f>
        <v>486721.424</v>
      </c>
      <c r="H504">
        <f>Deductions!B504+Deductions!C504+Deductions!D504+Tax!D504</f>
        <v>3229.3666666666668</v>
      </c>
      <c r="I504">
        <f t="shared" si="14"/>
        <v>506498.84733333334</v>
      </c>
      <c r="J504">
        <f>Overtime!D504</f>
        <v>23006.79</v>
      </c>
      <c r="K504">
        <f>IF(C504="Junior",0.06,IF(C504="Mid",0.08,IF(C504="Senior",0.1,IF(C504="Manager",0.12,0))))</f>
        <v>0.1</v>
      </c>
      <c r="L504">
        <f>IF(Performance!E504&gt;2,0.03,IF(Performance!E504&gt;=1,0.01,-0.02))</f>
        <v>0.01</v>
      </c>
      <c r="M504">
        <f t="shared" si="15"/>
        <v>0.11</v>
      </c>
      <c r="N504">
        <f>Earnings!B504*(1+M504)</f>
        <v>567500.82000000007</v>
      </c>
    </row>
    <row r="505" spans="1:14" x14ac:dyDescent="0.35">
      <c r="A505" t="s">
        <v>536</v>
      </c>
      <c r="B505" t="s">
        <v>27</v>
      </c>
      <c r="C505" t="s">
        <v>44</v>
      </c>
      <c r="D505" t="s">
        <v>22</v>
      </c>
      <c r="E505">
        <v>13</v>
      </c>
      <c r="F505" t="s">
        <v>18</v>
      </c>
      <c r="G505">
        <f>Earnings!G505</f>
        <v>805563.55039999995</v>
      </c>
      <c r="H505">
        <f>Deductions!B505+Deductions!C505+Deductions!D505+Tax!D505</f>
        <v>8811.3366666666661</v>
      </c>
      <c r="I505">
        <f t="shared" si="14"/>
        <v>796752.21373333328</v>
      </c>
      <c r="J505">
        <f>Overtime!D505</f>
        <v>0</v>
      </c>
      <c r="K505">
        <f>IF(C505="Junior",0.06,IF(C505="Mid",0.08,IF(C505="Senior",0.1,IF(C505="Manager",0.12,0))))</f>
        <v>0.12</v>
      </c>
      <c r="L505">
        <f>IF(Performance!E505&gt;2,0.03,IF(Performance!E505&gt;=1,0.01,-0.02))</f>
        <v>0.01</v>
      </c>
      <c r="M505">
        <f t="shared" si="15"/>
        <v>0.13</v>
      </c>
      <c r="N505">
        <f>Earnings!B505*(1+M505)</f>
        <v>956183.62599999981</v>
      </c>
    </row>
    <row r="506" spans="1:14" x14ac:dyDescent="0.35">
      <c r="A506" t="s">
        <v>537</v>
      </c>
      <c r="B506" t="s">
        <v>20</v>
      </c>
      <c r="C506" t="s">
        <v>44</v>
      </c>
      <c r="D506" t="s">
        <v>17</v>
      </c>
      <c r="E506">
        <v>5</v>
      </c>
      <c r="F506" t="s">
        <v>25</v>
      </c>
      <c r="G506">
        <f>Earnings!G506</f>
        <v>913079.38399999985</v>
      </c>
      <c r="H506">
        <f>Deductions!B506+Deductions!C506+Deductions!D506+Tax!D506</f>
        <v>10693.616666666667</v>
      </c>
      <c r="I506">
        <f t="shared" si="14"/>
        <v>1041457.7323333331</v>
      </c>
      <c r="J506">
        <f>Overtime!D506</f>
        <v>139071.965</v>
      </c>
      <c r="K506">
        <f>IF(C506="Junior",0.06,IF(C506="Mid",0.08,IF(C506="Senior",0.1,IF(C506="Manager",0.12,0))))</f>
        <v>0.12</v>
      </c>
      <c r="L506">
        <f>IF(Performance!E506&gt;2,0.03,IF(Performance!E506&gt;=1,0.01,-0.02))</f>
        <v>0.03</v>
      </c>
      <c r="M506">
        <f t="shared" si="15"/>
        <v>0.15</v>
      </c>
      <c r="N506">
        <f>Earnings!B506*(1+M506)</f>
        <v>1102984.5499999998</v>
      </c>
    </row>
    <row r="507" spans="1:14" x14ac:dyDescent="0.35">
      <c r="A507" t="s">
        <v>538</v>
      </c>
      <c r="B507" t="s">
        <v>30</v>
      </c>
      <c r="C507" t="s">
        <v>34</v>
      </c>
      <c r="D507" t="s">
        <v>22</v>
      </c>
      <c r="E507">
        <v>3</v>
      </c>
      <c r="F507" t="s">
        <v>71</v>
      </c>
      <c r="G507">
        <f>Earnings!G507</f>
        <v>788460.44199999992</v>
      </c>
      <c r="H507">
        <f>Deductions!B507+Deductions!C507+Deductions!D507+Tax!D507</f>
        <v>8511.9124999999985</v>
      </c>
      <c r="I507">
        <f t="shared" si="14"/>
        <v>779948.52949999995</v>
      </c>
      <c r="J507">
        <f>Overtime!D507</f>
        <v>0</v>
      </c>
      <c r="K507">
        <f>IF(C507="Junior",0.06,IF(C507="Mid",0.08,IF(C507="Senior",0.1,IF(C507="Manager",0.12,0))))</f>
        <v>0.08</v>
      </c>
      <c r="L507">
        <f>IF(Performance!E507&gt;2,0.03,IF(Performance!E507&gt;=1,0.01,-0.02))</f>
        <v>0.01</v>
      </c>
      <c r="M507">
        <f t="shared" si="15"/>
        <v>0.09</v>
      </c>
      <c r="N507">
        <f>Earnings!B507*(1+M507)</f>
        <v>902754.07750000001</v>
      </c>
    </row>
    <row r="508" spans="1:14" x14ac:dyDescent="0.35">
      <c r="A508" t="s">
        <v>539</v>
      </c>
      <c r="B508" t="s">
        <v>15</v>
      </c>
      <c r="C508" t="s">
        <v>44</v>
      </c>
      <c r="D508" t="s">
        <v>22</v>
      </c>
      <c r="E508">
        <v>13</v>
      </c>
      <c r="F508" t="s">
        <v>71</v>
      </c>
      <c r="G508">
        <f>Earnings!G508</f>
        <v>824197.80799999996</v>
      </c>
      <c r="H508">
        <f>Deductions!B508+Deductions!C508+Deductions!D508+Tax!D508</f>
        <v>9137.5666666666657</v>
      </c>
      <c r="I508">
        <f t="shared" si="14"/>
        <v>849690.40133333334</v>
      </c>
      <c r="J508">
        <f>Overtime!D508</f>
        <v>34630.159999999996</v>
      </c>
      <c r="K508">
        <f>IF(C508="Junior",0.06,IF(C508="Mid",0.08,IF(C508="Senior",0.1,IF(C508="Manager",0.12,0))))</f>
        <v>0.12</v>
      </c>
      <c r="L508">
        <f>IF(Performance!E508&gt;2,0.03,IF(Performance!E508&gt;=1,0.01,-0.02))</f>
        <v>0.01</v>
      </c>
      <c r="M508">
        <f t="shared" si="15"/>
        <v>0.13</v>
      </c>
      <c r="N508">
        <f>Earnings!B508*(1+M508)</f>
        <v>978302.0199999999</v>
      </c>
    </row>
    <row r="509" spans="1:14" x14ac:dyDescent="0.35">
      <c r="A509" t="s">
        <v>540</v>
      </c>
      <c r="B509" t="s">
        <v>20</v>
      </c>
      <c r="C509" t="s">
        <v>16</v>
      </c>
      <c r="D509" t="s">
        <v>22</v>
      </c>
      <c r="E509">
        <v>15</v>
      </c>
      <c r="F509" t="s">
        <v>32</v>
      </c>
      <c r="G509">
        <f>Earnings!G509</f>
        <v>981591.44439999992</v>
      </c>
      <c r="H509">
        <f>Deductions!B509+Deductions!C509+Deductions!D509+Tax!D509</f>
        <v>12152.086249999998</v>
      </c>
      <c r="I509">
        <f t="shared" si="14"/>
        <v>1077703.1203999999</v>
      </c>
      <c r="J509">
        <f>Overtime!D509</f>
        <v>108263.76225000001</v>
      </c>
      <c r="K509">
        <f>IF(C509="Junior",0.06,IF(C509="Mid",0.08,IF(C509="Senior",0.1,IF(C509="Manager",0.12,0))))</f>
        <v>0.06</v>
      </c>
      <c r="L509">
        <f>IF(Performance!E509&gt;2,0.03,IF(Performance!E509&gt;=1,0.01,-0.02))</f>
        <v>0.03</v>
      </c>
      <c r="M509">
        <f t="shared" si="15"/>
        <v>0.09</v>
      </c>
      <c r="N509">
        <f>Earnings!B509*(1+M509)</f>
        <v>1123880.9605</v>
      </c>
    </row>
    <row r="510" spans="1:14" x14ac:dyDescent="0.35">
      <c r="A510" t="s">
        <v>541</v>
      </c>
      <c r="B510" t="s">
        <v>36</v>
      </c>
      <c r="C510" t="s">
        <v>34</v>
      </c>
      <c r="D510" t="s">
        <v>17</v>
      </c>
      <c r="E510">
        <v>0</v>
      </c>
      <c r="F510" t="s">
        <v>32</v>
      </c>
      <c r="G510">
        <f>Earnings!G510</f>
        <v>547065.848</v>
      </c>
      <c r="H510">
        <f>Deductions!B510+Deductions!C510+Deductions!D510+Tax!D510</f>
        <v>4285.8166666666675</v>
      </c>
      <c r="I510">
        <f t="shared" si="14"/>
        <v>542780.03133333335</v>
      </c>
      <c r="J510">
        <f>Overtime!D510</f>
        <v>0</v>
      </c>
      <c r="K510">
        <f>IF(C510="Junior",0.06,IF(C510="Mid",0.08,IF(C510="Senior",0.1,IF(C510="Manager",0.12,0))))</f>
        <v>0.08</v>
      </c>
      <c r="L510">
        <f>IF(Performance!E510&gt;2,0.03,IF(Performance!E510&gt;=1,0.01,-0.02))</f>
        <v>0.01</v>
      </c>
      <c r="M510">
        <f t="shared" si="15"/>
        <v>0.09</v>
      </c>
      <c r="N510">
        <f>Earnings!B510*(1+M510)</f>
        <v>626367.41</v>
      </c>
    </row>
    <row r="511" spans="1:14" x14ac:dyDescent="0.35">
      <c r="A511" t="s">
        <v>542</v>
      </c>
      <c r="B511" t="s">
        <v>27</v>
      </c>
      <c r="C511" t="s">
        <v>16</v>
      </c>
      <c r="D511" t="s">
        <v>17</v>
      </c>
      <c r="E511">
        <v>1</v>
      </c>
      <c r="F511" t="s">
        <v>45</v>
      </c>
      <c r="G511">
        <f>Earnings!G511</f>
        <v>501568.81599999999</v>
      </c>
      <c r="H511">
        <f>Deductions!B511+Deductions!C511+Deductions!D511+Tax!D511</f>
        <v>3489.3</v>
      </c>
      <c r="I511">
        <f t="shared" si="14"/>
        <v>537593.86600000004</v>
      </c>
      <c r="J511">
        <f>Overtime!D511</f>
        <v>39514.35</v>
      </c>
      <c r="K511">
        <f>IF(C511="Junior",0.06,IF(C511="Mid",0.08,IF(C511="Senior",0.1,IF(C511="Manager",0.12,0))))</f>
        <v>0.06</v>
      </c>
      <c r="L511">
        <f>IF(Performance!E511&gt;2,0.03,IF(Performance!E511&gt;=1,0.01,-0.02))</f>
        <v>0.01</v>
      </c>
      <c r="M511">
        <f t="shared" si="15"/>
        <v>6.9999999999999993E-2</v>
      </c>
      <c r="N511">
        <f>Earnings!B511*(1+M511)</f>
        <v>563738.06000000006</v>
      </c>
    </row>
    <row r="512" spans="1:14" x14ac:dyDescent="0.35">
      <c r="A512" t="s">
        <v>543</v>
      </c>
      <c r="B512" t="s">
        <v>30</v>
      </c>
      <c r="C512" t="s">
        <v>44</v>
      </c>
      <c r="D512" t="s">
        <v>22</v>
      </c>
      <c r="E512">
        <v>7</v>
      </c>
      <c r="F512" t="s">
        <v>45</v>
      </c>
      <c r="G512">
        <f>Earnings!G512</f>
        <v>732993.59</v>
      </c>
      <c r="H512">
        <f>Deductions!B512+Deductions!C512+Deductions!D512+Tax!D512</f>
        <v>7540.854166666667</v>
      </c>
      <c r="I512">
        <f t="shared" si="14"/>
        <v>725452.73583333334</v>
      </c>
      <c r="J512">
        <f>Overtime!D512</f>
        <v>0</v>
      </c>
      <c r="K512">
        <f>IF(C512="Junior",0.06,IF(C512="Mid",0.08,IF(C512="Senior",0.1,IF(C512="Manager",0.12,0))))</f>
        <v>0.12</v>
      </c>
      <c r="L512">
        <f>IF(Performance!E512&gt;2,0.03,IF(Performance!E512&gt;=1,0.01,-0.02))</f>
        <v>0.01</v>
      </c>
      <c r="M512">
        <f t="shared" si="15"/>
        <v>0.13</v>
      </c>
      <c r="N512">
        <f>Earnings!B512*(1+M512)</f>
        <v>870044.91249999986</v>
      </c>
    </row>
    <row r="513" spans="1:14" x14ac:dyDescent="0.35">
      <c r="A513" t="s">
        <v>544</v>
      </c>
      <c r="B513" t="s">
        <v>20</v>
      </c>
      <c r="C513" t="s">
        <v>44</v>
      </c>
      <c r="D513" t="s">
        <v>17</v>
      </c>
      <c r="E513">
        <v>3</v>
      </c>
      <c r="F513" t="s">
        <v>25</v>
      </c>
      <c r="G513">
        <f>Earnings!G513</f>
        <v>552981.576</v>
      </c>
      <c r="H513">
        <f>Deductions!B513+Deductions!C513+Deductions!D513+Tax!D513</f>
        <v>4389.3833333333332</v>
      </c>
      <c r="I513">
        <f t="shared" si="14"/>
        <v>595061.23266666674</v>
      </c>
      <c r="J513">
        <f>Overtime!D513</f>
        <v>46469.04</v>
      </c>
      <c r="K513">
        <f>IF(C513="Junior",0.06,IF(C513="Mid",0.08,IF(C513="Senior",0.1,IF(C513="Manager",0.12,0))))</f>
        <v>0.12</v>
      </c>
      <c r="L513">
        <f>IF(Performance!E513&gt;2,0.03,IF(Performance!E513&gt;=1,0.01,-0.02))</f>
        <v>0.03</v>
      </c>
      <c r="M513">
        <f t="shared" si="15"/>
        <v>0.15</v>
      </c>
      <c r="N513">
        <f>Earnings!B513*(1+M513)</f>
        <v>667992.44999999995</v>
      </c>
    </row>
    <row r="514" spans="1:14" x14ac:dyDescent="0.35">
      <c r="A514" t="s">
        <v>545</v>
      </c>
      <c r="B514" t="s">
        <v>36</v>
      </c>
      <c r="C514" t="s">
        <v>44</v>
      </c>
      <c r="D514" t="s">
        <v>22</v>
      </c>
      <c r="E514">
        <v>15</v>
      </c>
      <c r="F514" t="s">
        <v>45</v>
      </c>
      <c r="G514">
        <f>Earnings!G514</f>
        <v>877114.25199999998</v>
      </c>
      <c r="H514">
        <f>Deductions!B514+Deductions!C514+Deductions!D514+Tax!D514</f>
        <v>10063.975000000002</v>
      </c>
      <c r="I514">
        <f t="shared" ref="I514:I577" si="16">G514-H514+J514</f>
        <v>867050.277</v>
      </c>
      <c r="J514">
        <f>Overtime!D514</f>
        <v>0</v>
      </c>
      <c r="K514">
        <f>IF(C514="Junior",0.06,IF(C514="Mid",0.08,IF(C514="Senior",0.1,IF(C514="Manager",0.12,0))))</f>
        <v>0.12</v>
      </c>
      <c r="L514">
        <f>IF(Performance!E514&gt;2,0.03,IF(Performance!E514&gt;=1,0.01,-0.02))</f>
        <v>0.01</v>
      </c>
      <c r="M514">
        <f t="shared" ref="M514:M577" si="17">K514+L514</f>
        <v>0.13</v>
      </c>
      <c r="N514">
        <f>Earnings!B514*(1+M514)</f>
        <v>1041112.5049999999</v>
      </c>
    </row>
    <row r="515" spans="1:14" x14ac:dyDescent="0.35">
      <c r="A515" t="s">
        <v>546</v>
      </c>
      <c r="B515" t="s">
        <v>27</v>
      </c>
      <c r="C515" t="s">
        <v>44</v>
      </c>
      <c r="D515" t="s">
        <v>22</v>
      </c>
      <c r="E515">
        <v>15</v>
      </c>
      <c r="F515" t="s">
        <v>45</v>
      </c>
      <c r="G515">
        <f>Earnings!G515</f>
        <v>772297.9095999999</v>
      </c>
      <c r="H515">
        <f>Deductions!B515+Deductions!C515+Deductions!D515+Tax!D515</f>
        <v>8228.9549999999981</v>
      </c>
      <c r="I515">
        <f t="shared" si="16"/>
        <v>885754.54959999991</v>
      </c>
      <c r="J515">
        <f>Overtime!D515</f>
        <v>121685.595</v>
      </c>
      <c r="K515">
        <f>IF(C515="Junior",0.06,IF(C515="Mid",0.08,IF(C515="Senior",0.1,IF(C515="Manager",0.12,0))))</f>
        <v>0.12</v>
      </c>
      <c r="L515">
        <f>IF(Performance!E515&gt;2,0.03,IF(Performance!E515&gt;=1,0.01,-0.02))</f>
        <v>0.01</v>
      </c>
      <c r="M515">
        <f t="shared" si="17"/>
        <v>0.13</v>
      </c>
      <c r="N515">
        <f>Earnings!B515*(1+M515)</f>
        <v>916698.14899999986</v>
      </c>
    </row>
    <row r="516" spans="1:14" x14ac:dyDescent="0.35">
      <c r="A516" t="s">
        <v>547</v>
      </c>
      <c r="B516" t="s">
        <v>20</v>
      </c>
      <c r="C516" t="s">
        <v>16</v>
      </c>
      <c r="D516" t="s">
        <v>17</v>
      </c>
      <c r="E516">
        <v>5</v>
      </c>
      <c r="F516" t="s">
        <v>32</v>
      </c>
      <c r="G516">
        <f>Earnings!G516</f>
        <v>978375.16</v>
      </c>
      <c r="H516">
        <f>Deductions!B516+Deductions!C516+Deductions!D516+Tax!D516</f>
        <v>12067.625</v>
      </c>
      <c r="I516">
        <f t="shared" si="16"/>
        <v>1002277.2100000001</v>
      </c>
      <c r="J516">
        <f>Overtime!D516</f>
        <v>35969.674999999996</v>
      </c>
      <c r="K516">
        <f>IF(C516="Junior",0.06,IF(C516="Mid",0.08,IF(C516="Senior",0.1,IF(C516="Manager",0.12,0))))</f>
        <v>0.06</v>
      </c>
      <c r="L516">
        <f>IF(Performance!E516&gt;2,0.03,IF(Performance!E516&gt;=1,0.01,-0.02))</f>
        <v>0.03</v>
      </c>
      <c r="M516">
        <f t="shared" si="17"/>
        <v>0.09</v>
      </c>
      <c r="N516">
        <f>Earnings!B516*(1+M516)</f>
        <v>1120198.4500000002</v>
      </c>
    </row>
    <row r="517" spans="1:14" x14ac:dyDescent="0.35">
      <c r="A517" t="s">
        <v>548</v>
      </c>
      <c r="B517" t="s">
        <v>20</v>
      </c>
      <c r="C517" t="s">
        <v>21</v>
      </c>
      <c r="D517" t="s">
        <v>22</v>
      </c>
      <c r="E517">
        <v>6</v>
      </c>
      <c r="F517" t="s">
        <v>45</v>
      </c>
      <c r="G517">
        <f>Earnings!G517</f>
        <v>835141.95239999995</v>
      </c>
      <c r="H517">
        <f>Deductions!B517+Deductions!C517+Deductions!D517+Tax!D517</f>
        <v>9329.1658333333326</v>
      </c>
      <c r="I517">
        <f t="shared" si="16"/>
        <v>825812.78656666656</v>
      </c>
      <c r="J517">
        <f>Overtime!D517</f>
        <v>0</v>
      </c>
      <c r="K517">
        <f>IF(C517="Junior",0.06,IF(C517="Mid",0.08,IF(C517="Senior",0.1,IF(C517="Manager",0.12,0))))</f>
        <v>0.1</v>
      </c>
      <c r="L517">
        <f>IF(Performance!E517&gt;2,0.03,IF(Performance!E517&gt;=1,0.01,-0.02))</f>
        <v>0.03</v>
      </c>
      <c r="M517">
        <f t="shared" si="17"/>
        <v>0.13</v>
      </c>
      <c r="N517">
        <f>Earnings!B517*(1+M517)</f>
        <v>991292.44349999982</v>
      </c>
    </row>
    <row r="518" spans="1:14" x14ac:dyDescent="0.35">
      <c r="A518" t="s">
        <v>549</v>
      </c>
      <c r="B518" t="s">
        <v>30</v>
      </c>
      <c r="C518" t="s">
        <v>44</v>
      </c>
      <c r="D518" t="s">
        <v>17</v>
      </c>
      <c r="E518">
        <v>9</v>
      </c>
      <c r="F518" t="s">
        <v>32</v>
      </c>
      <c r="G518">
        <f>Earnings!G518</f>
        <v>1381530.976</v>
      </c>
      <c r="H518">
        <f>Deductions!B518+Deductions!C518+Deductions!D518+Tax!D518</f>
        <v>22654.7</v>
      </c>
      <c r="I518">
        <f t="shared" si="16"/>
        <v>1358876.2760000001</v>
      </c>
      <c r="J518">
        <f>Overtime!D518</f>
        <v>0</v>
      </c>
      <c r="K518">
        <f>IF(C518="Junior",0.06,IF(C518="Mid",0.08,IF(C518="Senior",0.1,IF(C518="Manager",0.12,0))))</f>
        <v>0.12</v>
      </c>
      <c r="L518">
        <f>IF(Performance!E518&gt;2,0.03,IF(Performance!E518&gt;=1,0.01,-0.02))</f>
        <v>0.01</v>
      </c>
      <c r="M518">
        <f t="shared" si="17"/>
        <v>0.13</v>
      </c>
      <c r="N518">
        <f>Earnings!B518*(1+M518)</f>
        <v>1639842.44</v>
      </c>
    </row>
    <row r="519" spans="1:14" x14ac:dyDescent="0.35">
      <c r="A519" t="s">
        <v>550</v>
      </c>
      <c r="B519" t="s">
        <v>30</v>
      </c>
      <c r="C519" t="s">
        <v>44</v>
      </c>
      <c r="D519" t="s">
        <v>17</v>
      </c>
      <c r="E519">
        <v>14</v>
      </c>
      <c r="F519" t="s">
        <v>45</v>
      </c>
      <c r="G519">
        <f>Earnings!G519</f>
        <v>1179104.3600000001</v>
      </c>
      <c r="H519">
        <f>Deductions!B519+Deductions!C519+Deductions!D519+Tax!D519</f>
        <v>17338.875</v>
      </c>
      <c r="I519">
        <f t="shared" si="16"/>
        <v>1161765.4850000001</v>
      </c>
      <c r="J519">
        <f>Overtime!D519</f>
        <v>0</v>
      </c>
      <c r="K519">
        <f>IF(C519="Junior",0.06,IF(C519="Mid",0.08,IF(C519="Senior",0.1,IF(C519="Manager",0.12,0))))</f>
        <v>0.12</v>
      </c>
      <c r="L519">
        <f>IF(Performance!E519&gt;2,0.03,IF(Performance!E519&gt;=1,0.01,-0.02))</f>
        <v>0.01</v>
      </c>
      <c r="M519">
        <f t="shared" si="17"/>
        <v>0.13</v>
      </c>
      <c r="N519">
        <f>Earnings!B519*(1+M519)</f>
        <v>1399567.15</v>
      </c>
    </row>
    <row r="520" spans="1:14" x14ac:dyDescent="0.35">
      <c r="A520" t="s">
        <v>551</v>
      </c>
      <c r="B520" t="s">
        <v>20</v>
      </c>
      <c r="C520" t="s">
        <v>16</v>
      </c>
      <c r="D520" t="s">
        <v>22</v>
      </c>
      <c r="E520">
        <v>10</v>
      </c>
      <c r="F520" t="s">
        <v>25</v>
      </c>
      <c r="G520">
        <f>Earnings!G520</f>
        <v>785659.51520000002</v>
      </c>
      <c r="H520">
        <f>Deductions!B520+Deductions!C520+Deductions!D520+Tax!D520</f>
        <v>8462.876666666667</v>
      </c>
      <c r="I520">
        <f t="shared" si="16"/>
        <v>777196.63853333332</v>
      </c>
      <c r="J520">
        <f>Overtime!D520</f>
        <v>0</v>
      </c>
      <c r="K520">
        <f>IF(C520="Junior",0.06,IF(C520="Mid",0.08,IF(C520="Senior",0.1,IF(C520="Manager",0.12,0))))</f>
        <v>0.06</v>
      </c>
      <c r="L520">
        <f>IF(Performance!E520&gt;2,0.03,IF(Performance!E520&gt;=1,0.01,-0.02))</f>
        <v>0.03</v>
      </c>
      <c r="M520">
        <f t="shared" si="17"/>
        <v>0.09</v>
      </c>
      <c r="N520">
        <f>Earnings!B520*(1+M520)</f>
        <v>899547.13400000008</v>
      </c>
    </row>
    <row r="521" spans="1:14" x14ac:dyDescent="0.35">
      <c r="A521" t="s">
        <v>552</v>
      </c>
      <c r="B521" t="s">
        <v>36</v>
      </c>
      <c r="C521" t="s">
        <v>34</v>
      </c>
      <c r="D521" t="s">
        <v>22</v>
      </c>
      <c r="E521">
        <v>10</v>
      </c>
      <c r="F521" t="s">
        <v>38</v>
      </c>
      <c r="G521">
        <f>Earnings!G521</f>
        <v>1032378.9308</v>
      </c>
      <c r="H521">
        <f>Deductions!B521+Deductions!C521+Deductions!D521+Tax!D521</f>
        <v>13485.791249999997</v>
      </c>
      <c r="I521">
        <f t="shared" si="16"/>
        <v>1018893.13955</v>
      </c>
      <c r="J521">
        <f>Overtime!D521</f>
        <v>0</v>
      </c>
      <c r="K521">
        <f>IF(C521="Junior",0.06,IF(C521="Mid",0.08,IF(C521="Senior",0.1,IF(C521="Manager",0.12,0))))</f>
        <v>0.08</v>
      </c>
      <c r="L521">
        <f>IF(Performance!E521&gt;2,0.03,IF(Performance!E521&gt;=1,0.01,-0.02))</f>
        <v>0.01</v>
      </c>
      <c r="M521">
        <f t="shared" si="17"/>
        <v>0.09</v>
      </c>
      <c r="N521">
        <f>Earnings!B521*(1+M521)</f>
        <v>1182030.4985</v>
      </c>
    </row>
    <row r="522" spans="1:14" x14ac:dyDescent="0.35">
      <c r="A522" t="s">
        <v>553</v>
      </c>
      <c r="B522" t="s">
        <v>20</v>
      </c>
      <c r="C522" t="s">
        <v>16</v>
      </c>
      <c r="D522" t="s">
        <v>22</v>
      </c>
      <c r="E522">
        <v>14</v>
      </c>
      <c r="F522" t="s">
        <v>32</v>
      </c>
      <c r="G522">
        <f>Earnings!G522</f>
        <v>843891.11800000002</v>
      </c>
      <c r="H522">
        <f>Deductions!B522+Deductions!C522+Deductions!D522+Tax!D522</f>
        <v>9482.3375000000015</v>
      </c>
      <c r="I522">
        <f t="shared" si="16"/>
        <v>909756.20175000001</v>
      </c>
      <c r="J522">
        <f>Overtime!D522</f>
        <v>75347.421249999999</v>
      </c>
      <c r="K522">
        <f>IF(C522="Junior",0.06,IF(C522="Mid",0.08,IF(C522="Senior",0.1,IF(C522="Manager",0.12,0))))</f>
        <v>0.06</v>
      </c>
      <c r="L522">
        <f>IF(Performance!E522&gt;2,0.03,IF(Performance!E522&gt;=1,0.01,-0.02))</f>
        <v>0.03</v>
      </c>
      <c r="M522">
        <f t="shared" si="17"/>
        <v>0.09</v>
      </c>
      <c r="N522">
        <f>Earnings!B522*(1+M522)</f>
        <v>966219.87250000006</v>
      </c>
    </row>
    <row r="523" spans="1:14" x14ac:dyDescent="0.35">
      <c r="A523" t="s">
        <v>554</v>
      </c>
      <c r="B523" t="s">
        <v>27</v>
      </c>
      <c r="C523" t="s">
        <v>16</v>
      </c>
      <c r="D523" t="s">
        <v>17</v>
      </c>
      <c r="E523">
        <v>9</v>
      </c>
      <c r="F523" t="s">
        <v>18</v>
      </c>
      <c r="G523">
        <f>Earnings!G523</f>
        <v>594323.12800000003</v>
      </c>
      <c r="H523">
        <f>Deductions!B523+Deductions!C523+Deductions!D523+Tax!D523</f>
        <v>5113.1499999999996</v>
      </c>
      <c r="I523">
        <f t="shared" si="16"/>
        <v>589209.978</v>
      </c>
      <c r="J523">
        <f>Overtime!D523</f>
        <v>0</v>
      </c>
      <c r="K523">
        <f>IF(C523="Junior",0.06,IF(C523="Mid",0.08,IF(C523="Senior",0.1,IF(C523="Manager",0.12,0))))</f>
        <v>0.06</v>
      </c>
      <c r="L523">
        <f>IF(Performance!E523&gt;2,0.03,IF(Performance!E523&gt;=1,0.01,-0.02))</f>
        <v>0.01</v>
      </c>
      <c r="M523">
        <f t="shared" si="17"/>
        <v>6.9999999999999993E-2</v>
      </c>
      <c r="N523">
        <f>Earnings!B523*(1+M523)</f>
        <v>667989.23</v>
      </c>
    </row>
    <row r="524" spans="1:14" x14ac:dyDescent="0.35">
      <c r="A524" t="s">
        <v>555</v>
      </c>
      <c r="B524" t="s">
        <v>20</v>
      </c>
      <c r="C524" t="s">
        <v>34</v>
      </c>
      <c r="D524" t="s">
        <v>17</v>
      </c>
      <c r="E524">
        <v>13</v>
      </c>
      <c r="F524" t="s">
        <v>71</v>
      </c>
      <c r="G524">
        <f>Earnings!G524</f>
        <v>924105.44799999997</v>
      </c>
      <c r="H524">
        <f>Deductions!B524+Deductions!C524+Deductions!D524+Tax!D524</f>
        <v>10886.65</v>
      </c>
      <c r="I524">
        <f t="shared" si="16"/>
        <v>913218.79799999995</v>
      </c>
      <c r="J524">
        <f>Overtime!D524</f>
        <v>0</v>
      </c>
      <c r="K524">
        <f>IF(C524="Junior",0.06,IF(C524="Mid",0.08,IF(C524="Senior",0.1,IF(C524="Manager",0.12,0))))</f>
        <v>0.08</v>
      </c>
      <c r="L524">
        <f>IF(Performance!E524&gt;2,0.03,IF(Performance!E524&gt;=1,0.01,-0.02))</f>
        <v>0.03</v>
      </c>
      <c r="M524">
        <f t="shared" si="17"/>
        <v>0.11</v>
      </c>
      <c r="N524">
        <f>Earnings!B524*(1+M524)</f>
        <v>1077475.8900000001</v>
      </c>
    </row>
    <row r="525" spans="1:14" x14ac:dyDescent="0.35">
      <c r="A525" t="s">
        <v>556</v>
      </c>
      <c r="B525" t="s">
        <v>15</v>
      </c>
      <c r="C525" t="s">
        <v>44</v>
      </c>
      <c r="D525" t="s">
        <v>17</v>
      </c>
      <c r="E525">
        <v>4</v>
      </c>
      <c r="F525" t="s">
        <v>45</v>
      </c>
      <c r="G525">
        <f>Earnings!G525</f>
        <v>650815.76</v>
      </c>
      <c r="H525">
        <f>Deductions!B525+Deductions!C525+Deductions!D525+Tax!D525</f>
        <v>6102.166666666667</v>
      </c>
      <c r="I525">
        <f t="shared" si="16"/>
        <v>644713.59333333338</v>
      </c>
      <c r="J525">
        <f>Overtime!D525</f>
        <v>0</v>
      </c>
      <c r="K525">
        <f>IF(C525="Junior",0.06,IF(C525="Mid",0.08,IF(C525="Senior",0.1,IF(C525="Manager",0.12,0))))</f>
        <v>0.12</v>
      </c>
      <c r="L525">
        <f>IF(Performance!E525&gt;2,0.03,IF(Performance!E525&gt;=1,0.01,-0.02))</f>
        <v>0.01</v>
      </c>
      <c r="M525">
        <f t="shared" si="17"/>
        <v>0.13</v>
      </c>
      <c r="N525">
        <f>Earnings!B525*(1+M525)</f>
        <v>772501.89999999991</v>
      </c>
    </row>
    <row r="526" spans="1:14" x14ac:dyDescent="0.35">
      <c r="A526" t="s">
        <v>557</v>
      </c>
      <c r="B526" t="s">
        <v>36</v>
      </c>
      <c r="C526" t="s">
        <v>44</v>
      </c>
      <c r="D526" t="s">
        <v>22</v>
      </c>
      <c r="E526">
        <v>3</v>
      </c>
      <c r="F526" t="s">
        <v>71</v>
      </c>
      <c r="G526">
        <f>Earnings!G526</f>
        <v>718641.66639999999</v>
      </c>
      <c r="H526">
        <f>Deductions!B526+Deductions!C526+Deductions!D526+Tax!D526</f>
        <v>7289.5949999999993</v>
      </c>
      <c r="I526">
        <f t="shared" si="16"/>
        <v>711352.07140000002</v>
      </c>
      <c r="J526">
        <f>Overtime!D526</f>
        <v>0</v>
      </c>
      <c r="K526">
        <f>IF(C526="Junior",0.06,IF(C526="Mid",0.08,IF(C526="Senior",0.1,IF(C526="Manager",0.12,0))))</f>
        <v>0.12</v>
      </c>
      <c r="L526">
        <f>IF(Performance!E526&gt;2,0.03,IF(Performance!E526&gt;=1,0.01,-0.02))</f>
        <v>0.01</v>
      </c>
      <c r="M526">
        <f t="shared" si="17"/>
        <v>0.13</v>
      </c>
      <c r="N526">
        <f>Earnings!B526*(1+M526)</f>
        <v>853009.54099999985</v>
      </c>
    </row>
    <row r="527" spans="1:14" x14ac:dyDescent="0.35">
      <c r="A527" t="s">
        <v>558</v>
      </c>
      <c r="B527" t="s">
        <v>15</v>
      </c>
      <c r="C527" t="s">
        <v>16</v>
      </c>
      <c r="D527" t="s">
        <v>22</v>
      </c>
      <c r="E527">
        <v>2</v>
      </c>
      <c r="F527" t="s">
        <v>28</v>
      </c>
      <c r="G527">
        <f>Earnings!G527</f>
        <v>347248.902</v>
      </c>
      <c r="H527">
        <f>Deductions!B527+Deductions!C527+Deductions!D527+Tax!D527</f>
        <v>2478.1552083333336</v>
      </c>
      <c r="I527">
        <f t="shared" si="16"/>
        <v>344770.74679166666</v>
      </c>
      <c r="J527">
        <f>Overtime!D527</f>
        <v>0</v>
      </c>
      <c r="K527">
        <f>IF(C527="Junior",0.06,IF(C527="Mid",0.08,IF(C527="Senior",0.1,IF(C527="Manager",0.12,0))))</f>
        <v>0.06</v>
      </c>
      <c r="L527">
        <f>IF(Performance!E527&gt;2,0.03,IF(Performance!E527&gt;=1,0.01,-0.02))</f>
        <v>0.01</v>
      </c>
      <c r="M527">
        <f t="shared" si="17"/>
        <v>6.9999999999999993E-2</v>
      </c>
      <c r="N527">
        <f>Earnings!B527*(1+M527)</f>
        <v>390290.25750000001</v>
      </c>
    </row>
    <row r="528" spans="1:14" x14ac:dyDescent="0.35">
      <c r="A528" t="s">
        <v>559</v>
      </c>
      <c r="B528" t="s">
        <v>27</v>
      </c>
      <c r="C528" t="s">
        <v>16</v>
      </c>
      <c r="D528" t="s">
        <v>22</v>
      </c>
      <c r="E528">
        <v>4</v>
      </c>
      <c r="F528" t="s">
        <v>38</v>
      </c>
      <c r="G528">
        <f>Earnings!G528</f>
        <v>615149.3655999999</v>
      </c>
      <c r="H528">
        <f>Deductions!B528+Deductions!C528+Deductions!D528+Tax!D528</f>
        <v>5477.7549999999992</v>
      </c>
      <c r="I528">
        <f t="shared" si="16"/>
        <v>609671.6105999999</v>
      </c>
      <c r="J528">
        <f>Overtime!D528</f>
        <v>0</v>
      </c>
      <c r="K528">
        <f>IF(C528="Junior",0.06,IF(C528="Mid",0.08,IF(C528="Senior",0.1,IF(C528="Manager",0.12,0))))</f>
        <v>0.06</v>
      </c>
      <c r="L528">
        <f>IF(Performance!E528&gt;2,0.03,IF(Performance!E528&gt;=1,0.01,-0.02))</f>
        <v>0.01</v>
      </c>
      <c r="M528">
        <f t="shared" si="17"/>
        <v>6.9999999999999993E-2</v>
      </c>
      <c r="N528">
        <f>Earnings!B528*(1+M528)</f>
        <v>691396.87099999993</v>
      </c>
    </row>
    <row r="529" spans="1:14" x14ac:dyDescent="0.35">
      <c r="A529" t="s">
        <v>560</v>
      </c>
      <c r="B529" t="s">
        <v>30</v>
      </c>
      <c r="C529" t="s">
        <v>16</v>
      </c>
      <c r="D529" t="s">
        <v>17</v>
      </c>
      <c r="E529">
        <v>8</v>
      </c>
      <c r="F529" t="s">
        <v>18</v>
      </c>
      <c r="G529">
        <f>Earnings!G529</f>
        <v>1114600.648</v>
      </c>
      <c r="H529">
        <f>Deductions!B529+Deductions!C529+Deductions!D529+Tax!D529</f>
        <v>15644.975</v>
      </c>
      <c r="I529">
        <f t="shared" si="16"/>
        <v>1128225.648</v>
      </c>
      <c r="J529">
        <f>Overtime!D529</f>
        <v>29269.974999999999</v>
      </c>
      <c r="K529">
        <f>IF(C529="Junior",0.06,IF(C529="Mid",0.08,IF(C529="Senior",0.1,IF(C529="Manager",0.12,0))))</f>
        <v>0.06</v>
      </c>
      <c r="L529">
        <f>IF(Performance!E529&gt;2,0.03,IF(Performance!E529&gt;=1,0.01,-0.02))</f>
        <v>0.01</v>
      </c>
      <c r="M529">
        <f t="shared" si="17"/>
        <v>6.9999999999999993E-2</v>
      </c>
      <c r="N529">
        <f>Earnings!B529*(1+M529)</f>
        <v>1252754.9300000002</v>
      </c>
    </row>
    <row r="530" spans="1:14" x14ac:dyDescent="0.35">
      <c r="A530" t="s">
        <v>561</v>
      </c>
      <c r="B530" t="s">
        <v>27</v>
      </c>
      <c r="C530" t="s">
        <v>34</v>
      </c>
      <c r="D530" t="s">
        <v>17</v>
      </c>
      <c r="E530">
        <v>9</v>
      </c>
      <c r="F530" t="s">
        <v>32</v>
      </c>
      <c r="G530">
        <f>Earnings!G530</f>
        <v>632762.98399999994</v>
      </c>
      <c r="H530">
        <f>Deductions!B530+Deductions!C530+Deductions!D530+Tax!D530</f>
        <v>5786.1166666666668</v>
      </c>
      <c r="I530">
        <f t="shared" si="16"/>
        <v>690120.23233333323</v>
      </c>
      <c r="J530">
        <f>Overtime!D530</f>
        <v>63143.364999999998</v>
      </c>
      <c r="K530">
        <f>IF(C530="Junior",0.06,IF(C530="Mid",0.08,IF(C530="Senior",0.1,IF(C530="Manager",0.12,0))))</f>
        <v>0.08</v>
      </c>
      <c r="L530">
        <f>IF(Performance!E530&gt;2,0.03,IF(Performance!E530&gt;=1,0.01,-0.02))</f>
        <v>0.01</v>
      </c>
      <c r="M530">
        <f t="shared" si="17"/>
        <v>0.09</v>
      </c>
      <c r="N530">
        <f>Earnings!B530*(1+M530)</f>
        <v>724487.03</v>
      </c>
    </row>
    <row r="531" spans="1:14" x14ac:dyDescent="0.35">
      <c r="A531" t="s">
        <v>562</v>
      </c>
      <c r="B531" t="s">
        <v>30</v>
      </c>
      <c r="C531" t="s">
        <v>21</v>
      </c>
      <c r="D531" t="s">
        <v>17</v>
      </c>
      <c r="E531">
        <v>9</v>
      </c>
      <c r="F531" t="s">
        <v>45</v>
      </c>
      <c r="G531">
        <f>Earnings!G531</f>
        <v>992354.32799999998</v>
      </c>
      <c r="H531">
        <f>Deductions!B531+Deductions!C531+Deductions!D531+Tax!D531</f>
        <v>12434.725</v>
      </c>
      <c r="I531">
        <f t="shared" si="16"/>
        <v>979919.603</v>
      </c>
      <c r="J531">
        <f>Overtime!D531</f>
        <v>0</v>
      </c>
      <c r="K531">
        <f>IF(C531="Junior",0.06,IF(C531="Mid",0.08,IF(C531="Senior",0.1,IF(C531="Manager",0.12,0))))</f>
        <v>0.1</v>
      </c>
      <c r="L531">
        <f>IF(Performance!E531&gt;2,0.03,IF(Performance!E531&gt;=1,0.01,-0.02))</f>
        <v>0.01</v>
      </c>
      <c r="M531">
        <f t="shared" si="17"/>
        <v>0.11</v>
      </c>
      <c r="N531">
        <f>Earnings!B531*(1+M531)</f>
        <v>1157051.79</v>
      </c>
    </row>
    <row r="532" spans="1:14" x14ac:dyDescent="0.35">
      <c r="A532" t="s">
        <v>563</v>
      </c>
      <c r="B532" t="s">
        <v>36</v>
      </c>
      <c r="C532" t="s">
        <v>16</v>
      </c>
      <c r="D532" t="s">
        <v>22</v>
      </c>
      <c r="E532">
        <v>4</v>
      </c>
      <c r="F532" t="s">
        <v>32</v>
      </c>
      <c r="G532">
        <f>Earnings!G532</f>
        <v>789695.85239999997</v>
      </c>
      <c r="H532">
        <f>Deductions!B532+Deductions!C532+Deductions!D532+Tax!D532</f>
        <v>8533.5408333333326</v>
      </c>
      <c r="I532">
        <f t="shared" si="16"/>
        <v>843375.74531666667</v>
      </c>
      <c r="J532">
        <f>Overtime!D532</f>
        <v>62213.433749999997</v>
      </c>
      <c r="K532">
        <f>IF(C532="Junior",0.06,IF(C532="Mid",0.08,IF(C532="Senior",0.1,IF(C532="Manager",0.12,0))))</f>
        <v>0.06</v>
      </c>
      <c r="L532">
        <f>IF(Performance!E532&gt;2,0.03,IF(Performance!E532&gt;=1,0.01,-0.02))</f>
        <v>0.01</v>
      </c>
      <c r="M532">
        <f t="shared" si="17"/>
        <v>6.9999999999999993E-2</v>
      </c>
      <c r="N532">
        <f>Earnings!B532*(1+M532)</f>
        <v>887578.32149999996</v>
      </c>
    </row>
    <row r="533" spans="1:14" x14ac:dyDescent="0.35">
      <c r="A533" t="s">
        <v>564</v>
      </c>
      <c r="B533" t="s">
        <v>15</v>
      </c>
      <c r="C533" t="s">
        <v>16</v>
      </c>
      <c r="D533" t="s">
        <v>17</v>
      </c>
      <c r="E533">
        <v>11</v>
      </c>
      <c r="F533" t="s">
        <v>38</v>
      </c>
      <c r="G533">
        <f>Earnings!G533</f>
        <v>645038.07199999993</v>
      </c>
      <c r="H533">
        <f>Deductions!B533+Deductions!C533+Deductions!D533+Tax!D533</f>
        <v>6001.0166666666664</v>
      </c>
      <c r="I533">
        <f t="shared" si="16"/>
        <v>733895.59533333324</v>
      </c>
      <c r="J533">
        <f>Overtime!D533</f>
        <v>94858.540000000008</v>
      </c>
      <c r="K533">
        <f>IF(C533="Junior",0.06,IF(C533="Mid",0.08,IF(C533="Senior",0.1,IF(C533="Manager",0.12,0))))</f>
        <v>0.06</v>
      </c>
      <c r="L533">
        <f>IF(Performance!E533&gt;2,0.03,IF(Performance!E533&gt;=1,0.01,-0.02))</f>
        <v>0.01</v>
      </c>
      <c r="M533">
        <f t="shared" si="17"/>
        <v>6.9999999999999993E-2</v>
      </c>
      <c r="N533">
        <f>Earnings!B533*(1+M533)</f>
        <v>724990.27</v>
      </c>
    </row>
    <row r="534" spans="1:14" x14ac:dyDescent="0.35">
      <c r="A534" t="s">
        <v>565</v>
      </c>
      <c r="B534" t="s">
        <v>27</v>
      </c>
      <c r="C534" t="s">
        <v>16</v>
      </c>
      <c r="D534" t="s">
        <v>17</v>
      </c>
      <c r="E534">
        <v>8</v>
      </c>
      <c r="F534" t="s">
        <v>32</v>
      </c>
      <c r="G534">
        <f>Earnings!G534</f>
        <v>795720.63199999987</v>
      </c>
      <c r="H534">
        <f>Deductions!B534+Deductions!C534+Deductions!D534+Tax!D534</f>
        <v>8639.0166666666664</v>
      </c>
      <c r="I534">
        <f t="shared" si="16"/>
        <v>891561.74033333315</v>
      </c>
      <c r="J534">
        <f>Overtime!D534</f>
        <v>104480.125</v>
      </c>
      <c r="K534">
        <f>IF(C534="Junior",0.06,IF(C534="Mid",0.08,IF(C534="Senior",0.1,IF(C534="Manager",0.12,0))))</f>
        <v>0.06</v>
      </c>
      <c r="L534">
        <f>IF(Performance!E534&gt;2,0.03,IF(Performance!E534&gt;=1,0.01,-0.02))</f>
        <v>0.01</v>
      </c>
      <c r="M534">
        <f t="shared" si="17"/>
        <v>6.9999999999999993E-2</v>
      </c>
      <c r="N534">
        <f>Earnings!B534*(1+M534)</f>
        <v>894349.87</v>
      </c>
    </row>
    <row r="535" spans="1:14" x14ac:dyDescent="0.35">
      <c r="A535" t="s">
        <v>566</v>
      </c>
      <c r="B535" t="s">
        <v>36</v>
      </c>
      <c r="C535" t="s">
        <v>21</v>
      </c>
      <c r="D535" t="s">
        <v>22</v>
      </c>
      <c r="E535">
        <v>3</v>
      </c>
      <c r="F535" t="s">
        <v>23</v>
      </c>
      <c r="G535">
        <f>Earnings!G535</f>
        <v>942789.06679999991</v>
      </c>
      <c r="H535">
        <f>Deductions!B535+Deductions!C535+Deductions!D535+Tax!D535</f>
        <v>11213.744166666665</v>
      </c>
      <c r="I535">
        <f t="shared" si="16"/>
        <v>931575.32263333327</v>
      </c>
      <c r="J535">
        <f>Overtime!D535</f>
        <v>0</v>
      </c>
      <c r="K535">
        <f>IF(C535="Junior",0.06,IF(C535="Mid",0.08,IF(C535="Senior",0.1,IF(C535="Manager",0.12,0))))</f>
        <v>0.1</v>
      </c>
      <c r="L535">
        <f>IF(Performance!E535&gt;2,0.03,IF(Performance!E535&gt;=1,0.01,-0.02))</f>
        <v>0.01</v>
      </c>
      <c r="M535">
        <f t="shared" si="17"/>
        <v>0.11</v>
      </c>
      <c r="N535">
        <f>Earnings!B535*(1+M535)</f>
        <v>1099260.3614999999</v>
      </c>
    </row>
    <row r="536" spans="1:14" x14ac:dyDescent="0.35">
      <c r="A536" t="s">
        <v>567</v>
      </c>
      <c r="B536" t="s">
        <v>36</v>
      </c>
      <c r="C536" t="s">
        <v>34</v>
      </c>
      <c r="D536" t="s">
        <v>22</v>
      </c>
      <c r="E536">
        <v>0</v>
      </c>
      <c r="F536" t="s">
        <v>32</v>
      </c>
      <c r="G536">
        <f>Earnings!G536</f>
        <v>722105.51839999994</v>
      </c>
      <c r="H536">
        <f>Deductions!B536+Deductions!C536+Deductions!D536+Tax!D536</f>
        <v>7350.2366666666667</v>
      </c>
      <c r="I536">
        <f t="shared" si="16"/>
        <v>828532.41173333325</v>
      </c>
      <c r="J536">
        <f>Overtime!D536</f>
        <v>113777.13</v>
      </c>
      <c r="K536">
        <f>IF(C536="Junior",0.06,IF(C536="Mid",0.08,IF(C536="Senior",0.1,IF(C536="Manager",0.12,0))))</f>
        <v>0.08</v>
      </c>
      <c r="L536">
        <f>IF(Performance!E536&gt;2,0.03,IF(Performance!E536&gt;=1,0.01,-0.02))</f>
        <v>0.01</v>
      </c>
      <c r="M536">
        <f t="shared" si="17"/>
        <v>0.09</v>
      </c>
      <c r="N536">
        <f>Earnings!B536*(1+M536)</f>
        <v>826780.478</v>
      </c>
    </row>
    <row r="537" spans="1:14" x14ac:dyDescent="0.35">
      <c r="A537" t="s">
        <v>568</v>
      </c>
      <c r="B537" t="s">
        <v>27</v>
      </c>
      <c r="C537" t="s">
        <v>44</v>
      </c>
      <c r="D537" t="s">
        <v>22</v>
      </c>
      <c r="E537">
        <v>9</v>
      </c>
      <c r="F537" t="s">
        <v>71</v>
      </c>
      <c r="G537">
        <f>Earnings!G537</f>
        <v>795841.2503999999</v>
      </c>
      <c r="H537">
        <f>Deductions!B537+Deductions!C537+Deductions!D537+Tax!D537</f>
        <v>8641.128333333334</v>
      </c>
      <c r="I537">
        <f t="shared" si="16"/>
        <v>904235.60006666661</v>
      </c>
      <c r="J537">
        <f>Overtime!D537</f>
        <v>117035.478</v>
      </c>
      <c r="K537">
        <f>IF(C537="Junior",0.06,IF(C537="Mid",0.08,IF(C537="Senior",0.1,IF(C537="Manager",0.12,0))))</f>
        <v>0.12</v>
      </c>
      <c r="L537">
        <f>IF(Performance!E537&gt;2,0.03,IF(Performance!E537&gt;=1,0.01,-0.02))</f>
        <v>0.01</v>
      </c>
      <c r="M537">
        <f t="shared" si="17"/>
        <v>0.13</v>
      </c>
      <c r="N537">
        <f>Earnings!B537*(1+M537)</f>
        <v>944643.50099999981</v>
      </c>
    </row>
    <row r="538" spans="1:14" x14ac:dyDescent="0.35">
      <c r="A538" t="s">
        <v>569</v>
      </c>
      <c r="B538" t="s">
        <v>36</v>
      </c>
      <c r="C538" t="s">
        <v>34</v>
      </c>
      <c r="D538" t="s">
        <v>17</v>
      </c>
      <c r="E538">
        <v>8</v>
      </c>
      <c r="F538" t="s">
        <v>32</v>
      </c>
      <c r="G538">
        <f>Earnings!G538</f>
        <v>1041366.144</v>
      </c>
      <c r="H538">
        <f>Deductions!B538+Deductions!C538+Deductions!D538+Tax!D538</f>
        <v>13721.800000000001</v>
      </c>
      <c r="I538">
        <f t="shared" si="16"/>
        <v>1109684.7439999999</v>
      </c>
      <c r="J538">
        <f>Overtime!D538</f>
        <v>82040.399999999994</v>
      </c>
      <c r="K538">
        <f>IF(C538="Junior",0.06,IF(C538="Mid",0.08,IF(C538="Senior",0.1,IF(C538="Manager",0.12,0))))</f>
        <v>0.08</v>
      </c>
      <c r="L538">
        <f>IF(Performance!E538&gt;2,0.03,IF(Performance!E538&gt;=1,0.01,-0.02))</f>
        <v>0.01</v>
      </c>
      <c r="M538">
        <f t="shared" si="17"/>
        <v>0.09</v>
      </c>
      <c r="N538">
        <f>Earnings!B538*(1+M538)</f>
        <v>1192320.48</v>
      </c>
    </row>
    <row r="539" spans="1:14" x14ac:dyDescent="0.35">
      <c r="A539" t="s">
        <v>570</v>
      </c>
      <c r="B539" t="s">
        <v>36</v>
      </c>
      <c r="C539" t="s">
        <v>44</v>
      </c>
      <c r="D539" t="s">
        <v>17</v>
      </c>
      <c r="E539">
        <v>11</v>
      </c>
      <c r="F539" t="s">
        <v>23</v>
      </c>
      <c r="G539">
        <f>Earnings!G539</f>
        <v>1062445.328</v>
      </c>
      <c r="H539">
        <f>Deductions!B539+Deductions!C539+Deductions!D539+Tax!D539</f>
        <v>14275.35</v>
      </c>
      <c r="I539">
        <f t="shared" si="16"/>
        <v>1048169.978</v>
      </c>
      <c r="J539">
        <f>Overtime!D539</f>
        <v>0</v>
      </c>
      <c r="K539">
        <f>IF(C539="Junior",0.06,IF(C539="Mid",0.08,IF(C539="Senior",0.1,IF(C539="Manager",0.12,0))))</f>
        <v>0.12</v>
      </c>
      <c r="L539">
        <f>IF(Performance!E539&gt;2,0.03,IF(Performance!E539&gt;=1,0.01,-0.02))</f>
        <v>0.01</v>
      </c>
      <c r="M539">
        <f t="shared" si="17"/>
        <v>0.13</v>
      </c>
      <c r="N539">
        <f>Earnings!B539*(1+M539)</f>
        <v>1261095.8199999998</v>
      </c>
    </row>
    <row r="540" spans="1:14" x14ac:dyDescent="0.35">
      <c r="A540" t="s">
        <v>571</v>
      </c>
      <c r="B540" t="s">
        <v>30</v>
      </c>
      <c r="C540" t="s">
        <v>21</v>
      </c>
      <c r="D540" t="s">
        <v>22</v>
      </c>
      <c r="E540">
        <v>13</v>
      </c>
      <c r="F540" t="s">
        <v>32</v>
      </c>
      <c r="G540">
        <f>Earnings!G540</f>
        <v>1207725.8115999999</v>
      </c>
      <c r="H540">
        <f>Deductions!B540+Deductions!C540+Deductions!D540+Tax!D540</f>
        <v>18090.488749999997</v>
      </c>
      <c r="I540">
        <f t="shared" si="16"/>
        <v>1253066.3003499999</v>
      </c>
      <c r="J540">
        <f>Overtime!D540</f>
        <v>63430.977500000015</v>
      </c>
      <c r="K540">
        <f>IF(C540="Junior",0.06,IF(C540="Mid",0.08,IF(C540="Senior",0.1,IF(C540="Manager",0.12,0))))</f>
        <v>0.1</v>
      </c>
      <c r="L540">
        <f>IF(Performance!E540&gt;2,0.03,IF(Performance!E540&gt;=1,0.01,-0.02))</f>
        <v>0.01</v>
      </c>
      <c r="M540">
        <f t="shared" si="17"/>
        <v>0.11</v>
      </c>
      <c r="N540">
        <f>Earnings!B540*(1+M540)</f>
        <v>1408167.7005000003</v>
      </c>
    </row>
    <row r="541" spans="1:14" x14ac:dyDescent="0.35">
      <c r="A541" t="s">
        <v>572</v>
      </c>
      <c r="B541" t="s">
        <v>30</v>
      </c>
      <c r="C541" t="s">
        <v>34</v>
      </c>
      <c r="D541" t="s">
        <v>22</v>
      </c>
      <c r="E541">
        <v>5</v>
      </c>
      <c r="F541" t="s">
        <v>23</v>
      </c>
      <c r="G541">
        <f>Earnings!G541</f>
        <v>753206.93</v>
      </c>
      <c r="H541">
        <f>Deductions!B541+Deductions!C541+Deductions!D541+Tax!D541</f>
        <v>7894.729166666667</v>
      </c>
      <c r="I541">
        <f t="shared" si="16"/>
        <v>860033.84458333347</v>
      </c>
      <c r="J541">
        <f>Overtime!D541</f>
        <v>114721.64374999999</v>
      </c>
      <c r="K541">
        <f>IF(C541="Junior",0.06,IF(C541="Mid",0.08,IF(C541="Senior",0.1,IF(C541="Manager",0.12,0))))</f>
        <v>0.08</v>
      </c>
      <c r="L541">
        <f>IF(Performance!E541&gt;2,0.03,IF(Performance!E541&gt;=1,0.01,-0.02))</f>
        <v>0.01</v>
      </c>
      <c r="M541">
        <f t="shared" si="17"/>
        <v>0.09</v>
      </c>
      <c r="N541">
        <f>Earnings!B541*(1+M541)</f>
        <v>862390.28750000009</v>
      </c>
    </row>
    <row r="542" spans="1:14" x14ac:dyDescent="0.35">
      <c r="A542" t="s">
        <v>573</v>
      </c>
      <c r="B542" t="s">
        <v>15</v>
      </c>
      <c r="C542" t="s">
        <v>44</v>
      </c>
      <c r="D542" t="s">
        <v>22</v>
      </c>
      <c r="E542">
        <v>3</v>
      </c>
      <c r="F542" t="s">
        <v>18</v>
      </c>
      <c r="G542">
        <f>Earnings!G542</f>
        <v>417935.90159999998</v>
      </c>
      <c r="H542">
        <f>Deductions!B542+Deductions!C542+Deductions!D542+Tax!D542</f>
        <v>2787.5345833333331</v>
      </c>
      <c r="I542">
        <f t="shared" si="16"/>
        <v>415148.36701666663</v>
      </c>
      <c r="J542">
        <f>Overtime!D542</f>
        <v>0</v>
      </c>
      <c r="K542">
        <f>IF(C542="Junior",0.06,IF(C542="Mid",0.08,IF(C542="Senior",0.1,IF(C542="Manager",0.12,0))))</f>
        <v>0.12</v>
      </c>
      <c r="L542">
        <f>IF(Performance!E542&gt;2,0.03,IF(Performance!E542&gt;=1,0.01,-0.02))</f>
        <v>0.01</v>
      </c>
      <c r="M542">
        <f t="shared" si="17"/>
        <v>0.13</v>
      </c>
      <c r="N542">
        <f>Earnings!B542*(1+M542)</f>
        <v>496079.37899999996</v>
      </c>
    </row>
    <row r="543" spans="1:14" x14ac:dyDescent="0.35">
      <c r="A543" t="s">
        <v>574</v>
      </c>
      <c r="B543" t="s">
        <v>30</v>
      </c>
      <c r="C543" t="s">
        <v>16</v>
      </c>
      <c r="D543" t="s">
        <v>22</v>
      </c>
      <c r="E543">
        <v>9</v>
      </c>
      <c r="F543" t="s">
        <v>25</v>
      </c>
      <c r="G543">
        <f>Earnings!G543</f>
        <v>1328241.6336000001</v>
      </c>
      <c r="H543">
        <f>Deductions!B543+Deductions!C543+Deductions!D543+Tax!D543</f>
        <v>21255.295000000002</v>
      </c>
      <c r="I543">
        <f t="shared" si="16"/>
        <v>1397675.1056000001</v>
      </c>
      <c r="J543">
        <f>Overtime!D543</f>
        <v>90688.767000000022</v>
      </c>
      <c r="K543">
        <f>IF(C543="Junior",0.06,IF(C543="Mid",0.08,IF(C543="Senior",0.1,IF(C543="Manager",0.12,0))))</f>
        <v>0.06</v>
      </c>
      <c r="L543">
        <f>IF(Performance!E543&gt;2,0.03,IF(Performance!E543&gt;=1,0.01,-0.02))</f>
        <v>0.01</v>
      </c>
      <c r="M543">
        <f t="shared" si="17"/>
        <v>6.9999999999999993E-2</v>
      </c>
      <c r="N543">
        <f>Earnings!B543*(1+M543)</f>
        <v>1492876.6260000002</v>
      </c>
    </row>
    <row r="544" spans="1:14" x14ac:dyDescent="0.35">
      <c r="A544" t="s">
        <v>575</v>
      </c>
      <c r="B544" t="s">
        <v>15</v>
      </c>
      <c r="C544" t="s">
        <v>44</v>
      </c>
      <c r="D544" t="s">
        <v>22</v>
      </c>
      <c r="E544">
        <v>12</v>
      </c>
      <c r="F544" t="s">
        <v>28</v>
      </c>
      <c r="G544">
        <f>Earnings!G544</f>
        <v>773697.92079999996</v>
      </c>
      <c r="H544">
        <f>Deductions!B544+Deductions!C544+Deductions!D544+Tax!D544</f>
        <v>8253.4650000000001</v>
      </c>
      <c r="I544">
        <f t="shared" si="16"/>
        <v>765444.4558</v>
      </c>
      <c r="J544">
        <f>Overtime!D544</f>
        <v>0</v>
      </c>
      <c r="K544">
        <f>IF(C544="Junior",0.06,IF(C544="Mid",0.08,IF(C544="Senior",0.1,IF(C544="Manager",0.12,0))))</f>
        <v>0.12</v>
      </c>
      <c r="L544">
        <f>IF(Performance!E544&gt;2,0.03,IF(Performance!E544&gt;=1,0.01,-0.02))</f>
        <v>0.01</v>
      </c>
      <c r="M544">
        <f t="shared" si="17"/>
        <v>0.13</v>
      </c>
      <c r="N544">
        <f>Earnings!B544*(1+M544)</f>
        <v>918359.92699999979</v>
      </c>
    </row>
    <row r="545" spans="1:14" x14ac:dyDescent="0.35">
      <c r="A545" t="s">
        <v>576</v>
      </c>
      <c r="B545" t="s">
        <v>15</v>
      </c>
      <c r="C545" t="s">
        <v>44</v>
      </c>
      <c r="D545" t="s">
        <v>22</v>
      </c>
      <c r="E545">
        <v>15</v>
      </c>
      <c r="F545" t="s">
        <v>18</v>
      </c>
      <c r="G545">
        <f>Earnings!G545</f>
        <v>920268.60239999997</v>
      </c>
      <c r="H545">
        <f>Deductions!B545+Deductions!C545+Deductions!D545+Tax!D545</f>
        <v>10819.478333333333</v>
      </c>
      <c r="I545">
        <f t="shared" si="16"/>
        <v>909449.1240666667</v>
      </c>
      <c r="J545">
        <f>Overtime!D545</f>
        <v>0</v>
      </c>
      <c r="K545">
        <f>IF(C545="Junior",0.06,IF(C545="Mid",0.08,IF(C545="Senior",0.1,IF(C545="Manager",0.12,0))))</f>
        <v>0.12</v>
      </c>
      <c r="L545">
        <f>IF(Performance!E545&gt;2,0.03,IF(Performance!E545&gt;=1,0.01,-0.02))</f>
        <v>0.01</v>
      </c>
      <c r="M545">
        <f t="shared" si="17"/>
        <v>0.13</v>
      </c>
      <c r="N545">
        <f>Earnings!B545*(1+M545)</f>
        <v>1092335.6309999998</v>
      </c>
    </row>
    <row r="546" spans="1:14" x14ac:dyDescent="0.35">
      <c r="A546" t="s">
        <v>577</v>
      </c>
      <c r="B546" t="s">
        <v>36</v>
      </c>
      <c r="C546" t="s">
        <v>21</v>
      </c>
      <c r="D546" t="s">
        <v>17</v>
      </c>
      <c r="E546">
        <v>2</v>
      </c>
      <c r="F546" t="s">
        <v>23</v>
      </c>
      <c r="G546">
        <f>Earnings!G546</f>
        <v>791307.16</v>
      </c>
      <c r="H546">
        <f>Deductions!B546+Deductions!C546+Deductions!D546+Tax!D546</f>
        <v>8561.75</v>
      </c>
      <c r="I546">
        <f t="shared" si="16"/>
        <v>815993.61</v>
      </c>
      <c r="J546">
        <f>Overtime!D546</f>
        <v>33248.199999999997</v>
      </c>
      <c r="K546">
        <f>IF(C546="Junior",0.06,IF(C546="Mid",0.08,IF(C546="Senior",0.1,IF(C546="Manager",0.12,0))))</f>
        <v>0.1</v>
      </c>
      <c r="L546">
        <f>IF(Performance!E546&gt;2,0.03,IF(Performance!E546&gt;=1,0.01,-0.02))</f>
        <v>0.01</v>
      </c>
      <c r="M546">
        <f t="shared" si="17"/>
        <v>0.11</v>
      </c>
      <c r="N546">
        <f>Earnings!B546*(1+M546)</f>
        <v>922637.55</v>
      </c>
    </row>
    <row r="547" spans="1:14" x14ac:dyDescent="0.35">
      <c r="A547" t="s">
        <v>578</v>
      </c>
      <c r="B547" t="s">
        <v>20</v>
      </c>
      <c r="C547" t="s">
        <v>44</v>
      </c>
      <c r="D547" t="s">
        <v>17</v>
      </c>
      <c r="E547">
        <v>4</v>
      </c>
      <c r="F547" t="s">
        <v>23</v>
      </c>
      <c r="G547">
        <f>Earnings!G547</f>
        <v>693750.96</v>
      </c>
      <c r="H547">
        <f>Deductions!B547+Deductions!C547+Deductions!D547+Tax!D547</f>
        <v>6853.833333333333</v>
      </c>
      <c r="I547">
        <f t="shared" si="16"/>
        <v>686897.12666666659</v>
      </c>
      <c r="J547">
        <f>Overtime!D547</f>
        <v>0</v>
      </c>
      <c r="K547">
        <f>IF(C547="Junior",0.06,IF(C547="Mid",0.08,IF(C547="Senior",0.1,IF(C547="Manager",0.12,0))))</f>
        <v>0.12</v>
      </c>
      <c r="L547">
        <f>IF(Performance!E547&gt;2,0.03,IF(Performance!E547&gt;=1,0.01,-0.02))</f>
        <v>0.03</v>
      </c>
      <c r="M547">
        <f t="shared" si="17"/>
        <v>0.15</v>
      </c>
      <c r="N547">
        <f>Earnings!B547*(1+M547)</f>
        <v>838039.49999999988</v>
      </c>
    </row>
    <row r="548" spans="1:14" x14ac:dyDescent="0.35">
      <c r="A548" t="s">
        <v>579</v>
      </c>
      <c r="B548" t="s">
        <v>20</v>
      </c>
      <c r="C548" t="s">
        <v>16</v>
      </c>
      <c r="D548" t="s">
        <v>17</v>
      </c>
      <c r="E548">
        <v>9</v>
      </c>
      <c r="F548" t="s">
        <v>45</v>
      </c>
      <c r="G548">
        <f>Earnings!G548</f>
        <v>1088008.432</v>
      </c>
      <c r="H548">
        <f>Deductions!B548+Deductions!C548+Deductions!D548+Tax!D548</f>
        <v>14946.65</v>
      </c>
      <c r="I548">
        <f t="shared" si="16"/>
        <v>1158776.7320000001</v>
      </c>
      <c r="J548">
        <f>Overtime!D548</f>
        <v>85714.95</v>
      </c>
      <c r="K548">
        <f>IF(C548="Junior",0.06,IF(C548="Mid",0.08,IF(C548="Senior",0.1,IF(C548="Manager",0.12,0))))</f>
        <v>0.06</v>
      </c>
      <c r="L548">
        <f>IF(Performance!E548&gt;2,0.03,IF(Performance!E548&gt;=1,0.01,-0.02))</f>
        <v>0.03</v>
      </c>
      <c r="M548">
        <f t="shared" si="17"/>
        <v>0.09</v>
      </c>
      <c r="N548">
        <f>Earnings!B548*(1+M548)</f>
        <v>1245723.9400000002</v>
      </c>
    </row>
    <row r="549" spans="1:14" x14ac:dyDescent="0.35">
      <c r="A549" t="s">
        <v>580</v>
      </c>
      <c r="B549" t="s">
        <v>20</v>
      </c>
      <c r="C549" t="s">
        <v>44</v>
      </c>
      <c r="D549" t="s">
        <v>17</v>
      </c>
      <c r="E549">
        <v>13</v>
      </c>
      <c r="F549" t="s">
        <v>25</v>
      </c>
      <c r="G549">
        <f>Earnings!G549</f>
        <v>846738.31200000003</v>
      </c>
      <c r="H549">
        <f>Deductions!B549+Deductions!C549+Deductions!D549+Tax!D549</f>
        <v>9532.1833333333343</v>
      </c>
      <c r="I549">
        <f t="shared" si="16"/>
        <v>895019.1436666667</v>
      </c>
      <c r="J549">
        <f>Overtime!D549</f>
        <v>57813.015000000007</v>
      </c>
      <c r="K549">
        <f>IF(C549="Junior",0.06,IF(C549="Mid",0.08,IF(C549="Senior",0.1,IF(C549="Manager",0.12,0))))</f>
        <v>0.12</v>
      </c>
      <c r="L549">
        <f>IF(Performance!E549&gt;2,0.03,IF(Performance!E549&gt;=1,0.01,-0.02))</f>
        <v>0.03</v>
      </c>
      <c r="M549">
        <f t="shared" si="17"/>
        <v>0.15</v>
      </c>
      <c r="N549">
        <f>Earnings!B549*(1+M549)</f>
        <v>1022845.6499999999</v>
      </c>
    </row>
    <row r="550" spans="1:14" x14ac:dyDescent="0.35">
      <c r="A550" t="s">
        <v>581</v>
      </c>
      <c r="B550" t="s">
        <v>20</v>
      </c>
      <c r="C550" t="s">
        <v>21</v>
      </c>
      <c r="D550" t="s">
        <v>17</v>
      </c>
      <c r="E550">
        <v>7</v>
      </c>
      <c r="F550" t="s">
        <v>71</v>
      </c>
      <c r="G550">
        <f>Earnings!G550</f>
        <v>623541.91199999989</v>
      </c>
      <c r="H550">
        <f>Deductions!B550+Deductions!C550+Deductions!D550+Tax!D550</f>
        <v>5624.6833333333325</v>
      </c>
      <c r="I550">
        <f t="shared" si="16"/>
        <v>617917.22866666655</v>
      </c>
      <c r="J550">
        <f>Overtime!D550</f>
        <v>0</v>
      </c>
      <c r="K550">
        <f>IF(C550="Junior",0.06,IF(C550="Mid",0.08,IF(C550="Senior",0.1,IF(C550="Manager",0.12,0))))</f>
        <v>0.1</v>
      </c>
      <c r="L550">
        <f>IF(Performance!E550&gt;2,0.03,IF(Performance!E550&gt;=1,0.01,-0.02))</f>
        <v>0.03</v>
      </c>
      <c r="M550">
        <f t="shared" si="17"/>
        <v>0.13</v>
      </c>
      <c r="N550">
        <f>Earnings!B550*(1+M550)</f>
        <v>740128.52999999991</v>
      </c>
    </row>
    <row r="551" spans="1:14" x14ac:dyDescent="0.35">
      <c r="A551" t="s">
        <v>582</v>
      </c>
      <c r="B551" t="s">
        <v>30</v>
      </c>
      <c r="C551" t="s">
        <v>44</v>
      </c>
      <c r="D551" t="s">
        <v>17</v>
      </c>
      <c r="E551">
        <v>6</v>
      </c>
      <c r="F551" t="s">
        <v>38</v>
      </c>
      <c r="G551">
        <f>Earnings!G551</f>
        <v>824424.38399999985</v>
      </c>
      <c r="H551">
        <f>Deductions!B551+Deductions!C551+Deductions!D551+Tax!D551</f>
        <v>9141.5333333333328</v>
      </c>
      <c r="I551">
        <f t="shared" si="16"/>
        <v>815282.85066666652</v>
      </c>
      <c r="J551">
        <f>Overtime!D551</f>
        <v>0</v>
      </c>
      <c r="K551">
        <f>IF(C551="Junior",0.06,IF(C551="Mid",0.08,IF(C551="Senior",0.1,IF(C551="Manager",0.12,0))))</f>
        <v>0.12</v>
      </c>
      <c r="L551">
        <f>IF(Performance!E551&gt;2,0.03,IF(Performance!E551&gt;=1,0.01,-0.02))</f>
        <v>0.01</v>
      </c>
      <c r="M551">
        <f t="shared" si="17"/>
        <v>0.13</v>
      </c>
      <c r="N551">
        <f>Earnings!B551*(1+M551)</f>
        <v>978570.96</v>
      </c>
    </row>
    <row r="552" spans="1:14" x14ac:dyDescent="0.35">
      <c r="A552" t="s">
        <v>583</v>
      </c>
      <c r="B552" t="s">
        <v>36</v>
      </c>
      <c r="C552" t="s">
        <v>21</v>
      </c>
      <c r="D552" t="s">
        <v>22</v>
      </c>
      <c r="E552">
        <v>8</v>
      </c>
      <c r="F552" t="s">
        <v>28</v>
      </c>
      <c r="G552">
        <f>Earnings!G552</f>
        <v>770330.83959999995</v>
      </c>
      <c r="H552">
        <f>Deductions!B552+Deductions!C552+Deductions!D552+Tax!D552</f>
        <v>8194.5174999999981</v>
      </c>
      <c r="I552">
        <f t="shared" si="16"/>
        <v>762136.32209999999</v>
      </c>
      <c r="J552">
        <f>Overtime!D552</f>
        <v>0</v>
      </c>
      <c r="K552">
        <f>IF(C552="Junior",0.06,IF(C552="Mid",0.08,IF(C552="Senior",0.1,IF(C552="Manager",0.12,0))))</f>
        <v>0.1</v>
      </c>
      <c r="L552">
        <f>IF(Performance!E552&gt;2,0.03,IF(Performance!E552&gt;=1,0.01,-0.02))</f>
        <v>0.01</v>
      </c>
      <c r="M552">
        <f t="shared" si="17"/>
        <v>0.11</v>
      </c>
      <c r="N552">
        <f>Earnings!B552*(1+M552)</f>
        <v>898179.86549999996</v>
      </c>
    </row>
    <row r="553" spans="1:14" x14ac:dyDescent="0.35">
      <c r="A553" t="s">
        <v>584</v>
      </c>
      <c r="B553" t="s">
        <v>15</v>
      </c>
      <c r="C553" t="s">
        <v>16</v>
      </c>
      <c r="D553" t="s">
        <v>17</v>
      </c>
      <c r="E553">
        <v>15</v>
      </c>
      <c r="F553" t="s">
        <v>18</v>
      </c>
      <c r="G553">
        <f>Earnings!G553</f>
        <v>808158.51199999999</v>
      </c>
      <c r="H553">
        <f>Deductions!B553+Deductions!C553+Deductions!D553+Tax!D553</f>
        <v>8856.7666666666664</v>
      </c>
      <c r="I553">
        <f t="shared" si="16"/>
        <v>799301.74533333327</v>
      </c>
      <c r="J553">
        <f>Overtime!D553</f>
        <v>0</v>
      </c>
      <c r="K553">
        <f>IF(C553="Junior",0.06,IF(C553="Mid",0.08,IF(C553="Senior",0.1,IF(C553="Manager",0.12,0))))</f>
        <v>0.06</v>
      </c>
      <c r="L553">
        <f>IF(Performance!E553&gt;2,0.03,IF(Performance!E553&gt;=1,0.01,-0.02))</f>
        <v>0.01</v>
      </c>
      <c r="M553">
        <f t="shared" si="17"/>
        <v>6.9999999999999993E-2</v>
      </c>
      <c r="N553">
        <f>Earnings!B553*(1+M553)</f>
        <v>908329.42</v>
      </c>
    </row>
    <row r="554" spans="1:14" x14ac:dyDescent="0.35">
      <c r="A554" t="s">
        <v>585</v>
      </c>
      <c r="B554" t="s">
        <v>27</v>
      </c>
      <c r="C554" t="s">
        <v>34</v>
      </c>
      <c r="D554" t="s">
        <v>17</v>
      </c>
      <c r="E554">
        <v>2</v>
      </c>
      <c r="F554" t="s">
        <v>45</v>
      </c>
      <c r="G554">
        <f>Earnings!G554</f>
        <v>525273.61600000004</v>
      </c>
      <c r="H554">
        <f>Deductions!B554+Deductions!C554+Deductions!D554+Tax!D554</f>
        <v>3904.3</v>
      </c>
      <c r="I554">
        <f t="shared" si="16"/>
        <v>548957.21600000001</v>
      </c>
      <c r="J554">
        <f>Overtime!D554</f>
        <v>27587.9</v>
      </c>
      <c r="K554">
        <f>IF(C554="Junior",0.06,IF(C554="Mid",0.08,IF(C554="Senior",0.1,IF(C554="Manager",0.12,0))))</f>
        <v>0.08</v>
      </c>
      <c r="L554">
        <f>IF(Performance!E554&gt;2,0.03,IF(Performance!E554&gt;=1,0.01,-0.02))</f>
        <v>0.01</v>
      </c>
      <c r="M554">
        <f t="shared" si="17"/>
        <v>0.09</v>
      </c>
      <c r="N554">
        <f>Earnings!B554*(1+M554)</f>
        <v>601416.22000000009</v>
      </c>
    </row>
    <row r="555" spans="1:14" x14ac:dyDescent="0.35">
      <c r="A555" t="s">
        <v>586</v>
      </c>
      <c r="B555" t="s">
        <v>30</v>
      </c>
      <c r="C555" t="s">
        <v>21</v>
      </c>
      <c r="D555" t="s">
        <v>22</v>
      </c>
      <c r="E555">
        <v>1</v>
      </c>
      <c r="F555" t="s">
        <v>38</v>
      </c>
      <c r="G555">
        <f>Earnings!G555</f>
        <v>766483.522</v>
      </c>
      <c r="H555">
        <f>Deductions!B555+Deductions!C555+Deductions!D555+Tax!D555</f>
        <v>8127.1625000000013</v>
      </c>
      <c r="I555">
        <f t="shared" si="16"/>
        <v>758356.35950000002</v>
      </c>
      <c r="J555">
        <f>Overtime!D555</f>
        <v>0</v>
      </c>
      <c r="K555">
        <f>IF(C555="Junior",0.06,IF(C555="Mid",0.08,IF(C555="Senior",0.1,IF(C555="Manager",0.12,0))))</f>
        <v>0.1</v>
      </c>
      <c r="L555">
        <f>IF(Performance!E555&gt;2,0.03,IF(Performance!E555&gt;=1,0.01,-0.02))</f>
        <v>0.01</v>
      </c>
      <c r="M555">
        <f t="shared" si="17"/>
        <v>0.11</v>
      </c>
      <c r="N555">
        <f>Earnings!B555*(1+M555)</f>
        <v>893694.02250000008</v>
      </c>
    </row>
    <row r="556" spans="1:14" x14ac:dyDescent="0.35">
      <c r="A556" t="s">
        <v>587</v>
      </c>
      <c r="B556" t="s">
        <v>36</v>
      </c>
      <c r="C556" t="s">
        <v>16</v>
      </c>
      <c r="D556" t="s">
        <v>17</v>
      </c>
      <c r="E556">
        <v>4</v>
      </c>
      <c r="F556" t="s">
        <v>38</v>
      </c>
      <c r="G556">
        <f>Earnings!G556</f>
        <v>977290.83200000005</v>
      </c>
      <c r="H556">
        <f>Deductions!B556+Deductions!C556+Deductions!D556+Tax!D556</f>
        <v>12039.15</v>
      </c>
      <c r="I556">
        <f t="shared" si="16"/>
        <v>1098705.2620000001</v>
      </c>
      <c r="J556">
        <f>Overtime!D556</f>
        <v>133453.57999999999</v>
      </c>
      <c r="K556">
        <f>IF(C556="Junior",0.06,IF(C556="Mid",0.08,IF(C556="Senior",0.1,IF(C556="Manager",0.12,0))))</f>
        <v>0.06</v>
      </c>
      <c r="L556">
        <f>IF(Performance!E556&gt;2,0.03,IF(Performance!E556&gt;=1,0.01,-0.02))</f>
        <v>0.01</v>
      </c>
      <c r="M556">
        <f t="shared" si="17"/>
        <v>6.9999999999999993E-2</v>
      </c>
      <c r="N556">
        <f>Earnings!B556*(1+M556)</f>
        <v>1098425.6200000001</v>
      </c>
    </row>
    <row r="557" spans="1:14" x14ac:dyDescent="0.35">
      <c r="A557" t="s">
        <v>588</v>
      </c>
      <c r="B557" t="s">
        <v>27</v>
      </c>
      <c r="C557" t="s">
        <v>16</v>
      </c>
      <c r="D557" t="s">
        <v>17</v>
      </c>
      <c r="E557">
        <v>7</v>
      </c>
      <c r="F557" t="s">
        <v>32</v>
      </c>
      <c r="G557">
        <f>Earnings!G557</f>
        <v>682244.13600000006</v>
      </c>
      <c r="H557">
        <f>Deductions!B557+Deductions!C557+Deductions!D557+Tax!D557</f>
        <v>6652.3833333333341</v>
      </c>
      <c r="I557">
        <f t="shared" si="16"/>
        <v>675591.75266666675</v>
      </c>
      <c r="J557">
        <f>Overtime!D557</f>
        <v>0</v>
      </c>
      <c r="K557">
        <f>IF(C557="Junior",0.06,IF(C557="Mid",0.08,IF(C557="Senior",0.1,IF(C557="Manager",0.12,0))))</f>
        <v>0.06</v>
      </c>
      <c r="L557">
        <f>IF(Performance!E557&gt;2,0.03,IF(Performance!E557&gt;=1,0.01,-0.02))</f>
        <v>0.01</v>
      </c>
      <c r="M557">
        <f t="shared" si="17"/>
        <v>6.9999999999999993E-2</v>
      </c>
      <c r="N557">
        <f>Earnings!B557*(1+M557)</f>
        <v>766808.01</v>
      </c>
    </row>
    <row r="558" spans="1:14" x14ac:dyDescent="0.35">
      <c r="A558" t="s">
        <v>589</v>
      </c>
      <c r="B558" t="s">
        <v>30</v>
      </c>
      <c r="C558" t="s">
        <v>34</v>
      </c>
      <c r="D558" t="s">
        <v>17</v>
      </c>
      <c r="E558">
        <v>10</v>
      </c>
      <c r="F558" t="s">
        <v>18</v>
      </c>
      <c r="G558">
        <f>Earnings!G558</f>
        <v>858913.44</v>
      </c>
      <c r="H558">
        <f>Deductions!B558+Deductions!C558+Deductions!D558+Tax!D558</f>
        <v>9745.3333333333321</v>
      </c>
      <c r="I558">
        <f t="shared" si="16"/>
        <v>849168.10666666657</v>
      </c>
      <c r="J558">
        <f>Overtime!D558</f>
        <v>0</v>
      </c>
      <c r="K558">
        <f>IF(C558="Junior",0.06,IF(C558="Mid",0.08,IF(C558="Senior",0.1,IF(C558="Manager",0.12,0))))</f>
        <v>0.08</v>
      </c>
      <c r="L558">
        <f>IF(Performance!E558&gt;2,0.03,IF(Performance!E558&gt;=1,0.01,-0.02))</f>
        <v>0.01</v>
      </c>
      <c r="M558">
        <f t="shared" si="17"/>
        <v>0.09</v>
      </c>
      <c r="N558">
        <f>Earnings!B558*(1+M558)</f>
        <v>983419.8</v>
      </c>
    </row>
    <row r="559" spans="1:14" x14ac:dyDescent="0.35">
      <c r="A559" t="s">
        <v>590</v>
      </c>
      <c r="B559" t="s">
        <v>36</v>
      </c>
      <c r="C559" t="s">
        <v>16</v>
      </c>
      <c r="D559" t="s">
        <v>22</v>
      </c>
      <c r="E559">
        <v>6</v>
      </c>
      <c r="F559" t="s">
        <v>18</v>
      </c>
      <c r="G559">
        <f>Earnings!G559</f>
        <v>692310.06039999996</v>
      </c>
      <c r="H559">
        <f>Deductions!B559+Deductions!C559+Deductions!D559+Tax!D559</f>
        <v>6828.6074999999992</v>
      </c>
      <c r="I559">
        <f t="shared" si="16"/>
        <v>685481.45289999992</v>
      </c>
      <c r="J559">
        <f>Overtime!D559</f>
        <v>0</v>
      </c>
      <c r="K559">
        <f>IF(C559="Junior",0.06,IF(C559="Mid",0.08,IF(C559="Senior",0.1,IF(C559="Manager",0.12,0))))</f>
        <v>0.06</v>
      </c>
      <c r="L559">
        <f>IF(Performance!E559&gt;2,0.03,IF(Performance!E559&gt;=1,0.01,-0.02))</f>
        <v>0.01</v>
      </c>
      <c r="M559">
        <f t="shared" si="17"/>
        <v>6.9999999999999993E-2</v>
      </c>
      <c r="N559">
        <f>Earnings!B559*(1+M559)</f>
        <v>778121.60149999999</v>
      </c>
    </row>
    <row r="560" spans="1:14" x14ac:dyDescent="0.35">
      <c r="A560" t="s">
        <v>591</v>
      </c>
      <c r="B560" t="s">
        <v>30</v>
      </c>
      <c r="C560" t="s">
        <v>16</v>
      </c>
      <c r="D560" t="s">
        <v>17</v>
      </c>
      <c r="E560">
        <v>10</v>
      </c>
      <c r="F560" t="s">
        <v>28</v>
      </c>
      <c r="G560">
        <f>Earnings!G560</f>
        <v>1200260.656</v>
      </c>
      <c r="H560">
        <f>Deductions!B560+Deductions!C560+Deductions!D560+Tax!D560</f>
        <v>17894.449999999997</v>
      </c>
      <c r="I560">
        <f t="shared" si="16"/>
        <v>1182366.206</v>
      </c>
      <c r="J560">
        <f>Overtime!D560</f>
        <v>0</v>
      </c>
      <c r="K560">
        <f>IF(C560="Junior",0.06,IF(C560="Mid",0.08,IF(C560="Senior",0.1,IF(C560="Manager",0.12,0))))</f>
        <v>0.06</v>
      </c>
      <c r="L560">
        <f>IF(Performance!E560&gt;2,0.03,IF(Performance!E560&gt;=1,0.01,-0.02))</f>
        <v>0.01</v>
      </c>
      <c r="M560">
        <f t="shared" si="17"/>
        <v>6.9999999999999993E-2</v>
      </c>
      <c r="N560">
        <f>Earnings!B560*(1+M560)</f>
        <v>1349032.46</v>
      </c>
    </row>
    <row r="561" spans="1:14" x14ac:dyDescent="0.35">
      <c r="A561" t="s">
        <v>592</v>
      </c>
      <c r="B561" t="s">
        <v>36</v>
      </c>
      <c r="C561" t="s">
        <v>44</v>
      </c>
      <c r="D561" t="s">
        <v>17</v>
      </c>
      <c r="E561">
        <v>13</v>
      </c>
      <c r="F561" t="s">
        <v>32</v>
      </c>
      <c r="G561">
        <f>Earnings!G561</f>
        <v>874927.98399999994</v>
      </c>
      <c r="H561">
        <f>Deductions!B561+Deductions!C561+Deductions!D561+Tax!D561</f>
        <v>10025.700000000001</v>
      </c>
      <c r="I561">
        <f t="shared" si="16"/>
        <v>864902.28399999999</v>
      </c>
      <c r="J561">
        <f>Overtime!D561</f>
        <v>0</v>
      </c>
      <c r="K561">
        <f>IF(C561="Junior",0.06,IF(C561="Mid",0.08,IF(C561="Senior",0.1,IF(C561="Manager",0.12,0))))</f>
        <v>0.12</v>
      </c>
      <c r="L561">
        <f>IF(Performance!E561&gt;2,0.03,IF(Performance!E561&gt;=1,0.01,-0.02))</f>
        <v>0.01</v>
      </c>
      <c r="M561">
        <f t="shared" si="17"/>
        <v>0.13</v>
      </c>
      <c r="N561">
        <f>Earnings!B561*(1+M561)</f>
        <v>1038517.4599999998</v>
      </c>
    </row>
    <row r="562" spans="1:14" x14ac:dyDescent="0.35">
      <c r="A562" t="s">
        <v>593</v>
      </c>
      <c r="B562" t="s">
        <v>36</v>
      </c>
      <c r="C562" t="s">
        <v>44</v>
      </c>
      <c r="D562" t="s">
        <v>17</v>
      </c>
      <c r="E562">
        <v>2</v>
      </c>
      <c r="F562" t="s">
        <v>32</v>
      </c>
      <c r="G562">
        <f>Earnings!G562</f>
        <v>886679.47199999995</v>
      </c>
      <c r="H562">
        <f>Deductions!B562+Deductions!C562+Deductions!D562+Tax!D562</f>
        <v>10231.433333333334</v>
      </c>
      <c r="I562">
        <f t="shared" si="16"/>
        <v>964929.70866666664</v>
      </c>
      <c r="J562">
        <f>Overtime!D562</f>
        <v>88481.670000000013</v>
      </c>
      <c r="K562">
        <f>IF(C562="Junior",0.06,IF(C562="Mid",0.08,IF(C562="Senior",0.1,IF(C562="Manager",0.12,0))))</f>
        <v>0.12</v>
      </c>
      <c r="L562">
        <f>IF(Performance!E562&gt;2,0.03,IF(Performance!E562&gt;=1,0.01,-0.02))</f>
        <v>0.01</v>
      </c>
      <c r="M562">
        <f t="shared" si="17"/>
        <v>0.13</v>
      </c>
      <c r="N562">
        <f>Earnings!B562*(1+M562)</f>
        <v>1052466.18</v>
      </c>
    </row>
    <row r="563" spans="1:14" x14ac:dyDescent="0.35">
      <c r="A563" t="s">
        <v>594</v>
      </c>
      <c r="B563" t="s">
        <v>27</v>
      </c>
      <c r="C563" t="s">
        <v>21</v>
      </c>
      <c r="D563" t="s">
        <v>22</v>
      </c>
      <c r="E563">
        <v>15</v>
      </c>
      <c r="F563" t="s">
        <v>32</v>
      </c>
      <c r="G563">
        <f>Earnings!G563</f>
        <v>847514.14439999999</v>
      </c>
      <c r="H563">
        <f>Deductions!B563+Deductions!C563+Deductions!D563+Tax!D563</f>
        <v>9545.7658333333311</v>
      </c>
      <c r="I563">
        <f t="shared" si="16"/>
        <v>837968.37856666662</v>
      </c>
      <c r="J563">
        <f>Overtime!D563</f>
        <v>0</v>
      </c>
      <c r="K563">
        <f>IF(C563="Junior",0.06,IF(C563="Mid",0.08,IF(C563="Senior",0.1,IF(C563="Manager",0.12,0))))</f>
        <v>0.1</v>
      </c>
      <c r="L563">
        <f>IF(Performance!E563&gt;2,0.03,IF(Performance!E563&gt;=1,0.01,-0.02))</f>
        <v>0.01</v>
      </c>
      <c r="M563">
        <f t="shared" si="17"/>
        <v>0.11</v>
      </c>
      <c r="N563">
        <f>Earnings!B563*(1+M563)</f>
        <v>988173.00450000004</v>
      </c>
    </row>
    <row r="564" spans="1:14" x14ac:dyDescent="0.35">
      <c r="A564" t="s">
        <v>595</v>
      </c>
      <c r="B564" t="s">
        <v>15</v>
      </c>
      <c r="C564" t="s">
        <v>44</v>
      </c>
      <c r="D564" t="s">
        <v>17</v>
      </c>
      <c r="E564">
        <v>3</v>
      </c>
      <c r="F564" t="s">
        <v>18</v>
      </c>
      <c r="G564">
        <f>Earnings!G564</f>
        <v>379796.59199999989</v>
      </c>
      <c r="H564">
        <f>Deductions!B564+Deductions!C564+Deductions!D564+Tax!D564</f>
        <v>2620.6083333333336</v>
      </c>
      <c r="I564">
        <f t="shared" si="16"/>
        <v>377175.98366666655</v>
      </c>
      <c r="J564">
        <f>Overtime!D564</f>
        <v>0</v>
      </c>
      <c r="K564">
        <f>IF(C564="Junior",0.06,IF(C564="Mid",0.08,IF(C564="Senior",0.1,IF(C564="Manager",0.12,0))))</f>
        <v>0.12</v>
      </c>
      <c r="L564">
        <f>IF(Performance!E564&gt;2,0.03,IF(Performance!E564&gt;=1,0.01,-0.02))</f>
        <v>0.01</v>
      </c>
      <c r="M564">
        <f t="shared" si="17"/>
        <v>0.13</v>
      </c>
      <c r="N564">
        <f>Earnings!B564*(1+M564)</f>
        <v>450808.98</v>
      </c>
    </row>
    <row r="565" spans="1:14" x14ac:dyDescent="0.35">
      <c r="A565" t="s">
        <v>596</v>
      </c>
      <c r="B565" t="s">
        <v>15</v>
      </c>
      <c r="C565" t="s">
        <v>44</v>
      </c>
      <c r="D565" t="s">
        <v>17</v>
      </c>
      <c r="E565">
        <v>3</v>
      </c>
      <c r="F565" t="s">
        <v>28</v>
      </c>
      <c r="G565">
        <f>Earnings!G565</f>
        <v>545191.36</v>
      </c>
      <c r="H565">
        <f>Deductions!B565+Deductions!C565+Deductions!D565+Tax!D565</f>
        <v>4253</v>
      </c>
      <c r="I565">
        <f t="shared" si="16"/>
        <v>540938.36</v>
      </c>
      <c r="J565">
        <f>Overtime!D565</f>
        <v>0</v>
      </c>
      <c r="K565">
        <f>IF(C565="Junior",0.06,IF(C565="Mid",0.08,IF(C565="Senior",0.1,IF(C565="Manager",0.12,0))))</f>
        <v>0.12</v>
      </c>
      <c r="L565">
        <f>IF(Performance!E565&gt;2,0.03,IF(Performance!E565&gt;=1,0.01,-0.02))</f>
        <v>0.01</v>
      </c>
      <c r="M565">
        <f t="shared" si="17"/>
        <v>0.13</v>
      </c>
      <c r="N565">
        <f>Earnings!B565*(1+M565)</f>
        <v>647128.39999999991</v>
      </c>
    </row>
    <row r="566" spans="1:14" x14ac:dyDescent="0.35">
      <c r="A566" t="s">
        <v>597</v>
      </c>
      <c r="B566" t="s">
        <v>15</v>
      </c>
      <c r="C566" t="s">
        <v>34</v>
      </c>
      <c r="D566" t="s">
        <v>22</v>
      </c>
      <c r="E566">
        <v>14</v>
      </c>
      <c r="F566" t="s">
        <v>28</v>
      </c>
      <c r="G566">
        <f>Earnings!G566</f>
        <v>905156.0784</v>
      </c>
      <c r="H566">
        <f>Deductions!B566+Deductions!C566+Deductions!D566+Tax!D566</f>
        <v>10554.903333333334</v>
      </c>
      <c r="I566">
        <f t="shared" si="16"/>
        <v>932632.94306666672</v>
      </c>
      <c r="J566">
        <f>Overtime!D566</f>
        <v>38031.767999999996</v>
      </c>
      <c r="K566">
        <f>IF(C566="Junior",0.06,IF(C566="Mid",0.08,IF(C566="Senior",0.1,IF(C566="Manager",0.12,0))))</f>
        <v>0.08</v>
      </c>
      <c r="L566">
        <f>IF(Performance!E566&gt;2,0.03,IF(Performance!E566&gt;=1,0.01,-0.02))</f>
        <v>0.01</v>
      </c>
      <c r="M566">
        <f t="shared" si="17"/>
        <v>0.09</v>
      </c>
      <c r="N566">
        <f>Earnings!B566*(1+M566)</f>
        <v>1036365.6780000001</v>
      </c>
    </row>
    <row r="567" spans="1:14" x14ac:dyDescent="0.35">
      <c r="A567" t="s">
        <v>598</v>
      </c>
      <c r="B567" t="s">
        <v>36</v>
      </c>
      <c r="C567" t="s">
        <v>34</v>
      </c>
      <c r="D567" t="s">
        <v>17</v>
      </c>
      <c r="E567">
        <v>14</v>
      </c>
      <c r="F567" t="s">
        <v>23</v>
      </c>
      <c r="G567">
        <f>Earnings!G567</f>
        <v>993729.96799999999</v>
      </c>
      <c r="H567">
        <f>Deductions!B567+Deductions!C567+Deductions!D567+Tax!D567</f>
        <v>12470.85</v>
      </c>
      <c r="I567">
        <f t="shared" si="16"/>
        <v>981259.11800000002</v>
      </c>
      <c r="J567">
        <f>Overtime!D567</f>
        <v>0</v>
      </c>
      <c r="K567">
        <f>IF(C567="Junior",0.06,IF(C567="Mid",0.08,IF(C567="Senior",0.1,IF(C567="Manager",0.12,0))))</f>
        <v>0.08</v>
      </c>
      <c r="L567">
        <f>IF(Performance!E567&gt;2,0.03,IF(Performance!E567&gt;=1,0.01,-0.02))</f>
        <v>0.01</v>
      </c>
      <c r="M567">
        <f t="shared" si="17"/>
        <v>0.09</v>
      </c>
      <c r="N567">
        <f>Earnings!B567*(1+M567)</f>
        <v>1137779.06</v>
      </c>
    </row>
    <row r="568" spans="1:14" x14ac:dyDescent="0.35">
      <c r="A568" t="s">
        <v>599</v>
      </c>
      <c r="B568" t="s">
        <v>20</v>
      </c>
      <c r="C568" t="s">
        <v>21</v>
      </c>
      <c r="D568" t="s">
        <v>17</v>
      </c>
      <c r="E568">
        <v>6</v>
      </c>
      <c r="F568" t="s">
        <v>71</v>
      </c>
      <c r="G568">
        <f>Earnings!G568</f>
        <v>751655.40800000005</v>
      </c>
      <c r="H568">
        <f>Deductions!B568+Deductions!C568+Deductions!D568+Tax!D568</f>
        <v>7867.5666666666666</v>
      </c>
      <c r="I568">
        <f t="shared" si="16"/>
        <v>830638.78133333335</v>
      </c>
      <c r="J568">
        <f>Overtime!D568</f>
        <v>86850.939999999988</v>
      </c>
      <c r="K568">
        <f>IF(C568="Junior",0.06,IF(C568="Mid",0.08,IF(C568="Senior",0.1,IF(C568="Manager",0.12,0))))</f>
        <v>0.1</v>
      </c>
      <c r="L568">
        <f>IF(Performance!E568&gt;2,0.03,IF(Performance!E568&gt;=1,0.01,-0.02))</f>
        <v>0.03</v>
      </c>
      <c r="M568">
        <f t="shared" si="17"/>
        <v>0.13</v>
      </c>
      <c r="N568">
        <f>Earnings!B568*(1+M568)</f>
        <v>892196.0199999999</v>
      </c>
    </row>
    <row r="569" spans="1:14" x14ac:dyDescent="0.35">
      <c r="A569" t="s">
        <v>600</v>
      </c>
      <c r="B569" t="s">
        <v>20</v>
      </c>
      <c r="C569" t="s">
        <v>34</v>
      </c>
      <c r="D569" t="s">
        <v>17</v>
      </c>
      <c r="E569">
        <v>14</v>
      </c>
      <c r="F569" t="s">
        <v>28</v>
      </c>
      <c r="G569">
        <f>Earnings!G569</f>
        <v>1158506.888</v>
      </c>
      <c r="H569">
        <f>Deductions!B569+Deductions!C569+Deductions!D569+Tax!D569</f>
        <v>16797.974999999999</v>
      </c>
      <c r="I569">
        <f t="shared" si="16"/>
        <v>1226893.243</v>
      </c>
      <c r="J569">
        <f>Overtime!D569</f>
        <v>85184.329999999987</v>
      </c>
      <c r="K569">
        <f>IF(C569="Junior",0.06,IF(C569="Mid",0.08,IF(C569="Senior",0.1,IF(C569="Manager",0.12,0))))</f>
        <v>0.08</v>
      </c>
      <c r="L569">
        <f>IF(Performance!E569&gt;2,0.03,IF(Performance!E569&gt;=1,0.01,-0.02))</f>
        <v>0.03</v>
      </c>
      <c r="M569">
        <f t="shared" si="17"/>
        <v>0.11</v>
      </c>
      <c r="N569">
        <f>Earnings!B569*(1+M569)</f>
        <v>1350780.09</v>
      </c>
    </row>
    <row r="570" spans="1:14" x14ac:dyDescent="0.35">
      <c r="A570" t="s">
        <v>601</v>
      </c>
      <c r="B570" t="s">
        <v>30</v>
      </c>
      <c r="C570" t="s">
        <v>44</v>
      </c>
      <c r="D570" t="s">
        <v>22</v>
      </c>
      <c r="E570">
        <v>15</v>
      </c>
      <c r="F570" t="s">
        <v>32</v>
      </c>
      <c r="G570">
        <f>Earnings!G570</f>
        <v>1220408.2128000001</v>
      </c>
      <c r="H570">
        <f>Deductions!B570+Deductions!C570+Deductions!D570+Tax!D570</f>
        <v>18423.535</v>
      </c>
      <c r="I570">
        <f t="shared" si="16"/>
        <v>1253262.3338000001</v>
      </c>
      <c r="J570">
        <f>Overtime!D570</f>
        <v>51277.656000000003</v>
      </c>
      <c r="K570">
        <f>IF(C570="Junior",0.06,IF(C570="Mid",0.08,IF(C570="Senior",0.1,IF(C570="Manager",0.12,0))))</f>
        <v>0.12</v>
      </c>
      <c r="L570">
        <f>IF(Performance!E570&gt;2,0.03,IF(Performance!E570&gt;=1,0.01,-0.02))</f>
        <v>0.01</v>
      </c>
      <c r="M570">
        <f t="shared" si="17"/>
        <v>0.13</v>
      </c>
      <c r="N570">
        <f>Earnings!B570*(1+M570)</f>
        <v>1448593.7819999997</v>
      </c>
    </row>
    <row r="571" spans="1:14" x14ac:dyDescent="0.35">
      <c r="A571" t="s">
        <v>602</v>
      </c>
      <c r="B571" t="s">
        <v>36</v>
      </c>
      <c r="C571" t="s">
        <v>21</v>
      </c>
      <c r="D571" t="s">
        <v>22</v>
      </c>
      <c r="E571">
        <v>15</v>
      </c>
      <c r="F571" t="s">
        <v>71</v>
      </c>
      <c r="G571">
        <f>Earnings!G571</f>
        <v>1282406.6416</v>
      </c>
      <c r="H571">
        <f>Deductions!B571+Deductions!C571+Deductions!D571+Tax!D571</f>
        <v>20051.645</v>
      </c>
      <c r="I571">
        <f t="shared" si="16"/>
        <v>1450944.2086</v>
      </c>
      <c r="J571">
        <f>Overtime!D571</f>
        <v>188589.21200000003</v>
      </c>
      <c r="K571">
        <f>IF(C571="Junior",0.06,IF(C571="Mid",0.08,IF(C571="Senior",0.1,IF(C571="Manager",0.12,0))))</f>
        <v>0.1</v>
      </c>
      <c r="L571">
        <f>IF(Performance!E571&gt;2,0.03,IF(Performance!E571&gt;=1,0.01,-0.02))</f>
        <v>0.01</v>
      </c>
      <c r="M571">
        <f t="shared" si="17"/>
        <v>0.11</v>
      </c>
      <c r="N571">
        <f>Earnings!B571*(1+M571)</f>
        <v>1495243.0380000002</v>
      </c>
    </row>
    <row r="572" spans="1:14" x14ac:dyDescent="0.35">
      <c r="A572" t="s">
        <v>603</v>
      </c>
      <c r="B572" t="s">
        <v>27</v>
      </c>
      <c r="C572" t="s">
        <v>34</v>
      </c>
      <c r="D572" t="s">
        <v>22</v>
      </c>
      <c r="E572">
        <v>6</v>
      </c>
      <c r="F572" t="s">
        <v>25</v>
      </c>
      <c r="G572">
        <f>Earnings!G572</f>
        <v>638671.00080000004</v>
      </c>
      <c r="H572">
        <f>Deductions!B572+Deductions!C572+Deductions!D572+Tax!D572</f>
        <v>5889.5483333333341</v>
      </c>
      <c r="I572">
        <f t="shared" si="16"/>
        <v>726703.6584666667</v>
      </c>
      <c r="J572">
        <f>Overtime!D572</f>
        <v>93922.205999999991</v>
      </c>
      <c r="K572">
        <f>IF(C572="Junior",0.06,IF(C572="Mid",0.08,IF(C572="Senior",0.1,IF(C572="Manager",0.12,0))))</f>
        <v>0.08</v>
      </c>
      <c r="L572">
        <f>IF(Performance!E572&gt;2,0.03,IF(Performance!E572&gt;=1,0.01,-0.02))</f>
        <v>0.01</v>
      </c>
      <c r="M572">
        <f t="shared" si="17"/>
        <v>0.09</v>
      </c>
      <c r="N572">
        <f>Earnings!B572*(1+M572)</f>
        <v>731251.46100000013</v>
      </c>
    </row>
    <row r="573" spans="1:14" x14ac:dyDescent="0.35">
      <c r="A573" t="s">
        <v>604</v>
      </c>
      <c r="B573" t="s">
        <v>15</v>
      </c>
      <c r="C573" t="s">
        <v>21</v>
      </c>
      <c r="D573" t="s">
        <v>17</v>
      </c>
      <c r="E573">
        <v>5</v>
      </c>
      <c r="F573" t="s">
        <v>23</v>
      </c>
      <c r="G573">
        <f>Earnings!G573</f>
        <v>611632.39199999988</v>
      </c>
      <c r="H573">
        <f>Deductions!B573+Deductions!C573+Deductions!D573+Tax!D573</f>
        <v>5416.1833333333325</v>
      </c>
      <c r="I573">
        <f t="shared" si="16"/>
        <v>664038.59866666654</v>
      </c>
      <c r="J573">
        <f>Overtime!D573</f>
        <v>57822.39</v>
      </c>
      <c r="K573">
        <f>IF(C573="Junior",0.06,IF(C573="Mid",0.08,IF(C573="Senior",0.1,IF(C573="Manager",0.12,0))))</f>
        <v>0.1</v>
      </c>
      <c r="L573">
        <f>IF(Performance!E573&gt;2,0.03,IF(Performance!E573&gt;=1,0.01,-0.02))</f>
        <v>0.01</v>
      </c>
      <c r="M573">
        <f t="shared" si="17"/>
        <v>0.11</v>
      </c>
      <c r="N573">
        <f>Earnings!B573*(1+M573)</f>
        <v>713142.81</v>
      </c>
    </row>
    <row r="574" spans="1:14" x14ac:dyDescent="0.35">
      <c r="A574" t="s">
        <v>605</v>
      </c>
      <c r="B574" t="s">
        <v>15</v>
      </c>
      <c r="C574" t="s">
        <v>44</v>
      </c>
      <c r="D574" t="s">
        <v>17</v>
      </c>
      <c r="E574">
        <v>3</v>
      </c>
      <c r="F574" t="s">
        <v>28</v>
      </c>
      <c r="G574">
        <f>Earnings!G574</f>
        <v>428812.21600000001</v>
      </c>
      <c r="H574">
        <f>Deductions!B574+Deductions!C574+Deductions!D574+Tax!D574</f>
        <v>2835.1375000000003</v>
      </c>
      <c r="I574">
        <f t="shared" si="16"/>
        <v>491289.86349999998</v>
      </c>
      <c r="J574">
        <f>Overtime!D574</f>
        <v>65312.784999999996</v>
      </c>
      <c r="K574">
        <f>IF(C574="Junior",0.06,IF(C574="Mid",0.08,IF(C574="Senior",0.1,IF(C574="Manager",0.12,0))))</f>
        <v>0.12</v>
      </c>
      <c r="L574">
        <f>IF(Performance!E574&gt;2,0.03,IF(Performance!E574&gt;=1,0.01,-0.02))</f>
        <v>0.01</v>
      </c>
      <c r="M574">
        <f t="shared" si="17"/>
        <v>0.13</v>
      </c>
      <c r="N574">
        <f>Earnings!B574*(1+M574)</f>
        <v>508989.29</v>
      </c>
    </row>
    <row r="575" spans="1:14" x14ac:dyDescent="0.35">
      <c r="A575" t="s">
        <v>606</v>
      </c>
      <c r="B575" t="s">
        <v>30</v>
      </c>
      <c r="C575" t="s">
        <v>16</v>
      </c>
      <c r="D575" t="s">
        <v>17</v>
      </c>
      <c r="E575">
        <v>0</v>
      </c>
      <c r="F575" t="s">
        <v>28</v>
      </c>
      <c r="G575">
        <f>Earnings!G575</f>
        <v>832364.06400000001</v>
      </c>
      <c r="H575">
        <f>Deductions!B575+Deductions!C575+Deductions!D575+Tax!D575</f>
        <v>9280.5333333333328</v>
      </c>
      <c r="I575">
        <f t="shared" si="16"/>
        <v>949861.6706666667</v>
      </c>
      <c r="J575">
        <f>Overtime!D575</f>
        <v>126778.14</v>
      </c>
      <c r="K575">
        <f>IF(C575="Junior",0.06,IF(C575="Mid",0.08,IF(C575="Senior",0.1,IF(C575="Manager",0.12,0))))</f>
        <v>0.06</v>
      </c>
      <c r="L575">
        <f>IF(Performance!E575&gt;2,0.03,IF(Performance!E575&gt;=1,0.01,-0.02))</f>
        <v>0.01</v>
      </c>
      <c r="M575">
        <f t="shared" si="17"/>
        <v>6.9999999999999993E-2</v>
      </c>
      <c r="N575">
        <f>Earnings!B575*(1+M575)</f>
        <v>935535.24000000011</v>
      </c>
    </row>
    <row r="576" spans="1:14" x14ac:dyDescent="0.35">
      <c r="A576" t="s">
        <v>607</v>
      </c>
      <c r="B576" t="s">
        <v>36</v>
      </c>
      <c r="C576" t="s">
        <v>21</v>
      </c>
      <c r="D576" t="s">
        <v>17</v>
      </c>
      <c r="E576">
        <v>6</v>
      </c>
      <c r="F576" t="s">
        <v>25</v>
      </c>
      <c r="G576">
        <f>Earnings!G576</f>
        <v>791191.96799999999</v>
      </c>
      <c r="H576">
        <f>Deductions!B576+Deductions!C576+Deductions!D576+Tax!D576</f>
        <v>8559.7333333333336</v>
      </c>
      <c r="I576">
        <f t="shared" si="16"/>
        <v>807564.75466666673</v>
      </c>
      <c r="J576">
        <f>Overtime!D576</f>
        <v>24932.52</v>
      </c>
      <c r="K576">
        <f>IF(C576="Junior",0.06,IF(C576="Mid",0.08,IF(C576="Senior",0.1,IF(C576="Manager",0.12,0))))</f>
        <v>0.1</v>
      </c>
      <c r="L576">
        <f>IF(Performance!E576&gt;2,0.03,IF(Performance!E576&gt;=1,0.01,-0.02))</f>
        <v>0.01</v>
      </c>
      <c r="M576">
        <f t="shared" si="17"/>
        <v>0.11</v>
      </c>
      <c r="N576">
        <f>Earnings!B576*(1+M576)</f>
        <v>922503.24000000011</v>
      </c>
    </row>
    <row r="577" spans="1:14" x14ac:dyDescent="0.35">
      <c r="A577" t="s">
        <v>608</v>
      </c>
      <c r="B577" t="s">
        <v>36</v>
      </c>
      <c r="C577" t="s">
        <v>44</v>
      </c>
      <c r="D577" t="s">
        <v>22</v>
      </c>
      <c r="E577">
        <v>11</v>
      </c>
      <c r="F577" t="s">
        <v>38</v>
      </c>
      <c r="G577">
        <f>Earnings!G577</f>
        <v>1001747.8072</v>
      </c>
      <c r="H577">
        <f>Deductions!B577+Deductions!C577+Deductions!D577+Tax!D577</f>
        <v>12681.402500000002</v>
      </c>
      <c r="I577">
        <f t="shared" si="16"/>
        <v>989066.40470000007</v>
      </c>
      <c r="J577">
        <f>Overtime!D577</f>
        <v>0</v>
      </c>
      <c r="K577">
        <f>IF(C577="Junior",0.06,IF(C577="Mid",0.08,IF(C577="Senior",0.1,IF(C577="Manager",0.12,0))))</f>
        <v>0.12</v>
      </c>
      <c r="L577">
        <f>IF(Performance!E577&gt;2,0.03,IF(Performance!E577&gt;=1,0.01,-0.02))</f>
        <v>0.01</v>
      </c>
      <c r="M577">
        <f t="shared" si="17"/>
        <v>0.13</v>
      </c>
      <c r="N577">
        <f>Earnings!B577*(1+M577)</f>
        <v>1189049.3929999999</v>
      </c>
    </row>
    <row r="578" spans="1:14" x14ac:dyDescent="0.35">
      <c r="A578" t="s">
        <v>609</v>
      </c>
      <c r="B578" t="s">
        <v>20</v>
      </c>
      <c r="C578" t="s">
        <v>44</v>
      </c>
      <c r="D578" t="s">
        <v>17</v>
      </c>
      <c r="E578">
        <v>1</v>
      </c>
      <c r="F578" t="s">
        <v>32</v>
      </c>
      <c r="G578">
        <f>Earnings!G578</f>
        <v>488389.32799999998</v>
      </c>
      <c r="H578">
        <f>Deductions!B578+Deductions!C578+Deductions!D578+Tax!D578</f>
        <v>3258.5666666666666</v>
      </c>
      <c r="I578">
        <f t="shared" ref="I578:I641" si="18">G578-H578+J578</f>
        <v>551822.58133333339</v>
      </c>
      <c r="J578">
        <f>Overtime!D578</f>
        <v>66691.820000000007</v>
      </c>
      <c r="K578">
        <f>IF(C578="Junior",0.06,IF(C578="Mid",0.08,IF(C578="Senior",0.1,IF(C578="Manager",0.12,0))))</f>
        <v>0.12</v>
      </c>
      <c r="L578">
        <f>IF(Performance!E578&gt;2,0.03,IF(Performance!E578&gt;=1,0.01,-0.02))</f>
        <v>0.03</v>
      </c>
      <c r="M578">
        <f t="shared" ref="M578:M641" si="19">K578+L578</f>
        <v>0.15</v>
      </c>
      <c r="N578">
        <f>Earnings!B578*(1+M578)</f>
        <v>589966.1</v>
      </c>
    </row>
    <row r="579" spans="1:14" x14ac:dyDescent="0.35">
      <c r="A579" t="s">
        <v>610</v>
      </c>
      <c r="B579" t="s">
        <v>36</v>
      </c>
      <c r="C579" t="s">
        <v>34</v>
      </c>
      <c r="D579" t="s">
        <v>22</v>
      </c>
      <c r="E579">
        <v>2</v>
      </c>
      <c r="F579" t="s">
        <v>18</v>
      </c>
      <c r="G579">
        <f>Earnings!G579</f>
        <v>697818.76080000005</v>
      </c>
      <c r="H579">
        <f>Deductions!B579+Deductions!C579+Deductions!D579+Tax!D579</f>
        <v>6925.0483333333341</v>
      </c>
      <c r="I579">
        <f t="shared" si="18"/>
        <v>767859.01696666668</v>
      </c>
      <c r="J579">
        <f>Overtime!D579</f>
        <v>76965.304499999998</v>
      </c>
      <c r="K579">
        <f>IF(C579="Junior",0.06,IF(C579="Mid",0.08,IF(C579="Senior",0.1,IF(C579="Manager",0.12,0))))</f>
        <v>0.08</v>
      </c>
      <c r="L579">
        <f>IF(Performance!E579&gt;2,0.03,IF(Performance!E579&gt;=1,0.01,-0.02))</f>
        <v>0.01</v>
      </c>
      <c r="M579">
        <f t="shared" si="19"/>
        <v>0.09</v>
      </c>
      <c r="N579">
        <f>Earnings!B579*(1+M579)</f>
        <v>798973.16100000008</v>
      </c>
    </row>
    <row r="580" spans="1:14" x14ac:dyDescent="0.35">
      <c r="A580" t="s">
        <v>611</v>
      </c>
      <c r="B580" t="s">
        <v>15</v>
      </c>
      <c r="C580" t="s">
        <v>16</v>
      </c>
      <c r="D580" t="s">
        <v>22</v>
      </c>
      <c r="E580">
        <v>3</v>
      </c>
      <c r="F580" t="s">
        <v>28</v>
      </c>
      <c r="G580">
        <f>Earnings!G580</f>
        <v>589866.86359999981</v>
      </c>
      <c r="H580">
        <f>Deductions!B580+Deductions!C580+Deductions!D580+Tax!D580</f>
        <v>5035.1341666666649</v>
      </c>
      <c r="I580">
        <f t="shared" si="18"/>
        <v>584831.72943333315</v>
      </c>
      <c r="J580">
        <f>Overtime!D580</f>
        <v>0</v>
      </c>
      <c r="K580">
        <f>IF(C580="Junior",0.06,IF(C580="Mid",0.08,IF(C580="Senior",0.1,IF(C580="Manager",0.12,0))))</f>
        <v>0.06</v>
      </c>
      <c r="L580">
        <f>IF(Performance!E580&gt;2,0.03,IF(Performance!E580&gt;=1,0.01,-0.02))</f>
        <v>0.01</v>
      </c>
      <c r="M580">
        <f t="shared" si="19"/>
        <v>6.9999999999999993E-2</v>
      </c>
      <c r="N580">
        <f>Earnings!B580*(1+M580)</f>
        <v>662980.61349999998</v>
      </c>
    </row>
    <row r="581" spans="1:14" x14ac:dyDescent="0.35">
      <c r="A581" t="s">
        <v>612</v>
      </c>
      <c r="B581" t="s">
        <v>30</v>
      </c>
      <c r="C581" t="s">
        <v>16</v>
      </c>
      <c r="D581" t="s">
        <v>17</v>
      </c>
      <c r="E581">
        <v>1</v>
      </c>
      <c r="F581" t="s">
        <v>32</v>
      </c>
      <c r="G581">
        <f>Earnings!G581</f>
        <v>892037.32799999998</v>
      </c>
      <c r="H581">
        <f>Deductions!B581+Deductions!C581+Deductions!D581+Tax!D581</f>
        <v>10325.233333333334</v>
      </c>
      <c r="I581">
        <f t="shared" si="18"/>
        <v>1003523.9146666666</v>
      </c>
      <c r="J581">
        <f>Overtime!D581</f>
        <v>121811.81999999999</v>
      </c>
      <c r="K581">
        <f>IF(C581="Junior",0.06,IF(C581="Mid",0.08,IF(C581="Senior",0.1,IF(C581="Manager",0.12,0))))</f>
        <v>0.06</v>
      </c>
      <c r="L581">
        <f>IF(Performance!E581&gt;2,0.03,IF(Performance!E581&gt;=1,0.01,-0.02))</f>
        <v>0.01</v>
      </c>
      <c r="M581">
        <f t="shared" si="19"/>
        <v>6.9999999999999993E-2</v>
      </c>
      <c r="N581">
        <f>Earnings!B581*(1+M581)</f>
        <v>1002604.9800000001</v>
      </c>
    </row>
    <row r="582" spans="1:14" x14ac:dyDescent="0.35">
      <c r="A582" t="s">
        <v>613</v>
      </c>
      <c r="B582" t="s">
        <v>30</v>
      </c>
      <c r="C582" t="s">
        <v>44</v>
      </c>
      <c r="D582" t="s">
        <v>22</v>
      </c>
      <c r="E582">
        <v>6</v>
      </c>
      <c r="F582" t="s">
        <v>23</v>
      </c>
      <c r="G582">
        <f>Earnings!G582</f>
        <v>1110360.8208000001</v>
      </c>
      <c r="H582">
        <f>Deductions!B582+Deductions!C582+Deductions!D582+Tax!D582</f>
        <v>15533.634999999997</v>
      </c>
      <c r="I582">
        <f t="shared" si="18"/>
        <v>1170639.6368</v>
      </c>
      <c r="J582">
        <f>Overtime!D582</f>
        <v>75812.451000000001</v>
      </c>
      <c r="K582">
        <f>IF(C582="Junior",0.06,IF(C582="Mid",0.08,IF(C582="Senior",0.1,IF(C582="Manager",0.12,0))))</f>
        <v>0.12</v>
      </c>
      <c r="L582">
        <f>IF(Performance!E582&gt;2,0.03,IF(Performance!E582&gt;=1,0.01,-0.02))</f>
        <v>0.01</v>
      </c>
      <c r="M582">
        <f t="shared" si="19"/>
        <v>0.13</v>
      </c>
      <c r="N582">
        <f>Earnings!B582*(1+M582)</f>
        <v>1317970.3019999997</v>
      </c>
    </row>
    <row r="583" spans="1:14" x14ac:dyDescent="0.35">
      <c r="A583" t="s">
        <v>614</v>
      </c>
      <c r="B583" t="s">
        <v>36</v>
      </c>
      <c r="C583" t="s">
        <v>16</v>
      </c>
      <c r="D583" t="s">
        <v>17</v>
      </c>
      <c r="E583">
        <v>3</v>
      </c>
      <c r="F583" t="s">
        <v>32</v>
      </c>
      <c r="G583">
        <f>Earnings!G583</f>
        <v>741909.78399999999</v>
      </c>
      <c r="H583">
        <f>Deductions!B583+Deductions!C583+Deductions!D583+Tax!D583</f>
        <v>7696.95</v>
      </c>
      <c r="I583">
        <f t="shared" si="18"/>
        <v>757592.34400000004</v>
      </c>
      <c r="J583">
        <f>Overtime!D583</f>
        <v>23379.510000000002</v>
      </c>
      <c r="K583">
        <f>IF(C583="Junior",0.06,IF(C583="Mid",0.08,IF(C583="Senior",0.1,IF(C583="Manager",0.12,0))))</f>
        <v>0.06</v>
      </c>
      <c r="L583">
        <f>IF(Performance!E583&gt;2,0.03,IF(Performance!E583&gt;=1,0.01,-0.02))</f>
        <v>0.01</v>
      </c>
      <c r="M583">
        <f t="shared" si="19"/>
        <v>6.9999999999999993E-2</v>
      </c>
      <c r="N583">
        <f>Earnings!B583*(1+M583)</f>
        <v>833869.19000000006</v>
      </c>
    </row>
    <row r="584" spans="1:14" x14ac:dyDescent="0.35">
      <c r="A584" t="s">
        <v>615</v>
      </c>
      <c r="B584" t="s">
        <v>15</v>
      </c>
      <c r="C584" t="s">
        <v>44</v>
      </c>
      <c r="D584" t="s">
        <v>17</v>
      </c>
      <c r="E584">
        <v>12</v>
      </c>
      <c r="F584" t="s">
        <v>45</v>
      </c>
      <c r="G584">
        <f>Earnings!G584</f>
        <v>879719.4</v>
      </c>
      <c r="H584">
        <f>Deductions!B584+Deductions!C584+Deductions!D584+Tax!D584</f>
        <v>10109.583333333332</v>
      </c>
      <c r="I584">
        <f t="shared" si="18"/>
        <v>869609.81666666665</v>
      </c>
      <c r="J584">
        <f>Overtime!D584</f>
        <v>0</v>
      </c>
      <c r="K584">
        <f>IF(C584="Junior",0.06,IF(C584="Mid",0.08,IF(C584="Senior",0.1,IF(C584="Manager",0.12,0))))</f>
        <v>0.12</v>
      </c>
      <c r="L584">
        <f>IF(Performance!E584&gt;2,0.03,IF(Performance!E584&gt;=1,0.01,-0.02))</f>
        <v>0.01</v>
      </c>
      <c r="M584">
        <f t="shared" si="19"/>
        <v>0.13</v>
      </c>
      <c r="N584">
        <f>Earnings!B584*(1+M584)</f>
        <v>1044204.7499999999</v>
      </c>
    </row>
    <row r="585" spans="1:14" x14ac:dyDescent="0.35">
      <c r="A585" t="s">
        <v>616</v>
      </c>
      <c r="B585" t="s">
        <v>20</v>
      </c>
      <c r="C585" t="s">
        <v>44</v>
      </c>
      <c r="D585" t="s">
        <v>17</v>
      </c>
      <c r="E585">
        <v>3</v>
      </c>
      <c r="F585" t="s">
        <v>71</v>
      </c>
      <c r="G585">
        <f>Earnings!G585</f>
        <v>670215.61600000004</v>
      </c>
      <c r="H585">
        <f>Deductions!B585+Deductions!C585+Deductions!D585+Tax!D585</f>
        <v>6441.8</v>
      </c>
      <c r="I585">
        <f t="shared" si="18"/>
        <v>663773.81599999999</v>
      </c>
      <c r="J585">
        <f>Overtime!D585</f>
        <v>0</v>
      </c>
      <c r="K585">
        <f>IF(C585="Junior",0.06,IF(C585="Mid",0.08,IF(C585="Senior",0.1,IF(C585="Manager",0.12,0))))</f>
        <v>0.12</v>
      </c>
      <c r="L585">
        <f>IF(Performance!E585&gt;2,0.03,IF(Performance!E585&gt;=1,0.01,-0.02))</f>
        <v>0.03</v>
      </c>
      <c r="M585">
        <f t="shared" si="19"/>
        <v>0.15</v>
      </c>
      <c r="N585">
        <f>Earnings!B585*(1+M585)</f>
        <v>809609.2</v>
      </c>
    </row>
    <row r="586" spans="1:14" x14ac:dyDescent="0.35">
      <c r="A586" t="s">
        <v>617</v>
      </c>
      <c r="B586" t="s">
        <v>20</v>
      </c>
      <c r="C586" t="s">
        <v>21</v>
      </c>
      <c r="D586" t="s">
        <v>17</v>
      </c>
      <c r="E586">
        <v>11</v>
      </c>
      <c r="F586" t="s">
        <v>45</v>
      </c>
      <c r="G586">
        <f>Earnings!G586</f>
        <v>746149.04</v>
      </c>
      <c r="H586">
        <f>Deductions!B586+Deductions!C586+Deductions!D586+Tax!D586</f>
        <v>7771.166666666667</v>
      </c>
      <c r="I586">
        <f t="shared" si="18"/>
        <v>738377.87333333341</v>
      </c>
      <c r="J586">
        <f>Overtime!D586</f>
        <v>0</v>
      </c>
      <c r="K586">
        <f>IF(C586="Junior",0.06,IF(C586="Mid",0.08,IF(C586="Senior",0.1,IF(C586="Manager",0.12,0))))</f>
        <v>0.1</v>
      </c>
      <c r="L586">
        <f>IF(Performance!E586&gt;2,0.03,IF(Performance!E586&gt;=1,0.01,-0.02))</f>
        <v>0.03</v>
      </c>
      <c r="M586">
        <f t="shared" si="19"/>
        <v>0.13</v>
      </c>
      <c r="N586">
        <f>Earnings!B586*(1+M586)</f>
        <v>885660.09999999986</v>
      </c>
    </row>
    <row r="587" spans="1:14" x14ac:dyDescent="0.35">
      <c r="A587" t="s">
        <v>618</v>
      </c>
      <c r="B587" t="s">
        <v>36</v>
      </c>
      <c r="C587" t="s">
        <v>21</v>
      </c>
      <c r="D587" t="s">
        <v>17</v>
      </c>
      <c r="E587">
        <v>8</v>
      </c>
      <c r="F587" t="s">
        <v>71</v>
      </c>
      <c r="G587">
        <f>Earnings!G587</f>
        <v>904167.71199999994</v>
      </c>
      <c r="H587">
        <f>Deductions!B587+Deductions!C587+Deductions!D587+Tax!D587</f>
        <v>10537.6</v>
      </c>
      <c r="I587">
        <f t="shared" si="18"/>
        <v>893630.11199999996</v>
      </c>
      <c r="J587">
        <f>Overtime!D587</f>
        <v>0</v>
      </c>
      <c r="K587">
        <f>IF(C587="Junior",0.06,IF(C587="Mid",0.08,IF(C587="Senior",0.1,IF(C587="Manager",0.12,0))))</f>
        <v>0.1</v>
      </c>
      <c r="L587">
        <f>IF(Performance!E587&gt;2,0.03,IF(Performance!E587&gt;=1,0.01,-0.02))</f>
        <v>0.01</v>
      </c>
      <c r="M587">
        <f t="shared" si="19"/>
        <v>0.11</v>
      </c>
      <c r="N587">
        <f>Earnings!B587*(1+M587)</f>
        <v>1054229.1600000001</v>
      </c>
    </row>
    <row r="588" spans="1:14" x14ac:dyDescent="0.35">
      <c r="A588" t="s">
        <v>619</v>
      </c>
      <c r="B588" t="s">
        <v>15</v>
      </c>
      <c r="C588" t="s">
        <v>16</v>
      </c>
      <c r="D588" t="s">
        <v>22</v>
      </c>
      <c r="E588">
        <v>5</v>
      </c>
      <c r="F588" t="s">
        <v>38</v>
      </c>
      <c r="G588">
        <f>Earnings!G588</f>
        <v>624049.56600000011</v>
      </c>
      <c r="H588">
        <f>Deductions!B588+Deductions!C588+Deductions!D588+Tax!D588</f>
        <v>5633.5708333333332</v>
      </c>
      <c r="I588">
        <f t="shared" si="18"/>
        <v>634803.85141666676</v>
      </c>
      <c r="J588">
        <f>Overtime!D588</f>
        <v>16387.856250000001</v>
      </c>
      <c r="K588">
        <f>IF(C588="Junior",0.06,IF(C588="Mid",0.08,IF(C588="Senior",0.1,IF(C588="Manager",0.12,0))))</f>
        <v>0.06</v>
      </c>
      <c r="L588">
        <f>IF(Performance!E588&gt;2,0.03,IF(Performance!E588&gt;=1,0.01,-0.02))</f>
        <v>0.01</v>
      </c>
      <c r="M588">
        <f t="shared" si="19"/>
        <v>6.9999999999999993E-2</v>
      </c>
      <c r="N588">
        <f>Earnings!B588*(1+M588)</f>
        <v>701400.24750000006</v>
      </c>
    </row>
    <row r="589" spans="1:14" x14ac:dyDescent="0.35">
      <c r="A589" t="s">
        <v>620</v>
      </c>
      <c r="B589" t="s">
        <v>15</v>
      </c>
      <c r="C589" t="s">
        <v>16</v>
      </c>
      <c r="D589" t="s">
        <v>17</v>
      </c>
      <c r="E589">
        <v>1</v>
      </c>
      <c r="F589" t="s">
        <v>23</v>
      </c>
      <c r="G589">
        <f>Earnings!G589</f>
        <v>471411.36</v>
      </c>
      <c r="H589">
        <f>Deductions!B589+Deductions!C589+Deductions!D589+Tax!D589</f>
        <v>3021.5833333333335</v>
      </c>
      <c r="I589">
        <f t="shared" si="18"/>
        <v>500576.47666666668</v>
      </c>
      <c r="J589">
        <f>Overtime!D589</f>
        <v>32186.7</v>
      </c>
      <c r="K589">
        <f>IF(C589="Junior",0.06,IF(C589="Mid",0.08,IF(C589="Senior",0.1,IF(C589="Manager",0.12,0))))</f>
        <v>0.06</v>
      </c>
      <c r="L589">
        <f>IF(Performance!E589&gt;2,0.03,IF(Performance!E589&gt;=1,0.01,-0.02))</f>
        <v>0.01</v>
      </c>
      <c r="M589">
        <f t="shared" si="19"/>
        <v>6.9999999999999993E-2</v>
      </c>
      <c r="N589">
        <f>Earnings!B589*(1+M589)</f>
        <v>529842.6</v>
      </c>
    </row>
    <row r="590" spans="1:14" x14ac:dyDescent="0.35">
      <c r="A590" t="s">
        <v>621</v>
      </c>
      <c r="B590" t="s">
        <v>20</v>
      </c>
      <c r="C590" t="s">
        <v>44</v>
      </c>
      <c r="D590" t="s">
        <v>22</v>
      </c>
      <c r="E590">
        <v>11</v>
      </c>
      <c r="F590" t="s">
        <v>71</v>
      </c>
      <c r="G590">
        <f>Earnings!G590</f>
        <v>1089376.0275999999</v>
      </c>
      <c r="H590">
        <f>Deductions!B590+Deductions!C590+Deductions!D590+Tax!D590</f>
        <v>14982.563750000001</v>
      </c>
      <c r="I590">
        <f t="shared" si="18"/>
        <v>1137330.1040999999</v>
      </c>
      <c r="J590">
        <f>Overtime!D590</f>
        <v>62936.640249999997</v>
      </c>
      <c r="K590">
        <f>IF(C590="Junior",0.06,IF(C590="Mid",0.08,IF(C590="Senior",0.1,IF(C590="Manager",0.12,0))))</f>
        <v>0.12</v>
      </c>
      <c r="L590">
        <f>IF(Performance!E590&gt;2,0.03,IF(Performance!E590&gt;=1,0.01,-0.02))</f>
        <v>0.03</v>
      </c>
      <c r="M590">
        <f t="shared" si="19"/>
        <v>0.15</v>
      </c>
      <c r="N590">
        <f>Earnings!B590*(1+M590)</f>
        <v>1315947.9324999999</v>
      </c>
    </row>
    <row r="591" spans="1:14" x14ac:dyDescent="0.35">
      <c r="A591" t="s">
        <v>622</v>
      </c>
      <c r="B591" t="s">
        <v>15</v>
      </c>
      <c r="C591" t="s">
        <v>34</v>
      </c>
      <c r="D591" t="s">
        <v>17</v>
      </c>
      <c r="E591">
        <v>0</v>
      </c>
      <c r="F591" t="s">
        <v>28</v>
      </c>
      <c r="G591">
        <f>Earnings!G591</f>
        <v>543283.55200000003</v>
      </c>
      <c r="H591">
        <f>Deductions!B591+Deductions!C591+Deductions!D591+Tax!D591</f>
        <v>4219.6000000000004</v>
      </c>
      <c r="I591">
        <f t="shared" si="18"/>
        <v>587571.41200000001</v>
      </c>
      <c r="J591">
        <f>Overtime!D591</f>
        <v>48507.46</v>
      </c>
      <c r="K591">
        <f>IF(C591="Junior",0.06,IF(C591="Mid",0.08,IF(C591="Senior",0.1,IF(C591="Manager",0.12,0))))</f>
        <v>0.08</v>
      </c>
      <c r="L591">
        <f>IF(Performance!E591&gt;2,0.03,IF(Performance!E591&gt;=1,0.01,-0.02))</f>
        <v>0.01</v>
      </c>
      <c r="M591">
        <f t="shared" si="19"/>
        <v>0.09</v>
      </c>
      <c r="N591">
        <f>Earnings!B591*(1+M591)</f>
        <v>622036.84000000008</v>
      </c>
    </row>
    <row r="592" spans="1:14" x14ac:dyDescent="0.35">
      <c r="A592" t="s">
        <v>623</v>
      </c>
      <c r="B592" t="s">
        <v>15</v>
      </c>
      <c r="C592" t="s">
        <v>44</v>
      </c>
      <c r="D592" t="s">
        <v>17</v>
      </c>
      <c r="E592">
        <v>4</v>
      </c>
      <c r="F592" t="s">
        <v>25</v>
      </c>
      <c r="G592">
        <f>Earnings!G592</f>
        <v>590002</v>
      </c>
      <c r="H592">
        <f>Deductions!B592+Deductions!C592+Deductions!D592+Tax!D592</f>
        <v>5037.5</v>
      </c>
      <c r="I592">
        <f t="shared" si="18"/>
        <v>634544.5</v>
      </c>
      <c r="J592">
        <f>Overtime!D592</f>
        <v>49580</v>
      </c>
      <c r="K592">
        <f>IF(C592="Junior",0.06,IF(C592="Mid",0.08,IF(C592="Senior",0.1,IF(C592="Manager",0.12,0))))</f>
        <v>0.12</v>
      </c>
      <c r="L592">
        <f>IF(Performance!E592&gt;2,0.03,IF(Performance!E592&gt;=1,0.01,-0.02))</f>
        <v>0.01</v>
      </c>
      <c r="M592">
        <f t="shared" si="19"/>
        <v>0.13</v>
      </c>
      <c r="N592">
        <f>Earnings!B592*(1+M592)</f>
        <v>700317.49999999988</v>
      </c>
    </row>
    <row r="593" spans="1:14" x14ac:dyDescent="0.35">
      <c r="A593" t="s">
        <v>624</v>
      </c>
      <c r="B593" t="s">
        <v>20</v>
      </c>
      <c r="C593" t="s">
        <v>21</v>
      </c>
      <c r="D593" t="s">
        <v>17</v>
      </c>
      <c r="E593">
        <v>13</v>
      </c>
      <c r="F593" t="s">
        <v>32</v>
      </c>
      <c r="G593">
        <f>Earnings!G593</f>
        <v>1132050.808</v>
      </c>
      <c r="H593">
        <f>Deductions!B593+Deductions!C593+Deductions!D593+Tax!D593</f>
        <v>16103.225</v>
      </c>
      <c r="I593">
        <f t="shared" si="18"/>
        <v>1115947.5829999999</v>
      </c>
      <c r="J593">
        <f>Overtime!D593</f>
        <v>0</v>
      </c>
      <c r="K593">
        <f>IF(C593="Junior",0.06,IF(C593="Mid",0.08,IF(C593="Senior",0.1,IF(C593="Manager",0.12,0))))</f>
        <v>0.1</v>
      </c>
      <c r="L593">
        <f>IF(Performance!E593&gt;2,0.03,IF(Performance!E593&gt;=1,0.01,-0.02))</f>
        <v>0.03</v>
      </c>
      <c r="M593">
        <f t="shared" si="19"/>
        <v>0.13</v>
      </c>
      <c r="N593">
        <f>Earnings!B593*(1+M593)</f>
        <v>1343715.7699999998</v>
      </c>
    </row>
    <row r="594" spans="1:14" x14ac:dyDescent="0.35">
      <c r="A594" t="s">
        <v>625</v>
      </c>
      <c r="B594" t="s">
        <v>36</v>
      </c>
      <c r="C594" t="s">
        <v>21</v>
      </c>
      <c r="D594" t="s">
        <v>22</v>
      </c>
      <c r="E594">
        <v>12</v>
      </c>
      <c r="F594" t="s">
        <v>28</v>
      </c>
      <c r="G594">
        <f>Earnings!G594</f>
        <v>1201901.4756</v>
      </c>
      <c r="H594">
        <f>Deductions!B594+Deductions!C594+Deductions!D594+Tax!D594</f>
        <v>17937.53875</v>
      </c>
      <c r="I594">
        <f t="shared" si="18"/>
        <v>1373339.1693500001</v>
      </c>
      <c r="J594">
        <f>Overtime!D594</f>
        <v>189375.23250000004</v>
      </c>
      <c r="K594">
        <f>IF(C594="Junior",0.06,IF(C594="Mid",0.08,IF(C594="Senior",0.1,IF(C594="Manager",0.12,0))))</f>
        <v>0.1</v>
      </c>
      <c r="L594">
        <f>IF(Performance!E594&gt;2,0.03,IF(Performance!E594&gt;=1,0.01,-0.02))</f>
        <v>0.01</v>
      </c>
      <c r="M594">
        <f t="shared" si="19"/>
        <v>0.11</v>
      </c>
      <c r="N594">
        <f>Earnings!B594*(1+M594)</f>
        <v>1401376.7205000003</v>
      </c>
    </row>
    <row r="595" spans="1:14" x14ac:dyDescent="0.35">
      <c r="A595" t="s">
        <v>626</v>
      </c>
      <c r="B595" t="s">
        <v>15</v>
      </c>
      <c r="C595" t="s">
        <v>44</v>
      </c>
      <c r="D595" t="s">
        <v>22</v>
      </c>
      <c r="E595">
        <v>1</v>
      </c>
      <c r="F595" t="s">
        <v>71</v>
      </c>
      <c r="G595">
        <f>Earnings!G595</f>
        <v>567215.26120000007</v>
      </c>
      <c r="H595">
        <f>Deductions!B595+Deductions!C595+Deductions!D595+Tax!D595</f>
        <v>4638.5725000000002</v>
      </c>
      <c r="I595">
        <f t="shared" si="18"/>
        <v>562576.68870000006</v>
      </c>
      <c r="J595">
        <f>Overtime!D595</f>
        <v>0</v>
      </c>
      <c r="K595">
        <f>IF(C595="Junior",0.06,IF(C595="Mid",0.08,IF(C595="Senior",0.1,IF(C595="Manager",0.12,0))))</f>
        <v>0.12</v>
      </c>
      <c r="L595">
        <f>IF(Performance!E595&gt;2,0.03,IF(Performance!E595&gt;=1,0.01,-0.02))</f>
        <v>0.01</v>
      </c>
      <c r="M595">
        <f t="shared" si="19"/>
        <v>0.13</v>
      </c>
      <c r="N595">
        <f>Earnings!B595*(1+M595)</f>
        <v>673270.21549999993</v>
      </c>
    </row>
    <row r="596" spans="1:14" x14ac:dyDescent="0.35">
      <c r="A596" t="s">
        <v>627</v>
      </c>
      <c r="B596" t="s">
        <v>27</v>
      </c>
      <c r="C596" t="s">
        <v>21</v>
      </c>
      <c r="D596" t="s">
        <v>22</v>
      </c>
      <c r="E596">
        <v>1</v>
      </c>
      <c r="F596" t="s">
        <v>23</v>
      </c>
      <c r="G596">
        <f>Earnings!G596</f>
        <v>494120.7488</v>
      </c>
      <c r="H596">
        <f>Deductions!B596+Deductions!C596+Deductions!D596+Tax!D596</f>
        <v>3358.9066666666668</v>
      </c>
      <c r="I596">
        <f t="shared" si="18"/>
        <v>555641.14213333337</v>
      </c>
      <c r="J596">
        <f>Overtime!D596</f>
        <v>64879.3</v>
      </c>
      <c r="K596">
        <f>IF(C596="Junior",0.06,IF(C596="Mid",0.08,IF(C596="Senior",0.1,IF(C596="Manager",0.12,0))))</f>
        <v>0.1</v>
      </c>
      <c r="L596">
        <f>IF(Performance!E596&gt;2,0.03,IF(Performance!E596&gt;=1,0.01,-0.02))</f>
        <v>0.01</v>
      </c>
      <c r="M596">
        <f t="shared" si="19"/>
        <v>0.11</v>
      </c>
      <c r="N596">
        <f>Earnings!B596*(1+M596)</f>
        <v>576128.18400000012</v>
      </c>
    </row>
    <row r="597" spans="1:14" x14ac:dyDescent="0.35">
      <c r="A597" t="s">
        <v>628</v>
      </c>
      <c r="B597" t="s">
        <v>20</v>
      </c>
      <c r="C597" t="s">
        <v>34</v>
      </c>
      <c r="D597" t="s">
        <v>22</v>
      </c>
      <c r="E597">
        <v>11</v>
      </c>
      <c r="F597" t="s">
        <v>25</v>
      </c>
      <c r="G597">
        <f>Earnings!G597</f>
        <v>780508.95719999995</v>
      </c>
      <c r="H597">
        <f>Deductions!B597+Deductions!C597+Deductions!D597+Tax!D597</f>
        <v>8372.7058333333334</v>
      </c>
      <c r="I597">
        <f t="shared" si="18"/>
        <v>866420.4216166666</v>
      </c>
      <c r="J597">
        <f>Overtime!D597</f>
        <v>94284.170249999996</v>
      </c>
      <c r="K597">
        <f>IF(C597="Junior",0.06,IF(C597="Mid",0.08,IF(C597="Senior",0.1,IF(C597="Manager",0.12,0))))</f>
        <v>0.08</v>
      </c>
      <c r="L597">
        <f>IF(Performance!E597&gt;2,0.03,IF(Performance!E597&gt;=1,0.01,-0.02))</f>
        <v>0.03</v>
      </c>
      <c r="M597">
        <f t="shared" si="19"/>
        <v>0.11</v>
      </c>
      <c r="N597">
        <f>Earnings!B597*(1+M597)</f>
        <v>910047.20850000007</v>
      </c>
    </row>
    <row r="598" spans="1:14" x14ac:dyDescent="0.35">
      <c r="A598" t="s">
        <v>629</v>
      </c>
      <c r="B598" t="s">
        <v>30</v>
      </c>
      <c r="C598" t="s">
        <v>21</v>
      </c>
      <c r="D598" t="s">
        <v>22</v>
      </c>
      <c r="E598">
        <v>4</v>
      </c>
      <c r="F598" t="s">
        <v>28</v>
      </c>
      <c r="G598">
        <f>Earnings!G598</f>
        <v>866413.39119999995</v>
      </c>
      <c r="H598">
        <f>Deductions!B598+Deductions!C598+Deductions!D598+Tax!D598</f>
        <v>9876.6349999999984</v>
      </c>
      <c r="I598">
        <f t="shared" si="18"/>
        <v>947546.5662</v>
      </c>
      <c r="J598">
        <f>Overtime!D598</f>
        <v>91009.81</v>
      </c>
      <c r="K598">
        <f>IF(C598="Junior",0.06,IF(C598="Mid",0.08,IF(C598="Senior",0.1,IF(C598="Manager",0.12,0))))</f>
        <v>0.1</v>
      </c>
      <c r="L598">
        <f>IF(Performance!E598&gt;2,0.03,IF(Performance!E598&gt;=1,0.01,-0.02))</f>
        <v>0.01</v>
      </c>
      <c r="M598">
        <f t="shared" si="19"/>
        <v>0.11</v>
      </c>
      <c r="N598">
        <f>Earnings!B598*(1+M598)</f>
        <v>1010208.8910000001</v>
      </c>
    </row>
    <row r="599" spans="1:14" x14ac:dyDescent="0.35">
      <c r="A599" t="s">
        <v>630</v>
      </c>
      <c r="B599" t="s">
        <v>15</v>
      </c>
      <c r="C599" t="s">
        <v>16</v>
      </c>
      <c r="D599" t="s">
        <v>22</v>
      </c>
      <c r="E599">
        <v>3</v>
      </c>
      <c r="F599" t="s">
        <v>45</v>
      </c>
      <c r="G599">
        <f>Earnings!G599</f>
        <v>497460.69799999997</v>
      </c>
      <c r="H599">
        <f>Deductions!B599+Deductions!C599+Deductions!D599+Tax!D599</f>
        <v>3417.3791666666666</v>
      </c>
      <c r="I599">
        <f t="shared" si="18"/>
        <v>507106.8875833333</v>
      </c>
      <c r="J599">
        <f>Overtime!D599</f>
        <v>13063.568749999999</v>
      </c>
      <c r="K599">
        <f>IF(C599="Junior",0.06,IF(C599="Mid",0.08,IF(C599="Senior",0.1,IF(C599="Manager",0.12,0))))</f>
        <v>0.06</v>
      </c>
      <c r="L599">
        <f>IF(Performance!E599&gt;2,0.03,IF(Performance!E599&gt;=1,0.01,-0.02))</f>
        <v>0.01</v>
      </c>
      <c r="M599">
        <f t="shared" si="19"/>
        <v>6.9999999999999993E-2</v>
      </c>
      <c r="N599">
        <f>Earnings!B599*(1+M599)</f>
        <v>559120.74250000005</v>
      </c>
    </row>
    <row r="600" spans="1:14" x14ac:dyDescent="0.35">
      <c r="A600" t="s">
        <v>631</v>
      </c>
      <c r="B600" t="s">
        <v>36</v>
      </c>
      <c r="C600" t="s">
        <v>21</v>
      </c>
      <c r="D600" t="s">
        <v>17</v>
      </c>
      <c r="E600">
        <v>3</v>
      </c>
      <c r="F600" t="s">
        <v>25</v>
      </c>
      <c r="G600">
        <f>Earnings!G600</f>
        <v>896097.60800000001</v>
      </c>
      <c r="H600">
        <f>Deductions!B600+Deductions!C600+Deductions!D600+Tax!D600</f>
        <v>10396.316666666668</v>
      </c>
      <c r="I600">
        <f t="shared" si="18"/>
        <v>885701.29133333336</v>
      </c>
      <c r="J600">
        <f>Overtime!D600</f>
        <v>0</v>
      </c>
      <c r="K600">
        <f>IF(C600="Junior",0.06,IF(C600="Mid",0.08,IF(C600="Senior",0.1,IF(C600="Manager",0.12,0))))</f>
        <v>0.1</v>
      </c>
      <c r="L600">
        <f>IF(Performance!E600&gt;2,0.03,IF(Performance!E600&gt;=1,0.01,-0.02))</f>
        <v>0.01</v>
      </c>
      <c r="M600">
        <f t="shared" si="19"/>
        <v>0.11</v>
      </c>
      <c r="N600">
        <f>Earnings!B600*(1+M600)</f>
        <v>1044819.6900000001</v>
      </c>
    </row>
    <row r="601" spans="1:14" x14ac:dyDescent="0.35">
      <c r="A601" t="s">
        <v>632</v>
      </c>
      <c r="B601" t="s">
        <v>15</v>
      </c>
      <c r="C601" t="s">
        <v>21</v>
      </c>
      <c r="D601" t="s">
        <v>22</v>
      </c>
      <c r="E601">
        <v>9</v>
      </c>
      <c r="F601" t="s">
        <v>18</v>
      </c>
      <c r="G601">
        <f>Earnings!G601</f>
        <v>549820.03159999987</v>
      </c>
      <c r="H601">
        <f>Deductions!B601+Deductions!C601+Deductions!D601+Tax!D601</f>
        <v>4334.0341666666664</v>
      </c>
      <c r="I601">
        <f t="shared" si="18"/>
        <v>545485.99743333319</v>
      </c>
      <c r="J601">
        <f>Overtime!D601</f>
        <v>0</v>
      </c>
      <c r="K601">
        <f>IF(C601="Junior",0.06,IF(C601="Mid",0.08,IF(C601="Senior",0.1,IF(C601="Manager",0.12,0))))</f>
        <v>0.1</v>
      </c>
      <c r="L601">
        <f>IF(Performance!E601&gt;2,0.03,IF(Performance!E601&gt;=1,0.01,-0.02))</f>
        <v>0.01</v>
      </c>
      <c r="M601">
        <f t="shared" si="19"/>
        <v>0.11</v>
      </c>
      <c r="N601">
        <f>Earnings!B601*(1+M601)</f>
        <v>641071.67550000001</v>
      </c>
    </row>
    <row r="602" spans="1:14" x14ac:dyDescent="0.35">
      <c r="A602" t="s">
        <v>633</v>
      </c>
      <c r="B602" t="s">
        <v>27</v>
      </c>
      <c r="C602" t="s">
        <v>16</v>
      </c>
      <c r="D602" t="s">
        <v>17</v>
      </c>
      <c r="E602">
        <v>2</v>
      </c>
      <c r="F602" t="s">
        <v>71</v>
      </c>
      <c r="G602">
        <f>Earnings!G602</f>
        <v>631032.24800000002</v>
      </c>
      <c r="H602">
        <f>Deductions!B602+Deductions!C602+Deductions!D602+Tax!D602</f>
        <v>5755.8166666666675</v>
      </c>
      <c r="I602">
        <f t="shared" si="18"/>
        <v>674990.10633333342</v>
      </c>
      <c r="J602">
        <f>Overtime!D602</f>
        <v>49713.674999999996</v>
      </c>
      <c r="K602">
        <f>IF(C602="Junior",0.06,IF(C602="Mid",0.08,IF(C602="Senior",0.1,IF(C602="Manager",0.12,0))))</f>
        <v>0.06</v>
      </c>
      <c r="L602">
        <f>IF(Performance!E602&gt;2,0.03,IF(Performance!E602&gt;=1,0.01,-0.02))</f>
        <v>0.01</v>
      </c>
      <c r="M602">
        <f t="shared" si="19"/>
        <v>6.9999999999999993E-2</v>
      </c>
      <c r="N602">
        <f>Earnings!B602*(1+M602)</f>
        <v>709248.43</v>
      </c>
    </row>
    <row r="603" spans="1:14" x14ac:dyDescent="0.35">
      <c r="A603" t="s">
        <v>634</v>
      </c>
      <c r="B603" t="s">
        <v>36</v>
      </c>
      <c r="C603" t="s">
        <v>44</v>
      </c>
      <c r="D603" t="s">
        <v>17</v>
      </c>
      <c r="E603">
        <v>0</v>
      </c>
      <c r="F603" t="s">
        <v>23</v>
      </c>
      <c r="G603">
        <f>Earnings!G603</f>
        <v>741644.17599999998</v>
      </c>
      <c r="H603">
        <f>Deductions!B603+Deductions!C603+Deductions!D603+Tax!D603</f>
        <v>7692.3</v>
      </c>
      <c r="I603">
        <f t="shared" si="18"/>
        <v>792379.72599999991</v>
      </c>
      <c r="J603">
        <f>Overtime!D603</f>
        <v>58427.85</v>
      </c>
      <c r="K603">
        <f>IF(C603="Junior",0.06,IF(C603="Mid",0.08,IF(C603="Senior",0.1,IF(C603="Manager",0.12,0))))</f>
        <v>0.12</v>
      </c>
      <c r="L603">
        <f>IF(Performance!E603&gt;2,0.03,IF(Performance!E603&gt;=1,0.01,-0.02))</f>
        <v>0.01</v>
      </c>
      <c r="M603">
        <f t="shared" si="19"/>
        <v>0.13</v>
      </c>
      <c r="N603">
        <f>Earnings!B603*(1+M603)</f>
        <v>880312.94</v>
      </c>
    </row>
    <row r="604" spans="1:14" x14ac:dyDescent="0.35">
      <c r="A604" t="s">
        <v>635</v>
      </c>
      <c r="B604" t="s">
        <v>15</v>
      </c>
      <c r="C604" t="s">
        <v>34</v>
      </c>
      <c r="D604" t="s">
        <v>22</v>
      </c>
      <c r="E604">
        <v>14</v>
      </c>
      <c r="F604" t="s">
        <v>28</v>
      </c>
      <c r="G604">
        <f>Earnings!G604</f>
        <v>858314.48919999995</v>
      </c>
      <c r="H604">
        <f>Deductions!B604+Deductions!C604+Deductions!D604+Tax!D604</f>
        <v>9734.8474999999999</v>
      </c>
      <c r="I604">
        <f t="shared" si="18"/>
        <v>848579.64169999992</v>
      </c>
      <c r="J604">
        <f>Overtime!D604</f>
        <v>0</v>
      </c>
      <c r="K604">
        <f>IF(C604="Junior",0.06,IF(C604="Mid",0.08,IF(C604="Senior",0.1,IF(C604="Manager",0.12,0))))</f>
        <v>0.08</v>
      </c>
      <c r="L604">
        <f>IF(Performance!E604&gt;2,0.03,IF(Performance!E604&gt;=1,0.01,-0.02))</f>
        <v>0.01</v>
      </c>
      <c r="M604">
        <f t="shared" si="19"/>
        <v>0.09</v>
      </c>
      <c r="N604">
        <f>Earnings!B604*(1+M604)</f>
        <v>982734.02650000004</v>
      </c>
    </row>
    <row r="605" spans="1:14" x14ac:dyDescent="0.35">
      <c r="A605" t="s">
        <v>636</v>
      </c>
      <c r="B605" t="s">
        <v>15</v>
      </c>
      <c r="C605" t="s">
        <v>34</v>
      </c>
      <c r="D605" t="s">
        <v>22</v>
      </c>
      <c r="E605">
        <v>11</v>
      </c>
      <c r="F605" t="s">
        <v>32</v>
      </c>
      <c r="G605">
        <f>Earnings!G605</f>
        <v>781486.61359999981</v>
      </c>
      <c r="H605">
        <f>Deductions!B605+Deductions!C605+Deductions!D605+Tax!D605</f>
        <v>8389.8216666666667</v>
      </c>
      <c r="I605">
        <f t="shared" si="18"/>
        <v>879812.40093333321</v>
      </c>
      <c r="J605">
        <f>Overtime!D605</f>
        <v>106715.609</v>
      </c>
      <c r="K605">
        <f>IF(C605="Junior",0.06,IF(C605="Mid",0.08,IF(C605="Senior",0.1,IF(C605="Manager",0.12,0))))</f>
        <v>0.08</v>
      </c>
      <c r="L605">
        <f>IF(Performance!E605&gt;2,0.03,IF(Performance!E605&gt;=1,0.01,-0.02))</f>
        <v>0.01</v>
      </c>
      <c r="M605">
        <f t="shared" si="19"/>
        <v>0.09</v>
      </c>
      <c r="N605">
        <f>Earnings!B605*(1+M605)</f>
        <v>894769.33699999994</v>
      </c>
    </row>
    <row r="606" spans="1:14" x14ac:dyDescent="0.35">
      <c r="A606" t="s">
        <v>637</v>
      </c>
      <c r="B606" t="s">
        <v>30</v>
      </c>
      <c r="C606" t="s">
        <v>44</v>
      </c>
      <c r="D606" t="s">
        <v>17</v>
      </c>
      <c r="E606">
        <v>13</v>
      </c>
      <c r="F606" t="s">
        <v>71</v>
      </c>
      <c r="G606">
        <f>Earnings!G606</f>
        <v>1251128.872</v>
      </c>
      <c r="H606">
        <f>Deductions!B606+Deductions!C606+Deductions!D606+Tax!D606</f>
        <v>19230.274999999998</v>
      </c>
      <c r="I606">
        <f t="shared" si="18"/>
        <v>1231898.5970000001</v>
      </c>
      <c r="J606">
        <f>Overtime!D606</f>
        <v>0</v>
      </c>
      <c r="K606">
        <f>IF(C606="Junior",0.06,IF(C606="Mid",0.08,IF(C606="Senior",0.1,IF(C606="Manager",0.12,0))))</f>
        <v>0.12</v>
      </c>
      <c r="L606">
        <f>IF(Performance!E606&gt;2,0.03,IF(Performance!E606&gt;=1,0.01,-0.02))</f>
        <v>0.01</v>
      </c>
      <c r="M606">
        <f t="shared" si="19"/>
        <v>0.13</v>
      </c>
      <c r="N606">
        <f>Earnings!B606*(1+M606)</f>
        <v>1485058.43</v>
      </c>
    </row>
    <row r="607" spans="1:14" x14ac:dyDescent="0.35">
      <c r="A607" t="s">
        <v>638</v>
      </c>
      <c r="B607" t="s">
        <v>30</v>
      </c>
      <c r="C607" t="s">
        <v>34</v>
      </c>
      <c r="D607" t="s">
        <v>22</v>
      </c>
      <c r="E607">
        <v>7</v>
      </c>
      <c r="F607" t="s">
        <v>32</v>
      </c>
      <c r="G607">
        <f>Earnings!G607</f>
        <v>1015879.0572</v>
      </c>
      <c r="H607">
        <f>Deductions!B607+Deductions!C607+Deductions!D607+Tax!D607</f>
        <v>13052.496250000002</v>
      </c>
      <c r="I607">
        <f t="shared" si="18"/>
        <v>1120207.5444500002</v>
      </c>
      <c r="J607">
        <f>Overtime!D607</f>
        <v>117380.98350000003</v>
      </c>
      <c r="K607">
        <f>IF(C607="Junior",0.06,IF(C607="Mid",0.08,IF(C607="Senior",0.1,IF(C607="Manager",0.12,0))))</f>
        <v>0.08</v>
      </c>
      <c r="L607">
        <f>IF(Performance!E607&gt;2,0.03,IF(Performance!E607&gt;=1,0.01,-0.02))</f>
        <v>0.01</v>
      </c>
      <c r="M607">
        <f t="shared" si="19"/>
        <v>0.09</v>
      </c>
      <c r="N607">
        <f>Earnings!B607*(1+M607)</f>
        <v>1163138.8365000002</v>
      </c>
    </row>
    <row r="608" spans="1:14" x14ac:dyDescent="0.35">
      <c r="A608" t="s">
        <v>639</v>
      </c>
      <c r="B608" t="s">
        <v>30</v>
      </c>
      <c r="C608" t="s">
        <v>21</v>
      </c>
      <c r="D608" t="s">
        <v>17</v>
      </c>
      <c r="E608">
        <v>12</v>
      </c>
      <c r="F608" t="s">
        <v>45</v>
      </c>
      <c r="G608">
        <f>Earnings!G608</f>
        <v>916696.03200000001</v>
      </c>
      <c r="H608">
        <f>Deductions!B608+Deductions!C608+Deductions!D608+Tax!D608</f>
        <v>10756.933333333334</v>
      </c>
      <c r="I608">
        <f t="shared" si="18"/>
        <v>968528.63866666669</v>
      </c>
      <c r="J608">
        <f>Overtime!D608</f>
        <v>62589.54</v>
      </c>
      <c r="K608">
        <f>IF(C608="Junior",0.06,IF(C608="Mid",0.08,IF(C608="Senior",0.1,IF(C608="Manager",0.12,0))))</f>
        <v>0.1</v>
      </c>
      <c r="L608">
        <f>IF(Performance!E608&gt;2,0.03,IF(Performance!E608&gt;=1,0.01,-0.02))</f>
        <v>0.01</v>
      </c>
      <c r="M608">
        <f t="shared" si="19"/>
        <v>0.11</v>
      </c>
      <c r="N608">
        <f>Earnings!B608*(1+M608)</f>
        <v>1068836.76</v>
      </c>
    </row>
    <row r="609" spans="1:14" x14ac:dyDescent="0.35">
      <c r="A609" t="s">
        <v>640</v>
      </c>
      <c r="B609" t="s">
        <v>15</v>
      </c>
      <c r="C609" t="s">
        <v>21</v>
      </c>
      <c r="D609" t="s">
        <v>17</v>
      </c>
      <c r="E609">
        <v>4</v>
      </c>
      <c r="F609" t="s">
        <v>32</v>
      </c>
      <c r="G609">
        <f>Earnings!G609</f>
        <v>648900.33600000013</v>
      </c>
      <c r="H609">
        <f>Deductions!B609+Deductions!C609+Deductions!D609+Tax!D609</f>
        <v>6068.6333333333332</v>
      </c>
      <c r="I609">
        <f t="shared" si="18"/>
        <v>680320.69266666682</v>
      </c>
      <c r="J609">
        <f>Overtime!D609</f>
        <v>37488.990000000005</v>
      </c>
      <c r="K609">
        <f>IF(C609="Junior",0.06,IF(C609="Mid",0.08,IF(C609="Senior",0.1,IF(C609="Manager",0.12,0))))</f>
        <v>0.1</v>
      </c>
      <c r="L609">
        <f>IF(Performance!E609&gt;2,0.03,IF(Performance!E609&gt;=1,0.01,-0.02))</f>
        <v>0.01</v>
      </c>
      <c r="M609">
        <f t="shared" si="19"/>
        <v>0.11</v>
      </c>
      <c r="N609">
        <f>Earnings!B609*(1+M609)</f>
        <v>756595.9800000001</v>
      </c>
    </row>
    <row r="610" spans="1:14" x14ac:dyDescent="0.35">
      <c r="A610" t="s">
        <v>641</v>
      </c>
      <c r="B610" t="s">
        <v>15</v>
      </c>
      <c r="C610" t="s">
        <v>34</v>
      </c>
      <c r="D610" t="s">
        <v>22</v>
      </c>
      <c r="E610">
        <v>8</v>
      </c>
      <c r="F610" t="s">
        <v>71</v>
      </c>
      <c r="G610">
        <f>Earnings!G610</f>
        <v>730877.29399999999</v>
      </c>
      <c r="H610">
        <f>Deductions!B610+Deductions!C610+Deductions!D610+Tax!D610</f>
        <v>7503.8041666666659</v>
      </c>
      <c r="I610">
        <f t="shared" si="18"/>
        <v>761759.90233333327</v>
      </c>
      <c r="J610">
        <f>Overtime!D610</f>
        <v>38386.412499999999</v>
      </c>
      <c r="K610">
        <f>IF(C610="Junior",0.06,IF(C610="Mid",0.08,IF(C610="Senior",0.1,IF(C610="Manager",0.12,0))))</f>
        <v>0.08</v>
      </c>
      <c r="L610">
        <f>IF(Performance!E610&gt;2,0.03,IF(Performance!E610&gt;=1,0.01,-0.02))</f>
        <v>0.01</v>
      </c>
      <c r="M610">
        <f t="shared" si="19"/>
        <v>0.09</v>
      </c>
      <c r="N610">
        <f>Earnings!B610*(1+M610)</f>
        <v>836823.7925000001</v>
      </c>
    </row>
    <row r="611" spans="1:14" x14ac:dyDescent="0.35">
      <c r="A611" t="s">
        <v>642</v>
      </c>
      <c r="B611" t="s">
        <v>36</v>
      </c>
      <c r="C611" t="s">
        <v>16</v>
      </c>
      <c r="D611" t="s">
        <v>22</v>
      </c>
      <c r="E611">
        <v>6</v>
      </c>
      <c r="F611" t="s">
        <v>18</v>
      </c>
      <c r="G611">
        <f>Earnings!G611</f>
        <v>983625.44</v>
      </c>
      <c r="H611">
        <f>Deductions!B611+Deductions!C611+Deductions!D611+Tax!D611</f>
        <v>12205.5</v>
      </c>
      <c r="I611">
        <f t="shared" si="18"/>
        <v>971419.94</v>
      </c>
      <c r="J611">
        <f>Overtime!D611</f>
        <v>0</v>
      </c>
      <c r="K611">
        <f>IF(C611="Junior",0.06,IF(C611="Mid",0.08,IF(C611="Senior",0.1,IF(C611="Manager",0.12,0))))</f>
        <v>0.06</v>
      </c>
      <c r="L611">
        <f>IF(Performance!E611&gt;2,0.03,IF(Performance!E611&gt;=1,0.01,-0.02))</f>
        <v>0.01</v>
      </c>
      <c r="M611">
        <f t="shared" si="19"/>
        <v>6.9999999999999993E-2</v>
      </c>
      <c r="N611">
        <f>Earnings!B611*(1+M611)</f>
        <v>1105545.4000000001</v>
      </c>
    </row>
    <row r="612" spans="1:14" x14ac:dyDescent="0.35">
      <c r="A612" t="s">
        <v>643</v>
      </c>
      <c r="B612" t="s">
        <v>27</v>
      </c>
      <c r="C612" t="s">
        <v>21</v>
      </c>
      <c r="D612" t="s">
        <v>22</v>
      </c>
      <c r="E612">
        <v>2</v>
      </c>
      <c r="F612" t="s">
        <v>28</v>
      </c>
      <c r="G612">
        <f>Earnings!G612</f>
        <v>395757.30040000012</v>
      </c>
      <c r="H612">
        <f>Deductions!B612+Deductions!C612+Deductions!D612+Tax!D612</f>
        <v>2690.464375</v>
      </c>
      <c r="I612">
        <f t="shared" si="18"/>
        <v>393066.83602500014</v>
      </c>
      <c r="J612">
        <f>Overtime!D612</f>
        <v>0</v>
      </c>
      <c r="K612">
        <f>IF(C612="Junior",0.06,IF(C612="Mid",0.08,IF(C612="Senior",0.1,IF(C612="Manager",0.12,0))))</f>
        <v>0.1</v>
      </c>
      <c r="L612">
        <f>IF(Performance!E612&gt;2,0.03,IF(Performance!E612&gt;=1,0.01,-0.02))</f>
        <v>0.01</v>
      </c>
      <c r="M612">
        <f t="shared" si="19"/>
        <v>0.11</v>
      </c>
      <c r="N612">
        <f>Earnings!B612*(1+M612)</f>
        <v>461439.70950000006</v>
      </c>
    </row>
    <row r="613" spans="1:14" x14ac:dyDescent="0.35">
      <c r="A613" t="s">
        <v>644</v>
      </c>
      <c r="B613" t="s">
        <v>20</v>
      </c>
      <c r="C613" t="s">
        <v>44</v>
      </c>
      <c r="D613" t="s">
        <v>17</v>
      </c>
      <c r="E613">
        <v>8</v>
      </c>
      <c r="F613" t="s">
        <v>25</v>
      </c>
      <c r="G613">
        <f>Earnings!G613</f>
        <v>1014892.928</v>
      </c>
      <c r="H613">
        <f>Deductions!B613+Deductions!C613+Deductions!D613+Tax!D613</f>
        <v>13026.6</v>
      </c>
      <c r="I613">
        <f t="shared" si="18"/>
        <v>1001866.328</v>
      </c>
      <c r="J613">
        <f>Overtime!D613</f>
        <v>0</v>
      </c>
      <c r="K613">
        <f>IF(C613="Junior",0.06,IF(C613="Mid",0.08,IF(C613="Senior",0.1,IF(C613="Manager",0.12,0))))</f>
        <v>0.12</v>
      </c>
      <c r="L613">
        <f>IF(Performance!E613&gt;2,0.03,IF(Performance!E613&gt;=1,0.01,-0.02))</f>
        <v>0.03</v>
      </c>
      <c r="M613">
        <f t="shared" si="19"/>
        <v>0.15</v>
      </c>
      <c r="N613">
        <f>Earnings!B613*(1+M613)</f>
        <v>1225973.5999999999</v>
      </c>
    </row>
    <row r="614" spans="1:14" x14ac:dyDescent="0.35">
      <c r="A614" t="s">
        <v>645</v>
      </c>
      <c r="B614" t="s">
        <v>20</v>
      </c>
      <c r="C614" t="s">
        <v>21</v>
      </c>
      <c r="D614" t="s">
        <v>22</v>
      </c>
      <c r="E614">
        <v>0</v>
      </c>
      <c r="F614" t="s">
        <v>71</v>
      </c>
      <c r="G614">
        <f>Earnings!G614</f>
        <v>671486.2503999999</v>
      </c>
      <c r="H614">
        <f>Deductions!B614+Deductions!C614+Deductions!D614+Tax!D614</f>
        <v>6464.0449999999992</v>
      </c>
      <c r="I614">
        <f t="shared" si="18"/>
        <v>707342.7673999999</v>
      </c>
      <c r="J614">
        <f>Overtime!D614</f>
        <v>42320.562000000005</v>
      </c>
      <c r="K614">
        <f>IF(C614="Junior",0.06,IF(C614="Mid",0.08,IF(C614="Senior",0.1,IF(C614="Manager",0.12,0))))</f>
        <v>0.1</v>
      </c>
      <c r="L614">
        <f>IF(Performance!E614&gt;2,0.03,IF(Performance!E614&gt;=1,0.01,-0.02))</f>
        <v>0.03</v>
      </c>
      <c r="M614">
        <f t="shared" si="19"/>
        <v>0.13</v>
      </c>
      <c r="N614">
        <f>Earnings!B614*(1+M614)</f>
        <v>797037.25099999981</v>
      </c>
    </row>
    <row r="615" spans="1:14" x14ac:dyDescent="0.35">
      <c r="A615" t="s">
        <v>646</v>
      </c>
      <c r="B615" t="s">
        <v>30</v>
      </c>
      <c r="C615" t="s">
        <v>16</v>
      </c>
      <c r="D615" t="s">
        <v>22</v>
      </c>
      <c r="E615">
        <v>2</v>
      </c>
      <c r="F615" t="s">
        <v>45</v>
      </c>
      <c r="G615">
        <f>Earnings!G615</f>
        <v>981406.04239999992</v>
      </c>
      <c r="H615">
        <f>Deductions!B615+Deductions!C615+Deductions!D615+Tax!D615</f>
        <v>12147.217499999999</v>
      </c>
      <c r="I615">
        <f t="shared" si="18"/>
        <v>969258.82489999989</v>
      </c>
      <c r="J615">
        <f>Overtime!D615</f>
        <v>0</v>
      </c>
      <c r="K615">
        <f>IF(C615="Junior",0.06,IF(C615="Mid",0.08,IF(C615="Senior",0.1,IF(C615="Manager",0.12,0))))</f>
        <v>0.06</v>
      </c>
      <c r="L615">
        <f>IF(Performance!E615&gt;2,0.03,IF(Performance!E615&gt;=1,0.01,-0.02))</f>
        <v>0.01</v>
      </c>
      <c r="M615">
        <f t="shared" si="19"/>
        <v>6.9999999999999993E-2</v>
      </c>
      <c r="N615">
        <f>Earnings!B615*(1+M615)</f>
        <v>1103050.909</v>
      </c>
    </row>
    <row r="616" spans="1:14" x14ac:dyDescent="0.35">
      <c r="A616" t="s">
        <v>647</v>
      </c>
      <c r="B616" t="s">
        <v>15</v>
      </c>
      <c r="C616" t="s">
        <v>16</v>
      </c>
      <c r="D616" t="s">
        <v>22</v>
      </c>
      <c r="E616">
        <v>2</v>
      </c>
      <c r="F616" t="s">
        <v>28</v>
      </c>
      <c r="G616">
        <f>Earnings!G616</f>
        <v>543524.50320000004</v>
      </c>
      <c r="H616">
        <f>Deductions!B616+Deductions!C616+Deductions!D616+Tax!D616</f>
        <v>4223.8183333333327</v>
      </c>
      <c r="I616">
        <f t="shared" si="18"/>
        <v>539300.68486666668</v>
      </c>
      <c r="J616">
        <f>Overtime!D616</f>
        <v>0</v>
      </c>
      <c r="K616">
        <f>IF(C616="Junior",0.06,IF(C616="Mid",0.08,IF(C616="Senior",0.1,IF(C616="Manager",0.12,0))))</f>
        <v>0.06</v>
      </c>
      <c r="L616">
        <f>IF(Performance!E616&gt;2,0.03,IF(Performance!E616&gt;=1,0.01,-0.02))</f>
        <v>0.01</v>
      </c>
      <c r="M616">
        <f t="shared" si="19"/>
        <v>6.9999999999999993E-2</v>
      </c>
      <c r="N616">
        <f>Earnings!B616*(1+M616)</f>
        <v>610894.13699999999</v>
      </c>
    </row>
    <row r="617" spans="1:14" x14ac:dyDescent="0.35">
      <c r="A617" t="s">
        <v>648</v>
      </c>
      <c r="B617" t="s">
        <v>36</v>
      </c>
      <c r="C617" t="s">
        <v>16</v>
      </c>
      <c r="D617" t="s">
        <v>22</v>
      </c>
      <c r="E617">
        <v>12</v>
      </c>
      <c r="F617" t="s">
        <v>32</v>
      </c>
      <c r="G617">
        <f>Earnings!G617</f>
        <v>1180440.9680000001</v>
      </c>
      <c r="H617">
        <f>Deductions!B617+Deductions!C617+Deductions!D617+Tax!D617</f>
        <v>17373.974999999999</v>
      </c>
      <c r="I617">
        <f t="shared" si="18"/>
        <v>1206465.558</v>
      </c>
      <c r="J617">
        <f>Overtime!D617</f>
        <v>43398.565000000002</v>
      </c>
      <c r="K617">
        <f>IF(C617="Junior",0.06,IF(C617="Mid",0.08,IF(C617="Senior",0.1,IF(C617="Manager",0.12,0))))</f>
        <v>0.06</v>
      </c>
      <c r="L617">
        <f>IF(Performance!E617&gt;2,0.03,IF(Performance!E617&gt;=1,0.01,-0.02))</f>
        <v>0.01</v>
      </c>
      <c r="M617">
        <f t="shared" si="19"/>
        <v>6.9999999999999993E-2</v>
      </c>
      <c r="N617">
        <f>Earnings!B617*(1+M617)</f>
        <v>1326756.1300000001</v>
      </c>
    </row>
    <row r="618" spans="1:14" x14ac:dyDescent="0.35">
      <c r="A618" t="s">
        <v>649</v>
      </c>
      <c r="B618" t="s">
        <v>36</v>
      </c>
      <c r="C618" t="s">
        <v>16</v>
      </c>
      <c r="D618" t="s">
        <v>22</v>
      </c>
      <c r="E618">
        <v>0</v>
      </c>
      <c r="F618" t="s">
        <v>38</v>
      </c>
      <c r="G618">
        <f>Earnings!G618</f>
        <v>575868.56039999996</v>
      </c>
      <c r="H618">
        <f>Deductions!B618+Deductions!C618+Deductions!D618+Tax!D618</f>
        <v>4790.0658333333322</v>
      </c>
      <c r="I618">
        <f t="shared" si="18"/>
        <v>610397.2513166666</v>
      </c>
      <c r="J618">
        <f>Overtime!D618</f>
        <v>39318.75675</v>
      </c>
      <c r="K618">
        <f>IF(C618="Junior",0.06,IF(C618="Mid",0.08,IF(C618="Senior",0.1,IF(C618="Manager",0.12,0))))</f>
        <v>0.06</v>
      </c>
      <c r="L618">
        <f>IF(Performance!E618&gt;2,0.03,IF(Performance!E618&gt;=1,0.01,-0.02))</f>
        <v>0.01</v>
      </c>
      <c r="M618">
        <f t="shared" si="19"/>
        <v>6.9999999999999993E-2</v>
      </c>
      <c r="N618">
        <f>Earnings!B618*(1+M618)</f>
        <v>647247.22649999999</v>
      </c>
    </row>
    <row r="619" spans="1:14" x14ac:dyDescent="0.35">
      <c r="A619" t="s">
        <v>650</v>
      </c>
      <c r="B619" t="s">
        <v>15</v>
      </c>
      <c r="C619" t="s">
        <v>16</v>
      </c>
      <c r="D619" t="s">
        <v>17</v>
      </c>
      <c r="E619">
        <v>8</v>
      </c>
      <c r="F619" t="s">
        <v>23</v>
      </c>
      <c r="G619">
        <f>Earnings!G619</f>
        <v>791777.44799999997</v>
      </c>
      <c r="H619">
        <f>Deductions!B619+Deductions!C619+Deductions!D619+Tax!D619</f>
        <v>8569.9833333333336</v>
      </c>
      <c r="I619">
        <f t="shared" si="18"/>
        <v>883011.3446666667</v>
      </c>
      <c r="J619">
        <f>Overtime!D619</f>
        <v>99803.88</v>
      </c>
      <c r="K619">
        <f>IF(C619="Junior",0.06,IF(C619="Mid",0.08,IF(C619="Senior",0.1,IF(C619="Manager",0.12,0))))</f>
        <v>0.06</v>
      </c>
      <c r="L619">
        <f>IF(Performance!E619&gt;2,0.03,IF(Performance!E619&gt;=1,0.01,-0.02))</f>
        <v>0.01</v>
      </c>
      <c r="M619">
        <f t="shared" si="19"/>
        <v>6.9999999999999993E-2</v>
      </c>
      <c r="N619">
        <f>Earnings!B619*(1+M619)</f>
        <v>889917.93</v>
      </c>
    </row>
    <row r="620" spans="1:14" x14ac:dyDescent="0.35">
      <c r="A620" t="s">
        <v>651</v>
      </c>
      <c r="B620" t="s">
        <v>15</v>
      </c>
      <c r="C620" t="s">
        <v>34</v>
      </c>
      <c r="D620" t="s">
        <v>22</v>
      </c>
      <c r="E620">
        <v>0</v>
      </c>
      <c r="F620" t="s">
        <v>32</v>
      </c>
      <c r="G620">
        <f>Earnings!G620</f>
        <v>479955.13160000002</v>
      </c>
      <c r="H620">
        <f>Deductions!B620+Deductions!C620+Deductions!D620+Tax!D620</f>
        <v>3110.9091666666664</v>
      </c>
      <c r="I620">
        <f t="shared" si="18"/>
        <v>476844.22243333334</v>
      </c>
      <c r="J620">
        <f>Overtime!D620</f>
        <v>0</v>
      </c>
      <c r="K620">
        <f>IF(C620="Junior",0.06,IF(C620="Mid",0.08,IF(C620="Senior",0.1,IF(C620="Manager",0.12,0))))</f>
        <v>0.08</v>
      </c>
      <c r="L620">
        <f>IF(Performance!E620&gt;2,0.03,IF(Performance!E620&gt;=1,0.01,-0.02))</f>
        <v>0.01</v>
      </c>
      <c r="M620">
        <f t="shared" si="19"/>
        <v>0.09</v>
      </c>
      <c r="N620">
        <f>Earnings!B620*(1+M620)</f>
        <v>549528.4595</v>
      </c>
    </row>
    <row r="621" spans="1:14" x14ac:dyDescent="0.35">
      <c r="A621" t="s">
        <v>652</v>
      </c>
      <c r="B621" t="s">
        <v>27</v>
      </c>
      <c r="C621" t="s">
        <v>44</v>
      </c>
      <c r="D621" t="s">
        <v>17</v>
      </c>
      <c r="E621">
        <v>13</v>
      </c>
      <c r="F621" t="s">
        <v>32</v>
      </c>
      <c r="G621">
        <f>Earnings!G621</f>
        <v>951955.25600000005</v>
      </c>
      <c r="H621">
        <f>Deductions!B621+Deductions!C621+Deductions!D621+Tax!D621</f>
        <v>11374.216666666667</v>
      </c>
      <c r="I621">
        <f t="shared" si="18"/>
        <v>1040576.3393333334</v>
      </c>
      <c r="J621">
        <f>Overtime!D621</f>
        <v>99995.3</v>
      </c>
      <c r="K621">
        <f>IF(C621="Junior",0.06,IF(C621="Mid",0.08,IF(C621="Senior",0.1,IF(C621="Manager",0.12,0))))</f>
        <v>0.12</v>
      </c>
      <c r="L621">
        <f>IF(Performance!E621&gt;2,0.03,IF(Performance!E621&gt;=1,0.01,-0.02))</f>
        <v>0.01</v>
      </c>
      <c r="M621">
        <f t="shared" si="19"/>
        <v>0.13</v>
      </c>
      <c r="N621">
        <f>Earnings!B621*(1+M621)</f>
        <v>1129946.8899999999</v>
      </c>
    </row>
    <row r="622" spans="1:14" x14ac:dyDescent="0.35">
      <c r="A622" t="s">
        <v>653</v>
      </c>
      <c r="B622" t="s">
        <v>20</v>
      </c>
      <c r="C622" t="s">
        <v>34</v>
      </c>
      <c r="D622" t="s">
        <v>22</v>
      </c>
      <c r="E622">
        <v>3</v>
      </c>
      <c r="F622" t="s">
        <v>28</v>
      </c>
      <c r="G622">
        <f>Earnings!G622</f>
        <v>830828.86879999982</v>
      </c>
      <c r="H622">
        <f>Deductions!B622+Deductions!C622+Deductions!D622+Tax!D622</f>
        <v>9253.6566666666658</v>
      </c>
      <c r="I622">
        <f t="shared" si="18"/>
        <v>921937.94313333323</v>
      </c>
      <c r="J622">
        <f>Overtime!D622</f>
        <v>100362.731</v>
      </c>
      <c r="K622">
        <f>IF(C622="Junior",0.06,IF(C622="Mid",0.08,IF(C622="Senior",0.1,IF(C622="Manager",0.12,0))))</f>
        <v>0.08</v>
      </c>
      <c r="L622">
        <f>IF(Performance!E622&gt;2,0.03,IF(Performance!E622&gt;=1,0.01,-0.02))</f>
        <v>0.03</v>
      </c>
      <c r="M622">
        <f t="shared" si="19"/>
        <v>0.11</v>
      </c>
      <c r="N622">
        <f>Earnings!B622*(1+M622)</f>
        <v>968718.53399999999</v>
      </c>
    </row>
    <row r="623" spans="1:14" x14ac:dyDescent="0.35">
      <c r="A623" t="s">
        <v>654</v>
      </c>
      <c r="B623" t="s">
        <v>36</v>
      </c>
      <c r="C623" t="s">
        <v>16</v>
      </c>
      <c r="D623" t="s">
        <v>17</v>
      </c>
      <c r="E623">
        <v>3</v>
      </c>
      <c r="F623" t="s">
        <v>25</v>
      </c>
      <c r="G623">
        <f>Earnings!G623</f>
        <v>1009911.112</v>
      </c>
      <c r="H623">
        <f>Deductions!B623+Deductions!C623+Deductions!D623+Tax!D623</f>
        <v>12895.775</v>
      </c>
      <c r="I623">
        <f t="shared" si="18"/>
        <v>997015.33699999994</v>
      </c>
      <c r="J623">
        <f>Overtime!D623</f>
        <v>0</v>
      </c>
      <c r="K623">
        <f>IF(C623="Junior",0.06,IF(C623="Mid",0.08,IF(C623="Senior",0.1,IF(C623="Manager",0.12,0))))</f>
        <v>0.06</v>
      </c>
      <c r="L623">
        <f>IF(Performance!E623&gt;2,0.03,IF(Performance!E623&gt;=1,0.01,-0.02))</f>
        <v>0.01</v>
      </c>
      <c r="M623">
        <f t="shared" si="19"/>
        <v>6.9999999999999993E-2</v>
      </c>
      <c r="N623">
        <f>Earnings!B623*(1+M623)</f>
        <v>1135089.1700000002</v>
      </c>
    </row>
    <row r="624" spans="1:14" x14ac:dyDescent="0.35">
      <c r="A624" t="s">
        <v>655</v>
      </c>
      <c r="B624" t="s">
        <v>20</v>
      </c>
      <c r="C624" t="s">
        <v>44</v>
      </c>
      <c r="D624" t="s">
        <v>22</v>
      </c>
      <c r="E624">
        <v>0</v>
      </c>
      <c r="F624" t="s">
        <v>32</v>
      </c>
      <c r="G624">
        <f>Earnings!G624</f>
        <v>515378.67080000008</v>
      </c>
      <c r="H624">
        <f>Deductions!B624+Deductions!C624+Deductions!D624+Tax!D624</f>
        <v>3731.0691666666671</v>
      </c>
      <c r="I624">
        <f t="shared" si="18"/>
        <v>571197.65813333343</v>
      </c>
      <c r="J624">
        <f>Overtime!D624</f>
        <v>59550.056499999999</v>
      </c>
      <c r="K624">
        <f>IF(C624="Junior",0.06,IF(C624="Mid",0.08,IF(C624="Senior",0.1,IF(C624="Manager",0.12,0))))</f>
        <v>0.12</v>
      </c>
      <c r="L624">
        <f>IF(Performance!E624&gt;2,0.03,IF(Performance!E624&gt;=1,0.01,-0.02))</f>
        <v>0.03</v>
      </c>
      <c r="M624">
        <f t="shared" si="19"/>
        <v>0.15</v>
      </c>
      <c r="N624">
        <f>Earnings!B624*(1+M624)</f>
        <v>622568.77249999996</v>
      </c>
    </row>
    <row r="625" spans="1:14" x14ac:dyDescent="0.35">
      <c r="A625" t="s">
        <v>656</v>
      </c>
      <c r="B625" t="s">
        <v>30</v>
      </c>
      <c r="C625" t="s">
        <v>34</v>
      </c>
      <c r="D625" t="s">
        <v>17</v>
      </c>
      <c r="E625">
        <v>15</v>
      </c>
      <c r="F625" t="s">
        <v>18</v>
      </c>
      <c r="G625">
        <f>Earnings!G625</f>
        <v>1152063.7520000001</v>
      </c>
      <c r="H625">
        <f>Deductions!B625+Deductions!C625+Deductions!D625+Tax!D625</f>
        <v>16628.775000000001</v>
      </c>
      <c r="I625">
        <f t="shared" si="18"/>
        <v>1135434.9770000002</v>
      </c>
      <c r="J625">
        <f>Overtime!D625</f>
        <v>0</v>
      </c>
      <c r="K625">
        <f>IF(C625="Junior",0.06,IF(C625="Mid",0.08,IF(C625="Senior",0.1,IF(C625="Manager",0.12,0))))</f>
        <v>0.08</v>
      </c>
      <c r="L625">
        <f>IF(Performance!E625&gt;2,0.03,IF(Performance!E625&gt;=1,0.01,-0.02))</f>
        <v>0.01</v>
      </c>
      <c r="M625">
        <f t="shared" si="19"/>
        <v>0.09</v>
      </c>
      <c r="N625">
        <f>Earnings!B625*(1+M625)</f>
        <v>1319064.5900000001</v>
      </c>
    </row>
    <row r="626" spans="1:14" x14ac:dyDescent="0.35">
      <c r="A626" t="s">
        <v>657</v>
      </c>
      <c r="B626" t="s">
        <v>36</v>
      </c>
      <c r="C626" t="s">
        <v>44</v>
      </c>
      <c r="D626" t="s">
        <v>17</v>
      </c>
      <c r="E626">
        <v>14</v>
      </c>
      <c r="F626" t="s">
        <v>45</v>
      </c>
      <c r="G626">
        <f>Earnings!G626</f>
        <v>991922.12</v>
      </c>
      <c r="H626">
        <f>Deductions!B626+Deductions!C626+Deductions!D626+Tax!D626</f>
        <v>12423.375</v>
      </c>
      <c r="I626">
        <f t="shared" si="18"/>
        <v>1125369.645</v>
      </c>
      <c r="J626">
        <f>Overtime!D626</f>
        <v>145870.9</v>
      </c>
      <c r="K626">
        <f>IF(C626="Junior",0.06,IF(C626="Mid",0.08,IF(C626="Senior",0.1,IF(C626="Manager",0.12,0))))</f>
        <v>0.12</v>
      </c>
      <c r="L626">
        <f>IF(Performance!E626&gt;2,0.03,IF(Performance!E626&gt;=1,0.01,-0.02))</f>
        <v>0.01</v>
      </c>
      <c r="M626">
        <f t="shared" si="19"/>
        <v>0.13</v>
      </c>
      <c r="N626">
        <f>Earnings!B626*(1+M626)</f>
        <v>1177386.5499999998</v>
      </c>
    </row>
    <row r="627" spans="1:14" x14ac:dyDescent="0.35">
      <c r="A627" t="s">
        <v>658</v>
      </c>
      <c r="B627" t="s">
        <v>36</v>
      </c>
      <c r="C627" t="s">
        <v>34</v>
      </c>
      <c r="D627" t="s">
        <v>17</v>
      </c>
      <c r="E627">
        <v>9</v>
      </c>
      <c r="F627" t="s">
        <v>18</v>
      </c>
      <c r="G627">
        <f>Earnings!G627</f>
        <v>1081030.2720000001</v>
      </c>
      <c r="H627">
        <f>Deductions!B627+Deductions!C627+Deductions!D627+Tax!D627</f>
        <v>14763.4</v>
      </c>
      <c r="I627">
        <f t="shared" si="18"/>
        <v>1066266.8720000002</v>
      </c>
      <c r="J627">
        <f>Overtime!D627</f>
        <v>0</v>
      </c>
      <c r="K627">
        <f>IF(C627="Junior",0.06,IF(C627="Mid",0.08,IF(C627="Senior",0.1,IF(C627="Manager",0.12,0))))</f>
        <v>0.08</v>
      </c>
      <c r="L627">
        <f>IF(Performance!E627&gt;2,0.03,IF(Performance!E627&gt;=1,0.01,-0.02))</f>
        <v>0.01</v>
      </c>
      <c r="M627">
        <f t="shared" si="19"/>
        <v>0.09</v>
      </c>
      <c r="N627">
        <f>Earnings!B627*(1+M627)</f>
        <v>1237734.24</v>
      </c>
    </row>
    <row r="628" spans="1:14" x14ac:dyDescent="0.35">
      <c r="A628" t="s">
        <v>659</v>
      </c>
      <c r="B628" t="s">
        <v>30</v>
      </c>
      <c r="C628" t="s">
        <v>16</v>
      </c>
      <c r="D628" t="s">
        <v>17</v>
      </c>
      <c r="E628">
        <v>10</v>
      </c>
      <c r="F628" t="s">
        <v>23</v>
      </c>
      <c r="G628">
        <f>Earnings!G628</f>
        <v>1290009.504</v>
      </c>
      <c r="H628">
        <f>Deductions!B628+Deductions!C628+Deductions!D628+Tax!D628</f>
        <v>20251.3</v>
      </c>
      <c r="I628">
        <f t="shared" si="18"/>
        <v>1459465.4839999999</v>
      </c>
      <c r="J628">
        <f>Overtime!D628</f>
        <v>189707.28</v>
      </c>
      <c r="K628">
        <f>IF(C628="Junior",0.06,IF(C628="Mid",0.08,IF(C628="Senior",0.1,IF(C628="Manager",0.12,0))))</f>
        <v>0.06</v>
      </c>
      <c r="L628">
        <f>IF(Performance!E628&gt;2,0.03,IF(Performance!E628&gt;=1,0.01,-0.02))</f>
        <v>0.01</v>
      </c>
      <c r="M628">
        <f t="shared" si="19"/>
        <v>6.9999999999999993E-2</v>
      </c>
      <c r="N628">
        <f>Earnings!B628*(1+M628)</f>
        <v>1449905.6400000001</v>
      </c>
    </row>
    <row r="629" spans="1:14" x14ac:dyDescent="0.35">
      <c r="A629" t="s">
        <v>660</v>
      </c>
      <c r="B629" t="s">
        <v>30</v>
      </c>
      <c r="C629" t="s">
        <v>16</v>
      </c>
      <c r="D629" t="s">
        <v>17</v>
      </c>
      <c r="E629">
        <v>12</v>
      </c>
      <c r="F629" t="s">
        <v>23</v>
      </c>
      <c r="G629">
        <f>Earnings!G629</f>
        <v>1372156.632</v>
      </c>
      <c r="H629">
        <f>Deductions!B629+Deductions!C629+Deductions!D629+Tax!D629</f>
        <v>22408.524999999998</v>
      </c>
      <c r="I629">
        <f t="shared" si="18"/>
        <v>1349748.1070000001</v>
      </c>
      <c r="J629">
        <f>Overtime!D629</f>
        <v>0</v>
      </c>
      <c r="K629">
        <f>IF(C629="Junior",0.06,IF(C629="Mid",0.08,IF(C629="Senior",0.1,IF(C629="Manager",0.12,0))))</f>
        <v>0.06</v>
      </c>
      <c r="L629">
        <f>IF(Performance!E629&gt;2,0.03,IF(Performance!E629&gt;=1,0.01,-0.02))</f>
        <v>0.01</v>
      </c>
      <c r="M629">
        <f t="shared" si="19"/>
        <v>6.9999999999999993E-2</v>
      </c>
      <c r="N629">
        <f>Earnings!B629*(1+M629)</f>
        <v>1542234.87</v>
      </c>
    </row>
    <row r="630" spans="1:14" x14ac:dyDescent="0.35">
      <c r="A630" t="s">
        <v>661</v>
      </c>
      <c r="B630" t="s">
        <v>20</v>
      </c>
      <c r="C630" t="s">
        <v>21</v>
      </c>
      <c r="D630" t="s">
        <v>22</v>
      </c>
      <c r="E630">
        <v>4</v>
      </c>
      <c r="F630" t="s">
        <v>38</v>
      </c>
      <c r="G630">
        <f>Earnings!G630</f>
        <v>907527.41519999993</v>
      </c>
      <c r="H630">
        <f>Deductions!B630+Deductions!C630+Deductions!D630+Tax!D630</f>
        <v>10596.418333333333</v>
      </c>
      <c r="I630">
        <f t="shared" si="18"/>
        <v>1039923.7618666666</v>
      </c>
      <c r="J630">
        <f>Overtime!D630</f>
        <v>142992.76499999998</v>
      </c>
      <c r="K630">
        <f>IF(C630="Junior",0.06,IF(C630="Mid",0.08,IF(C630="Senior",0.1,IF(C630="Manager",0.12,0))))</f>
        <v>0.1</v>
      </c>
      <c r="L630">
        <f>IF(Performance!E630&gt;2,0.03,IF(Performance!E630&gt;=1,0.01,-0.02))</f>
        <v>0.03</v>
      </c>
      <c r="M630">
        <f t="shared" si="19"/>
        <v>0.13</v>
      </c>
      <c r="N630">
        <f>Earnings!B630*(1+M630)</f>
        <v>1077212.1629999999</v>
      </c>
    </row>
    <row r="631" spans="1:14" x14ac:dyDescent="0.35">
      <c r="A631" t="s">
        <v>662</v>
      </c>
      <c r="B631" t="s">
        <v>36</v>
      </c>
      <c r="C631" t="s">
        <v>21</v>
      </c>
      <c r="D631" t="s">
        <v>17</v>
      </c>
      <c r="E631">
        <v>14</v>
      </c>
      <c r="F631" t="s">
        <v>25</v>
      </c>
      <c r="G631">
        <f>Earnings!G631</f>
        <v>932677.25600000005</v>
      </c>
      <c r="H631">
        <f>Deductions!B631+Deductions!C631+Deductions!D631+Tax!D631</f>
        <v>11036.716666666667</v>
      </c>
      <c r="I631">
        <f t="shared" si="18"/>
        <v>995118.26433333335</v>
      </c>
      <c r="J631">
        <f>Overtime!D631</f>
        <v>73477.725000000006</v>
      </c>
      <c r="K631">
        <f>IF(C631="Junior",0.06,IF(C631="Mid",0.08,IF(C631="Senior",0.1,IF(C631="Manager",0.12,0))))</f>
        <v>0.1</v>
      </c>
      <c r="L631">
        <f>IF(Performance!E631&gt;2,0.03,IF(Performance!E631&gt;=1,0.01,-0.02))</f>
        <v>0.01</v>
      </c>
      <c r="M631">
        <f t="shared" si="19"/>
        <v>0.11</v>
      </c>
      <c r="N631">
        <f>Earnings!B631*(1+M631)</f>
        <v>1087470.33</v>
      </c>
    </row>
    <row r="632" spans="1:14" x14ac:dyDescent="0.35">
      <c r="A632" t="s">
        <v>663</v>
      </c>
      <c r="B632" t="s">
        <v>15</v>
      </c>
      <c r="C632" t="s">
        <v>44</v>
      </c>
      <c r="D632" t="s">
        <v>17</v>
      </c>
      <c r="E632">
        <v>7</v>
      </c>
      <c r="F632" t="s">
        <v>23</v>
      </c>
      <c r="G632">
        <f>Earnings!G632</f>
        <v>694167.9360000001</v>
      </c>
      <c r="H632">
        <f>Deductions!B632+Deductions!C632+Deductions!D632+Tax!D632</f>
        <v>6861.1333333333341</v>
      </c>
      <c r="I632">
        <f t="shared" si="18"/>
        <v>687306.8026666668</v>
      </c>
      <c r="J632">
        <f>Overtime!D632</f>
        <v>0</v>
      </c>
      <c r="K632">
        <f>IF(C632="Junior",0.06,IF(C632="Mid",0.08,IF(C632="Senior",0.1,IF(C632="Manager",0.12,0))))</f>
        <v>0.12</v>
      </c>
      <c r="L632">
        <f>IF(Performance!E632&gt;2,0.03,IF(Performance!E632&gt;=1,0.01,-0.02))</f>
        <v>0.01</v>
      </c>
      <c r="M632">
        <f t="shared" si="19"/>
        <v>0.13</v>
      </c>
      <c r="N632">
        <f>Earnings!B632*(1+M632)</f>
        <v>823959.84</v>
      </c>
    </row>
    <row r="633" spans="1:14" x14ac:dyDescent="0.35">
      <c r="A633" t="s">
        <v>664</v>
      </c>
      <c r="B633" t="s">
        <v>27</v>
      </c>
      <c r="C633" t="s">
        <v>16</v>
      </c>
      <c r="D633" t="s">
        <v>22</v>
      </c>
      <c r="E633">
        <v>0</v>
      </c>
      <c r="F633" t="s">
        <v>28</v>
      </c>
      <c r="G633">
        <f>Earnings!G633</f>
        <v>364056.27159999998</v>
      </c>
      <c r="H633">
        <f>Deductions!B633+Deductions!C633+Deductions!D633+Tax!D633</f>
        <v>2551.7168750000001</v>
      </c>
      <c r="I633">
        <f t="shared" si="18"/>
        <v>390185.45847499999</v>
      </c>
      <c r="J633">
        <f>Overtime!D633</f>
        <v>28680.903750000001</v>
      </c>
      <c r="K633">
        <f>IF(C633="Junior",0.06,IF(C633="Mid",0.08,IF(C633="Senior",0.1,IF(C633="Manager",0.12,0))))</f>
        <v>0.06</v>
      </c>
      <c r="L633">
        <f>IF(Performance!E633&gt;2,0.03,IF(Performance!E633&gt;=1,0.01,-0.02))</f>
        <v>0.01</v>
      </c>
      <c r="M633">
        <f t="shared" si="19"/>
        <v>6.9999999999999993E-2</v>
      </c>
      <c r="N633">
        <f>Earnings!B633*(1+M633)</f>
        <v>409180.89350000001</v>
      </c>
    </row>
    <row r="634" spans="1:14" x14ac:dyDescent="0.35">
      <c r="A634" t="s">
        <v>665</v>
      </c>
      <c r="B634" t="s">
        <v>27</v>
      </c>
      <c r="C634" t="s">
        <v>21</v>
      </c>
      <c r="D634" t="s">
        <v>22</v>
      </c>
      <c r="E634">
        <v>3</v>
      </c>
      <c r="F634" t="s">
        <v>71</v>
      </c>
      <c r="G634">
        <f>Earnings!G634</f>
        <v>573735.9852</v>
      </c>
      <c r="H634">
        <f>Deductions!B634+Deductions!C634+Deductions!D634+Tax!D634</f>
        <v>4752.7308333333331</v>
      </c>
      <c r="I634">
        <f t="shared" si="18"/>
        <v>568983.25436666666</v>
      </c>
      <c r="J634">
        <f>Overtime!D634</f>
        <v>0</v>
      </c>
      <c r="K634">
        <f>IF(C634="Junior",0.06,IF(C634="Mid",0.08,IF(C634="Senior",0.1,IF(C634="Manager",0.12,0))))</f>
        <v>0.1</v>
      </c>
      <c r="L634">
        <f>IF(Performance!E634&gt;2,0.03,IF(Performance!E634&gt;=1,0.01,-0.02))</f>
        <v>0.01</v>
      </c>
      <c r="M634">
        <f t="shared" si="19"/>
        <v>0.11</v>
      </c>
      <c r="N634">
        <f>Earnings!B634*(1+M634)</f>
        <v>668956.87349999999</v>
      </c>
    </row>
    <row r="635" spans="1:14" x14ac:dyDescent="0.35">
      <c r="A635" t="s">
        <v>666</v>
      </c>
      <c r="B635" t="s">
        <v>36</v>
      </c>
      <c r="C635" t="s">
        <v>44</v>
      </c>
      <c r="D635" t="s">
        <v>17</v>
      </c>
      <c r="E635">
        <v>6</v>
      </c>
      <c r="F635" t="s">
        <v>28</v>
      </c>
      <c r="G635">
        <f>Earnings!G635</f>
        <v>1031053.128</v>
      </c>
      <c r="H635">
        <f>Deductions!B635+Deductions!C635+Deductions!D635+Tax!D635</f>
        <v>13450.975</v>
      </c>
      <c r="I635">
        <f t="shared" si="18"/>
        <v>1017602.153</v>
      </c>
      <c r="J635">
        <f>Overtime!D635</f>
        <v>0</v>
      </c>
      <c r="K635">
        <f>IF(C635="Junior",0.06,IF(C635="Mid",0.08,IF(C635="Senior",0.1,IF(C635="Manager",0.12,0))))</f>
        <v>0.12</v>
      </c>
      <c r="L635">
        <f>IF(Performance!E635&gt;2,0.03,IF(Performance!E635&gt;=1,0.01,-0.02))</f>
        <v>0.01</v>
      </c>
      <c r="M635">
        <f t="shared" si="19"/>
        <v>0.13</v>
      </c>
      <c r="N635">
        <f>Earnings!B635*(1+M635)</f>
        <v>1223834.0699999998</v>
      </c>
    </row>
    <row r="636" spans="1:14" x14ac:dyDescent="0.35">
      <c r="A636" t="s">
        <v>667</v>
      </c>
      <c r="B636" t="s">
        <v>27</v>
      </c>
      <c r="C636" t="s">
        <v>16</v>
      </c>
      <c r="D636" t="s">
        <v>17</v>
      </c>
      <c r="E636">
        <v>12</v>
      </c>
      <c r="F636" t="s">
        <v>38</v>
      </c>
      <c r="G636">
        <f>Earnings!G636</f>
        <v>765199.51199999999</v>
      </c>
      <c r="H636">
        <f>Deductions!B636+Deductions!C636+Deductions!D636+Tax!D636</f>
        <v>8104.6833333333343</v>
      </c>
      <c r="I636">
        <f t="shared" si="18"/>
        <v>857567.45366666664</v>
      </c>
      <c r="J636">
        <f>Overtime!D636</f>
        <v>100472.625</v>
      </c>
      <c r="K636">
        <f>IF(C636="Junior",0.06,IF(C636="Mid",0.08,IF(C636="Senior",0.1,IF(C636="Manager",0.12,0))))</f>
        <v>0.06</v>
      </c>
      <c r="L636">
        <f>IF(Performance!E636&gt;2,0.03,IF(Performance!E636&gt;=1,0.01,-0.02))</f>
        <v>0.01</v>
      </c>
      <c r="M636">
        <f t="shared" si="19"/>
        <v>6.9999999999999993E-2</v>
      </c>
      <c r="N636">
        <f>Earnings!B636*(1+M636)</f>
        <v>860045.67</v>
      </c>
    </row>
    <row r="637" spans="1:14" x14ac:dyDescent="0.35">
      <c r="A637" t="s">
        <v>668</v>
      </c>
      <c r="B637" t="s">
        <v>15</v>
      </c>
      <c r="C637" t="s">
        <v>44</v>
      </c>
      <c r="D637" t="s">
        <v>22</v>
      </c>
      <c r="E637">
        <v>2</v>
      </c>
      <c r="F637" t="s">
        <v>45</v>
      </c>
      <c r="G637">
        <f>Earnings!G637</f>
        <v>554633.24840000004</v>
      </c>
      <c r="H637">
        <f>Deductions!B637+Deductions!C637+Deductions!D637+Tax!D637</f>
        <v>4418.2991666666658</v>
      </c>
      <c r="I637">
        <f t="shared" si="18"/>
        <v>550214.94923333335</v>
      </c>
      <c r="J637">
        <f>Overtime!D637</f>
        <v>0</v>
      </c>
      <c r="K637">
        <f>IF(C637="Junior",0.06,IF(C637="Mid",0.08,IF(C637="Senior",0.1,IF(C637="Manager",0.12,0))))</f>
        <v>0.12</v>
      </c>
      <c r="L637">
        <f>IF(Performance!E637&gt;2,0.03,IF(Performance!E637&gt;=1,0.01,-0.02))</f>
        <v>0.01</v>
      </c>
      <c r="M637">
        <f t="shared" si="19"/>
        <v>0.13</v>
      </c>
      <c r="N637">
        <f>Earnings!B637*(1+M637)</f>
        <v>658335.68349999993</v>
      </c>
    </row>
    <row r="638" spans="1:14" x14ac:dyDescent="0.35">
      <c r="A638" t="s">
        <v>669</v>
      </c>
      <c r="B638" t="s">
        <v>15</v>
      </c>
      <c r="C638" t="s">
        <v>44</v>
      </c>
      <c r="D638" t="s">
        <v>22</v>
      </c>
      <c r="E638">
        <v>4</v>
      </c>
      <c r="F638" t="s">
        <v>71</v>
      </c>
      <c r="G638">
        <f>Earnings!G638</f>
        <v>481460.95760000002</v>
      </c>
      <c r="H638">
        <f>Deductions!B638+Deductions!C638+Deductions!D638+Tax!D638</f>
        <v>3137.2716666666665</v>
      </c>
      <c r="I638">
        <f t="shared" si="18"/>
        <v>541540.72343333333</v>
      </c>
      <c r="J638">
        <f>Overtime!D638</f>
        <v>63217.037499999991</v>
      </c>
      <c r="K638">
        <f>IF(C638="Junior",0.06,IF(C638="Mid",0.08,IF(C638="Senior",0.1,IF(C638="Manager",0.12,0))))</f>
        <v>0.12</v>
      </c>
      <c r="L638">
        <f>IF(Performance!E638&gt;2,0.03,IF(Performance!E638&gt;=1,0.01,-0.02))</f>
        <v>0.01</v>
      </c>
      <c r="M638">
        <f t="shared" si="19"/>
        <v>0.13</v>
      </c>
      <c r="N638">
        <f>Earnings!B638*(1+M638)</f>
        <v>571482.01899999997</v>
      </c>
    </row>
    <row r="639" spans="1:14" x14ac:dyDescent="0.35">
      <c r="A639" t="s">
        <v>670</v>
      </c>
      <c r="B639" t="s">
        <v>36</v>
      </c>
      <c r="C639" t="s">
        <v>21</v>
      </c>
      <c r="D639" t="s">
        <v>22</v>
      </c>
      <c r="E639">
        <v>4</v>
      </c>
      <c r="F639" t="s">
        <v>45</v>
      </c>
      <c r="G639">
        <f>Earnings!G639</f>
        <v>743483.72560000001</v>
      </c>
      <c r="H639">
        <f>Deductions!B639+Deductions!C639+Deductions!D639+Tax!D639</f>
        <v>7724.5050000000001</v>
      </c>
      <c r="I639">
        <f t="shared" si="18"/>
        <v>778712.5871</v>
      </c>
      <c r="J639">
        <f>Overtime!D639</f>
        <v>42953.366499999996</v>
      </c>
      <c r="K639">
        <f>IF(C639="Junior",0.06,IF(C639="Mid",0.08,IF(C639="Senior",0.1,IF(C639="Manager",0.12,0))))</f>
        <v>0.1</v>
      </c>
      <c r="L639">
        <f>IF(Performance!E639&gt;2,0.03,IF(Performance!E639&gt;=1,0.01,-0.02))</f>
        <v>0.01</v>
      </c>
      <c r="M639">
        <f t="shared" si="19"/>
        <v>0.11</v>
      </c>
      <c r="N639">
        <f>Earnings!B639*(1+M639)</f>
        <v>866877.03300000005</v>
      </c>
    </row>
    <row r="640" spans="1:14" x14ac:dyDescent="0.35">
      <c r="A640" t="s">
        <v>671</v>
      </c>
      <c r="B640" t="s">
        <v>20</v>
      </c>
      <c r="C640" t="s">
        <v>21</v>
      </c>
      <c r="D640" t="s">
        <v>22</v>
      </c>
      <c r="E640">
        <v>6</v>
      </c>
      <c r="F640" t="s">
        <v>23</v>
      </c>
      <c r="G640">
        <f>Earnings!G640</f>
        <v>593426.58199999994</v>
      </c>
      <c r="H640">
        <f>Deductions!B640+Deductions!C640+Deductions!D640+Tax!D640</f>
        <v>5097.4541666666664</v>
      </c>
      <c r="I640">
        <f t="shared" si="18"/>
        <v>588329.12783333322</v>
      </c>
      <c r="J640">
        <f>Overtime!D640</f>
        <v>0</v>
      </c>
      <c r="K640">
        <f>IF(C640="Junior",0.06,IF(C640="Mid",0.08,IF(C640="Senior",0.1,IF(C640="Manager",0.12,0))))</f>
        <v>0.1</v>
      </c>
      <c r="L640">
        <f>IF(Performance!E640&gt;2,0.03,IF(Performance!E640&gt;=1,0.01,-0.02))</f>
        <v>0.03</v>
      </c>
      <c r="M640">
        <f t="shared" si="19"/>
        <v>0.13</v>
      </c>
      <c r="N640">
        <f>Earnings!B640*(1+M640)</f>
        <v>704382.39249999996</v>
      </c>
    </row>
    <row r="641" spans="1:14" x14ac:dyDescent="0.35">
      <c r="A641" t="s">
        <v>672</v>
      </c>
      <c r="B641" t="s">
        <v>15</v>
      </c>
      <c r="C641" t="s">
        <v>16</v>
      </c>
      <c r="D641" t="s">
        <v>22</v>
      </c>
      <c r="E641">
        <v>10</v>
      </c>
      <c r="F641" t="s">
        <v>71</v>
      </c>
      <c r="G641">
        <f>Earnings!G641</f>
        <v>605343.86080000014</v>
      </c>
      <c r="H641">
        <f>Deductions!B641+Deductions!C641+Deductions!D641+Tax!D641</f>
        <v>5306.09</v>
      </c>
      <c r="I641">
        <f t="shared" si="18"/>
        <v>669982.96480000019</v>
      </c>
      <c r="J641">
        <f>Overtime!D641</f>
        <v>69945.194000000003</v>
      </c>
      <c r="K641">
        <f>IF(C641="Junior",0.06,IF(C641="Mid",0.08,IF(C641="Senior",0.1,IF(C641="Manager",0.12,0))))</f>
        <v>0.06</v>
      </c>
      <c r="L641">
        <f>IF(Performance!E641&gt;2,0.03,IF(Performance!E641&gt;=1,0.01,-0.02))</f>
        <v>0.01</v>
      </c>
      <c r="M641">
        <f t="shared" si="19"/>
        <v>6.9999999999999993E-2</v>
      </c>
      <c r="N641">
        <f>Earnings!B641*(1+M641)</f>
        <v>680375.97800000012</v>
      </c>
    </row>
    <row r="642" spans="1:14" x14ac:dyDescent="0.35">
      <c r="A642" t="s">
        <v>673</v>
      </c>
      <c r="B642" t="s">
        <v>36</v>
      </c>
      <c r="C642" t="s">
        <v>44</v>
      </c>
      <c r="D642" t="s">
        <v>17</v>
      </c>
      <c r="E642">
        <v>9</v>
      </c>
      <c r="F642" t="s">
        <v>32</v>
      </c>
      <c r="G642">
        <f>Earnings!G642</f>
        <v>1120592.5360000001</v>
      </c>
      <c r="H642">
        <f>Deductions!B642+Deductions!C642+Deductions!D642+Tax!D642</f>
        <v>15802.324999999999</v>
      </c>
      <c r="I642">
        <f t="shared" ref="I642:I705" si="20">G642-H642+J642</f>
        <v>1175415.7910000002</v>
      </c>
      <c r="J642">
        <f>Overtime!D642</f>
        <v>70625.58</v>
      </c>
      <c r="K642">
        <f>IF(C642="Junior",0.06,IF(C642="Mid",0.08,IF(C642="Senior",0.1,IF(C642="Manager",0.12,0))))</f>
        <v>0.12</v>
      </c>
      <c r="L642">
        <f>IF(Performance!E642&gt;2,0.03,IF(Performance!E642&gt;=1,0.01,-0.02))</f>
        <v>0.01</v>
      </c>
      <c r="M642">
        <f t="shared" ref="M642:M705" si="21">K642+L642</f>
        <v>0.13</v>
      </c>
      <c r="N642">
        <f>Earnings!B642*(1+M642)</f>
        <v>1330115.0899999999</v>
      </c>
    </row>
    <row r="643" spans="1:14" x14ac:dyDescent="0.35">
      <c r="A643" t="s">
        <v>674</v>
      </c>
      <c r="B643" t="s">
        <v>30</v>
      </c>
      <c r="C643" t="s">
        <v>34</v>
      </c>
      <c r="D643" t="s">
        <v>22</v>
      </c>
      <c r="E643">
        <v>13</v>
      </c>
      <c r="F643" t="s">
        <v>23</v>
      </c>
      <c r="G643">
        <f>Earnings!G643</f>
        <v>1301624.2372000001</v>
      </c>
      <c r="H643">
        <f>Deductions!B643+Deductions!C643+Deductions!D643+Tax!D643</f>
        <v>20556.30875</v>
      </c>
      <c r="I643">
        <f t="shared" si="20"/>
        <v>1281067.92845</v>
      </c>
      <c r="J643">
        <f>Overtime!D643</f>
        <v>0</v>
      </c>
      <c r="K643">
        <f>IF(C643="Junior",0.06,IF(C643="Mid",0.08,IF(C643="Senior",0.1,IF(C643="Manager",0.12,0))))</f>
        <v>0.08</v>
      </c>
      <c r="L643">
        <f>IF(Performance!E643&gt;2,0.03,IF(Performance!E643&gt;=1,0.01,-0.02))</f>
        <v>0.01</v>
      </c>
      <c r="M643">
        <f t="shared" si="21"/>
        <v>0.09</v>
      </c>
      <c r="N643">
        <f>Earnings!B643*(1+M643)</f>
        <v>1490305.0615000003</v>
      </c>
    </row>
    <row r="644" spans="1:14" x14ac:dyDescent="0.35">
      <c r="A644" t="s">
        <v>675</v>
      </c>
      <c r="B644" t="s">
        <v>15</v>
      </c>
      <c r="C644" t="s">
        <v>34</v>
      </c>
      <c r="D644" t="s">
        <v>22</v>
      </c>
      <c r="E644">
        <v>15</v>
      </c>
      <c r="F644" t="s">
        <v>45</v>
      </c>
      <c r="G644">
        <f>Earnings!G644</f>
        <v>852124.77559999994</v>
      </c>
      <c r="H644">
        <f>Deductions!B644+Deductions!C644+Deductions!D644+Tax!D644</f>
        <v>9626.4841666666653</v>
      </c>
      <c r="I644">
        <f t="shared" si="20"/>
        <v>842498.2914333333</v>
      </c>
      <c r="J644">
        <f>Overtime!D644</f>
        <v>0</v>
      </c>
      <c r="K644">
        <f>IF(C644="Junior",0.06,IF(C644="Mid",0.08,IF(C644="Senior",0.1,IF(C644="Manager",0.12,0))))</f>
        <v>0.08</v>
      </c>
      <c r="L644">
        <f>IF(Performance!E644&gt;2,0.03,IF(Performance!E644&gt;=1,0.01,-0.02))</f>
        <v>0.01</v>
      </c>
      <c r="M644">
        <f t="shared" si="21"/>
        <v>0.09</v>
      </c>
      <c r="N644">
        <f>Earnings!B644*(1+M644)</f>
        <v>975647.06449999998</v>
      </c>
    </row>
    <row r="645" spans="1:14" x14ac:dyDescent="0.35">
      <c r="A645" t="s">
        <v>676</v>
      </c>
      <c r="B645" t="s">
        <v>15</v>
      </c>
      <c r="C645" t="s">
        <v>16</v>
      </c>
      <c r="D645" t="s">
        <v>17</v>
      </c>
      <c r="E645">
        <v>7</v>
      </c>
      <c r="F645" t="s">
        <v>38</v>
      </c>
      <c r="G645">
        <f>Earnings!G645</f>
        <v>682297.44799999997</v>
      </c>
      <c r="H645">
        <f>Deductions!B645+Deductions!C645+Deductions!D645+Tax!D645</f>
        <v>6653.3166666666666</v>
      </c>
      <c r="I645">
        <f t="shared" si="20"/>
        <v>675644.13133333332</v>
      </c>
      <c r="J645">
        <f>Overtime!D645</f>
        <v>0</v>
      </c>
      <c r="K645">
        <f>IF(C645="Junior",0.06,IF(C645="Mid",0.08,IF(C645="Senior",0.1,IF(C645="Manager",0.12,0))))</f>
        <v>0.06</v>
      </c>
      <c r="L645">
        <f>IF(Performance!E645&gt;2,0.03,IF(Performance!E645&gt;=1,0.01,-0.02))</f>
        <v>0.01</v>
      </c>
      <c r="M645">
        <f t="shared" si="21"/>
        <v>6.9999999999999993E-2</v>
      </c>
      <c r="N645">
        <f>Earnings!B645*(1+M645)</f>
        <v>766867.93</v>
      </c>
    </row>
    <row r="646" spans="1:14" x14ac:dyDescent="0.35">
      <c r="A646" t="s">
        <v>677</v>
      </c>
      <c r="B646" t="s">
        <v>36</v>
      </c>
      <c r="C646" t="s">
        <v>16</v>
      </c>
      <c r="D646" t="s">
        <v>17</v>
      </c>
      <c r="E646">
        <v>9</v>
      </c>
      <c r="F646" t="s">
        <v>38</v>
      </c>
      <c r="G646">
        <f>Earnings!G646</f>
        <v>1090930.1200000001</v>
      </c>
      <c r="H646">
        <f>Deductions!B646+Deductions!C646+Deductions!D646+Tax!D646</f>
        <v>15023.375</v>
      </c>
      <c r="I646">
        <f t="shared" si="20"/>
        <v>1075906.7450000001</v>
      </c>
      <c r="J646">
        <f>Overtime!D646</f>
        <v>0</v>
      </c>
      <c r="K646">
        <f>IF(C646="Junior",0.06,IF(C646="Mid",0.08,IF(C646="Senior",0.1,IF(C646="Manager",0.12,0))))</f>
        <v>0.06</v>
      </c>
      <c r="L646">
        <f>IF(Performance!E646&gt;2,0.03,IF(Performance!E646&gt;=1,0.01,-0.02))</f>
        <v>0.01</v>
      </c>
      <c r="M646">
        <f t="shared" si="21"/>
        <v>6.9999999999999993E-2</v>
      </c>
      <c r="N646">
        <f>Earnings!B646*(1+M646)</f>
        <v>1226150.4500000002</v>
      </c>
    </row>
    <row r="647" spans="1:14" x14ac:dyDescent="0.35">
      <c r="A647" t="s">
        <v>678</v>
      </c>
      <c r="B647" t="s">
        <v>30</v>
      </c>
      <c r="C647" t="s">
        <v>16</v>
      </c>
      <c r="D647" t="s">
        <v>22</v>
      </c>
      <c r="E647">
        <v>13</v>
      </c>
      <c r="F647" t="s">
        <v>38</v>
      </c>
      <c r="G647">
        <f>Earnings!G647</f>
        <v>912459.10839999991</v>
      </c>
      <c r="H647">
        <f>Deductions!B647+Deductions!C647+Deductions!D647+Tax!D647</f>
        <v>10682.7575</v>
      </c>
      <c r="I647">
        <f t="shared" si="20"/>
        <v>901776.35089999996</v>
      </c>
      <c r="J647">
        <f>Overtime!D647</f>
        <v>0</v>
      </c>
      <c r="K647">
        <f>IF(C647="Junior",0.06,IF(C647="Mid",0.08,IF(C647="Senior",0.1,IF(C647="Manager",0.12,0))))</f>
        <v>0.06</v>
      </c>
      <c r="L647">
        <f>IF(Performance!E647&gt;2,0.03,IF(Performance!E647&gt;=1,0.01,-0.02))</f>
        <v>0.01</v>
      </c>
      <c r="M647">
        <f t="shared" si="21"/>
        <v>6.9999999999999993E-2</v>
      </c>
      <c r="N647">
        <f>Earnings!B647*(1+M647)</f>
        <v>1025558.0315</v>
      </c>
    </row>
    <row r="648" spans="1:14" x14ac:dyDescent="0.35">
      <c r="A648" t="s">
        <v>679</v>
      </c>
      <c r="B648" t="s">
        <v>30</v>
      </c>
      <c r="C648" t="s">
        <v>21</v>
      </c>
      <c r="D648" t="s">
        <v>17</v>
      </c>
      <c r="E648">
        <v>5</v>
      </c>
      <c r="F648" t="s">
        <v>32</v>
      </c>
      <c r="G648">
        <f>Earnings!G648</f>
        <v>1197133.3359999999</v>
      </c>
      <c r="H648">
        <f>Deductions!B648+Deductions!C648+Deductions!D648+Tax!D648</f>
        <v>17812.324999999997</v>
      </c>
      <c r="I648">
        <f t="shared" si="20"/>
        <v>1179321.0109999999</v>
      </c>
      <c r="J648">
        <f>Overtime!D648</f>
        <v>0</v>
      </c>
      <c r="K648">
        <f>IF(C648="Junior",0.06,IF(C648="Mid",0.08,IF(C648="Senior",0.1,IF(C648="Manager",0.12,0))))</f>
        <v>0.1</v>
      </c>
      <c r="L648">
        <f>IF(Performance!E648&gt;2,0.03,IF(Performance!E648&gt;=1,0.01,-0.02))</f>
        <v>0.01</v>
      </c>
      <c r="M648">
        <f t="shared" si="21"/>
        <v>0.11</v>
      </c>
      <c r="N648">
        <f>Earnings!B648*(1+M648)</f>
        <v>1395817.2300000002</v>
      </c>
    </row>
    <row r="649" spans="1:14" x14ac:dyDescent="0.35">
      <c r="A649" t="s">
        <v>680</v>
      </c>
      <c r="B649" t="s">
        <v>30</v>
      </c>
      <c r="C649" t="s">
        <v>21</v>
      </c>
      <c r="D649" t="s">
        <v>17</v>
      </c>
      <c r="E649">
        <v>9</v>
      </c>
      <c r="F649" t="s">
        <v>71</v>
      </c>
      <c r="G649">
        <f>Earnings!G649</f>
        <v>1328971.0560000001</v>
      </c>
      <c r="H649">
        <f>Deductions!B649+Deductions!C649+Deductions!D649+Tax!D649</f>
        <v>21274.45</v>
      </c>
      <c r="I649">
        <f t="shared" si="20"/>
        <v>1461254.1860000002</v>
      </c>
      <c r="J649">
        <f>Overtime!D649</f>
        <v>153557.58000000002</v>
      </c>
      <c r="K649">
        <f>IF(C649="Junior",0.06,IF(C649="Mid",0.08,IF(C649="Senior",0.1,IF(C649="Manager",0.12,0))))</f>
        <v>0.1</v>
      </c>
      <c r="L649">
        <f>IF(Performance!E649&gt;2,0.03,IF(Performance!E649&gt;=1,0.01,-0.02))</f>
        <v>0.01</v>
      </c>
      <c r="M649">
        <f t="shared" si="21"/>
        <v>0.11</v>
      </c>
      <c r="N649">
        <f>Earnings!B649*(1+M649)</f>
        <v>1549535.58</v>
      </c>
    </row>
    <row r="650" spans="1:14" x14ac:dyDescent="0.35">
      <c r="A650" t="s">
        <v>681</v>
      </c>
      <c r="B650" t="s">
        <v>27</v>
      </c>
      <c r="C650" t="s">
        <v>21</v>
      </c>
      <c r="D650" t="s">
        <v>17</v>
      </c>
      <c r="E650">
        <v>14</v>
      </c>
      <c r="F650" t="s">
        <v>32</v>
      </c>
      <c r="G650">
        <f>Earnings!G650</f>
        <v>1031534.84</v>
      </c>
      <c r="H650">
        <f>Deductions!B650+Deductions!C650+Deductions!D650+Tax!D650</f>
        <v>13463.625</v>
      </c>
      <c r="I650">
        <f t="shared" si="20"/>
        <v>1175185.24</v>
      </c>
      <c r="J650">
        <f>Overtime!D650</f>
        <v>157114.02500000002</v>
      </c>
      <c r="K650">
        <f>IF(C650="Junior",0.06,IF(C650="Mid",0.08,IF(C650="Senior",0.1,IF(C650="Manager",0.12,0))))</f>
        <v>0.1</v>
      </c>
      <c r="L650">
        <f>IF(Performance!E650&gt;2,0.03,IF(Performance!E650&gt;=1,0.01,-0.02))</f>
        <v>0.01</v>
      </c>
      <c r="M650">
        <f t="shared" si="21"/>
        <v>0.11</v>
      </c>
      <c r="N650">
        <f>Earnings!B650*(1+M650)</f>
        <v>1202734.9500000002</v>
      </c>
    </row>
    <row r="651" spans="1:14" x14ac:dyDescent="0.35">
      <c r="A651" t="s">
        <v>682</v>
      </c>
      <c r="B651" t="s">
        <v>30</v>
      </c>
      <c r="C651" t="s">
        <v>16</v>
      </c>
      <c r="D651" t="s">
        <v>22</v>
      </c>
      <c r="E651">
        <v>11</v>
      </c>
      <c r="F651" t="s">
        <v>28</v>
      </c>
      <c r="G651">
        <f>Earnings!G651</f>
        <v>1348504.7156</v>
      </c>
      <c r="H651">
        <f>Deductions!B651+Deductions!C651+Deductions!D651+Tax!D651</f>
        <v>21787.413750000003</v>
      </c>
      <c r="I651">
        <f t="shared" si="20"/>
        <v>1326717.3018499999</v>
      </c>
      <c r="J651">
        <f>Overtime!D651</f>
        <v>0</v>
      </c>
      <c r="K651">
        <f>IF(C651="Junior",0.06,IF(C651="Mid",0.08,IF(C651="Senior",0.1,IF(C651="Manager",0.12,0))))</f>
        <v>0.06</v>
      </c>
      <c r="L651">
        <f>IF(Performance!E651&gt;2,0.03,IF(Performance!E651&gt;=1,0.01,-0.02))</f>
        <v>0.01</v>
      </c>
      <c r="M651">
        <f t="shared" si="21"/>
        <v>6.9999999999999993E-2</v>
      </c>
      <c r="N651">
        <f>Earnings!B651*(1+M651)</f>
        <v>1515651.3085</v>
      </c>
    </row>
    <row r="652" spans="1:14" x14ac:dyDescent="0.35">
      <c r="A652" t="s">
        <v>683</v>
      </c>
      <c r="B652" t="s">
        <v>30</v>
      </c>
      <c r="C652" t="s">
        <v>34</v>
      </c>
      <c r="D652" t="s">
        <v>17</v>
      </c>
      <c r="E652">
        <v>14</v>
      </c>
      <c r="F652" t="s">
        <v>45</v>
      </c>
      <c r="G652">
        <f>Earnings!G652</f>
        <v>1521913.848</v>
      </c>
      <c r="H652">
        <f>Deductions!B652+Deductions!C652+Deductions!D652+Tax!D652</f>
        <v>26341.224999999995</v>
      </c>
      <c r="I652">
        <f t="shared" si="20"/>
        <v>1567511.828</v>
      </c>
      <c r="J652">
        <f>Overtime!D652</f>
        <v>71939.205000000002</v>
      </c>
      <c r="K652">
        <f>IF(C652="Junior",0.06,IF(C652="Mid",0.08,IF(C652="Senior",0.1,IF(C652="Manager",0.12,0))))</f>
        <v>0.08</v>
      </c>
      <c r="L652">
        <f>IF(Performance!E652&gt;2,0.03,IF(Performance!E652&gt;=1,0.01,-0.02))</f>
        <v>0.01</v>
      </c>
      <c r="M652">
        <f t="shared" si="21"/>
        <v>0.09</v>
      </c>
      <c r="N652">
        <f>Earnings!B652*(1+M652)</f>
        <v>1742527.4100000001</v>
      </c>
    </row>
    <row r="653" spans="1:14" x14ac:dyDescent="0.35">
      <c r="A653" t="s">
        <v>684</v>
      </c>
      <c r="B653" t="s">
        <v>30</v>
      </c>
      <c r="C653" t="s">
        <v>44</v>
      </c>
      <c r="D653" t="s">
        <v>22</v>
      </c>
      <c r="E653">
        <v>7</v>
      </c>
      <c r="F653" t="s">
        <v>18</v>
      </c>
      <c r="G653">
        <f>Earnings!G653</f>
        <v>1225074.0123999999</v>
      </c>
      <c r="H653">
        <f>Deductions!B653+Deductions!C653+Deductions!D653+Tax!D653</f>
        <v>18546.061249999999</v>
      </c>
      <c r="I653">
        <f t="shared" si="20"/>
        <v>1206527.9511499999</v>
      </c>
      <c r="J653">
        <f>Overtime!D653</f>
        <v>0</v>
      </c>
      <c r="K653">
        <f>IF(C653="Junior",0.06,IF(C653="Mid",0.08,IF(C653="Senior",0.1,IF(C653="Manager",0.12,0))))</f>
        <v>0.12</v>
      </c>
      <c r="L653">
        <f>IF(Performance!E653&gt;2,0.03,IF(Performance!E653&gt;=1,0.01,-0.02))</f>
        <v>0.01</v>
      </c>
      <c r="M653">
        <f t="shared" si="21"/>
        <v>0.13</v>
      </c>
      <c r="N653">
        <f>Earnings!B653*(1+M653)</f>
        <v>1454131.9684999997</v>
      </c>
    </row>
    <row r="654" spans="1:14" x14ac:dyDescent="0.35">
      <c r="A654" t="s">
        <v>685</v>
      </c>
      <c r="B654" t="s">
        <v>30</v>
      </c>
      <c r="C654" t="s">
        <v>44</v>
      </c>
      <c r="D654" t="s">
        <v>17</v>
      </c>
      <c r="E654">
        <v>6</v>
      </c>
      <c r="F654" t="s">
        <v>38</v>
      </c>
      <c r="G654">
        <f>Earnings!G654</f>
        <v>790958.728</v>
      </c>
      <c r="H654">
        <f>Deductions!B654+Deductions!C654+Deductions!D654+Tax!D654</f>
        <v>8555.6500000000015</v>
      </c>
      <c r="I654">
        <f t="shared" si="20"/>
        <v>815636.63800000004</v>
      </c>
      <c r="J654">
        <f>Overtime!D654</f>
        <v>33233.56</v>
      </c>
      <c r="K654">
        <f>IF(C654="Junior",0.06,IF(C654="Mid",0.08,IF(C654="Senior",0.1,IF(C654="Manager",0.12,0))))</f>
        <v>0.12</v>
      </c>
      <c r="L654">
        <f>IF(Performance!E654&gt;2,0.03,IF(Performance!E654&gt;=1,0.01,-0.02))</f>
        <v>0.01</v>
      </c>
      <c r="M654">
        <f t="shared" si="21"/>
        <v>0.13</v>
      </c>
      <c r="N654">
        <f>Earnings!B654*(1+M654)</f>
        <v>938848.07</v>
      </c>
    </row>
    <row r="655" spans="1:14" x14ac:dyDescent="0.35">
      <c r="A655" t="s">
        <v>686</v>
      </c>
      <c r="B655" t="s">
        <v>36</v>
      </c>
      <c r="C655" t="s">
        <v>44</v>
      </c>
      <c r="D655" t="s">
        <v>22</v>
      </c>
      <c r="E655">
        <v>2</v>
      </c>
      <c r="F655" t="s">
        <v>38</v>
      </c>
      <c r="G655">
        <f>Earnings!G655</f>
        <v>628075.95479999995</v>
      </c>
      <c r="H655">
        <f>Deductions!B655+Deductions!C655+Deductions!D655+Tax!D655</f>
        <v>5704.0608333333348</v>
      </c>
      <c r="I655">
        <f t="shared" si="20"/>
        <v>638865.48521666671</v>
      </c>
      <c r="J655">
        <f>Overtime!D655</f>
        <v>16493.591250000001</v>
      </c>
      <c r="K655">
        <f>IF(C655="Junior",0.06,IF(C655="Mid",0.08,IF(C655="Senior",0.1,IF(C655="Manager",0.12,0))))</f>
        <v>0.12</v>
      </c>
      <c r="L655">
        <f>IF(Performance!E655&gt;2,0.03,IF(Performance!E655&gt;=1,0.01,-0.02))</f>
        <v>0.01</v>
      </c>
      <c r="M655">
        <f t="shared" si="21"/>
        <v>0.13</v>
      </c>
      <c r="N655">
        <f>Earnings!B655*(1+M655)</f>
        <v>745510.32449999999</v>
      </c>
    </row>
    <row r="656" spans="1:14" x14ac:dyDescent="0.35">
      <c r="A656" t="s">
        <v>687</v>
      </c>
      <c r="B656" t="s">
        <v>30</v>
      </c>
      <c r="C656" t="s">
        <v>21</v>
      </c>
      <c r="D656" t="s">
        <v>22</v>
      </c>
      <c r="E656">
        <v>6</v>
      </c>
      <c r="F656" t="s">
        <v>38</v>
      </c>
      <c r="G656">
        <f>Earnings!G656</f>
        <v>1088826.1524</v>
      </c>
      <c r="H656">
        <f>Deductions!B656+Deductions!C656+Deductions!D656+Tax!D656</f>
        <v>14968.123749999999</v>
      </c>
      <c r="I656">
        <f t="shared" si="20"/>
        <v>1073858.02865</v>
      </c>
      <c r="J656">
        <f>Overtime!D656</f>
        <v>0</v>
      </c>
      <c r="K656">
        <f>IF(C656="Junior",0.06,IF(C656="Mid",0.08,IF(C656="Senior",0.1,IF(C656="Manager",0.12,0))))</f>
        <v>0.1</v>
      </c>
      <c r="L656">
        <f>IF(Performance!E656&gt;2,0.03,IF(Performance!E656&gt;=1,0.01,-0.02))</f>
        <v>0.01</v>
      </c>
      <c r="M656">
        <f t="shared" si="21"/>
        <v>0.11</v>
      </c>
      <c r="N656">
        <f>Earnings!B656*(1+M656)</f>
        <v>1269534.6945</v>
      </c>
    </row>
    <row r="657" spans="1:14" x14ac:dyDescent="0.35">
      <c r="A657" t="s">
        <v>688</v>
      </c>
      <c r="B657" t="s">
        <v>20</v>
      </c>
      <c r="C657" t="s">
        <v>21</v>
      </c>
      <c r="D657" t="s">
        <v>17</v>
      </c>
      <c r="E657">
        <v>7</v>
      </c>
      <c r="F657" t="s">
        <v>45</v>
      </c>
      <c r="G657">
        <f>Earnings!G657</f>
        <v>927161.36800000002</v>
      </c>
      <c r="H657">
        <f>Deductions!B657+Deductions!C657+Deductions!D657+Tax!D657</f>
        <v>10940.15</v>
      </c>
      <c r="I657">
        <f t="shared" si="20"/>
        <v>969786.21299999999</v>
      </c>
      <c r="J657">
        <f>Overtime!D657</f>
        <v>53564.995000000003</v>
      </c>
      <c r="K657">
        <f>IF(C657="Junior",0.06,IF(C657="Mid",0.08,IF(C657="Senior",0.1,IF(C657="Manager",0.12,0))))</f>
        <v>0.1</v>
      </c>
      <c r="L657">
        <f>IF(Performance!E657&gt;2,0.03,IF(Performance!E657&gt;=1,0.01,-0.02))</f>
        <v>0.03</v>
      </c>
      <c r="M657">
        <f t="shared" si="21"/>
        <v>0.13</v>
      </c>
      <c r="N657">
        <f>Earnings!B657*(1+M657)</f>
        <v>1100517.17</v>
      </c>
    </row>
    <row r="658" spans="1:14" x14ac:dyDescent="0.35">
      <c r="A658" t="s">
        <v>689</v>
      </c>
      <c r="B658" t="s">
        <v>20</v>
      </c>
      <c r="C658" t="s">
        <v>34</v>
      </c>
      <c r="D658" t="s">
        <v>22</v>
      </c>
      <c r="E658">
        <v>7</v>
      </c>
      <c r="F658" t="s">
        <v>18</v>
      </c>
      <c r="G658">
        <f>Earnings!G658</f>
        <v>939224.8263999999</v>
      </c>
      <c r="H658">
        <f>Deductions!B658+Deductions!C658+Deductions!D658+Tax!D658</f>
        <v>11151.344999999999</v>
      </c>
      <c r="I658">
        <f t="shared" si="20"/>
        <v>1011932.8409</v>
      </c>
      <c r="J658">
        <f>Overtime!D658</f>
        <v>83859.359500000006</v>
      </c>
      <c r="K658">
        <f>IF(C658="Junior",0.06,IF(C658="Mid",0.08,IF(C658="Senior",0.1,IF(C658="Manager",0.12,0))))</f>
        <v>0.08</v>
      </c>
      <c r="L658">
        <f>IF(Performance!E658&gt;2,0.03,IF(Performance!E658&gt;=1,0.01,-0.02))</f>
        <v>0.03</v>
      </c>
      <c r="M658">
        <f t="shared" si="21"/>
        <v>0.11</v>
      </c>
      <c r="N658">
        <f>Earnings!B658*(1+M658)</f>
        <v>1095104.577</v>
      </c>
    </row>
    <row r="659" spans="1:14" x14ac:dyDescent="0.35">
      <c r="A659" t="s">
        <v>690</v>
      </c>
      <c r="B659" t="s">
        <v>27</v>
      </c>
      <c r="C659" t="s">
        <v>16</v>
      </c>
      <c r="D659" t="s">
        <v>22</v>
      </c>
      <c r="E659">
        <v>6</v>
      </c>
      <c r="F659" t="s">
        <v>25</v>
      </c>
      <c r="G659">
        <f>Earnings!G659</f>
        <v>773628.28200000001</v>
      </c>
      <c r="H659">
        <f>Deductions!B659+Deductions!C659+Deductions!D659+Tax!D659</f>
        <v>8252.2458333333343</v>
      </c>
      <c r="I659">
        <f t="shared" si="20"/>
        <v>765376.03616666666</v>
      </c>
      <c r="J659">
        <f>Overtime!D659</f>
        <v>0</v>
      </c>
      <c r="K659">
        <f>IF(C659="Junior",0.06,IF(C659="Mid",0.08,IF(C659="Senior",0.1,IF(C659="Manager",0.12,0))))</f>
        <v>0.06</v>
      </c>
      <c r="L659">
        <f>IF(Performance!E659&gt;2,0.03,IF(Performance!E659&gt;=1,0.01,-0.02))</f>
        <v>0.01</v>
      </c>
      <c r="M659">
        <f t="shared" si="21"/>
        <v>6.9999999999999993E-2</v>
      </c>
      <c r="N659">
        <f>Earnings!B659*(1+M659)</f>
        <v>869519.1825</v>
      </c>
    </row>
    <row r="660" spans="1:14" x14ac:dyDescent="0.35">
      <c r="A660" t="s">
        <v>691</v>
      </c>
      <c r="B660" t="s">
        <v>30</v>
      </c>
      <c r="C660" t="s">
        <v>34</v>
      </c>
      <c r="D660" t="s">
        <v>17</v>
      </c>
      <c r="E660">
        <v>15</v>
      </c>
      <c r="F660" t="s">
        <v>18</v>
      </c>
      <c r="G660">
        <f>Earnings!G660</f>
        <v>1312854.648</v>
      </c>
      <c r="H660">
        <f>Deductions!B660+Deductions!C660+Deductions!D660+Tax!D660</f>
        <v>20851.225000000002</v>
      </c>
      <c r="I660">
        <f t="shared" si="20"/>
        <v>1457489.3029999998</v>
      </c>
      <c r="J660">
        <f>Overtime!D660</f>
        <v>165485.88</v>
      </c>
      <c r="K660">
        <f>IF(C660="Junior",0.06,IF(C660="Mid",0.08,IF(C660="Senior",0.1,IF(C660="Manager",0.12,0))))</f>
        <v>0.08</v>
      </c>
      <c r="L660">
        <f>IF(Performance!E660&gt;2,0.03,IF(Performance!E660&gt;=1,0.01,-0.02))</f>
        <v>0.01</v>
      </c>
      <c r="M660">
        <f t="shared" si="21"/>
        <v>0.09</v>
      </c>
      <c r="N660">
        <f>Earnings!B660*(1+M660)</f>
        <v>1503163.4100000001</v>
      </c>
    </row>
    <row r="661" spans="1:14" x14ac:dyDescent="0.35">
      <c r="A661" t="s">
        <v>692</v>
      </c>
      <c r="B661" t="s">
        <v>27</v>
      </c>
      <c r="C661" t="s">
        <v>16</v>
      </c>
      <c r="D661" t="s">
        <v>22</v>
      </c>
      <c r="E661">
        <v>0</v>
      </c>
      <c r="F661" t="s">
        <v>28</v>
      </c>
      <c r="G661">
        <f>Earnings!G661</f>
        <v>558435.34600000002</v>
      </c>
      <c r="H661">
        <f>Deductions!B661+Deductions!C661+Deductions!D661+Tax!D661</f>
        <v>4484.8625000000002</v>
      </c>
      <c r="I661">
        <f t="shared" si="20"/>
        <v>553950.48349999997</v>
      </c>
      <c r="J661">
        <f>Overtime!D661</f>
        <v>0</v>
      </c>
      <c r="K661">
        <f>IF(C661="Junior",0.06,IF(C661="Mid",0.08,IF(C661="Senior",0.1,IF(C661="Manager",0.12,0))))</f>
        <v>0.06</v>
      </c>
      <c r="L661">
        <f>IF(Performance!E661&gt;2,0.03,IF(Performance!E661&gt;=1,0.01,-0.02))</f>
        <v>0.01</v>
      </c>
      <c r="M661">
        <f t="shared" si="21"/>
        <v>6.9999999999999993E-2</v>
      </c>
      <c r="N661">
        <f>Earnings!B661*(1+M661)</f>
        <v>627653.17249999999</v>
      </c>
    </row>
    <row r="662" spans="1:14" x14ac:dyDescent="0.35">
      <c r="A662" t="s">
        <v>693</v>
      </c>
      <c r="B662" t="s">
        <v>30</v>
      </c>
      <c r="C662" t="s">
        <v>34</v>
      </c>
      <c r="D662" t="s">
        <v>22</v>
      </c>
      <c r="E662">
        <v>2</v>
      </c>
      <c r="F662" t="s">
        <v>32</v>
      </c>
      <c r="G662">
        <f>Earnings!G662</f>
        <v>1124293.1028</v>
      </c>
      <c r="H662">
        <f>Deductions!B662+Deductions!C662+Deductions!D662+Tax!D662</f>
        <v>15899.503749999998</v>
      </c>
      <c r="I662">
        <f t="shared" si="20"/>
        <v>1108393.5990500001</v>
      </c>
      <c r="J662">
        <f>Overtime!D662</f>
        <v>0</v>
      </c>
      <c r="K662">
        <f>IF(C662="Junior",0.06,IF(C662="Mid",0.08,IF(C662="Senior",0.1,IF(C662="Manager",0.12,0))))</f>
        <v>0.08</v>
      </c>
      <c r="L662">
        <f>IF(Performance!E662&gt;2,0.03,IF(Performance!E662&gt;=1,0.01,-0.02))</f>
        <v>0.01</v>
      </c>
      <c r="M662">
        <f t="shared" si="21"/>
        <v>0.09</v>
      </c>
      <c r="N662">
        <f>Earnings!B662*(1+M662)</f>
        <v>1287268.3635</v>
      </c>
    </row>
    <row r="663" spans="1:14" x14ac:dyDescent="0.35">
      <c r="A663" t="s">
        <v>694</v>
      </c>
      <c r="B663" t="s">
        <v>20</v>
      </c>
      <c r="C663" t="s">
        <v>16</v>
      </c>
      <c r="D663" t="s">
        <v>17</v>
      </c>
      <c r="E663">
        <v>13</v>
      </c>
      <c r="F663" t="s">
        <v>28</v>
      </c>
      <c r="G663">
        <f>Earnings!G663</f>
        <v>1163519.1680000001</v>
      </c>
      <c r="H663">
        <f>Deductions!B663+Deductions!C663+Deductions!D663+Tax!D663</f>
        <v>16929.599999999999</v>
      </c>
      <c r="I663">
        <f t="shared" si="20"/>
        <v>1146589.568</v>
      </c>
      <c r="J663">
        <f>Overtime!D663</f>
        <v>0</v>
      </c>
      <c r="K663">
        <f>IF(C663="Junior",0.06,IF(C663="Mid",0.08,IF(C663="Senior",0.1,IF(C663="Manager",0.12,0))))</f>
        <v>0.06</v>
      </c>
      <c r="L663">
        <f>IF(Performance!E663&gt;2,0.03,IF(Performance!E663&gt;=1,0.01,-0.02))</f>
        <v>0.03</v>
      </c>
      <c r="M663">
        <f t="shared" si="21"/>
        <v>0.09</v>
      </c>
      <c r="N663">
        <f>Earnings!B663*(1+M663)</f>
        <v>1332180.56</v>
      </c>
    </row>
    <row r="664" spans="1:14" x14ac:dyDescent="0.35">
      <c r="A664" t="s">
        <v>695</v>
      </c>
      <c r="B664" t="s">
        <v>15</v>
      </c>
      <c r="C664" t="s">
        <v>16</v>
      </c>
      <c r="D664" t="s">
        <v>22</v>
      </c>
      <c r="E664">
        <v>11</v>
      </c>
      <c r="F664" t="s">
        <v>18</v>
      </c>
      <c r="G664">
        <f>Earnings!G664</f>
        <v>665391.49879999994</v>
      </c>
      <c r="H664">
        <f>Deductions!B664+Deductions!C664+Deductions!D664+Tax!D664</f>
        <v>6357.3441666666668</v>
      </c>
      <c r="I664">
        <f t="shared" si="20"/>
        <v>659034.15463333332</v>
      </c>
      <c r="J664">
        <f>Overtime!D664</f>
        <v>0</v>
      </c>
      <c r="K664">
        <f>IF(C664="Junior",0.06,IF(C664="Mid",0.08,IF(C664="Senior",0.1,IF(C664="Manager",0.12,0))))</f>
        <v>0.06</v>
      </c>
      <c r="L664">
        <f>IF(Performance!E664&gt;2,0.03,IF(Performance!E664&gt;=1,0.01,-0.02))</f>
        <v>0.01</v>
      </c>
      <c r="M664">
        <f t="shared" si="21"/>
        <v>6.9999999999999993E-2</v>
      </c>
      <c r="N664">
        <f>Earnings!B664*(1+M664)</f>
        <v>747866.49550000008</v>
      </c>
    </row>
    <row r="665" spans="1:14" x14ac:dyDescent="0.35">
      <c r="A665" t="s">
        <v>696</v>
      </c>
      <c r="B665" t="s">
        <v>27</v>
      </c>
      <c r="C665" t="s">
        <v>34</v>
      </c>
      <c r="D665" t="s">
        <v>17</v>
      </c>
      <c r="E665">
        <v>7</v>
      </c>
      <c r="F665" t="s">
        <v>45</v>
      </c>
      <c r="G665">
        <f>Earnings!G665</f>
        <v>803932.58400000003</v>
      </c>
      <c r="H665">
        <f>Deductions!B665+Deductions!C665+Deductions!D665+Tax!D665</f>
        <v>8782.7833333333328</v>
      </c>
      <c r="I665">
        <f t="shared" si="20"/>
        <v>862707.16066666669</v>
      </c>
      <c r="J665">
        <f>Overtime!D665</f>
        <v>67557.36</v>
      </c>
      <c r="K665">
        <f>IF(C665="Junior",0.06,IF(C665="Mid",0.08,IF(C665="Senior",0.1,IF(C665="Manager",0.12,0))))</f>
        <v>0.08</v>
      </c>
      <c r="L665">
        <f>IF(Performance!E665&gt;2,0.03,IF(Performance!E665&gt;=1,0.01,-0.02))</f>
        <v>0.01</v>
      </c>
      <c r="M665">
        <f t="shared" si="21"/>
        <v>0.09</v>
      </c>
      <c r="N665">
        <f>Earnings!B665*(1+M665)</f>
        <v>920469.03</v>
      </c>
    </row>
    <row r="666" spans="1:14" x14ac:dyDescent="0.35">
      <c r="A666" t="s">
        <v>697</v>
      </c>
      <c r="B666" t="s">
        <v>27</v>
      </c>
      <c r="C666" t="s">
        <v>44</v>
      </c>
      <c r="D666" t="s">
        <v>22</v>
      </c>
      <c r="E666">
        <v>0</v>
      </c>
      <c r="F666" t="s">
        <v>28</v>
      </c>
      <c r="G666">
        <f>Earnings!G666</f>
        <v>325418.49479999999</v>
      </c>
      <c r="H666">
        <f>Deductions!B666+Deductions!C666+Deductions!D666+Tax!D666</f>
        <v>2382.6089583333332</v>
      </c>
      <c r="I666">
        <f t="shared" si="20"/>
        <v>323035.88584166666</v>
      </c>
      <c r="J666">
        <f>Overtime!D666</f>
        <v>0</v>
      </c>
      <c r="K666">
        <f>IF(C666="Junior",0.06,IF(C666="Mid",0.08,IF(C666="Senior",0.1,IF(C666="Manager",0.12,0))))</f>
        <v>0.12</v>
      </c>
      <c r="L666">
        <f>IF(Performance!E666&gt;2,0.03,IF(Performance!E666&gt;=1,0.01,-0.02))</f>
        <v>0.01</v>
      </c>
      <c r="M666">
        <f t="shared" si="21"/>
        <v>0.13</v>
      </c>
      <c r="N666">
        <f>Earnings!B666*(1+M666)</f>
        <v>386263.54949999996</v>
      </c>
    </row>
    <row r="667" spans="1:14" x14ac:dyDescent="0.35">
      <c r="A667" t="s">
        <v>698</v>
      </c>
      <c r="B667" t="s">
        <v>15</v>
      </c>
      <c r="C667" t="s">
        <v>34</v>
      </c>
      <c r="D667" t="s">
        <v>17</v>
      </c>
      <c r="E667">
        <v>13</v>
      </c>
      <c r="F667" t="s">
        <v>23</v>
      </c>
      <c r="G667">
        <f>Earnings!G667</f>
        <v>709001.04799999995</v>
      </c>
      <c r="H667">
        <f>Deductions!B667+Deductions!C667+Deductions!D667+Tax!D667</f>
        <v>7120.8166666666666</v>
      </c>
      <c r="I667">
        <f t="shared" si="20"/>
        <v>724222.70133333327</v>
      </c>
      <c r="J667">
        <f>Overtime!D667</f>
        <v>22342.47</v>
      </c>
      <c r="K667">
        <f>IF(C667="Junior",0.06,IF(C667="Mid",0.08,IF(C667="Senior",0.1,IF(C667="Manager",0.12,0))))</f>
        <v>0.08</v>
      </c>
      <c r="L667">
        <f>IF(Performance!E667&gt;2,0.03,IF(Performance!E667&gt;=1,0.01,-0.02))</f>
        <v>0.01</v>
      </c>
      <c r="M667">
        <f t="shared" si="21"/>
        <v>0.09</v>
      </c>
      <c r="N667">
        <f>Earnings!B667*(1+M667)</f>
        <v>811776.41</v>
      </c>
    </row>
    <row r="668" spans="1:14" x14ac:dyDescent="0.35">
      <c r="A668" t="s">
        <v>699</v>
      </c>
      <c r="B668" t="s">
        <v>36</v>
      </c>
      <c r="C668" t="s">
        <v>16</v>
      </c>
      <c r="D668" t="s">
        <v>22</v>
      </c>
      <c r="E668">
        <v>15</v>
      </c>
      <c r="F668" t="s">
        <v>71</v>
      </c>
      <c r="G668">
        <f>Earnings!G668</f>
        <v>1209213.5496</v>
      </c>
      <c r="H668">
        <f>Deductions!B668+Deductions!C668+Deductions!D668+Tax!D668</f>
        <v>18129.557500000003</v>
      </c>
      <c r="I668">
        <f t="shared" si="20"/>
        <v>1241891.2840999998</v>
      </c>
      <c r="J668">
        <f>Overtime!D668</f>
        <v>50807.292000000001</v>
      </c>
      <c r="K668">
        <f>IF(C668="Junior",0.06,IF(C668="Mid",0.08,IF(C668="Senior",0.1,IF(C668="Manager",0.12,0))))</f>
        <v>0.06</v>
      </c>
      <c r="L668">
        <f>IF(Performance!E668&gt;2,0.03,IF(Performance!E668&gt;=1,0.01,-0.02))</f>
        <v>0.01</v>
      </c>
      <c r="M668">
        <f t="shared" si="21"/>
        <v>6.9999999999999993E-2</v>
      </c>
      <c r="N668">
        <f>Earnings!B668*(1+M668)</f>
        <v>1359095.0610000002</v>
      </c>
    </row>
    <row r="669" spans="1:14" x14ac:dyDescent="0.35">
      <c r="A669" t="s">
        <v>700</v>
      </c>
      <c r="B669" t="s">
        <v>36</v>
      </c>
      <c r="C669" t="s">
        <v>34</v>
      </c>
      <c r="D669" t="s">
        <v>22</v>
      </c>
      <c r="E669">
        <v>2</v>
      </c>
      <c r="F669" t="s">
        <v>23</v>
      </c>
      <c r="G669">
        <f>Earnings!G669</f>
        <v>664055.69999999995</v>
      </c>
      <c r="H669">
        <f>Deductions!B669+Deductions!C669+Deductions!D669+Tax!D669</f>
        <v>6333.958333333333</v>
      </c>
      <c r="I669">
        <f t="shared" si="20"/>
        <v>696086.30416666658</v>
      </c>
      <c r="J669">
        <f>Overtime!D669</f>
        <v>38364.5625</v>
      </c>
      <c r="K669">
        <f>IF(C669="Junior",0.06,IF(C669="Mid",0.08,IF(C669="Senior",0.1,IF(C669="Manager",0.12,0))))</f>
        <v>0.08</v>
      </c>
      <c r="L669">
        <f>IF(Performance!E669&gt;2,0.03,IF(Performance!E669&gt;=1,0.01,-0.02))</f>
        <v>0.01</v>
      </c>
      <c r="M669">
        <f t="shared" si="21"/>
        <v>0.09</v>
      </c>
      <c r="N669">
        <f>Earnings!B669*(1+M669)</f>
        <v>760315.875</v>
      </c>
    </row>
    <row r="670" spans="1:14" x14ac:dyDescent="0.35">
      <c r="A670" t="s">
        <v>701</v>
      </c>
      <c r="B670" t="s">
        <v>27</v>
      </c>
      <c r="C670" t="s">
        <v>44</v>
      </c>
      <c r="D670" t="s">
        <v>17</v>
      </c>
      <c r="E670">
        <v>12</v>
      </c>
      <c r="F670" t="s">
        <v>71</v>
      </c>
      <c r="G670">
        <f>Earnings!G670</f>
        <v>748292.94400000002</v>
      </c>
      <c r="H670">
        <f>Deductions!B670+Deductions!C670+Deductions!D670+Tax!D670</f>
        <v>7808.7</v>
      </c>
      <c r="I670">
        <f t="shared" si="20"/>
        <v>830876.77400000009</v>
      </c>
      <c r="J670">
        <f>Overtime!D670</f>
        <v>90392.53</v>
      </c>
      <c r="K670">
        <f>IF(C670="Junior",0.06,IF(C670="Mid",0.08,IF(C670="Senior",0.1,IF(C670="Manager",0.12,0))))</f>
        <v>0.12</v>
      </c>
      <c r="L670">
        <f>IF(Performance!E670&gt;2,0.03,IF(Performance!E670&gt;=1,0.01,-0.02))</f>
        <v>0.01</v>
      </c>
      <c r="M670">
        <f t="shared" si="21"/>
        <v>0.13</v>
      </c>
      <c r="N670">
        <f>Earnings!B670*(1+M670)</f>
        <v>888204.85999999987</v>
      </c>
    </row>
    <row r="671" spans="1:14" x14ac:dyDescent="0.35">
      <c r="A671" t="s">
        <v>702</v>
      </c>
      <c r="B671" t="s">
        <v>36</v>
      </c>
      <c r="C671" t="s">
        <v>21</v>
      </c>
      <c r="D671" t="s">
        <v>22</v>
      </c>
      <c r="E671">
        <v>8</v>
      </c>
      <c r="F671" t="s">
        <v>18</v>
      </c>
      <c r="G671">
        <f>Earnings!G671</f>
        <v>690233.55799999996</v>
      </c>
      <c r="H671">
        <f>Deductions!B671+Deductions!C671+Deductions!D671+Tax!D671</f>
        <v>6792.2541666666666</v>
      </c>
      <c r="I671">
        <f t="shared" si="20"/>
        <v>683441.30383333331</v>
      </c>
      <c r="J671">
        <f>Overtime!D671</f>
        <v>0</v>
      </c>
      <c r="K671">
        <f>IF(C671="Junior",0.06,IF(C671="Mid",0.08,IF(C671="Senior",0.1,IF(C671="Manager",0.12,0))))</f>
        <v>0.1</v>
      </c>
      <c r="L671">
        <f>IF(Performance!E671&gt;2,0.03,IF(Performance!E671&gt;=1,0.01,-0.02))</f>
        <v>0.01</v>
      </c>
      <c r="M671">
        <f t="shared" si="21"/>
        <v>0.11</v>
      </c>
      <c r="N671">
        <f>Earnings!B671*(1+M671)</f>
        <v>804789.12750000006</v>
      </c>
    </row>
    <row r="672" spans="1:14" x14ac:dyDescent="0.35">
      <c r="A672" t="s">
        <v>703</v>
      </c>
      <c r="B672" t="s">
        <v>20</v>
      </c>
      <c r="C672" t="s">
        <v>16</v>
      </c>
      <c r="D672" t="s">
        <v>17</v>
      </c>
      <c r="E672">
        <v>2</v>
      </c>
      <c r="F672" t="s">
        <v>45</v>
      </c>
      <c r="G672">
        <f>Earnings!G672</f>
        <v>705831.84</v>
      </c>
      <c r="H672">
        <f>Deductions!B672+Deductions!C672+Deductions!D672+Tax!D672</f>
        <v>7065.333333333333</v>
      </c>
      <c r="I672">
        <f t="shared" si="20"/>
        <v>698766.5066666666</v>
      </c>
      <c r="J672">
        <f>Overtime!D672</f>
        <v>0</v>
      </c>
      <c r="K672">
        <f>IF(C672="Junior",0.06,IF(C672="Mid",0.08,IF(C672="Senior",0.1,IF(C672="Manager",0.12,0))))</f>
        <v>0.06</v>
      </c>
      <c r="L672">
        <f>IF(Performance!E672&gt;2,0.03,IF(Performance!E672&gt;=1,0.01,-0.02))</f>
        <v>0.03</v>
      </c>
      <c r="M672">
        <f t="shared" si="21"/>
        <v>0.09</v>
      </c>
      <c r="N672">
        <f>Earnings!B672*(1+M672)</f>
        <v>808147.8</v>
      </c>
    </row>
    <row r="673" spans="1:14" x14ac:dyDescent="0.35">
      <c r="A673" t="s">
        <v>704</v>
      </c>
      <c r="B673" t="s">
        <v>20</v>
      </c>
      <c r="C673" t="s">
        <v>34</v>
      </c>
      <c r="D673" t="s">
        <v>22</v>
      </c>
      <c r="E673">
        <v>5</v>
      </c>
      <c r="F673" t="s">
        <v>45</v>
      </c>
      <c r="G673">
        <f>Earnings!G673</f>
        <v>612059.93519999995</v>
      </c>
      <c r="H673">
        <f>Deductions!B673+Deductions!C673+Deductions!D673+Tax!D673</f>
        <v>5423.6683333333331</v>
      </c>
      <c r="I673">
        <f t="shared" si="20"/>
        <v>606636.26686666661</v>
      </c>
      <c r="J673">
        <f>Overtime!D673</f>
        <v>0</v>
      </c>
      <c r="K673">
        <f>IF(C673="Junior",0.06,IF(C673="Mid",0.08,IF(C673="Senior",0.1,IF(C673="Manager",0.12,0))))</f>
        <v>0.08</v>
      </c>
      <c r="L673">
        <f>IF(Performance!E673&gt;2,0.03,IF(Performance!E673&gt;=1,0.01,-0.02))</f>
        <v>0.03</v>
      </c>
      <c r="M673">
        <f t="shared" si="21"/>
        <v>0.11</v>
      </c>
      <c r="N673">
        <f>Earnings!B673*(1+M673)</f>
        <v>713641.31099999999</v>
      </c>
    </row>
    <row r="674" spans="1:14" x14ac:dyDescent="0.35">
      <c r="A674" t="s">
        <v>705</v>
      </c>
      <c r="B674" t="s">
        <v>20</v>
      </c>
      <c r="C674" t="s">
        <v>44</v>
      </c>
      <c r="D674" t="s">
        <v>22</v>
      </c>
      <c r="E674">
        <v>13</v>
      </c>
      <c r="F674" t="s">
        <v>18</v>
      </c>
      <c r="G674">
        <f>Earnings!G674</f>
        <v>871193.14520000003</v>
      </c>
      <c r="H674">
        <f>Deductions!B674+Deductions!C674+Deductions!D674+Tax!D674</f>
        <v>9960.314166666667</v>
      </c>
      <c r="I674">
        <f t="shared" si="20"/>
        <v>893261.99078333331</v>
      </c>
      <c r="J674">
        <f>Overtime!D674</f>
        <v>32029.159749999999</v>
      </c>
      <c r="K674">
        <f>IF(C674="Junior",0.06,IF(C674="Mid",0.08,IF(C674="Senior",0.1,IF(C674="Manager",0.12,0))))</f>
        <v>0.12</v>
      </c>
      <c r="L674">
        <f>IF(Performance!E674&gt;2,0.03,IF(Performance!E674&gt;=1,0.01,-0.02))</f>
        <v>0.03</v>
      </c>
      <c r="M674">
        <f t="shared" si="21"/>
        <v>0.15</v>
      </c>
      <c r="N674">
        <f>Earnings!B674*(1+M674)</f>
        <v>1052386.6775</v>
      </c>
    </row>
    <row r="675" spans="1:14" x14ac:dyDescent="0.35">
      <c r="A675" t="s">
        <v>706</v>
      </c>
      <c r="B675" t="s">
        <v>15</v>
      </c>
      <c r="C675" t="s">
        <v>21</v>
      </c>
      <c r="D675" t="s">
        <v>22</v>
      </c>
      <c r="E675">
        <v>0</v>
      </c>
      <c r="F675" t="s">
        <v>38</v>
      </c>
      <c r="G675">
        <f>Earnings!G675</f>
        <v>445091.41600000003</v>
      </c>
      <c r="H675">
        <f>Deductions!B675+Deductions!C675+Deductions!D675+Tax!D675</f>
        <v>2906.3875000000003</v>
      </c>
      <c r="I675">
        <f t="shared" si="20"/>
        <v>442185.02850000001</v>
      </c>
      <c r="J675">
        <f>Overtime!D675</f>
        <v>0</v>
      </c>
      <c r="K675">
        <f>IF(C675="Junior",0.06,IF(C675="Mid",0.08,IF(C675="Senior",0.1,IF(C675="Manager",0.12,0))))</f>
        <v>0.1</v>
      </c>
      <c r="L675">
        <f>IF(Performance!E675&gt;2,0.03,IF(Performance!E675&gt;=1,0.01,-0.02))</f>
        <v>0.01</v>
      </c>
      <c r="M675">
        <f t="shared" si="21"/>
        <v>0.11</v>
      </c>
      <c r="N675">
        <f>Earnings!B675*(1+M675)</f>
        <v>518961.63000000006</v>
      </c>
    </row>
    <row r="676" spans="1:14" x14ac:dyDescent="0.35">
      <c r="A676" t="s">
        <v>707</v>
      </c>
      <c r="B676" t="s">
        <v>20</v>
      </c>
      <c r="C676" t="s">
        <v>21</v>
      </c>
      <c r="D676" t="s">
        <v>17</v>
      </c>
      <c r="E676">
        <v>0</v>
      </c>
      <c r="F676" t="s">
        <v>38</v>
      </c>
      <c r="G676">
        <f>Earnings!G676</f>
        <v>541136.79200000002</v>
      </c>
      <c r="H676">
        <f>Deductions!B676+Deductions!C676+Deductions!D676+Tax!D676</f>
        <v>4182.0166666666664</v>
      </c>
      <c r="I676">
        <f t="shared" si="20"/>
        <v>559691.61533333326</v>
      </c>
      <c r="J676">
        <f>Overtime!D676</f>
        <v>22736.84</v>
      </c>
      <c r="K676">
        <f>IF(C676="Junior",0.06,IF(C676="Mid",0.08,IF(C676="Senior",0.1,IF(C676="Manager",0.12,0))))</f>
        <v>0.1</v>
      </c>
      <c r="L676">
        <f>IF(Performance!E676&gt;2,0.03,IF(Performance!E676&gt;=1,0.01,-0.02))</f>
        <v>0.03</v>
      </c>
      <c r="M676">
        <f t="shared" si="21"/>
        <v>0.13</v>
      </c>
      <c r="N676">
        <f>Earnings!B676*(1+M676)</f>
        <v>642315.73</v>
      </c>
    </row>
    <row r="677" spans="1:14" x14ac:dyDescent="0.35">
      <c r="A677" t="s">
        <v>708</v>
      </c>
      <c r="B677" t="s">
        <v>36</v>
      </c>
      <c r="C677" t="s">
        <v>34</v>
      </c>
      <c r="D677" t="s">
        <v>17</v>
      </c>
      <c r="E677">
        <v>4</v>
      </c>
      <c r="F677" t="s">
        <v>32</v>
      </c>
      <c r="G677">
        <f>Earnings!G677</f>
        <v>886466.22399999993</v>
      </c>
      <c r="H677">
        <f>Deductions!B677+Deductions!C677+Deductions!D677+Tax!D677</f>
        <v>10227.700000000001</v>
      </c>
      <c r="I677">
        <f t="shared" si="20"/>
        <v>913485.00399999996</v>
      </c>
      <c r="J677">
        <f>Overtime!D677</f>
        <v>37246.479999999996</v>
      </c>
      <c r="K677">
        <f>IF(C677="Junior",0.06,IF(C677="Mid",0.08,IF(C677="Senior",0.1,IF(C677="Manager",0.12,0))))</f>
        <v>0.08</v>
      </c>
      <c r="L677">
        <f>IF(Performance!E677&gt;2,0.03,IF(Performance!E677&gt;=1,0.01,-0.02))</f>
        <v>0.01</v>
      </c>
      <c r="M677">
        <f t="shared" si="21"/>
        <v>0.09</v>
      </c>
      <c r="N677">
        <f>Earnings!B677*(1+M677)</f>
        <v>1014966.5800000001</v>
      </c>
    </row>
    <row r="678" spans="1:14" x14ac:dyDescent="0.35">
      <c r="A678" t="s">
        <v>709</v>
      </c>
      <c r="B678" t="s">
        <v>15</v>
      </c>
      <c r="C678" t="s">
        <v>16</v>
      </c>
      <c r="D678" t="s">
        <v>17</v>
      </c>
      <c r="E678">
        <v>1</v>
      </c>
      <c r="F678" t="s">
        <v>38</v>
      </c>
      <c r="G678">
        <f>Earnings!G678</f>
        <v>573096.38399999996</v>
      </c>
      <c r="H678">
        <f>Deductions!B678+Deductions!C678+Deductions!D678+Tax!D678</f>
        <v>4741.5333333333328</v>
      </c>
      <c r="I678">
        <f t="shared" si="20"/>
        <v>649623.77066666668</v>
      </c>
      <c r="J678">
        <f>Overtime!D678</f>
        <v>81268.92</v>
      </c>
      <c r="K678">
        <f>IF(C678="Junior",0.06,IF(C678="Mid",0.08,IF(C678="Senior",0.1,IF(C678="Manager",0.12,0))))</f>
        <v>0.06</v>
      </c>
      <c r="L678">
        <f>IF(Performance!E678&gt;2,0.03,IF(Performance!E678&gt;=1,0.01,-0.02))</f>
        <v>0.01</v>
      </c>
      <c r="M678">
        <f t="shared" si="21"/>
        <v>6.9999999999999993E-2</v>
      </c>
      <c r="N678">
        <f>Earnings!B678*(1+M678)</f>
        <v>644131.44000000006</v>
      </c>
    </row>
    <row r="679" spans="1:14" x14ac:dyDescent="0.35">
      <c r="A679" t="s">
        <v>710</v>
      </c>
      <c r="B679" t="s">
        <v>20</v>
      </c>
      <c r="C679" t="s">
        <v>34</v>
      </c>
      <c r="D679" t="s">
        <v>22</v>
      </c>
      <c r="E679">
        <v>5</v>
      </c>
      <c r="F679" t="s">
        <v>18</v>
      </c>
      <c r="G679">
        <f>Earnings!G679</f>
        <v>669331.96959999995</v>
      </c>
      <c r="H679">
        <f>Deductions!B679+Deductions!C679+Deductions!D679+Tax!D679</f>
        <v>6426.329999999999</v>
      </c>
      <c r="I679">
        <f t="shared" si="20"/>
        <v>747275.2156</v>
      </c>
      <c r="J679">
        <f>Overtime!D679</f>
        <v>84369.576000000001</v>
      </c>
      <c r="K679">
        <f>IF(C679="Junior",0.06,IF(C679="Mid",0.08,IF(C679="Senior",0.1,IF(C679="Manager",0.12,0))))</f>
        <v>0.08</v>
      </c>
      <c r="L679">
        <f>IF(Performance!E679&gt;2,0.03,IF(Performance!E679&gt;=1,0.01,-0.02))</f>
        <v>0.03</v>
      </c>
      <c r="M679">
        <f t="shared" si="21"/>
        <v>0.11</v>
      </c>
      <c r="N679">
        <f>Earnings!B679*(1+M679)</f>
        <v>780418.57799999998</v>
      </c>
    </row>
    <row r="680" spans="1:14" x14ac:dyDescent="0.35">
      <c r="A680" t="s">
        <v>711</v>
      </c>
      <c r="B680" t="s">
        <v>15</v>
      </c>
      <c r="C680" t="s">
        <v>16</v>
      </c>
      <c r="D680" t="s">
        <v>17</v>
      </c>
      <c r="E680">
        <v>5</v>
      </c>
      <c r="F680" t="s">
        <v>23</v>
      </c>
      <c r="G680">
        <f>Earnings!G680</f>
        <v>570565.01600000006</v>
      </c>
      <c r="H680">
        <f>Deductions!B680+Deductions!C680+Deductions!D680+Tax!D680</f>
        <v>4697.2166666666672</v>
      </c>
      <c r="I680">
        <f t="shared" si="20"/>
        <v>640784.42433333339</v>
      </c>
      <c r="J680">
        <f>Overtime!D680</f>
        <v>74916.625</v>
      </c>
      <c r="K680">
        <f>IF(C680="Junior",0.06,IF(C680="Mid",0.08,IF(C680="Senior",0.1,IF(C680="Manager",0.12,0))))</f>
        <v>0.06</v>
      </c>
      <c r="L680">
        <f>IF(Performance!E680&gt;2,0.03,IF(Performance!E680&gt;=1,0.01,-0.02))</f>
        <v>0.01</v>
      </c>
      <c r="M680">
        <f t="shared" si="21"/>
        <v>6.9999999999999993E-2</v>
      </c>
      <c r="N680">
        <f>Earnings!B680*(1+M680)</f>
        <v>641286.31000000006</v>
      </c>
    </row>
    <row r="681" spans="1:14" x14ac:dyDescent="0.35">
      <c r="A681" t="s">
        <v>712</v>
      </c>
      <c r="B681" t="s">
        <v>36</v>
      </c>
      <c r="C681" t="s">
        <v>44</v>
      </c>
      <c r="D681" t="s">
        <v>17</v>
      </c>
      <c r="E681">
        <v>0</v>
      </c>
      <c r="F681" t="s">
        <v>38</v>
      </c>
      <c r="G681">
        <f>Earnings!G681</f>
        <v>540506.56799999997</v>
      </c>
      <c r="H681">
        <f>Deductions!B681+Deductions!C681+Deductions!D681+Tax!D681</f>
        <v>4170.9833333333336</v>
      </c>
      <c r="I681">
        <f t="shared" si="20"/>
        <v>598789.07466666668</v>
      </c>
      <c r="J681">
        <f>Overtime!D681</f>
        <v>62453.490000000005</v>
      </c>
      <c r="K681">
        <f>IF(C681="Junior",0.06,IF(C681="Mid",0.08,IF(C681="Senior",0.1,IF(C681="Manager",0.12,0))))</f>
        <v>0.12</v>
      </c>
      <c r="L681">
        <f>IF(Performance!E681&gt;2,0.03,IF(Performance!E681&gt;=1,0.01,-0.02))</f>
        <v>0.01</v>
      </c>
      <c r="M681">
        <f t="shared" si="21"/>
        <v>0.13</v>
      </c>
      <c r="N681">
        <f>Earnings!B681*(1+M681)</f>
        <v>641567.66999999993</v>
      </c>
    </row>
    <row r="682" spans="1:14" x14ac:dyDescent="0.35">
      <c r="A682" t="s">
        <v>713</v>
      </c>
      <c r="B682" t="s">
        <v>27</v>
      </c>
      <c r="C682" t="s">
        <v>34</v>
      </c>
      <c r="D682" t="s">
        <v>17</v>
      </c>
      <c r="E682">
        <v>4</v>
      </c>
      <c r="F682" t="s">
        <v>23</v>
      </c>
      <c r="G682">
        <f>Earnings!G682</f>
        <v>720754.44</v>
      </c>
      <c r="H682">
        <f>Deductions!B682+Deductions!C682+Deductions!D682+Tax!D682</f>
        <v>7326.583333333333</v>
      </c>
      <c r="I682">
        <f t="shared" si="20"/>
        <v>713427.85666666657</v>
      </c>
      <c r="J682">
        <f>Overtime!D682</f>
        <v>0</v>
      </c>
      <c r="K682">
        <f>IF(C682="Junior",0.06,IF(C682="Mid",0.08,IF(C682="Senior",0.1,IF(C682="Manager",0.12,0))))</f>
        <v>0.08</v>
      </c>
      <c r="L682">
        <f>IF(Performance!E682&gt;2,0.03,IF(Performance!E682&gt;=1,0.01,-0.02))</f>
        <v>0.01</v>
      </c>
      <c r="M682">
        <f t="shared" si="21"/>
        <v>0.09</v>
      </c>
      <c r="N682">
        <f>Earnings!B682*(1+M682)</f>
        <v>825233.55</v>
      </c>
    </row>
    <row r="683" spans="1:14" x14ac:dyDescent="0.35">
      <c r="A683" t="s">
        <v>714</v>
      </c>
      <c r="B683" t="s">
        <v>15</v>
      </c>
      <c r="C683" t="s">
        <v>21</v>
      </c>
      <c r="D683" t="s">
        <v>22</v>
      </c>
      <c r="E683">
        <v>8</v>
      </c>
      <c r="F683" t="s">
        <v>28</v>
      </c>
      <c r="G683">
        <f>Earnings!G683</f>
        <v>744778.82640000002</v>
      </c>
      <c r="H683">
        <f>Deductions!B683+Deductions!C683+Deductions!D683+Tax!D683</f>
        <v>7747.1783333333324</v>
      </c>
      <c r="I683">
        <f t="shared" si="20"/>
        <v>737031.64806666668</v>
      </c>
      <c r="J683">
        <f>Overtime!D683</f>
        <v>0</v>
      </c>
      <c r="K683">
        <f>IF(C683="Junior",0.06,IF(C683="Mid",0.08,IF(C683="Senior",0.1,IF(C683="Manager",0.12,0))))</f>
        <v>0.1</v>
      </c>
      <c r="L683">
        <f>IF(Performance!E683&gt;2,0.03,IF(Performance!E683&gt;=1,0.01,-0.02))</f>
        <v>0.01</v>
      </c>
      <c r="M683">
        <f t="shared" si="21"/>
        <v>0.11</v>
      </c>
      <c r="N683">
        <f>Earnings!B683*(1+M683)</f>
        <v>868387.07700000005</v>
      </c>
    </row>
    <row r="684" spans="1:14" x14ac:dyDescent="0.35">
      <c r="A684" t="s">
        <v>715</v>
      </c>
      <c r="B684" t="s">
        <v>15</v>
      </c>
      <c r="C684" t="s">
        <v>16</v>
      </c>
      <c r="D684" t="s">
        <v>22</v>
      </c>
      <c r="E684">
        <v>7</v>
      </c>
      <c r="F684" t="s">
        <v>28</v>
      </c>
      <c r="G684">
        <f>Earnings!G684</f>
        <v>670345.80200000003</v>
      </c>
      <c r="H684">
        <f>Deductions!B684+Deductions!C684+Deductions!D684+Tax!D684</f>
        <v>6444.0791666666673</v>
      </c>
      <c r="I684">
        <f t="shared" si="20"/>
        <v>663901.7228333333</v>
      </c>
      <c r="J684">
        <f>Overtime!D684</f>
        <v>0</v>
      </c>
      <c r="K684">
        <f>IF(C684="Junior",0.06,IF(C684="Mid",0.08,IF(C684="Senior",0.1,IF(C684="Manager",0.12,0))))</f>
        <v>0.06</v>
      </c>
      <c r="L684">
        <f>IF(Performance!E684&gt;2,0.03,IF(Performance!E684&gt;=1,0.01,-0.02))</f>
        <v>0.01</v>
      </c>
      <c r="M684">
        <f t="shared" si="21"/>
        <v>6.9999999999999993E-2</v>
      </c>
      <c r="N684">
        <f>Earnings!B684*(1+M684)</f>
        <v>753434.88250000007</v>
      </c>
    </row>
    <row r="685" spans="1:14" x14ac:dyDescent="0.35">
      <c r="A685" t="s">
        <v>716</v>
      </c>
      <c r="B685" t="s">
        <v>15</v>
      </c>
      <c r="C685" t="s">
        <v>16</v>
      </c>
      <c r="D685" t="s">
        <v>17</v>
      </c>
      <c r="E685">
        <v>11</v>
      </c>
      <c r="F685" t="s">
        <v>71</v>
      </c>
      <c r="G685">
        <f>Earnings!G685</f>
        <v>787651.48</v>
      </c>
      <c r="H685">
        <f>Deductions!B685+Deductions!C685+Deductions!D685+Tax!D685</f>
        <v>8497.75</v>
      </c>
      <c r="I685">
        <f t="shared" si="20"/>
        <v>779153.73</v>
      </c>
      <c r="J685">
        <f>Overtime!D685</f>
        <v>0</v>
      </c>
      <c r="K685">
        <f>IF(C685="Junior",0.06,IF(C685="Mid",0.08,IF(C685="Senior",0.1,IF(C685="Manager",0.12,0))))</f>
        <v>0.06</v>
      </c>
      <c r="L685">
        <f>IF(Performance!E685&gt;2,0.03,IF(Performance!E685&gt;=1,0.01,-0.02))</f>
        <v>0.01</v>
      </c>
      <c r="M685">
        <f t="shared" si="21"/>
        <v>6.9999999999999993E-2</v>
      </c>
      <c r="N685">
        <f>Earnings!B685*(1+M685)</f>
        <v>885280.55</v>
      </c>
    </row>
    <row r="686" spans="1:14" x14ac:dyDescent="0.35">
      <c r="A686" t="s">
        <v>717</v>
      </c>
      <c r="B686" t="s">
        <v>30</v>
      </c>
      <c r="C686" t="s">
        <v>44</v>
      </c>
      <c r="D686" t="s">
        <v>22</v>
      </c>
      <c r="E686">
        <v>8</v>
      </c>
      <c r="F686" t="s">
        <v>45</v>
      </c>
      <c r="G686">
        <f>Earnings!G686</f>
        <v>984974.80480000004</v>
      </c>
      <c r="H686">
        <f>Deductions!B686+Deductions!C686+Deductions!D686+Tax!D686</f>
        <v>12240.934999999999</v>
      </c>
      <c r="I686">
        <f t="shared" si="20"/>
        <v>1024465.7398</v>
      </c>
      <c r="J686">
        <f>Overtime!D686</f>
        <v>51731.869999999995</v>
      </c>
      <c r="K686">
        <f>IF(C686="Junior",0.06,IF(C686="Mid",0.08,IF(C686="Senior",0.1,IF(C686="Manager",0.12,0))))</f>
        <v>0.12</v>
      </c>
      <c r="L686">
        <f>IF(Performance!E686&gt;2,0.03,IF(Performance!E686&gt;=1,0.01,-0.02))</f>
        <v>0.01</v>
      </c>
      <c r="M686">
        <f t="shared" si="21"/>
        <v>0.13</v>
      </c>
      <c r="N686">
        <f>Earnings!B686*(1+M686)</f>
        <v>1169140.2619999999</v>
      </c>
    </row>
    <row r="687" spans="1:14" x14ac:dyDescent="0.35">
      <c r="A687" t="s">
        <v>718</v>
      </c>
      <c r="B687" t="s">
        <v>27</v>
      </c>
      <c r="C687" t="s">
        <v>21</v>
      </c>
      <c r="D687" t="s">
        <v>22</v>
      </c>
      <c r="E687">
        <v>10</v>
      </c>
      <c r="F687" t="s">
        <v>38</v>
      </c>
      <c r="G687">
        <f>Earnings!G687</f>
        <v>663166.67480000004</v>
      </c>
      <c r="H687">
        <f>Deductions!B687+Deductions!C687+Deductions!D687+Tax!D687</f>
        <v>6318.3941666666678</v>
      </c>
      <c r="I687">
        <f t="shared" si="20"/>
        <v>656848.28063333337</v>
      </c>
      <c r="J687">
        <f>Overtime!D687</f>
        <v>0</v>
      </c>
      <c r="K687">
        <f>IF(C687="Junior",0.06,IF(C687="Mid",0.08,IF(C687="Senior",0.1,IF(C687="Manager",0.12,0))))</f>
        <v>0.1</v>
      </c>
      <c r="L687">
        <f>IF(Performance!E687&gt;2,0.03,IF(Performance!E687&gt;=1,0.01,-0.02))</f>
        <v>0.01</v>
      </c>
      <c r="M687">
        <f t="shared" si="21"/>
        <v>0.11</v>
      </c>
      <c r="N687">
        <f>Earnings!B687*(1+M687)</f>
        <v>773230.05150000006</v>
      </c>
    </row>
    <row r="688" spans="1:14" x14ac:dyDescent="0.35">
      <c r="A688" t="s">
        <v>719</v>
      </c>
      <c r="B688" t="s">
        <v>15</v>
      </c>
      <c r="C688" t="s">
        <v>21</v>
      </c>
      <c r="D688" t="s">
        <v>17</v>
      </c>
      <c r="E688">
        <v>9</v>
      </c>
      <c r="F688" t="s">
        <v>32</v>
      </c>
      <c r="G688">
        <f>Earnings!G688</f>
        <v>721422.74399999995</v>
      </c>
      <c r="H688">
        <f>Deductions!B688+Deductions!C688+Deductions!D688+Tax!D688</f>
        <v>7338.2833333333338</v>
      </c>
      <c r="I688">
        <f t="shared" si="20"/>
        <v>714084.46066666662</v>
      </c>
      <c r="J688">
        <f>Overtime!D688</f>
        <v>0</v>
      </c>
      <c r="K688">
        <f>IF(C688="Junior",0.06,IF(C688="Mid",0.08,IF(C688="Senior",0.1,IF(C688="Manager",0.12,0))))</f>
        <v>0.1</v>
      </c>
      <c r="L688">
        <f>IF(Performance!E688&gt;2,0.03,IF(Performance!E688&gt;=1,0.01,-0.02))</f>
        <v>0.01</v>
      </c>
      <c r="M688">
        <f t="shared" si="21"/>
        <v>0.11</v>
      </c>
      <c r="N688">
        <f>Earnings!B688*(1+M688)</f>
        <v>841154.67</v>
      </c>
    </row>
    <row r="689" spans="1:14" x14ac:dyDescent="0.35">
      <c r="A689" t="s">
        <v>720</v>
      </c>
      <c r="B689" t="s">
        <v>20</v>
      </c>
      <c r="C689" t="s">
        <v>34</v>
      </c>
      <c r="D689" t="s">
        <v>17</v>
      </c>
      <c r="E689">
        <v>6</v>
      </c>
      <c r="F689" t="s">
        <v>28</v>
      </c>
      <c r="G689">
        <f>Earnings!G689</f>
        <v>723573.31200000003</v>
      </c>
      <c r="H689">
        <f>Deductions!B689+Deductions!C689+Deductions!D689+Tax!D689</f>
        <v>7375.9333333333334</v>
      </c>
      <c r="I689">
        <f t="shared" si="20"/>
        <v>716197.37866666669</v>
      </c>
      <c r="J689">
        <f>Overtime!D689</f>
        <v>0</v>
      </c>
      <c r="K689">
        <f>IF(C689="Junior",0.06,IF(C689="Mid",0.08,IF(C689="Senior",0.1,IF(C689="Manager",0.12,0))))</f>
        <v>0.08</v>
      </c>
      <c r="L689">
        <f>IF(Performance!E689&gt;2,0.03,IF(Performance!E689&gt;=1,0.01,-0.02))</f>
        <v>0.03</v>
      </c>
      <c r="M689">
        <f t="shared" si="21"/>
        <v>0.11</v>
      </c>
      <c r="N689">
        <f>Earnings!B689*(1+M689)</f>
        <v>843662.16</v>
      </c>
    </row>
    <row r="690" spans="1:14" x14ac:dyDescent="0.35">
      <c r="A690" t="s">
        <v>721</v>
      </c>
      <c r="B690" t="s">
        <v>27</v>
      </c>
      <c r="C690" t="s">
        <v>44</v>
      </c>
      <c r="D690" t="s">
        <v>22</v>
      </c>
      <c r="E690">
        <v>1</v>
      </c>
      <c r="F690" t="s">
        <v>18</v>
      </c>
      <c r="G690">
        <f>Earnings!G690</f>
        <v>401518.3284</v>
      </c>
      <c r="H690">
        <f>Deductions!B690+Deductions!C690+Deductions!D690+Tax!D690</f>
        <v>2715.6789583333334</v>
      </c>
      <c r="I690">
        <f t="shared" si="20"/>
        <v>398802.64944166667</v>
      </c>
      <c r="J690">
        <f>Overtime!D690</f>
        <v>0</v>
      </c>
      <c r="K690">
        <f>IF(C690="Junior",0.06,IF(C690="Mid",0.08,IF(C690="Senior",0.1,IF(C690="Manager",0.12,0))))</f>
        <v>0.12</v>
      </c>
      <c r="L690">
        <f>IF(Performance!E690&gt;2,0.03,IF(Performance!E690&gt;=1,0.01,-0.02))</f>
        <v>0.01</v>
      </c>
      <c r="M690">
        <f t="shared" si="21"/>
        <v>0.13</v>
      </c>
      <c r="N690">
        <f>Earnings!B690*(1+M690)</f>
        <v>476592.1335</v>
      </c>
    </row>
    <row r="691" spans="1:14" x14ac:dyDescent="0.35">
      <c r="A691" t="s">
        <v>722</v>
      </c>
      <c r="B691" t="s">
        <v>36</v>
      </c>
      <c r="C691" t="s">
        <v>21</v>
      </c>
      <c r="D691" t="s">
        <v>22</v>
      </c>
      <c r="E691">
        <v>5</v>
      </c>
      <c r="F691" t="s">
        <v>71</v>
      </c>
      <c r="G691">
        <f>Earnings!G691</f>
        <v>757928.80239999993</v>
      </c>
      <c r="H691">
        <f>Deductions!B691+Deductions!C691+Deductions!D691+Tax!D691</f>
        <v>7977.3949999999995</v>
      </c>
      <c r="I691">
        <f t="shared" si="20"/>
        <v>749951.40739999991</v>
      </c>
      <c r="J691">
        <f>Overtime!D691</f>
        <v>0</v>
      </c>
      <c r="K691">
        <f>IF(C691="Junior",0.06,IF(C691="Mid",0.08,IF(C691="Senior",0.1,IF(C691="Manager",0.12,0))))</f>
        <v>0.1</v>
      </c>
      <c r="L691">
        <f>IF(Performance!E691&gt;2,0.03,IF(Performance!E691&gt;=1,0.01,-0.02))</f>
        <v>0.01</v>
      </c>
      <c r="M691">
        <f t="shared" si="21"/>
        <v>0.11</v>
      </c>
      <c r="N691">
        <f>Earnings!B691*(1+M691)</f>
        <v>883719.50699999998</v>
      </c>
    </row>
    <row r="692" spans="1:14" x14ac:dyDescent="0.35">
      <c r="A692" t="s">
        <v>723</v>
      </c>
      <c r="B692" t="s">
        <v>20</v>
      </c>
      <c r="C692" t="s">
        <v>21</v>
      </c>
      <c r="D692" t="s">
        <v>22</v>
      </c>
      <c r="E692">
        <v>0</v>
      </c>
      <c r="F692" t="s">
        <v>28</v>
      </c>
      <c r="G692">
        <f>Earnings!G692</f>
        <v>372831.66480000003</v>
      </c>
      <c r="H692">
        <f>Deductions!B692+Deductions!C692+Deductions!D692+Tax!D692</f>
        <v>2590.1245833333332</v>
      </c>
      <c r="I692">
        <f t="shared" si="20"/>
        <v>370241.5402166667</v>
      </c>
      <c r="J692">
        <f>Overtime!D692</f>
        <v>0</v>
      </c>
      <c r="K692">
        <f>IF(C692="Junior",0.06,IF(C692="Mid",0.08,IF(C692="Senior",0.1,IF(C692="Manager",0.12,0))))</f>
        <v>0.1</v>
      </c>
      <c r="L692">
        <f>IF(Performance!E692&gt;2,0.03,IF(Performance!E692&gt;=1,0.01,-0.02))</f>
        <v>0.03</v>
      </c>
      <c r="M692">
        <f t="shared" si="21"/>
        <v>0.13</v>
      </c>
      <c r="N692">
        <f>Earnings!B692*(1+M692)</f>
        <v>442541.78700000001</v>
      </c>
    </row>
    <row r="693" spans="1:14" x14ac:dyDescent="0.35">
      <c r="A693" t="s">
        <v>724</v>
      </c>
      <c r="B693" t="s">
        <v>15</v>
      </c>
      <c r="C693" t="s">
        <v>44</v>
      </c>
      <c r="D693" t="s">
        <v>22</v>
      </c>
      <c r="E693">
        <v>7</v>
      </c>
      <c r="F693" t="s">
        <v>32</v>
      </c>
      <c r="G693">
        <f>Earnings!G693</f>
        <v>545695.06319999998</v>
      </c>
      <c r="H693">
        <f>Deductions!B693+Deductions!C693+Deductions!D693+Tax!D693</f>
        <v>4261.8183333333327</v>
      </c>
      <c r="I693">
        <f t="shared" si="20"/>
        <v>541433.24486666662</v>
      </c>
      <c r="J693">
        <f>Overtime!D693</f>
        <v>0</v>
      </c>
      <c r="K693">
        <f>IF(C693="Junior",0.06,IF(C693="Mid",0.08,IF(C693="Senior",0.1,IF(C693="Manager",0.12,0))))</f>
        <v>0.12</v>
      </c>
      <c r="L693">
        <f>IF(Performance!E693&gt;2,0.03,IF(Performance!E693&gt;=1,0.01,-0.02))</f>
        <v>0.01</v>
      </c>
      <c r="M693">
        <f t="shared" si="21"/>
        <v>0.13</v>
      </c>
      <c r="N693">
        <f>Earnings!B693*(1+M693)</f>
        <v>647726.28299999994</v>
      </c>
    </row>
    <row r="694" spans="1:14" x14ac:dyDescent="0.35">
      <c r="A694" t="s">
        <v>725</v>
      </c>
      <c r="B694" t="s">
        <v>15</v>
      </c>
      <c r="C694" t="s">
        <v>44</v>
      </c>
      <c r="D694" t="s">
        <v>17</v>
      </c>
      <c r="E694">
        <v>0</v>
      </c>
      <c r="F694" t="s">
        <v>45</v>
      </c>
      <c r="G694">
        <f>Earnings!G694</f>
        <v>397197.24800000002</v>
      </c>
      <c r="H694">
        <f>Deductions!B694+Deductions!C694+Deductions!D694+Tax!D694</f>
        <v>2696.7666666666669</v>
      </c>
      <c r="I694">
        <f t="shared" si="20"/>
        <v>394500.48133333336</v>
      </c>
      <c r="J694">
        <f>Overtime!D694</f>
        <v>0</v>
      </c>
      <c r="K694">
        <f>IF(C694="Junior",0.06,IF(C694="Mid",0.08,IF(C694="Senior",0.1,IF(C694="Manager",0.12,0))))</f>
        <v>0.12</v>
      </c>
      <c r="L694">
        <f>IF(Performance!E694&gt;2,0.03,IF(Performance!E694&gt;=1,0.01,-0.02))</f>
        <v>0.01</v>
      </c>
      <c r="M694">
        <f t="shared" si="21"/>
        <v>0.13</v>
      </c>
      <c r="N694">
        <f>Earnings!B694*(1+M694)</f>
        <v>471463.11999999994</v>
      </c>
    </row>
    <row r="695" spans="1:14" x14ac:dyDescent="0.35">
      <c r="A695" t="s">
        <v>726</v>
      </c>
      <c r="B695" t="s">
        <v>30</v>
      </c>
      <c r="C695" t="s">
        <v>44</v>
      </c>
      <c r="D695" t="s">
        <v>17</v>
      </c>
      <c r="E695">
        <v>12</v>
      </c>
      <c r="F695" t="s">
        <v>28</v>
      </c>
      <c r="G695">
        <f>Earnings!G695</f>
        <v>1067527.1040000001</v>
      </c>
      <c r="H695">
        <f>Deductions!B695+Deductions!C695+Deductions!D695+Tax!D695</f>
        <v>14408.800000000001</v>
      </c>
      <c r="I695">
        <f t="shared" si="20"/>
        <v>1198894.064</v>
      </c>
      <c r="J695">
        <f>Overtime!D695</f>
        <v>145775.76</v>
      </c>
      <c r="K695">
        <f>IF(C695="Junior",0.06,IF(C695="Mid",0.08,IF(C695="Senior",0.1,IF(C695="Manager",0.12,0))))</f>
        <v>0.12</v>
      </c>
      <c r="L695">
        <f>IF(Performance!E695&gt;2,0.03,IF(Performance!E695&gt;=1,0.01,-0.02))</f>
        <v>0.01</v>
      </c>
      <c r="M695">
        <f t="shared" si="21"/>
        <v>0.13</v>
      </c>
      <c r="N695">
        <f>Earnings!B695*(1+M695)</f>
        <v>1267127.7599999998</v>
      </c>
    </row>
    <row r="696" spans="1:14" x14ac:dyDescent="0.35">
      <c r="A696" t="s">
        <v>727</v>
      </c>
      <c r="B696" t="s">
        <v>30</v>
      </c>
      <c r="C696" t="s">
        <v>16</v>
      </c>
      <c r="D696" t="s">
        <v>17</v>
      </c>
      <c r="E696">
        <v>14</v>
      </c>
      <c r="F696" t="s">
        <v>32</v>
      </c>
      <c r="G696">
        <f>Earnings!G696</f>
        <v>1051900.024</v>
      </c>
      <c r="H696">
        <f>Deductions!B696+Deductions!C696+Deductions!D696+Tax!D696</f>
        <v>13998.425000000001</v>
      </c>
      <c r="I696">
        <f t="shared" si="20"/>
        <v>1037901.5989999999</v>
      </c>
      <c r="J696">
        <f>Overtime!D696</f>
        <v>0</v>
      </c>
      <c r="K696">
        <f>IF(C696="Junior",0.06,IF(C696="Mid",0.08,IF(C696="Senior",0.1,IF(C696="Manager",0.12,0))))</f>
        <v>0.06</v>
      </c>
      <c r="L696">
        <f>IF(Performance!E696&gt;2,0.03,IF(Performance!E696&gt;=1,0.01,-0.02))</f>
        <v>0.01</v>
      </c>
      <c r="M696">
        <f t="shared" si="21"/>
        <v>6.9999999999999993E-2</v>
      </c>
      <c r="N696">
        <f>Earnings!B696*(1+M696)</f>
        <v>1182282.5900000001</v>
      </c>
    </row>
    <row r="697" spans="1:14" x14ac:dyDescent="0.35">
      <c r="A697" t="s">
        <v>728</v>
      </c>
      <c r="B697" t="s">
        <v>27</v>
      </c>
      <c r="C697" t="s">
        <v>34</v>
      </c>
      <c r="D697" t="s">
        <v>17</v>
      </c>
      <c r="E697">
        <v>1</v>
      </c>
      <c r="F697" t="s">
        <v>28</v>
      </c>
      <c r="G697">
        <f>Earnings!G697</f>
        <v>616801.75199999998</v>
      </c>
      <c r="H697">
        <f>Deductions!B697+Deductions!C697+Deductions!D697+Tax!D697</f>
        <v>5506.6833333333325</v>
      </c>
      <c r="I697">
        <f t="shared" si="20"/>
        <v>646929.62366666668</v>
      </c>
      <c r="J697">
        <f>Overtime!D697</f>
        <v>35634.555</v>
      </c>
      <c r="K697">
        <f>IF(C697="Junior",0.06,IF(C697="Mid",0.08,IF(C697="Senior",0.1,IF(C697="Manager",0.12,0))))</f>
        <v>0.08</v>
      </c>
      <c r="L697">
        <f>IF(Performance!E697&gt;2,0.03,IF(Performance!E697&gt;=1,0.01,-0.02))</f>
        <v>0.01</v>
      </c>
      <c r="M697">
        <f t="shared" si="21"/>
        <v>0.09</v>
      </c>
      <c r="N697">
        <f>Earnings!B697*(1+M697)</f>
        <v>706212.09000000008</v>
      </c>
    </row>
    <row r="698" spans="1:14" x14ac:dyDescent="0.35">
      <c r="A698" t="s">
        <v>729</v>
      </c>
      <c r="B698" t="s">
        <v>15</v>
      </c>
      <c r="C698" t="s">
        <v>16</v>
      </c>
      <c r="D698" t="s">
        <v>17</v>
      </c>
      <c r="E698">
        <v>8</v>
      </c>
      <c r="F698" t="s">
        <v>71</v>
      </c>
      <c r="G698">
        <f>Earnings!G698</f>
        <v>777387.96799999999</v>
      </c>
      <c r="H698">
        <f>Deductions!B698+Deductions!C698+Deductions!D698+Tax!D698</f>
        <v>8318.0666666666657</v>
      </c>
      <c r="I698">
        <f t="shared" si="20"/>
        <v>883391.66133333335</v>
      </c>
      <c r="J698">
        <f>Overtime!D698</f>
        <v>114321.76</v>
      </c>
      <c r="K698">
        <f>IF(C698="Junior",0.06,IF(C698="Mid",0.08,IF(C698="Senior",0.1,IF(C698="Manager",0.12,0))))</f>
        <v>0.06</v>
      </c>
      <c r="L698">
        <f>IF(Performance!E698&gt;2,0.03,IF(Performance!E698&gt;=1,0.01,-0.02))</f>
        <v>0.01</v>
      </c>
      <c r="M698">
        <f t="shared" si="21"/>
        <v>6.9999999999999993E-2</v>
      </c>
      <c r="N698">
        <f>Earnings!B698*(1+M698)</f>
        <v>873744.88</v>
      </c>
    </row>
    <row r="699" spans="1:14" x14ac:dyDescent="0.35">
      <c r="A699" t="s">
        <v>730</v>
      </c>
      <c r="B699" t="s">
        <v>20</v>
      </c>
      <c r="C699" t="s">
        <v>16</v>
      </c>
      <c r="D699" t="s">
        <v>22</v>
      </c>
      <c r="E699">
        <v>5</v>
      </c>
      <c r="F699" t="s">
        <v>45</v>
      </c>
      <c r="G699">
        <f>Earnings!G699</f>
        <v>537785.18080000009</v>
      </c>
      <c r="H699">
        <f>Deductions!B699+Deductions!C699+Deductions!D699+Tax!D699</f>
        <v>4123.34</v>
      </c>
      <c r="I699">
        <f t="shared" si="20"/>
        <v>587327.37880000006</v>
      </c>
      <c r="J699">
        <f>Overtime!D699</f>
        <v>53665.538</v>
      </c>
      <c r="K699">
        <f>IF(C699="Junior",0.06,IF(C699="Mid",0.08,IF(C699="Senior",0.1,IF(C699="Manager",0.12,0))))</f>
        <v>0.06</v>
      </c>
      <c r="L699">
        <f>IF(Performance!E699&gt;2,0.03,IF(Performance!E699&gt;=1,0.01,-0.02))</f>
        <v>0.03</v>
      </c>
      <c r="M699">
        <f t="shared" si="21"/>
        <v>0.09</v>
      </c>
      <c r="N699">
        <f>Earnings!B699*(1+M699)</f>
        <v>615741.4360000001</v>
      </c>
    </row>
    <row r="700" spans="1:14" x14ac:dyDescent="0.35">
      <c r="A700" t="s">
        <v>731</v>
      </c>
      <c r="B700" t="s">
        <v>20</v>
      </c>
      <c r="C700" t="s">
        <v>44</v>
      </c>
      <c r="D700" t="s">
        <v>22</v>
      </c>
      <c r="E700">
        <v>3</v>
      </c>
      <c r="F700" t="s">
        <v>45</v>
      </c>
      <c r="G700">
        <f>Earnings!G700</f>
        <v>868183.30200000003</v>
      </c>
      <c r="H700">
        <f>Deductions!B700+Deductions!C700+Deductions!D700+Tax!D700</f>
        <v>9907.6208333333343</v>
      </c>
      <c r="I700">
        <f t="shared" si="20"/>
        <v>858275.68116666668</v>
      </c>
      <c r="J700">
        <f>Overtime!D700</f>
        <v>0</v>
      </c>
      <c r="K700">
        <f>IF(C700="Junior",0.06,IF(C700="Mid",0.08,IF(C700="Senior",0.1,IF(C700="Manager",0.12,0))))</f>
        <v>0.12</v>
      </c>
      <c r="L700">
        <f>IF(Performance!E700&gt;2,0.03,IF(Performance!E700&gt;=1,0.01,-0.02))</f>
        <v>0.03</v>
      </c>
      <c r="M700">
        <f t="shared" si="21"/>
        <v>0.15</v>
      </c>
      <c r="N700">
        <f>Earnings!B700*(1+M700)</f>
        <v>1048750.8374999999</v>
      </c>
    </row>
    <row r="701" spans="1:14" x14ac:dyDescent="0.35">
      <c r="A701" t="s">
        <v>732</v>
      </c>
      <c r="B701" t="s">
        <v>15</v>
      </c>
      <c r="C701" t="s">
        <v>21</v>
      </c>
      <c r="D701" t="s">
        <v>17</v>
      </c>
      <c r="E701">
        <v>11</v>
      </c>
      <c r="F701" t="s">
        <v>25</v>
      </c>
      <c r="G701">
        <f>Earnings!G701</f>
        <v>792498.11199999985</v>
      </c>
      <c r="H701">
        <f>Deductions!B701+Deductions!C701+Deductions!D701+Tax!D701</f>
        <v>8582.5999999999985</v>
      </c>
      <c r="I701">
        <f t="shared" si="20"/>
        <v>892134.7919999999</v>
      </c>
      <c r="J701">
        <f>Overtime!D701</f>
        <v>108219.28000000001</v>
      </c>
      <c r="K701">
        <f>IF(C701="Junior",0.06,IF(C701="Mid",0.08,IF(C701="Senior",0.1,IF(C701="Manager",0.12,0))))</f>
        <v>0.1</v>
      </c>
      <c r="L701">
        <f>IF(Performance!E701&gt;2,0.03,IF(Performance!E701&gt;=1,0.01,-0.02))</f>
        <v>0.01</v>
      </c>
      <c r="M701">
        <f t="shared" si="21"/>
        <v>0.11</v>
      </c>
      <c r="N701">
        <f>Earnings!B701*(1+M701)</f>
        <v>924026.16</v>
      </c>
    </row>
    <row r="702" spans="1:14" x14ac:dyDescent="0.35">
      <c r="A702" t="s">
        <v>733</v>
      </c>
      <c r="B702" t="s">
        <v>15</v>
      </c>
      <c r="C702" t="s">
        <v>44</v>
      </c>
      <c r="D702" t="s">
        <v>17</v>
      </c>
      <c r="E702">
        <v>8</v>
      </c>
      <c r="F702" t="s">
        <v>32</v>
      </c>
      <c r="G702">
        <f>Earnings!G702</f>
        <v>674626.23199999996</v>
      </c>
      <c r="H702">
        <f>Deductions!B702+Deductions!C702+Deductions!D702+Tax!D702</f>
        <v>6519.0166666666673</v>
      </c>
      <c r="I702">
        <f t="shared" si="20"/>
        <v>746057.72533333325</v>
      </c>
      <c r="J702">
        <f>Overtime!D702</f>
        <v>77950.510000000009</v>
      </c>
      <c r="K702">
        <f>IF(C702="Junior",0.06,IF(C702="Mid",0.08,IF(C702="Senior",0.1,IF(C702="Manager",0.12,0))))</f>
        <v>0.12</v>
      </c>
      <c r="L702">
        <f>IF(Performance!E702&gt;2,0.03,IF(Performance!E702&gt;=1,0.01,-0.02))</f>
        <v>0.01</v>
      </c>
      <c r="M702">
        <f t="shared" si="21"/>
        <v>0.13</v>
      </c>
      <c r="N702">
        <f>Earnings!B702*(1+M702)</f>
        <v>800764.33</v>
      </c>
    </row>
    <row r="703" spans="1:14" x14ac:dyDescent="0.35">
      <c r="A703" t="s">
        <v>734</v>
      </c>
      <c r="B703" t="s">
        <v>36</v>
      </c>
      <c r="C703" t="s">
        <v>44</v>
      </c>
      <c r="D703" t="s">
        <v>22</v>
      </c>
      <c r="E703">
        <v>11</v>
      </c>
      <c r="F703" t="s">
        <v>23</v>
      </c>
      <c r="G703">
        <f>Earnings!G703</f>
        <v>877248.10320000001</v>
      </c>
      <c r="H703">
        <f>Deductions!B703+Deductions!C703+Deductions!D703+Tax!D703</f>
        <v>10066.318333333333</v>
      </c>
      <c r="I703">
        <f t="shared" si="20"/>
        <v>867181.78486666665</v>
      </c>
      <c r="J703">
        <f>Overtime!D703</f>
        <v>0</v>
      </c>
      <c r="K703">
        <f>IF(C703="Junior",0.06,IF(C703="Mid",0.08,IF(C703="Senior",0.1,IF(C703="Manager",0.12,0))))</f>
        <v>0.12</v>
      </c>
      <c r="L703">
        <f>IF(Performance!E703&gt;2,0.03,IF(Performance!E703&gt;=1,0.01,-0.02))</f>
        <v>0.01</v>
      </c>
      <c r="M703">
        <f t="shared" si="21"/>
        <v>0.13</v>
      </c>
      <c r="N703">
        <f>Earnings!B703*(1+M703)</f>
        <v>1041271.3829999999</v>
      </c>
    </row>
    <row r="704" spans="1:14" x14ac:dyDescent="0.35">
      <c r="A704" t="s">
        <v>735</v>
      </c>
      <c r="B704" t="s">
        <v>20</v>
      </c>
      <c r="C704" t="s">
        <v>16</v>
      </c>
      <c r="D704" t="s">
        <v>22</v>
      </c>
      <c r="E704">
        <v>12</v>
      </c>
      <c r="F704" t="s">
        <v>71</v>
      </c>
      <c r="G704">
        <f>Earnings!G704</f>
        <v>1013004.874</v>
      </c>
      <c r="H704">
        <f>Deductions!B704+Deductions!C704+Deductions!D704+Tax!D704</f>
        <v>12977.018750000001</v>
      </c>
      <c r="I704">
        <f t="shared" si="20"/>
        <v>1053231.8927499999</v>
      </c>
      <c r="J704">
        <f>Overtime!D704</f>
        <v>53204.037499999991</v>
      </c>
      <c r="K704">
        <f>IF(C704="Junior",0.06,IF(C704="Mid",0.08,IF(C704="Senior",0.1,IF(C704="Manager",0.12,0))))</f>
        <v>0.06</v>
      </c>
      <c r="L704">
        <f>IF(Performance!E704&gt;2,0.03,IF(Performance!E704&gt;=1,0.01,-0.02))</f>
        <v>0.03</v>
      </c>
      <c r="M704">
        <f t="shared" si="21"/>
        <v>0.09</v>
      </c>
      <c r="N704">
        <f>Earnings!B704*(1+M704)</f>
        <v>1159848.0175000001</v>
      </c>
    </row>
    <row r="705" spans="1:14" x14ac:dyDescent="0.35">
      <c r="A705" t="s">
        <v>736</v>
      </c>
      <c r="B705" t="s">
        <v>15</v>
      </c>
      <c r="C705" t="s">
        <v>44</v>
      </c>
      <c r="D705" t="s">
        <v>17</v>
      </c>
      <c r="E705">
        <v>5</v>
      </c>
      <c r="F705" t="s">
        <v>25</v>
      </c>
      <c r="G705">
        <f>Earnings!G705</f>
        <v>594193.65600000008</v>
      </c>
      <c r="H705">
        <f>Deductions!B705+Deductions!C705+Deductions!D705+Tax!D705</f>
        <v>5110.8833333333332</v>
      </c>
      <c r="I705">
        <f t="shared" si="20"/>
        <v>679584.95766666683</v>
      </c>
      <c r="J705">
        <f>Overtime!D705</f>
        <v>90502.185000000012</v>
      </c>
      <c r="K705">
        <f>IF(C705="Junior",0.06,IF(C705="Mid",0.08,IF(C705="Senior",0.1,IF(C705="Manager",0.12,0))))</f>
        <v>0.12</v>
      </c>
      <c r="L705">
        <f>IF(Performance!E705&gt;2,0.03,IF(Performance!E705&gt;=1,0.01,-0.02))</f>
        <v>0.01</v>
      </c>
      <c r="M705">
        <f t="shared" si="21"/>
        <v>0.13</v>
      </c>
      <c r="N705">
        <f>Earnings!B705*(1+M705)</f>
        <v>705292.8899999999</v>
      </c>
    </row>
    <row r="706" spans="1:14" x14ac:dyDescent="0.35">
      <c r="A706" t="s">
        <v>737</v>
      </c>
      <c r="B706" t="s">
        <v>15</v>
      </c>
      <c r="C706" t="s">
        <v>21</v>
      </c>
      <c r="D706" t="s">
        <v>17</v>
      </c>
      <c r="E706">
        <v>3</v>
      </c>
      <c r="F706" t="s">
        <v>71</v>
      </c>
      <c r="G706">
        <f>Earnings!G706</f>
        <v>499244.984</v>
      </c>
      <c r="H706">
        <f>Deductions!B706+Deductions!C706+Deductions!D706+Tax!D706</f>
        <v>3448.6166666666668</v>
      </c>
      <c r="I706">
        <f t="shared" ref="I706:I769" si="22">G706-H706+J706</f>
        <v>495796.36733333336</v>
      </c>
      <c r="J706">
        <f>Overtime!D706</f>
        <v>0</v>
      </c>
      <c r="K706">
        <f>IF(C706="Junior",0.06,IF(C706="Mid",0.08,IF(C706="Senior",0.1,IF(C706="Manager",0.12,0))))</f>
        <v>0.1</v>
      </c>
      <c r="L706">
        <f>IF(Performance!E706&gt;2,0.03,IF(Performance!E706&gt;=1,0.01,-0.02))</f>
        <v>0.01</v>
      </c>
      <c r="M706">
        <f t="shared" ref="M706:M769" si="23">K706+L706</f>
        <v>0.11</v>
      </c>
      <c r="N706">
        <f>Earnings!B706*(1+M706)</f>
        <v>582102.87</v>
      </c>
    </row>
    <row r="707" spans="1:14" x14ac:dyDescent="0.35">
      <c r="A707" t="s">
        <v>738</v>
      </c>
      <c r="B707" t="s">
        <v>20</v>
      </c>
      <c r="C707" t="s">
        <v>34</v>
      </c>
      <c r="D707" t="s">
        <v>17</v>
      </c>
      <c r="E707">
        <v>12</v>
      </c>
      <c r="F707" t="s">
        <v>23</v>
      </c>
      <c r="G707">
        <f>Earnings!G707</f>
        <v>823226.76800000004</v>
      </c>
      <c r="H707">
        <f>Deductions!B707+Deductions!C707+Deductions!D707+Tax!D707</f>
        <v>9120.5666666666657</v>
      </c>
      <c r="I707">
        <f t="shared" si="22"/>
        <v>943816.30133333337</v>
      </c>
      <c r="J707">
        <f>Overtime!D707</f>
        <v>129710.1</v>
      </c>
      <c r="K707">
        <f>IF(C707="Junior",0.06,IF(C707="Mid",0.08,IF(C707="Senior",0.1,IF(C707="Manager",0.12,0))))</f>
        <v>0.08</v>
      </c>
      <c r="L707">
        <f>IF(Performance!E707&gt;2,0.03,IF(Performance!E707&gt;=1,0.01,-0.02))</f>
        <v>0.03</v>
      </c>
      <c r="M707">
        <f t="shared" si="23"/>
        <v>0.11</v>
      </c>
      <c r="N707">
        <f>Earnings!B707*(1+M707)</f>
        <v>959854.74000000011</v>
      </c>
    </row>
    <row r="708" spans="1:14" x14ac:dyDescent="0.35">
      <c r="A708" t="s">
        <v>739</v>
      </c>
      <c r="B708" t="s">
        <v>36</v>
      </c>
      <c r="C708" t="s">
        <v>34</v>
      </c>
      <c r="D708" t="s">
        <v>17</v>
      </c>
      <c r="E708">
        <v>1</v>
      </c>
      <c r="F708" t="s">
        <v>28</v>
      </c>
      <c r="G708">
        <f>Earnings!G708</f>
        <v>508271.848</v>
      </c>
      <c r="H708">
        <f>Deductions!B708+Deductions!C708+Deductions!D708+Tax!D708</f>
        <v>3606.6499999999996</v>
      </c>
      <c r="I708">
        <f t="shared" si="22"/>
        <v>552716.10800000001</v>
      </c>
      <c r="J708">
        <f>Overtime!D708</f>
        <v>48050.909999999996</v>
      </c>
      <c r="K708">
        <f>IF(C708="Junior",0.06,IF(C708="Mid",0.08,IF(C708="Senior",0.1,IF(C708="Manager",0.12,0))))</f>
        <v>0.08</v>
      </c>
      <c r="L708">
        <f>IF(Performance!E708&gt;2,0.03,IF(Performance!E708&gt;=1,0.01,-0.02))</f>
        <v>0.01</v>
      </c>
      <c r="M708">
        <f t="shared" si="23"/>
        <v>0.09</v>
      </c>
      <c r="N708">
        <f>Earnings!B708*(1+M708)</f>
        <v>581949.91</v>
      </c>
    </row>
    <row r="709" spans="1:14" x14ac:dyDescent="0.35">
      <c r="A709" t="s">
        <v>740</v>
      </c>
      <c r="B709" t="s">
        <v>15</v>
      </c>
      <c r="C709" t="s">
        <v>21</v>
      </c>
      <c r="D709" t="s">
        <v>17</v>
      </c>
      <c r="E709">
        <v>8</v>
      </c>
      <c r="F709" t="s">
        <v>28</v>
      </c>
      <c r="G709">
        <f>Earnings!G709</f>
        <v>580099.29599999997</v>
      </c>
      <c r="H709">
        <f>Deductions!B709+Deductions!C709+Deductions!D709+Tax!D709</f>
        <v>4864.1333333333332</v>
      </c>
      <c r="I709">
        <f t="shared" si="22"/>
        <v>627029.74266666663</v>
      </c>
      <c r="J709">
        <f>Overtime!D709</f>
        <v>51794.58</v>
      </c>
      <c r="K709">
        <f>IF(C709="Junior",0.06,IF(C709="Mid",0.08,IF(C709="Senior",0.1,IF(C709="Manager",0.12,0))))</f>
        <v>0.1</v>
      </c>
      <c r="L709">
        <f>IF(Performance!E709&gt;2,0.03,IF(Performance!E709&gt;=1,0.01,-0.02))</f>
        <v>0.01</v>
      </c>
      <c r="M709">
        <f t="shared" si="23"/>
        <v>0.11</v>
      </c>
      <c r="N709">
        <f>Earnings!B709*(1+M709)</f>
        <v>676376.28</v>
      </c>
    </row>
    <row r="710" spans="1:14" x14ac:dyDescent="0.35">
      <c r="A710" t="s">
        <v>741</v>
      </c>
      <c r="B710" t="s">
        <v>30</v>
      </c>
      <c r="C710" t="s">
        <v>21</v>
      </c>
      <c r="D710" t="s">
        <v>17</v>
      </c>
      <c r="E710">
        <v>7</v>
      </c>
      <c r="F710" t="s">
        <v>45</v>
      </c>
      <c r="G710">
        <f>Earnings!G710</f>
        <v>1339888.5919999999</v>
      </c>
      <c r="H710">
        <f>Deductions!B710+Deductions!C710+Deductions!D710+Tax!D710</f>
        <v>21561.149999999998</v>
      </c>
      <c r="I710">
        <f t="shared" si="22"/>
        <v>1360550.8220000002</v>
      </c>
      <c r="J710">
        <f>Overtime!D710</f>
        <v>42223.380000000005</v>
      </c>
      <c r="K710">
        <f>IF(C710="Junior",0.06,IF(C710="Mid",0.08,IF(C710="Senior",0.1,IF(C710="Manager",0.12,0))))</f>
        <v>0.1</v>
      </c>
      <c r="L710">
        <f>IF(Performance!E710&gt;2,0.03,IF(Performance!E710&gt;=1,0.01,-0.02))</f>
        <v>0.01</v>
      </c>
      <c r="M710">
        <f t="shared" si="23"/>
        <v>0.11</v>
      </c>
      <c r="N710">
        <f>Earnings!B710*(1+M710)</f>
        <v>1562265.06</v>
      </c>
    </row>
    <row r="711" spans="1:14" x14ac:dyDescent="0.35">
      <c r="A711" t="s">
        <v>742</v>
      </c>
      <c r="B711" t="s">
        <v>15</v>
      </c>
      <c r="C711" t="s">
        <v>34</v>
      </c>
      <c r="D711" t="s">
        <v>17</v>
      </c>
      <c r="E711">
        <v>8</v>
      </c>
      <c r="F711" t="s">
        <v>18</v>
      </c>
      <c r="G711">
        <f>Earnings!G711</f>
        <v>725710.55200000003</v>
      </c>
      <c r="H711">
        <f>Deductions!B711+Deductions!C711+Deductions!D711+Tax!D711</f>
        <v>7413.35</v>
      </c>
      <c r="I711">
        <f t="shared" si="22"/>
        <v>718297.20200000005</v>
      </c>
      <c r="J711">
        <f>Overtime!D711</f>
        <v>0</v>
      </c>
      <c r="K711">
        <f>IF(C711="Junior",0.06,IF(C711="Mid",0.08,IF(C711="Senior",0.1,IF(C711="Manager",0.12,0))))</f>
        <v>0.08</v>
      </c>
      <c r="L711">
        <f>IF(Performance!E711&gt;2,0.03,IF(Performance!E711&gt;=1,0.01,-0.02))</f>
        <v>0.01</v>
      </c>
      <c r="M711">
        <f t="shared" si="23"/>
        <v>0.09</v>
      </c>
      <c r="N711">
        <f>Earnings!B711*(1+M711)</f>
        <v>830908.09000000008</v>
      </c>
    </row>
    <row r="712" spans="1:14" x14ac:dyDescent="0.35">
      <c r="A712" t="s">
        <v>743</v>
      </c>
      <c r="B712" t="s">
        <v>36</v>
      </c>
      <c r="C712" t="s">
        <v>34</v>
      </c>
      <c r="D712" t="s">
        <v>17</v>
      </c>
      <c r="E712">
        <v>12</v>
      </c>
      <c r="F712" t="s">
        <v>25</v>
      </c>
      <c r="G712">
        <f>Earnings!G712</f>
        <v>928388.49600000004</v>
      </c>
      <c r="H712">
        <f>Deductions!B712+Deductions!C712+Deductions!D712+Tax!D712</f>
        <v>10961.633333333333</v>
      </c>
      <c r="I712">
        <f t="shared" si="22"/>
        <v>917426.86266666674</v>
      </c>
      <c r="J712">
        <f>Overtime!D712</f>
        <v>0</v>
      </c>
      <c r="K712">
        <f>IF(C712="Junior",0.06,IF(C712="Mid",0.08,IF(C712="Senior",0.1,IF(C712="Manager",0.12,0))))</f>
        <v>0.08</v>
      </c>
      <c r="L712">
        <f>IF(Performance!E712&gt;2,0.03,IF(Performance!E712&gt;=1,0.01,-0.02))</f>
        <v>0.01</v>
      </c>
      <c r="M712">
        <f t="shared" si="23"/>
        <v>0.09</v>
      </c>
      <c r="N712">
        <f>Earnings!B712*(1+M712)</f>
        <v>1062965.82</v>
      </c>
    </row>
    <row r="713" spans="1:14" x14ac:dyDescent="0.35">
      <c r="A713" t="s">
        <v>744</v>
      </c>
      <c r="B713" t="s">
        <v>30</v>
      </c>
      <c r="C713" t="s">
        <v>34</v>
      </c>
      <c r="D713" t="s">
        <v>17</v>
      </c>
      <c r="E713">
        <v>6</v>
      </c>
      <c r="F713" t="s">
        <v>38</v>
      </c>
      <c r="G713">
        <f>Earnings!G713</f>
        <v>896024.304</v>
      </c>
      <c r="H713">
        <f>Deductions!B713+Deductions!C713+Deductions!D713+Tax!D713</f>
        <v>10395.033333333335</v>
      </c>
      <c r="I713">
        <f t="shared" si="22"/>
        <v>885629.27066666668</v>
      </c>
      <c r="J713">
        <f>Overtime!D713</f>
        <v>0</v>
      </c>
      <c r="K713">
        <f>IF(C713="Junior",0.06,IF(C713="Mid",0.08,IF(C713="Senior",0.1,IF(C713="Manager",0.12,0))))</f>
        <v>0.08</v>
      </c>
      <c r="L713">
        <f>IF(Performance!E713&gt;2,0.03,IF(Performance!E713&gt;=1,0.01,-0.02))</f>
        <v>0.01</v>
      </c>
      <c r="M713">
        <f t="shared" si="23"/>
        <v>0.09</v>
      </c>
      <c r="N713">
        <f>Earnings!B713*(1+M713)</f>
        <v>1025910.18</v>
      </c>
    </row>
    <row r="714" spans="1:14" x14ac:dyDescent="0.35">
      <c r="A714" t="s">
        <v>745</v>
      </c>
      <c r="B714" t="s">
        <v>27</v>
      </c>
      <c r="C714" t="s">
        <v>34</v>
      </c>
      <c r="D714" t="s">
        <v>22</v>
      </c>
      <c r="E714">
        <v>7</v>
      </c>
      <c r="F714" t="s">
        <v>71</v>
      </c>
      <c r="G714">
        <f>Earnings!G714</f>
        <v>701633.52</v>
      </c>
      <c r="H714">
        <f>Deductions!B714+Deductions!C714+Deductions!D714+Tax!D714</f>
        <v>6991.833333333333</v>
      </c>
      <c r="I714">
        <f t="shared" si="22"/>
        <v>694641.68666666665</v>
      </c>
      <c r="J714">
        <f>Overtime!D714</f>
        <v>0</v>
      </c>
      <c r="K714">
        <f>IF(C714="Junior",0.06,IF(C714="Mid",0.08,IF(C714="Senior",0.1,IF(C714="Manager",0.12,0))))</f>
        <v>0.08</v>
      </c>
      <c r="L714">
        <f>IF(Performance!E714&gt;2,0.03,IF(Performance!E714&gt;=1,0.01,-0.02))</f>
        <v>0.01</v>
      </c>
      <c r="M714">
        <f t="shared" si="23"/>
        <v>0.09</v>
      </c>
      <c r="N714">
        <f>Earnings!B714*(1+M714)</f>
        <v>803340.9</v>
      </c>
    </row>
    <row r="715" spans="1:14" x14ac:dyDescent="0.35">
      <c r="A715" t="s">
        <v>746</v>
      </c>
      <c r="B715" t="s">
        <v>27</v>
      </c>
      <c r="C715" t="s">
        <v>34</v>
      </c>
      <c r="D715" t="s">
        <v>17</v>
      </c>
      <c r="E715">
        <v>11</v>
      </c>
      <c r="F715" t="s">
        <v>18</v>
      </c>
      <c r="G715">
        <f>Earnings!G715</f>
        <v>656755.28800000006</v>
      </c>
      <c r="H715">
        <f>Deductions!B715+Deductions!C715+Deductions!D715+Tax!D715</f>
        <v>6206.1500000000005</v>
      </c>
      <c r="I715">
        <f t="shared" si="22"/>
        <v>736782.76300000004</v>
      </c>
      <c r="J715">
        <f>Overtime!D715</f>
        <v>86233.625</v>
      </c>
      <c r="K715">
        <f>IF(C715="Junior",0.06,IF(C715="Mid",0.08,IF(C715="Senior",0.1,IF(C715="Manager",0.12,0))))</f>
        <v>0.08</v>
      </c>
      <c r="L715">
        <f>IF(Performance!E715&gt;2,0.03,IF(Performance!E715&gt;=1,0.01,-0.02))</f>
        <v>0.01</v>
      </c>
      <c r="M715">
        <f t="shared" si="23"/>
        <v>0.09</v>
      </c>
      <c r="N715">
        <f>Earnings!B715*(1+M715)</f>
        <v>751957.21000000008</v>
      </c>
    </row>
    <row r="716" spans="1:14" x14ac:dyDescent="0.35">
      <c r="A716" t="s">
        <v>747</v>
      </c>
      <c r="B716" t="s">
        <v>36</v>
      </c>
      <c r="C716" t="s">
        <v>21</v>
      </c>
      <c r="D716" t="s">
        <v>17</v>
      </c>
      <c r="E716">
        <v>5</v>
      </c>
      <c r="F716" t="s">
        <v>38</v>
      </c>
      <c r="G716">
        <f>Earnings!G716</f>
        <v>632128.95199999993</v>
      </c>
      <c r="H716">
        <f>Deductions!B716+Deductions!C716+Deductions!D716+Tax!D716</f>
        <v>5775.0166666666664</v>
      </c>
      <c r="I716">
        <f t="shared" si="22"/>
        <v>676154.01033333316</v>
      </c>
      <c r="J716">
        <f>Overtime!D716</f>
        <v>49800.075000000004</v>
      </c>
      <c r="K716">
        <f>IF(C716="Junior",0.06,IF(C716="Mid",0.08,IF(C716="Senior",0.1,IF(C716="Manager",0.12,0))))</f>
        <v>0.1</v>
      </c>
      <c r="L716">
        <f>IF(Performance!E716&gt;2,0.03,IF(Performance!E716&gt;=1,0.01,-0.02))</f>
        <v>0.01</v>
      </c>
      <c r="M716">
        <f t="shared" si="23"/>
        <v>0.11</v>
      </c>
      <c r="N716">
        <f>Earnings!B716*(1+M716)</f>
        <v>737041.1100000001</v>
      </c>
    </row>
    <row r="717" spans="1:14" x14ac:dyDescent="0.35">
      <c r="A717" t="s">
        <v>748</v>
      </c>
      <c r="B717" t="s">
        <v>30</v>
      </c>
      <c r="C717" t="s">
        <v>21</v>
      </c>
      <c r="D717" t="s">
        <v>22</v>
      </c>
      <c r="E717">
        <v>8</v>
      </c>
      <c r="F717" t="s">
        <v>45</v>
      </c>
      <c r="G717">
        <f>Earnings!G717</f>
        <v>886666.5247999999</v>
      </c>
      <c r="H717">
        <f>Deductions!B717+Deductions!C717+Deductions!D717+Tax!D717</f>
        <v>10231.206666666665</v>
      </c>
      <c r="I717">
        <f t="shared" si="22"/>
        <v>923003.93813333323</v>
      </c>
      <c r="J717">
        <f>Overtime!D717</f>
        <v>46568.62</v>
      </c>
      <c r="K717">
        <f>IF(C717="Junior",0.06,IF(C717="Mid",0.08,IF(C717="Senior",0.1,IF(C717="Manager",0.12,0))))</f>
        <v>0.1</v>
      </c>
      <c r="L717">
        <f>IF(Performance!E717&gt;2,0.03,IF(Performance!E717&gt;=1,0.01,-0.02))</f>
        <v>0.01</v>
      </c>
      <c r="M717">
        <f t="shared" si="23"/>
        <v>0.11</v>
      </c>
      <c r="N717">
        <f>Earnings!B717*(1+M717)</f>
        <v>1033823.3639999999</v>
      </c>
    </row>
    <row r="718" spans="1:14" x14ac:dyDescent="0.35">
      <c r="A718" t="s">
        <v>749</v>
      </c>
      <c r="B718" t="s">
        <v>36</v>
      </c>
      <c r="C718" t="s">
        <v>44</v>
      </c>
      <c r="D718" t="s">
        <v>22</v>
      </c>
      <c r="E718">
        <v>3</v>
      </c>
      <c r="F718" t="s">
        <v>45</v>
      </c>
      <c r="G718">
        <f>Earnings!G718</f>
        <v>950348.04200000002</v>
      </c>
      <c r="H718">
        <f>Deductions!B718+Deductions!C718+Deductions!D718+Tax!D718</f>
        <v>11346.079166666668</v>
      </c>
      <c r="I718">
        <f t="shared" si="22"/>
        <v>939001.96283333329</v>
      </c>
      <c r="J718">
        <f>Overtime!D718</f>
        <v>0</v>
      </c>
      <c r="K718">
        <f>IF(C718="Junior",0.06,IF(C718="Mid",0.08,IF(C718="Senior",0.1,IF(C718="Manager",0.12,0))))</f>
        <v>0.12</v>
      </c>
      <c r="L718">
        <f>IF(Performance!E718&gt;2,0.03,IF(Performance!E718&gt;=1,0.01,-0.02))</f>
        <v>0.01</v>
      </c>
      <c r="M718">
        <f t="shared" si="23"/>
        <v>0.13</v>
      </c>
      <c r="N718">
        <f>Earnings!B718*(1+M718)</f>
        <v>1128039.1675</v>
      </c>
    </row>
    <row r="719" spans="1:14" x14ac:dyDescent="0.35">
      <c r="A719" t="s">
        <v>750</v>
      </c>
      <c r="B719" t="s">
        <v>20</v>
      </c>
      <c r="C719" t="s">
        <v>34</v>
      </c>
      <c r="D719" t="s">
        <v>17</v>
      </c>
      <c r="E719">
        <v>5</v>
      </c>
      <c r="F719" t="s">
        <v>45</v>
      </c>
      <c r="G719">
        <f>Earnings!G719</f>
        <v>859707.40800000005</v>
      </c>
      <c r="H719">
        <f>Deductions!B719+Deductions!C719+Deductions!D719+Tax!D719</f>
        <v>9759.2333333333336</v>
      </c>
      <c r="I719">
        <f t="shared" si="22"/>
        <v>849948.17466666678</v>
      </c>
      <c r="J719">
        <f>Overtime!D719</f>
        <v>0</v>
      </c>
      <c r="K719">
        <f>IF(C719="Junior",0.06,IF(C719="Mid",0.08,IF(C719="Senior",0.1,IF(C719="Manager",0.12,0))))</f>
        <v>0.08</v>
      </c>
      <c r="L719">
        <f>IF(Performance!E719&gt;2,0.03,IF(Performance!E719&gt;=1,0.01,-0.02))</f>
        <v>0.03</v>
      </c>
      <c r="M719">
        <f t="shared" si="23"/>
        <v>0.11</v>
      </c>
      <c r="N719">
        <f>Earnings!B719*(1+M719)</f>
        <v>1002389.9400000001</v>
      </c>
    </row>
    <row r="720" spans="1:14" x14ac:dyDescent="0.35">
      <c r="A720" t="s">
        <v>751</v>
      </c>
      <c r="B720" t="s">
        <v>15</v>
      </c>
      <c r="C720" t="s">
        <v>34</v>
      </c>
      <c r="D720" t="s">
        <v>17</v>
      </c>
      <c r="E720">
        <v>12</v>
      </c>
      <c r="F720" t="s">
        <v>32</v>
      </c>
      <c r="G720">
        <f>Earnings!G720</f>
        <v>704538.07200000004</v>
      </c>
      <c r="H720">
        <f>Deductions!B720+Deductions!C720+Deductions!D720+Tax!D720</f>
        <v>7042.6833333333334</v>
      </c>
      <c r="I720">
        <f t="shared" si="22"/>
        <v>697495.38866666669</v>
      </c>
      <c r="J720">
        <f>Overtime!D720</f>
        <v>0</v>
      </c>
      <c r="K720">
        <f>IF(C720="Junior",0.06,IF(C720="Mid",0.08,IF(C720="Senior",0.1,IF(C720="Manager",0.12,0))))</f>
        <v>0.08</v>
      </c>
      <c r="L720">
        <f>IF(Performance!E720&gt;2,0.03,IF(Performance!E720&gt;=1,0.01,-0.02))</f>
        <v>0.01</v>
      </c>
      <c r="M720">
        <f t="shared" si="23"/>
        <v>0.09</v>
      </c>
      <c r="N720">
        <f>Earnings!B720*(1+M720)</f>
        <v>806666.49000000011</v>
      </c>
    </row>
    <row r="721" spans="1:14" x14ac:dyDescent="0.35">
      <c r="A721" t="s">
        <v>752</v>
      </c>
      <c r="B721" t="s">
        <v>27</v>
      </c>
      <c r="C721" t="s">
        <v>34</v>
      </c>
      <c r="D721" t="s">
        <v>17</v>
      </c>
      <c r="E721">
        <v>11</v>
      </c>
      <c r="F721" t="s">
        <v>45</v>
      </c>
      <c r="G721">
        <f>Earnings!G721</f>
        <v>929926.92799999996</v>
      </c>
      <c r="H721">
        <f>Deductions!B721+Deductions!C721+Deductions!D721+Tax!D721</f>
        <v>10988.566666666668</v>
      </c>
      <c r="I721">
        <f t="shared" si="22"/>
        <v>992199.41133333324</v>
      </c>
      <c r="J721">
        <f>Overtime!D721</f>
        <v>73261.049999999988</v>
      </c>
      <c r="K721">
        <f>IF(C721="Junior",0.06,IF(C721="Mid",0.08,IF(C721="Senior",0.1,IF(C721="Manager",0.12,0))))</f>
        <v>0.08</v>
      </c>
      <c r="L721">
        <f>IF(Performance!E721&gt;2,0.03,IF(Performance!E721&gt;=1,0.01,-0.02))</f>
        <v>0.01</v>
      </c>
      <c r="M721">
        <f t="shared" si="23"/>
        <v>0.09</v>
      </c>
      <c r="N721">
        <f>Earnings!B721*(1+M721)</f>
        <v>1064727.26</v>
      </c>
    </row>
    <row r="722" spans="1:14" x14ac:dyDescent="0.35">
      <c r="A722" t="s">
        <v>753</v>
      </c>
      <c r="B722" t="s">
        <v>30</v>
      </c>
      <c r="C722" t="s">
        <v>44</v>
      </c>
      <c r="D722" t="s">
        <v>17</v>
      </c>
      <c r="E722">
        <v>8</v>
      </c>
      <c r="F722" t="s">
        <v>23</v>
      </c>
      <c r="G722">
        <f>Earnings!G722</f>
        <v>1242154.368</v>
      </c>
      <c r="H722">
        <f>Deductions!B722+Deductions!C722+Deductions!D722+Tax!D722</f>
        <v>18994.600000000002</v>
      </c>
      <c r="I722">
        <f t="shared" si="22"/>
        <v>1223159.7679999999</v>
      </c>
      <c r="J722">
        <f>Overtime!D722</f>
        <v>0</v>
      </c>
      <c r="K722">
        <f>IF(C722="Junior",0.06,IF(C722="Mid",0.08,IF(C722="Senior",0.1,IF(C722="Manager",0.12,0))))</f>
        <v>0.12</v>
      </c>
      <c r="L722">
        <f>IF(Performance!E722&gt;2,0.03,IF(Performance!E722&gt;=1,0.01,-0.02))</f>
        <v>0.01</v>
      </c>
      <c r="M722">
        <f t="shared" si="23"/>
        <v>0.13</v>
      </c>
      <c r="N722">
        <f>Earnings!B722*(1+M722)</f>
        <v>1474405.92</v>
      </c>
    </row>
    <row r="723" spans="1:14" x14ac:dyDescent="0.35">
      <c r="A723" t="s">
        <v>754</v>
      </c>
      <c r="B723" t="s">
        <v>15</v>
      </c>
      <c r="C723" t="s">
        <v>16</v>
      </c>
      <c r="D723" t="s">
        <v>17</v>
      </c>
      <c r="E723">
        <v>3</v>
      </c>
      <c r="F723" t="s">
        <v>38</v>
      </c>
      <c r="G723">
        <f>Earnings!G723</f>
        <v>528326.67999999993</v>
      </c>
      <c r="H723">
        <f>Deductions!B723+Deductions!C723+Deductions!D723+Tax!D723</f>
        <v>3957.75</v>
      </c>
      <c r="I723">
        <f t="shared" si="22"/>
        <v>524368.92999999993</v>
      </c>
      <c r="J723">
        <f>Overtime!D723</f>
        <v>0</v>
      </c>
      <c r="K723">
        <f>IF(C723="Junior",0.06,IF(C723="Mid",0.08,IF(C723="Senior",0.1,IF(C723="Manager",0.12,0))))</f>
        <v>0.06</v>
      </c>
      <c r="L723">
        <f>IF(Performance!E723&gt;2,0.03,IF(Performance!E723&gt;=1,0.01,-0.02))</f>
        <v>0.01</v>
      </c>
      <c r="M723">
        <f t="shared" si="23"/>
        <v>6.9999999999999993E-2</v>
      </c>
      <c r="N723">
        <f>Earnings!B723*(1+M723)</f>
        <v>593812.55000000005</v>
      </c>
    </row>
    <row r="724" spans="1:14" x14ac:dyDescent="0.35">
      <c r="A724" t="s">
        <v>755</v>
      </c>
      <c r="B724" t="s">
        <v>27</v>
      </c>
      <c r="C724" t="s">
        <v>21</v>
      </c>
      <c r="D724" t="s">
        <v>17</v>
      </c>
      <c r="E724">
        <v>15</v>
      </c>
      <c r="F724" t="s">
        <v>32</v>
      </c>
      <c r="G724">
        <f>Earnings!G724</f>
        <v>935122.9439999999</v>
      </c>
      <c r="H724">
        <f>Deductions!B724+Deductions!C724+Deductions!D724+Tax!D724</f>
        <v>11079.533333333335</v>
      </c>
      <c r="I724">
        <f t="shared" si="22"/>
        <v>924043.41066666658</v>
      </c>
      <c r="J724">
        <f>Overtime!D724</f>
        <v>0</v>
      </c>
      <c r="K724">
        <f>IF(C724="Junior",0.06,IF(C724="Mid",0.08,IF(C724="Senior",0.1,IF(C724="Manager",0.12,0))))</f>
        <v>0.1</v>
      </c>
      <c r="L724">
        <f>IF(Performance!E724&gt;2,0.03,IF(Performance!E724&gt;=1,0.01,-0.02))</f>
        <v>0.01</v>
      </c>
      <c r="M724">
        <f t="shared" si="23"/>
        <v>0.11</v>
      </c>
      <c r="N724">
        <f>Earnings!B724*(1+M724)</f>
        <v>1090321.9200000002</v>
      </c>
    </row>
    <row r="725" spans="1:14" x14ac:dyDescent="0.35">
      <c r="A725" t="s">
        <v>756</v>
      </c>
      <c r="B725" t="s">
        <v>20</v>
      </c>
      <c r="C725" t="s">
        <v>34</v>
      </c>
      <c r="D725" t="s">
        <v>17</v>
      </c>
      <c r="E725">
        <v>14</v>
      </c>
      <c r="F725" t="s">
        <v>45</v>
      </c>
      <c r="G725">
        <f>Earnings!G725</f>
        <v>1055394.8160000001</v>
      </c>
      <c r="H725">
        <f>Deductions!B725+Deductions!C725+Deductions!D725+Tax!D725</f>
        <v>14090.199999999999</v>
      </c>
      <c r="I725">
        <f t="shared" si="22"/>
        <v>1041304.6160000002</v>
      </c>
      <c r="J725">
        <f>Overtime!D725</f>
        <v>0</v>
      </c>
      <c r="K725">
        <f>IF(C725="Junior",0.06,IF(C725="Mid",0.08,IF(C725="Senior",0.1,IF(C725="Manager",0.12,0))))</f>
        <v>0.08</v>
      </c>
      <c r="L725">
        <f>IF(Performance!E725&gt;2,0.03,IF(Performance!E725&gt;=1,0.01,-0.02))</f>
        <v>0.03</v>
      </c>
      <c r="M725">
        <f t="shared" si="23"/>
        <v>0.11</v>
      </c>
      <c r="N725">
        <f>Earnings!B725*(1+M725)</f>
        <v>1230554.8800000001</v>
      </c>
    </row>
    <row r="726" spans="1:14" x14ac:dyDescent="0.35">
      <c r="A726" t="s">
        <v>757</v>
      </c>
      <c r="B726" t="s">
        <v>36</v>
      </c>
      <c r="C726" t="s">
        <v>16</v>
      </c>
      <c r="D726" t="s">
        <v>22</v>
      </c>
      <c r="E726">
        <v>0</v>
      </c>
      <c r="F726" t="s">
        <v>71</v>
      </c>
      <c r="G726">
        <f>Earnings!G726</f>
        <v>740162.76879999996</v>
      </c>
      <c r="H726">
        <f>Deductions!B726+Deductions!C726+Deductions!D726+Tax!D726</f>
        <v>7666.364999999998</v>
      </c>
      <c r="I726">
        <f t="shared" si="22"/>
        <v>732496.40379999997</v>
      </c>
      <c r="J726">
        <f>Overtime!D726</f>
        <v>0</v>
      </c>
      <c r="K726">
        <f>IF(C726="Junior",0.06,IF(C726="Mid",0.08,IF(C726="Senior",0.1,IF(C726="Manager",0.12,0))))</f>
        <v>0.06</v>
      </c>
      <c r="L726">
        <f>IF(Performance!E726&gt;2,0.03,IF(Performance!E726&gt;=1,0.01,-0.02))</f>
        <v>0.01</v>
      </c>
      <c r="M726">
        <f t="shared" si="23"/>
        <v>6.9999999999999993E-2</v>
      </c>
      <c r="N726">
        <f>Earnings!B726*(1+M726)</f>
        <v>831905.63299999991</v>
      </c>
    </row>
    <row r="727" spans="1:14" x14ac:dyDescent="0.35">
      <c r="A727" t="s">
        <v>758</v>
      </c>
      <c r="B727" t="s">
        <v>30</v>
      </c>
      <c r="C727" t="s">
        <v>44</v>
      </c>
      <c r="D727" t="s">
        <v>22</v>
      </c>
      <c r="E727">
        <v>3</v>
      </c>
      <c r="F727" t="s">
        <v>38</v>
      </c>
      <c r="G727">
        <f>Earnings!G727</f>
        <v>1152846.8196</v>
      </c>
      <c r="H727">
        <f>Deductions!B727+Deductions!C727+Deductions!D727+Tax!D727</f>
        <v>16649.338750000003</v>
      </c>
      <c r="I727">
        <f t="shared" si="22"/>
        <v>1136197.4808499999</v>
      </c>
      <c r="J727">
        <f>Overtime!D727</f>
        <v>0</v>
      </c>
      <c r="K727">
        <f>IF(C727="Junior",0.06,IF(C727="Mid",0.08,IF(C727="Senior",0.1,IF(C727="Manager",0.12,0))))</f>
        <v>0.12</v>
      </c>
      <c r="L727">
        <f>IF(Performance!E727&gt;2,0.03,IF(Performance!E727&gt;=1,0.01,-0.02))</f>
        <v>0.01</v>
      </c>
      <c r="M727">
        <f t="shared" si="23"/>
        <v>0.13</v>
      </c>
      <c r="N727">
        <f>Earnings!B727*(1+M727)</f>
        <v>1368400.1114999999</v>
      </c>
    </row>
    <row r="728" spans="1:14" x14ac:dyDescent="0.35">
      <c r="A728" t="s">
        <v>759</v>
      </c>
      <c r="B728" t="s">
        <v>20</v>
      </c>
      <c r="C728" t="s">
        <v>21</v>
      </c>
      <c r="D728" t="s">
        <v>17</v>
      </c>
      <c r="E728">
        <v>15</v>
      </c>
      <c r="F728" t="s">
        <v>45</v>
      </c>
      <c r="G728">
        <f>Earnings!G728</f>
        <v>1083034.2320000001</v>
      </c>
      <c r="H728">
        <f>Deductions!B728+Deductions!C728+Deductions!D728+Tax!D728</f>
        <v>14816.025</v>
      </c>
      <c r="I728">
        <f t="shared" si="22"/>
        <v>1119412.0520000001</v>
      </c>
      <c r="J728">
        <f>Overtime!D728</f>
        <v>51193.845000000001</v>
      </c>
      <c r="K728">
        <f>IF(C728="Junior",0.06,IF(C728="Mid",0.08,IF(C728="Senior",0.1,IF(C728="Manager",0.12,0))))</f>
        <v>0.1</v>
      </c>
      <c r="L728">
        <f>IF(Performance!E728&gt;2,0.03,IF(Performance!E728&gt;=1,0.01,-0.02))</f>
        <v>0.03</v>
      </c>
      <c r="M728">
        <f t="shared" si="23"/>
        <v>0.13</v>
      </c>
      <c r="N728">
        <f>Earnings!B728*(1+M728)</f>
        <v>1285534.3299999998</v>
      </c>
    </row>
    <row r="729" spans="1:14" x14ac:dyDescent="0.35">
      <c r="A729" t="s">
        <v>760</v>
      </c>
      <c r="B729" t="s">
        <v>20</v>
      </c>
      <c r="C729" t="s">
        <v>16</v>
      </c>
      <c r="D729" t="s">
        <v>22</v>
      </c>
      <c r="E729">
        <v>13</v>
      </c>
      <c r="F729" t="s">
        <v>32</v>
      </c>
      <c r="G729">
        <f>Earnings!G729</f>
        <v>1061937.436</v>
      </c>
      <c r="H729">
        <f>Deductions!B729+Deductions!C729+Deductions!D729+Tax!D729</f>
        <v>14262.012499999999</v>
      </c>
      <c r="I729">
        <f t="shared" si="22"/>
        <v>1047675.4235</v>
      </c>
      <c r="J729">
        <f>Overtime!D729</f>
        <v>0</v>
      </c>
      <c r="K729">
        <f>IF(C729="Junior",0.06,IF(C729="Mid",0.08,IF(C729="Senior",0.1,IF(C729="Manager",0.12,0))))</f>
        <v>0.06</v>
      </c>
      <c r="L729">
        <f>IF(Performance!E729&gt;2,0.03,IF(Performance!E729&gt;=1,0.01,-0.02))</f>
        <v>0.03</v>
      </c>
      <c r="M729">
        <f t="shared" si="23"/>
        <v>0.09</v>
      </c>
      <c r="N729">
        <f>Earnings!B729*(1+M729)</f>
        <v>1215873.7450000001</v>
      </c>
    </row>
    <row r="730" spans="1:14" x14ac:dyDescent="0.35">
      <c r="A730" t="s">
        <v>761</v>
      </c>
      <c r="B730" t="s">
        <v>20</v>
      </c>
      <c r="C730" t="s">
        <v>16</v>
      </c>
      <c r="D730" t="s">
        <v>22</v>
      </c>
      <c r="E730">
        <v>15</v>
      </c>
      <c r="F730" t="s">
        <v>23</v>
      </c>
      <c r="G730">
        <f>Earnings!G730</f>
        <v>976250.05799999996</v>
      </c>
      <c r="H730">
        <f>Deductions!B730+Deductions!C730+Deductions!D730+Tax!D730</f>
        <v>12011.81875</v>
      </c>
      <c r="I730">
        <f t="shared" si="22"/>
        <v>1041148.6954999999</v>
      </c>
      <c r="J730">
        <f>Overtime!D730</f>
        <v>76910.456249999988</v>
      </c>
      <c r="K730">
        <f>IF(C730="Junior",0.06,IF(C730="Mid",0.08,IF(C730="Senior",0.1,IF(C730="Manager",0.12,0))))</f>
        <v>0.06</v>
      </c>
      <c r="L730">
        <f>IF(Performance!E730&gt;2,0.03,IF(Performance!E730&gt;=1,0.01,-0.02))</f>
        <v>0.03</v>
      </c>
      <c r="M730">
        <f t="shared" si="23"/>
        <v>0.09</v>
      </c>
      <c r="N730">
        <f>Earnings!B730*(1+M730)</f>
        <v>1117765.2975000001</v>
      </c>
    </row>
    <row r="731" spans="1:14" x14ac:dyDescent="0.35">
      <c r="A731" t="s">
        <v>762</v>
      </c>
      <c r="B731" t="s">
        <v>20</v>
      </c>
      <c r="C731" t="s">
        <v>21</v>
      </c>
      <c r="D731" t="s">
        <v>17</v>
      </c>
      <c r="E731">
        <v>1</v>
      </c>
      <c r="F731" t="s">
        <v>23</v>
      </c>
      <c r="G731">
        <f>Earnings!G731</f>
        <v>458264.24</v>
      </c>
      <c r="H731">
        <f>Deductions!B731+Deductions!C731+Deductions!D731+Tax!D731</f>
        <v>2964.0416666666665</v>
      </c>
      <c r="I731">
        <f t="shared" si="22"/>
        <v>522691.99833333329</v>
      </c>
      <c r="J731">
        <f>Overtime!D731</f>
        <v>67391.8</v>
      </c>
      <c r="K731">
        <f>IF(C731="Junior",0.06,IF(C731="Mid",0.08,IF(C731="Senior",0.1,IF(C731="Manager",0.12,0))))</f>
        <v>0.1</v>
      </c>
      <c r="L731">
        <f>IF(Performance!E731&gt;2,0.03,IF(Performance!E731&gt;=1,0.01,-0.02))</f>
        <v>0.03</v>
      </c>
      <c r="M731">
        <f t="shared" si="23"/>
        <v>0.13</v>
      </c>
      <c r="N731">
        <f>Earnings!B731*(1+M731)</f>
        <v>543948.1</v>
      </c>
    </row>
    <row r="732" spans="1:14" x14ac:dyDescent="0.35">
      <c r="A732" t="s">
        <v>763</v>
      </c>
      <c r="B732" t="s">
        <v>15</v>
      </c>
      <c r="C732" t="s">
        <v>21</v>
      </c>
      <c r="D732" t="s">
        <v>17</v>
      </c>
      <c r="E732">
        <v>12</v>
      </c>
      <c r="F732" t="s">
        <v>25</v>
      </c>
      <c r="G732">
        <f>Earnings!G732</f>
        <v>857428.32</v>
      </c>
      <c r="H732">
        <f>Deductions!B732+Deductions!C732+Deductions!D732+Tax!D732</f>
        <v>9719.3333333333321</v>
      </c>
      <c r="I732">
        <f t="shared" si="22"/>
        <v>847708.98666666658</v>
      </c>
      <c r="J732">
        <f>Overtime!D732</f>
        <v>0</v>
      </c>
      <c r="K732">
        <f>IF(C732="Junior",0.06,IF(C732="Mid",0.08,IF(C732="Senior",0.1,IF(C732="Manager",0.12,0))))</f>
        <v>0.1</v>
      </c>
      <c r="L732">
        <f>IF(Performance!E732&gt;2,0.03,IF(Performance!E732&gt;=1,0.01,-0.02))</f>
        <v>0.01</v>
      </c>
      <c r="M732">
        <f t="shared" si="23"/>
        <v>0.11</v>
      </c>
      <c r="N732">
        <f>Earnings!B732*(1+M732)</f>
        <v>999732.60000000009</v>
      </c>
    </row>
    <row r="733" spans="1:14" x14ac:dyDescent="0.35">
      <c r="A733" t="s">
        <v>764</v>
      </c>
      <c r="B733" t="s">
        <v>15</v>
      </c>
      <c r="C733" t="s">
        <v>16</v>
      </c>
      <c r="D733" t="s">
        <v>22</v>
      </c>
      <c r="E733">
        <v>9</v>
      </c>
      <c r="F733" t="s">
        <v>18</v>
      </c>
      <c r="G733">
        <f>Earnings!G733</f>
        <v>560800.35199999996</v>
      </c>
      <c r="H733">
        <f>Deductions!B733+Deductions!C733+Deductions!D733+Tax!D733</f>
        <v>4526.2666666666664</v>
      </c>
      <c r="I733">
        <f t="shared" si="22"/>
        <v>556274.08533333323</v>
      </c>
      <c r="J733">
        <f>Overtime!D733</f>
        <v>0</v>
      </c>
      <c r="K733">
        <f>IF(C733="Junior",0.06,IF(C733="Mid",0.08,IF(C733="Senior",0.1,IF(C733="Manager",0.12,0))))</f>
        <v>0.06</v>
      </c>
      <c r="L733">
        <f>IF(Performance!E733&gt;2,0.03,IF(Performance!E733&gt;=1,0.01,-0.02))</f>
        <v>0.01</v>
      </c>
      <c r="M733">
        <f t="shared" si="23"/>
        <v>6.9999999999999993E-2</v>
      </c>
      <c r="N733">
        <f>Earnings!B733*(1+M733)</f>
        <v>630311.32000000007</v>
      </c>
    </row>
    <row r="734" spans="1:14" x14ac:dyDescent="0.35">
      <c r="A734" t="s">
        <v>765</v>
      </c>
      <c r="B734" t="s">
        <v>15</v>
      </c>
      <c r="C734" t="s">
        <v>21</v>
      </c>
      <c r="D734" t="s">
        <v>17</v>
      </c>
      <c r="E734">
        <v>0</v>
      </c>
      <c r="F734" t="s">
        <v>25</v>
      </c>
      <c r="G734">
        <f>Earnings!G734</f>
        <v>425102.272</v>
      </c>
      <c r="H734">
        <f>Deductions!B734+Deductions!C734+Deductions!D734+Tax!D734</f>
        <v>2818.9</v>
      </c>
      <c r="I734">
        <f t="shared" si="22"/>
        <v>422283.37199999997</v>
      </c>
      <c r="J734">
        <f>Overtime!D734</f>
        <v>0</v>
      </c>
      <c r="K734">
        <f>IF(C734="Junior",0.06,IF(C734="Mid",0.08,IF(C734="Senior",0.1,IF(C734="Manager",0.12,0))))</f>
        <v>0.1</v>
      </c>
      <c r="L734">
        <f>IF(Performance!E734&gt;2,0.03,IF(Performance!E734&gt;=1,0.01,-0.02))</f>
        <v>0.01</v>
      </c>
      <c r="M734">
        <f t="shared" si="23"/>
        <v>0.11</v>
      </c>
      <c r="N734">
        <f>Earnings!B734*(1+M734)</f>
        <v>495654.96</v>
      </c>
    </row>
    <row r="735" spans="1:14" x14ac:dyDescent="0.35">
      <c r="A735" t="s">
        <v>766</v>
      </c>
      <c r="B735" t="s">
        <v>20</v>
      </c>
      <c r="C735" t="s">
        <v>21</v>
      </c>
      <c r="D735" t="s">
        <v>22</v>
      </c>
      <c r="E735">
        <v>10</v>
      </c>
      <c r="F735" t="s">
        <v>28</v>
      </c>
      <c r="G735">
        <f>Earnings!G735</f>
        <v>775118.73320000002</v>
      </c>
      <c r="H735">
        <f>Deductions!B735+Deductions!C735+Deductions!D735+Tax!D735</f>
        <v>8278.3391666666685</v>
      </c>
      <c r="I735">
        <f t="shared" si="22"/>
        <v>766840.3940333334</v>
      </c>
      <c r="J735">
        <f>Overtime!D735</f>
        <v>0</v>
      </c>
      <c r="K735">
        <f>IF(C735="Junior",0.06,IF(C735="Mid",0.08,IF(C735="Senior",0.1,IF(C735="Manager",0.12,0))))</f>
        <v>0.1</v>
      </c>
      <c r="L735">
        <f>IF(Performance!E735&gt;2,0.03,IF(Performance!E735&gt;=1,0.01,-0.02))</f>
        <v>0.03</v>
      </c>
      <c r="M735">
        <f t="shared" si="23"/>
        <v>0.13</v>
      </c>
      <c r="N735">
        <f>Earnings!B735*(1+M735)</f>
        <v>920046.39549999987</v>
      </c>
    </row>
    <row r="736" spans="1:14" x14ac:dyDescent="0.35">
      <c r="A736" t="s">
        <v>767</v>
      </c>
      <c r="B736" t="s">
        <v>30</v>
      </c>
      <c r="C736" t="s">
        <v>21</v>
      </c>
      <c r="D736" t="s">
        <v>17</v>
      </c>
      <c r="E736">
        <v>9</v>
      </c>
      <c r="F736" t="s">
        <v>32</v>
      </c>
      <c r="G736">
        <f>Earnings!G736</f>
        <v>993515.76800000004</v>
      </c>
      <c r="H736">
        <f>Deductions!B736+Deductions!C736+Deductions!D736+Tax!D736</f>
        <v>12465.225</v>
      </c>
      <c r="I736">
        <f t="shared" si="22"/>
        <v>981050.54300000006</v>
      </c>
      <c r="J736">
        <f>Overtime!D736</f>
        <v>0</v>
      </c>
      <c r="K736">
        <f>IF(C736="Junior",0.06,IF(C736="Mid",0.08,IF(C736="Senior",0.1,IF(C736="Manager",0.12,0))))</f>
        <v>0.1</v>
      </c>
      <c r="L736">
        <f>IF(Performance!E736&gt;2,0.03,IF(Performance!E736&gt;=1,0.01,-0.02))</f>
        <v>0.01</v>
      </c>
      <c r="M736">
        <f t="shared" si="23"/>
        <v>0.11</v>
      </c>
      <c r="N736">
        <f>Earnings!B736*(1+M736)</f>
        <v>1158405.99</v>
      </c>
    </row>
    <row r="737" spans="1:14" x14ac:dyDescent="0.35">
      <c r="A737" t="s">
        <v>768</v>
      </c>
      <c r="B737" t="s">
        <v>15</v>
      </c>
      <c r="C737" t="s">
        <v>16</v>
      </c>
      <c r="D737" t="s">
        <v>17</v>
      </c>
      <c r="E737">
        <v>0</v>
      </c>
      <c r="F737" t="s">
        <v>23</v>
      </c>
      <c r="G737">
        <f>Earnings!G737</f>
        <v>318433.52799999999</v>
      </c>
      <c r="H737">
        <f>Deductions!B737+Deductions!C737+Deductions!D737+Tax!D737</f>
        <v>2352.0374999999999</v>
      </c>
      <c r="I737">
        <f t="shared" si="22"/>
        <v>316081.49050000001</v>
      </c>
      <c r="J737">
        <f>Overtime!D737</f>
        <v>0</v>
      </c>
      <c r="K737">
        <f>IF(C737="Junior",0.06,IF(C737="Mid",0.08,IF(C737="Senior",0.1,IF(C737="Manager",0.12,0))))</f>
        <v>0.06</v>
      </c>
      <c r="L737">
        <f>IF(Performance!E737&gt;2,0.03,IF(Performance!E737&gt;=1,0.01,-0.02))</f>
        <v>0.01</v>
      </c>
      <c r="M737">
        <f t="shared" si="23"/>
        <v>6.9999999999999993E-2</v>
      </c>
      <c r="N737">
        <f>Earnings!B737*(1+M737)</f>
        <v>357903.23000000004</v>
      </c>
    </row>
    <row r="738" spans="1:14" x14ac:dyDescent="0.35">
      <c r="A738" t="s">
        <v>769</v>
      </c>
      <c r="B738" t="s">
        <v>30</v>
      </c>
      <c r="C738" t="s">
        <v>21</v>
      </c>
      <c r="D738" t="s">
        <v>17</v>
      </c>
      <c r="E738">
        <v>15</v>
      </c>
      <c r="F738" t="s">
        <v>28</v>
      </c>
      <c r="G738">
        <f>Earnings!G738</f>
        <v>1154901.6640000001</v>
      </c>
      <c r="H738">
        <f>Deductions!B738+Deductions!C738+Deductions!D738+Tax!D738</f>
        <v>16703.300000000003</v>
      </c>
      <c r="I738">
        <f t="shared" si="22"/>
        <v>1174592.324</v>
      </c>
      <c r="J738">
        <f>Overtime!D738</f>
        <v>36393.96</v>
      </c>
      <c r="K738">
        <f>IF(C738="Junior",0.06,IF(C738="Mid",0.08,IF(C738="Senior",0.1,IF(C738="Manager",0.12,0))))</f>
        <v>0.1</v>
      </c>
      <c r="L738">
        <f>IF(Performance!E738&gt;2,0.03,IF(Performance!E738&gt;=1,0.01,-0.02))</f>
        <v>0.01</v>
      </c>
      <c r="M738">
        <f t="shared" si="23"/>
        <v>0.11</v>
      </c>
      <c r="N738">
        <f>Earnings!B738*(1+M738)</f>
        <v>1346576.52</v>
      </c>
    </row>
    <row r="739" spans="1:14" x14ac:dyDescent="0.35">
      <c r="A739" t="s">
        <v>770</v>
      </c>
      <c r="B739" t="s">
        <v>30</v>
      </c>
      <c r="C739" t="s">
        <v>21</v>
      </c>
      <c r="D739" t="s">
        <v>22</v>
      </c>
      <c r="E739">
        <v>15</v>
      </c>
      <c r="F739" t="s">
        <v>38</v>
      </c>
      <c r="G739">
        <f>Earnings!G739</f>
        <v>1277046.2627999999</v>
      </c>
      <c r="H739">
        <f>Deductions!B739+Deductions!C739+Deductions!D739+Tax!D739</f>
        <v>19910.87875</v>
      </c>
      <c r="I739">
        <f t="shared" si="22"/>
        <v>1257135.38405</v>
      </c>
      <c r="J739">
        <f>Overtime!D739</f>
        <v>0</v>
      </c>
      <c r="K739">
        <f>IF(C739="Junior",0.06,IF(C739="Mid",0.08,IF(C739="Senior",0.1,IF(C739="Manager",0.12,0))))</f>
        <v>0.1</v>
      </c>
      <c r="L739">
        <f>IF(Performance!E739&gt;2,0.03,IF(Performance!E739&gt;=1,0.01,-0.02))</f>
        <v>0.01</v>
      </c>
      <c r="M739">
        <f t="shared" si="23"/>
        <v>0.11</v>
      </c>
      <c r="N739">
        <f>Earnings!B739*(1+M739)</f>
        <v>1488993.0165000001</v>
      </c>
    </row>
    <row r="740" spans="1:14" x14ac:dyDescent="0.35">
      <c r="A740" t="s">
        <v>771</v>
      </c>
      <c r="B740" t="s">
        <v>27</v>
      </c>
      <c r="C740" t="s">
        <v>21</v>
      </c>
      <c r="D740" t="s">
        <v>17</v>
      </c>
      <c r="E740">
        <v>13</v>
      </c>
      <c r="F740" t="s">
        <v>38</v>
      </c>
      <c r="G740">
        <f>Earnings!G740</f>
        <v>913061.29599999997</v>
      </c>
      <c r="H740">
        <f>Deductions!B740+Deductions!C740+Deductions!D740+Tax!D740</f>
        <v>10693.300000000001</v>
      </c>
      <c r="I740">
        <f t="shared" si="22"/>
        <v>902367.99599999993</v>
      </c>
      <c r="J740">
        <f>Overtime!D740</f>
        <v>0</v>
      </c>
      <c r="K740">
        <f>IF(C740="Junior",0.06,IF(C740="Mid",0.08,IF(C740="Senior",0.1,IF(C740="Manager",0.12,0))))</f>
        <v>0.1</v>
      </c>
      <c r="L740">
        <f>IF(Performance!E740&gt;2,0.03,IF(Performance!E740&gt;=1,0.01,-0.02))</f>
        <v>0.01</v>
      </c>
      <c r="M740">
        <f t="shared" si="23"/>
        <v>0.11</v>
      </c>
      <c r="N740">
        <f>Earnings!B740*(1+M740)</f>
        <v>1064598.78</v>
      </c>
    </row>
    <row r="741" spans="1:14" x14ac:dyDescent="0.35">
      <c r="A741" t="s">
        <v>772</v>
      </c>
      <c r="B741" t="s">
        <v>15</v>
      </c>
      <c r="C741" t="s">
        <v>21</v>
      </c>
      <c r="D741" t="s">
        <v>17</v>
      </c>
      <c r="E741">
        <v>8</v>
      </c>
      <c r="F741" t="s">
        <v>45</v>
      </c>
      <c r="G741">
        <f>Earnings!G741</f>
        <v>749090.72</v>
      </c>
      <c r="H741">
        <f>Deductions!B741+Deductions!C741+Deductions!D741+Tax!D741</f>
        <v>7822.666666666667</v>
      </c>
      <c r="I741">
        <f t="shared" si="22"/>
        <v>741268.05333333334</v>
      </c>
      <c r="J741">
        <f>Overtime!D741</f>
        <v>0</v>
      </c>
      <c r="K741">
        <f>IF(C741="Junior",0.06,IF(C741="Mid",0.08,IF(C741="Senior",0.1,IF(C741="Manager",0.12,0))))</f>
        <v>0.1</v>
      </c>
      <c r="L741">
        <f>IF(Performance!E741&gt;2,0.03,IF(Performance!E741&gt;=1,0.01,-0.02))</f>
        <v>0.01</v>
      </c>
      <c r="M741">
        <f t="shared" si="23"/>
        <v>0.11</v>
      </c>
      <c r="N741">
        <f>Earnings!B741*(1+M741)</f>
        <v>873414.60000000009</v>
      </c>
    </row>
    <row r="742" spans="1:14" x14ac:dyDescent="0.35">
      <c r="A742" t="s">
        <v>773</v>
      </c>
      <c r="B742" t="s">
        <v>30</v>
      </c>
      <c r="C742" t="s">
        <v>21</v>
      </c>
      <c r="D742" t="s">
        <v>22</v>
      </c>
      <c r="E742">
        <v>8</v>
      </c>
      <c r="F742" t="s">
        <v>18</v>
      </c>
      <c r="G742">
        <f>Earnings!G742</f>
        <v>926987.39</v>
      </c>
      <c r="H742">
        <f>Deductions!B742+Deductions!C742+Deductions!D742+Tax!D742</f>
        <v>10937.104166666666</v>
      </c>
      <c r="I742">
        <f t="shared" si="22"/>
        <v>959867.96708333341</v>
      </c>
      <c r="J742">
        <f>Overtime!D742</f>
        <v>43817.681250000001</v>
      </c>
      <c r="K742">
        <f>IF(C742="Junior",0.06,IF(C742="Mid",0.08,IF(C742="Senior",0.1,IF(C742="Manager",0.12,0))))</f>
        <v>0.1</v>
      </c>
      <c r="L742">
        <f>IF(Performance!E742&gt;2,0.03,IF(Performance!E742&gt;=1,0.01,-0.02))</f>
        <v>0.01</v>
      </c>
      <c r="M742">
        <f t="shared" si="23"/>
        <v>0.11</v>
      </c>
      <c r="N742">
        <f>Earnings!B742*(1+M742)</f>
        <v>1080836.1375000002</v>
      </c>
    </row>
    <row r="743" spans="1:14" x14ac:dyDescent="0.35">
      <c r="A743" t="s">
        <v>774</v>
      </c>
      <c r="B743" t="s">
        <v>27</v>
      </c>
      <c r="C743" t="s">
        <v>34</v>
      </c>
      <c r="D743" t="s">
        <v>17</v>
      </c>
      <c r="E743">
        <v>5</v>
      </c>
      <c r="F743" t="s">
        <v>32</v>
      </c>
      <c r="G743">
        <f>Earnings!G743</f>
        <v>788040.848</v>
      </c>
      <c r="H743">
        <f>Deductions!B743+Deductions!C743+Deductions!D743+Tax!D743</f>
        <v>8504.5666666666657</v>
      </c>
      <c r="I743">
        <f t="shared" si="22"/>
        <v>779536.28133333335</v>
      </c>
      <c r="J743">
        <f>Overtime!D743</f>
        <v>0</v>
      </c>
      <c r="K743">
        <f>IF(C743="Junior",0.06,IF(C743="Mid",0.08,IF(C743="Senior",0.1,IF(C743="Manager",0.12,0))))</f>
        <v>0.08</v>
      </c>
      <c r="L743">
        <f>IF(Performance!E743&gt;2,0.03,IF(Performance!E743&gt;=1,0.01,-0.02))</f>
        <v>0.01</v>
      </c>
      <c r="M743">
        <f t="shared" si="23"/>
        <v>0.09</v>
      </c>
      <c r="N743">
        <f>Earnings!B743*(1+M743)</f>
        <v>902273.66</v>
      </c>
    </row>
    <row r="744" spans="1:14" x14ac:dyDescent="0.35">
      <c r="A744" t="s">
        <v>775</v>
      </c>
      <c r="B744" t="s">
        <v>30</v>
      </c>
      <c r="C744" t="s">
        <v>21</v>
      </c>
      <c r="D744" t="s">
        <v>22</v>
      </c>
      <c r="E744">
        <v>13</v>
      </c>
      <c r="F744" t="s">
        <v>45</v>
      </c>
      <c r="G744">
        <f>Earnings!G744</f>
        <v>1147254.9143999999</v>
      </c>
      <c r="H744">
        <f>Deductions!B744+Deductions!C744+Deductions!D744+Tax!D744</f>
        <v>16502.4925</v>
      </c>
      <c r="I744">
        <f t="shared" si="22"/>
        <v>1227160.3979</v>
      </c>
      <c r="J744">
        <f>Overtime!D744</f>
        <v>96407.975999999995</v>
      </c>
      <c r="K744">
        <f>IF(C744="Junior",0.06,IF(C744="Mid",0.08,IF(C744="Senior",0.1,IF(C744="Manager",0.12,0))))</f>
        <v>0.1</v>
      </c>
      <c r="L744">
        <f>IF(Performance!E744&gt;2,0.03,IF(Performance!E744&gt;=1,0.01,-0.02))</f>
        <v>0.01</v>
      </c>
      <c r="M744">
        <f t="shared" si="23"/>
        <v>0.11</v>
      </c>
      <c r="N744">
        <f>Earnings!B744*(1+M744)</f>
        <v>1337660.6670000001</v>
      </c>
    </row>
    <row r="745" spans="1:14" x14ac:dyDescent="0.35">
      <c r="A745" t="s">
        <v>776</v>
      </c>
      <c r="B745" t="s">
        <v>27</v>
      </c>
      <c r="C745" t="s">
        <v>21</v>
      </c>
      <c r="D745" t="s">
        <v>22</v>
      </c>
      <c r="E745">
        <v>13</v>
      </c>
      <c r="F745" t="s">
        <v>71</v>
      </c>
      <c r="G745">
        <f>Earnings!G745</f>
        <v>979864.94480000006</v>
      </c>
      <c r="H745">
        <f>Deductions!B745+Deductions!C745+Deductions!D745+Tax!D745</f>
        <v>12106.747499999999</v>
      </c>
      <c r="I745">
        <f t="shared" si="22"/>
        <v>993489.94480000006</v>
      </c>
      <c r="J745">
        <f>Overtime!D745</f>
        <v>25731.747500000001</v>
      </c>
      <c r="K745">
        <f>IF(C745="Junior",0.06,IF(C745="Mid",0.08,IF(C745="Senior",0.1,IF(C745="Manager",0.12,0))))</f>
        <v>0.1</v>
      </c>
      <c r="L745">
        <f>IF(Performance!E745&gt;2,0.03,IF(Performance!E745&gt;=1,0.01,-0.02))</f>
        <v>0.01</v>
      </c>
      <c r="M745">
        <f t="shared" si="23"/>
        <v>0.11</v>
      </c>
      <c r="N745">
        <f>Earnings!B745*(1+M745)</f>
        <v>1142489.5890000002</v>
      </c>
    </row>
    <row r="746" spans="1:14" x14ac:dyDescent="0.35">
      <c r="A746" t="s">
        <v>777</v>
      </c>
      <c r="B746" t="s">
        <v>20</v>
      </c>
      <c r="C746" t="s">
        <v>34</v>
      </c>
      <c r="D746" t="s">
        <v>17</v>
      </c>
      <c r="E746">
        <v>0</v>
      </c>
      <c r="F746" t="s">
        <v>38</v>
      </c>
      <c r="G746">
        <f>Earnings!G746</f>
        <v>519427.38400000002</v>
      </c>
      <c r="H746">
        <f>Deductions!B746+Deductions!C746+Deductions!D746+Tax!D746</f>
        <v>3801.95</v>
      </c>
      <c r="I746">
        <f t="shared" si="22"/>
        <v>583827.55900000001</v>
      </c>
      <c r="J746">
        <f>Overtime!D746</f>
        <v>68202.125</v>
      </c>
      <c r="K746">
        <f>IF(C746="Junior",0.06,IF(C746="Mid",0.08,IF(C746="Senior",0.1,IF(C746="Manager",0.12,0))))</f>
        <v>0.08</v>
      </c>
      <c r="L746">
        <f>IF(Performance!E746&gt;2,0.03,IF(Performance!E746&gt;=1,0.01,-0.02))</f>
        <v>0.03</v>
      </c>
      <c r="M746">
        <f t="shared" si="23"/>
        <v>0.11</v>
      </c>
      <c r="N746">
        <f>Earnings!B746*(1+M746)</f>
        <v>605634.87</v>
      </c>
    </row>
    <row r="747" spans="1:14" x14ac:dyDescent="0.35">
      <c r="A747" t="s">
        <v>778</v>
      </c>
      <c r="B747" t="s">
        <v>30</v>
      </c>
      <c r="C747" t="s">
        <v>34</v>
      </c>
      <c r="D747" t="s">
        <v>17</v>
      </c>
      <c r="E747">
        <v>7</v>
      </c>
      <c r="F747" t="s">
        <v>45</v>
      </c>
      <c r="G747">
        <f>Earnings!G747</f>
        <v>1234068.08</v>
      </c>
      <c r="H747">
        <f>Deductions!B747+Deductions!C747+Deductions!D747+Tax!D747</f>
        <v>18782.25</v>
      </c>
      <c r="I747">
        <f t="shared" si="22"/>
        <v>1215285.83</v>
      </c>
      <c r="J747">
        <f>Overtime!D747</f>
        <v>0</v>
      </c>
      <c r="K747">
        <f>IF(C747="Junior",0.06,IF(C747="Mid",0.08,IF(C747="Senior",0.1,IF(C747="Manager",0.12,0))))</f>
        <v>0.08</v>
      </c>
      <c r="L747">
        <f>IF(Performance!E747&gt;2,0.03,IF(Performance!E747&gt;=1,0.01,-0.02))</f>
        <v>0.01</v>
      </c>
      <c r="M747">
        <f t="shared" si="23"/>
        <v>0.09</v>
      </c>
      <c r="N747">
        <f>Earnings!B747*(1+M747)</f>
        <v>1412956.1</v>
      </c>
    </row>
    <row r="748" spans="1:14" x14ac:dyDescent="0.35">
      <c r="A748" t="s">
        <v>779</v>
      </c>
      <c r="B748" t="s">
        <v>30</v>
      </c>
      <c r="C748" t="s">
        <v>16</v>
      </c>
      <c r="D748" t="s">
        <v>22</v>
      </c>
      <c r="E748">
        <v>13</v>
      </c>
      <c r="F748" t="s">
        <v>25</v>
      </c>
      <c r="G748">
        <f>Earnings!G748</f>
        <v>1166185.8152000001</v>
      </c>
      <c r="H748">
        <f>Deductions!B748+Deductions!C748+Deductions!D748+Tax!D748</f>
        <v>16999.627500000002</v>
      </c>
      <c r="I748">
        <f t="shared" si="22"/>
        <v>1149186.1877000001</v>
      </c>
      <c r="J748">
        <f>Overtime!D748</f>
        <v>0</v>
      </c>
      <c r="K748">
        <f>IF(C748="Junior",0.06,IF(C748="Mid",0.08,IF(C748="Senior",0.1,IF(C748="Manager",0.12,0))))</f>
        <v>0.06</v>
      </c>
      <c r="L748">
        <f>IF(Performance!E748&gt;2,0.03,IF(Performance!E748&gt;=1,0.01,-0.02))</f>
        <v>0.01</v>
      </c>
      <c r="M748">
        <f t="shared" si="23"/>
        <v>6.9999999999999993E-2</v>
      </c>
      <c r="N748">
        <f>Earnings!B748*(1+M748)</f>
        <v>1310734.0570000003</v>
      </c>
    </row>
    <row r="749" spans="1:14" x14ac:dyDescent="0.35">
      <c r="A749" t="s">
        <v>780</v>
      </c>
      <c r="B749" t="s">
        <v>20</v>
      </c>
      <c r="C749" t="s">
        <v>16</v>
      </c>
      <c r="D749" t="s">
        <v>22</v>
      </c>
      <c r="E749">
        <v>8</v>
      </c>
      <c r="F749" t="s">
        <v>38</v>
      </c>
      <c r="G749">
        <f>Earnings!G749</f>
        <v>928365.69559999998</v>
      </c>
      <c r="H749">
        <f>Deductions!B749+Deductions!C749+Deductions!D749+Tax!D749</f>
        <v>10961.234166666667</v>
      </c>
      <c r="I749">
        <f t="shared" si="22"/>
        <v>1039301.2176833333</v>
      </c>
      <c r="J749">
        <f>Overtime!D749</f>
        <v>121896.75625000001</v>
      </c>
      <c r="K749">
        <f>IF(C749="Junior",0.06,IF(C749="Mid",0.08,IF(C749="Senior",0.1,IF(C749="Manager",0.12,0))))</f>
        <v>0.06</v>
      </c>
      <c r="L749">
        <f>IF(Performance!E749&gt;2,0.03,IF(Performance!E749&gt;=1,0.01,-0.02))</f>
        <v>0.03</v>
      </c>
      <c r="M749">
        <f t="shared" si="23"/>
        <v>0.09</v>
      </c>
      <c r="N749">
        <f>Earnings!B749*(1+M749)</f>
        <v>1062939.7145</v>
      </c>
    </row>
    <row r="750" spans="1:14" x14ac:dyDescent="0.35">
      <c r="A750" t="s">
        <v>781</v>
      </c>
      <c r="B750" t="s">
        <v>15</v>
      </c>
      <c r="C750" t="s">
        <v>44</v>
      </c>
      <c r="D750" t="s">
        <v>17</v>
      </c>
      <c r="E750">
        <v>8</v>
      </c>
      <c r="F750" t="s">
        <v>23</v>
      </c>
      <c r="G750">
        <f>Earnings!G750</f>
        <v>519442.61599999998</v>
      </c>
      <c r="H750">
        <f>Deductions!B750+Deductions!C750+Deductions!D750+Tax!D750</f>
        <v>3802.2166666666662</v>
      </c>
      <c r="I750">
        <f t="shared" si="22"/>
        <v>542922.04933333327</v>
      </c>
      <c r="J750">
        <f>Overtime!D750</f>
        <v>27281.65</v>
      </c>
      <c r="K750">
        <f>IF(C750="Junior",0.06,IF(C750="Mid",0.08,IF(C750="Senior",0.1,IF(C750="Manager",0.12,0))))</f>
        <v>0.12</v>
      </c>
      <c r="L750">
        <f>IF(Performance!E750&gt;2,0.03,IF(Performance!E750&gt;=1,0.01,-0.02))</f>
        <v>0.01</v>
      </c>
      <c r="M750">
        <f t="shared" si="23"/>
        <v>0.13</v>
      </c>
      <c r="N750">
        <f>Earnings!B750*(1+M750)</f>
        <v>616565.28999999992</v>
      </c>
    </row>
    <row r="751" spans="1:14" x14ac:dyDescent="0.35">
      <c r="A751" t="s">
        <v>782</v>
      </c>
      <c r="B751" t="s">
        <v>30</v>
      </c>
      <c r="C751" t="s">
        <v>21</v>
      </c>
      <c r="D751" t="s">
        <v>22</v>
      </c>
      <c r="E751">
        <v>3</v>
      </c>
      <c r="F751" t="s">
        <v>23</v>
      </c>
      <c r="G751">
        <f>Earnings!G751</f>
        <v>1046275.0368</v>
      </c>
      <c r="H751">
        <f>Deductions!B751+Deductions!C751+Deductions!D751+Tax!D751</f>
        <v>13850.709999999997</v>
      </c>
      <c r="I751">
        <f t="shared" si="22"/>
        <v>1076385.4628000001</v>
      </c>
      <c r="J751">
        <f>Overtime!D751</f>
        <v>43961.135999999999</v>
      </c>
      <c r="K751">
        <f>IF(C751="Junior",0.06,IF(C751="Mid",0.08,IF(C751="Senior",0.1,IF(C751="Manager",0.12,0))))</f>
        <v>0.1</v>
      </c>
      <c r="L751">
        <f>IF(Performance!E751&gt;2,0.03,IF(Performance!E751&gt;=1,0.01,-0.02))</f>
        <v>0.01</v>
      </c>
      <c r="M751">
        <f t="shared" si="23"/>
        <v>0.11</v>
      </c>
      <c r="N751">
        <f>Earnings!B751*(1+M751)</f>
        <v>1219921.524</v>
      </c>
    </row>
    <row r="752" spans="1:14" x14ac:dyDescent="0.35">
      <c r="A752" t="s">
        <v>783</v>
      </c>
      <c r="B752" t="s">
        <v>15</v>
      </c>
      <c r="C752" t="s">
        <v>16</v>
      </c>
      <c r="D752" t="s">
        <v>22</v>
      </c>
      <c r="E752">
        <v>5</v>
      </c>
      <c r="F752" t="s">
        <v>38</v>
      </c>
      <c r="G752">
        <f>Earnings!G752</f>
        <v>575858.61199999996</v>
      </c>
      <c r="H752">
        <f>Deductions!B752+Deductions!C752+Deductions!D752+Tax!D752</f>
        <v>4789.8916666666664</v>
      </c>
      <c r="I752">
        <f t="shared" si="22"/>
        <v>634582.53783333325</v>
      </c>
      <c r="J752">
        <f>Overtime!D752</f>
        <v>63513.817499999997</v>
      </c>
      <c r="K752">
        <f>IF(C752="Junior",0.06,IF(C752="Mid",0.08,IF(C752="Senior",0.1,IF(C752="Manager",0.12,0))))</f>
        <v>0.06</v>
      </c>
      <c r="L752">
        <f>IF(Performance!E752&gt;2,0.03,IF(Performance!E752&gt;=1,0.01,-0.02))</f>
        <v>0.01</v>
      </c>
      <c r="M752">
        <f t="shared" si="23"/>
        <v>6.9999999999999993E-2</v>
      </c>
      <c r="N752">
        <f>Earnings!B752*(1+M752)</f>
        <v>647236.04500000004</v>
      </c>
    </row>
    <row r="753" spans="1:14" x14ac:dyDescent="0.35">
      <c r="A753" t="s">
        <v>784</v>
      </c>
      <c r="B753" t="s">
        <v>27</v>
      </c>
      <c r="C753" t="s">
        <v>34</v>
      </c>
      <c r="D753" t="s">
        <v>17</v>
      </c>
      <c r="E753">
        <v>3</v>
      </c>
      <c r="F753" t="s">
        <v>18</v>
      </c>
      <c r="G753">
        <f>Earnings!G753</f>
        <v>454169.68800000002</v>
      </c>
      <c r="H753">
        <f>Deductions!B753+Deductions!C753+Deductions!D753+Tax!D753</f>
        <v>2946.1208333333334</v>
      </c>
      <c r="I753">
        <f t="shared" si="22"/>
        <v>470306.32716666668</v>
      </c>
      <c r="J753">
        <f>Overtime!D753</f>
        <v>19082.760000000002</v>
      </c>
      <c r="K753">
        <f>IF(C753="Junior",0.06,IF(C753="Mid",0.08,IF(C753="Senior",0.1,IF(C753="Manager",0.12,0))))</f>
        <v>0.08</v>
      </c>
      <c r="L753">
        <f>IF(Performance!E753&gt;2,0.03,IF(Performance!E753&gt;=1,0.01,-0.02))</f>
        <v>0.01</v>
      </c>
      <c r="M753">
        <f t="shared" si="23"/>
        <v>0.09</v>
      </c>
      <c r="N753">
        <f>Earnings!B753*(1+M753)</f>
        <v>520005.21</v>
      </c>
    </row>
    <row r="754" spans="1:14" x14ac:dyDescent="0.35">
      <c r="A754" t="s">
        <v>785</v>
      </c>
      <c r="B754" t="s">
        <v>20</v>
      </c>
      <c r="C754" t="s">
        <v>21</v>
      </c>
      <c r="D754" t="s">
        <v>17</v>
      </c>
      <c r="E754">
        <v>4</v>
      </c>
      <c r="F754" t="s">
        <v>38</v>
      </c>
      <c r="G754">
        <f>Earnings!G754</f>
        <v>726703.48800000001</v>
      </c>
      <c r="H754">
        <f>Deductions!B754+Deductions!C754+Deductions!D754+Tax!D754</f>
        <v>7430.7333333333336</v>
      </c>
      <c r="I754">
        <f t="shared" si="22"/>
        <v>719272.75466666673</v>
      </c>
      <c r="J754">
        <f>Overtime!D754</f>
        <v>0</v>
      </c>
      <c r="K754">
        <f>IF(C754="Junior",0.06,IF(C754="Mid",0.08,IF(C754="Senior",0.1,IF(C754="Manager",0.12,0))))</f>
        <v>0.1</v>
      </c>
      <c r="L754">
        <f>IF(Performance!E754&gt;2,0.03,IF(Performance!E754&gt;=1,0.01,-0.02))</f>
        <v>0.03</v>
      </c>
      <c r="M754">
        <f t="shared" si="23"/>
        <v>0.13</v>
      </c>
      <c r="N754">
        <f>Earnings!B754*(1+M754)</f>
        <v>862578.72</v>
      </c>
    </row>
    <row r="755" spans="1:14" x14ac:dyDescent="0.35">
      <c r="A755" t="s">
        <v>786</v>
      </c>
      <c r="B755" t="s">
        <v>30</v>
      </c>
      <c r="C755" t="s">
        <v>44</v>
      </c>
      <c r="D755" t="s">
        <v>22</v>
      </c>
      <c r="E755">
        <v>13</v>
      </c>
      <c r="F755" t="s">
        <v>71</v>
      </c>
      <c r="G755">
        <f>Earnings!G755</f>
        <v>1111382.7927999999</v>
      </c>
      <c r="H755">
        <f>Deductions!B755+Deductions!C755+Deductions!D755+Tax!D755</f>
        <v>15560.472499999998</v>
      </c>
      <c r="I755">
        <f t="shared" si="22"/>
        <v>1095822.3203</v>
      </c>
      <c r="J755">
        <f>Overtime!D755</f>
        <v>0</v>
      </c>
      <c r="K755">
        <f>IF(C755="Junior",0.06,IF(C755="Mid",0.08,IF(C755="Senior",0.1,IF(C755="Manager",0.12,0))))</f>
        <v>0.12</v>
      </c>
      <c r="L755">
        <f>IF(Performance!E755&gt;2,0.03,IF(Performance!E755&gt;=1,0.01,-0.02))</f>
        <v>0.01</v>
      </c>
      <c r="M755">
        <f t="shared" si="23"/>
        <v>0.13</v>
      </c>
      <c r="N755">
        <f>Earnings!B755*(1+M755)</f>
        <v>1319183.3569999998</v>
      </c>
    </row>
    <row r="756" spans="1:14" x14ac:dyDescent="0.35">
      <c r="A756" t="s">
        <v>787</v>
      </c>
      <c r="B756" t="s">
        <v>27</v>
      </c>
      <c r="C756" t="s">
        <v>21</v>
      </c>
      <c r="D756" t="s">
        <v>22</v>
      </c>
      <c r="E756">
        <v>15</v>
      </c>
      <c r="F756" t="s">
        <v>45</v>
      </c>
      <c r="G756">
        <f>Earnings!G756</f>
        <v>998380.72600000002</v>
      </c>
      <c r="H756">
        <f>Deductions!B756+Deductions!C756+Deductions!D756+Tax!D756</f>
        <v>12592.981249999999</v>
      </c>
      <c r="I756">
        <f t="shared" si="22"/>
        <v>985787.74475000007</v>
      </c>
      <c r="J756">
        <f>Overtime!D756</f>
        <v>0</v>
      </c>
      <c r="K756">
        <f>IF(C756="Junior",0.06,IF(C756="Mid",0.08,IF(C756="Senior",0.1,IF(C756="Manager",0.12,0))))</f>
        <v>0.1</v>
      </c>
      <c r="L756">
        <f>IF(Performance!E756&gt;2,0.03,IF(Performance!E756&gt;=1,0.01,-0.02))</f>
        <v>0.01</v>
      </c>
      <c r="M756">
        <f t="shared" si="23"/>
        <v>0.11</v>
      </c>
      <c r="N756">
        <f>Earnings!B756*(1+M756)</f>
        <v>1164078.3675000002</v>
      </c>
    </row>
    <row r="757" spans="1:14" x14ac:dyDescent="0.35">
      <c r="A757" t="s">
        <v>788</v>
      </c>
      <c r="B757" t="s">
        <v>15</v>
      </c>
      <c r="C757" t="s">
        <v>34</v>
      </c>
      <c r="D757" t="s">
        <v>22</v>
      </c>
      <c r="E757">
        <v>7</v>
      </c>
      <c r="F757" t="s">
        <v>23</v>
      </c>
      <c r="G757">
        <f>Earnings!G757</f>
        <v>538099.91200000001</v>
      </c>
      <c r="H757">
        <f>Deductions!B757+Deductions!C757+Deductions!D757+Tax!D757</f>
        <v>4128.8500000000004</v>
      </c>
      <c r="I757">
        <f t="shared" si="22"/>
        <v>533971.06200000003</v>
      </c>
      <c r="J757">
        <f>Overtime!D757</f>
        <v>0</v>
      </c>
      <c r="K757">
        <f>IF(C757="Junior",0.06,IF(C757="Mid",0.08,IF(C757="Senior",0.1,IF(C757="Manager",0.12,0))))</f>
        <v>0.08</v>
      </c>
      <c r="L757">
        <f>IF(Performance!E757&gt;2,0.03,IF(Performance!E757&gt;=1,0.01,-0.02))</f>
        <v>0.01</v>
      </c>
      <c r="M757">
        <f t="shared" si="23"/>
        <v>0.09</v>
      </c>
      <c r="N757">
        <f>Earnings!B757*(1+M757)</f>
        <v>616101.79</v>
      </c>
    </row>
    <row r="758" spans="1:14" x14ac:dyDescent="0.35">
      <c r="A758" t="s">
        <v>789</v>
      </c>
      <c r="B758" t="s">
        <v>36</v>
      </c>
      <c r="C758" t="s">
        <v>21</v>
      </c>
      <c r="D758" t="s">
        <v>17</v>
      </c>
      <c r="E758">
        <v>5</v>
      </c>
      <c r="F758" t="s">
        <v>28</v>
      </c>
      <c r="G758">
        <f>Earnings!G758</f>
        <v>1029482.328</v>
      </c>
      <c r="H758">
        <f>Deductions!B758+Deductions!C758+Deductions!D758+Tax!D758</f>
        <v>13409.725</v>
      </c>
      <c r="I758">
        <f t="shared" si="22"/>
        <v>1167467.0630000001</v>
      </c>
      <c r="J758">
        <f>Overtime!D758</f>
        <v>151394.46</v>
      </c>
      <c r="K758">
        <f>IF(C758="Junior",0.06,IF(C758="Mid",0.08,IF(C758="Senior",0.1,IF(C758="Manager",0.12,0))))</f>
        <v>0.1</v>
      </c>
      <c r="L758">
        <f>IF(Performance!E758&gt;2,0.03,IF(Performance!E758&gt;=1,0.01,-0.02))</f>
        <v>0.01</v>
      </c>
      <c r="M758">
        <f t="shared" si="23"/>
        <v>0.11</v>
      </c>
      <c r="N758">
        <f>Earnings!B758*(1+M758)</f>
        <v>1200341.79</v>
      </c>
    </row>
    <row r="759" spans="1:14" x14ac:dyDescent="0.35">
      <c r="A759" t="s">
        <v>790</v>
      </c>
      <c r="B759" t="s">
        <v>36</v>
      </c>
      <c r="C759" t="s">
        <v>34</v>
      </c>
      <c r="D759" t="s">
        <v>22</v>
      </c>
      <c r="E759">
        <v>4</v>
      </c>
      <c r="F759" t="s">
        <v>45</v>
      </c>
      <c r="G759">
        <f>Earnings!G759</f>
        <v>757948.69920000003</v>
      </c>
      <c r="H759">
        <f>Deductions!B759+Deductions!C759+Deductions!D759+Tax!D759</f>
        <v>7977.7433333333329</v>
      </c>
      <c r="I759">
        <f t="shared" si="22"/>
        <v>749970.95586666674</v>
      </c>
      <c r="J759">
        <f>Overtime!D759</f>
        <v>0</v>
      </c>
      <c r="K759">
        <f>IF(C759="Junior",0.06,IF(C759="Mid",0.08,IF(C759="Senior",0.1,IF(C759="Manager",0.12,0))))</f>
        <v>0.08</v>
      </c>
      <c r="L759">
        <f>IF(Performance!E759&gt;2,0.03,IF(Performance!E759&gt;=1,0.01,-0.02))</f>
        <v>0.01</v>
      </c>
      <c r="M759">
        <f t="shared" si="23"/>
        <v>0.09</v>
      </c>
      <c r="N759">
        <f>Earnings!B759*(1+M759)</f>
        <v>867819.41399999999</v>
      </c>
    </row>
    <row r="760" spans="1:14" x14ac:dyDescent="0.35">
      <c r="A760" t="s">
        <v>791</v>
      </c>
      <c r="B760" t="s">
        <v>27</v>
      </c>
      <c r="C760" t="s">
        <v>34</v>
      </c>
      <c r="D760" t="s">
        <v>17</v>
      </c>
      <c r="E760">
        <v>8</v>
      </c>
      <c r="F760" t="s">
        <v>23</v>
      </c>
      <c r="G760">
        <f>Earnings!G760</f>
        <v>829559.47199999995</v>
      </c>
      <c r="H760">
        <f>Deductions!B760+Deductions!C760+Deductions!D760+Tax!D760</f>
        <v>9231.4333333333343</v>
      </c>
      <c r="I760">
        <f t="shared" si="22"/>
        <v>863897.33866666665</v>
      </c>
      <c r="J760">
        <f>Overtime!D760</f>
        <v>43569.3</v>
      </c>
      <c r="K760">
        <f>IF(C760="Junior",0.06,IF(C760="Mid",0.08,IF(C760="Senior",0.1,IF(C760="Manager",0.12,0))))</f>
        <v>0.08</v>
      </c>
      <c r="L760">
        <f>IF(Performance!E760&gt;2,0.03,IF(Performance!E760&gt;=1,0.01,-0.02))</f>
        <v>0.01</v>
      </c>
      <c r="M760">
        <f t="shared" si="23"/>
        <v>0.09</v>
      </c>
      <c r="N760">
        <f>Earnings!B760*(1+M760)</f>
        <v>949810.74000000011</v>
      </c>
    </row>
    <row r="761" spans="1:14" x14ac:dyDescent="0.35">
      <c r="A761" t="s">
        <v>792</v>
      </c>
      <c r="B761" t="s">
        <v>15</v>
      </c>
      <c r="C761" t="s">
        <v>21</v>
      </c>
      <c r="D761" t="s">
        <v>22</v>
      </c>
      <c r="E761">
        <v>13</v>
      </c>
      <c r="F761" t="s">
        <v>32</v>
      </c>
      <c r="G761">
        <f>Earnings!G761</f>
        <v>638303.81439999992</v>
      </c>
      <c r="H761">
        <f>Deductions!B761+Deductions!C761+Deductions!D761+Tax!D761</f>
        <v>5883.119999999999</v>
      </c>
      <c r="I761">
        <f t="shared" si="22"/>
        <v>632420.69439999992</v>
      </c>
      <c r="J761">
        <f>Overtime!D761</f>
        <v>0</v>
      </c>
      <c r="K761">
        <f>IF(C761="Junior",0.06,IF(C761="Mid",0.08,IF(C761="Senior",0.1,IF(C761="Manager",0.12,0))))</f>
        <v>0.1</v>
      </c>
      <c r="L761">
        <f>IF(Performance!E761&gt;2,0.03,IF(Performance!E761&gt;=1,0.01,-0.02))</f>
        <v>0.01</v>
      </c>
      <c r="M761">
        <f t="shared" si="23"/>
        <v>0.11</v>
      </c>
      <c r="N761">
        <f>Earnings!B761*(1+M761)</f>
        <v>744240.79200000002</v>
      </c>
    </row>
    <row r="762" spans="1:14" x14ac:dyDescent="0.35">
      <c r="A762" t="s">
        <v>793</v>
      </c>
      <c r="B762" t="s">
        <v>15</v>
      </c>
      <c r="C762" t="s">
        <v>34</v>
      </c>
      <c r="D762" t="s">
        <v>22</v>
      </c>
      <c r="E762">
        <v>13</v>
      </c>
      <c r="F762" t="s">
        <v>18</v>
      </c>
      <c r="G762">
        <f>Earnings!G762</f>
        <v>872461.11399999983</v>
      </c>
      <c r="H762">
        <f>Deductions!B762+Deductions!C762+Deductions!D762+Tax!D762</f>
        <v>9982.5125000000007</v>
      </c>
      <c r="I762">
        <f t="shared" si="22"/>
        <v>967870.43774999981</v>
      </c>
      <c r="J762">
        <f>Overtime!D762</f>
        <v>105391.83624999999</v>
      </c>
      <c r="K762">
        <f>IF(C762="Junior",0.06,IF(C762="Mid",0.08,IF(C762="Senior",0.1,IF(C762="Manager",0.12,0))))</f>
        <v>0.08</v>
      </c>
      <c r="L762">
        <f>IF(Performance!E762&gt;2,0.03,IF(Performance!E762&gt;=1,0.01,-0.02))</f>
        <v>0.01</v>
      </c>
      <c r="M762">
        <f t="shared" si="23"/>
        <v>0.09</v>
      </c>
      <c r="N762">
        <f>Earnings!B762*(1+M762)</f>
        <v>998931.31750000012</v>
      </c>
    </row>
    <row r="763" spans="1:14" x14ac:dyDescent="0.35">
      <c r="A763" t="s">
        <v>794</v>
      </c>
      <c r="B763" t="s">
        <v>36</v>
      </c>
      <c r="C763" t="s">
        <v>44</v>
      </c>
      <c r="D763" t="s">
        <v>17</v>
      </c>
      <c r="E763">
        <v>6</v>
      </c>
      <c r="F763" t="s">
        <v>71</v>
      </c>
      <c r="G763">
        <f>Earnings!G763</f>
        <v>942231.52800000005</v>
      </c>
      <c r="H763">
        <f>Deductions!B763+Deductions!C763+Deductions!D763+Tax!D763</f>
        <v>11203.983333333334</v>
      </c>
      <c r="I763">
        <f t="shared" si="22"/>
        <v>931027.54466666677</v>
      </c>
      <c r="J763">
        <f>Overtime!D763</f>
        <v>0</v>
      </c>
      <c r="K763">
        <f>IF(C763="Junior",0.06,IF(C763="Mid",0.08,IF(C763="Senior",0.1,IF(C763="Manager",0.12,0))))</f>
        <v>0.12</v>
      </c>
      <c r="L763">
        <f>IF(Performance!E763&gt;2,0.03,IF(Performance!E763&gt;=1,0.01,-0.02))</f>
        <v>0.01</v>
      </c>
      <c r="M763">
        <f t="shared" si="23"/>
        <v>0.13</v>
      </c>
      <c r="N763">
        <f>Earnings!B763*(1+M763)</f>
        <v>1118405.0699999998</v>
      </c>
    </row>
    <row r="764" spans="1:14" x14ac:dyDescent="0.35">
      <c r="A764" t="s">
        <v>795</v>
      </c>
      <c r="B764" t="s">
        <v>36</v>
      </c>
      <c r="C764" t="s">
        <v>34</v>
      </c>
      <c r="D764" t="s">
        <v>22</v>
      </c>
      <c r="E764">
        <v>8</v>
      </c>
      <c r="F764" t="s">
        <v>28</v>
      </c>
      <c r="G764">
        <f>Earnings!G764</f>
        <v>675128.26919999986</v>
      </c>
      <c r="H764">
        <f>Deductions!B764+Deductions!C764+Deductions!D764+Tax!D764</f>
        <v>6527.8058333333329</v>
      </c>
      <c r="I764">
        <f t="shared" si="22"/>
        <v>693421.35561666661</v>
      </c>
      <c r="J764">
        <f>Overtime!D764</f>
        <v>24820.892250000004</v>
      </c>
      <c r="K764">
        <f>IF(C764="Junior",0.06,IF(C764="Mid",0.08,IF(C764="Senior",0.1,IF(C764="Manager",0.12,0))))</f>
        <v>0.08</v>
      </c>
      <c r="L764">
        <f>IF(Performance!E764&gt;2,0.03,IF(Performance!E764&gt;=1,0.01,-0.02))</f>
        <v>0.01</v>
      </c>
      <c r="M764">
        <f t="shared" si="23"/>
        <v>0.09</v>
      </c>
      <c r="N764">
        <f>Earnings!B764*(1+M764)</f>
        <v>772993.50150000001</v>
      </c>
    </row>
    <row r="765" spans="1:14" x14ac:dyDescent="0.35">
      <c r="A765" t="s">
        <v>796</v>
      </c>
      <c r="B765" t="s">
        <v>30</v>
      </c>
      <c r="C765" t="s">
        <v>21</v>
      </c>
      <c r="D765" t="s">
        <v>22</v>
      </c>
      <c r="E765">
        <v>6</v>
      </c>
      <c r="F765" t="s">
        <v>18</v>
      </c>
      <c r="G765">
        <f>Earnings!G765</f>
        <v>822370.01560000004</v>
      </c>
      <c r="H765">
        <f>Deductions!B765+Deductions!C765+Deductions!D765+Tax!D765</f>
        <v>9105.5674999999974</v>
      </c>
      <c r="I765">
        <f t="shared" si="22"/>
        <v>813264.44810000004</v>
      </c>
      <c r="J765">
        <f>Overtime!D765</f>
        <v>0</v>
      </c>
      <c r="K765">
        <f>IF(C765="Junior",0.06,IF(C765="Mid",0.08,IF(C765="Senior",0.1,IF(C765="Manager",0.12,0))))</f>
        <v>0.1</v>
      </c>
      <c r="L765">
        <f>IF(Performance!E765&gt;2,0.03,IF(Performance!E765&gt;=1,0.01,-0.02))</f>
        <v>0.01</v>
      </c>
      <c r="M765">
        <f t="shared" si="23"/>
        <v>0.11</v>
      </c>
      <c r="N765">
        <f>Earnings!B765*(1+M765)</f>
        <v>958855.79550000001</v>
      </c>
    </row>
    <row r="766" spans="1:14" x14ac:dyDescent="0.35">
      <c r="A766" t="s">
        <v>797</v>
      </c>
      <c r="B766" t="s">
        <v>30</v>
      </c>
      <c r="C766" t="s">
        <v>16</v>
      </c>
      <c r="D766" t="s">
        <v>22</v>
      </c>
      <c r="E766">
        <v>4</v>
      </c>
      <c r="F766" t="s">
        <v>25</v>
      </c>
      <c r="G766">
        <f>Earnings!G766</f>
        <v>737287.68119999999</v>
      </c>
      <c r="H766">
        <f>Deductions!B766+Deductions!C766+Deductions!D766+Tax!D766</f>
        <v>7616.0308333333332</v>
      </c>
      <c r="I766">
        <f t="shared" si="22"/>
        <v>729671.65036666661</v>
      </c>
      <c r="J766">
        <f>Overtime!D766</f>
        <v>0</v>
      </c>
      <c r="K766">
        <f>IF(C766="Junior",0.06,IF(C766="Mid",0.08,IF(C766="Senior",0.1,IF(C766="Manager",0.12,0))))</f>
        <v>0.06</v>
      </c>
      <c r="L766">
        <f>IF(Performance!E766&gt;2,0.03,IF(Performance!E766&gt;=1,0.01,-0.02))</f>
        <v>0.01</v>
      </c>
      <c r="M766">
        <f t="shared" si="23"/>
        <v>6.9999999999999993E-2</v>
      </c>
      <c r="N766">
        <f>Earnings!B766*(1+M766)</f>
        <v>828674.17949999997</v>
      </c>
    </row>
    <row r="767" spans="1:14" x14ac:dyDescent="0.35">
      <c r="A767" t="s">
        <v>798</v>
      </c>
      <c r="B767" t="s">
        <v>36</v>
      </c>
      <c r="C767" t="s">
        <v>21</v>
      </c>
      <c r="D767" t="s">
        <v>17</v>
      </c>
      <c r="E767">
        <v>5</v>
      </c>
      <c r="F767" t="s">
        <v>38</v>
      </c>
      <c r="G767">
        <f>Earnings!G767</f>
        <v>730259.20799999998</v>
      </c>
      <c r="H767">
        <f>Deductions!B767+Deductions!C767+Deductions!D767+Tax!D767</f>
        <v>7492.9833333333336</v>
      </c>
      <c r="I767">
        <f t="shared" si="22"/>
        <v>807144.91466666665</v>
      </c>
      <c r="J767">
        <f>Overtime!D767</f>
        <v>84378.689999999988</v>
      </c>
      <c r="K767">
        <f>IF(C767="Junior",0.06,IF(C767="Mid",0.08,IF(C767="Senior",0.1,IF(C767="Manager",0.12,0))))</f>
        <v>0.1</v>
      </c>
      <c r="L767">
        <f>IF(Performance!E767&gt;2,0.03,IF(Performance!E767&gt;=1,0.01,-0.02))</f>
        <v>0.01</v>
      </c>
      <c r="M767">
        <f t="shared" si="23"/>
        <v>0.11</v>
      </c>
      <c r="N767">
        <f>Earnings!B767*(1+M767)</f>
        <v>851457.69000000006</v>
      </c>
    </row>
    <row r="768" spans="1:14" x14ac:dyDescent="0.35">
      <c r="A768" t="s">
        <v>799</v>
      </c>
      <c r="B768" t="s">
        <v>36</v>
      </c>
      <c r="C768" t="s">
        <v>34</v>
      </c>
      <c r="D768" t="s">
        <v>17</v>
      </c>
      <c r="E768">
        <v>4</v>
      </c>
      <c r="F768" t="s">
        <v>25</v>
      </c>
      <c r="G768">
        <f>Earnings!G768</f>
        <v>746151.89599999995</v>
      </c>
      <c r="H768">
        <f>Deductions!B768+Deductions!C768+Deductions!D768+Tax!D768</f>
        <v>7771.2166666666672</v>
      </c>
      <c r="I768">
        <f t="shared" si="22"/>
        <v>738380.67933333328</v>
      </c>
      <c r="J768">
        <f>Overtime!D768</f>
        <v>0</v>
      </c>
      <c r="K768">
        <f>IF(C768="Junior",0.06,IF(C768="Mid",0.08,IF(C768="Senior",0.1,IF(C768="Manager",0.12,0))))</f>
        <v>0.08</v>
      </c>
      <c r="L768">
        <f>IF(Performance!E768&gt;2,0.03,IF(Performance!E768&gt;=1,0.01,-0.02))</f>
        <v>0.01</v>
      </c>
      <c r="M768">
        <f t="shared" si="23"/>
        <v>0.09</v>
      </c>
      <c r="N768">
        <f>Earnings!B768*(1+M768)</f>
        <v>854312.57000000007</v>
      </c>
    </row>
    <row r="769" spans="1:14" x14ac:dyDescent="0.35">
      <c r="A769" t="s">
        <v>800</v>
      </c>
      <c r="B769" t="s">
        <v>15</v>
      </c>
      <c r="C769" t="s">
        <v>16</v>
      </c>
      <c r="D769" t="s">
        <v>17</v>
      </c>
      <c r="E769">
        <v>2</v>
      </c>
      <c r="F769" t="s">
        <v>23</v>
      </c>
      <c r="G769">
        <f>Earnings!G769</f>
        <v>556563.95199999993</v>
      </c>
      <c r="H769">
        <f>Deductions!B769+Deductions!C769+Deductions!D769+Tax!D769</f>
        <v>4452.1000000000004</v>
      </c>
      <c r="I769">
        <f t="shared" si="22"/>
        <v>552111.85199999996</v>
      </c>
      <c r="J769">
        <f>Overtime!D769</f>
        <v>0</v>
      </c>
      <c r="K769">
        <f>IF(C769="Junior",0.06,IF(C769="Mid",0.08,IF(C769="Senior",0.1,IF(C769="Manager",0.12,0))))</f>
        <v>0.06</v>
      </c>
      <c r="L769">
        <f>IF(Performance!E769&gt;2,0.03,IF(Performance!E769&gt;=1,0.01,-0.02))</f>
        <v>0.01</v>
      </c>
      <c r="M769">
        <f t="shared" si="23"/>
        <v>6.9999999999999993E-2</v>
      </c>
      <c r="N769">
        <f>Earnings!B769*(1+M769)</f>
        <v>625549.82000000007</v>
      </c>
    </row>
    <row r="770" spans="1:14" x14ac:dyDescent="0.35">
      <c r="A770" t="s">
        <v>801</v>
      </c>
      <c r="B770" t="s">
        <v>20</v>
      </c>
      <c r="C770" t="s">
        <v>34</v>
      </c>
      <c r="D770" t="s">
        <v>22</v>
      </c>
      <c r="E770">
        <v>5</v>
      </c>
      <c r="F770" t="s">
        <v>45</v>
      </c>
      <c r="G770">
        <f>Earnings!G770</f>
        <v>933314.57239999995</v>
      </c>
      <c r="H770">
        <f>Deductions!B770+Deductions!C770+Deductions!D770+Tax!D770</f>
        <v>11047.874166666666</v>
      </c>
      <c r="I770">
        <f t="shared" ref="I770:I833" si="24">G770-H770+J770</f>
        <v>1010500.2187333333</v>
      </c>
      <c r="J770">
        <f>Overtime!D770</f>
        <v>88233.520499999999</v>
      </c>
      <c r="K770">
        <f>IF(C770="Junior",0.06,IF(C770="Mid",0.08,IF(C770="Senior",0.1,IF(C770="Manager",0.12,0))))</f>
        <v>0.08</v>
      </c>
      <c r="L770">
        <f>IF(Performance!E770&gt;2,0.03,IF(Performance!E770&gt;=1,0.01,-0.02))</f>
        <v>0.03</v>
      </c>
      <c r="M770">
        <f t="shared" ref="M770:M833" si="25">K770+L770</f>
        <v>0.11</v>
      </c>
      <c r="N770">
        <f>Earnings!B770*(1+M770)</f>
        <v>1088213.4195000001</v>
      </c>
    </row>
    <row r="771" spans="1:14" x14ac:dyDescent="0.35">
      <c r="A771" t="s">
        <v>802</v>
      </c>
      <c r="B771" t="s">
        <v>15</v>
      </c>
      <c r="C771" t="s">
        <v>34</v>
      </c>
      <c r="D771" t="s">
        <v>17</v>
      </c>
      <c r="E771">
        <v>4</v>
      </c>
      <c r="F771" t="s">
        <v>45</v>
      </c>
      <c r="G771">
        <f>Earnings!G771</f>
        <v>408676.46399999998</v>
      </c>
      <c r="H771">
        <f>Deductions!B771+Deductions!C771+Deductions!D771+Tax!D771</f>
        <v>2747.0083333333332</v>
      </c>
      <c r="I771">
        <f t="shared" si="24"/>
        <v>405929.45566666662</v>
      </c>
      <c r="J771">
        <f>Overtime!D771</f>
        <v>0</v>
      </c>
      <c r="K771">
        <f>IF(C771="Junior",0.06,IF(C771="Mid",0.08,IF(C771="Senior",0.1,IF(C771="Manager",0.12,0))))</f>
        <v>0.08</v>
      </c>
      <c r="L771">
        <f>IF(Performance!E771&gt;2,0.03,IF(Performance!E771&gt;=1,0.01,-0.02))</f>
        <v>0.01</v>
      </c>
      <c r="M771">
        <f t="shared" si="25"/>
        <v>0.09</v>
      </c>
      <c r="N771">
        <f>Earnings!B771*(1+M771)</f>
        <v>467917.38000000006</v>
      </c>
    </row>
    <row r="772" spans="1:14" x14ac:dyDescent="0.35">
      <c r="A772" t="s">
        <v>803</v>
      </c>
      <c r="B772" t="s">
        <v>27</v>
      </c>
      <c r="C772" t="s">
        <v>44</v>
      </c>
      <c r="D772" t="s">
        <v>22</v>
      </c>
      <c r="E772">
        <v>11</v>
      </c>
      <c r="F772" t="s">
        <v>28</v>
      </c>
      <c r="G772">
        <f>Earnings!G772</f>
        <v>813809.86959999998</v>
      </c>
      <c r="H772">
        <f>Deductions!B772+Deductions!C772+Deductions!D772+Tax!D772</f>
        <v>8955.7049999999981</v>
      </c>
      <c r="I772">
        <f t="shared" si="24"/>
        <v>830499.43359999999</v>
      </c>
      <c r="J772">
        <f>Overtime!D772</f>
        <v>25645.268999999997</v>
      </c>
      <c r="K772">
        <f>IF(C772="Junior",0.06,IF(C772="Mid",0.08,IF(C772="Senior",0.1,IF(C772="Manager",0.12,0))))</f>
        <v>0.12</v>
      </c>
      <c r="L772">
        <f>IF(Performance!E772&gt;2,0.03,IF(Performance!E772&gt;=1,0.01,-0.02))</f>
        <v>0.01</v>
      </c>
      <c r="M772">
        <f t="shared" si="25"/>
        <v>0.13</v>
      </c>
      <c r="N772">
        <f>Earnings!B772*(1+M772)</f>
        <v>965971.79899999988</v>
      </c>
    </row>
    <row r="773" spans="1:14" x14ac:dyDescent="0.35">
      <c r="A773" t="s">
        <v>804</v>
      </c>
      <c r="B773" t="s">
        <v>20</v>
      </c>
      <c r="C773" t="s">
        <v>44</v>
      </c>
      <c r="D773" t="s">
        <v>17</v>
      </c>
      <c r="E773">
        <v>12</v>
      </c>
      <c r="F773" t="s">
        <v>18</v>
      </c>
      <c r="G773">
        <f>Earnings!G773</f>
        <v>793567.20799999998</v>
      </c>
      <c r="H773">
        <f>Deductions!B773+Deductions!C773+Deductions!D773+Tax!D773</f>
        <v>8601.3166666666657</v>
      </c>
      <c r="I773">
        <f t="shared" si="24"/>
        <v>784965.89133333333</v>
      </c>
      <c r="J773">
        <f>Overtime!D773</f>
        <v>0</v>
      </c>
      <c r="K773">
        <f>IF(C773="Junior",0.06,IF(C773="Mid",0.08,IF(C773="Senior",0.1,IF(C773="Manager",0.12,0))))</f>
        <v>0.12</v>
      </c>
      <c r="L773">
        <f>IF(Performance!E773&gt;2,0.03,IF(Performance!E773&gt;=1,0.01,-0.02))</f>
        <v>0.03</v>
      </c>
      <c r="M773">
        <f t="shared" si="25"/>
        <v>0.15</v>
      </c>
      <c r="N773">
        <f>Earnings!B773*(1+M773)</f>
        <v>958615.85</v>
      </c>
    </row>
    <row r="774" spans="1:14" x14ac:dyDescent="0.35">
      <c r="A774" t="s">
        <v>805</v>
      </c>
      <c r="B774" t="s">
        <v>36</v>
      </c>
      <c r="C774" t="s">
        <v>44</v>
      </c>
      <c r="D774" t="s">
        <v>22</v>
      </c>
      <c r="E774">
        <v>2</v>
      </c>
      <c r="F774" t="s">
        <v>25</v>
      </c>
      <c r="G774">
        <f>Earnings!G774</f>
        <v>780749.52759999991</v>
      </c>
      <c r="H774">
        <f>Deductions!B774+Deductions!C774+Deductions!D774+Tax!D774</f>
        <v>8376.9174999999996</v>
      </c>
      <c r="I774">
        <f t="shared" si="24"/>
        <v>772372.61009999993</v>
      </c>
      <c r="J774">
        <f>Overtime!D774</f>
        <v>0</v>
      </c>
      <c r="K774">
        <f>IF(C774="Junior",0.06,IF(C774="Mid",0.08,IF(C774="Senior",0.1,IF(C774="Manager",0.12,0))))</f>
        <v>0.12</v>
      </c>
      <c r="L774">
        <f>IF(Performance!E774&gt;2,0.03,IF(Performance!E774&gt;=1,0.01,-0.02))</f>
        <v>0.01</v>
      </c>
      <c r="M774">
        <f t="shared" si="25"/>
        <v>0.13</v>
      </c>
      <c r="N774">
        <f>Earnings!B774*(1+M774)</f>
        <v>926730.00649999978</v>
      </c>
    </row>
    <row r="775" spans="1:14" x14ac:dyDescent="0.35">
      <c r="A775" t="s">
        <v>806</v>
      </c>
      <c r="B775" t="s">
        <v>20</v>
      </c>
      <c r="C775" t="s">
        <v>44</v>
      </c>
      <c r="D775" t="s">
        <v>22</v>
      </c>
      <c r="E775">
        <v>11</v>
      </c>
      <c r="F775" t="s">
        <v>25</v>
      </c>
      <c r="G775">
        <f>Earnings!G775</f>
        <v>1090510.1451999999</v>
      </c>
      <c r="H775">
        <f>Deductions!B775+Deductions!C775+Deductions!D775+Tax!D775</f>
        <v>15012.346250000002</v>
      </c>
      <c r="I775">
        <f t="shared" si="24"/>
        <v>1075497.79895</v>
      </c>
      <c r="J775">
        <f>Overtime!D775</f>
        <v>0</v>
      </c>
      <c r="K775">
        <f>IF(C775="Junior",0.06,IF(C775="Mid",0.08,IF(C775="Senior",0.1,IF(C775="Manager",0.12,0))))</f>
        <v>0.12</v>
      </c>
      <c r="L775">
        <f>IF(Performance!E775&gt;2,0.03,IF(Performance!E775&gt;=1,0.01,-0.02))</f>
        <v>0.03</v>
      </c>
      <c r="M775">
        <f t="shared" si="25"/>
        <v>0.15</v>
      </c>
      <c r="N775">
        <f>Earnings!B775*(1+M775)</f>
        <v>1317317.9275</v>
      </c>
    </row>
    <row r="776" spans="1:14" x14ac:dyDescent="0.35">
      <c r="A776" t="s">
        <v>807</v>
      </c>
      <c r="B776" t="s">
        <v>15</v>
      </c>
      <c r="C776" t="s">
        <v>34</v>
      </c>
      <c r="D776" t="s">
        <v>17</v>
      </c>
      <c r="E776">
        <v>6</v>
      </c>
      <c r="F776" t="s">
        <v>71</v>
      </c>
      <c r="G776">
        <f>Earnings!G776</f>
        <v>596921.13600000006</v>
      </c>
      <c r="H776">
        <f>Deductions!B776+Deductions!C776+Deductions!D776+Tax!D776</f>
        <v>5158.6333333333332</v>
      </c>
      <c r="I776">
        <f t="shared" si="24"/>
        <v>663869.5726666667</v>
      </c>
      <c r="J776">
        <f>Overtime!D776</f>
        <v>72107.070000000007</v>
      </c>
      <c r="K776">
        <f>IF(C776="Junior",0.06,IF(C776="Mid",0.08,IF(C776="Senior",0.1,IF(C776="Manager",0.12,0))))</f>
        <v>0.08</v>
      </c>
      <c r="L776">
        <f>IF(Performance!E776&gt;2,0.03,IF(Performance!E776&gt;=1,0.01,-0.02))</f>
        <v>0.01</v>
      </c>
      <c r="M776">
        <f t="shared" si="25"/>
        <v>0.09</v>
      </c>
      <c r="N776">
        <f>Earnings!B776*(1+M776)</f>
        <v>683449.62</v>
      </c>
    </row>
    <row r="777" spans="1:14" x14ac:dyDescent="0.35">
      <c r="A777" t="s">
        <v>808</v>
      </c>
      <c r="B777" t="s">
        <v>36</v>
      </c>
      <c r="C777" t="s">
        <v>21</v>
      </c>
      <c r="D777" t="s">
        <v>22</v>
      </c>
      <c r="E777">
        <v>12</v>
      </c>
      <c r="F777" t="s">
        <v>18</v>
      </c>
      <c r="G777">
        <f>Earnings!G777</f>
        <v>849132.11600000004</v>
      </c>
      <c r="H777">
        <f>Deductions!B777+Deductions!C777+Deductions!D777+Tax!D777</f>
        <v>9574.0916666666672</v>
      </c>
      <c r="I777">
        <f t="shared" si="24"/>
        <v>973349.84933333332</v>
      </c>
      <c r="J777">
        <f>Overtime!D777</f>
        <v>133791.82500000001</v>
      </c>
      <c r="K777">
        <f>IF(C777="Junior",0.06,IF(C777="Mid",0.08,IF(C777="Senior",0.1,IF(C777="Manager",0.12,0))))</f>
        <v>0.1</v>
      </c>
      <c r="L777">
        <f>IF(Performance!E777&gt;2,0.03,IF(Performance!E777&gt;=1,0.01,-0.02))</f>
        <v>0.01</v>
      </c>
      <c r="M777">
        <f t="shared" si="25"/>
        <v>0.11</v>
      </c>
      <c r="N777">
        <f>Earnings!B777*(1+M777)</f>
        <v>990059.50500000012</v>
      </c>
    </row>
    <row r="778" spans="1:14" x14ac:dyDescent="0.35">
      <c r="A778" t="s">
        <v>809</v>
      </c>
      <c r="B778" t="s">
        <v>36</v>
      </c>
      <c r="C778" t="s">
        <v>21</v>
      </c>
      <c r="D778" t="s">
        <v>17</v>
      </c>
      <c r="E778">
        <v>15</v>
      </c>
      <c r="F778" t="s">
        <v>71</v>
      </c>
      <c r="G778">
        <f>Earnings!G778</f>
        <v>1299195.352</v>
      </c>
      <c r="H778">
        <f>Deductions!B778+Deductions!C778+Deductions!D778+Tax!D778</f>
        <v>20492.524999999998</v>
      </c>
      <c r="I778">
        <f t="shared" si="24"/>
        <v>1346937.8770000001</v>
      </c>
      <c r="J778">
        <f>Overtime!D778</f>
        <v>68235.05</v>
      </c>
      <c r="K778">
        <f>IF(C778="Junior",0.06,IF(C778="Mid",0.08,IF(C778="Senior",0.1,IF(C778="Manager",0.12,0))))</f>
        <v>0.1</v>
      </c>
      <c r="L778">
        <f>IF(Performance!E778&gt;2,0.03,IF(Performance!E778&gt;=1,0.01,-0.02))</f>
        <v>0.01</v>
      </c>
      <c r="M778">
        <f t="shared" si="25"/>
        <v>0.11</v>
      </c>
      <c r="N778">
        <f>Earnings!B778*(1+M778)</f>
        <v>1514818.11</v>
      </c>
    </row>
    <row r="779" spans="1:14" x14ac:dyDescent="0.35">
      <c r="A779" t="s">
        <v>810</v>
      </c>
      <c r="B779" t="s">
        <v>15</v>
      </c>
      <c r="C779" t="s">
        <v>16</v>
      </c>
      <c r="D779" t="s">
        <v>17</v>
      </c>
      <c r="E779">
        <v>0</v>
      </c>
      <c r="F779" t="s">
        <v>18</v>
      </c>
      <c r="G779">
        <f>Earnings!G779</f>
        <v>471537.02399999998</v>
      </c>
      <c r="H779">
        <f>Deductions!B779+Deductions!C779+Deductions!D779+Tax!D779</f>
        <v>3022.1333333333332</v>
      </c>
      <c r="I779">
        <f t="shared" si="24"/>
        <v>518046.09066666663</v>
      </c>
      <c r="J779">
        <f>Overtime!D779</f>
        <v>49531.199999999997</v>
      </c>
      <c r="K779">
        <f>IF(C779="Junior",0.06,IF(C779="Mid",0.08,IF(C779="Senior",0.1,IF(C779="Manager",0.12,0))))</f>
        <v>0.06</v>
      </c>
      <c r="L779">
        <f>IF(Performance!E779&gt;2,0.03,IF(Performance!E779&gt;=1,0.01,-0.02))</f>
        <v>0.01</v>
      </c>
      <c r="M779">
        <f t="shared" si="25"/>
        <v>6.9999999999999993E-2</v>
      </c>
      <c r="N779">
        <f>Earnings!B779*(1+M779)</f>
        <v>529983.84000000008</v>
      </c>
    </row>
    <row r="780" spans="1:14" x14ac:dyDescent="0.35">
      <c r="A780" t="s">
        <v>811</v>
      </c>
      <c r="B780" t="s">
        <v>20</v>
      </c>
      <c r="C780" t="s">
        <v>21</v>
      </c>
      <c r="D780" t="s">
        <v>22</v>
      </c>
      <c r="E780">
        <v>14</v>
      </c>
      <c r="F780" t="s">
        <v>45</v>
      </c>
      <c r="G780">
        <f>Earnings!G780</f>
        <v>754808.62239999999</v>
      </c>
      <c r="H780">
        <f>Deductions!B780+Deductions!C780+Deductions!D780+Tax!D780</f>
        <v>7922.7699999999995</v>
      </c>
      <c r="I780">
        <f t="shared" si="24"/>
        <v>798422.15539999993</v>
      </c>
      <c r="J780">
        <f>Overtime!D780</f>
        <v>51536.302999999993</v>
      </c>
      <c r="K780">
        <f>IF(C780="Junior",0.06,IF(C780="Mid",0.08,IF(C780="Senior",0.1,IF(C780="Manager",0.12,0))))</f>
        <v>0.1</v>
      </c>
      <c r="L780">
        <f>IF(Performance!E780&gt;2,0.03,IF(Performance!E780&gt;=1,0.01,-0.02))</f>
        <v>0.03</v>
      </c>
      <c r="M780">
        <f t="shared" si="25"/>
        <v>0.13</v>
      </c>
      <c r="N780">
        <f>Earnings!B780*(1+M780)</f>
        <v>895938.80599999987</v>
      </c>
    </row>
    <row r="781" spans="1:14" x14ac:dyDescent="0.35">
      <c r="A781" t="s">
        <v>812</v>
      </c>
      <c r="B781" t="s">
        <v>15</v>
      </c>
      <c r="C781" t="s">
        <v>21</v>
      </c>
      <c r="D781" t="s">
        <v>17</v>
      </c>
      <c r="E781">
        <v>4</v>
      </c>
      <c r="F781" t="s">
        <v>45</v>
      </c>
      <c r="G781">
        <f>Earnings!G781</f>
        <v>414413.21600000001</v>
      </c>
      <c r="H781">
        <f>Deductions!B781+Deductions!C781+Deductions!D781+Tax!D781</f>
        <v>2772.1166666666668</v>
      </c>
      <c r="I781">
        <f t="shared" si="24"/>
        <v>411641.09933333338</v>
      </c>
      <c r="J781">
        <f>Overtime!D781</f>
        <v>0</v>
      </c>
      <c r="K781">
        <f>IF(C781="Junior",0.06,IF(C781="Mid",0.08,IF(C781="Senior",0.1,IF(C781="Manager",0.12,0))))</f>
        <v>0.1</v>
      </c>
      <c r="L781">
        <f>IF(Performance!E781&gt;2,0.03,IF(Performance!E781&gt;=1,0.01,-0.02))</f>
        <v>0.01</v>
      </c>
      <c r="M781">
        <f t="shared" si="25"/>
        <v>0.11</v>
      </c>
      <c r="N781">
        <f>Earnings!B781*(1+M781)</f>
        <v>483191.88000000006</v>
      </c>
    </row>
    <row r="782" spans="1:14" x14ac:dyDescent="0.35">
      <c r="A782" t="s">
        <v>813</v>
      </c>
      <c r="B782" t="s">
        <v>30</v>
      </c>
      <c r="C782" t="s">
        <v>16</v>
      </c>
      <c r="D782" t="s">
        <v>17</v>
      </c>
      <c r="E782">
        <v>11</v>
      </c>
      <c r="F782" t="s">
        <v>25</v>
      </c>
      <c r="G782">
        <f>Earnings!G782</f>
        <v>909687.40800000005</v>
      </c>
      <c r="H782">
        <f>Deductions!B782+Deductions!C782+Deductions!D782+Tax!D782</f>
        <v>10634.233333333334</v>
      </c>
      <c r="I782">
        <f t="shared" si="24"/>
        <v>899053.17466666678</v>
      </c>
      <c r="J782">
        <f>Overtime!D782</f>
        <v>0</v>
      </c>
      <c r="K782">
        <f>IF(C782="Junior",0.06,IF(C782="Mid",0.08,IF(C782="Senior",0.1,IF(C782="Manager",0.12,0))))</f>
        <v>0.06</v>
      </c>
      <c r="L782">
        <f>IF(Performance!E782&gt;2,0.03,IF(Performance!E782&gt;=1,0.01,-0.02))</f>
        <v>0.01</v>
      </c>
      <c r="M782">
        <f t="shared" si="25"/>
        <v>6.9999999999999993E-2</v>
      </c>
      <c r="N782">
        <f>Earnings!B782*(1+M782)</f>
        <v>1022442.78</v>
      </c>
    </row>
    <row r="783" spans="1:14" x14ac:dyDescent="0.35">
      <c r="A783" t="s">
        <v>814</v>
      </c>
      <c r="B783" t="s">
        <v>30</v>
      </c>
      <c r="C783" t="s">
        <v>21</v>
      </c>
      <c r="D783" t="s">
        <v>22</v>
      </c>
      <c r="E783">
        <v>0</v>
      </c>
      <c r="F783" t="s">
        <v>38</v>
      </c>
      <c r="G783">
        <f>Earnings!G783</f>
        <v>967697.14720000001</v>
      </c>
      <c r="H783">
        <f>Deductions!B783+Deductions!C783+Deductions!D783+Tax!D783</f>
        <v>11787.214999999998</v>
      </c>
      <c r="I783">
        <f t="shared" si="24"/>
        <v>955909.93220000004</v>
      </c>
      <c r="J783">
        <f>Overtime!D783</f>
        <v>0</v>
      </c>
      <c r="K783">
        <f>IF(C783="Junior",0.06,IF(C783="Mid",0.08,IF(C783="Senior",0.1,IF(C783="Manager",0.12,0))))</f>
        <v>0.1</v>
      </c>
      <c r="L783">
        <f>IF(Performance!E783&gt;2,0.03,IF(Performance!E783&gt;=1,0.01,-0.02))</f>
        <v>0.01</v>
      </c>
      <c r="M783">
        <f t="shared" si="25"/>
        <v>0.11</v>
      </c>
      <c r="N783">
        <f>Earnings!B783*(1+M783)</f>
        <v>1128302.3460000001</v>
      </c>
    </row>
    <row r="784" spans="1:14" x14ac:dyDescent="0.35">
      <c r="A784" t="s">
        <v>815</v>
      </c>
      <c r="B784" t="s">
        <v>15</v>
      </c>
      <c r="C784" t="s">
        <v>21</v>
      </c>
      <c r="D784" t="s">
        <v>17</v>
      </c>
      <c r="E784">
        <v>4</v>
      </c>
      <c r="F784" t="s">
        <v>23</v>
      </c>
      <c r="G784">
        <f>Earnings!G784</f>
        <v>676124.68</v>
      </c>
      <c r="H784">
        <f>Deductions!B784+Deductions!C784+Deductions!D784+Tax!D784</f>
        <v>6545.25</v>
      </c>
      <c r="I784">
        <f t="shared" si="24"/>
        <v>697988.03</v>
      </c>
      <c r="J784">
        <f>Overtime!D784</f>
        <v>28408.6</v>
      </c>
      <c r="K784">
        <f>IF(C784="Junior",0.06,IF(C784="Mid",0.08,IF(C784="Senior",0.1,IF(C784="Manager",0.12,0))))</f>
        <v>0.1</v>
      </c>
      <c r="L784">
        <f>IF(Performance!E784&gt;2,0.03,IF(Performance!E784&gt;=1,0.01,-0.02))</f>
        <v>0.01</v>
      </c>
      <c r="M784">
        <f t="shared" si="25"/>
        <v>0.11</v>
      </c>
      <c r="N784">
        <f>Earnings!B784*(1+M784)</f>
        <v>788338.65</v>
      </c>
    </row>
    <row r="785" spans="1:14" x14ac:dyDescent="0.35">
      <c r="A785" t="s">
        <v>816</v>
      </c>
      <c r="B785" t="s">
        <v>27</v>
      </c>
      <c r="C785" t="s">
        <v>16</v>
      </c>
      <c r="D785" t="s">
        <v>17</v>
      </c>
      <c r="E785">
        <v>5</v>
      </c>
      <c r="F785" t="s">
        <v>38</v>
      </c>
      <c r="G785">
        <f>Earnings!G785</f>
        <v>794188.86399999983</v>
      </c>
      <c r="H785">
        <f>Deductions!B785+Deductions!C785+Deductions!D785+Tax!D785</f>
        <v>8612.2000000000007</v>
      </c>
      <c r="I785">
        <f t="shared" si="24"/>
        <v>785576.66399999987</v>
      </c>
      <c r="J785">
        <f>Overtime!D785</f>
        <v>0</v>
      </c>
      <c r="K785">
        <f>IF(C785="Junior",0.06,IF(C785="Mid",0.08,IF(C785="Senior",0.1,IF(C785="Manager",0.12,0))))</f>
        <v>0.06</v>
      </c>
      <c r="L785">
        <f>IF(Performance!E785&gt;2,0.03,IF(Performance!E785&gt;=1,0.01,-0.02))</f>
        <v>0.01</v>
      </c>
      <c r="M785">
        <f t="shared" si="25"/>
        <v>6.9999999999999993E-2</v>
      </c>
      <c r="N785">
        <f>Earnings!B785*(1+M785)</f>
        <v>892628.24000000011</v>
      </c>
    </row>
    <row r="786" spans="1:14" x14ac:dyDescent="0.35">
      <c r="A786" t="s">
        <v>817</v>
      </c>
      <c r="B786" t="s">
        <v>15</v>
      </c>
      <c r="C786" t="s">
        <v>44</v>
      </c>
      <c r="D786" t="s">
        <v>22</v>
      </c>
      <c r="E786">
        <v>7</v>
      </c>
      <c r="F786" t="s">
        <v>18</v>
      </c>
      <c r="G786">
        <f>Earnings!G786</f>
        <v>590234.95439999993</v>
      </c>
      <c r="H786">
        <f>Deductions!B786+Deductions!C786+Deductions!D786+Tax!D786</f>
        <v>5041.5783333333329</v>
      </c>
      <c r="I786">
        <f t="shared" si="24"/>
        <v>609993.1640666665</v>
      </c>
      <c r="J786">
        <f>Overtime!D786</f>
        <v>24799.788</v>
      </c>
      <c r="K786">
        <f>IF(C786="Junior",0.06,IF(C786="Mid",0.08,IF(C786="Senior",0.1,IF(C786="Manager",0.12,0))))</f>
        <v>0.12</v>
      </c>
      <c r="L786">
        <f>IF(Performance!E786&gt;2,0.03,IF(Performance!E786&gt;=1,0.01,-0.02))</f>
        <v>0.01</v>
      </c>
      <c r="M786">
        <f t="shared" si="25"/>
        <v>0.13</v>
      </c>
      <c r="N786">
        <f>Earnings!B786*(1+M786)</f>
        <v>700594.01099999982</v>
      </c>
    </row>
    <row r="787" spans="1:14" x14ac:dyDescent="0.35">
      <c r="A787" t="s">
        <v>818</v>
      </c>
      <c r="B787" t="s">
        <v>27</v>
      </c>
      <c r="C787" t="s">
        <v>34</v>
      </c>
      <c r="D787" t="s">
        <v>22</v>
      </c>
      <c r="E787">
        <v>13</v>
      </c>
      <c r="F787" t="s">
        <v>25</v>
      </c>
      <c r="G787">
        <f>Earnings!G787</f>
        <v>936105.55079999985</v>
      </c>
      <c r="H787">
        <f>Deductions!B787+Deductions!C787+Deductions!D787+Tax!D787</f>
        <v>11096.735833333332</v>
      </c>
      <c r="I787">
        <f t="shared" si="24"/>
        <v>1072504.4374666666</v>
      </c>
      <c r="J787">
        <f>Overtime!D787</f>
        <v>147495.6225</v>
      </c>
      <c r="K787">
        <f>IF(C787="Junior",0.06,IF(C787="Mid",0.08,IF(C787="Senior",0.1,IF(C787="Manager",0.12,0))))</f>
        <v>0.08</v>
      </c>
      <c r="L787">
        <f>IF(Performance!E787&gt;2,0.03,IF(Performance!E787&gt;=1,0.01,-0.02))</f>
        <v>0.01</v>
      </c>
      <c r="M787">
        <f t="shared" si="25"/>
        <v>0.09</v>
      </c>
      <c r="N787">
        <f>Earnings!B787*(1+M787)</f>
        <v>1071801.5234999999</v>
      </c>
    </row>
    <row r="788" spans="1:14" x14ac:dyDescent="0.35">
      <c r="A788" t="s">
        <v>819</v>
      </c>
      <c r="B788" t="s">
        <v>27</v>
      </c>
      <c r="C788" t="s">
        <v>44</v>
      </c>
      <c r="D788" t="s">
        <v>22</v>
      </c>
      <c r="E788">
        <v>6</v>
      </c>
      <c r="F788" t="s">
        <v>71</v>
      </c>
      <c r="G788">
        <f>Earnings!G788</f>
        <v>517127.78039999987</v>
      </c>
      <c r="H788">
        <f>Deductions!B788+Deductions!C788+Deductions!D788+Tax!D788</f>
        <v>3761.6908333333331</v>
      </c>
      <c r="I788">
        <f t="shared" si="24"/>
        <v>578550.26356666652</v>
      </c>
      <c r="J788">
        <f>Overtime!D788</f>
        <v>65184.173999999992</v>
      </c>
      <c r="K788">
        <f>IF(C788="Junior",0.06,IF(C788="Mid",0.08,IF(C788="Senior",0.1,IF(C788="Manager",0.12,0))))</f>
        <v>0.12</v>
      </c>
      <c r="L788">
        <f>IF(Performance!E788&gt;2,0.03,IF(Performance!E788&gt;=1,0.01,-0.02))</f>
        <v>0.01</v>
      </c>
      <c r="M788">
        <f t="shared" si="25"/>
        <v>0.13</v>
      </c>
      <c r="N788">
        <f>Earnings!B788*(1+M788)</f>
        <v>613817.63849999988</v>
      </c>
    </row>
    <row r="789" spans="1:14" x14ac:dyDescent="0.35">
      <c r="A789" t="s">
        <v>820</v>
      </c>
      <c r="B789" t="s">
        <v>30</v>
      </c>
      <c r="C789" t="s">
        <v>44</v>
      </c>
      <c r="D789" t="s">
        <v>22</v>
      </c>
      <c r="E789">
        <v>8</v>
      </c>
      <c r="F789" t="s">
        <v>32</v>
      </c>
      <c r="G789">
        <f>Earnings!G789</f>
        <v>1063823.1100000001</v>
      </c>
      <c r="H789">
        <f>Deductions!B789+Deductions!C789+Deductions!D789+Tax!D789</f>
        <v>14311.53125</v>
      </c>
      <c r="I789">
        <f t="shared" si="24"/>
        <v>1049511.5787500001</v>
      </c>
      <c r="J789">
        <f>Overtime!D789</f>
        <v>0</v>
      </c>
      <c r="K789">
        <f>IF(C789="Junior",0.06,IF(C789="Mid",0.08,IF(C789="Senior",0.1,IF(C789="Manager",0.12,0))))</f>
        <v>0.12</v>
      </c>
      <c r="L789">
        <f>IF(Performance!E789&gt;2,0.03,IF(Performance!E789&gt;=1,0.01,-0.02))</f>
        <v>0.01</v>
      </c>
      <c r="M789">
        <f t="shared" si="25"/>
        <v>0.13</v>
      </c>
      <c r="N789">
        <f>Earnings!B789*(1+M789)</f>
        <v>1262731.2124999999</v>
      </c>
    </row>
    <row r="790" spans="1:14" x14ac:dyDescent="0.35">
      <c r="A790" t="s">
        <v>821</v>
      </c>
      <c r="B790" t="s">
        <v>27</v>
      </c>
      <c r="C790" t="s">
        <v>34</v>
      </c>
      <c r="D790" t="s">
        <v>22</v>
      </c>
      <c r="E790">
        <v>4</v>
      </c>
      <c r="F790" t="s">
        <v>18</v>
      </c>
      <c r="G790">
        <f>Earnings!G790</f>
        <v>450872.34080000001</v>
      </c>
      <c r="H790">
        <f>Deductions!B790+Deductions!C790+Deductions!D790+Tax!D790</f>
        <v>2931.689166666667</v>
      </c>
      <c r="I790">
        <f t="shared" si="24"/>
        <v>471620.92163333338</v>
      </c>
      <c r="J790">
        <f>Overtime!D790</f>
        <v>23680.27</v>
      </c>
      <c r="K790">
        <f>IF(C790="Junior",0.06,IF(C790="Mid",0.08,IF(C790="Senior",0.1,IF(C790="Manager",0.12,0))))</f>
        <v>0.08</v>
      </c>
      <c r="L790">
        <f>IF(Performance!E790&gt;2,0.03,IF(Performance!E790&gt;=1,0.01,-0.02))</f>
        <v>0.01</v>
      </c>
      <c r="M790">
        <f t="shared" si="25"/>
        <v>0.09</v>
      </c>
      <c r="N790">
        <f>Earnings!B790*(1+M790)</f>
        <v>516229.88600000006</v>
      </c>
    </row>
    <row r="791" spans="1:14" x14ac:dyDescent="0.35">
      <c r="A791" t="s">
        <v>822</v>
      </c>
      <c r="B791" t="s">
        <v>15</v>
      </c>
      <c r="C791" t="s">
        <v>34</v>
      </c>
      <c r="D791" t="s">
        <v>22</v>
      </c>
      <c r="E791">
        <v>12</v>
      </c>
      <c r="F791" t="s">
        <v>45</v>
      </c>
      <c r="G791">
        <f>Earnings!G791</f>
        <v>722201.38479999988</v>
      </c>
      <c r="H791">
        <f>Deductions!B791+Deductions!C791+Deductions!D791+Tax!D791</f>
        <v>7351.9149999999981</v>
      </c>
      <c r="I791">
        <f t="shared" si="24"/>
        <v>741400.99129999988</v>
      </c>
      <c r="J791">
        <f>Overtime!D791</f>
        <v>26551.521500000003</v>
      </c>
      <c r="K791">
        <f>IF(C791="Junior",0.06,IF(C791="Mid",0.08,IF(C791="Senior",0.1,IF(C791="Manager",0.12,0))))</f>
        <v>0.08</v>
      </c>
      <c r="L791">
        <f>IF(Performance!E791&gt;2,0.03,IF(Performance!E791&gt;=1,0.01,-0.02))</f>
        <v>0.01</v>
      </c>
      <c r="M791">
        <f t="shared" si="25"/>
        <v>0.09</v>
      </c>
      <c r="N791">
        <f>Earnings!B791*(1+M791)</f>
        <v>826890.24099999992</v>
      </c>
    </row>
    <row r="792" spans="1:14" x14ac:dyDescent="0.35">
      <c r="A792" t="s">
        <v>823</v>
      </c>
      <c r="B792" t="s">
        <v>36</v>
      </c>
      <c r="C792" t="s">
        <v>44</v>
      </c>
      <c r="D792" t="s">
        <v>22</v>
      </c>
      <c r="E792">
        <v>10</v>
      </c>
      <c r="F792" t="s">
        <v>28</v>
      </c>
      <c r="G792">
        <f>Earnings!G792</f>
        <v>772289.77</v>
      </c>
      <c r="H792">
        <f>Deductions!B792+Deductions!C792+Deductions!D792+Tax!D792</f>
        <v>8228.8125</v>
      </c>
      <c r="I792">
        <f t="shared" si="24"/>
        <v>764060.95750000002</v>
      </c>
      <c r="J792">
        <f>Overtime!D792</f>
        <v>0</v>
      </c>
      <c r="K792">
        <f>IF(C792="Junior",0.06,IF(C792="Mid",0.08,IF(C792="Senior",0.1,IF(C792="Manager",0.12,0))))</f>
        <v>0.12</v>
      </c>
      <c r="L792">
        <f>IF(Performance!E792&gt;2,0.03,IF(Performance!E792&gt;=1,0.01,-0.02))</f>
        <v>0.01</v>
      </c>
      <c r="M792">
        <f t="shared" si="25"/>
        <v>0.13</v>
      </c>
      <c r="N792">
        <f>Earnings!B792*(1+M792)</f>
        <v>916688.48749999993</v>
      </c>
    </row>
    <row r="793" spans="1:14" x14ac:dyDescent="0.35">
      <c r="A793" t="s">
        <v>824</v>
      </c>
      <c r="B793" t="s">
        <v>30</v>
      </c>
      <c r="C793" t="s">
        <v>21</v>
      </c>
      <c r="D793" t="s">
        <v>22</v>
      </c>
      <c r="E793">
        <v>12</v>
      </c>
      <c r="F793" t="s">
        <v>25</v>
      </c>
      <c r="G793">
        <f>Earnings!G793</f>
        <v>1379388.1668</v>
      </c>
      <c r="H793">
        <f>Deductions!B793+Deductions!C793+Deductions!D793+Tax!D793</f>
        <v>22598.428749999995</v>
      </c>
      <c r="I793">
        <f t="shared" si="24"/>
        <v>1472704.7100500001</v>
      </c>
      <c r="J793">
        <f>Overtime!D793</f>
        <v>115914.97199999999</v>
      </c>
      <c r="K793">
        <f>IF(C793="Junior",0.06,IF(C793="Mid",0.08,IF(C793="Senior",0.1,IF(C793="Manager",0.12,0))))</f>
        <v>0.1</v>
      </c>
      <c r="L793">
        <f>IF(Performance!E793&gt;2,0.03,IF(Performance!E793&gt;=1,0.01,-0.02))</f>
        <v>0.01</v>
      </c>
      <c r="M793">
        <f t="shared" si="25"/>
        <v>0.11</v>
      </c>
      <c r="N793">
        <f>Earnings!B793*(1+M793)</f>
        <v>1608320.2365000001</v>
      </c>
    </row>
    <row r="794" spans="1:14" x14ac:dyDescent="0.35">
      <c r="A794" t="s">
        <v>825</v>
      </c>
      <c r="B794" t="s">
        <v>15</v>
      </c>
      <c r="C794" t="s">
        <v>44</v>
      </c>
      <c r="D794" t="s">
        <v>22</v>
      </c>
      <c r="E794">
        <v>7</v>
      </c>
      <c r="F794" t="s">
        <v>18</v>
      </c>
      <c r="G794">
        <f>Earnings!G794</f>
        <v>664749.37479999999</v>
      </c>
      <c r="H794">
        <f>Deductions!B794+Deductions!C794+Deductions!D794+Tax!D794</f>
        <v>6346.1025000000009</v>
      </c>
      <c r="I794">
        <f t="shared" si="24"/>
        <v>658403.27229999995</v>
      </c>
      <c r="J794">
        <f>Overtime!D794</f>
        <v>0</v>
      </c>
      <c r="K794">
        <f>IF(C794="Junior",0.06,IF(C794="Mid",0.08,IF(C794="Senior",0.1,IF(C794="Manager",0.12,0))))</f>
        <v>0.12</v>
      </c>
      <c r="L794">
        <f>IF(Performance!E794&gt;2,0.03,IF(Performance!E794&gt;=1,0.01,-0.02))</f>
        <v>0.01</v>
      </c>
      <c r="M794">
        <f t="shared" si="25"/>
        <v>0.13</v>
      </c>
      <c r="N794">
        <f>Earnings!B794*(1+M794)</f>
        <v>789040.74949999992</v>
      </c>
    </row>
    <row r="795" spans="1:14" x14ac:dyDescent="0.35">
      <c r="A795" t="s">
        <v>826</v>
      </c>
      <c r="B795" t="s">
        <v>15</v>
      </c>
      <c r="C795" t="s">
        <v>34</v>
      </c>
      <c r="D795" t="s">
        <v>22</v>
      </c>
      <c r="E795">
        <v>2</v>
      </c>
      <c r="F795" t="s">
        <v>45</v>
      </c>
      <c r="G795">
        <f>Earnings!G795</f>
        <v>561621.54720000003</v>
      </c>
      <c r="H795">
        <f>Deductions!B795+Deductions!C795+Deductions!D795+Tax!D795</f>
        <v>4540.6433333333334</v>
      </c>
      <c r="I795">
        <f t="shared" si="24"/>
        <v>639672.3078666667</v>
      </c>
      <c r="J795">
        <f>Overtime!D795</f>
        <v>82591.40400000001</v>
      </c>
      <c r="K795">
        <f>IF(C795="Junior",0.06,IF(C795="Mid",0.08,IF(C795="Senior",0.1,IF(C795="Manager",0.12,0))))</f>
        <v>0.08</v>
      </c>
      <c r="L795">
        <f>IF(Performance!E795&gt;2,0.03,IF(Performance!E795&gt;=1,0.01,-0.02))</f>
        <v>0.01</v>
      </c>
      <c r="M795">
        <f t="shared" si="25"/>
        <v>0.09</v>
      </c>
      <c r="N795">
        <f>Earnings!B795*(1+M795)</f>
        <v>643033.07400000002</v>
      </c>
    </row>
    <row r="796" spans="1:14" x14ac:dyDescent="0.35">
      <c r="A796" t="s">
        <v>827</v>
      </c>
      <c r="B796" t="s">
        <v>27</v>
      </c>
      <c r="C796" t="s">
        <v>34</v>
      </c>
      <c r="D796" t="s">
        <v>22</v>
      </c>
      <c r="E796">
        <v>11</v>
      </c>
      <c r="F796" t="s">
        <v>23</v>
      </c>
      <c r="G796">
        <f>Earnings!G796</f>
        <v>796988.02959999989</v>
      </c>
      <c r="H796">
        <f>Deductions!B796+Deductions!C796+Deductions!D796+Tax!D796</f>
        <v>8661.2049999999981</v>
      </c>
      <c r="I796">
        <f t="shared" si="24"/>
        <v>788326.82459999993</v>
      </c>
      <c r="J796">
        <f>Overtime!D796</f>
        <v>0</v>
      </c>
      <c r="K796">
        <f>IF(C796="Junior",0.06,IF(C796="Mid",0.08,IF(C796="Senior",0.1,IF(C796="Manager",0.12,0))))</f>
        <v>0.08</v>
      </c>
      <c r="L796">
        <f>IF(Performance!E796&gt;2,0.03,IF(Performance!E796&gt;=1,0.01,-0.02))</f>
        <v>0.01</v>
      </c>
      <c r="M796">
        <f t="shared" si="25"/>
        <v>0.09</v>
      </c>
      <c r="N796">
        <f>Earnings!B796*(1+M796)</f>
        <v>912517.80700000003</v>
      </c>
    </row>
    <row r="797" spans="1:14" x14ac:dyDescent="0.35">
      <c r="A797" t="s">
        <v>828</v>
      </c>
      <c r="B797" t="s">
        <v>27</v>
      </c>
      <c r="C797" t="s">
        <v>34</v>
      </c>
      <c r="D797" t="s">
        <v>22</v>
      </c>
      <c r="E797">
        <v>1</v>
      </c>
      <c r="F797" t="s">
        <v>18</v>
      </c>
      <c r="G797">
        <f>Earnings!G797</f>
        <v>493474.10280000011</v>
      </c>
      <c r="H797">
        <f>Deductions!B797+Deductions!C797+Deductions!D797+Tax!D797</f>
        <v>3347.5858333333335</v>
      </c>
      <c r="I797">
        <f t="shared" si="24"/>
        <v>505677.1714666668</v>
      </c>
      <c r="J797">
        <f>Overtime!D797</f>
        <v>15550.654499999999</v>
      </c>
      <c r="K797">
        <f>IF(C797="Junior",0.06,IF(C797="Mid",0.08,IF(C797="Senior",0.1,IF(C797="Manager",0.12,0))))</f>
        <v>0.08</v>
      </c>
      <c r="L797">
        <f>IF(Performance!E797&gt;2,0.03,IF(Performance!E797&gt;=1,0.01,-0.02))</f>
        <v>0.01</v>
      </c>
      <c r="M797">
        <f t="shared" si="25"/>
        <v>0.09</v>
      </c>
      <c r="N797">
        <f>Earnings!B797*(1+M797)</f>
        <v>565007.11350000009</v>
      </c>
    </row>
    <row r="798" spans="1:14" x14ac:dyDescent="0.35">
      <c r="A798" t="s">
        <v>829</v>
      </c>
      <c r="B798" t="s">
        <v>36</v>
      </c>
      <c r="C798" t="s">
        <v>21</v>
      </c>
      <c r="D798" t="s">
        <v>17</v>
      </c>
      <c r="E798">
        <v>11</v>
      </c>
      <c r="F798" t="s">
        <v>32</v>
      </c>
      <c r="G798">
        <f>Earnings!G798</f>
        <v>1004218.152</v>
      </c>
      <c r="H798">
        <f>Deductions!B798+Deductions!C798+Deductions!D798+Tax!D798</f>
        <v>12746.275</v>
      </c>
      <c r="I798">
        <f t="shared" si="24"/>
        <v>991471.87699999998</v>
      </c>
      <c r="J798">
        <f>Overtime!D798</f>
        <v>0</v>
      </c>
      <c r="K798">
        <f>IF(C798="Junior",0.06,IF(C798="Mid",0.08,IF(C798="Senior",0.1,IF(C798="Manager",0.12,0))))</f>
        <v>0.1</v>
      </c>
      <c r="L798">
        <f>IF(Performance!E798&gt;2,0.03,IF(Performance!E798&gt;=1,0.01,-0.02))</f>
        <v>0.01</v>
      </c>
      <c r="M798">
        <f t="shared" si="25"/>
        <v>0.11</v>
      </c>
      <c r="N798">
        <f>Earnings!B798*(1+M798)</f>
        <v>1170884.6100000001</v>
      </c>
    </row>
    <row r="799" spans="1:14" x14ac:dyDescent="0.35">
      <c r="A799" t="s">
        <v>830</v>
      </c>
      <c r="B799" t="s">
        <v>20</v>
      </c>
      <c r="C799" t="s">
        <v>44</v>
      </c>
      <c r="D799" t="s">
        <v>22</v>
      </c>
      <c r="E799">
        <v>11</v>
      </c>
      <c r="F799" t="s">
        <v>23</v>
      </c>
      <c r="G799">
        <f>Earnings!G799</f>
        <v>871662.52879999974</v>
      </c>
      <c r="H799">
        <f>Deductions!B799+Deductions!C799+Deductions!D799+Tax!D799</f>
        <v>9968.5316666666658</v>
      </c>
      <c r="I799">
        <f t="shared" si="24"/>
        <v>916630.71113333316</v>
      </c>
      <c r="J799">
        <f>Overtime!D799</f>
        <v>54936.714000000007</v>
      </c>
      <c r="K799">
        <f>IF(C799="Junior",0.06,IF(C799="Mid",0.08,IF(C799="Senior",0.1,IF(C799="Manager",0.12,0))))</f>
        <v>0.12</v>
      </c>
      <c r="L799">
        <f>IF(Performance!E799&gt;2,0.03,IF(Performance!E799&gt;=1,0.01,-0.02))</f>
        <v>0.03</v>
      </c>
      <c r="M799">
        <f t="shared" si="25"/>
        <v>0.15</v>
      </c>
      <c r="N799">
        <f>Earnings!B799*(1+M799)</f>
        <v>1052953.6849999998</v>
      </c>
    </row>
    <row r="800" spans="1:14" x14ac:dyDescent="0.35">
      <c r="A800" t="s">
        <v>831</v>
      </c>
      <c r="B800" t="s">
        <v>36</v>
      </c>
      <c r="C800" t="s">
        <v>16</v>
      </c>
      <c r="D800" t="s">
        <v>17</v>
      </c>
      <c r="E800">
        <v>8</v>
      </c>
      <c r="F800" t="s">
        <v>71</v>
      </c>
      <c r="G800">
        <f>Earnings!G800</f>
        <v>941998.28799999994</v>
      </c>
      <c r="H800">
        <f>Deductions!B800+Deductions!C800+Deductions!D800+Tax!D800</f>
        <v>11199.9</v>
      </c>
      <c r="I800">
        <f t="shared" si="24"/>
        <v>1000062.9679999999</v>
      </c>
      <c r="J800">
        <f>Overtime!D800</f>
        <v>69264.579999999987</v>
      </c>
      <c r="K800">
        <f>IF(C800="Junior",0.06,IF(C800="Mid",0.08,IF(C800="Senior",0.1,IF(C800="Manager",0.12,0))))</f>
        <v>0.06</v>
      </c>
      <c r="L800">
        <f>IF(Performance!E800&gt;2,0.03,IF(Performance!E800&gt;=1,0.01,-0.02))</f>
        <v>0.01</v>
      </c>
      <c r="M800">
        <f t="shared" si="25"/>
        <v>6.9999999999999993E-2</v>
      </c>
      <c r="N800">
        <f>Earnings!B800*(1+M800)</f>
        <v>1058758.58</v>
      </c>
    </row>
    <row r="801" spans="1:14" x14ac:dyDescent="0.35">
      <c r="A801" t="s">
        <v>832</v>
      </c>
      <c r="B801" t="s">
        <v>30</v>
      </c>
      <c r="C801" t="s">
        <v>16</v>
      </c>
      <c r="D801" t="s">
        <v>17</v>
      </c>
      <c r="E801">
        <v>7</v>
      </c>
      <c r="F801" t="s">
        <v>25</v>
      </c>
      <c r="G801">
        <f>Earnings!G801</f>
        <v>1105631.8559999999</v>
      </c>
      <c r="H801">
        <f>Deductions!B801+Deductions!C801+Deductions!D801+Tax!D801</f>
        <v>15409.449999999999</v>
      </c>
      <c r="I801">
        <f t="shared" si="24"/>
        <v>1090222.406</v>
      </c>
      <c r="J801">
        <f>Overtime!D801</f>
        <v>0</v>
      </c>
      <c r="K801">
        <f>IF(C801="Junior",0.06,IF(C801="Mid",0.08,IF(C801="Senior",0.1,IF(C801="Manager",0.12,0))))</f>
        <v>0.06</v>
      </c>
      <c r="L801">
        <f>IF(Performance!E801&gt;2,0.03,IF(Performance!E801&gt;=1,0.01,-0.02))</f>
        <v>0.01</v>
      </c>
      <c r="M801">
        <f t="shared" si="25"/>
        <v>6.9999999999999993E-2</v>
      </c>
      <c r="N801">
        <f>Earnings!B801*(1+M801)</f>
        <v>1242674.46</v>
      </c>
    </row>
    <row r="802" spans="1:14" x14ac:dyDescent="0.35">
      <c r="A802" t="s">
        <v>833</v>
      </c>
      <c r="B802" t="s">
        <v>36</v>
      </c>
      <c r="C802" t="s">
        <v>44</v>
      </c>
      <c r="D802" t="s">
        <v>22</v>
      </c>
      <c r="E802">
        <v>5</v>
      </c>
      <c r="F802" t="s">
        <v>23</v>
      </c>
      <c r="G802">
        <f>Earnings!G802</f>
        <v>613592.89320000005</v>
      </c>
      <c r="H802">
        <f>Deductions!B802+Deductions!C802+Deductions!D802+Tax!D802</f>
        <v>5450.5058333333327</v>
      </c>
      <c r="I802">
        <f t="shared" si="24"/>
        <v>608142.38736666669</v>
      </c>
      <c r="J802">
        <f>Overtime!D802</f>
        <v>0</v>
      </c>
      <c r="K802">
        <f>IF(C802="Junior",0.06,IF(C802="Mid",0.08,IF(C802="Senior",0.1,IF(C802="Manager",0.12,0))))</f>
        <v>0.12</v>
      </c>
      <c r="L802">
        <f>IF(Performance!E802&gt;2,0.03,IF(Performance!E802&gt;=1,0.01,-0.02))</f>
        <v>0.01</v>
      </c>
      <c r="M802">
        <f t="shared" si="25"/>
        <v>0.13</v>
      </c>
      <c r="N802">
        <f>Earnings!B802*(1+M802)</f>
        <v>728319.29549999989</v>
      </c>
    </row>
    <row r="803" spans="1:14" x14ac:dyDescent="0.35">
      <c r="A803" t="s">
        <v>834</v>
      </c>
      <c r="B803" t="s">
        <v>20</v>
      </c>
      <c r="C803" t="s">
        <v>16</v>
      </c>
      <c r="D803" t="s">
        <v>17</v>
      </c>
      <c r="E803">
        <v>11</v>
      </c>
      <c r="F803" t="s">
        <v>32</v>
      </c>
      <c r="G803">
        <f>Earnings!G803</f>
        <v>979902.16799999995</v>
      </c>
      <c r="H803">
        <f>Deductions!B803+Deductions!C803+Deductions!D803+Tax!D803</f>
        <v>12107.725</v>
      </c>
      <c r="I803">
        <f t="shared" si="24"/>
        <v>967794.44299999997</v>
      </c>
      <c r="J803">
        <f>Overtime!D803</f>
        <v>0</v>
      </c>
      <c r="K803">
        <f>IF(C803="Junior",0.06,IF(C803="Mid",0.08,IF(C803="Senior",0.1,IF(C803="Manager",0.12,0))))</f>
        <v>0.06</v>
      </c>
      <c r="L803">
        <f>IF(Performance!E803&gt;2,0.03,IF(Performance!E803&gt;=1,0.01,-0.02))</f>
        <v>0.03</v>
      </c>
      <c r="M803">
        <f t="shared" si="25"/>
        <v>0.09</v>
      </c>
      <c r="N803">
        <f>Earnings!B803*(1+M803)</f>
        <v>1121946.81</v>
      </c>
    </row>
    <row r="804" spans="1:14" x14ac:dyDescent="0.35">
      <c r="A804" t="s">
        <v>835</v>
      </c>
      <c r="B804" t="s">
        <v>30</v>
      </c>
      <c r="C804" t="s">
        <v>21</v>
      </c>
      <c r="D804" t="s">
        <v>22</v>
      </c>
      <c r="E804">
        <v>7</v>
      </c>
      <c r="F804" t="s">
        <v>32</v>
      </c>
      <c r="G804">
        <f>Earnings!G804</f>
        <v>782499.54159999988</v>
      </c>
      <c r="H804">
        <f>Deductions!B804+Deductions!C804+Deductions!D804+Tax!D804</f>
        <v>8407.5550000000003</v>
      </c>
      <c r="I804">
        <f t="shared" si="24"/>
        <v>774091.98659999983</v>
      </c>
      <c r="J804">
        <f>Overtime!D804</f>
        <v>0</v>
      </c>
      <c r="K804">
        <f>IF(C804="Junior",0.06,IF(C804="Mid",0.08,IF(C804="Senior",0.1,IF(C804="Manager",0.12,0))))</f>
        <v>0.1</v>
      </c>
      <c r="L804">
        <f>IF(Performance!E804&gt;2,0.03,IF(Performance!E804&gt;=1,0.01,-0.02))</f>
        <v>0.01</v>
      </c>
      <c r="M804">
        <f t="shared" si="25"/>
        <v>0.11</v>
      </c>
      <c r="N804">
        <f>Earnings!B804*(1+M804)</f>
        <v>912368.16300000006</v>
      </c>
    </row>
    <row r="805" spans="1:14" x14ac:dyDescent="0.35">
      <c r="A805" t="s">
        <v>836</v>
      </c>
      <c r="B805" t="s">
        <v>20</v>
      </c>
      <c r="C805" t="s">
        <v>21</v>
      </c>
      <c r="D805" t="s">
        <v>22</v>
      </c>
      <c r="E805">
        <v>9</v>
      </c>
      <c r="F805" t="s">
        <v>18</v>
      </c>
      <c r="G805">
        <f>Earnings!G805</f>
        <v>612313.16719999991</v>
      </c>
      <c r="H805">
        <f>Deductions!B805+Deductions!C805+Deductions!D805+Tax!D805</f>
        <v>5428.1016666666674</v>
      </c>
      <c r="I805">
        <f t="shared" si="24"/>
        <v>606885.06553333323</v>
      </c>
      <c r="J805">
        <f>Overtime!D805</f>
        <v>0</v>
      </c>
      <c r="K805">
        <f>IF(C805="Junior",0.06,IF(C805="Mid",0.08,IF(C805="Senior",0.1,IF(C805="Manager",0.12,0))))</f>
        <v>0.1</v>
      </c>
      <c r="L805">
        <f>IF(Performance!E805&gt;2,0.03,IF(Performance!E805&gt;=1,0.01,-0.02))</f>
        <v>0.03</v>
      </c>
      <c r="M805">
        <f t="shared" si="25"/>
        <v>0.13</v>
      </c>
      <c r="N805">
        <f>Earnings!B805*(1+M805)</f>
        <v>726800.29299999995</v>
      </c>
    </row>
    <row r="806" spans="1:14" x14ac:dyDescent="0.35">
      <c r="A806" t="s">
        <v>837</v>
      </c>
      <c r="B806" t="s">
        <v>15</v>
      </c>
      <c r="C806" t="s">
        <v>34</v>
      </c>
      <c r="D806" t="s">
        <v>22</v>
      </c>
      <c r="E806">
        <v>0</v>
      </c>
      <c r="F806" t="s">
        <v>18</v>
      </c>
      <c r="G806">
        <f>Earnings!G806</f>
        <v>469050.78080000012</v>
      </c>
      <c r="H806">
        <f>Deductions!B806+Deductions!C806+Deductions!D806+Tax!D806</f>
        <v>3011.251666666667</v>
      </c>
      <c r="I806">
        <f t="shared" si="24"/>
        <v>539944.58913333341</v>
      </c>
      <c r="J806">
        <f>Overtime!D806</f>
        <v>73905.06</v>
      </c>
      <c r="K806">
        <f>IF(C806="Junior",0.06,IF(C806="Mid",0.08,IF(C806="Senior",0.1,IF(C806="Manager",0.12,0))))</f>
        <v>0.08</v>
      </c>
      <c r="L806">
        <f>IF(Performance!E806&gt;2,0.03,IF(Performance!E806&gt;=1,0.01,-0.02))</f>
        <v>0.01</v>
      </c>
      <c r="M806">
        <f t="shared" si="25"/>
        <v>0.09</v>
      </c>
      <c r="N806">
        <f>Earnings!B806*(1+M806)</f>
        <v>537043.4360000001</v>
      </c>
    </row>
    <row r="807" spans="1:14" x14ac:dyDescent="0.35">
      <c r="A807" t="s">
        <v>838</v>
      </c>
      <c r="B807" t="s">
        <v>15</v>
      </c>
      <c r="C807" t="s">
        <v>21</v>
      </c>
      <c r="D807" t="s">
        <v>22</v>
      </c>
      <c r="E807">
        <v>13</v>
      </c>
      <c r="F807" t="s">
        <v>28</v>
      </c>
      <c r="G807">
        <f>Earnings!G807</f>
        <v>891395.6324</v>
      </c>
      <c r="H807">
        <f>Deductions!B807+Deductions!C807+Deductions!D807+Tax!D807</f>
        <v>10313.999166666666</v>
      </c>
      <c r="I807">
        <f t="shared" si="24"/>
        <v>904490.13198333338</v>
      </c>
      <c r="J807">
        <f>Overtime!D807</f>
        <v>23408.498749999999</v>
      </c>
      <c r="K807">
        <f>IF(C807="Junior",0.06,IF(C807="Mid",0.08,IF(C807="Senior",0.1,IF(C807="Manager",0.12,0))))</f>
        <v>0.1</v>
      </c>
      <c r="L807">
        <f>IF(Performance!E807&gt;2,0.03,IF(Performance!E807&gt;=1,0.01,-0.02))</f>
        <v>0.01</v>
      </c>
      <c r="M807">
        <f t="shared" si="25"/>
        <v>0.11</v>
      </c>
      <c r="N807">
        <f>Earnings!B807*(1+M807)</f>
        <v>1039337.3445</v>
      </c>
    </row>
    <row r="808" spans="1:14" x14ac:dyDescent="0.35">
      <c r="A808" t="s">
        <v>839</v>
      </c>
      <c r="B808" t="s">
        <v>15</v>
      </c>
      <c r="C808" t="s">
        <v>44</v>
      </c>
      <c r="D808" t="s">
        <v>22</v>
      </c>
      <c r="E808">
        <v>6</v>
      </c>
      <c r="F808" t="s">
        <v>38</v>
      </c>
      <c r="G808">
        <f>Earnings!G808</f>
        <v>588589.85080000013</v>
      </c>
      <c r="H808">
        <f>Deductions!B808+Deductions!C808+Deductions!D808+Tax!D808</f>
        <v>5012.7775000000001</v>
      </c>
      <c r="I808">
        <f t="shared" si="24"/>
        <v>583577.07330000016</v>
      </c>
      <c r="J808">
        <f>Overtime!D808</f>
        <v>0</v>
      </c>
      <c r="K808">
        <f>IF(C808="Junior",0.06,IF(C808="Mid",0.08,IF(C808="Senior",0.1,IF(C808="Manager",0.12,0))))</f>
        <v>0.12</v>
      </c>
      <c r="L808">
        <f>IF(Performance!E808&gt;2,0.03,IF(Performance!E808&gt;=1,0.01,-0.02))</f>
        <v>0.01</v>
      </c>
      <c r="M808">
        <f t="shared" si="25"/>
        <v>0.13</v>
      </c>
      <c r="N808">
        <f>Earnings!B808*(1+M808)</f>
        <v>698641.31449999998</v>
      </c>
    </row>
    <row r="809" spans="1:14" x14ac:dyDescent="0.35">
      <c r="A809" t="s">
        <v>840</v>
      </c>
      <c r="B809" t="s">
        <v>27</v>
      </c>
      <c r="C809" t="s">
        <v>34</v>
      </c>
      <c r="D809" t="s">
        <v>17</v>
      </c>
      <c r="E809">
        <v>5</v>
      </c>
      <c r="F809" t="s">
        <v>25</v>
      </c>
      <c r="G809">
        <f>Earnings!G809</f>
        <v>544467.84000000008</v>
      </c>
      <c r="H809">
        <f>Deductions!B809+Deductions!C809+Deductions!D809+Tax!D809</f>
        <v>4240.3333333333339</v>
      </c>
      <c r="I809">
        <f t="shared" si="24"/>
        <v>600279.10666666669</v>
      </c>
      <c r="J809">
        <f>Overtime!D809</f>
        <v>60051.6</v>
      </c>
      <c r="K809">
        <f>IF(C809="Junior",0.06,IF(C809="Mid",0.08,IF(C809="Senior",0.1,IF(C809="Manager",0.12,0))))</f>
        <v>0.08</v>
      </c>
      <c r="L809">
        <f>IF(Performance!E809&gt;2,0.03,IF(Performance!E809&gt;=1,0.01,-0.02))</f>
        <v>0.01</v>
      </c>
      <c r="M809">
        <f t="shared" si="25"/>
        <v>0.09</v>
      </c>
      <c r="N809">
        <f>Earnings!B809*(1+M809)</f>
        <v>623392.80000000005</v>
      </c>
    </row>
    <row r="810" spans="1:14" x14ac:dyDescent="0.35">
      <c r="A810" t="s">
        <v>841</v>
      </c>
      <c r="B810" t="s">
        <v>20</v>
      </c>
      <c r="C810" t="s">
        <v>16</v>
      </c>
      <c r="D810" t="s">
        <v>17</v>
      </c>
      <c r="E810">
        <v>7</v>
      </c>
      <c r="F810" t="s">
        <v>28</v>
      </c>
      <c r="G810">
        <f>Earnings!G810</f>
        <v>691029.19199999992</v>
      </c>
      <c r="H810">
        <f>Deductions!B810+Deductions!C810+Deductions!D810+Tax!D810</f>
        <v>6806.1833333333334</v>
      </c>
      <c r="I810">
        <f t="shared" si="24"/>
        <v>738663.33366666653</v>
      </c>
      <c r="J810">
        <f>Overtime!D810</f>
        <v>54440.325000000004</v>
      </c>
      <c r="K810">
        <f>IF(C810="Junior",0.06,IF(C810="Mid",0.08,IF(C810="Senior",0.1,IF(C810="Manager",0.12,0))))</f>
        <v>0.06</v>
      </c>
      <c r="L810">
        <f>IF(Performance!E810&gt;2,0.03,IF(Performance!E810&gt;=1,0.01,-0.02))</f>
        <v>0.03</v>
      </c>
      <c r="M810">
        <f t="shared" si="25"/>
        <v>0.09</v>
      </c>
      <c r="N810">
        <f>Earnings!B810*(1+M810)</f>
        <v>791199.39</v>
      </c>
    </row>
    <row r="811" spans="1:14" x14ac:dyDescent="0.35">
      <c r="A811" t="s">
        <v>842</v>
      </c>
      <c r="B811" t="s">
        <v>27</v>
      </c>
      <c r="C811" t="s">
        <v>44</v>
      </c>
      <c r="D811" t="s">
        <v>17</v>
      </c>
      <c r="E811">
        <v>3</v>
      </c>
      <c r="F811" t="s">
        <v>45</v>
      </c>
      <c r="G811">
        <f>Earnings!G811</f>
        <v>610232</v>
      </c>
      <c r="H811">
        <f>Deductions!B811+Deductions!C811+Deductions!D811+Tax!D811</f>
        <v>5391.6666666666661</v>
      </c>
      <c r="I811">
        <f t="shared" si="24"/>
        <v>691375.33333333337</v>
      </c>
      <c r="J811">
        <f>Overtime!D811</f>
        <v>86535</v>
      </c>
      <c r="K811">
        <f>IF(C811="Junior",0.06,IF(C811="Mid",0.08,IF(C811="Senior",0.1,IF(C811="Manager",0.12,0))))</f>
        <v>0.12</v>
      </c>
      <c r="L811">
        <f>IF(Performance!E811&gt;2,0.03,IF(Performance!E811&gt;=1,0.01,-0.02))</f>
        <v>0.01</v>
      </c>
      <c r="M811">
        <f t="shared" si="25"/>
        <v>0.13</v>
      </c>
      <c r="N811">
        <f>Earnings!B811*(1+M811)</f>
        <v>724329.99999999988</v>
      </c>
    </row>
    <row r="812" spans="1:14" x14ac:dyDescent="0.35">
      <c r="A812" t="s">
        <v>843</v>
      </c>
      <c r="B812" t="s">
        <v>20</v>
      </c>
      <c r="C812" t="s">
        <v>34</v>
      </c>
      <c r="D812" t="s">
        <v>17</v>
      </c>
      <c r="E812">
        <v>6</v>
      </c>
      <c r="F812" t="s">
        <v>23</v>
      </c>
      <c r="G812">
        <f>Earnings!G812</f>
        <v>788703.44</v>
      </c>
      <c r="H812">
        <f>Deductions!B812+Deductions!C812+Deductions!D812+Tax!D812</f>
        <v>8516.1666666666679</v>
      </c>
      <c r="I812">
        <f t="shared" si="24"/>
        <v>854749.57333333336</v>
      </c>
      <c r="J812">
        <f>Overtime!D812</f>
        <v>74562.3</v>
      </c>
      <c r="K812">
        <f>IF(C812="Junior",0.06,IF(C812="Mid",0.08,IF(C812="Senior",0.1,IF(C812="Manager",0.12,0))))</f>
        <v>0.08</v>
      </c>
      <c r="L812">
        <f>IF(Performance!E812&gt;2,0.03,IF(Performance!E812&gt;=1,0.01,-0.02))</f>
        <v>0.03</v>
      </c>
      <c r="M812">
        <f t="shared" si="25"/>
        <v>0.11</v>
      </c>
      <c r="N812">
        <f>Earnings!B812*(1+M812)</f>
        <v>919601.70000000007</v>
      </c>
    </row>
    <row r="813" spans="1:14" x14ac:dyDescent="0.35">
      <c r="A813" t="s">
        <v>844</v>
      </c>
      <c r="B813" t="s">
        <v>20</v>
      </c>
      <c r="C813" t="s">
        <v>16</v>
      </c>
      <c r="D813" t="s">
        <v>22</v>
      </c>
      <c r="E813">
        <v>14</v>
      </c>
      <c r="F813" t="s">
        <v>28</v>
      </c>
      <c r="G813">
        <f>Earnings!G813</f>
        <v>1148635.0288</v>
      </c>
      <c r="H813">
        <f>Deductions!B813+Deductions!C813+Deductions!D813+Tax!D813</f>
        <v>16538.735000000001</v>
      </c>
      <c r="I813">
        <f t="shared" si="24"/>
        <v>1132096.2937999999</v>
      </c>
      <c r="J813">
        <f>Overtime!D813</f>
        <v>0</v>
      </c>
      <c r="K813">
        <f>IF(C813="Junior",0.06,IF(C813="Mid",0.08,IF(C813="Senior",0.1,IF(C813="Manager",0.12,0))))</f>
        <v>0.06</v>
      </c>
      <c r="L813">
        <f>IF(Performance!E813&gt;2,0.03,IF(Performance!E813&gt;=1,0.01,-0.02))</f>
        <v>0.03</v>
      </c>
      <c r="M813">
        <f t="shared" si="25"/>
        <v>0.09</v>
      </c>
      <c r="N813">
        <f>Earnings!B813*(1+M813)</f>
        <v>1315138.8459999999</v>
      </c>
    </row>
    <row r="814" spans="1:14" x14ac:dyDescent="0.35">
      <c r="A814" t="s">
        <v>845</v>
      </c>
      <c r="B814" t="s">
        <v>15</v>
      </c>
      <c r="C814" t="s">
        <v>16</v>
      </c>
      <c r="D814" t="s">
        <v>17</v>
      </c>
      <c r="E814">
        <v>9</v>
      </c>
      <c r="F814" t="s">
        <v>25</v>
      </c>
      <c r="G814">
        <f>Earnings!G814</f>
        <v>622124.38399999996</v>
      </c>
      <c r="H814">
        <f>Deductions!B814+Deductions!C814+Deductions!D814+Tax!D814</f>
        <v>5599.8666666666668</v>
      </c>
      <c r="I814">
        <f t="shared" si="24"/>
        <v>665536.41733333329</v>
      </c>
      <c r="J814">
        <f>Overtime!D814</f>
        <v>49011.9</v>
      </c>
      <c r="K814">
        <f>IF(C814="Junior",0.06,IF(C814="Mid",0.08,IF(C814="Senior",0.1,IF(C814="Manager",0.12,0))))</f>
        <v>0.06</v>
      </c>
      <c r="L814">
        <f>IF(Performance!E814&gt;2,0.03,IF(Performance!E814&gt;=1,0.01,-0.02))</f>
        <v>0.01</v>
      </c>
      <c r="M814">
        <f t="shared" si="25"/>
        <v>6.9999999999999993E-2</v>
      </c>
      <c r="N814">
        <f>Earnings!B814*(1+M814)</f>
        <v>699236.44000000006</v>
      </c>
    </row>
    <row r="815" spans="1:14" x14ac:dyDescent="0.35">
      <c r="A815" t="s">
        <v>846</v>
      </c>
      <c r="B815" t="s">
        <v>30</v>
      </c>
      <c r="C815" t="s">
        <v>44</v>
      </c>
      <c r="D815" t="s">
        <v>22</v>
      </c>
      <c r="E815">
        <v>14</v>
      </c>
      <c r="F815" t="s">
        <v>23</v>
      </c>
      <c r="G815">
        <f>Earnings!G815</f>
        <v>1067824.1756</v>
      </c>
      <c r="H815">
        <f>Deductions!B815+Deductions!C815+Deductions!D815+Tax!D815</f>
        <v>14416.601250000002</v>
      </c>
      <c r="I815">
        <f t="shared" si="24"/>
        <v>1053407.5743499999</v>
      </c>
      <c r="J815">
        <f>Overtime!D815</f>
        <v>0</v>
      </c>
      <c r="K815">
        <f>IF(C815="Junior",0.06,IF(C815="Mid",0.08,IF(C815="Senior",0.1,IF(C815="Manager",0.12,0))))</f>
        <v>0.12</v>
      </c>
      <c r="L815">
        <f>IF(Performance!E815&gt;2,0.03,IF(Performance!E815&gt;=1,0.01,-0.02))</f>
        <v>0.01</v>
      </c>
      <c r="M815">
        <f t="shared" si="25"/>
        <v>0.13</v>
      </c>
      <c r="N815">
        <f>Earnings!B815*(1+M815)</f>
        <v>1267480.3765</v>
      </c>
    </row>
    <row r="816" spans="1:14" x14ac:dyDescent="0.35">
      <c r="A816" t="s">
        <v>847</v>
      </c>
      <c r="B816" t="s">
        <v>15</v>
      </c>
      <c r="C816" t="s">
        <v>21</v>
      </c>
      <c r="D816" t="s">
        <v>22</v>
      </c>
      <c r="E816">
        <v>4</v>
      </c>
      <c r="F816" t="s">
        <v>38</v>
      </c>
      <c r="G816">
        <f>Earnings!G816</f>
        <v>451867.18080000009</v>
      </c>
      <c r="H816">
        <f>Deductions!B816+Deductions!C816+Deductions!D816+Tax!D816</f>
        <v>2936.0433333333335</v>
      </c>
      <c r="I816">
        <f t="shared" si="24"/>
        <v>486903.16946666676</v>
      </c>
      <c r="J816">
        <f>Overtime!D816</f>
        <v>37972.031999999999</v>
      </c>
      <c r="K816">
        <f>IF(C816="Junior",0.06,IF(C816="Mid",0.08,IF(C816="Senior",0.1,IF(C816="Manager",0.12,0))))</f>
        <v>0.1</v>
      </c>
      <c r="L816">
        <f>IF(Performance!E816&gt;2,0.03,IF(Performance!E816&gt;=1,0.01,-0.02))</f>
        <v>0.01</v>
      </c>
      <c r="M816">
        <f t="shared" si="25"/>
        <v>0.11</v>
      </c>
      <c r="N816">
        <f>Earnings!B816*(1+M816)</f>
        <v>526861.94400000002</v>
      </c>
    </row>
    <row r="817" spans="1:14" x14ac:dyDescent="0.35">
      <c r="A817" t="s">
        <v>848</v>
      </c>
      <c r="B817" t="s">
        <v>27</v>
      </c>
      <c r="C817" t="s">
        <v>34</v>
      </c>
      <c r="D817" t="s">
        <v>22</v>
      </c>
      <c r="E817">
        <v>14</v>
      </c>
      <c r="F817" t="s">
        <v>45</v>
      </c>
      <c r="G817">
        <f>Earnings!G817</f>
        <v>724496.75199999998</v>
      </c>
      <c r="H817">
        <f>Deductions!B817+Deductions!C817+Deductions!D817+Tax!D817</f>
        <v>7392.1</v>
      </c>
      <c r="I817">
        <f t="shared" si="24"/>
        <v>781791.86199999996</v>
      </c>
      <c r="J817">
        <f>Overtime!D817</f>
        <v>64687.21</v>
      </c>
      <c r="K817">
        <f>IF(C817="Junior",0.06,IF(C817="Mid",0.08,IF(C817="Senior",0.1,IF(C817="Manager",0.12,0))))</f>
        <v>0.08</v>
      </c>
      <c r="L817">
        <f>IF(Performance!E817&gt;2,0.03,IF(Performance!E817&gt;=1,0.01,-0.02))</f>
        <v>0.01</v>
      </c>
      <c r="M817">
        <f t="shared" si="25"/>
        <v>0.09</v>
      </c>
      <c r="N817">
        <f>Earnings!B817*(1+M817)</f>
        <v>829518.34000000008</v>
      </c>
    </row>
    <row r="818" spans="1:14" x14ac:dyDescent="0.35">
      <c r="A818" t="s">
        <v>849</v>
      </c>
      <c r="B818" t="s">
        <v>30</v>
      </c>
      <c r="C818" t="s">
        <v>44</v>
      </c>
      <c r="D818" t="s">
        <v>17</v>
      </c>
      <c r="E818">
        <v>14</v>
      </c>
      <c r="F818" t="s">
        <v>28</v>
      </c>
      <c r="G818">
        <f>Earnings!G818</f>
        <v>1386807.912</v>
      </c>
      <c r="H818">
        <f>Deductions!B818+Deductions!C818+Deductions!D818+Tax!D818</f>
        <v>22793.274999999998</v>
      </c>
      <c r="I818">
        <f t="shared" si="24"/>
        <v>1516971.392</v>
      </c>
      <c r="J818">
        <f>Overtime!D818</f>
        <v>152956.755</v>
      </c>
      <c r="K818">
        <f>IF(C818="Junior",0.06,IF(C818="Mid",0.08,IF(C818="Senior",0.1,IF(C818="Manager",0.12,0))))</f>
        <v>0.12</v>
      </c>
      <c r="L818">
        <f>IF(Performance!E818&gt;2,0.03,IF(Performance!E818&gt;=1,0.01,-0.02))</f>
        <v>0.01</v>
      </c>
      <c r="M818">
        <f t="shared" si="25"/>
        <v>0.13</v>
      </c>
      <c r="N818">
        <f>Earnings!B818*(1+M818)</f>
        <v>1646106.0299999998</v>
      </c>
    </row>
    <row r="819" spans="1:14" x14ac:dyDescent="0.35">
      <c r="A819" t="s">
        <v>850</v>
      </c>
      <c r="B819" t="s">
        <v>20</v>
      </c>
      <c r="C819" t="s">
        <v>44</v>
      </c>
      <c r="D819" t="s">
        <v>17</v>
      </c>
      <c r="E819">
        <v>5</v>
      </c>
      <c r="F819" t="s">
        <v>18</v>
      </c>
      <c r="G819">
        <f>Earnings!G819</f>
        <v>688951.92799999996</v>
      </c>
      <c r="H819">
        <f>Deductions!B819+Deductions!C819+Deductions!D819+Tax!D819</f>
        <v>6769.8166666666666</v>
      </c>
      <c r="I819">
        <f t="shared" si="24"/>
        <v>682182.11133333331</v>
      </c>
      <c r="J819">
        <f>Overtime!D819</f>
        <v>0</v>
      </c>
      <c r="K819">
        <f>IF(C819="Junior",0.06,IF(C819="Mid",0.08,IF(C819="Senior",0.1,IF(C819="Manager",0.12,0))))</f>
        <v>0.12</v>
      </c>
      <c r="L819">
        <f>IF(Performance!E819&gt;2,0.03,IF(Performance!E819&gt;=1,0.01,-0.02))</f>
        <v>0.03</v>
      </c>
      <c r="M819">
        <f t="shared" si="25"/>
        <v>0.15</v>
      </c>
      <c r="N819">
        <f>Earnings!B819*(1+M819)</f>
        <v>832242.35</v>
      </c>
    </row>
    <row r="820" spans="1:14" x14ac:dyDescent="0.35">
      <c r="A820" t="s">
        <v>851</v>
      </c>
      <c r="B820" t="s">
        <v>20</v>
      </c>
      <c r="C820" t="s">
        <v>34</v>
      </c>
      <c r="D820" t="s">
        <v>17</v>
      </c>
      <c r="E820">
        <v>14</v>
      </c>
      <c r="F820" t="s">
        <v>32</v>
      </c>
      <c r="G820">
        <f>Earnings!G820</f>
        <v>973773.19200000004</v>
      </c>
      <c r="H820">
        <f>Deductions!B820+Deductions!C820+Deductions!D820+Tax!D820</f>
        <v>11946.775</v>
      </c>
      <c r="I820">
        <f t="shared" si="24"/>
        <v>1105028.3570000001</v>
      </c>
      <c r="J820">
        <f>Overtime!D820</f>
        <v>143201.94</v>
      </c>
      <c r="K820">
        <f>IF(C820="Junior",0.06,IF(C820="Mid",0.08,IF(C820="Senior",0.1,IF(C820="Manager",0.12,0))))</f>
        <v>0.08</v>
      </c>
      <c r="L820">
        <f>IF(Performance!E820&gt;2,0.03,IF(Performance!E820&gt;=1,0.01,-0.02))</f>
        <v>0.03</v>
      </c>
      <c r="M820">
        <f t="shared" si="25"/>
        <v>0.11</v>
      </c>
      <c r="N820">
        <f>Earnings!B820*(1+M820)</f>
        <v>1135386.81</v>
      </c>
    </row>
    <row r="821" spans="1:14" x14ac:dyDescent="0.35">
      <c r="A821" t="s">
        <v>852</v>
      </c>
      <c r="B821" t="s">
        <v>30</v>
      </c>
      <c r="C821" t="s">
        <v>34</v>
      </c>
      <c r="D821" t="s">
        <v>22</v>
      </c>
      <c r="E821">
        <v>2</v>
      </c>
      <c r="F821" t="s">
        <v>71</v>
      </c>
      <c r="G821">
        <f>Earnings!G821</f>
        <v>803748.41959999991</v>
      </c>
      <c r="H821">
        <f>Deductions!B821+Deductions!C821+Deductions!D821+Tax!D821</f>
        <v>8779.559166666666</v>
      </c>
      <c r="I821">
        <f t="shared" si="24"/>
        <v>794968.8604333332</v>
      </c>
      <c r="J821">
        <f>Overtime!D821</f>
        <v>0</v>
      </c>
      <c r="K821">
        <f>IF(C821="Junior",0.06,IF(C821="Mid",0.08,IF(C821="Senior",0.1,IF(C821="Manager",0.12,0))))</f>
        <v>0.08</v>
      </c>
      <c r="L821">
        <f>IF(Performance!E821&gt;2,0.03,IF(Performance!E821&gt;=1,0.01,-0.02))</f>
        <v>0.01</v>
      </c>
      <c r="M821">
        <f t="shared" si="25"/>
        <v>0.09</v>
      </c>
      <c r="N821">
        <f>Earnings!B821*(1+M821)</f>
        <v>920258.16949999996</v>
      </c>
    </row>
    <row r="822" spans="1:14" x14ac:dyDescent="0.35">
      <c r="A822" t="s">
        <v>853</v>
      </c>
      <c r="B822" t="s">
        <v>36</v>
      </c>
      <c r="C822" t="s">
        <v>16</v>
      </c>
      <c r="D822" t="s">
        <v>17</v>
      </c>
      <c r="E822">
        <v>9</v>
      </c>
      <c r="F822" t="s">
        <v>71</v>
      </c>
      <c r="G822">
        <f>Earnings!G822</f>
        <v>876427.38399999985</v>
      </c>
      <c r="H822">
        <f>Deductions!B822+Deductions!C822+Deductions!D822+Tax!D822</f>
        <v>10051.950000000001</v>
      </c>
      <c r="I822">
        <f t="shared" si="24"/>
        <v>866375.43399999989</v>
      </c>
      <c r="J822">
        <f>Overtime!D822</f>
        <v>0</v>
      </c>
      <c r="K822">
        <f>IF(C822="Junior",0.06,IF(C822="Mid",0.08,IF(C822="Senior",0.1,IF(C822="Manager",0.12,0))))</f>
        <v>0.06</v>
      </c>
      <c r="L822">
        <f>IF(Performance!E822&gt;2,0.03,IF(Performance!E822&gt;=1,0.01,-0.02))</f>
        <v>0.01</v>
      </c>
      <c r="M822">
        <f t="shared" si="25"/>
        <v>6.9999999999999993E-2</v>
      </c>
      <c r="N822">
        <f>Earnings!B822*(1+M822)</f>
        <v>985060.19000000006</v>
      </c>
    </row>
    <row r="823" spans="1:14" x14ac:dyDescent="0.35">
      <c r="A823" t="s">
        <v>854</v>
      </c>
      <c r="B823" t="s">
        <v>20</v>
      </c>
      <c r="C823" t="s">
        <v>44</v>
      </c>
      <c r="D823" t="s">
        <v>17</v>
      </c>
      <c r="E823">
        <v>12</v>
      </c>
      <c r="F823" t="s">
        <v>38</v>
      </c>
      <c r="G823">
        <f>Earnings!G823</f>
        <v>908386.02399999998</v>
      </c>
      <c r="H823">
        <f>Deductions!B823+Deductions!C823+Deductions!D823+Tax!D823</f>
        <v>10611.45</v>
      </c>
      <c r="I823">
        <f t="shared" si="24"/>
        <v>897774.57400000002</v>
      </c>
      <c r="J823">
        <f>Overtime!D823</f>
        <v>0</v>
      </c>
      <c r="K823">
        <f>IF(C823="Junior",0.06,IF(C823="Mid",0.08,IF(C823="Senior",0.1,IF(C823="Manager",0.12,0))))</f>
        <v>0.12</v>
      </c>
      <c r="L823">
        <f>IF(Performance!E823&gt;2,0.03,IF(Performance!E823&gt;=1,0.01,-0.02))</f>
        <v>0.03</v>
      </c>
      <c r="M823">
        <f t="shared" si="25"/>
        <v>0.15</v>
      </c>
      <c r="N823">
        <f>Earnings!B823*(1+M823)</f>
        <v>1097315.0499999998</v>
      </c>
    </row>
    <row r="824" spans="1:14" x14ac:dyDescent="0.35">
      <c r="A824" t="s">
        <v>855</v>
      </c>
      <c r="B824" t="s">
        <v>27</v>
      </c>
      <c r="C824" t="s">
        <v>44</v>
      </c>
      <c r="D824" t="s">
        <v>22</v>
      </c>
      <c r="E824">
        <v>8</v>
      </c>
      <c r="F824" t="s">
        <v>25</v>
      </c>
      <c r="G824">
        <f>Earnings!G824</f>
        <v>721263.522</v>
      </c>
      <c r="H824">
        <f>Deductions!B824+Deductions!C824+Deductions!D824+Tax!D824</f>
        <v>7335.4958333333334</v>
      </c>
      <c r="I824">
        <f t="shared" si="24"/>
        <v>736656.91866666661</v>
      </c>
      <c r="J824">
        <f>Overtime!D824</f>
        <v>22728.892500000002</v>
      </c>
      <c r="K824">
        <f>IF(C824="Junior",0.06,IF(C824="Mid",0.08,IF(C824="Senior",0.1,IF(C824="Manager",0.12,0))))</f>
        <v>0.12</v>
      </c>
      <c r="L824">
        <f>IF(Performance!E824&gt;2,0.03,IF(Performance!E824&gt;=1,0.01,-0.02))</f>
        <v>0.01</v>
      </c>
      <c r="M824">
        <f t="shared" si="25"/>
        <v>0.13</v>
      </c>
      <c r="N824">
        <f>Earnings!B824*(1+M824)</f>
        <v>856121.61749999993</v>
      </c>
    </row>
    <row r="825" spans="1:14" x14ac:dyDescent="0.35">
      <c r="A825" t="s">
        <v>856</v>
      </c>
      <c r="B825" t="s">
        <v>30</v>
      </c>
      <c r="C825" t="s">
        <v>16</v>
      </c>
      <c r="D825" t="s">
        <v>22</v>
      </c>
      <c r="E825">
        <v>1</v>
      </c>
      <c r="F825" t="s">
        <v>38</v>
      </c>
      <c r="G825">
        <f>Earnings!G825</f>
        <v>782049.15039999993</v>
      </c>
      <c r="H825">
        <f>Deductions!B825+Deductions!C825+Deductions!D825+Tax!D825</f>
        <v>8399.6699999999983</v>
      </c>
      <c r="I825">
        <f t="shared" si="24"/>
        <v>773649.48039999988</v>
      </c>
      <c r="J825">
        <f>Overtime!D825</f>
        <v>0</v>
      </c>
      <c r="K825">
        <f>IF(C825="Junior",0.06,IF(C825="Mid",0.08,IF(C825="Senior",0.1,IF(C825="Manager",0.12,0))))</f>
        <v>0.06</v>
      </c>
      <c r="L825">
        <f>IF(Performance!E825&gt;2,0.03,IF(Performance!E825&gt;=1,0.01,-0.02))</f>
        <v>0.01</v>
      </c>
      <c r="M825">
        <f t="shared" si="25"/>
        <v>6.9999999999999993E-2</v>
      </c>
      <c r="N825">
        <f>Earnings!B825*(1+M825)</f>
        <v>878983.81400000001</v>
      </c>
    </row>
    <row r="826" spans="1:14" x14ac:dyDescent="0.35">
      <c r="A826" t="s">
        <v>857</v>
      </c>
      <c r="B826" t="s">
        <v>30</v>
      </c>
      <c r="C826" t="s">
        <v>21</v>
      </c>
      <c r="D826" t="s">
        <v>22</v>
      </c>
      <c r="E826">
        <v>12</v>
      </c>
      <c r="F826" t="s">
        <v>28</v>
      </c>
      <c r="G826">
        <f>Earnings!G826</f>
        <v>1364567.764</v>
      </c>
      <c r="H826">
        <f>Deductions!B826+Deductions!C826+Deductions!D826+Tax!D826</f>
        <v>22209.237499999999</v>
      </c>
      <c r="I826">
        <f t="shared" si="24"/>
        <v>1457028.0865</v>
      </c>
      <c r="J826">
        <f>Overtime!D826</f>
        <v>114669.56000000001</v>
      </c>
      <c r="K826">
        <f>IF(C826="Junior",0.06,IF(C826="Mid",0.08,IF(C826="Senior",0.1,IF(C826="Manager",0.12,0))))</f>
        <v>0.1</v>
      </c>
      <c r="L826">
        <f>IF(Performance!E826&gt;2,0.03,IF(Performance!E826&gt;=1,0.01,-0.02))</f>
        <v>0.01</v>
      </c>
      <c r="M826">
        <f t="shared" si="25"/>
        <v>0.11</v>
      </c>
      <c r="N826">
        <f>Earnings!B826*(1+M826)</f>
        <v>1591040.1450000003</v>
      </c>
    </row>
    <row r="827" spans="1:14" x14ac:dyDescent="0.35">
      <c r="A827" t="s">
        <v>858</v>
      </c>
      <c r="B827" t="s">
        <v>20</v>
      </c>
      <c r="C827" t="s">
        <v>21</v>
      </c>
      <c r="D827" t="s">
        <v>22</v>
      </c>
      <c r="E827">
        <v>5</v>
      </c>
      <c r="F827" t="s">
        <v>28</v>
      </c>
      <c r="G827">
        <f>Earnings!G827</f>
        <v>868957.46840000001</v>
      </c>
      <c r="H827">
        <f>Deductions!B827+Deductions!C827+Deductions!D827+Tax!D827</f>
        <v>9921.1741666666676</v>
      </c>
      <c r="I827">
        <f t="shared" si="24"/>
        <v>859036.29423333332</v>
      </c>
      <c r="J827">
        <f>Overtime!D827</f>
        <v>0</v>
      </c>
      <c r="K827">
        <f>IF(C827="Junior",0.06,IF(C827="Mid",0.08,IF(C827="Senior",0.1,IF(C827="Manager",0.12,0))))</f>
        <v>0.1</v>
      </c>
      <c r="L827">
        <f>IF(Performance!E827&gt;2,0.03,IF(Performance!E827&gt;=1,0.01,-0.02))</f>
        <v>0.03</v>
      </c>
      <c r="M827">
        <f t="shared" si="25"/>
        <v>0.13</v>
      </c>
      <c r="N827">
        <f>Earnings!B827*(1+M827)</f>
        <v>1031430.6084999999</v>
      </c>
    </row>
    <row r="828" spans="1:14" x14ac:dyDescent="0.35">
      <c r="A828" t="s">
        <v>859</v>
      </c>
      <c r="B828" t="s">
        <v>20</v>
      </c>
      <c r="C828" t="s">
        <v>16</v>
      </c>
      <c r="D828" t="s">
        <v>17</v>
      </c>
      <c r="E828">
        <v>15</v>
      </c>
      <c r="F828" t="s">
        <v>28</v>
      </c>
      <c r="G828">
        <f>Earnings!G828</f>
        <v>1215675.44</v>
      </c>
      <c r="H828">
        <f>Deductions!B828+Deductions!C828+Deductions!D828+Tax!D828</f>
        <v>18299.25</v>
      </c>
      <c r="I828">
        <f t="shared" si="24"/>
        <v>1356997.44</v>
      </c>
      <c r="J828">
        <f>Overtime!D828</f>
        <v>159621.25</v>
      </c>
      <c r="K828">
        <f>IF(C828="Junior",0.06,IF(C828="Mid",0.08,IF(C828="Senior",0.1,IF(C828="Manager",0.12,0))))</f>
        <v>0.06</v>
      </c>
      <c r="L828">
        <f>IF(Performance!E828&gt;2,0.03,IF(Performance!E828&gt;=1,0.01,-0.02))</f>
        <v>0.03</v>
      </c>
      <c r="M828">
        <f t="shared" si="25"/>
        <v>0.09</v>
      </c>
      <c r="N828">
        <f>Earnings!B828*(1+M828)</f>
        <v>1391897.3</v>
      </c>
    </row>
    <row r="829" spans="1:14" x14ac:dyDescent="0.35">
      <c r="A829" t="s">
        <v>860</v>
      </c>
      <c r="B829" t="s">
        <v>30</v>
      </c>
      <c r="C829" t="s">
        <v>34</v>
      </c>
      <c r="D829" t="s">
        <v>22</v>
      </c>
      <c r="E829">
        <v>5</v>
      </c>
      <c r="F829" t="s">
        <v>45</v>
      </c>
      <c r="G829">
        <f>Earnings!G829</f>
        <v>824861.6375999999</v>
      </c>
      <c r="H829">
        <f>Deductions!B829+Deductions!C829+Deductions!D829+Tax!D829</f>
        <v>9149.1883333333317</v>
      </c>
      <c r="I829">
        <f t="shared" si="24"/>
        <v>815712.44926666655</v>
      </c>
      <c r="J829">
        <f>Overtime!D829</f>
        <v>0</v>
      </c>
      <c r="K829">
        <f>IF(C829="Junior",0.06,IF(C829="Mid",0.08,IF(C829="Senior",0.1,IF(C829="Manager",0.12,0))))</f>
        <v>0.08</v>
      </c>
      <c r="L829">
        <f>IF(Performance!E829&gt;2,0.03,IF(Performance!E829&gt;=1,0.01,-0.02))</f>
        <v>0.01</v>
      </c>
      <c r="M829">
        <f t="shared" si="25"/>
        <v>0.09</v>
      </c>
      <c r="N829">
        <f>Earnings!B829*(1+M829)</f>
        <v>944431.91700000002</v>
      </c>
    </row>
    <row r="830" spans="1:14" x14ac:dyDescent="0.35">
      <c r="A830" t="s">
        <v>861</v>
      </c>
      <c r="B830" t="s">
        <v>20</v>
      </c>
      <c r="C830" t="s">
        <v>16</v>
      </c>
      <c r="D830" t="s">
        <v>22</v>
      </c>
      <c r="E830">
        <v>7</v>
      </c>
      <c r="F830" t="s">
        <v>32</v>
      </c>
      <c r="G830">
        <f>Earnings!G830</f>
        <v>903930.61639999994</v>
      </c>
      <c r="H830">
        <f>Deductions!B830+Deductions!C830+Deductions!D830+Tax!D830</f>
        <v>10533.449166666667</v>
      </c>
      <c r="I830">
        <f t="shared" si="24"/>
        <v>893397.16723333322</v>
      </c>
      <c r="J830">
        <f>Overtime!D830</f>
        <v>0</v>
      </c>
      <c r="K830">
        <f>IF(C830="Junior",0.06,IF(C830="Mid",0.08,IF(C830="Senior",0.1,IF(C830="Manager",0.12,0))))</f>
        <v>0.06</v>
      </c>
      <c r="L830">
        <f>IF(Performance!E830&gt;2,0.03,IF(Performance!E830&gt;=1,0.01,-0.02))</f>
        <v>0.03</v>
      </c>
      <c r="M830">
        <f t="shared" si="25"/>
        <v>0.09</v>
      </c>
      <c r="N830">
        <f>Earnings!B830*(1+M830)</f>
        <v>1034962.5755</v>
      </c>
    </row>
    <row r="831" spans="1:14" x14ac:dyDescent="0.35">
      <c r="A831" t="s">
        <v>862</v>
      </c>
      <c r="B831" t="s">
        <v>27</v>
      </c>
      <c r="C831" t="s">
        <v>16</v>
      </c>
      <c r="D831" t="s">
        <v>22</v>
      </c>
      <c r="E831">
        <v>4</v>
      </c>
      <c r="F831" t="s">
        <v>28</v>
      </c>
      <c r="G831">
        <f>Earnings!G831</f>
        <v>617765.79480000003</v>
      </c>
      <c r="H831">
        <f>Deductions!B831+Deductions!C831+Deductions!D831+Tax!D831</f>
        <v>5523.5608333333348</v>
      </c>
      <c r="I831">
        <f t="shared" si="24"/>
        <v>677133.59896666673</v>
      </c>
      <c r="J831">
        <f>Overtime!D831</f>
        <v>64891.364999999998</v>
      </c>
      <c r="K831">
        <f>IF(C831="Junior",0.06,IF(C831="Mid",0.08,IF(C831="Senior",0.1,IF(C831="Manager",0.12,0))))</f>
        <v>0.06</v>
      </c>
      <c r="L831">
        <f>IF(Performance!E831&gt;2,0.03,IF(Performance!E831&gt;=1,0.01,-0.02))</f>
        <v>0.01</v>
      </c>
      <c r="M831">
        <f t="shared" si="25"/>
        <v>6.9999999999999993E-2</v>
      </c>
      <c r="N831">
        <f>Earnings!B831*(1+M831)</f>
        <v>694337.60550000006</v>
      </c>
    </row>
    <row r="832" spans="1:14" x14ac:dyDescent="0.35">
      <c r="A832" t="s">
        <v>863</v>
      </c>
      <c r="B832" t="s">
        <v>36</v>
      </c>
      <c r="C832" t="s">
        <v>34</v>
      </c>
      <c r="D832" t="s">
        <v>22</v>
      </c>
      <c r="E832">
        <v>2</v>
      </c>
      <c r="F832" t="s">
        <v>25</v>
      </c>
      <c r="G832">
        <f>Earnings!G832</f>
        <v>740541.71239999996</v>
      </c>
      <c r="H832">
        <f>Deductions!B832+Deductions!C832+Deductions!D832+Tax!D832</f>
        <v>7672.9991666666656</v>
      </c>
      <c r="I832">
        <f t="shared" si="24"/>
        <v>756205.11173333332</v>
      </c>
      <c r="J832">
        <f>Overtime!D832</f>
        <v>23336.398499999996</v>
      </c>
      <c r="K832">
        <f>IF(C832="Junior",0.06,IF(C832="Mid",0.08,IF(C832="Senior",0.1,IF(C832="Manager",0.12,0))))</f>
        <v>0.08</v>
      </c>
      <c r="L832">
        <f>IF(Performance!E832&gt;2,0.03,IF(Performance!E832&gt;=1,0.01,-0.02))</f>
        <v>0.01</v>
      </c>
      <c r="M832">
        <f t="shared" si="25"/>
        <v>0.09</v>
      </c>
      <c r="N832">
        <f>Earnings!B832*(1+M832)</f>
        <v>847889.14549999998</v>
      </c>
    </row>
    <row r="833" spans="1:14" x14ac:dyDescent="0.35">
      <c r="A833" t="s">
        <v>864</v>
      </c>
      <c r="B833" t="s">
        <v>36</v>
      </c>
      <c r="C833" t="s">
        <v>34</v>
      </c>
      <c r="D833" t="s">
        <v>22</v>
      </c>
      <c r="E833">
        <v>6</v>
      </c>
      <c r="F833" t="s">
        <v>45</v>
      </c>
      <c r="G833">
        <f>Earnings!G833</f>
        <v>685560.52320000005</v>
      </c>
      <c r="H833">
        <f>Deductions!B833+Deductions!C833+Deductions!D833+Tax!D833</f>
        <v>6710.4433333333336</v>
      </c>
      <c r="I833">
        <f t="shared" si="24"/>
        <v>678850.0798666667</v>
      </c>
      <c r="J833">
        <f>Overtime!D833</f>
        <v>0</v>
      </c>
      <c r="K833">
        <f>IF(C833="Junior",0.06,IF(C833="Mid",0.08,IF(C833="Senior",0.1,IF(C833="Manager",0.12,0))))</f>
        <v>0.08</v>
      </c>
      <c r="L833">
        <f>IF(Performance!E833&gt;2,0.03,IF(Performance!E833&gt;=1,0.01,-0.02))</f>
        <v>0.01</v>
      </c>
      <c r="M833">
        <f t="shared" si="25"/>
        <v>0.09</v>
      </c>
      <c r="N833">
        <f>Earnings!B833*(1+M833)</f>
        <v>784937.99400000006</v>
      </c>
    </row>
    <row r="834" spans="1:14" x14ac:dyDescent="0.35">
      <c r="A834" t="s">
        <v>865</v>
      </c>
      <c r="B834" t="s">
        <v>36</v>
      </c>
      <c r="C834" t="s">
        <v>34</v>
      </c>
      <c r="D834" t="s">
        <v>17</v>
      </c>
      <c r="E834">
        <v>15</v>
      </c>
      <c r="F834" t="s">
        <v>71</v>
      </c>
      <c r="G834">
        <f>Earnings!G834</f>
        <v>1073390.4720000001</v>
      </c>
      <c r="H834">
        <f>Deductions!B834+Deductions!C834+Deductions!D834+Tax!D834</f>
        <v>14562.775</v>
      </c>
      <c r="I834">
        <f t="shared" ref="I834:I897" si="26">G834-H834+J834</f>
        <v>1092653.0270000002</v>
      </c>
      <c r="J834">
        <f>Overtime!D834</f>
        <v>33825.33</v>
      </c>
      <c r="K834">
        <f>IF(C834="Junior",0.06,IF(C834="Mid",0.08,IF(C834="Senior",0.1,IF(C834="Manager",0.12,0))))</f>
        <v>0.08</v>
      </c>
      <c r="L834">
        <f>IF(Performance!E834&gt;2,0.03,IF(Performance!E834&gt;=1,0.01,-0.02))</f>
        <v>0.01</v>
      </c>
      <c r="M834">
        <f t="shared" ref="M834:M897" si="27">K834+L834</f>
        <v>0.09</v>
      </c>
      <c r="N834">
        <f>Earnings!B834*(1+M834)</f>
        <v>1228986.99</v>
      </c>
    </row>
    <row r="835" spans="1:14" x14ac:dyDescent="0.35">
      <c r="A835" t="s">
        <v>866</v>
      </c>
      <c r="B835" t="s">
        <v>15</v>
      </c>
      <c r="C835" t="s">
        <v>34</v>
      </c>
      <c r="D835" t="s">
        <v>22</v>
      </c>
      <c r="E835">
        <v>13</v>
      </c>
      <c r="F835" t="s">
        <v>32</v>
      </c>
      <c r="G835">
        <f>Earnings!G835</f>
        <v>684913.87719999999</v>
      </c>
      <c r="H835">
        <f>Deductions!B835+Deductions!C835+Deductions!D835+Tax!D835</f>
        <v>6699.1225000000004</v>
      </c>
      <c r="I835">
        <f t="shared" si="26"/>
        <v>678214.75469999993</v>
      </c>
      <c r="J835">
        <f>Overtime!D835</f>
        <v>0</v>
      </c>
      <c r="K835">
        <f>IF(C835="Junior",0.06,IF(C835="Mid",0.08,IF(C835="Senior",0.1,IF(C835="Manager",0.12,0))))</f>
        <v>0.08</v>
      </c>
      <c r="L835">
        <f>IF(Performance!E835&gt;2,0.03,IF(Performance!E835&gt;=1,0.01,-0.02))</f>
        <v>0.01</v>
      </c>
      <c r="M835">
        <f t="shared" si="27"/>
        <v>0.09</v>
      </c>
      <c r="N835">
        <f>Earnings!B835*(1+M835)</f>
        <v>784197.6115</v>
      </c>
    </row>
    <row r="836" spans="1:14" x14ac:dyDescent="0.35">
      <c r="A836" t="s">
        <v>867</v>
      </c>
      <c r="B836" t="s">
        <v>36</v>
      </c>
      <c r="C836" t="s">
        <v>16</v>
      </c>
      <c r="D836" t="s">
        <v>17</v>
      </c>
      <c r="E836">
        <v>14</v>
      </c>
      <c r="F836" t="s">
        <v>45</v>
      </c>
      <c r="G836">
        <f>Earnings!G836</f>
        <v>1191498.4480000001</v>
      </c>
      <c r="H836">
        <f>Deductions!B836+Deductions!C836+Deductions!D836+Tax!D836</f>
        <v>17664.349999999999</v>
      </c>
      <c r="I836">
        <f t="shared" si="26"/>
        <v>1173834.098</v>
      </c>
      <c r="J836">
        <f>Overtime!D836</f>
        <v>0</v>
      </c>
      <c r="K836">
        <f>IF(C836="Junior",0.06,IF(C836="Mid",0.08,IF(C836="Senior",0.1,IF(C836="Manager",0.12,0))))</f>
        <v>0.06</v>
      </c>
      <c r="L836">
        <f>IF(Performance!E836&gt;2,0.03,IF(Performance!E836&gt;=1,0.01,-0.02))</f>
        <v>0.01</v>
      </c>
      <c r="M836">
        <f t="shared" si="27"/>
        <v>6.9999999999999993E-2</v>
      </c>
      <c r="N836">
        <f>Earnings!B836*(1+M836)</f>
        <v>1339184.1800000002</v>
      </c>
    </row>
    <row r="837" spans="1:14" x14ac:dyDescent="0.35">
      <c r="A837" t="s">
        <v>868</v>
      </c>
      <c r="B837" t="s">
        <v>15</v>
      </c>
      <c r="C837" t="s">
        <v>16</v>
      </c>
      <c r="D837" t="s">
        <v>22</v>
      </c>
      <c r="E837">
        <v>10</v>
      </c>
      <c r="F837" t="s">
        <v>28</v>
      </c>
      <c r="G837">
        <f>Earnings!G837</f>
        <v>689875.41559999995</v>
      </c>
      <c r="H837">
        <f>Deductions!B837+Deductions!C837+Deductions!D837+Tax!D837</f>
        <v>6785.9841666666662</v>
      </c>
      <c r="I837">
        <f t="shared" si="26"/>
        <v>755555.33643333334</v>
      </c>
      <c r="J837">
        <f>Overtime!D837</f>
        <v>72465.904999999999</v>
      </c>
      <c r="K837">
        <f>IF(C837="Junior",0.06,IF(C837="Mid",0.08,IF(C837="Senior",0.1,IF(C837="Manager",0.12,0))))</f>
        <v>0.06</v>
      </c>
      <c r="L837">
        <f>IF(Performance!E837&gt;2,0.03,IF(Performance!E837&gt;=1,0.01,-0.02))</f>
        <v>0.01</v>
      </c>
      <c r="M837">
        <f t="shared" si="27"/>
        <v>6.9999999999999993E-2</v>
      </c>
      <c r="N837">
        <f>Earnings!B837*(1+M837)</f>
        <v>775385.18349999993</v>
      </c>
    </row>
    <row r="838" spans="1:14" x14ac:dyDescent="0.35">
      <c r="A838" t="s">
        <v>869</v>
      </c>
      <c r="B838" t="s">
        <v>20</v>
      </c>
      <c r="C838" t="s">
        <v>44</v>
      </c>
      <c r="D838" t="s">
        <v>17</v>
      </c>
      <c r="E838">
        <v>7</v>
      </c>
      <c r="F838" t="s">
        <v>45</v>
      </c>
      <c r="G838">
        <f>Earnings!G838</f>
        <v>609383.76800000004</v>
      </c>
      <c r="H838">
        <f>Deductions!B838+Deductions!C838+Deductions!D838+Tax!D838</f>
        <v>5376.8166666666675</v>
      </c>
      <c r="I838">
        <f t="shared" si="26"/>
        <v>604006.95133333339</v>
      </c>
      <c r="J838">
        <f>Overtime!D838</f>
        <v>0</v>
      </c>
      <c r="K838">
        <f>IF(C838="Junior",0.06,IF(C838="Mid",0.08,IF(C838="Senior",0.1,IF(C838="Manager",0.12,0))))</f>
        <v>0.12</v>
      </c>
      <c r="L838">
        <f>IF(Performance!E838&gt;2,0.03,IF(Performance!E838&gt;=1,0.01,-0.02))</f>
        <v>0.03</v>
      </c>
      <c r="M838">
        <f t="shared" si="27"/>
        <v>0.15</v>
      </c>
      <c r="N838">
        <f>Earnings!B838*(1+M838)</f>
        <v>736125.35</v>
      </c>
    </row>
    <row r="839" spans="1:14" x14ac:dyDescent="0.35">
      <c r="A839" t="s">
        <v>870</v>
      </c>
      <c r="B839" t="s">
        <v>36</v>
      </c>
      <c r="C839" t="s">
        <v>16</v>
      </c>
      <c r="D839" t="s">
        <v>17</v>
      </c>
      <c r="E839">
        <v>2</v>
      </c>
      <c r="F839" t="s">
        <v>25</v>
      </c>
      <c r="G839">
        <f>Earnings!G839</f>
        <v>858184.20799999998</v>
      </c>
      <c r="H839">
        <f>Deductions!B839+Deductions!C839+Deductions!D839+Tax!D839</f>
        <v>9732.5666666666657</v>
      </c>
      <c r="I839">
        <f t="shared" si="26"/>
        <v>889017.07133333338</v>
      </c>
      <c r="J839">
        <f>Overtime!D839</f>
        <v>40565.429999999993</v>
      </c>
      <c r="K839">
        <f>IF(C839="Junior",0.06,IF(C839="Mid",0.08,IF(C839="Senior",0.1,IF(C839="Manager",0.12,0))))</f>
        <v>0.06</v>
      </c>
      <c r="L839">
        <f>IF(Performance!E839&gt;2,0.03,IF(Performance!E839&gt;=1,0.01,-0.02))</f>
        <v>0.01</v>
      </c>
      <c r="M839">
        <f t="shared" si="27"/>
        <v>6.9999999999999993E-2</v>
      </c>
      <c r="N839">
        <f>Earnings!B839*(1+M839)</f>
        <v>964555.78</v>
      </c>
    </row>
    <row r="840" spans="1:14" x14ac:dyDescent="0.35">
      <c r="A840" t="s">
        <v>871</v>
      </c>
      <c r="B840" t="s">
        <v>30</v>
      </c>
      <c r="C840" t="s">
        <v>21</v>
      </c>
      <c r="D840" t="s">
        <v>17</v>
      </c>
      <c r="E840">
        <v>6</v>
      </c>
      <c r="F840" t="s">
        <v>18</v>
      </c>
      <c r="G840">
        <f>Earnings!G840</f>
        <v>1033507.384</v>
      </c>
      <c r="H840">
        <f>Deductions!B840+Deductions!C840+Deductions!D840+Tax!D840</f>
        <v>13515.425000000001</v>
      </c>
      <c r="I840">
        <f t="shared" si="26"/>
        <v>1177406.4239999999</v>
      </c>
      <c r="J840">
        <f>Overtime!D840</f>
        <v>157414.465</v>
      </c>
      <c r="K840">
        <f>IF(C840="Junior",0.06,IF(C840="Mid",0.08,IF(C840="Senior",0.1,IF(C840="Manager",0.12,0))))</f>
        <v>0.1</v>
      </c>
      <c r="L840">
        <f>IF(Performance!E840&gt;2,0.03,IF(Performance!E840&gt;=1,0.01,-0.02))</f>
        <v>0.01</v>
      </c>
      <c r="M840">
        <f t="shared" si="27"/>
        <v>0.11</v>
      </c>
      <c r="N840">
        <f>Earnings!B840*(1+M840)</f>
        <v>1205034.8700000001</v>
      </c>
    </row>
    <row r="841" spans="1:14" x14ac:dyDescent="0.35">
      <c r="A841" t="s">
        <v>872</v>
      </c>
      <c r="B841" t="s">
        <v>15</v>
      </c>
      <c r="C841" t="s">
        <v>16</v>
      </c>
      <c r="D841" t="s">
        <v>17</v>
      </c>
      <c r="E841">
        <v>7</v>
      </c>
      <c r="F841" t="s">
        <v>18</v>
      </c>
      <c r="G841">
        <f>Earnings!G841</f>
        <v>707977.64800000004</v>
      </c>
      <c r="H841">
        <f>Deductions!B841+Deductions!C841+Deductions!D841+Tax!D841</f>
        <v>7102.9000000000005</v>
      </c>
      <c r="I841">
        <f t="shared" si="26"/>
        <v>726903.33799999999</v>
      </c>
      <c r="J841">
        <f>Overtime!D841</f>
        <v>26028.59</v>
      </c>
      <c r="K841">
        <f>IF(C841="Junior",0.06,IF(C841="Mid",0.08,IF(C841="Senior",0.1,IF(C841="Manager",0.12,0))))</f>
        <v>0.06</v>
      </c>
      <c r="L841">
        <f>IF(Performance!E841&gt;2,0.03,IF(Performance!E841&gt;=1,0.01,-0.02))</f>
        <v>0.01</v>
      </c>
      <c r="M841">
        <f t="shared" si="27"/>
        <v>6.9999999999999993E-2</v>
      </c>
      <c r="N841">
        <f>Earnings!B841*(1+M841)</f>
        <v>795731.18</v>
      </c>
    </row>
    <row r="842" spans="1:14" x14ac:dyDescent="0.35">
      <c r="A842" t="s">
        <v>873</v>
      </c>
      <c r="B842" t="s">
        <v>30</v>
      </c>
      <c r="C842" t="s">
        <v>16</v>
      </c>
      <c r="D842" t="s">
        <v>22</v>
      </c>
      <c r="E842">
        <v>12</v>
      </c>
      <c r="F842" t="s">
        <v>38</v>
      </c>
      <c r="G842">
        <f>Earnings!G842</f>
        <v>945102.522</v>
      </c>
      <c r="H842">
        <f>Deductions!B842+Deductions!C842+Deductions!D842+Tax!D842</f>
        <v>11254.245833333334</v>
      </c>
      <c r="I842">
        <f t="shared" si="26"/>
        <v>968594.69241666666</v>
      </c>
      <c r="J842">
        <f>Overtime!D842</f>
        <v>34746.416250000002</v>
      </c>
      <c r="K842">
        <f>IF(C842="Junior",0.06,IF(C842="Mid",0.08,IF(C842="Senior",0.1,IF(C842="Manager",0.12,0))))</f>
        <v>0.06</v>
      </c>
      <c r="L842">
        <f>IF(Performance!E842&gt;2,0.03,IF(Performance!E842&gt;=1,0.01,-0.02))</f>
        <v>0.01</v>
      </c>
      <c r="M842">
        <f t="shared" si="27"/>
        <v>6.9999999999999993E-2</v>
      </c>
      <c r="N842">
        <f>Earnings!B842*(1+M842)</f>
        <v>1062247.5825</v>
      </c>
    </row>
    <row r="843" spans="1:14" x14ac:dyDescent="0.35">
      <c r="A843" t="s">
        <v>874</v>
      </c>
      <c r="B843" t="s">
        <v>36</v>
      </c>
      <c r="C843" t="s">
        <v>34</v>
      </c>
      <c r="D843" t="s">
        <v>17</v>
      </c>
      <c r="E843">
        <v>12</v>
      </c>
      <c r="F843" t="s">
        <v>28</v>
      </c>
      <c r="G843">
        <f>Earnings!G843</f>
        <v>1005222.512</v>
      </c>
      <c r="H843">
        <f>Deductions!B843+Deductions!C843+Deductions!D843+Tax!D843</f>
        <v>12772.65</v>
      </c>
      <c r="I843">
        <f t="shared" si="26"/>
        <v>992449.86199999996</v>
      </c>
      <c r="J843">
        <f>Overtime!D843</f>
        <v>0</v>
      </c>
      <c r="K843">
        <f>IF(C843="Junior",0.06,IF(C843="Mid",0.08,IF(C843="Senior",0.1,IF(C843="Manager",0.12,0))))</f>
        <v>0.08</v>
      </c>
      <c r="L843">
        <f>IF(Performance!E843&gt;2,0.03,IF(Performance!E843&gt;=1,0.01,-0.02))</f>
        <v>0.01</v>
      </c>
      <c r="M843">
        <f t="shared" si="27"/>
        <v>0.09</v>
      </c>
      <c r="N843">
        <f>Earnings!B843*(1+M843)</f>
        <v>1150937.54</v>
      </c>
    </row>
    <row r="844" spans="1:14" x14ac:dyDescent="0.35">
      <c r="A844" t="s">
        <v>875</v>
      </c>
      <c r="B844" t="s">
        <v>20</v>
      </c>
      <c r="C844" t="s">
        <v>34</v>
      </c>
      <c r="D844" t="s">
        <v>17</v>
      </c>
      <c r="E844">
        <v>9</v>
      </c>
      <c r="F844" t="s">
        <v>18</v>
      </c>
      <c r="G844">
        <f>Earnings!G844</f>
        <v>641872.6719999999</v>
      </c>
      <c r="H844">
        <f>Deductions!B844+Deductions!C844+Deductions!D844+Tax!D844</f>
        <v>5945.6</v>
      </c>
      <c r="I844">
        <f t="shared" si="26"/>
        <v>726948.93199999991</v>
      </c>
      <c r="J844">
        <f>Overtime!D844</f>
        <v>91021.860000000015</v>
      </c>
      <c r="K844">
        <f>IF(C844="Junior",0.06,IF(C844="Mid",0.08,IF(C844="Senior",0.1,IF(C844="Manager",0.12,0))))</f>
        <v>0.08</v>
      </c>
      <c r="L844">
        <f>IF(Performance!E844&gt;2,0.03,IF(Performance!E844&gt;=1,0.01,-0.02))</f>
        <v>0.03</v>
      </c>
      <c r="M844">
        <f t="shared" si="27"/>
        <v>0.11</v>
      </c>
      <c r="N844">
        <f>Earnings!B844*(1+M844)</f>
        <v>748401.96000000008</v>
      </c>
    </row>
    <row r="845" spans="1:14" x14ac:dyDescent="0.35">
      <c r="A845" t="s">
        <v>876</v>
      </c>
      <c r="B845" t="s">
        <v>15</v>
      </c>
      <c r="C845" t="s">
        <v>21</v>
      </c>
      <c r="D845" t="s">
        <v>22</v>
      </c>
      <c r="E845">
        <v>7</v>
      </c>
      <c r="F845" t="s">
        <v>45</v>
      </c>
      <c r="G845">
        <f>Earnings!G845</f>
        <v>477735.734</v>
      </c>
      <c r="H845">
        <f>Deductions!B845+Deductions!C845+Deductions!D845+Tax!D845</f>
        <v>3072.0541666666668</v>
      </c>
      <c r="I845">
        <f t="shared" si="26"/>
        <v>474663.67983333336</v>
      </c>
      <c r="J845">
        <f>Overtime!D845</f>
        <v>0</v>
      </c>
      <c r="K845">
        <f>IF(C845="Junior",0.06,IF(C845="Mid",0.08,IF(C845="Senior",0.1,IF(C845="Manager",0.12,0))))</f>
        <v>0.1</v>
      </c>
      <c r="L845">
        <f>IF(Performance!E845&gt;2,0.03,IF(Performance!E845&gt;=1,0.01,-0.02))</f>
        <v>0.01</v>
      </c>
      <c r="M845">
        <f t="shared" si="27"/>
        <v>0.11</v>
      </c>
      <c r="N845">
        <f>Earnings!B845*(1+M845)</f>
        <v>557023.8075</v>
      </c>
    </row>
    <row r="846" spans="1:14" x14ac:dyDescent="0.35">
      <c r="A846" t="s">
        <v>877</v>
      </c>
      <c r="B846" t="s">
        <v>15</v>
      </c>
      <c r="C846" t="s">
        <v>44</v>
      </c>
      <c r="D846" t="s">
        <v>22</v>
      </c>
      <c r="E846">
        <v>9</v>
      </c>
      <c r="F846" t="s">
        <v>23</v>
      </c>
      <c r="G846">
        <f>Earnings!G846</f>
        <v>584075.99039999989</v>
      </c>
      <c r="H846">
        <f>Deductions!B846+Deductions!C846+Deductions!D846+Tax!D846</f>
        <v>4933.7533333333322</v>
      </c>
      <c r="I846">
        <f t="shared" si="26"/>
        <v>579142.2370666666</v>
      </c>
      <c r="J846">
        <f>Overtime!D846</f>
        <v>0</v>
      </c>
      <c r="K846">
        <f>IF(C846="Junior",0.06,IF(C846="Mid",0.08,IF(C846="Senior",0.1,IF(C846="Manager",0.12,0))))</f>
        <v>0.12</v>
      </c>
      <c r="L846">
        <f>IF(Performance!E846&gt;2,0.03,IF(Performance!E846&gt;=1,0.01,-0.02))</f>
        <v>0.01</v>
      </c>
      <c r="M846">
        <f t="shared" si="27"/>
        <v>0.13</v>
      </c>
      <c r="N846">
        <f>Earnings!B846*(1+M846)</f>
        <v>693283.47599999991</v>
      </c>
    </row>
    <row r="847" spans="1:14" x14ac:dyDescent="0.35">
      <c r="A847" t="s">
        <v>878</v>
      </c>
      <c r="B847" t="s">
        <v>20</v>
      </c>
      <c r="C847" t="s">
        <v>44</v>
      </c>
      <c r="D847" t="s">
        <v>17</v>
      </c>
      <c r="E847">
        <v>3</v>
      </c>
      <c r="F847" t="s">
        <v>23</v>
      </c>
      <c r="G847">
        <f>Earnings!G847</f>
        <v>884654.56799999997</v>
      </c>
      <c r="H847">
        <f>Deductions!B847+Deductions!C847+Deductions!D847+Tax!D847</f>
        <v>10195.983333333334</v>
      </c>
      <c r="I847">
        <f t="shared" si="26"/>
        <v>874458.58466666669</v>
      </c>
      <c r="J847">
        <f>Overtime!D847</f>
        <v>0</v>
      </c>
      <c r="K847">
        <f>IF(C847="Junior",0.06,IF(C847="Mid",0.08,IF(C847="Senior",0.1,IF(C847="Manager",0.12,0))))</f>
        <v>0.12</v>
      </c>
      <c r="L847">
        <f>IF(Performance!E847&gt;2,0.03,IF(Performance!E847&gt;=1,0.01,-0.02))</f>
        <v>0.03</v>
      </c>
      <c r="M847">
        <f t="shared" si="27"/>
        <v>0.15</v>
      </c>
      <c r="N847">
        <f>Earnings!B847*(1+M847)</f>
        <v>1068647.8499999999</v>
      </c>
    </row>
    <row r="848" spans="1:14" x14ac:dyDescent="0.35">
      <c r="A848" t="s">
        <v>879</v>
      </c>
      <c r="B848" t="s">
        <v>36</v>
      </c>
      <c r="C848" t="s">
        <v>44</v>
      </c>
      <c r="D848" t="s">
        <v>22</v>
      </c>
      <c r="E848">
        <v>3</v>
      </c>
      <c r="F848" t="s">
        <v>23</v>
      </c>
      <c r="G848">
        <f>Earnings!G848</f>
        <v>701352.25159999984</v>
      </c>
      <c r="H848">
        <f>Deductions!B848+Deductions!C848+Deductions!D848+Tax!D848</f>
        <v>6986.9091666666654</v>
      </c>
      <c r="I848">
        <f t="shared" si="26"/>
        <v>731201.0699333332</v>
      </c>
      <c r="J848">
        <f>Overtime!D848</f>
        <v>36835.727500000001</v>
      </c>
      <c r="K848">
        <f>IF(C848="Junior",0.06,IF(C848="Mid",0.08,IF(C848="Senior",0.1,IF(C848="Manager",0.12,0))))</f>
        <v>0.12</v>
      </c>
      <c r="L848">
        <f>IF(Performance!E848&gt;2,0.03,IF(Performance!E848&gt;=1,0.01,-0.02))</f>
        <v>0.01</v>
      </c>
      <c r="M848">
        <f t="shared" si="27"/>
        <v>0.13</v>
      </c>
      <c r="N848">
        <f>Earnings!B848*(1+M848)</f>
        <v>832487.44149999984</v>
      </c>
    </row>
    <row r="849" spans="1:14" x14ac:dyDescent="0.35">
      <c r="A849" t="s">
        <v>880</v>
      </c>
      <c r="B849" t="s">
        <v>15</v>
      </c>
      <c r="C849" t="s">
        <v>44</v>
      </c>
      <c r="D849" t="s">
        <v>22</v>
      </c>
      <c r="E849">
        <v>7</v>
      </c>
      <c r="F849" t="s">
        <v>25</v>
      </c>
      <c r="G849">
        <f>Earnings!G849</f>
        <v>498474.53039999999</v>
      </c>
      <c r="H849">
        <f>Deductions!B849+Deductions!C849+Deductions!D849+Tax!D849</f>
        <v>3435.1283333333331</v>
      </c>
      <c r="I849">
        <f t="shared" si="26"/>
        <v>555254.28756666661</v>
      </c>
      <c r="J849">
        <f>Overtime!D849</f>
        <v>60214.885499999989</v>
      </c>
      <c r="K849">
        <f>IF(C849="Junior",0.06,IF(C849="Mid",0.08,IF(C849="Senior",0.1,IF(C849="Manager",0.12,0))))</f>
        <v>0.12</v>
      </c>
      <c r="L849">
        <f>IF(Performance!E849&gt;2,0.03,IF(Performance!E849&gt;=1,0.01,-0.02))</f>
        <v>0.01</v>
      </c>
      <c r="M849">
        <f t="shared" si="27"/>
        <v>0.13</v>
      </c>
      <c r="N849">
        <f>Earnings!B849*(1+M849)</f>
        <v>591676.701</v>
      </c>
    </row>
    <row r="850" spans="1:14" x14ac:dyDescent="0.35">
      <c r="A850" t="s">
        <v>881</v>
      </c>
      <c r="B850" t="s">
        <v>15</v>
      </c>
      <c r="C850" t="s">
        <v>34</v>
      </c>
      <c r="D850" t="s">
        <v>22</v>
      </c>
      <c r="E850">
        <v>11</v>
      </c>
      <c r="F850" t="s">
        <v>71</v>
      </c>
      <c r="G850">
        <f>Earnings!G850</f>
        <v>831449.28720000002</v>
      </c>
      <c r="H850">
        <f>Deductions!B850+Deductions!C850+Deductions!D850+Tax!D850</f>
        <v>9264.5183333333334</v>
      </c>
      <c r="I850">
        <f t="shared" si="26"/>
        <v>822184.76886666671</v>
      </c>
      <c r="J850">
        <f>Overtime!D850</f>
        <v>0</v>
      </c>
      <c r="K850">
        <f>IF(C850="Junior",0.06,IF(C850="Mid",0.08,IF(C850="Senior",0.1,IF(C850="Manager",0.12,0))))</f>
        <v>0.08</v>
      </c>
      <c r="L850">
        <f>IF(Performance!E850&gt;2,0.03,IF(Performance!E850&gt;=1,0.01,-0.02))</f>
        <v>0.01</v>
      </c>
      <c r="M850">
        <f t="shared" si="27"/>
        <v>0.09</v>
      </c>
      <c r="N850">
        <f>Earnings!B850*(1+M850)</f>
        <v>951974.49900000007</v>
      </c>
    </row>
    <row r="851" spans="1:14" x14ac:dyDescent="0.35">
      <c r="A851" t="s">
        <v>882</v>
      </c>
      <c r="B851" t="s">
        <v>30</v>
      </c>
      <c r="C851" t="s">
        <v>34</v>
      </c>
      <c r="D851" t="s">
        <v>22</v>
      </c>
      <c r="E851">
        <v>8</v>
      </c>
      <c r="F851" t="s">
        <v>38</v>
      </c>
      <c r="G851">
        <f>Earnings!G851</f>
        <v>1080716.3976</v>
      </c>
      <c r="H851">
        <f>Deductions!B851+Deductions!C851+Deductions!D851+Tax!D851</f>
        <v>14755.157500000001</v>
      </c>
      <c r="I851">
        <f t="shared" si="26"/>
        <v>1065961.2401000001</v>
      </c>
      <c r="J851">
        <f>Overtime!D851</f>
        <v>0</v>
      </c>
      <c r="K851">
        <f>IF(C851="Junior",0.06,IF(C851="Mid",0.08,IF(C851="Senior",0.1,IF(C851="Manager",0.12,0))))</f>
        <v>0.08</v>
      </c>
      <c r="L851">
        <f>IF(Performance!E851&gt;2,0.03,IF(Performance!E851&gt;=1,0.01,-0.02))</f>
        <v>0.01</v>
      </c>
      <c r="M851">
        <f t="shared" si="27"/>
        <v>0.09</v>
      </c>
      <c r="N851">
        <f>Earnings!B851*(1+M851)</f>
        <v>1237374.8670000001</v>
      </c>
    </row>
    <row r="852" spans="1:14" x14ac:dyDescent="0.35">
      <c r="A852" t="s">
        <v>883</v>
      </c>
      <c r="B852" t="s">
        <v>20</v>
      </c>
      <c r="C852" t="s">
        <v>16</v>
      </c>
      <c r="D852" t="s">
        <v>17</v>
      </c>
      <c r="E852">
        <v>0</v>
      </c>
      <c r="F852" t="s">
        <v>18</v>
      </c>
      <c r="G852">
        <f>Earnings!G852</f>
        <v>627678.35199999996</v>
      </c>
      <c r="H852">
        <f>Deductions!B852+Deductions!C852+Deductions!D852+Tax!D852</f>
        <v>5697.1</v>
      </c>
      <c r="I852">
        <f t="shared" si="26"/>
        <v>701100.37199999997</v>
      </c>
      <c r="J852">
        <f>Overtime!D852</f>
        <v>79119.12</v>
      </c>
      <c r="K852">
        <f>IF(C852="Junior",0.06,IF(C852="Mid",0.08,IF(C852="Senior",0.1,IF(C852="Manager",0.12,0))))</f>
        <v>0.06</v>
      </c>
      <c r="L852">
        <f>IF(Performance!E852&gt;2,0.03,IF(Performance!E852&gt;=1,0.01,-0.02))</f>
        <v>0.03</v>
      </c>
      <c r="M852">
        <f t="shared" si="27"/>
        <v>0.09</v>
      </c>
      <c r="N852">
        <f>Earnings!B852*(1+M852)</f>
        <v>718665.34000000008</v>
      </c>
    </row>
    <row r="853" spans="1:14" x14ac:dyDescent="0.35">
      <c r="A853" t="s">
        <v>884</v>
      </c>
      <c r="B853" t="s">
        <v>36</v>
      </c>
      <c r="C853" t="s">
        <v>34</v>
      </c>
      <c r="D853" t="s">
        <v>22</v>
      </c>
      <c r="E853">
        <v>8</v>
      </c>
      <c r="F853" t="s">
        <v>45</v>
      </c>
      <c r="G853">
        <f>Earnings!G853</f>
        <v>1108348.5308000001</v>
      </c>
      <c r="H853">
        <f>Deductions!B853+Deductions!C853+Deductions!D853+Tax!D853</f>
        <v>15480.791249999997</v>
      </c>
      <c r="I853">
        <f t="shared" si="26"/>
        <v>1092867.7395500001</v>
      </c>
      <c r="J853">
        <f>Overtime!D853</f>
        <v>0</v>
      </c>
      <c r="K853">
        <f>IF(C853="Junior",0.06,IF(C853="Mid",0.08,IF(C853="Senior",0.1,IF(C853="Manager",0.12,0))))</f>
        <v>0.08</v>
      </c>
      <c r="L853">
        <f>IF(Performance!E853&gt;2,0.03,IF(Performance!E853&gt;=1,0.01,-0.02))</f>
        <v>0.01</v>
      </c>
      <c r="M853">
        <f t="shared" si="27"/>
        <v>0.09</v>
      </c>
      <c r="N853">
        <f>Earnings!B853*(1+M853)</f>
        <v>1269012.4985</v>
      </c>
    </row>
    <row r="854" spans="1:14" x14ac:dyDescent="0.35">
      <c r="A854" t="s">
        <v>885</v>
      </c>
      <c r="B854" t="s">
        <v>27</v>
      </c>
      <c r="C854" t="s">
        <v>21</v>
      </c>
      <c r="D854" t="s">
        <v>17</v>
      </c>
      <c r="E854">
        <v>14</v>
      </c>
      <c r="F854" t="s">
        <v>25</v>
      </c>
      <c r="G854">
        <f>Earnings!G854</f>
        <v>874274.91200000001</v>
      </c>
      <c r="H854">
        <f>Deductions!B854+Deductions!C854+Deductions!D854+Tax!D854</f>
        <v>10014.266666666666</v>
      </c>
      <c r="I854">
        <f t="shared" si="26"/>
        <v>965279.80533333332</v>
      </c>
      <c r="J854">
        <f>Overtime!D854</f>
        <v>101019.16000000002</v>
      </c>
      <c r="K854">
        <f>IF(C854="Junior",0.06,IF(C854="Mid",0.08,IF(C854="Senior",0.1,IF(C854="Manager",0.12,0))))</f>
        <v>0.1</v>
      </c>
      <c r="L854">
        <f>IF(Performance!E854&gt;2,0.03,IF(Performance!E854&gt;=1,0.01,-0.02))</f>
        <v>0.01</v>
      </c>
      <c r="M854">
        <f t="shared" si="27"/>
        <v>0.11</v>
      </c>
      <c r="N854">
        <f>Earnings!B854*(1+M854)</f>
        <v>1019375.16</v>
      </c>
    </row>
    <row r="855" spans="1:14" x14ac:dyDescent="0.35">
      <c r="A855" t="s">
        <v>886</v>
      </c>
      <c r="B855" t="s">
        <v>36</v>
      </c>
      <c r="C855" t="s">
        <v>34</v>
      </c>
      <c r="D855" t="s">
        <v>22</v>
      </c>
      <c r="E855">
        <v>14</v>
      </c>
      <c r="F855" t="s">
        <v>38</v>
      </c>
      <c r="G855">
        <f>Earnings!G855</f>
        <v>1097422.4743999999</v>
      </c>
      <c r="H855">
        <f>Deductions!B855+Deductions!C855+Deductions!D855+Tax!D855</f>
        <v>15193.867499999998</v>
      </c>
      <c r="I855">
        <f t="shared" si="26"/>
        <v>1082228.6069</v>
      </c>
      <c r="J855">
        <f>Overtime!D855</f>
        <v>0</v>
      </c>
      <c r="K855">
        <f>IF(C855="Junior",0.06,IF(C855="Mid",0.08,IF(C855="Senior",0.1,IF(C855="Manager",0.12,0))))</f>
        <v>0.08</v>
      </c>
      <c r="L855">
        <f>IF(Performance!E855&gt;2,0.03,IF(Performance!E855&gt;=1,0.01,-0.02))</f>
        <v>0.01</v>
      </c>
      <c r="M855">
        <f t="shared" si="27"/>
        <v>0.09</v>
      </c>
      <c r="N855">
        <f>Earnings!B855*(1+M855)</f>
        <v>1256502.6230000001</v>
      </c>
    </row>
    <row r="856" spans="1:14" x14ac:dyDescent="0.35">
      <c r="A856" t="s">
        <v>887</v>
      </c>
      <c r="B856" t="s">
        <v>30</v>
      </c>
      <c r="C856" t="s">
        <v>21</v>
      </c>
      <c r="D856" t="s">
        <v>22</v>
      </c>
      <c r="E856">
        <v>15</v>
      </c>
      <c r="F856" t="s">
        <v>18</v>
      </c>
      <c r="G856">
        <f>Earnings!G856</f>
        <v>990612.83439999993</v>
      </c>
      <c r="H856">
        <f>Deductions!B856+Deductions!C856+Deductions!D856+Tax!D856</f>
        <v>12388.992499999998</v>
      </c>
      <c r="I856">
        <f t="shared" si="26"/>
        <v>978223.84189999988</v>
      </c>
      <c r="J856">
        <f>Overtime!D856</f>
        <v>0</v>
      </c>
      <c r="K856">
        <f>IF(C856="Junior",0.06,IF(C856="Mid",0.08,IF(C856="Senior",0.1,IF(C856="Manager",0.12,0))))</f>
        <v>0.1</v>
      </c>
      <c r="L856">
        <f>IF(Performance!E856&gt;2,0.03,IF(Performance!E856&gt;=1,0.01,-0.02))</f>
        <v>0.01</v>
      </c>
      <c r="M856">
        <f t="shared" si="27"/>
        <v>0.11</v>
      </c>
      <c r="N856">
        <f>Earnings!B856*(1+M856)</f>
        <v>1155021.267</v>
      </c>
    </row>
    <row r="857" spans="1:14" x14ac:dyDescent="0.35">
      <c r="A857" t="s">
        <v>888</v>
      </c>
      <c r="B857" t="s">
        <v>36</v>
      </c>
      <c r="C857" t="s">
        <v>44</v>
      </c>
      <c r="D857" t="s">
        <v>22</v>
      </c>
      <c r="E857">
        <v>13</v>
      </c>
      <c r="F857" t="s">
        <v>23</v>
      </c>
      <c r="G857">
        <f>Earnings!G857</f>
        <v>1220457.0504000001</v>
      </c>
      <c r="H857">
        <f>Deductions!B857+Deductions!C857+Deductions!D857+Tax!D857</f>
        <v>18424.817500000001</v>
      </c>
      <c r="I857">
        <f t="shared" si="26"/>
        <v>1375101.2474000002</v>
      </c>
      <c r="J857">
        <f>Overtime!D857</f>
        <v>173069.01449999999</v>
      </c>
      <c r="K857">
        <f>IF(C857="Junior",0.06,IF(C857="Mid",0.08,IF(C857="Senior",0.1,IF(C857="Manager",0.12,0))))</f>
        <v>0.12</v>
      </c>
      <c r="L857">
        <f>IF(Performance!E857&gt;2,0.03,IF(Performance!E857&gt;=1,0.01,-0.02))</f>
        <v>0.01</v>
      </c>
      <c r="M857">
        <f t="shared" si="27"/>
        <v>0.13</v>
      </c>
      <c r="N857">
        <f>Earnings!B857*(1+M857)</f>
        <v>1448651.7509999997</v>
      </c>
    </row>
    <row r="858" spans="1:14" x14ac:dyDescent="0.35">
      <c r="A858" t="s">
        <v>889</v>
      </c>
      <c r="B858" t="s">
        <v>36</v>
      </c>
      <c r="C858" t="s">
        <v>34</v>
      </c>
      <c r="D858" t="s">
        <v>17</v>
      </c>
      <c r="E858">
        <v>1</v>
      </c>
      <c r="F858" t="s">
        <v>25</v>
      </c>
      <c r="G858">
        <f>Earnings!G858</f>
        <v>727896.34400000004</v>
      </c>
      <c r="H858">
        <f>Deductions!B858+Deductions!C858+Deductions!D858+Tax!D858</f>
        <v>7451.6166666666668</v>
      </c>
      <c r="I858">
        <f t="shared" si="26"/>
        <v>800727.4123333334</v>
      </c>
      <c r="J858">
        <f>Overtime!D858</f>
        <v>80282.684999999998</v>
      </c>
      <c r="K858">
        <f>IF(C858="Junior",0.06,IF(C858="Mid",0.08,IF(C858="Senior",0.1,IF(C858="Manager",0.12,0))))</f>
        <v>0.08</v>
      </c>
      <c r="L858">
        <f>IF(Performance!E858&gt;2,0.03,IF(Performance!E858&gt;=1,0.01,-0.02))</f>
        <v>0.01</v>
      </c>
      <c r="M858">
        <f t="shared" si="27"/>
        <v>0.09</v>
      </c>
      <c r="N858">
        <f>Earnings!B858*(1+M858)</f>
        <v>833410.7300000001</v>
      </c>
    </row>
    <row r="859" spans="1:14" x14ac:dyDescent="0.35">
      <c r="A859" t="s">
        <v>890</v>
      </c>
      <c r="B859" t="s">
        <v>27</v>
      </c>
      <c r="C859" t="s">
        <v>21</v>
      </c>
      <c r="D859" t="s">
        <v>17</v>
      </c>
      <c r="E859">
        <v>2</v>
      </c>
      <c r="F859" t="s">
        <v>38</v>
      </c>
      <c r="G859">
        <f>Earnings!G859</f>
        <v>702349.424</v>
      </c>
      <c r="H859">
        <f>Deductions!B859+Deductions!C859+Deductions!D859+Tax!D859</f>
        <v>7004.3666666666668</v>
      </c>
      <c r="I859">
        <f t="shared" si="26"/>
        <v>695345.0573333333</v>
      </c>
      <c r="J859">
        <f>Overtime!D859</f>
        <v>0</v>
      </c>
      <c r="K859">
        <f>IF(C859="Junior",0.06,IF(C859="Mid",0.08,IF(C859="Senior",0.1,IF(C859="Manager",0.12,0))))</f>
        <v>0.1</v>
      </c>
      <c r="L859">
        <f>IF(Performance!E859&gt;2,0.03,IF(Performance!E859&gt;=1,0.01,-0.02))</f>
        <v>0.01</v>
      </c>
      <c r="M859">
        <f t="shared" si="27"/>
        <v>0.11</v>
      </c>
      <c r="N859">
        <f>Earnings!B859*(1+M859)</f>
        <v>818915.82000000007</v>
      </c>
    </row>
    <row r="860" spans="1:14" x14ac:dyDescent="0.35">
      <c r="A860" t="s">
        <v>891</v>
      </c>
      <c r="B860" t="s">
        <v>15</v>
      </c>
      <c r="C860" t="s">
        <v>44</v>
      </c>
      <c r="D860" t="s">
        <v>22</v>
      </c>
      <c r="E860">
        <v>3</v>
      </c>
      <c r="F860" t="s">
        <v>25</v>
      </c>
      <c r="G860">
        <f>Earnings!G860</f>
        <v>545883.17839999998</v>
      </c>
      <c r="H860">
        <f>Deductions!B860+Deductions!C860+Deductions!D860+Tax!D860</f>
        <v>4265.1116666666658</v>
      </c>
      <c r="I860">
        <f t="shared" si="26"/>
        <v>613293.90423333331</v>
      </c>
      <c r="J860">
        <f>Overtime!D860</f>
        <v>71675.837499999994</v>
      </c>
      <c r="K860">
        <f>IF(C860="Junior",0.06,IF(C860="Mid",0.08,IF(C860="Senior",0.1,IF(C860="Manager",0.12,0))))</f>
        <v>0.12</v>
      </c>
      <c r="L860">
        <f>IF(Performance!E860&gt;2,0.03,IF(Performance!E860&gt;=1,0.01,-0.02))</f>
        <v>0.01</v>
      </c>
      <c r="M860">
        <f t="shared" si="27"/>
        <v>0.13</v>
      </c>
      <c r="N860">
        <f>Earnings!B860*(1+M860)</f>
        <v>647949.57099999988</v>
      </c>
    </row>
    <row r="861" spans="1:14" x14ac:dyDescent="0.35">
      <c r="A861" t="s">
        <v>892</v>
      </c>
      <c r="B861" t="s">
        <v>27</v>
      </c>
      <c r="C861" t="s">
        <v>44</v>
      </c>
      <c r="D861" t="s">
        <v>17</v>
      </c>
      <c r="E861">
        <v>8</v>
      </c>
      <c r="F861" t="s">
        <v>32</v>
      </c>
      <c r="G861">
        <f>Earnings!G861</f>
        <v>703148.15199999989</v>
      </c>
      <c r="H861">
        <f>Deductions!B861+Deductions!C861+Deductions!D861+Tax!D861</f>
        <v>7018.35</v>
      </c>
      <c r="I861">
        <f t="shared" si="26"/>
        <v>696129.80199999991</v>
      </c>
      <c r="J861">
        <f>Overtime!D861</f>
        <v>0</v>
      </c>
      <c r="K861">
        <f>IF(C861="Junior",0.06,IF(C861="Mid",0.08,IF(C861="Senior",0.1,IF(C861="Manager",0.12,0))))</f>
        <v>0.12</v>
      </c>
      <c r="L861">
        <f>IF(Performance!E861&gt;2,0.03,IF(Performance!E861&gt;=1,0.01,-0.02))</f>
        <v>0.01</v>
      </c>
      <c r="M861">
        <f t="shared" si="27"/>
        <v>0.13</v>
      </c>
      <c r="N861">
        <f>Earnings!B861*(1+M861)</f>
        <v>834619.12999999989</v>
      </c>
    </row>
    <row r="862" spans="1:14" x14ac:dyDescent="0.35">
      <c r="A862" t="s">
        <v>893</v>
      </c>
      <c r="B862" t="s">
        <v>30</v>
      </c>
      <c r="C862" t="s">
        <v>44</v>
      </c>
      <c r="D862" t="s">
        <v>17</v>
      </c>
      <c r="E862">
        <v>7</v>
      </c>
      <c r="F862" t="s">
        <v>38</v>
      </c>
      <c r="G862">
        <f>Earnings!G862</f>
        <v>797940.696</v>
      </c>
      <c r="H862">
        <f>Deductions!B862+Deductions!C862+Deductions!D862+Tax!D862</f>
        <v>8677.883333333335</v>
      </c>
      <c r="I862">
        <f t="shared" si="26"/>
        <v>789262.81266666669</v>
      </c>
      <c r="J862">
        <f>Overtime!D862</f>
        <v>0</v>
      </c>
      <c r="K862">
        <f>IF(C862="Junior",0.06,IF(C862="Mid",0.08,IF(C862="Senior",0.1,IF(C862="Manager",0.12,0))))</f>
        <v>0.12</v>
      </c>
      <c r="L862">
        <f>IF(Performance!E862&gt;2,0.03,IF(Performance!E862&gt;=1,0.01,-0.02))</f>
        <v>0.01</v>
      </c>
      <c r="M862">
        <f t="shared" si="27"/>
        <v>0.13</v>
      </c>
      <c r="N862">
        <f>Earnings!B862*(1+M862)</f>
        <v>947135.48999999987</v>
      </c>
    </row>
    <row r="863" spans="1:14" x14ac:dyDescent="0.35">
      <c r="A863" t="s">
        <v>894</v>
      </c>
      <c r="B863" t="s">
        <v>30</v>
      </c>
      <c r="C863" t="s">
        <v>16</v>
      </c>
      <c r="D863" t="s">
        <v>22</v>
      </c>
      <c r="E863">
        <v>5</v>
      </c>
      <c r="F863" t="s">
        <v>38</v>
      </c>
      <c r="G863">
        <f>Earnings!G863</f>
        <v>1124397.1088</v>
      </c>
      <c r="H863">
        <f>Deductions!B863+Deductions!C863+Deductions!D863+Tax!D863</f>
        <v>15902.234999999999</v>
      </c>
      <c r="I863">
        <f t="shared" si="26"/>
        <v>1256131.0488</v>
      </c>
      <c r="J863">
        <f>Overtime!D863</f>
        <v>147636.17499999999</v>
      </c>
      <c r="K863">
        <f>IF(C863="Junior",0.06,IF(C863="Mid",0.08,IF(C863="Senior",0.1,IF(C863="Manager",0.12,0))))</f>
        <v>0.06</v>
      </c>
      <c r="L863">
        <f>IF(Performance!E863&gt;2,0.03,IF(Performance!E863&gt;=1,0.01,-0.02))</f>
        <v>0.01</v>
      </c>
      <c r="M863">
        <f t="shared" si="27"/>
        <v>6.9999999999999993E-2</v>
      </c>
      <c r="N863">
        <f>Earnings!B863*(1+M863)</f>
        <v>1263765.6580000001</v>
      </c>
    </row>
    <row r="864" spans="1:14" x14ac:dyDescent="0.35">
      <c r="A864" t="s">
        <v>895</v>
      </c>
      <c r="B864" t="s">
        <v>30</v>
      </c>
      <c r="C864" t="s">
        <v>44</v>
      </c>
      <c r="D864" t="s">
        <v>17</v>
      </c>
      <c r="E864">
        <v>0</v>
      </c>
      <c r="F864" t="s">
        <v>32</v>
      </c>
      <c r="G864">
        <f>Earnings!G864</f>
        <v>1123560.872</v>
      </c>
      <c r="H864">
        <f>Deductions!B864+Deductions!C864+Deductions!D864+Tax!D864</f>
        <v>15880.275</v>
      </c>
      <c r="I864">
        <f t="shared" si="26"/>
        <v>1196196.422</v>
      </c>
      <c r="J864">
        <f>Overtime!D864</f>
        <v>88515.825000000012</v>
      </c>
      <c r="K864">
        <f>IF(C864="Junior",0.06,IF(C864="Mid",0.08,IF(C864="Senior",0.1,IF(C864="Manager",0.12,0))))</f>
        <v>0.12</v>
      </c>
      <c r="L864">
        <f>IF(Performance!E864&gt;2,0.03,IF(Performance!E864&gt;=1,0.01,-0.02))</f>
        <v>0.01</v>
      </c>
      <c r="M864">
        <f t="shared" si="27"/>
        <v>0.13</v>
      </c>
      <c r="N864">
        <f>Earnings!B864*(1+M864)</f>
        <v>1333638.43</v>
      </c>
    </row>
    <row r="865" spans="1:14" x14ac:dyDescent="0.35">
      <c r="A865" t="s">
        <v>896</v>
      </c>
      <c r="B865" t="s">
        <v>15</v>
      </c>
      <c r="C865" t="s">
        <v>21</v>
      </c>
      <c r="D865" t="s">
        <v>22</v>
      </c>
      <c r="E865">
        <v>13</v>
      </c>
      <c r="F865" t="s">
        <v>38</v>
      </c>
      <c r="G865">
        <f>Earnings!G865</f>
        <v>753406.80239999993</v>
      </c>
      <c r="H865">
        <f>Deductions!B865+Deductions!C865+Deductions!D865+Tax!D865</f>
        <v>7898.2283333333326</v>
      </c>
      <c r="I865">
        <f t="shared" si="26"/>
        <v>820690.97556666669</v>
      </c>
      <c r="J865">
        <f>Overtime!D865</f>
        <v>75182.401499999993</v>
      </c>
      <c r="K865">
        <f>IF(C865="Junior",0.06,IF(C865="Mid",0.08,IF(C865="Senior",0.1,IF(C865="Manager",0.12,0))))</f>
        <v>0.1</v>
      </c>
      <c r="L865">
        <f>IF(Performance!E865&gt;2,0.03,IF(Performance!E865&gt;=1,0.01,-0.02))</f>
        <v>0.01</v>
      </c>
      <c r="M865">
        <f t="shared" si="27"/>
        <v>0.11</v>
      </c>
      <c r="N865">
        <f>Earnings!B865*(1+M865)</f>
        <v>878447.00699999998</v>
      </c>
    </row>
    <row r="866" spans="1:14" x14ac:dyDescent="0.35">
      <c r="A866" t="s">
        <v>897</v>
      </c>
      <c r="B866" t="s">
        <v>30</v>
      </c>
      <c r="C866" t="s">
        <v>16</v>
      </c>
      <c r="D866" t="s">
        <v>17</v>
      </c>
      <c r="E866">
        <v>10</v>
      </c>
      <c r="F866" t="s">
        <v>38</v>
      </c>
      <c r="G866">
        <f>Earnings!G866</f>
        <v>1337020.216</v>
      </c>
      <c r="H866">
        <f>Deductions!B866+Deductions!C866+Deductions!D866+Tax!D866</f>
        <v>21485.825000000001</v>
      </c>
      <c r="I866">
        <f t="shared" si="26"/>
        <v>1315534.3910000001</v>
      </c>
      <c r="J866">
        <f>Overtime!D866</f>
        <v>0</v>
      </c>
      <c r="K866">
        <f>IF(C866="Junior",0.06,IF(C866="Mid",0.08,IF(C866="Senior",0.1,IF(C866="Manager",0.12,0))))</f>
        <v>0.06</v>
      </c>
      <c r="L866">
        <f>IF(Performance!E866&gt;2,0.03,IF(Performance!E866&gt;=1,0.01,-0.02))</f>
        <v>0.01</v>
      </c>
      <c r="M866">
        <f t="shared" si="27"/>
        <v>6.9999999999999993E-2</v>
      </c>
      <c r="N866">
        <f>Earnings!B866*(1+M866)</f>
        <v>1502743.31</v>
      </c>
    </row>
    <row r="867" spans="1:14" x14ac:dyDescent="0.35">
      <c r="A867" t="s">
        <v>898</v>
      </c>
      <c r="B867" t="s">
        <v>30</v>
      </c>
      <c r="C867" t="s">
        <v>34</v>
      </c>
      <c r="D867" t="s">
        <v>17</v>
      </c>
      <c r="E867">
        <v>0</v>
      </c>
      <c r="F867" t="s">
        <v>23</v>
      </c>
      <c r="G867">
        <f>Earnings!G867</f>
        <v>818238.28799999994</v>
      </c>
      <c r="H867">
        <f>Deductions!B867+Deductions!C867+Deductions!D867+Tax!D867</f>
        <v>9033.2333333333336</v>
      </c>
      <c r="I867">
        <f t="shared" si="26"/>
        <v>809205.05466666666</v>
      </c>
      <c r="J867">
        <f>Overtime!D867</f>
        <v>0</v>
      </c>
      <c r="K867">
        <f>IF(C867="Junior",0.06,IF(C867="Mid",0.08,IF(C867="Senior",0.1,IF(C867="Manager",0.12,0))))</f>
        <v>0.08</v>
      </c>
      <c r="L867">
        <f>IF(Performance!E867&gt;2,0.03,IF(Performance!E867&gt;=1,0.01,-0.02))</f>
        <v>0.01</v>
      </c>
      <c r="M867">
        <f t="shared" si="27"/>
        <v>0.09</v>
      </c>
      <c r="N867">
        <f>Earnings!B867*(1+M867)</f>
        <v>936848.46000000008</v>
      </c>
    </row>
    <row r="868" spans="1:14" x14ac:dyDescent="0.35">
      <c r="A868" t="s">
        <v>899</v>
      </c>
      <c r="B868" t="s">
        <v>15</v>
      </c>
      <c r="C868" t="s">
        <v>44</v>
      </c>
      <c r="D868" t="s">
        <v>17</v>
      </c>
      <c r="E868">
        <v>10</v>
      </c>
      <c r="F868" t="s">
        <v>45</v>
      </c>
      <c r="G868">
        <f>Earnings!G868</f>
        <v>806377.32</v>
      </c>
      <c r="H868">
        <f>Deductions!B868+Deductions!C868+Deductions!D868+Tax!D868</f>
        <v>8825.5833333333321</v>
      </c>
      <c r="I868">
        <f t="shared" si="26"/>
        <v>797551.73666666658</v>
      </c>
      <c r="J868">
        <f>Overtime!D868</f>
        <v>0</v>
      </c>
      <c r="K868">
        <f>IF(C868="Junior",0.06,IF(C868="Mid",0.08,IF(C868="Senior",0.1,IF(C868="Manager",0.12,0))))</f>
        <v>0.12</v>
      </c>
      <c r="L868">
        <f>IF(Performance!E868&gt;2,0.03,IF(Performance!E868&gt;=1,0.01,-0.02))</f>
        <v>0.01</v>
      </c>
      <c r="M868">
        <f t="shared" si="27"/>
        <v>0.13</v>
      </c>
      <c r="N868">
        <f>Earnings!B868*(1+M868)</f>
        <v>957149.54999999993</v>
      </c>
    </row>
    <row r="869" spans="1:14" x14ac:dyDescent="0.35">
      <c r="A869" t="s">
        <v>900</v>
      </c>
      <c r="B869" t="s">
        <v>36</v>
      </c>
      <c r="C869" t="s">
        <v>44</v>
      </c>
      <c r="D869" t="s">
        <v>17</v>
      </c>
      <c r="E869">
        <v>1</v>
      </c>
      <c r="F869" t="s">
        <v>18</v>
      </c>
      <c r="G869">
        <f>Earnings!G869</f>
        <v>914579.73600000003</v>
      </c>
      <c r="H869">
        <f>Deductions!B869+Deductions!C869+Deductions!D869+Tax!D869</f>
        <v>10719.883333333333</v>
      </c>
      <c r="I869">
        <f t="shared" si="26"/>
        <v>1043160.3376666667</v>
      </c>
      <c r="J869">
        <f>Overtime!D869</f>
        <v>139300.48500000002</v>
      </c>
      <c r="K869">
        <f>IF(C869="Junior",0.06,IF(C869="Mid",0.08,IF(C869="Senior",0.1,IF(C869="Manager",0.12,0))))</f>
        <v>0.12</v>
      </c>
      <c r="L869">
        <f>IF(Performance!E869&gt;2,0.03,IF(Performance!E869&gt;=1,0.01,-0.02))</f>
        <v>0.01</v>
      </c>
      <c r="M869">
        <f t="shared" si="27"/>
        <v>0.13</v>
      </c>
      <c r="N869">
        <f>Earnings!B869*(1+M869)</f>
        <v>1085583.0899999999</v>
      </c>
    </row>
    <row r="870" spans="1:14" x14ac:dyDescent="0.35">
      <c r="A870" t="s">
        <v>901</v>
      </c>
      <c r="B870" t="s">
        <v>20</v>
      </c>
      <c r="C870" t="s">
        <v>21</v>
      </c>
      <c r="D870" t="s">
        <v>17</v>
      </c>
      <c r="E870">
        <v>13</v>
      </c>
      <c r="F870" t="s">
        <v>38</v>
      </c>
      <c r="G870">
        <f>Earnings!G870</f>
        <v>1008832.496</v>
      </c>
      <c r="H870">
        <f>Deductions!B870+Deductions!C870+Deductions!D870+Tax!D870</f>
        <v>12867.449999999999</v>
      </c>
      <c r="I870">
        <f t="shared" si="26"/>
        <v>1064845.4160000002</v>
      </c>
      <c r="J870">
        <f>Overtime!D870</f>
        <v>68880.37</v>
      </c>
      <c r="K870">
        <f>IF(C870="Junior",0.06,IF(C870="Mid",0.08,IF(C870="Senior",0.1,IF(C870="Manager",0.12,0))))</f>
        <v>0.1</v>
      </c>
      <c r="L870">
        <f>IF(Performance!E870&gt;2,0.03,IF(Performance!E870&gt;=1,0.01,-0.02))</f>
        <v>0.03</v>
      </c>
      <c r="M870">
        <f t="shared" si="27"/>
        <v>0.13</v>
      </c>
      <c r="N870">
        <f>Earnings!B870*(1+M870)</f>
        <v>1197458.74</v>
      </c>
    </row>
    <row r="871" spans="1:14" x14ac:dyDescent="0.35">
      <c r="A871" t="s">
        <v>902</v>
      </c>
      <c r="B871" t="s">
        <v>30</v>
      </c>
      <c r="C871" t="s">
        <v>21</v>
      </c>
      <c r="D871" t="s">
        <v>17</v>
      </c>
      <c r="E871">
        <v>5</v>
      </c>
      <c r="F871" t="s">
        <v>18</v>
      </c>
      <c r="G871">
        <f>Earnings!G871</f>
        <v>754975.03200000001</v>
      </c>
      <c r="H871">
        <f>Deductions!B871+Deductions!C871+Deductions!D871+Tax!D871</f>
        <v>7925.6833333333343</v>
      </c>
      <c r="I871">
        <f t="shared" si="26"/>
        <v>747049.34866666666</v>
      </c>
      <c r="J871">
        <f>Overtime!D871</f>
        <v>0</v>
      </c>
      <c r="K871">
        <f>IF(C871="Junior",0.06,IF(C871="Mid",0.08,IF(C871="Senior",0.1,IF(C871="Manager",0.12,0))))</f>
        <v>0.1</v>
      </c>
      <c r="L871">
        <f>IF(Performance!E871&gt;2,0.03,IF(Performance!E871&gt;=1,0.01,-0.02))</f>
        <v>0.01</v>
      </c>
      <c r="M871">
        <f t="shared" si="27"/>
        <v>0.11</v>
      </c>
      <c r="N871">
        <f>Earnings!B871*(1+M871)</f>
        <v>880275.51000000013</v>
      </c>
    </row>
    <row r="872" spans="1:14" x14ac:dyDescent="0.35">
      <c r="A872" t="s">
        <v>903</v>
      </c>
      <c r="B872" t="s">
        <v>30</v>
      </c>
      <c r="C872" t="s">
        <v>21</v>
      </c>
      <c r="D872" t="s">
        <v>17</v>
      </c>
      <c r="E872">
        <v>1</v>
      </c>
      <c r="F872" t="s">
        <v>38</v>
      </c>
      <c r="G872">
        <f>Earnings!G872</f>
        <v>974452.92</v>
      </c>
      <c r="H872">
        <f>Deductions!B872+Deductions!C872+Deductions!D872+Tax!D872</f>
        <v>11964.625</v>
      </c>
      <c r="I872">
        <f t="shared" si="26"/>
        <v>1013667.545</v>
      </c>
      <c r="J872">
        <f>Overtime!D872</f>
        <v>51179.25</v>
      </c>
      <c r="K872">
        <f>IF(C872="Junior",0.06,IF(C872="Mid",0.08,IF(C872="Senior",0.1,IF(C872="Manager",0.12,0))))</f>
        <v>0.1</v>
      </c>
      <c r="L872">
        <f>IF(Performance!E872&gt;2,0.03,IF(Performance!E872&gt;=1,0.01,-0.02))</f>
        <v>0.01</v>
      </c>
      <c r="M872">
        <f t="shared" si="27"/>
        <v>0.11</v>
      </c>
      <c r="N872">
        <f>Earnings!B872*(1+M872)</f>
        <v>1136179.3500000001</v>
      </c>
    </row>
    <row r="873" spans="1:14" x14ac:dyDescent="0.35">
      <c r="A873" t="s">
        <v>904</v>
      </c>
      <c r="B873" t="s">
        <v>27</v>
      </c>
      <c r="C873" t="s">
        <v>21</v>
      </c>
      <c r="D873" t="s">
        <v>17</v>
      </c>
      <c r="E873">
        <v>14</v>
      </c>
      <c r="F873" t="s">
        <v>25</v>
      </c>
      <c r="G873">
        <f>Earnings!G873</f>
        <v>784959.22399999993</v>
      </c>
      <c r="H873">
        <f>Deductions!B873+Deductions!C873+Deductions!D873+Tax!D873</f>
        <v>8450.616666666665</v>
      </c>
      <c r="I873">
        <f t="shared" si="26"/>
        <v>879575.73233333323</v>
      </c>
      <c r="J873">
        <f>Overtime!D873</f>
        <v>103067.12499999999</v>
      </c>
      <c r="K873">
        <f>IF(C873="Junior",0.06,IF(C873="Mid",0.08,IF(C873="Senior",0.1,IF(C873="Manager",0.12,0))))</f>
        <v>0.1</v>
      </c>
      <c r="L873">
        <f>IF(Performance!E873&gt;2,0.03,IF(Performance!E873&gt;=1,0.01,-0.02))</f>
        <v>0.01</v>
      </c>
      <c r="M873">
        <f t="shared" si="27"/>
        <v>0.11</v>
      </c>
      <c r="N873">
        <f>Earnings!B873*(1+M873)</f>
        <v>915236.07000000007</v>
      </c>
    </row>
    <row r="874" spans="1:14" x14ac:dyDescent="0.35">
      <c r="A874" t="s">
        <v>905</v>
      </c>
      <c r="B874" t="s">
        <v>20</v>
      </c>
      <c r="C874" t="s">
        <v>34</v>
      </c>
      <c r="D874" t="s">
        <v>22</v>
      </c>
      <c r="E874">
        <v>11</v>
      </c>
      <c r="F874" t="s">
        <v>45</v>
      </c>
      <c r="G874">
        <f>Earnings!G874</f>
        <v>662520.02879999997</v>
      </c>
      <c r="H874">
        <f>Deductions!B874+Deductions!C874+Deductions!D874+Tax!D874</f>
        <v>6307.0733333333337</v>
      </c>
      <c r="I874">
        <f t="shared" si="26"/>
        <v>656212.95546666661</v>
      </c>
      <c r="J874">
        <f>Overtime!D874</f>
        <v>0</v>
      </c>
      <c r="K874">
        <f>IF(C874="Junior",0.06,IF(C874="Mid",0.08,IF(C874="Senior",0.1,IF(C874="Manager",0.12,0))))</f>
        <v>0.08</v>
      </c>
      <c r="L874">
        <f>IF(Performance!E874&gt;2,0.03,IF(Performance!E874&gt;=1,0.01,-0.02))</f>
        <v>0.03</v>
      </c>
      <c r="M874">
        <f t="shared" si="27"/>
        <v>0.11</v>
      </c>
      <c r="N874">
        <f>Earnings!B874*(1+M874)</f>
        <v>772476.08400000015</v>
      </c>
    </row>
    <row r="875" spans="1:14" x14ac:dyDescent="0.35">
      <c r="A875" t="s">
        <v>906</v>
      </c>
      <c r="B875" t="s">
        <v>27</v>
      </c>
      <c r="C875" t="s">
        <v>34</v>
      </c>
      <c r="D875" t="s">
        <v>22</v>
      </c>
      <c r="E875">
        <v>4</v>
      </c>
      <c r="F875" t="s">
        <v>23</v>
      </c>
      <c r="G875">
        <f>Earnings!G875</f>
        <v>718484.30079999985</v>
      </c>
      <c r="H875">
        <f>Deductions!B875+Deductions!C875+Deductions!D875+Tax!D875</f>
        <v>7286.8399999999992</v>
      </c>
      <c r="I875">
        <f t="shared" si="26"/>
        <v>733838.77279999992</v>
      </c>
      <c r="J875">
        <f>Overtime!D875</f>
        <v>22641.311999999998</v>
      </c>
      <c r="K875">
        <f>IF(C875="Junior",0.06,IF(C875="Mid",0.08,IF(C875="Senior",0.1,IF(C875="Manager",0.12,0))))</f>
        <v>0.08</v>
      </c>
      <c r="L875">
        <f>IF(Performance!E875&gt;2,0.03,IF(Performance!E875&gt;=1,0.01,-0.02))</f>
        <v>0.01</v>
      </c>
      <c r="M875">
        <f t="shared" si="27"/>
        <v>0.09</v>
      </c>
      <c r="N875">
        <f>Earnings!B875*(1+M875)</f>
        <v>822634.33600000001</v>
      </c>
    </row>
    <row r="876" spans="1:14" x14ac:dyDescent="0.35">
      <c r="A876" t="s">
        <v>907</v>
      </c>
      <c r="B876" t="s">
        <v>15</v>
      </c>
      <c r="C876" t="s">
        <v>44</v>
      </c>
      <c r="D876" t="s">
        <v>22</v>
      </c>
      <c r="E876">
        <v>15</v>
      </c>
      <c r="F876" t="s">
        <v>25</v>
      </c>
      <c r="G876">
        <f>Earnings!G876</f>
        <v>908002.22519999999</v>
      </c>
      <c r="H876">
        <f>Deductions!B876+Deductions!C876+Deductions!D876+Tax!D876</f>
        <v>10604.730833333333</v>
      </c>
      <c r="I876">
        <f t="shared" si="26"/>
        <v>978469.12161666667</v>
      </c>
      <c r="J876">
        <f>Overtime!D876</f>
        <v>81071.627250000005</v>
      </c>
      <c r="K876">
        <f>IF(C876="Junior",0.06,IF(C876="Mid",0.08,IF(C876="Senior",0.1,IF(C876="Manager",0.12,0))))</f>
        <v>0.12</v>
      </c>
      <c r="L876">
        <f>IF(Performance!E876&gt;2,0.03,IF(Performance!E876&gt;=1,0.01,-0.02))</f>
        <v>0.01</v>
      </c>
      <c r="M876">
        <f t="shared" si="27"/>
        <v>0.13</v>
      </c>
      <c r="N876">
        <f>Earnings!B876*(1+M876)</f>
        <v>1077775.7504999998</v>
      </c>
    </row>
    <row r="877" spans="1:14" x14ac:dyDescent="0.35">
      <c r="A877" t="s">
        <v>908</v>
      </c>
      <c r="B877" t="s">
        <v>36</v>
      </c>
      <c r="C877" t="s">
        <v>16</v>
      </c>
      <c r="D877" t="s">
        <v>22</v>
      </c>
      <c r="E877">
        <v>8</v>
      </c>
      <c r="F877" t="s">
        <v>23</v>
      </c>
      <c r="G877">
        <f>Earnings!G877</f>
        <v>843825.09679999994</v>
      </c>
      <c r="H877">
        <f>Deductions!B877+Deductions!C877+Deductions!D877+Tax!D877</f>
        <v>9481.1816666666637</v>
      </c>
      <c r="I877">
        <f t="shared" si="26"/>
        <v>860935.04213333328</v>
      </c>
      <c r="J877">
        <f>Overtime!D877</f>
        <v>26591.126999999997</v>
      </c>
      <c r="K877">
        <f>IF(C877="Junior",0.06,IF(C877="Mid",0.08,IF(C877="Senior",0.1,IF(C877="Manager",0.12,0))))</f>
        <v>0.06</v>
      </c>
      <c r="L877">
        <f>IF(Performance!E877&gt;2,0.03,IF(Performance!E877&gt;=1,0.01,-0.02))</f>
        <v>0.01</v>
      </c>
      <c r="M877">
        <f t="shared" si="27"/>
        <v>6.9999999999999993E-2</v>
      </c>
      <c r="N877">
        <f>Earnings!B877*(1+M877)</f>
        <v>948416.86300000001</v>
      </c>
    </row>
    <row r="878" spans="1:14" x14ac:dyDescent="0.35">
      <c r="A878" t="s">
        <v>909</v>
      </c>
      <c r="B878" t="s">
        <v>30</v>
      </c>
      <c r="C878" t="s">
        <v>34</v>
      </c>
      <c r="D878" t="s">
        <v>17</v>
      </c>
      <c r="E878">
        <v>15</v>
      </c>
      <c r="F878" t="s">
        <v>25</v>
      </c>
      <c r="G878">
        <f>Earnings!G878</f>
        <v>1176529.2</v>
      </c>
      <c r="H878">
        <f>Deductions!B878+Deductions!C878+Deductions!D878+Tax!D878</f>
        <v>17271.25</v>
      </c>
      <c r="I878">
        <f t="shared" si="26"/>
        <v>1159257.95</v>
      </c>
      <c r="J878">
        <f>Overtime!D878</f>
        <v>0</v>
      </c>
      <c r="K878">
        <f>IF(C878="Junior",0.06,IF(C878="Mid",0.08,IF(C878="Senior",0.1,IF(C878="Manager",0.12,0))))</f>
        <v>0.08</v>
      </c>
      <c r="L878">
        <f>IF(Performance!E878&gt;2,0.03,IF(Performance!E878&gt;=1,0.01,-0.02))</f>
        <v>0.01</v>
      </c>
      <c r="M878">
        <f t="shared" si="27"/>
        <v>0.09</v>
      </c>
      <c r="N878">
        <f>Earnings!B878*(1+M878)</f>
        <v>1347076.5</v>
      </c>
    </row>
    <row r="879" spans="1:14" x14ac:dyDescent="0.35">
      <c r="A879" t="s">
        <v>910</v>
      </c>
      <c r="B879" t="s">
        <v>15</v>
      </c>
      <c r="C879" t="s">
        <v>21</v>
      </c>
      <c r="D879" t="s">
        <v>17</v>
      </c>
      <c r="E879">
        <v>15</v>
      </c>
      <c r="F879" t="s">
        <v>25</v>
      </c>
      <c r="G879">
        <f>Earnings!G879</f>
        <v>968338.22399999993</v>
      </c>
      <c r="H879">
        <f>Deductions!B879+Deductions!C879+Deductions!D879+Tax!D879</f>
        <v>11804.050000000001</v>
      </c>
      <c r="I879">
        <f t="shared" si="26"/>
        <v>1048078.7539999998</v>
      </c>
      <c r="J879">
        <f>Overtime!D879</f>
        <v>91544.579999999987</v>
      </c>
      <c r="K879">
        <f>IF(C879="Junior",0.06,IF(C879="Mid",0.08,IF(C879="Senior",0.1,IF(C879="Manager",0.12,0))))</f>
        <v>0.1</v>
      </c>
      <c r="L879">
        <f>IF(Performance!E879&gt;2,0.03,IF(Performance!E879&gt;=1,0.01,-0.02))</f>
        <v>0.01</v>
      </c>
      <c r="M879">
        <f t="shared" si="27"/>
        <v>0.11</v>
      </c>
      <c r="N879">
        <f>Earnings!B879*(1+M879)</f>
        <v>1129049.82</v>
      </c>
    </row>
    <row r="880" spans="1:14" x14ac:dyDescent="0.35">
      <c r="A880" t="s">
        <v>911</v>
      </c>
      <c r="B880" t="s">
        <v>36</v>
      </c>
      <c r="C880" t="s">
        <v>16</v>
      </c>
      <c r="D880" t="s">
        <v>17</v>
      </c>
      <c r="E880">
        <v>0</v>
      </c>
      <c r="F880" t="s">
        <v>23</v>
      </c>
      <c r="G880">
        <f>Earnings!G880</f>
        <v>855066.40800000005</v>
      </c>
      <c r="H880">
        <f>Deductions!B880+Deductions!C880+Deductions!D880+Tax!D880</f>
        <v>9677.9833333333336</v>
      </c>
      <c r="I880">
        <f t="shared" si="26"/>
        <v>971133.48466666671</v>
      </c>
      <c r="J880">
        <f>Overtime!D880</f>
        <v>125745.05999999998</v>
      </c>
      <c r="K880">
        <f>IF(C880="Junior",0.06,IF(C880="Mid",0.08,IF(C880="Senior",0.1,IF(C880="Manager",0.12,0))))</f>
        <v>0.06</v>
      </c>
      <c r="L880">
        <f>IF(Performance!E880&gt;2,0.03,IF(Performance!E880&gt;=1,0.01,-0.02))</f>
        <v>0.01</v>
      </c>
      <c r="M880">
        <f t="shared" si="27"/>
        <v>6.9999999999999993E-2</v>
      </c>
      <c r="N880">
        <f>Earnings!B880*(1+M880)</f>
        <v>961051.53</v>
      </c>
    </row>
    <row r="881" spans="1:14" x14ac:dyDescent="0.35">
      <c r="A881" t="s">
        <v>912</v>
      </c>
      <c r="B881" t="s">
        <v>27</v>
      </c>
      <c r="C881" t="s">
        <v>34</v>
      </c>
      <c r="D881" t="s">
        <v>22</v>
      </c>
      <c r="E881">
        <v>3</v>
      </c>
      <c r="F881" t="s">
        <v>71</v>
      </c>
      <c r="G881">
        <f>Earnings!G881</f>
        <v>618973.1688000001</v>
      </c>
      <c r="H881">
        <f>Deductions!B881+Deductions!C881+Deductions!D881+Tax!D881</f>
        <v>5544.6983333333337</v>
      </c>
      <c r="I881">
        <f t="shared" si="26"/>
        <v>613428.47046666674</v>
      </c>
      <c r="J881">
        <f>Overtime!D881</f>
        <v>0</v>
      </c>
      <c r="K881">
        <f>IF(C881="Junior",0.06,IF(C881="Mid",0.08,IF(C881="Senior",0.1,IF(C881="Manager",0.12,0))))</f>
        <v>0.08</v>
      </c>
      <c r="L881">
        <f>IF(Performance!E881&gt;2,0.03,IF(Performance!E881&gt;=1,0.01,-0.02))</f>
        <v>0.01</v>
      </c>
      <c r="M881">
        <f t="shared" si="27"/>
        <v>0.09</v>
      </c>
      <c r="N881">
        <f>Earnings!B881*(1+M881)</f>
        <v>708698.27100000007</v>
      </c>
    </row>
    <row r="882" spans="1:14" x14ac:dyDescent="0.35">
      <c r="A882" t="s">
        <v>913</v>
      </c>
      <c r="B882" t="s">
        <v>15</v>
      </c>
      <c r="C882" t="s">
        <v>44</v>
      </c>
      <c r="D882" t="s">
        <v>17</v>
      </c>
      <c r="E882">
        <v>4</v>
      </c>
      <c r="F882" t="s">
        <v>28</v>
      </c>
      <c r="G882">
        <f>Earnings!G882</f>
        <v>536915.62399999995</v>
      </c>
      <c r="H882">
        <f>Deductions!B882+Deductions!C882+Deductions!D882+Tax!D882</f>
        <v>4108.1166666666668</v>
      </c>
      <c r="I882">
        <f t="shared" si="26"/>
        <v>532807.50733333325</v>
      </c>
      <c r="J882">
        <f>Overtime!D882</f>
        <v>0</v>
      </c>
      <c r="K882">
        <f>IF(C882="Junior",0.06,IF(C882="Mid",0.08,IF(C882="Senior",0.1,IF(C882="Manager",0.12,0))))</f>
        <v>0.12</v>
      </c>
      <c r="L882">
        <f>IF(Performance!E882&gt;2,0.03,IF(Performance!E882&gt;=1,0.01,-0.02))</f>
        <v>0.01</v>
      </c>
      <c r="M882">
        <f t="shared" si="27"/>
        <v>0.13</v>
      </c>
      <c r="N882">
        <f>Earnings!B882*(1+M882)</f>
        <v>637305.30999999994</v>
      </c>
    </row>
    <row r="883" spans="1:14" x14ac:dyDescent="0.35">
      <c r="A883" t="s">
        <v>914</v>
      </c>
      <c r="B883" t="s">
        <v>30</v>
      </c>
      <c r="C883" t="s">
        <v>34</v>
      </c>
      <c r="D883" t="s">
        <v>22</v>
      </c>
      <c r="E883">
        <v>8</v>
      </c>
      <c r="F883" t="s">
        <v>32</v>
      </c>
      <c r="G883">
        <f>Earnings!G883</f>
        <v>1061627.2268000001</v>
      </c>
      <c r="H883">
        <f>Deductions!B883+Deductions!C883+Deductions!D883+Tax!D883</f>
        <v>14253.866249999997</v>
      </c>
      <c r="I883">
        <f t="shared" si="26"/>
        <v>1131009.9593000002</v>
      </c>
      <c r="J883">
        <f>Overtime!D883</f>
        <v>83636.598750000005</v>
      </c>
      <c r="K883">
        <f>IF(C883="Junior",0.06,IF(C883="Mid",0.08,IF(C883="Senior",0.1,IF(C883="Manager",0.12,0))))</f>
        <v>0.08</v>
      </c>
      <c r="L883">
        <f>IF(Performance!E883&gt;2,0.03,IF(Performance!E883&gt;=1,0.01,-0.02))</f>
        <v>0.01</v>
      </c>
      <c r="M883">
        <f t="shared" si="27"/>
        <v>0.09</v>
      </c>
      <c r="N883">
        <f>Earnings!B883*(1+M883)</f>
        <v>1215518.5685000001</v>
      </c>
    </row>
    <row r="884" spans="1:14" x14ac:dyDescent="0.35">
      <c r="A884" t="s">
        <v>915</v>
      </c>
      <c r="B884" t="s">
        <v>20</v>
      </c>
      <c r="C884" t="s">
        <v>16</v>
      </c>
      <c r="D884" t="s">
        <v>22</v>
      </c>
      <c r="E884">
        <v>1</v>
      </c>
      <c r="F884" t="s">
        <v>25</v>
      </c>
      <c r="G884">
        <f>Earnings!G884</f>
        <v>635072.39320000005</v>
      </c>
      <c r="H884">
        <f>Deductions!B884+Deductions!C884+Deductions!D884+Tax!D884</f>
        <v>5826.5475000000006</v>
      </c>
      <c r="I884">
        <f t="shared" si="26"/>
        <v>695955.1307000001</v>
      </c>
      <c r="J884">
        <f>Overtime!D884</f>
        <v>66709.285000000003</v>
      </c>
      <c r="K884">
        <f>IF(C884="Junior",0.06,IF(C884="Mid",0.08,IF(C884="Senior",0.1,IF(C884="Manager",0.12,0))))</f>
        <v>0.06</v>
      </c>
      <c r="L884">
        <f>IF(Performance!E884&gt;2,0.03,IF(Performance!E884&gt;=1,0.01,-0.02))</f>
        <v>0.03</v>
      </c>
      <c r="M884">
        <f t="shared" si="27"/>
        <v>0.09</v>
      </c>
      <c r="N884">
        <f>Earnings!B884*(1+M884)</f>
        <v>727131.20649999997</v>
      </c>
    </row>
    <row r="885" spans="1:14" x14ac:dyDescent="0.35">
      <c r="A885" t="s">
        <v>916</v>
      </c>
      <c r="B885" t="s">
        <v>30</v>
      </c>
      <c r="C885" t="s">
        <v>44</v>
      </c>
      <c r="D885" t="s">
        <v>22</v>
      </c>
      <c r="E885">
        <v>8</v>
      </c>
      <c r="F885" t="s">
        <v>45</v>
      </c>
      <c r="G885">
        <f>Earnings!G885</f>
        <v>1232386.9908</v>
      </c>
      <c r="H885">
        <f>Deductions!B885+Deductions!C885+Deductions!D885+Tax!D885</f>
        <v>18738.103749999998</v>
      </c>
      <c r="I885">
        <f t="shared" si="26"/>
        <v>1310738.1983</v>
      </c>
      <c r="J885">
        <f>Overtime!D885</f>
        <v>97089.311249999999</v>
      </c>
      <c r="K885">
        <f>IF(C885="Junior",0.06,IF(C885="Mid",0.08,IF(C885="Senior",0.1,IF(C885="Manager",0.12,0))))</f>
        <v>0.12</v>
      </c>
      <c r="L885">
        <f>IF(Performance!E885&gt;2,0.03,IF(Performance!E885&gt;=1,0.01,-0.02))</f>
        <v>0.01</v>
      </c>
      <c r="M885">
        <f t="shared" si="27"/>
        <v>0.13</v>
      </c>
      <c r="N885">
        <f>Earnings!B885*(1+M885)</f>
        <v>1462812.2894999997</v>
      </c>
    </row>
    <row r="886" spans="1:14" x14ac:dyDescent="0.35">
      <c r="A886" t="s">
        <v>917</v>
      </c>
      <c r="B886" t="s">
        <v>15</v>
      </c>
      <c r="C886" t="s">
        <v>34</v>
      </c>
      <c r="D886" t="s">
        <v>22</v>
      </c>
      <c r="E886">
        <v>13</v>
      </c>
      <c r="F886" t="s">
        <v>23</v>
      </c>
      <c r="G886">
        <f>Earnings!G886</f>
        <v>844095.51240000001</v>
      </c>
      <c r="H886">
        <f>Deductions!B886+Deductions!C886+Deductions!D886+Tax!D886</f>
        <v>9485.9158333333326</v>
      </c>
      <c r="I886">
        <f t="shared" si="26"/>
        <v>856775.97031666664</v>
      </c>
      <c r="J886">
        <f>Overtime!D886</f>
        <v>22166.373749999999</v>
      </c>
      <c r="K886">
        <f>IF(C886="Junior",0.06,IF(C886="Mid",0.08,IF(C886="Senior",0.1,IF(C886="Manager",0.12,0))))</f>
        <v>0.08</v>
      </c>
      <c r="L886">
        <f>IF(Performance!E886&gt;2,0.03,IF(Performance!E886&gt;=1,0.01,-0.02))</f>
        <v>0.01</v>
      </c>
      <c r="M886">
        <f t="shared" si="27"/>
        <v>0.09</v>
      </c>
      <c r="N886">
        <f>Earnings!B886*(1+M886)</f>
        <v>966453.89549999998</v>
      </c>
    </row>
    <row r="887" spans="1:14" x14ac:dyDescent="0.35">
      <c r="A887" t="s">
        <v>918</v>
      </c>
      <c r="B887" t="s">
        <v>20</v>
      </c>
      <c r="C887" t="s">
        <v>44</v>
      </c>
      <c r="D887" t="s">
        <v>17</v>
      </c>
      <c r="E887">
        <v>1</v>
      </c>
      <c r="F887" t="s">
        <v>38</v>
      </c>
      <c r="G887">
        <f>Earnings!G887</f>
        <v>588540.67999999993</v>
      </c>
      <c r="H887">
        <f>Deductions!B887+Deductions!C887+Deductions!D887+Tax!D887</f>
        <v>5011.9166666666661</v>
      </c>
      <c r="I887">
        <f t="shared" si="26"/>
        <v>583528.76333333331</v>
      </c>
      <c r="J887">
        <f>Overtime!D887</f>
        <v>0</v>
      </c>
      <c r="K887">
        <f>IF(C887="Junior",0.06,IF(C887="Mid",0.08,IF(C887="Senior",0.1,IF(C887="Manager",0.12,0))))</f>
        <v>0.12</v>
      </c>
      <c r="L887">
        <f>IF(Performance!E887&gt;2,0.03,IF(Performance!E887&gt;=1,0.01,-0.02))</f>
        <v>0.03</v>
      </c>
      <c r="M887">
        <f t="shared" si="27"/>
        <v>0.15</v>
      </c>
      <c r="N887">
        <f>Earnings!B887*(1+M887)</f>
        <v>710947.25</v>
      </c>
    </row>
    <row r="888" spans="1:14" x14ac:dyDescent="0.35">
      <c r="A888" t="s">
        <v>919</v>
      </c>
      <c r="B888" t="s">
        <v>36</v>
      </c>
      <c r="C888" t="s">
        <v>44</v>
      </c>
      <c r="D888" t="s">
        <v>22</v>
      </c>
      <c r="E888">
        <v>3</v>
      </c>
      <c r="F888" t="s">
        <v>38</v>
      </c>
      <c r="G888">
        <f>Earnings!G888</f>
        <v>806156.83679999982</v>
      </c>
      <c r="H888">
        <f>Deductions!B888+Deductions!C888+Deductions!D888+Tax!D888</f>
        <v>8821.7233333333315</v>
      </c>
      <c r="I888">
        <f t="shared" si="26"/>
        <v>797335.11346666643</v>
      </c>
      <c r="J888">
        <f>Overtime!D888</f>
        <v>0</v>
      </c>
      <c r="K888">
        <f>IF(C888="Junior",0.06,IF(C888="Mid",0.08,IF(C888="Senior",0.1,IF(C888="Manager",0.12,0))))</f>
        <v>0.12</v>
      </c>
      <c r="L888">
        <f>IF(Performance!E888&gt;2,0.03,IF(Performance!E888&gt;=1,0.01,-0.02))</f>
        <v>0.01</v>
      </c>
      <c r="M888">
        <f t="shared" si="27"/>
        <v>0.13</v>
      </c>
      <c r="N888">
        <f>Earnings!B888*(1+M888)</f>
        <v>956887.84199999983</v>
      </c>
    </row>
    <row r="889" spans="1:14" x14ac:dyDescent="0.35">
      <c r="A889" t="s">
        <v>920</v>
      </c>
      <c r="B889" t="s">
        <v>27</v>
      </c>
      <c r="C889" t="s">
        <v>34</v>
      </c>
      <c r="D889" t="s">
        <v>22</v>
      </c>
      <c r="E889">
        <v>8</v>
      </c>
      <c r="F889" t="s">
        <v>28</v>
      </c>
      <c r="G889">
        <f>Earnings!G889</f>
        <v>536645.63679999998</v>
      </c>
      <c r="H889">
        <f>Deductions!B889+Deductions!C889+Deductions!D889+Tax!D889</f>
        <v>4103.3900000000012</v>
      </c>
      <c r="I889">
        <f t="shared" si="26"/>
        <v>532542.24679999996</v>
      </c>
      <c r="J889">
        <f>Overtime!D889</f>
        <v>0</v>
      </c>
      <c r="K889">
        <f>IF(C889="Junior",0.06,IF(C889="Mid",0.08,IF(C889="Senior",0.1,IF(C889="Manager",0.12,0))))</f>
        <v>0.08</v>
      </c>
      <c r="L889">
        <f>IF(Performance!E889&gt;2,0.03,IF(Performance!E889&gt;=1,0.01,-0.02))</f>
        <v>0.01</v>
      </c>
      <c r="M889">
        <f t="shared" si="27"/>
        <v>0.09</v>
      </c>
      <c r="N889">
        <f>Earnings!B889*(1+M889)</f>
        <v>614436.70600000012</v>
      </c>
    </row>
    <row r="890" spans="1:14" x14ac:dyDescent="0.35">
      <c r="A890" t="s">
        <v>921</v>
      </c>
      <c r="B890" t="s">
        <v>15</v>
      </c>
      <c r="C890" t="s">
        <v>34</v>
      </c>
      <c r="D890" t="s">
        <v>22</v>
      </c>
      <c r="E890">
        <v>2</v>
      </c>
      <c r="F890" t="s">
        <v>45</v>
      </c>
      <c r="G890">
        <f>Earnings!G890</f>
        <v>501368.61039999989</v>
      </c>
      <c r="H890">
        <f>Deductions!B890+Deductions!C890+Deductions!D890+Tax!D890</f>
        <v>3485.7949999999992</v>
      </c>
      <c r="I890">
        <f t="shared" si="26"/>
        <v>566347.01639999985</v>
      </c>
      <c r="J890">
        <f>Overtime!D890</f>
        <v>68464.201000000001</v>
      </c>
      <c r="K890">
        <f>IF(C890="Junior",0.06,IF(C890="Mid",0.08,IF(C890="Senior",0.1,IF(C890="Manager",0.12,0))))</f>
        <v>0.08</v>
      </c>
      <c r="L890">
        <f>IF(Performance!E890&gt;2,0.03,IF(Performance!E890&gt;=1,0.01,-0.02))</f>
        <v>0.01</v>
      </c>
      <c r="M890">
        <f t="shared" si="27"/>
        <v>0.09</v>
      </c>
      <c r="N890">
        <f>Earnings!B890*(1+M890)</f>
        <v>574045.99300000002</v>
      </c>
    </row>
    <row r="891" spans="1:14" x14ac:dyDescent="0.35">
      <c r="A891" t="s">
        <v>922</v>
      </c>
      <c r="B891" t="s">
        <v>30</v>
      </c>
      <c r="C891" t="s">
        <v>44</v>
      </c>
      <c r="D891" t="s">
        <v>22</v>
      </c>
      <c r="E891">
        <v>3</v>
      </c>
      <c r="F891" t="s">
        <v>45</v>
      </c>
      <c r="G891">
        <f>Earnings!G891</f>
        <v>819730.07200000004</v>
      </c>
      <c r="H891">
        <f>Deductions!B891+Deductions!C891+Deductions!D891+Tax!D891</f>
        <v>9059.3499999999985</v>
      </c>
      <c r="I891">
        <f t="shared" si="26"/>
        <v>909692.73700000008</v>
      </c>
      <c r="J891">
        <f>Overtime!D891</f>
        <v>99022.015000000014</v>
      </c>
      <c r="K891">
        <f>IF(C891="Junior",0.06,IF(C891="Mid",0.08,IF(C891="Senior",0.1,IF(C891="Manager",0.12,0))))</f>
        <v>0.12</v>
      </c>
      <c r="L891">
        <f>IF(Performance!E891&gt;2,0.03,IF(Performance!E891&gt;=1,0.01,-0.02))</f>
        <v>0.01</v>
      </c>
      <c r="M891">
        <f t="shared" si="27"/>
        <v>0.13</v>
      </c>
      <c r="N891">
        <f>Earnings!B891*(1+M891)</f>
        <v>972998.92999999993</v>
      </c>
    </row>
    <row r="892" spans="1:14" x14ac:dyDescent="0.35">
      <c r="A892" t="s">
        <v>923</v>
      </c>
      <c r="B892" t="s">
        <v>27</v>
      </c>
      <c r="C892" t="s">
        <v>16</v>
      </c>
      <c r="D892" t="s">
        <v>17</v>
      </c>
      <c r="E892">
        <v>10</v>
      </c>
      <c r="F892" t="s">
        <v>23</v>
      </c>
      <c r="G892">
        <f>Earnings!G892</f>
        <v>742529.53599999996</v>
      </c>
      <c r="H892">
        <f>Deductions!B892+Deductions!C892+Deductions!D892+Tax!D892</f>
        <v>7707.8</v>
      </c>
      <c r="I892">
        <f t="shared" si="26"/>
        <v>734821.73599999992</v>
      </c>
      <c r="J892">
        <f>Overtime!D892</f>
        <v>0</v>
      </c>
      <c r="K892">
        <f>IF(C892="Junior",0.06,IF(C892="Mid",0.08,IF(C892="Senior",0.1,IF(C892="Manager",0.12,0))))</f>
        <v>0.06</v>
      </c>
      <c r="L892">
        <f>IF(Performance!E892&gt;2,0.03,IF(Performance!E892&gt;=1,0.01,-0.02))</f>
        <v>0.01</v>
      </c>
      <c r="M892">
        <f t="shared" si="27"/>
        <v>6.9999999999999993E-2</v>
      </c>
      <c r="N892">
        <f>Earnings!B892*(1+M892)</f>
        <v>834565.76</v>
      </c>
    </row>
    <row r="893" spans="1:14" x14ac:dyDescent="0.35">
      <c r="A893" t="s">
        <v>924</v>
      </c>
      <c r="B893" t="s">
        <v>20</v>
      </c>
      <c r="C893" t="s">
        <v>44</v>
      </c>
      <c r="D893" t="s">
        <v>22</v>
      </c>
      <c r="E893">
        <v>4</v>
      </c>
      <c r="F893" t="s">
        <v>25</v>
      </c>
      <c r="G893">
        <f>Earnings!G893</f>
        <v>656010.15759999992</v>
      </c>
      <c r="H893">
        <f>Deductions!B893+Deductions!C893+Deductions!D893+Tax!D893</f>
        <v>6193.1049999999987</v>
      </c>
      <c r="I893">
        <f t="shared" si="26"/>
        <v>746289.13459999999</v>
      </c>
      <c r="J893">
        <f>Overtime!D893</f>
        <v>96472.082000000009</v>
      </c>
      <c r="K893">
        <f>IF(C893="Junior",0.06,IF(C893="Mid",0.08,IF(C893="Senior",0.1,IF(C893="Manager",0.12,0))))</f>
        <v>0.12</v>
      </c>
      <c r="L893">
        <f>IF(Performance!E893&gt;2,0.03,IF(Performance!E893&gt;=1,0.01,-0.02))</f>
        <v>0.03</v>
      </c>
      <c r="M893">
        <f t="shared" si="27"/>
        <v>0.15</v>
      </c>
      <c r="N893">
        <f>Earnings!B893*(1+M893)</f>
        <v>792449.24499999988</v>
      </c>
    </row>
    <row r="894" spans="1:14" x14ac:dyDescent="0.35">
      <c r="A894" t="s">
        <v>925</v>
      </c>
      <c r="B894" t="s">
        <v>15</v>
      </c>
      <c r="C894" t="s">
        <v>34</v>
      </c>
      <c r="D894" t="s">
        <v>17</v>
      </c>
      <c r="E894">
        <v>11</v>
      </c>
      <c r="F894" t="s">
        <v>71</v>
      </c>
      <c r="G894">
        <f>Earnings!G894</f>
        <v>826579.71199999994</v>
      </c>
      <c r="H894">
        <f>Deductions!B894+Deductions!C894+Deductions!D894+Tax!D894</f>
        <v>9179.2666666666664</v>
      </c>
      <c r="I894">
        <f t="shared" si="26"/>
        <v>873837.08533333323</v>
      </c>
      <c r="J894">
        <f>Overtime!D894</f>
        <v>56436.640000000007</v>
      </c>
      <c r="K894">
        <f>IF(C894="Junior",0.06,IF(C894="Mid",0.08,IF(C894="Senior",0.1,IF(C894="Manager",0.12,0))))</f>
        <v>0.08</v>
      </c>
      <c r="L894">
        <f>IF(Performance!E894&gt;2,0.03,IF(Performance!E894&gt;=1,0.01,-0.02))</f>
        <v>0.01</v>
      </c>
      <c r="M894">
        <f t="shared" si="27"/>
        <v>0.09</v>
      </c>
      <c r="N894">
        <f>Earnings!B894*(1+M894)</f>
        <v>946399.04</v>
      </c>
    </row>
    <row r="895" spans="1:14" x14ac:dyDescent="0.35">
      <c r="A895" t="s">
        <v>926</v>
      </c>
      <c r="B895" t="s">
        <v>36</v>
      </c>
      <c r="C895" t="s">
        <v>16</v>
      </c>
      <c r="D895" t="s">
        <v>17</v>
      </c>
      <c r="E895">
        <v>8</v>
      </c>
      <c r="F895" t="s">
        <v>25</v>
      </c>
      <c r="G895">
        <f>Earnings!G895</f>
        <v>1134148.064</v>
      </c>
      <c r="H895">
        <f>Deductions!B895+Deductions!C895+Deductions!D895+Tax!D895</f>
        <v>16158.300000000001</v>
      </c>
      <c r="I895">
        <f t="shared" si="26"/>
        <v>1153729.7239999999</v>
      </c>
      <c r="J895">
        <f>Overtime!D895</f>
        <v>35739.96</v>
      </c>
      <c r="K895">
        <f>IF(C895="Junior",0.06,IF(C895="Mid",0.08,IF(C895="Senior",0.1,IF(C895="Manager",0.12,0))))</f>
        <v>0.06</v>
      </c>
      <c r="L895">
        <f>IF(Performance!E895&gt;2,0.03,IF(Performance!E895&gt;=1,0.01,-0.02))</f>
        <v>0.01</v>
      </c>
      <c r="M895">
        <f t="shared" si="27"/>
        <v>6.9999999999999993E-2</v>
      </c>
      <c r="N895">
        <f>Earnings!B895*(1+M895)</f>
        <v>1274725.24</v>
      </c>
    </row>
    <row r="896" spans="1:14" x14ac:dyDescent="0.35">
      <c r="A896" t="s">
        <v>927</v>
      </c>
      <c r="B896" t="s">
        <v>20</v>
      </c>
      <c r="C896" t="s">
        <v>16</v>
      </c>
      <c r="D896" t="s">
        <v>17</v>
      </c>
      <c r="E896">
        <v>2</v>
      </c>
      <c r="F896" t="s">
        <v>71</v>
      </c>
      <c r="G896">
        <f>Earnings!G896</f>
        <v>514691.18400000001</v>
      </c>
      <c r="H896">
        <f>Deductions!B896+Deductions!C896+Deductions!D896+Tax!D896</f>
        <v>3719.0333333333338</v>
      </c>
      <c r="I896">
        <f t="shared" si="26"/>
        <v>581255.61066666665</v>
      </c>
      <c r="J896">
        <f>Overtime!D896</f>
        <v>70283.460000000006</v>
      </c>
      <c r="K896">
        <f>IF(C896="Junior",0.06,IF(C896="Mid",0.08,IF(C896="Senior",0.1,IF(C896="Manager",0.12,0))))</f>
        <v>0.06</v>
      </c>
      <c r="L896">
        <f>IF(Performance!E896&gt;2,0.03,IF(Performance!E896&gt;=1,0.01,-0.02))</f>
        <v>0.03</v>
      </c>
      <c r="M896">
        <f t="shared" si="27"/>
        <v>0.09</v>
      </c>
      <c r="N896">
        <f>Earnings!B896*(1+M896)</f>
        <v>589299.78</v>
      </c>
    </row>
    <row r="897" spans="1:14" x14ac:dyDescent="0.35">
      <c r="A897" t="s">
        <v>928</v>
      </c>
      <c r="B897" t="s">
        <v>20</v>
      </c>
      <c r="C897" t="s">
        <v>34</v>
      </c>
      <c r="D897" t="s">
        <v>22</v>
      </c>
      <c r="E897">
        <v>9</v>
      </c>
      <c r="F897" t="s">
        <v>32</v>
      </c>
      <c r="G897">
        <f>Earnings!G897</f>
        <v>736566.87439999986</v>
      </c>
      <c r="H897">
        <f>Deductions!B897+Deductions!C897+Deductions!D897+Tax!D897</f>
        <v>7603.4116666666669</v>
      </c>
      <c r="I897">
        <f t="shared" si="26"/>
        <v>728963.46273333323</v>
      </c>
      <c r="J897">
        <f>Overtime!D897</f>
        <v>0</v>
      </c>
      <c r="K897">
        <f>IF(C897="Junior",0.06,IF(C897="Mid",0.08,IF(C897="Senior",0.1,IF(C897="Manager",0.12,0))))</f>
        <v>0.08</v>
      </c>
      <c r="L897">
        <f>IF(Performance!E897&gt;2,0.03,IF(Performance!E897&gt;=1,0.01,-0.02))</f>
        <v>0.03</v>
      </c>
      <c r="M897">
        <f t="shared" si="27"/>
        <v>0.11</v>
      </c>
      <c r="N897">
        <f>Earnings!B897*(1+M897)</f>
        <v>858812.21700000006</v>
      </c>
    </row>
    <row r="898" spans="1:14" x14ac:dyDescent="0.35">
      <c r="A898" t="s">
        <v>929</v>
      </c>
      <c r="B898" t="s">
        <v>15</v>
      </c>
      <c r="C898" t="s">
        <v>16</v>
      </c>
      <c r="D898" t="s">
        <v>22</v>
      </c>
      <c r="E898">
        <v>0</v>
      </c>
      <c r="F898" t="s">
        <v>25</v>
      </c>
      <c r="G898">
        <f>Earnings!G898</f>
        <v>495422.18040000001</v>
      </c>
      <c r="H898">
        <f>Deductions!B898+Deductions!C898+Deductions!D898+Tax!D898</f>
        <v>3381.6908333333331</v>
      </c>
      <c r="I898">
        <f t="shared" ref="I898:I901" si="28">G898-H898+J898</f>
        <v>492040.48956666666</v>
      </c>
      <c r="J898">
        <f>Overtime!D898</f>
        <v>0</v>
      </c>
      <c r="K898">
        <f>IF(C898="Junior",0.06,IF(C898="Mid",0.08,IF(C898="Senior",0.1,IF(C898="Manager",0.12,0))))</f>
        <v>0.06</v>
      </c>
      <c r="L898">
        <f>IF(Performance!E898&gt;2,0.03,IF(Performance!E898&gt;=1,0.01,-0.02))</f>
        <v>0.01</v>
      </c>
      <c r="M898">
        <f t="shared" ref="M898:M961" si="29">K898+L898</f>
        <v>6.9999999999999993E-2</v>
      </c>
      <c r="N898">
        <f>Earnings!B898*(1+M898)</f>
        <v>556829.55150000006</v>
      </c>
    </row>
    <row r="899" spans="1:14" x14ac:dyDescent="0.35">
      <c r="A899" t="s">
        <v>930</v>
      </c>
      <c r="B899" t="s">
        <v>27</v>
      </c>
      <c r="C899" t="s">
        <v>34</v>
      </c>
      <c r="D899" t="s">
        <v>17</v>
      </c>
      <c r="E899">
        <v>8</v>
      </c>
      <c r="F899" t="s">
        <v>28</v>
      </c>
      <c r="G899">
        <f>Earnings!G899</f>
        <v>759300.92</v>
      </c>
      <c r="H899">
        <f>Deductions!B899+Deductions!C899+Deductions!D899+Tax!D899</f>
        <v>8001.416666666667</v>
      </c>
      <c r="I899">
        <f t="shared" si="28"/>
        <v>751299.50333333341</v>
      </c>
      <c r="J899">
        <f>Overtime!D899</f>
        <v>0</v>
      </c>
      <c r="K899">
        <f>IF(C899="Junior",0.06,IF(C899="Mid",0.08,IF(C899="Senior",0.1,IF(C899="Manager",0.12,0))))</f>
        <v>0.08</v>
      </c>
      <c r="L899">
        <f>IF(Performance!E899&gt;2,0.03,IF(Performance!E899&gt;=1,0.01,-0.02))</f>
        <v>0.01</v>
      </c>
      <c r="M899">
        <f t="shared" si="29"/>
        <v>0.09</v>
      </c>
      <c r="N899">
        <f>Earnings!B899*(1+M899)</f>
        <v>869367.65</v>
      </c>
    </row>
    <row r="900" spans="1:14" x14ac:dyDescent="0.35">
      <c r="A900" t="s">
        <v>931</v>
      </c>
      <c r="B900" t="s">
        <v>27</v>
      </c>
      <c r="C900" t="s">
        <v>16</v>
      </c>
      <c r="D900" t="s">
        <v>22</v>
      </c>
      <c r="E900">
        <v>1</v>
      </c>
      <c r="F900" t="s">
        <v>32</v>
      </c>
      <c r="G900">
        <f>Earnings!G900</f>
        <v>516059.68400000001</v>
      </c>
      <c r="H900">
        <f>Deductions!B900+Deductions!C900+Deductions!D900+Tax!D900</f>
        <v>3742.9916666666668</v>
      </c>
      <c r="I900">
        <f t="shared" si="28"/>
        <v>512316.69233333337</v>
      </c>
      <c r="J900">
        <f>Overtime!D900</f>
        <v>0</v>
      </c>
      <c r="K900">
        <f>IF(C900="Junior",0.06,IF(C900="Mid",0.08,IF(C900="Senior",0.1,IF(C900="Manager",0.12,0))))</f>
        <v>0.06</v>
      </c>
      <c r="L900">
        <f>IF(Performance!E900&gt;2,0.03,IF(Performance!E900&gt;=1,0.01,-0.02))</f>
        <v>0.01</v>
      </c>
      <c r="M900">
        <f t="shared" si="29"/>
        <v>6.9999999999999993E-2</v>
      </c>
      <c r="N900">
        <f>Earnings!B900*(1+M900)</f>
        <v>580025.06500000006</v>
      </c>
    </row>
    <row r="901" spans="1:14" x14ac:dyDescent="0.35">
      <c r="A901" t="s">
        <v>932</v>
      </c>
      <c r="B901" t="s">
        <v>20</v>
      </c>
      <c r="C901" t="s">
        <v>34</v>
      </c>
      <c r="D901" t="s">
        <v>22</v>
      </c>
      <c r="E901">
        <v>13</v>
      </c>
      <c r="F901" t="s">
        <v>38</v>
      </c>
      <c r="G901">
        <f>Earnings!G901</f>
        <v>876189.95519999997</v>
      </c>
      <c r="H901">
        <f>Deductions!B901+Deductions!C901+Deductions!D901+Tax!D901</f>
        <v>10047.793333333335</v>
      </c>
      <c r="I901">
        <f t="shared" si="28"/>
        <v>866142.16186666663</v>
      </c>
      <c r="J901">
        <f>Overtime!D901</f>
        <v>0</v>
      </c>
      <c r="K901">
        <f>IF(C901="Junior",0.06,IF(C901="Mid",0.08,IF(C901="Senior",0.1,IF(C901="Manager",0.12,0))))</f>
        <v>0.08</v>
      </c>
      <c r="L901">
        <f>IF(Performance!E901&gt;2,0.03,IF(Performance!E901&gt;=1,0.01,-0.02))</f>
        <v>0.03</v>
      </c>
      <c r="M901">
        <f t="shared" si="29"/>
        <v>0.11</v>
      </c>
      <c r="N901">
        <f>Earnings!B901*(1+M901)</f>
        <v>1021608.0360000001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01"/>
  <sheetViews>
    <sheetView topLeftCell="A885" workbookViewId="0">
      <selection sqref="A1:G901"/>
    </sheetView>
  </sheetViews>
  <sheetFormatPr defaultRowHeight="14.5" x14ac:dyDescent="0.35"/>
  <sheetData>
    <row r="1" spans="1:7" x14ac:dyDescent="0.35">
      <c r="A1" t="s">
        <v>0</v>
      </c>
      <c r="B1" t="s">
        <v>939</v>
      </c>
      <c r="C1" t="s">
        <v>940</v>
      </c>
      <c r="D1" t="s">
        <v>941</v>
      </c>
      <c r="E1" t="s">
        <v>942</v>
      </c>
      <c r="F1" t="s">
        <v>943</v>
      </c>
      <c r="G1" t="s">
        <v>6</v>
      </c>
    </row>
    <row r="2" spans="1:7" x14ac:dyDescent="0.35">
      <c r="A2" t="s">
        <v>14</v>
      </c>
      <c r="B2">
        <v>567032</v>
      </c>
      <c r="C2">
        <v>226812.79999999999</v>
      </c>
      <c r="D2">
        <v>113406.39999999999</v>
      </c>
      <c r="E2">
        <v>142892.06400000001</v>
      </c>
      <c r="F2">
        <v>56703.199999999997</v>
      </c>
      <c r="G2">
        <v>539814.46399999992</v>
      </c>
    </row>
    <row r="3" spans="1:7" x14ac:dyDescent="0.35">
      <c r="A3" t="s">
        <v>19</v>
      </c>
      <c r="B3">
        <v>971985.85</v>
      </c>
      <c r="C3">
        <v>388794.34</v>
      </c>
      <c r="D3">
        <v>194397.17</v>
      </c>
      <c r="E3">
        <v>244940.43419999999</v>
      </c>
      <c r="F3">
        <v>97198.585000000006</v>
      </c>
      <c r="G3">
        <v>925330.52919999999</v>
      </c>
    </row>
    <row r="4" spans="1:7" x14ac:dyDescent="0.35">
      <c r="A4" t="s">
        <v>24</v>
      </c>
      <c r="B4">
        <v>647557</v>
      </c>
      <c r="C4">
        <v>259022.8</v>
      </c>
      <c r="D4">
        <v>129511.4</v>
      </c>
      <c r="E4">
        <v>163184.364</v>
      </c>
      <c r="F4">
        <v>64755.7</v>
      </c>
      <c r="G4">
        <v>616474.26399999997</v>
      </c>
    </row>
    <row r="5" spans="1:7" x14ac:dyDescent="0.35">
      <c r="A5" t="s">
        <v>26</v>
      </c>
      <c r="B5">
        <v>705914.6</v>
      </c>
      <c r="C5">
        <v>282365.84000000003</v>
      </c>
      <c r="D5">
        <v>141182.92000000001</v>
      </c>
      <c r="E5">
        <v>177890.47919999991</v>
      </c>
      <c r="F5">
        <v>70591.460000000006</v>
      </c>
      <c r="G5">
        <v>672030.69919999992</v>
      </c>
    </row>
    <row r="6" spans="1:7" x14ac:dyDescent="0.35">
      <c r="A6" t="s">
        <v>29</v>
      </c>
      <c r="B6">
        <v>1000642</v>
      </c>
      <c r="C6">
        <v>400256.8</v>
      </c>
      <c r="D6">
        <v>200128.4</v>
      </c>
      <c r="E6">
        <v>252161.7839999999</v>
      </c>
      <c r="F6">
        <v>100064.2</v>
      </c>
      <c r="G6">
        <v>952611.18399999989</v>
      </c>
    </row>
    <row r="7" spans="1:7" x14ac:dyDescent="0.35">
      <c r="A7" t="s">
        <v>31</v>
      </c>
      <c r="B7">
        <v>513985.15</v>
      </c>
      <c r="C7">
        <v>205594.06</v>
      </c>
      <c r="D7">
        <v>102797.03</v>
      </c>
      <c r="E7">
        <v>129524.25780000001</v>
      </c>
      <c r="F7">
        <v>51398.515000000007</v>
      </c>
      <c r="G7">
        <v>489313.8628</v>
      </c>
    </row>
    <row r="8" spans="1:7" x14ac:dyDescent="0.35">
      <c r="A8" t="s">
        <v>33</v>
      </c>
      <c r="B8">
        <v>902293.85</v>
      </c>
      <c r="C8">
        <v>360917.54</v>
      </c>
      <c r="D8">
        <v>180458.77</v>
      </c>
      <c r="E8">
        <v>227378.05019999991</v>
      </c>
      <c r="F8">
        <v>90229.385000000009</v>
      </c>
      <c r="G8">
        <v>858983.7452</v>
      </c>
    </row>
    <row r="9" spans="1:7" x14ac:dyDescent="0.35">
      <c r="A9" t="s">
        <v>35</v>
      </c>
      <c r="B9">
        <v>1082863</v>
      </c>
      <c r="C9">
        <v>433145.2</v>
      </c>
      <c r="D9">
        <v>216572.6</v>
      </c>
      <c r="E9">
        <v>272881.47599999991</v>
      </c>
      <c r="F9">
        <v>108286.3</v>
      </c>
      <c r="G9">
        <v>1030885.576</v>
      </c>
    </row>
    <row r="10" spans="1:7" x14ac:dyDescent="0.35">
      <c r="A10" t="s">
        <v>37</v>
      </c>
      <c r="B10">
        <v>1226309.3999999999</v>
      </c>
      <c r="C10">
        <v>490523.76</v>
      </c>
      <c r="D10">
        <v>245261.88</v>
      </c>
      <c r="E10">
        <v>309029.9687999998</v>
      </c>
      <c r="F10">
        <v>122630.94</v>
      </c>
      <c r="G10">
        <v>1167446.5488</v>
      </c>
    </row>
    <row r="11" spans="1:7" x14ac:dyDescent="0.35">
      <c r="A11" t="s">
        <v>39</v>
      </c>
      <c r="B11">
        <v>895109</v>
      </c>
      <c r="C11">
        <v>358043.6</v>
      </c>
      <c r="D11">
        <v>179021.8</v>
      </c>
      <c r="E11">
        <v>225567.46799999999</v>
      </c>
      <c r="F11">
        <v>89510.900000000009</v>
      </c>
      <c r="G11">
        <v>852143.76800000004</v>
      </c>
    </row>
    <row r="12" spans="1:7" x14ac:dyDescent="0.35">
      <c r="A12" t="s">
        <v>40</v>
      </c>
      <c r="B12">
        <v>562117.85</v>
      </c>
      <c r="C12">
        <v>224847.14</v>
      </c>
      <c r="D12">
        <v>112423.57</v>
      </c>
      <c r="E12">
        <v>141653.69820000001</v>
      </c>
      <c r="F12">
        <v>56211.785000000003</v>
      </c>
      <c r="G12">
        <v>535136.19319999998</v>
      </c>
    </row>
    <row r="13" spans="1:7" x14ac:dyDescent="0.35">
      <c r="A13" t="s">
        <v>41</v>
      </c>
      <c r="B13">
        <v>1001103</v>
      </c>
      <c r="C13">
        <v>400441.2</v>
      </c>
      <c r="D13">
        <v>200220.6</v>
      </c>
      <c r="E13">
        <v>252277.95599999989</v>
      </c>
      <c r="F13">
        <v>100110.3</v>
      </c>
      <c r="G13">
        <v>953050.05599999998</v>
      </c>
    </row>
    <row r="14" spans="1:7" x14ac:dyDescent="0.35">
      <c r="A14" t="s">
        <v>42</v>
      </c>
      <c r="B14">
        <v>948389</v>
      </c>
      <c r="C14">
        <v>379355.6</v>
      </c>
      <c r="D14">
        <v>189677.8</v>
      </c>
      <c r="E14">
        <v>238994.0279999999</v>
      </c>
      <c r="F14">
        <v>94838.900000000009</v>
      </c>
      <c r="G14">
        <v>902866.32799999998</v>
      </c>
    </row>
    <row r="15" spans="1:7" x14ac:dyDescent="0.35">
      <c r="A15" t="s">
        <v>43</v>
      </c>
      <c r="B15">
        <v>709628.15</v>
      </c>
      <c r="C15">
        <v>283851.26</v>
      </c>
      <c r="D15">
        <v>141925.63</v>
      </c>
      <c r="E15">
        <v>178826.29380000001</v>
      </c>
      <c r="F15">
        <v>70962.815000000002</v>
      </c>
      <c r="G15">
        <v>675565.99879999994</v>
      </c>
    </row>
    <row r="16" spans="1:7" x14ac:dyDescent="0.35">
      <c r="A16" t="s">
        <v>46</v>
      </c>
      <c r="B16">
        <v>983356.39999999991</v>
      </c>
      <c r="C16">
        <v>393342.56</v>
      </c>
      <c r="D16">
        <v>196671.28</v>
      </c>
      <c r="E16">
        <v>247805.81280000001</v>
      </c>
      <c r="F16">
        <v>98335.64</v>
      </c>
      <c r="G16">
        <v>936155.29279999994</v>
      </c>
    </row>
    <row r="17" spans="1:7" x14ac:dyDescent="0.35">
      <c r="A17" t="s">
        <v>47</v>
      </c>
      <c r="B17">
        <v>1107413.1000000001</v>
      </c>
      <c r="C17">
        <v>442965.24</v>
      </c>
      <c r="D17">
        <v>221482.62</v>
      </c>
      <c r="E17">
        <v>279068.10119999992</v>
      </c>
      <c r="F17">
        <v>110741.31</v>
      </c>
      <c r="G17">
        <v>1054257.2712000001</v>
      </c>
    </row>
    <row r="18" spans="1:7" x14ac:dyDescent="0.35">
      <c r="A18" t="s">
        <v>48</v>
      </c>
      <c r="B18">
        <v>655557.94999999995</v>
      </c>
      <c r="C18">
        <v>262223.18</v>
      </c>
      <c r="D18">
        <v>131111.59</v>
      </c>
      <c r="E18">
        <v>165200.60339999999</v>
      </c>
      <c r="F18">
        <v>65555.794999999998</v>
      </c>
      <c r="G18">
        <v>624091.16839999997</v>
      </c>
    </row>
    <row r="19" spans="1:7" x14ac:dyDescent="0.35">
      <c r="A19" t="s">
        <v>49</v>
      </c>
      <c r="B19">
        <v>1072408</v>
      </c>
      <c r="C19">
        <v>428963.2</v>
      </c>
      <c r="D19">
        <v>214481.6</v>
      </c>
      <c r="E19">
        <v>270246.81599999988</v>
      </c>
      <c r="F19">
        <v>107240.8</v>
      </c>
      <c r="G19">
        <v>1020932.416</v>
      </c>
    </row>
    <row r="20" spans="1:7" x14ac:dyDescent="0.35">
      <c r="A20" t="s">
        <v>50</v>
      </c>
      <c r="B20">
        <v>736364</v>
      </c>
      <c r="C20">
        <v>294545.59999999998</v>
      </c>
      <c r="D20">
        <v>147272.79999999999</v>
      </c>
      <c r="E20">
        <v>185563.728</v>
      </c>
      <c r="F20">
        <v>73636.400000000009</v>
      </c>
      <c r="G20">
        <v>701018.52800000005</v>
      </c>
    </row>
    <row r="21" spans="1:7" x14ac:dyDescent="0.35">
      <c r="A21" t="s">
        <v>51</v>
      </c>
      <c r="B21">
        <v>777432</v>
      </c>
      <c r="C21">
        <v>310972.79999999999</v>
      </c>
      <c r="D21">
        <v>155486.39999999999</v>
      </c>
      <c r="E21">
        <v>195912.86400000009</v>
      </c>
      <c r="F21">
        <v>77743.199999999997</v>
      </c>
      <c r="G21">
        <v>740115.26399999997</v>
      </c>
    </row>
    <row r="22" spans="1:7" x14ac:dyDescent="0.35">
      <c r="A22" t="s">
        <v>52</v>
      </c>
      <c r="B22">
        <v>791056</v>
      </c>
      <c r="C22">
        <v>316422.40000000002</v>
      </c>
      <c r="D22">
        <v>158211.20000000001</v>
      </c>
      <c r="E22">
        <v>199346.11199999999</v>
      </c>
      <c r="F22">
        <v>79105.600000000006</v>
      </c>
      <c r="G22">
        <v>753085.31200000003</v>
      </c>
    </row>
    <row r="23" spans="1:7" x14ac:dyDescent="0.35">
      <c r="A23" t="s">
        <v>53</v>
      </c>
      <c r="B23">
        <v>873438</v>
      </c>
      <c r="C23">
        <v>349375.2</v>
      </c>
      <c r="D23">
        <v>174687.6</v>
      </c>
      <c r="E23">
        <v>220106.3759999999</v>
      </c>
      <c r="F23">
        <v>87343.8</v>
      </c>
      <c r="G23">
        <v>831512.97600000002</v>
      </c>
    </row>
    <row r="24" spans="1:7" x14ac:dyDescent="0.35">
      <c r="A24" t="s">
        <v>54</v>
      </c>
      <c r="B24">
        <v>913645</v>
      </c>
      <c r="C24">
        <v>365458</v>
      </c>
      <c r="D24">
        <v>182729</v>
      </c>
      <c r="E24">
        <v>230238.54</v>
      </c>
      <c r="F24">
        <v>91364.5</v>
      </c>
      <c r="G24">
        <v>869790.04</v>
      </c>
    </row>
    <row r="25" spans="1:7" x14ac:dyDescent="0.35">
      <c r="A25" t="s">
        <v>55</v>
      </c>
      <c r="B25">
        <v>997430.64999999991</v>
      </c>
      <c r="C25">
        <v>398972.26</v>
      </c>
      <c r="D25">
        <v>199486.13</v>
      </c>
      <c r="E25">
        <v>251352.52379999979</v>
      </c>
      <c r="F25">
        <v>99743.065000000002</v>
      </c>
      <c r="G25">
        <v>949553.97879999992</v>
      </c>
    </row>
    <row r="26" spans="1:7" x14ac:dyDescent="0.35">
      <c r="A26" t="s">
        <v>56</v>
      </c>
      <c r="B26">
        <v>960193.5</v>
      </c>
      <c r="C26">
        <v>384077.4</v>
      </c>
      <c r="D26">
        <v>192038.7</v>
      </c>
      <c r="E26">
        <v>241968.7619999999</v>
      </c>
      <c r="F26">
        <v>96019.35</v>
      </c>
      <c r="G26">
        <v>914104.21199999994</v>
      </c>
    </row>
    <row r="27" spans="1:7" x14ac:dyDescent="0.35">
      <c r="A27" t="s">
        <v>57</v>
      </c>
      <c r="B27">
        <v>740750</v>
      </c>
      <c r="C27">
        <v>296300</v>
      </c>
      <c r="D27">
        <v>148150</v>
      </c>
      <c r="E27">
        <v>186669</v>
      </c>
      <c r="F27">
        <v>74075</v>
      </c>
      <c r="G27">
        <v>705194</v>
      </c>
    </row>
    <row r="28" spans="1:7" x14ac:dyDescent="0.35">
      <c r="A28" t="s">
        <v>58</v>
      </c>
      <c r="B28">
        <v>453237.4</v>
      </c>
      <c r="C28">
        <v>181294.96</v>
      </c>
      <c r="D28">
        <v>90647.48000000001</v>
      </c>
      <c r="E28">
        <v>114215.8247999999</v>
      </c>
      <c r="F28">
        <v>45323.740000000013</v>
      </c>
      <c r="G28">
        <v>431482.0048</v>
      </c>
    </row>
    <row r="29" spans="1:7" x14ac:dyDescent="0.35">
      <c r="A29" t="s">
        <v>59</v>
      </c>
      <c r="B29">
        <v>316075.45</v>
      </c>
      <c r="C29">
        <v>126430.18</v>
      </c>
      <c r="D29">
        <v>63215.09</v>
      </c>
      <c r="E29">
        <v>79651.013399999967</v>
      </c>
      <c r="F29">
        <v>31607.544999999998</v>
      </c>
      <c r="G29">
        <v>300903.82839999988</v>
      </c>
    </row>
    <row r="30" spans="1:7" x14ac:dyDescent="0.35">
      <c r="A30" t="s">
        <v>60</v>
      </c>
      <c r="B30">
        <v>817349.6</v>
      </c>
      <c r="C30">
        <v>326939.84000000003</v>
      </c>
      <c r="D30">
        <v>163469.92000000001</v>
      </c>
      <c r="E30">
        <v>205972.09920000011</v>
      </c>
      <c r="F30">
        <v>81734.960000000006</v>
      </c>
      <c r="G30">
        <v>778116.81920000003</v>
      </c>
    </row>
    <row r="31" spans="1:7" x14ac:dyDescent="0.35">
      <c r="A31" t="s">
        <v>61</v>
      </c>
      <c r="B31">
        <v>525708.15</v>
      </c>
      <c r="C31">
        <v>210283.26</v>
      </c>
      <c r="D31">
        <v>105141.63</v>
      </c>
      <c r="E31">
        <v>132478.45379999999</v>
      </c>
      <c r="F31">
        <v>52570.815000000002</v>
      </c>
      <c r="G31">
        <v>500474.15879999998</v>
      </c>
    </row>
    <row r="32" spans="1:7" x14ac:dyDescent="0.35">
      <c r="A32" t="s">
        <v>62</v>
      </c>
      <c r="B32">
        <v>936101</v>
      </c>
      <c r="C32">
        <v>374440.4</v>
      </c>
      <c r="D32">
        <v>187220.2</v>
      </c>
      <c r="E32">
        <v>235897.4519999999</v>
      </c>
      <c r="F32">
        <v>93610.1</v>
      </c>
      <c r="G32">
        <v>891168.152</v>
      </c>
    </row>
    <row r="33" spans="1:7" x14ac:dyDescent="0.35">
      <c r="A33" t="s">
        <v>63</v>
      </c>
      <c r="B33">
        <v>678877</v>
      </c>
      <c r="C33">
        <v>271550.8</v>
      </c>
      <c r="D33">
        <v>135775.4</v>
      </c>
      <c r="E33">
        <v>171077.00399999999</v>
      </c>
      <c r="F33">
        <v>67887.7</v>
      </c>
      <c r="G33">
        <v>646290.90399999986</v>
      </c>
    </row>
    <row r="34" spans="1:7" x14ac:dyDescent="0.35">
      <c r="A34" t="s">
        <v>64</v>
      </c>
      <c r="B34">
        <v>1067330</v>
      </c>
      <c r="C34">
        <v>426932</v>
      </c>
      <c r="D34">
        <v>213466</v>
      </c>
      <c r="E34">
        <v>268967.15999999997</v>
      </c>
      <c r="F34">
        <v>106733</v>
      </c>
      <c r="G34">
        <v>1016098.16</v>
      </c>
    </row>
    <row r="35" spans="1:7" x14ac:dyDescent="0.35">
      <c r="A35" t="s">
        <v>65</v>
      </c>
      <c r="B35">
        <v>803346.6</v>
      </c>
      <c r="C35">
        <v>321338.64</v>
      </c>
      <c r="D35">
        <v>160669.32</v>
      </c>
      <c r="E35">
        <v>202443.3432</v>
      </c>
      <c r="F35">
        <v>80334.66</v>
      </c>
      <c r="G35">
        <v>764785.9632</v>
      </c>
    </row>
    <row r="36" spans="1:7" x14ac:dyDescent="0.35">
      <c r="A36" t="s">
        <v>66</v>
      </c>
      <c r="B36">
        <v>515663.8</v>
      </c>
      <c r="C36">
        <v>206265.52</v>
      </c>
      <c r="D36">
        <v>103132.76</v>
      </c>
      <c r="E36">
        <v>129947.2776</v>
      </c>
      <c r="F36">
        <v>51566.38</v>
      </c>
      <c r="G36">
        <v>490911.9376</v>
      </c>
    </row>
    <row r="37" spans="1:7" x14ac:dyDescent="0.35">
      <c r="A37" t="s">
        <v>67</v>
      </c>
      <c r="B37">
        <v>799907.6</v>
      </c>
      <c r="C37">
        <v>319963.03999999998</v>
      </c>
      <c r="D37">
        <v>159981.51999999999</v>
      </c>
      <c r="E37">
        <v>201576.71519999989</v>
      </c>
      <c r="F37">
        <v>79990.760000000009</v>
      </c>
      <c r="G37">
        <v>761512.03519999993</v>
      </c>
    </row>
    <row r="38" spans="1:7" x14ac:dyDescent="0.35">
      <c r="A38" t="s">
        <v>68</v>
      </c>
      <c r="B38">
        <v>626435</v>
      </c>
      <c r="C38">
        <v>250574</v>
      </c>
      <c r="D38">
        <v>125287</v>
      </c>
      <c r="E38">
        <v>157861.62</v>
      </c>
      <c r="F38">
        <v>62643.5</v>
      </c>
      <c r="G38">
        <v>596366.12</v>
      </c>
    </row>
    <row r="39" spans="1:7" x14ac:dyDescent="0.35">
      <c r="A39" t="s">
        <v>69</v>
      </c>
      <c r="B39">
        <v>793420.04999999993</v>
      </c>
      <c r="C39">
        <v>317368.02</v>
      </c>
      <c r="D39">
        <v>158684.01</v>
      </c>
      <c r="E39">
        <v>199941.8525999999</v>
      </c>
      <c r="F39">
        <v>79342.005000000005</v>
      </c>
      <c r="G39">
        <v>755335.8875999999</v>
      </c>
    </row>
    <row r="40" spans="1:7" x14ac:dyDescent="0.35">
      <c r="A40" t="s">
        <v>70</v>
      </c>
      <c r="B40">
        <v>811459.6</v>
      </c>
      <c r="C40">
        <v>324583.84000000003</v>
      </c>
      <c r="D40">
        <v>162291.92000000001</v>
      </c>
      <c r="E40">
        <v>204487.8192</v>
      </c>
      <c r="F40">
        <v>81145.960000000006</v>
      </c>
      <c r="G40">
        <v>772509.5392</v>
      </c>
    </row>
    <row r="41" spans="1:7" x14ac:dyDescent="0.35">
      <c r="A41" t="s">
        <v>72</v>
      </c>
      <c r="B41">
        <v>550135</v>
      </c>
      <c r="C41">
        <v>220054</v>
      </c>
      <c r="D41">
        <v>110027</v>
      </c>
      <c r="E41">
        <v>138634.01999999999</v>
      </c>
      <c r="F41">
        <v>55013.5</v>
      </c>
      <c r="G41">
        <v>523728.52</v>
      </c>
    </row>
    <row r="42" spans="1:7" x14ac:dyDescent="0.35">
      <c r="A42" t="s">
        <v>73</v>
      </c>
      <c r="B42">
        <v>901852</v>
      </c>
      <c r="C42">
        <v>360740.8</v>
      </c>
      <c r="D42">
        <v>180370.4</v>
      </c>
      <c r="E42">
        <v>227266.70399999991</v>
      </c>
      <c r="F42">
        <v>90185.200000000012</v>
      </c>
      <c r="G42">
        <v>858563.10400000005</v>
      </c>
    </row>
    <row r="43" spans="1:7" x14ac:dyDescent="0.35">
      <c r="A43" t="s">
        <v>74</v>
      </c>
      <c r="B43">
        <v>989813</v>
      </c>
      <c r="C43">
        <v>395925.2</v>
      </c>
      <c r="D43">
        <v>197962.6</v>
      </c>
      <c r="E43">
        <v>249432.8759999999</v>
      </c>
      <c r="F43">
        <v>98981.3</v>
      </c>
      <c r="G43">
        <v>942301.97600000002</v>
      </c>
    </row>
    <row r="44" spans="1:7" x14ac:dyDescent="0.35">
      <c r="A44" t="s">
        <v>75</v>
      </c>
      <c r="B44">
        <v>1379544</v>
      </c>
      <c r="C44">
        <v>551817.6</v>
      </c>
      <c r="D44">
        <v>275908.8</v>
      </c>
      <c r="E44">
        <v>347645.08800000011</v>
      </c>
      <c r="F44">
        <v>137954.4</v>
      </c>
      <c r="G44">
        <v>1313325.888</v>
      </c>
    </row>
    <row r="45" spans="1:7" x14ac:dyDescent="0.35">
      <c r="A45" t="s">
        <v>76</v>
      </c>
      <c r="B45">
        <v>337354</v>
      </c>
      <c r="C45">
        <v>134941.6</v>
      </c>
      <c r="D45">
        <v>67470.8</v>
      </c>
      <c r="E45">
        <v>85013.207999999984</v>
      </c>
      <c r="F45">
        <v>33735.4</v>
      </c>
      <c r="G45">
        <v>321161.00799999997</v>
      </c>
    </row>
    <row r="46" spans="1:7" x14ac:dyDescent="0.35">
      <c r="A46" t="s">
        <v>77</v>
      </c>
      <c r="B46">
        <v>917263</v>
      </c>
      <c r="C46">
        <v>366905.2</v>
      </c>
      <c r="D46">
        <v>183452.6</v>
      </c>
      <c r="E46">
        <v>231150.27600000001</v>
      </c>
      <c r="F46">
        <v>91726.3</v>
      </c>
      <c r="G46">
        <v>873234.37600000005</v>
      </c>
    </row>
    <row r="47" spans="1:7" x14ac:dyDescent="0.35">
      <c r="A47" t="s">
        <v>78</v>
      </c>
      <c r="B47">
        <v>919159</v>
      </c>
      <c r="C47">
        <v>367663.6</v>
      </c>
      <c r="D47">
        <v>183831.8</v>
      </c>
      <c r="E47">
        <v>231628.068</v>
      </c>
      <c r="F47">
        <v>91915.900000000009</v>
      </c>
      <c r="G47">
        <v>875039.36800000002</v>
      </c>
    </row>
    <row r="48" spans="1:7" x14ac:dyDescent="0.35">
      <c r="A48" t="s">
        <v>79</v>
      </c>
      <c r="B48">
        <v>891858</v>
      </c>
      <c r="C48">
        <v>356743.2</v>
      </c>
      <c r="D48">
        <v>178371.6</v>
      </c>
      <c r="E48">
        <v>224748.2159999999</v>
      </c>
      <c r="F48">
        <v>89185.8</v>
      </c>
      <c r="G48">
        <v>849048.81599999999</v>
      </c>
    </row>
    <row r="49" spans="1:7" x14ac:dyDescent="0.35">
      <c r="A49" t="s">
        <v>80</v>
      </c>
      <c r="B49">
        <v>821035</v>
      </c>
      <c r="C49">
        <v>328414</v>
      </c>
      <c r="D49">
        <v>164207</v>
      </c>
      <c r="E49">
        <v>206900.81999999989</v>
      </c>
      <c r="F49">
        <v>82103.5</v>
      </c>
      <c r="G49">
        <v>781625.32</v>
      </c>
    </row>
    <row r="50" spans="1:7" x14ac:dyDescent="0.35">
      <c r="A50" t="s">
        <v>81</v>
      </c>
      <c r="B50">
        <v>1199530.8</v>
      </c>
      <c r="C50">
        <v>479812.32000000012</v>
      </c>
      <c r="D50">
        <v>239906.16</v>
      </c>
      <c r="E50">
        <v>302281.76160000003</v>
      </c>
      <c r="F50">
        <v>119953.08</v>
      </c>
      <c r="G50">
        <v>1141953.3215999999</v>
      </c>
    </row>
    <row r="51" spans="1:7" x14ac:dyDescent="0.35">
      <c r="A51" t="s">
        <v>82</v>
      </c>
      <c r="B51">
        <v>1532630</v>
      </c>
      <c r="C51">
        <v>613052</v>
      </c>
      <c r="D51">
        <v>306526</v>
      </c>
      <c r="E51">
        <v>386222.76</v>
      </c>
      <c r="F51">
        <v>153263</v>
      </c>
      <c r="G51">
        <v>1459063.76</v>
      </c>
    </row>
    <row r="52" spans="1:7" x14ac:dyDescent="0.35">
      <c r="A52" t="s">
        <v>83</v>
      </c>
      <c r="B52">
        <v>926596</v>
      </c>
      <c r="C52">
        <v>370638.4</v>
      </c>
      <c r="D52">
        <v>185319.2</v>
      </c>
      <c r="E52">
        <v>233502.19199999989</v>
      </c>
      <c r="F52">
        <v>92659.6</v>
      </c>
      <c r="G52">
        <v>882119.39199999999</v>
      </c>
    </row>
    <row r="53" spans="1:7" x14ac:dyDescent="0.35">
      <c r="A53" t="s">
        <v>84</v>
      </c>
      <c r="B53">
        <v>958572</v>
      </c>
      <c r="C53">
        <v>383428.8</v>
      </c>
      <c r="D53">
        <v>191714.4</v>
      </c>
      <c r="E53">
        <v>241560.14399999991</v>
      </c>
      <c r="F53">
        <v>95857.200000000012</v>
      </c>
      <c r="G53">
        <v>912560.54399999999</v>
      </c>
    </row>
    <row r="54" spans="1:7" x14ac:dyDescent="0.35">
      <c r="A54" t="s">
        <v>85</v>
      </c>
      <c r="B54">
        <v>805265</v>
      </c>
      <c r="C54">
        <v>322106</v>
      </c>
      <c r="D54">
        <v>161053</v>
      </c>
      <c r="E54">
        <v>202926.78</v>
      </c>
      <c r="F54">
        <v>80526.5</v>
      </c>
      <c r="G54">
        <v>766612.28</v>
      </c>
    </row>
    <row r="55" spans="1:7" x14ac:dyDescent="0.35">
      <c r="A55" t="s">
        <v>86</v>
      </c>
      <c r="B55">
        <v>794158</v>
      </c>
      <c r="C55">
        <v>317663.2</v>
      </c>
      <c r="D55">
        <v>158831.6</v>
      </c>
      <c r="E55">
        <v>200127.8159999999</v>
      </c>
      <c r="F55">
        <v>79415.8</v>
      </c>
      <c r="G55">
        <v>756038.41599999997</v>
      </c>
    </row>
    <row r="56" spans="1:7" x14ac:dyDescent="0.35">
      <c r="A56" t="s">
        <v>87</v>
      </c>
      <c r="B56">
        <v>1214153.2</v>
      </c>
      <c r="C56">
        <v>485661.28</v>
      </c>
      <c r="D56">
        <v>242830.64</v>
      </c>
      <c r="E56">
        <v>305966.60639999987</v>
      </c>
      <c r="F56">
        <v>121415.32</v>
      </c>
      <c r="G56">
        <v>1155873.8463999999</v>
      </c>
    </row>
    <row r="57" spans="1:7" x14ac:dyDescent="0.35">
      <c r="A57" t="s">
        <v>88</v>
      </c>
      <c r="B57">
        <v>1033034.75</v>
      </c>
      <c r="C57">
        <v>413213.9</v>
      </c>
      <c r="D57">
        <v>206606.95</v>
      </c>
      <c r="E57">
        <v>260324.75700000001</v>
      </c>
      <c r="F57">
        <v>103303.47500000001</v>
      </c>
      <c r="G57">
        <v>983449.08200000005</v>
      </c>
    </row>
    <row r="58" spans="1:7" x14ac:dyDescent="0.35">
      <c r="A58" t="s">
        <v>89</v>
      </c>
      <c r="B58">
        <v>920683</v>
      </c>
      <c r="C58">
        <v>368273.2</v>
      </c>
      <c r="D58">
        <v>184136.6</v>
      </c>
      <c r="E58">
        <v>232012.11599999989</v>
      </c>
      <c r="F58">
        <v>92068.3</v>
      </c>
      <c r="G58">
        <v>876490.21600000001</v>
      </c>
    </row>
    <row r="59" spans="1:7" x14ac:dyDescent="0.35">
      <c r="A59" t="s">
        <v>90</v>
      </c>
      <c r="B59">
        <v>711929.04999999993</v>
      </c>
      <c r="C59">
        <v>284771.62</v>
      </c>
      <c r="D59">
        <v>142385.81</v>
      </c>
      <c r="E59">
        <v>179406.12059999991</v>
      </c>
      <c r="F59">
        <v>71192.904999999999</v>
      </c>
      <c r="G59">
        <v>677756.45559999999</v>
      </c>
    </row>
    <row r="60" spans="1:7" x14ac:dyDescent="0.35">
      <c r="A60" t="s">
        <v>91</v>
      </c>
      <c r="B60">
        <v>1037476.95</v>
      </c>
      <c r="C60">
        <v>414990.78</v>
      </c>
      <c r="D60">
        <v>207495.39</v>
      </c>
      <c r="E60">
        <v>261444.19140000001</v>
      </c>
      <c r="F60">
        <v>103747.69500000001</v>
      </c>
      <c r="G60">
        <v>987678.05640000012</v>
      </c>
    </row>
    <row r="61" spans="1:7" x14ac:dyDescent="0.35">
      <c r="A61" t="s">
        <v>92</v>
      </c>
      <c r="B61">
        <v>417710.25</v>
      </c>
      <c r="C61">
        <v>167084.1</v>
      </c>
      <c r="D61">
        <v>83542.05</v>
      </c>
      <c r="E61">
        <v>105262.98299999991</v>
      </c>
      <c r="F61">
        <v>41771.025000000001</v>
      </c>
      <c r="G61">
        <v>397660.158</v>
      </c>
    </row>
    <row r="62" spans="1:7" x14ac:dyDescent="0.35">
      <c r="A62" t="s">
        <v>93</v>
      </c>
      <c r="B62">
        <v>471655</v>
      </c>
      <c r="C62">
        <v>188662</v>
      </c>
      <c r="D62">
        <v>94331</v>
      </c>
      <c r="E62">
        <v>118857.06</v>
      </c>
      <c r="F62">
        <v>47165.5</v>
      </c>
      <c r="G62">
        <v>449015.56</v>
      </c>
    </row>
    <row r="63" spans="1:7" x14ac:dyDescent="0.35">
      <c r="A63" t="s">
        <v>94</v>
      </c>
      <c r="B63">
        <v>1161668.55</v>
      </c>
      <c r="C63">
        <v>464667.42</v>
      </c>
      <c r="D63">
        <v>232333.71</v>
      </c>
      <c r="E63">
        <v>292740.47460000002</v>
      </c>
      <c r="F63">
        <v>116166.855</v>
      </c>
      <c r="G63">
        <v>1105908.4595999999</v>
      </c>
    </row>
    <row r="64" spans="1:7" x14ac:dyDescent="0.35">
      <c r="A64" t="s">
        <v>95</v>
      </c>
      <c r="B64">
        <v>606857.15</v>
      </c>
      <c r="C64">
        <v>242742.86</v>
      </c>
      <c r="D64">
        <v>121371.43</v>
      </c>
      <c r="E64">
        <v>152928.0018</v>
      </c>
      <c r="F64">
        <v>60685.714999999997</v>
      </c>
      <c r="G64">
        <v>577728.00679999997</v>
      </c>
    </row>
    <row r="65" spans="1:7" x14ac:dyDescent="0.35">
      <c r="A65" t="s">
        <v>96</v>
      </c>
      <c r="B65">
        <v>630724</v>
      </c>
      <c r="C65">
        <v>252289.6</v>
      </c>
      <c r="D65">
        <v>126144.8</v>
      </c>
      <c r="E65">
        <v>158942.448</v>
      </c>
      <c r="F65">
        <v>63072.4</v>
      </c>
      <c r="G65">
        <v>600449.24800000002</v>
      </c>
    </row>
    <row r="66" spans="1:7" x14ac:dyDescent="0.35">
      <c r="A66" t="s">
        <v>97</v>
      </c>
      <c r="B66">
        <v>1006208</v>
      </c>
      <c r="C66">
        <v>402483.20000000001</v>
      </c>
      <c r="D66">
        <v>201241.60000000001</v>
      </c>
      <c r="E66">
        <v>253564.416</v>
      </c>
      <c r="F66">
        <v>100620.8</v>
      </c>
      <c r="G66">
        <v>957910.01600000006</v>
      </c>
    </row>
    <row r="67" spans="1:7" x14ac:dyDescent="0.35">
      <c r="A67" t="s">
        <v>98</v>
      </c>
      <c r="B67">
        <v>969241</v>
      </c>
      <c r="C67">
        <v>387696.4</v>
      </c>
      <c r="D67">
        <v>193848.2</v>
      </c>
      <c r="E67">
        <v>244248.73199999999</v>
      </c>
      <c r="F67">
        <v>96924.1</v>
      </c>
      <c r="G67">
        <v>922717.43200000003</v>
      </c>
    </row>
    <row r="68" spans="1:7" x14ac:dyDescent="0.35">
      <c r="A68" t="s">
        <v>99</v>
      </c>
      <c r="B68">
        <v>990572</v>
      </c>
      <c r="C68">
        <v>396228.8</v>
      </c>
      <c r="D68">
        <v>198114.4</v>
      </c>
      <c r="E68">
        <v>249624.14399999991</v>
      </c>
      <c r="F68">
        <v>99057.200000000012</v>
      </c>
      <c r="G68">
        <v>943024.54399999999</v>
      </c>
    </row>
    <row r="69" spans="1:7" x14ac:dyDescent="0.35">
      <c r="A69" t="s">
        <v>100</v>
      </c>
      <c r="B69">
        <v>863150.04999999993</v>
      </c>
      <c r="C69">
        <v>345260.02</v>
      </c>
      <c r="D69">
        <v>172630.01</v>
      </c>
      <c r="E69">
        <v>217513.81259999989</v>
      </c>
      <c r="F69">
        <v>86315.005000000005</v>
      </c>
      <c r="G69">
        <v>821718.84759999998</v>
      </c>
    </row>
    <row r="70" spans="1:7" x14ac:dyDescent="0.35">
      <c r="A70" t="s">
        <v>101</v>
      </c>
      <c r="B70">
        <v>629820.54999999993</v>
      </c>
      <c r="C70">
        <v>251928.22</v>
      </c>
      <c r="D70">
        <v>125964.11</v>
      </c>
      <c r="E70">
        <v>158714.77859999999</v>
      </c>
      <c r="F70">
        <v>62982.054999999993</v>
      </c>
      <c r="G70">
        <v>599589.16359999985</v>
      </c>
    </row>
    <row r="71" spans="1:7" x14ac:dyDescent="0.35">
      <c r="A71" t="s">
        <v>102</v>
      </c>
      <c r="B71">
        <v>931405.64999999991</v>
      </c>
      <c r="C71">
        <v>372562.26</v>
      </c>
      <c r="D71">
        <v>186281.13</v>
      </c>
      <c r="E71">
        <v>234714.2237999998</v>
      </c>
      <c r="F71">
        <v>93140.565000000002</v>
      </c>
      <c r="G71">
        <v>886698.17879999988</v>
      </c>
    </row>
    <row r="72" spans="1:7" x14ac:dyDescent="0.35">
      <c r="A72" t="s">
        <v>103</v>
      </c>
      <c r="B72">
        <v>881388</v>
      </c>
      <c r="C72">
        <v>352555.2</v>
      </c>
      <c r="D72">
        <v>176277.6</v>
      </c>
      <c r="E72">
        <v>222109.77600000001</v>
      </c>
      <c r="F72">
        <v>88138.8</v>
      </c>
      <c r="G72">
        <v>839081.37600000005</v>
      </c>
    </row>
    <row r="73" spans="1:7" x14ac:dyDescent="0.35">
      <c r="A73" t="s">
        <v>104</v>
      </c>
      <c r="B73">
        <v>1041963.8</v>
      </c>
      <c r="C73">
        <v>416785.52</v>
      </c>
      <c r="D73">
        <v>208392.76</v>
      </c>
      <c r="E73">
        <v>262574.87760000001</v>
      </c>
      <c r="F73">
        <v>104196.38</v>
      </c>
      <c r="G73">
        <v>991949.53760000004</v>
      </c>
    </row>
    <row r="74" spans="1:7" x14ac:dyDescent="0.35">
      <c r="A74" t="s">
        <v>105</v>
      </c>
      <c r="B74">
        <v>904263.2</v>
      </c>
      <c r="C74">
        <v>361705.28</v>
      </c>
      <c r="D74">
        <v>180852.64</v>
      </c>
      <c r="E74">
        <v>227874.3263999999</v>
      </c>
      <c r="F74">
        <v>90426.32</v>
      </c>
      <c r="G74">
        <v>860858.56639999989</v>
      </c>
    </row>
    <row r="75" spans="1:7" x14ac:dyDescent="0.35">
      <c r="A75" t="s">
        <v>106</v>
      </c>
      <c r="B75">
        <v>563579</v>
      </c>
      <c r="C75">
        <v>225431.6</v>
      </c>
      <c r="D75">
        <v>112715.8</v>
      </c>
      <c r="E75">
        <v>142021.90799999991</v>
      </c>
      <c r="F75">
        <v>56357.9</v>
      </c>
      <c r="G75">
        <v>536527.20799999998</v>
      </c>
    </row>
    <row r="76" spans="1:7" x14ac:dyDescent="0.35">
      <c r="A76" t="s">
        <v>107</v>
      </c>
      <c r="B76">
        <v>601193.25</v>
      </c>
      <c r="C76">
        <v>240477.3</v>
      </c>
      <c r="D76">
        <v>120238.65</v>
      </c>
      <c r="E76">
        <v>151500.69899999999</v>
      </c>
      <c r="F76">
        <v>60119.324999999997</v>
      </c>
      <c r="G76">
        <v>572335.97399999993</v>
      </c>
    </row>
    <row r="77" spans="1:7" x14ac:dyDescent="0.35">
      <c r="A77" t="s">
        <v>108</v>
      </c>
      <c r="B77">
        <v>511053</v>
      </c>
      <c r="C77">
        <v>204421.2</v>
      </c>
      <c r="D77">
        <v>102210.6</v>
      </c>
      <c r="E77">
        <v>128785.356</v>
      </c>
      <c r="F77">
        <v>51105.3</v>
      </c>
      <c r="G77">
        <v>486522.45600000001</v>
      </c>
    </row>
    <row r="78" spans="1:7" x14ac:dyDescent="0.35">
      <c r="A78" t="s">
        <v>109</v>
      </c>
      <c r="B78">
        <v>618725.5</v>
      </c>
      <c r="C78">
        <v>247490.2</v>
      </c>
      <c r="D78">
        <v>123745.1</v>
      </c>
      <c r="E78">
        <v>155918.82599999991</v>
      </c>
      <c r="F78">
        <v>61872.55</v>
      </c>
      <c r="G78">
        <v>589026.67599999998</v>
      </c>
    </row>
    <row r="79" spans="1:7" x14ac:dyDescent="0.35">
      <c r="A79" t="s">
        <v>110</v>
      </c>
      <c r="B79">
        <v>653503.1</v>
      </c>
      <c r="C79">
        <v>261401.24</v>
      </c>
      <c r="D79">
        <v>130700.62</v>
      </c>
      <c r="E79">
        <v>164682.7812</v>
      </c>
      <c r="F79">
        <v>65350.31</v>
      </c>
      <c r="G79">
        <v>622134.95120000001</v>
      </c>
    </row>
    <row r="80" spans="1:7" x14ac:dyDescent="0.35">
      <c r="A80" t="s">
        <v>111</v>
      </c>
      <c r="B80">
        <v>755778</v>
      </c>
      <c r="C80">
        <v>302311.2</v>
      </c>
      <c r="D80">
        <v>151155.6</v>
      </c>
      <c r="E80">
        <v>190456.05599999989</v>
      </c>
      <c r="F80">
        <v>75577.8</v>
      </c>
      <c r="G80">
        <v>719500.65599999996</v>
      </c>
    </row>
    <row r="81" spans="1:7" x14ac:dyDescent="0.35">
      <c r="A81" t="s">
        <v>112</v>
      </c>
      <c r="B81">
        <v>1188022</v>
      </c>
      <c r="C81">
        <v>475208.8</v>
      </c>
      <c r="D81">
        <v>237604.4</v>
      </c>
      <c r="E81">
        <v>299381.54399999988</v>
      </c>
      <c r="F81">
        <v>118802.2</v>
      </c>
      <c r="G81">
        <v>1130996.9439999999</v>
      </c>
    </row>
    <row r="82" spans="1:7" x14ac:dyDescent="0.35">
      <c r="A82" t="s">
        <v>113</v>
      </c>
      <c r="B82">
        <v>539877.4</v>
      </c>
      <c r="C82">
        <v>215950.96</v>
      </c>
      <c r="D82">
        <v>107975.48</v>
      </c>
      <c r="E82">
        <v>136049.1048</v>
      </c>
      <c r="F82">
        <v>53987.740000000013</v>
      </c>
      <c r="G82">
        <v>513963.28480000002</v>
      </c>
    </row>
    <row r="83" spans="1:7" x14ac:dyDescent="0.35">
      <c r="A83" t="s">
        <v>114</v>
      </c>
      <c r="B83">
        <v>732790.1</v>
      </c>
      <c r="C83">
        <v>293116.03999999998</v>
      </c>
      <c r="D83">
        <v>146558.01999999999</v>
      </c>
      <c r="E83">
        <v>184663.10519999999</v>
      </c>
      <c r="F83">
        <v>73279.009999999995</v>
      </c>
      <c r="G83">
        <v>697616.17519999994</v>
      </c>
    </row>
    <row r="84" spans="1:7" x14ac:dyDescent="0.35">
      <c r="A84" t="s">
        <v>115</v>
      </c>
      <c r="B84">
        <v>700665</v>
      </c>
      <c r="C84">
        <v>280266</v>
      </c>
      <c r="D84">
        <v>140133</v>
      </c>
      <c r="E84">
        <v>176567.58</v>
      </c>
      <c r="F84">
        <v>70066.5</v>
      </c>
      <c r="G84">
        <v>667033.08000000007</v>
      </c>
    </row>
    <row r="85" spans="1:7" x14ac:dyDescent="0.35">
      <c r="A85" t="s">
        <v>116</v>
      </c>
      <c r="B85">
        <v>774163.54999999993</v>
      </c>
      <c r="C85">
        <v>309665.42</v>
      </c>
      <c r="D85">
        <v>154832.71</v>
      </c>
      <c r="E85">
        <v>195089.21459999989</v>
      </c>
      <c r="F85">
        <v>77416.354999999996</v>
      </c>
      <c r="G85">
        <v>737003.69959999993</v>
      </c>
    </row>
    <row r="86" spans="1:7" x14ac:dyDescent="0.35">
      <c r="A86" t="s">
        <v>117</v>
      </c>
      <c r="B86">
        <v>1303954</v>
      </c>
      <c r="C86">
        <v>521581.6</v>
      </c>
      <c r="D86">
        <v>260790.8</v>
      </c>
      <c r="E86">
        <v>328596.40799999988</v>
      </c>
      <c r="F86">
        <v>130395.4</v>
      </c>
      <c r="G86">
        <v>1241364.2080000001</v>
      </c>
    </row>
    <row r="87" spans="1:7" x14ac:dyDescent="0.35">
      <c r="A87" t="s">
        <v>118</v>
      </c>
      <c r="B87">
        <v>676120</v>
      </c>
      <c r="C87">
        <v>270448</v>
      </c>
      <c r="D87">
        <v>135224</v>
      </c>
      <c r="E87">
        <v>170382.24</v>
      </c>
      <c r="F87">
        <v>67612</v>
      </c>
      <c r="G87">
        <v>643666.24</v>
      </c>
    </row>
    <row r="88" spans="1:7" x14ac:dyDescent="0.35">
      <c r="A88" t="s">
        <v>119</v>
      </c>
      <c r="B88">
        <v>768766</v>
      </c>
      <c r="C88">
        <v>307506.40000000002</v>
      </c>
      <c r="D88">
        <v>153753.20000000001</v>
      </c>
      <c r="E88">
        <v>193729.03199999989</v>
      </c>
      <c r="F88">
        <v>76876.600000000006</v>
      </c>
      <c r="G88">
        <v>731865.23199999996</v>
      </c>
    </row>
    <row r="89" spans="1:7" x14ac:dyDescent="0.35">
      <c r="A89" t="s">
        <v>120</v>
      </c>
      <c r="B89">
        <v>1092470</v>
      </c>
      <c r="C89">
        <v>436988</v>
      </c>
      <c r="D89">
        <v>218494</v>
      </c>
      <c r="E89">
        <v>275302.43999999989</v>
      </c>
      <c r="F89">
        <v>109247</v>
      </c>
      <c r="G89">
        <v>1040031.44</v>
      </c>
    </row>
    <row r="90" spans="1:7" x14ac:dyDescent="0.35">
      <c r="A90" t="s">
        <v>121</v>
      </c>
      <c r="B90">
        <v>996175</v>
      </c>
      <c r="C90">
        <v>398470</v>
      </c>
      <c r="D90">
        <v>199235</v>
      </c>
      <c r="E90">
        <v>251036.1</v>
      </c>
      <c r="F90">
        <v>99617.5</v>
      </c>
      <c r="G90">
        <v>948358.6</v>
      </c>
    </row>
    <row r="91" spans="1:7" x14ac:dyDescent="0.35">
      <c r="A91" t="s">
        <v>122</v>
      </c>
      <c r="B91">
        <v>809432</v>
      </c>
      <c r="C91">
        <v>323772.79999999999</v>
      </c>
      <c r="D91">
        <v>161886.39999999999</v>
      </c>
      <c r="E91">
        <v>203976.8639999998</v>
      </c>
      <c r="F91">
        <v>80943.200000000012</v>
      </c>
      <c r="G91">
        <v>770579.26399999997</v>
      </c>
    </row>
    <row r="92" spans="1:7" x14ac:dyDescent="0.35">
      <c r="A92" t="s">
        <v>123</v>
      </c>
      <c r="B92">
        <v>1101290</v>
      </c>
      <c r="C92">
        <v>440516</v>
      </c>
      <c r="D92">
        <v>220258</v>
      </c>
      <c r="E92">
        <v>277525.08</v>
      </c>
      <c r="F92">
        <v>110129</v>
      </c>
      <c r="G92">
        <v>1048428.08</v>
      </c>
    </row>
    <row r="93" spans="1:7" x14ac:dyDescent="0.35">
      <c r="A93" t="s">
        <v>124</v>
      </c>
      <c r="B93">
        <v>931327</v>
      </c>
      <c r="C93">
        <v>372530.8</v>
      </c>
      <c r="D93">
        <v>186265.4</v>
      </c>
      <c r="E93">
        <v>234694.40399999989</v>
      </c>
      <c r="F93">
        <v>93132.700000000012</v>
      </c>
      <c r="G93">
        <v>886623.304</v>
      </c>
    </row>
    <row r="94" spans="1:7" x14ac:dyDescent="0.35">
      <c r="A94" t="s">
        <v>125</v>
      </c>
      <c r="B94">
        <v>1029884.55</v>
      </c>
      <c r="C94">
        <v>411953.82000000012</v>
      </c>
      <c r="D94">
        <v>205976.91</v>
      </c>
      <c r="E94">
        <v>259530.90659999999</v>
      </c>
      <c r="F94">
        <v>102988.455</v>
      </c>
      <c r="G94">
        <v>980450.09160000016</v>
      </c>
    </row>
    <row r="95" spans="1:7" x14ac:dyDescent="0.35">
      <c r="A95" t="s">
        <v>126</v>
      </c>
      <c r="B95">
        <v>806318.2</v>
      </c>
      <c r="C95">
        <v>322527.28000000003</v>
      </c>
      <c r="D95">
        <v>161263.64000000001</v>
      </c>
      <c r="E95">
        <v>203192.18640000001</v>
      </c>
      <c r="F95">
        <v>80631.820000000007</v>
      </c>
      <c r="G95">
        <v>767614.9264</v>
      </c>
    </row>
    <row r="96" spans="1:7" x14ac:dyDescent="0.35">
      <c r="A96" t="s">
        <v>127</v>
      </c>
      <c r="B96">
        <v>1023019</v>
      </c>
      <c r="C96">
        <v>409207.6</v>
      </c>
      <c r="D96">
        <v>204603.8</v>
      </c>
      <c r="E96">
        <v>257800.78799999991</v>
      </c>
      <c r="F96">
        <v>102301.9</v>
      </c>
      <c r="G96">
        <v>973914.08799999999</v>
      </c>
    </row>
    <row r="97" spans="1:7" x14ac:dyDescent="0.35">
      <c r="A97" t="s">
        <v>128</v>
      </c>
      <c r="B97">
        <v>890389.39999999991</v>
      </c>
      <c r="C97">
        <v>356155.76</v>
      </c>
      <c r="D97">
        <v>178077.88</v>
      </c>
      <c r="E97">
        <v>224378.1287999998</v>
      </c>
      <c r="F97">
        <v>89038.94</v>
      </c>
      <c r="G97">
        <v>847650.70879999991</v>
      </c>
    </row>
    <row r="98" spans="1:7" x14ac:dyDescent="0.35">
      <c r="A98" t="s">
        <v>129</v>
      </c>
      <c r="B98">
        <v>822814.95</v>
      </c>
      <c r="C98">
        <v>329125.98</v>
      </c>
      <c r="D98">
        <v>164562.99</v>
      </c>
      <c r="E98">
        <v>207349.36739999999</v>
      </c>
      <c r="F98">
        <v>82281.494999999995</v>
      </c>
      <c r="G98">
        <v>783319.83239999996</v>
      </c>
    </row>
    <row r="99" spans="1:7" x14ac:dyDescent="0.35">
      <c r="A99" t="s">
        <v>130</v>
      </c>
      <c r="B99">
        <v>991252.79999999993</v>
      </c>
      <c r="C99">
        <v>396501.12</v>
      </c>
      <c r="D99">
        <v>198250.56</v>
      </c>
      <c r="E99">
        <v>249795.70559999999</v>
      </c>
      <c r="F99">
        <v>99125.28</v>
      </c>
      <c r="G99">
        <v>943672.66559999995</v>
      </c>
    </row>
    <row r="100" spans="1:7" x14ac:dyDescent="0.35">
      <c r="A100" t="s">
        <v>131</v>
      </c>
      <c r="B100">
        <v>597249.79999999993</v>
      </c>
      <c r="C100">
        <v>238899.92</v>
      </c>
      <c r="D100">
        <v>119449.96</v>
      </c>
      <c r="E100">
        <v>150506.94959999991</v>
      </c>
      <c r="F100">
        <v>59724.98</v>
      </c>
      <c r="G100">
        <v>568581.80959999992</v>
      </c>
    </row>
    <row r="101" spans="1:7" x14ac:dyDescent="0.35">
      <c r="A101" t="s">
        <v>132</v>
      </c>
      <c r="B101">
        <v>914168.85</v>
      </c>
      <c r="C101">
        <v>365667.54</v>
      </c>
      <c r="D101">
        <v>182833.77</v>
      </c>
      <c r="E101">
        <v>230370.55019999991</v>
      </c>
      <c r="F101">
        <v>91416.885000000009</v>
      </c>
      <c r="G101">
        <v>870288.7452</v>
      </c>
    </row>
    <row r="102" spans="1:7" x14ac:dyDescent="0.35">
      <c r="A102" t="s">
        <v>133</v>
      </c>
      <c r="B102">
        <v>762891.79999999993</v>
      </c>
      <c r="C102">
        <v>305156.71999999997</v>
      </c>
      <c r="D102">
        <v>152578.35999999999</v>
      </c>
      <c r="E102">
        <v>192248.73359999989</v>
      </c>
      <c r="F102">
        <v>76289.179999999993</v>
      </c>
      <c r="G102">
        <v>726272.99359999993</v>
      </c>
    </row>
    <row r="103" spans="1:7" x14ac:dyDescent="0.35">
      <c r="A103" t="s">
        <v>134</v>
      </c>
      <c r="B103">
        <v>711283</v>
      </c>
      <c r="C103">
        <v>284513.2</v>
      </c>
      <c r="D103">
        <v>142256.6</v>
      </c>
      <c r="E103">
        <v>179243.31599999999</v>
      </c>
      <c r="F103">
        <v>71128.3</v>
      </c>
      <c r="G103">
        <v>677141.41600000008</v>
      </c>
    </row>
    <row r="104" spans="1:7" x14ac:dyDescent="0.35">
      <c r="A104" t="s">
        <v>135</v>
      </c>
      <c r="B104">
        <v>796696</v>
      </c>
      <c r="C104">
        <v>318678.40000000002</v>
      </c>
      <c r="D104">
        <v>159339.20000000001</v>
      </c>
      <c r="E104">
        <v>200767.39199999991</v>
      </c>
      <c r="F104">
        <v>79669.600000000006</v>
      </c>
      <c r="G104">
        <v>758454.59199999983</v>
      </c>
    </row>
    <row r="105" spans="1:7" x14ac:dyDescent="0.35">
      <c r="A105" t="s">
        <v>136</v>
      </c>
      <c r="B105">
        <v>898193.64999999991</v>
      </c>
      <c r="C105">
        <v>359277.46</v>
      </c>
      <c r="D105">
        <v>179638.73</v>
      </c>
      <c r="E105">
        <v>226344.79979999989</v>
      </c>
      <c r="F105">
        <v>89819.364999999991</v>
      </c>
      <c r="G105">
        <v>855080.35479999986</v>
      </c>
    </row>
    <row r="106" spans="1:7" x14ac:dyDescent="0.35">
      <c r="A106" t="s">
        <v>137</v>
      </c>
      <c r="B106">
        <v>1509974</v>
      </c>
      <c r="C106">
        <v>603989.6</v>
      </c>
      <c r="D106">
        <v>301994.8</v>
      </c>
      <c r="E106">
        <v>380513.44800000009</v>
      </c>
      <c r="F106">
        <v>150997.4</v>
      </c>
      <c r="G106">
        <v>1437495.2479999999</v>
      </c>
    </row>
    <row r="107" spans="1:7" x14ac:dyDescent="0.35">
      <c r="A107" t="s">
        <v>138</v>
      </c>
      <c r="B107">
        <v>609167</v>
      </c>
      <c r="C107">
        <v>243666.8</v>
      </c>
      <c r="D107">
        <v>121833.4</v>
      </c>
      <c r="E107">
        <v>153510.084</v>
      </c>
      <c r="F107">
        <v>60916.7</v>
      </c>
      <c r="G107">
        <v>579926.98399999994</v>
      </c>
    </row>
    <row r="108" spans="1:7" x14ac:dyDescent="0.35">
      <c r="A108" t="s">
        <v>139</v>
      </c>
      <c r="B108">
        <v>1126046</v>
      </c>
      <c r="C108">
        <v>450418.4</v>
      </c>
      <c r="D108">
        <v>225209.2</v>
      </c>
      <c r="E108">
        <v>283763.59199999989</v>
      </c>
      <c r="F108">
        <v>112604.6</v>
      </c>
      <c r="G108">
        <v>1071995.7919999999</v>
      </c>
    </row>
    <row r="109" spans="1:7" x14ac:dyDescent="0.35">
      <c r="A109" t="s">
        <v>140</v>
      </c>
      <c r="B109">
        <v>568230</v>
      </c>
      <c r="C109">
        <v>227292</v>
      </c>
      <c r="D109">
        <v>113646</v>
      </c>
      <c r="E109">
        <v>143193.96</v>
      </c>
      <c r="F109">
        <v>56823</v>
      </c>
      <c r="G109">
        <v>540954.96</v>
      </c>
    </row>
    <row r="110" spans="1:7" x14ac:dyDescent="0.35">
      <c r="A110" t="s">
        <v>141</v>
      </c>
      <c r="B110">
        <v>724812.95</v>
      </c>
      <c r="C110">
        <v>289925.18</v>
      </c>
      <c r="D110">
        <v>144962.59</v>
      </c>
      <c r="E110">
        <v>182652.86339999989</v>
      </c>
      <c r="F110">
        <v>72481.294999999998</v>
      </c>
      <c r="G110">
        <v>690021.92839999998</v>
      </c>
    </row>
    <row r="111" spans="1:7" x14ac:dyDescent="0.35">
      <c r="A111" t="s">
        <v>142</v>
      </c>
      <c r="B111">
        <v>716504</v>
      </c>
      <c r="C111">
        <v>286601.59999999998</v>
      </c>
      <c r="D111">
        <v>143300.79999999999</v>
      </c>
      <c r="E111">
        <v>180559.00799999991</v>
      </c>
      <c r="F111">
        <v>71650.400000000009</v>
      </c>
      <c r="G111">
        <v>682111.80799999996</v>
      </c>
    </row>
    <row r="112" spans="1:7" x14ac:dyDescent="0.35">
      <c r="A112" t="s">
        <v>143</v>
      </c>
      <c r="B112">
        <v>1028555.5</v>
      </c>
      <c r="C112">
        <v>411422.2</v>
      </c>
      <c r="D112">
        <v>205711.1</v>
      </c>
      <c r="E112">
        <v>259195.98599999989</v>
      </c>
      <c r="F112">
        <v>102855.55</v>
      </c>
      <c r="G112">
        <v>979184.83600000001</v>
      </c>
    </row>
    <row r="113" spans="1:7" x14ac:dyDescent="0.35">
      <c r="A113" t="s">
        <v>144</v>
      </c>
      <c r="B113">
        <v>782619.5</v>
      </c>
      <c r="C113">
        <v>313047.8</v>
      </c>
      <c r="D113">
        <v>156523.9</v>
      </c>
      <c r="E113">
        <v>197220.11400000009</v>
      </c>
      <c r="F113">
        <v>78261.95</v>
      </c>
      <c r="G113">
        <v>745053.76399999997</v>
      </c>
    </row>
    <row r="114" spans="1:7" x14ac:dyDescent="0.35">
      <c r="A114" t="s">
        <v>145</v>
      </c>
      <c r="B114">
        <v>882919.54999999993</v>
      </c>
      <c r="C114">
        <v>353167.82</v>
      </c>
      <c r="D114">
        <v>176583.91</v>
      </c>
      <c r="E114">
        <v>222495.72660000011</v>
      </c>
      <c r="F114">
        <v>88291.955000000002</v>
      </c>
      <c r="G114">
        <v>840539.41159999999</v>
      </c>
    </row>
    <row r="115" spans="1:7" x14ac:dyDescent="0.35">
      <c r="A115" t="s">
        <v>146</v>
      </c>
      <c r="B115">
        <v>572258</v>
      </c>
      <c r="C115">
        <v>228903.2</v>
      </c>
      <c r="D115">
        <v>114451.6</v>
      </c>
      <c r="E115">
        <v>144209.01599999989</v>
      </c>
      <c r="F115">
        <v>57225.8</v>
      </c>
      <c r="G115">
        <v>544789.61600000004</v>
      </c>
    </row>
    <row r="116" spans="1:7" x14ac:dyDescent="0.35">
      <c r="A116" t="s">
        <v>147</v>
      </c>
      <c r="B116">
        <v>1517201</v>
      </c>
      <c r="C116">
        <v>606880.4</v>
      </c>
      <c r="D116">
        <v>303440.2</v>
      </c>
      <c r="E116">
        <v>382334.65199999983</v>
      </c>
      <c r="F116">
        <v>151720.1</v>
      </c>
      <c r="G116">
        <v>1444375.352</v>
      </c>
    </row>
    <row r="117" spans="1:7" x14ac:dyDescent="0.35">
      <c r="A117" t="s">
        <v>148</v>
      </c>
      <c r="B117">
        <v>995743</v>
      </c>
      <c r="C117">
        <v>398297.2</v>
      </c>
      <c r="D117">
        <v>199148.6</v>
      </c>
      <c r="E117">
        <v>250927.23599999989</v>
      </c>
      <c r="F117">
        <v>99574.3</v>
      </c>
      <c r="G117">
        <v>947947.33600000001</v>
      </c>
    </row>
    <row r="118" spans="1:7" x14ac:dyDescent="0.35">
      <c r="A118" t="s">
        <v>149</v>
      </c>
      <c r="B118">
        <v>846346.45</v>
      </c>
      <c r="C118">
        <v>338538.58</v>
      </c>
      <c r="D118">
        <v>169269.29</v>
      </c>
      <c r="E118">
        <v>213279.30540000001</v>
      </c>
      <c r="F118">
        <v>84634.645000000004</v>
      </c>
      <c r="G118">
        <v>805721.82039999997</v>
      </c>
    </row>
    <row r="119" spans="1:7" x14ac:dyDescent="0.35">
      <c r="A119" t="s">
        <v>150</v>
      </c>
      <c r="B119">
        <v>1047166.95</v>
      </c>
      <c r="C119">
        <v>418866.78</v>
      </c>
      <c r="D119">
        <v>209433.39</v>
      </c>
      <c r="E119">
        <v>263886.07140000002</v>
      </c>
      <c r="F119">
        <v>104716.69500000001</v>
      </c>
      <c r="G119">
        <v>996902.93640000001</v>
      </c>
    </row>
    <row r="120" spans="1:7" x14ac:dyDescent="0.35">
      <c r="A120" t="s">
        <v>151</v>
      </c>
      <c r="B120">
        <v>818280</v>
      </c>
      <c r="C120">
        <v>327312</v>
      </c>
      <c r="D120">
        <v>163656</v>
      </c>
      <c r="E120">
        <v>206206.56000000011</v>
      </c>
      <c r="F120">
        <v>81828</v>
      </c>
      <c r="G120">
        <v>779002.56</v>
      </c>
    </row>
    <row r="121" spans="1:7" x14ac:dyDescent="0.35">
      <c r="A121" t="s">
        <v>152</v>
      </c>
      <c r="B121">
        <v>1264523</v>
      </c>
      <c r="C121">
        <v>505809.2</v>
      </c>
      <c r="D121">
        <v>252904.6</v>
      </c>
      <c r="E121">
        <v>318659.79599999991</v>
      </c>
      <c r="F121">
        <v>126452.3</v>
      </c>
      <c r="G121">
        <v>1203825.8959999999</v>
      </c>
    </row>
    <row r="122" spans="1:7" x14ac:dyDescent="0.35">
      <c r="A122" t="s">
        <v>153</v>
      </c>
      <c r="B122">
        <v>805927.75</v>
      </c>
      <c r="C122">
        <v>322371.09999999998</v>
      </c>
      <c r="D122">
        <v>161185.54999999999</v>
      </c>
      <c r="E122">
        <v>203093.79299999989</v>
      </c>
      <c r="F122">
        <v>80592.775000000009</v>
      </c>
      <c r="G122">
        <v>767243.21799999999</v>
      </c>
    </row>
    <row r="123" spans="1:7" x14ac:dyDescent="0.35">
      <c r="A123" t="s">
        <v>154</v>
      </c>
      <c r="B123">
        <v>1015893</v>
      </c>
      <c r="C123">
        <v>406357.2</v>
      </c>
      <c r="D123">
        <v>203178.6</v>
      </c>
      <c r="E123">
        <v>256005.03599999979</v>
      </c>
      <c r="F123">
        <v>101589.3</v>
      </c>
      <c r="G123">
        <v>967130.13599999994</v>
      </c>
    </row>
    <row r="124" spans="1:7" x14ac:dyDescent="0.35">
      <c r="A124" t="s">
        <v>155</v>
      </c>
      <c r="B124">
        <v>764992.25</v>
      </c>
      <c r="C124">
        <v>305996.90000000002</v>
      </c>
      <c r="D124">
        <v>152998.45000000001</v>
      </c>
      <c r="E124">
        <v>192778.0469999999</v>
      </c>
      <c r="F124">
        <v>76499.225000000006</v>
      </c>
      <c r="G124">
        <v>728272.62199999986</v>
      </c>
    </row>
    <row r="125" spans="1:7" x14ac:dyDescent="0.35">
      <c r="A125" t="s">
        <v>156</v>
      </c>
      <c r="B125">
        <v>867605.54999999993</v>
      </c>
      <c r="C125">
        <v>347042.22</v>
      </c>
      <c r="D125">
        <v>173521.11</v>
      </c>
      <c r="E125">
        <v>218636.59859999991</v>
      </c>
      <c r="F125">
        <v>86760.554999999993</v>
      </c>
      <c r="G125">
        <v>825960.48359999992</v>
      </c>
    </row>
    <row r="126" spans="1:7" x14ac:dyDescent="0.35">
      <c r="A126" t="s">
        <v>157</v>
      </c>
      <c r="B126">
        <v>640542.25</v>
      </c>
      <c r="C126">
        <v>256216.9</v>
      </c>
      <c r="D126">
        <v>128108.45</v>
      </c>
      <c r="E126">
        <v>161416.64699999991</v>
      </c>
      <c r="F126">
        <v>64054.225000000013</v>
      </c>
      <c r="G126">
        <v>609796.22199999995</v>
      </c>
    </row>
    <row r="127" spans="1:7" x14ac:dyDescent="0.35">
      <c r="A127" t="s">
        <v>158</v>
      </c>
      <c r="B127">
        <v>914226</v>
      </c>
      <c r="C127">
        <v>365690.4</v>
      </c>
      <c r="D127">
        <v>182845.2</v>
      </c>
      <c r="E127">
        <v>230384.9519999999</v>
      </c>
      <c r="F127">
        <v>91422.6</v>
      </c>
      <c r="G127">
        <v>870343.152</v>
      </c>
    </row>
    <row r="128" spans="1:7" x14ac:dyDescent="0.35">
      <c r="A128" t="s">
        <v>159</v>
      </c>
      <c r="B128">
        <v>890974</v>
      </c>
      <c r="C128">
        <v>356389.6</v>
      </c>
      <c r="D128">
        <v>178194.8</v>
      </c>
      <c r="E128">
        <v>224525.448</v>
      </c>
      <c r="F128">
        <v>89097.400000000009</v>
      </c>
      <c r="G128">
        <v>848207.24800000002</v>
      </c>
    </row>
    <row r="129" spans="1:7" x14ac:dyDescent="0.35">
      <c r="A129" t="s">
        <v>160</v>
      </c>
      <c r="B129">
        <v>422562</v>
      </c>
      <c r="C129">
        <v>169024.8</v>
      </c>
      <c r="D129">
        <v>84512.400000000009</v>
      </c>
      <c r="E129">
        <v>106485.624</v>
      </c>
      <c r="F129">
        <v>42256.2</v>
      </c>
      <c r="G129">
        <v>402279.02399999998</v>
      </c>
    </row>
    <row r="130" spans="1:7" x14ac:dyDescent="0.35">
      <c r="A130" t="s">
        <v>161</v>
      </c>
      <c r="B130">
        <v>766325</v>
      </c>
      <c r="C130">
        <v>306530</v>
      </c>
      <c r="D130">
        <v>153265</v>
      </c>
      <c r="E130">
        <v>193113.9</v>
      </c>
      <c r="F130">
        <v>76632.5</v>
      </c>
      <c r="G130">
        <v>729541.4</v>
      </c>
    </row>
    <row r="131" spans="1:7" x14ac:dyDescent="0.35">
      <c r="A131" t="s">
        <v>162</v>
      </c>
      <c r="B131">
        <v>794809</v>
      </c>
      <c r="C131">
        <v>317923.59999999998</v>
      </c>
      <c r="D131">
        <v>158961.79999999999</v>
      </c>
      <c r="E131">
        <v>200291.8679999999</v>
      </c>
      <c r="F131">
        <v>79480.900000000009</v>
      </c>
      <c r="G131">
        <v>756658.16799999995</v>
      </c>
    </row>
    <row r="132" spans="1:7" x14ac:dyDescent="0.35">
      <c r="A132" t="s">
        <v>163</v>
      </c>
      <c r="B132">
        <v>1017723.6</v>
      </c>
      <c r="C132">
        <v>407089.44</v>
      </c>
      <c r="D132">
        <v>203544.72</v>
      </c>
      <c r="E132">
        <v>256466.34719999999</v>
      </c>
      <c r="F132">
        <v>101772.36</v>
      </c>
      <c r="G132">
        <v>968872.86719999998</v>
      </c>
    </row>
    <row r="133" spans="1:7" x14ac:dyDescent="0.35">
      <c r="A133" t="s">
        <v>164</v>
      </c>
      <c r="B133">
        <v>1199464.3</v>
      </c>
      <c r="C133">
        <v>479785.72</v>
      </c>
      <c r="D133">
        <v>239892.86</v>
      </c>
      <c r="E133">
        <v>302265.00359999988</v>
      </c>
      <c r="F133">
        <v>119946.43</v>
      </c>
      <c r="G133">
        <v>1141890.0135999999</v>
      </c>
    </row>
    <row r="134" spans="1:7" x14ac:dyDescent="0.35">
      <c r="A134" t="s">
        <v>165</v>
      </c>
      <c r="B134">
        <v>426092.1</v>
      </c>
      <c r="C134">
        <v>170436.84</v>
      </c>
      <c r="D134">
        <v>85218.42</v>
      </c>
      <c r="E134">
        <v>107375.2091999999</v>
      </c>
      <c r="F134">
        <v>42609.21</v>
      </c>
      <c r="G134">
        <v>405639.67920000001</v>
      </c>
    </row>
    <row r="135" spans="1:7" x14ac:dyDescent="0.35">
      <c r="A135" t="s">
        <v>166</v>
      </c>
      <c r="B135">
        <v>855153.89999999991</v>
      </c>
      <c r="C135">
        <v>342061.56</v>
      </c>
      <c r="D135">
        <v>171030.78</v>
      </c>
      <c r="E135">
        <v>215498.7827999999</v>
      </c>
      <c r="F135">
        <v>85515.39</v>
      </c>
      <c r="G135">
        <v>814106.51279999991</v>
      </c>
    </row>
    <row r="136" spans="1:7" x14ac:dyDescent="0.35">
      <c r="A136" t="s">
        <v>167</v>
      </c>
      <c r="B136">
        <v>819248.64999999991</v>
      </c>
      <c r="C136">
        <v>327699.46000000002</v>
      </c>
      <c r="D136">
        <v>163849.73000000001</v>
      </c>
      <c r="E136">
        <v>206450.65979999999</v>
      </c>
      <c r="F136">
        <v>81924.864999999991</v>
      </c>
      <c r="G136">
        <v>779924.71479999996</v>
      </c>
    </row>
    <row r="137" spans="1:7" x14ac:dyDescent="0.35">
      <c r="A137" t="s">
        <v>168</v>
      </c>
      <c r="B137">
        <v>700542</v>
      </c>
      <c r="C137">
        <v>280216.8</v>
      </c>
      <c r="D137">
        <v>140108.4</v>
      </c>
      <c r="E137">
        <v>176536.584</v>
      </c>
      <c r="F137">
        <v>70054.2</v>
      </c>
      <c r="G137">
        <v>666915.98399999994</v>
      </c>
    </row>
    <row r="138" spans="1:7" x14ac:dyDescent="0.35">
      <c r="A138" t="s">
        <v>169</v>
      </c>
      <c r="B138">
        <v>399910.1</v>
      </c>
      <c r="C138">
        <v>159964.04</v>
      </c>
      <c r="D138">
        <v>79982.02</v>
      </c>
      <c r="E138">
        <v>100777.3452</v>
      </c>
      <c r="F138">
        <v>39991.01</v>
      </c>
      <c r="G138">
        <v>380714.41519999999</v>
      </c>
    </row>
    <row r="139" spans="1:7" x14ac:dyDescent="0.35">
      <c r="A139" t="s">
        <v>170</v>
      </c>
      <c r="B139">
        <v>812035</v>
      </c>
      <c r="C139">
        <v>324814</v>
      </c>
      <c r="D139">
        <v>162407</v>
      </c>
      <c r="E139">
        <v>204632.81999999989</v>
      </c>
      <c r="F139">
        <v>81203.5</v>
      </c>
      <c r="G139">
        <v>773057.32</v>
      </c>
    </row>
    <row r="140" spans="1:7" x14ac:dyDescent="0.35">
      <c r="A140" t="s">
        <v>171</v>
      </c>
      <c r="B140">
        <v>1020751</v>
      </c>
      <c r="C140">
        <v>408300.4</v>
      </c>
      <c r="D140">
        <v>204150.2</v>
      </c>
      <c r="E140">
        <v>257229.25200000001</v>
      </c>
      <c r="F140">
        <v>102075.1</v>
      </c>
      <c r="G140">
        <v>971754.95200000005</v>
      </c>
    </row>
    <row r="141" spans="1:7" x14ac:dyDescent="0.35">
      <c r="A141" t="s">
        <v>172</v>
      </c>
      <c r="B141">
        <v>942521</v>
      </c>
      <c r="C141">
        <v>377008.4</v>
      </c>
      <c r="D141">
        <v>188504.2</v>
      </c>
      <c r="E141">
        <v>237515.2919999999</v>
      </c>
      <c r="F141">
        <v>94252.1</v>
      </c>
      <c r="G141">
        <v>897279.99199999997</v>
      </c>
    </row>
    <row r="142" spans="1:7" x14ac:dyDescent="0.35">
      <c r="A142" t="s">
        <v>173</v>
      </c>
      <c r="B142">
        <v>489680.35</v>
      </c>
      <c r="C142">
        <v>195872.14</v>
      </c>
      <c r="D142">
        <v>97936.07</v>
      </c>
      <c r="E142">
        <v>123399.4482</v>
      </c>
      <c r="F142">
        <v>48968.035000000003</v>
      </c>
      <c r="G142">
        <v>466175.69319999998</v>
      </c>
    </row>
    <row r="143" spans="1:7" x14ac:dyDescent="0.35">
      <c r="A143" t="s">
        <v>174</v>
      </c>
      <c r="B143">
        <v>598477.19999999995</v>
      </c>
      <c r="C143">
        <v>239390.88</v>
      </c>
      <c r="D143">
        <v>119695.44</v>
      </c>
      <c r="E143">
        <v>150816.25439999989</v>
      </c>
      <c r="F143">
        <v>59847.72</v>
      </c>
      <c r="G143">
        <v>569750.2943999999</v>
      </c>
    </row>
    <row r="144" spans="1:7" x14ac:dyDescent="0.35">
      <c r="A144" t="s">
        <v>175</v>
      </c>
      <c r="B144">
        <v>760833</v>
      </c>
      <c r="C144">
        <v>304333.2</v>
      </c>
      <c r="D144">
        <v>152166.6</v>
      </c>
      <c r="E144">
        <v>191729.916</v>
      </c>
      <c r="F144">
        <v>76083.3</v>
      </c>
      <c r="G144">
        <v>724313.01600000006</v>
      </c>
    </row>
    <row r="145" spans="1:7" x14ac:dyDescent="0.35">
      <c r="A145" t="s">
        <v>176</v>
      </c>
      <c r="B145">
        <v>649046.65</v>
      </c>
      <c r="C145">
        <v>259618.66</v>
      </c>
      <c r="D145">
        <v>129809.33</v>
      </c>
      <c r="E145">
        <v>163559.75580000001</v>
      </c>
      <c r="F145">
        <v>64904.665000000008</v>
      </c>
      <c r="G145">
        <v>617892.41080000007</v>
      </c>
    </row>
    <row r="146" spans="1:7" x14ac:dyDescent="0.35">
      <c r="A146" t="s">
        <v>177</v>
      </c>
      <c r="B146">
        <v>845945.54999999993</v>
      </c>
      <c r="C146">
        <v>338378.22</v>
      </c>
      <c r="D146">
        <v>169189.11</v>
      </c>
      <c r="E146">
        <v>213178.27859999999</v>
      </c>
      <c r="F146">
        <v>84594.554999999993</v>
      </c>
      <c r="G146">
        <v>805340.16359999985</v>
      </c>
    </row>
    <row r="147" spans="1:7" x14ac:dyDescent="0.35">
      <c r="A147" t="s">
        <v>178</v>
      </c>
      <c r="B147">
        <v>933906</v>
      </c>
      <c r="C147">
        <v>373562.4</v>
      </c>
      <c r="D147">
        <v>186781.2</v>
      </c>
      <c r="E147">
        <v>235344.31199999989</v>
      </c>
      <c r="F147">
        <v>93390.6</v>
      </c>
      <c r="G147">
        <v>889078.51199999999</v>
      </c>
    </row>
    <row r="148" spans="1:7" x14ac:dyDescent="0.35">
      <c r="A148" t="s">
        <v>179</v>
      </c>
      <c r="B148">
        <v>846657.1</v>
      </c>
      <c r="C148">
        <v>338662.84</v>
      </c>
      <c r="D148">
        <v>169331.42</v>
      </c>
      <c r="E148">
        <v>213357.58919999999</v>
      </c>
      <c r="F148">
        <v>84665.71</v>
      </c>
      <c r="G148">
        <v>806017.55920000002</v>
      </c>
    </row>
    <row r="149" spans="1:7" x14ac:dyDescent="0.35">
      <c r="A149" t="s">
        <v>180</v>
      </c>
      <c r="B149">
        <v>592988</v>
      </c>
      <c r="C149">
        <v>237195.2</v>
      </c>
      <c r="D149">
        <v>118597.6</v>
      </c>
      <c r="E149">
        <v>149432.976</v>
      </c>
      <c r="F149">
        <v>59298.8</v>
      </c>
      <c r="G149">
        <v>564524.576</v>
      </c>
    </row>
    <row r="150" spans="1:7" x14ac:dyDescent="0.35">
      <c r="A150" t="s">
        <v>181</v>
      </c>
      <c r="B150">
        <v>689370.35</v>
      </c>
      <c r="C150">
        <v>275748.14</v>
      </c>
      <c r="D150">
        <v>137874.07</v>
      </c>
      <c r="E150">
        <v>173721.32819999999</v>
      </c>
      <c r="F150">
        <v>68937.035000000003</v>
      </c>
      <c r="G150">
        <v>656280.5732000001</v>
      </c>
    </row>
    <row r="151" spans="1:7" x14ac:dyDescent="0.35">
      <c r="A151" t="s">
        <v>182</v>
      </c>
      <c r="B151">
        <v>903299.89999999991</v>
      </c>
      <c r="C151">
        <v>361319.96</v>
      </c>
      <c r="D151">
        <v>180659.98</v>
      </c>
      <c r="E151">
        <v>227631.57479999989</v>
      </c>
      <c r="F151">
        <v>90329.989999999991</v>
      </c>
      <c r="G151">
        <v>859941.50479999988</v>
      </c>
    </row>
    <row r="152" spans="1:7" x14ac:dyDescent="0.35">
      <c r="A152" t="s">
        <v>183</v>
      </c>
      <c r="B152">
        <v>738918.54999999993</v>
      </c>
      <c r="C152">
        <v>295567.42</v>
      </c>
      <c r="D152">
        <v>147783.71</v>
      </c>
      <c r="E152">
        <v>186207.47459999999</v>
      </c>
      <c r="F152">
        <v>73891.854999999996</v>
      </c>
      <c r="G152">
        <v>703450.45959999994</v>
      </c>
    </row>
    <row r="153" spans="1:7" x14ac:dyDescent="0.35">
      <c r="A153" t="s">
        <v>184</v>
      </c>
      <c r="B153">
        <v>892360</v>
      </c>
      <c r="C153">
        <v>356944</v>
      </c>
      <c r="D153">
        <v>178472</v>
      </c>
      <c r="E153">
        <v>224874.72</v>
      </c>
      <c r="F153">
        <v>89236</v>
      </c>
      <c r="G153">
        <v>849526.72</v>
      </c>
    </row>
    <row r="154" spans="1:7" x14ac:dyDescent="0.35">
      <c r="A154" t="s">
        <v>185</v>
      </c>
      <c r="B154">
        <v>1039869</v>
      </c>
      <c r="C154">
        <v>415947.6</v>
      </c>
      <c r="D154">
        <v>207973.8</v>
      </c>
      <c r="E154">
        <v>262046.9879999999</v>
      </c>
      <c r="F154">
        <v>103986.9</v>
      </c>
      <c r="G154">
        <v>989955.28799999994</v>
      </c>
    </row>
    <row r="155" spans="1:7" x14ac:dyDescent="0.35">
      <c r="A155" t="s">
        <v>186</v>
      </c>
      <c r="B155">
        <v>1212607</v>
      </c>
      <c r="C155">
        <v>485042.8</v>
      </c>
      <c r="D155">
        <v>242521.4</v>
      </c>
      <c r="E155">
        <v>305576.9639999998</v>
      </c>
      <c r="F155">
        <v>121260.7</v>
      </c>
      <c r="G155">
        <v>1154401.8640000001</v>
      </c>
    </row>
    <row r="156" spans="1:7" x14ac:dyDescent="0.35">
      <c r="A156" t="s">
        <v>187</v>
      </c>
      <c r="B156">
        <v>1032807.7</v>
      </c>
      <c r="C156">
        <v>413123.08</v>
      </c>
      <c r="D156">
        <v>206561.54</v>
      </c>
      <c r="E156">
        <v>260267.54039999991</v>
      </c>
      <c r="F156">
        <v>103280.77</v>
      </c>
      <c r="G156">
        <v>983232.93039999995</v>
      </c>
    </row>
    <row r="157" spans="1:7" x14ac:dyDescent="0.35">
      <c r="A157" t="s">
        <v>188</v>
      </c>
      <c r="B157">
        <v>780871.5</v>
      </c>
      <c r="C157">
        <v>312348.59999999998</v>
      </c>
      <c r="D157">
        <v>156174.29999999999</v>
      </c>
      <c r="E157">
        <v>196779.6179999999</v>
      </c>
      <c r="F157">
        <v>78087.150000000009</v>
      </c>
      <c r="G157">
        <v>743389.66799999995</v>
      </c>
    </row>
    <row r="158" spans="1:7" x14ac:dyDescent="0.35">
      <c r="A158" t="s">
        <v>189</v>
      </c>
      <c r="B158">
        <v>772783.2</v>
      </c>
      <c r="C158">
        <v>309113.28000000003</v>
      </c>
      <c r="D158">
        <v>154556.64000000001</v>
      </c>
      <c r="E158">
        <v>194741.36640000009</v>
      </c>
      <c r="F158">
        <v>77278.319999999992</v>
      </c>
      <c r="G158">
        <v>735689.60639999993</v>
      </c>
    </row>
    <row r="159" spans="1:7" x14ac:dyDescent="0.35">
      <c r="A159" t="s">
        <v>190</v>
      </c>
      <c r="B159">
        <v>631276.9</v>
      </c>
      <c r="C159">
        <v>252510.76</v>
      </c>
      <c r="D159">
        <v>126255.38</v>
      </c>
      <c r="E159">
        <v>159081.7788</v>
      </c>
      <c r="F159">
        <v>63127.69</v>
      </c>
      <c r="G159">
        <v>600975.60880000005</v>
      </c>
    </row>
    <row r="160" spans="1:7" x14ac:dyDescent="0.35">
      <c r="A160" t="s">
        <v>191</v>
      </c>
      <c r="B160">
        <v>1138964.5</v>
      </c>
      <c r="C160">
        <v>455585.8</v>
      </c>
      <c r="D160">
        <v>227792.9</v>
      </c>
      <c r="E160">
        <v>287019.05399999989</v>
      </c>
      <c r="F160">
        <v>113896.45</v>
      </c>
      <c r="G160">
        <v>1084294.2039999999</v>
      </c>
    </row>
    <row r="161" spans="1:7" x14ac:dyDescent="0.35">
      <c r="A161" t="s">
        <v>192</v>
      </c>
      <c r="B161">
        <v>647839</v>
      </c>
      <c r="C161">
        <v>259135.6</v>
      </c>
      <c r="D161">
        <v>129567.8</v>
      </c>
      <c r="E161">
        <v>163255.42800000001</v>
      </c>
      <c r="F161">
        <v>64783.9</v>
      </c>
      <c r="G161">
        <v>616742.728</v>
      </c>
    </row>
    <row r="162" spans="1:7" x14ac:dyDescent="0.35">
      <c r="A162" t="s">
        <v>193</v>
      </c>
      <c r="B162">
        <v>850202</v>
      </c>
      <c r="C162">
        <v>340080.8</v>
      </c>
      <c r="D162">
        <v>170040.4</v>
      </c>
      <c r="E162">
        <v>214250.90399999989</v>
      </c>
      <c r="F162">
        <v>85020.200000000012</v>
      </c>
      <c r="G162">
        <v>809392.304</v>
      </c>
    </row>
    <row r="163" spans="1:7" x14ac:dyDescent="0.35">
      <c r="A163" t="s">
        <v>194</v>
      </c>
      <c r="B163">
        <v>664944</v>
      </c>
      <c r="C163">
        <v>265977.59999999998</v>
      </c>
      <c r="D163">
        <v>132988.79999999999</v>
      </c>
      <c r="E163">
        <v>167565.88800000001</v>
      </c>
      <c r="F163">
        <v>66494.400000000009</v>
      </c>
      <c r="G163">
        <v>633026.68799999997</v>
      </c>
    </row>
    <row r="164" spans="1:7" x14ac:dyDescent="0.35">
      <c r="A164" t="s">
        <v>195</v>
      </c>
      <c r="B164">
        <v>925220.2</v>
      </c>
      <c r="C164">
        <v>370088.08</v>
      </c>
      <c r="D164">
        <v>185044.04</v>
      </c>
      <c r="E164">
        <v>233155.49039999989</v>
      </c>
      <c r="F164">
        <v>92522.02</v>
      </c>
      <c r="G164">
        <v>880809.63039999991</v>
      </c>
    </row>
    <row r="165" spans="1:7" x14ac:dyDescent="0.35">
      <c r="A165" t="s">
        <v>196</v>
      </c>
      <c r="B165">
        <v>812274</v>
      </c>
      <c r="C165">
        <v>324909.59999999998</v>
      </c>
      <c r="D165">
        <v>162454.79999999999</v>
      </c>
      <c r="E165">
        <v>204693.04800000001</v>
      </c>
      <c r="F165">
        <v>81227.400000000009</v>
      </c>
      <c r="G165">
        <v>773284.848</v>
      </c>
    </row>
    <row r="166" spans="1:7" x14ac:dyDescent="0.35">
      <c r="A166" t="s">
        <v>197</v>
      </c>
      <c r="B166">
        <v>858688</v>
      </c>
      <c r="C166">
        <v>343475.20000000001</v>
      </c>
      <c r="D166">
        <v>171737.60000000001</v>
      </c>
      <c r="E166">
        <v>216389.3759999999</v>
      </c>
      <c r="F166">
        <v>85868.800000000003</v>
      </c>
      <c r="G166">
        <v>817470.97600000002</v>
      </c>
    </row>
    <row r="167" spans="1:7" x14ac:dyDescent="0.35">
      <c r="A167" t="s">
        <v>198</v>
      </c>
      <c r="B167">
        <v>1249161.6499999999</v>
      </c>
      <c r="C167">
        <v>499664.66</v>
      </c>
      <c r="D167">
        <v>249832.33</v>
      </c>
      <c r="E167">
        <v>314788.73579999991</v>
      </c>
      <c r="F167">
        <v>124916.16499999999</v>
      </c>
      <c r="G167">
        <v>1189201.8907999999</v>
      </c>
    </row>
    <row r="168" spans="1:7" x14ac:dyDescent="0.35">
      <c r="A168" t="s">
        <v>199</v>
      </c>
      <c r="B168">
        <v>1050626.8500000001</v>
      </c>
      <c r="C168">
        <v>420250.74</v>
      </c>
      <c r="D168">
        <v>210125.37</v>
      </c>
      <c r="E168">
        <v>264757.96619999991</v>
      </c>
      <c r="F168">
        <v>105062.685</v>
      </c>
      <c r="G168">
        <v>1000196.7611999999</v>
      </c>
    </row>
    <row r="169" spans="1:7" x14ac:dyDescent="0.35">
      <c r="A169" t="s">
        <v>200</v>
      </c>
      <c r="B169">
        <v>712659.6</v>
      </c>
      <c r="C169">
        <v>285063.84000000003</v>
      </c>
      <c r="D169">
        <v>142531.92000000001</v>
      </c>
      <c r="E169">
        <v>179590.2191999999</v>
      </c>
      <c r="F169">
        <v>71265.960000000006</v>
      </c>
      <c r="G169">
        <v>678451.93919999991</v>
      </c>
    </row>
    <row r="170" spans="1:7" x14ac:dyDescent="0.35">
      <c r="A170" t="s">
        <v>201</v>
      </c>
      <c r="B170">
        <v>856003</v>
      </c>
      <c r="C170">
        <v>342401.2</v>
      </c>
      <c r="D170">
        <v>171200.6</v>
      </c>
      <c r="E170">
        <v>215712.75599999991</v>
      </c>
      <c r="F170">
        <v>85600.3</v>
      </c>
      <c r="G170">
        <v>814914.85600000003</v>
      </c>
    </row>
    <row r="171" spans="1:7" x14ac:dyDescent="0.35">
      <c r="A171" t="s">
        <v>202</v>
      </c>
      <c r="B171">
        <v>1145877.6499999999</v>
      </c>
      <c r="C171">
        <v>458351.06</v>
      </c>
      <c r="D171">
        <v>229175.53</v>
      </c>
      <c r="E171">
        <v>288761.16779999988</v>
      </c>
      <c r="F171">
        <v>114587.765</v>
      </c>
      <c r="G171">
        <v>1090875.5227999999</v>
      </c>
    </row>
    <row r="172" spans="1:7" x14ac:dyDescent="0.35">
      <c r="A172" t="s">
        <v>203</v>
      </c>
      <c r="B172">
        <v>820600</v>
      </c>
      <c r="C172">
        <v>328240</v>
      </c>
      <c r="D172">
        <v>164120</v>
      </c>
      <c r="E172">
        <v>206791.2</v>
      </c>
      <c r="F172">
        <v>82060</v>
      </c>
      <c r="G172">
        <v>781211.2</v>
      </c>
    </row>
    <row r="173" spans="1:7" x14ac:dyDescent="0.35">
      <c r="A173" t="s">
        <v>204</v>
      </c>
      <c r="B173">
        <v>1062846</v>
      </c>
      <c r="C173">
        <v>425138.4</v>
      </c>
      <c r="D173">
        <v>212569.2</v>
      </c>
      <c r="E173">
        <v>267837.19199999992</v>
      </c>
      <c r="F173">
        <v>106284.6</v>
      </c>
      <c r="G173">
        <v>1011829.392</v>
      </c>
    </row>
    <row r="174" spans="1:7" x14ac:dyDescent="0.35">
      <c r="A174" t="s">
        <v>205</v>
      </c>
      <c r="B174">
        <v>891816.29999999993</v>
      </c>
      <c r="C174">
        <v>356726.52</v>
      </c>
      <c r="D174">
        <v>178363.26</v>
      </c>
      <c r="E174">
        <v>224737.70759999979</v>
      </c>
      <c r="F174">
        <v>89181.63</v>
      </c>
      <c r="G174">
        <v>849009.11759999988</v>
      </c>
    </row>
    <row r="175" spans="1:7" x14ac:dyDescent="0.35">
      <c r="A175" t="s">
        <v>206</v>
      </c>
      <c r="B175">
        <v>902073</v>
      </c>
      <c r="C175">
        <v>360829.2</v>
      </c>
      <c r="D175">
        <v>180414.6</v>
      </c>
      <c r="E175">
        <v>227322.39599999989</v>
      </c>
      <c r="F175">
        <v>90207.3</v>
      </c>
      <c r="G175">
        <v>858773.49600000004</v>
      </c>
    </row>
    <row r="176" spans="1:7" x14ac:dyDescent="0.35">
      <c r="A176" t="s">
        <v>207</v>
      </c>
      <c r="B176">
        <v>776297.25</v>
      </c>
      <c r="C176">
        <v>310518.90000000002</v>
      </c>
      <c r="D176">
        <v>155259.45000000001</v>
      </c>
      <c r="E176">
        <v>195626.90699999989</v>
      </c>
      <c r="F176">
        <v>77629.725000000006</v>
      </c>
      <c r="G176">
        <v>739034.98199999996</v>
      </c>
    </row>
    <row r="177" spans="1:7" x14ac:dyDescent="0.35">
      <c r="A177" t="s">
        <v>208</v>
      </c>
      <c r="B177">
        <v>703015.2</v>
      </c>
      <c r="C177">
        <v>281206.08</v>
      </c>
      <c r="D177">
        <v>140603.04</v>
      </c>
      <c r="E177">
        <v>177159.83040000001</v>
      </c>
      <c r="F177">
        <v>70301.52</v>
      </c>
      <c r="G177">
        <v>669270.47039999999</v>
      </c>
    </row>
    <row r="178" spans="1:7" x14ac:dyDescent="0.35">
      <c r="A178" t="s">
        <v>209</v>
      </c>
      <c r="B178">
        <v>1191318</v>
      </c>
      <c r="C178">
        <v>476527.2</v>
      </c>
      <c r="D178">
        <v>238263.6</v>
      </c>
      <c r="E178">
        <v>300212.13599999988</v>
      </c>
      <c r="F178">
        <v>119131.8</v>
      </c>
      <c r="G178">
        <v>1134134.736</v>
      </c>
    </row>
    <row r="179" spans="1:7" x14ac:dyDescent="0.35">
      <c r="A179" t="s">
        <v>210</v>
      </c>
      <c r="B179">
        <v>1003679.75</v>
      </c>
      <c r="C179">
        <v>401471.9</v>
      </c>
      <c r="D179">
        <v>200735.95</v>
      </c>
      <c r="E179">
        <v>252927.2969999999</v>
      </c>
      <c r="F179">
        <v>100367.97500000001</v>
      </c>
      <c r="G179">
        <v>955503.12199999997</v>
      </c>
    </row>
    <row r="180" spans="1:7" x14ac:dyDescent="0.35">
      <c r="A180" t="s">
        <v>211</v>
      </c>
      <c r="B180">
        <v>738690.54999999993</v>
      </c>
      <c r="C180">
        <v>295476.21999999997</v>
      </c>
      <c r="D180">
        <v>147738.10999999999</v>
      </c>
      <c r="E180">
        <v>186150.01860000001</v>
      </c>
      <c r="F180">
        <v>73869.054999999993</v>
      </c>
      <c r="G180">
        <v>703233.40359999985</v>
      </c>
    </row>
    <row r="181" spans="1:7" x14ac:dyDescent="0.35">
      <c r="A181" t="s">
        <v>212</v>
      </c>
      <c r="B181">
        <v>961130.2</v>
      </c>
      <c r="C181">
        <v>384452.08</v>
      </c>
      <c r="D181">
        <v>192226.04</v>
      </c>
      <c r="E181">
        <v>242204.81039999999</v>
      </c>
      <c r="F181">
        <v>96113.02</v>
      </c>
      <c r="G181">
        <v>914995.95039999997</v>
      </c>
    </row>
    <row r="182" spans="1:7" x14ac:dyDescent="0.35">
      <c r="A182" t="s">
        <v>213</v>
      </c>
      <c r="B182">
        <v>761768.89999999991</v>
      </c>
      <c r="C182">
        <v>304707.56</v>
      </c>
      <c r="D182">
        <v>152353.78</v>
      </c>
      <c r="E182">
        <v>191965.76279999991</v>
      </c>
      <c r="F182">
        <v>76176.89</v>
      </c>
      <c r="G182">
        <v>725203.99279999989</v>
      </c>
    </row>
    <row r="183" spans="1:7" x14ac:dyDescent="0.35">
      <c r="A183" t="s">
        <v>214</v>
      </c>
      <c r="B183">
        <v>563774</v>
      </c>
      <c r="C183">
        <v>225509.6</v>
      </c>
      <c r="D183">
        <v>112754.8</v>
      </c>
      <c r="E183">
        <v>142071.04800000001</v>
      </c>
      <c r="F183">
        <v>56377.4</v>
      </c>
      <c r="G183">
        <v>536712.848</v>
      </c>
    </row>
    <row r="184" spans="1:7" x14ac:dyDescent="0.35">
      <c r="A184" t="s">
        <v>215</v>
      </c>
      <c r="B184">
        <v>896330.7</v>
      </c>
      <c r="C184">
        <v>358532.28</v>
      </c>
      <c r="D184">
        <v>179266.14</v>
      </c>
      <c r="E184">
        <v>225875.33639999991</v>
      </c>
      <c r="F184">
        <v>89633.07</v>
      </c>
      <c r="G184">
        <v>853306.8263999999</v>
      </c>
    </row>
    <row r="185" spans="1:7" x14ac:dyDescent="0.35">
      <c r="A185" t="s">
        <v>216</v>
      </c>
      <c r="B185">
        <v>805572.45</v>
      </c>
      <c r="C185">
        <v>322228.98</v>
      </c>
      <c r="D185">
        <v>161114.49</v>
      </c>
      <c r="E185">
        <v>203004.2574</v>
      </c>
      <c r="F185">
        <v>80557.244999999995</v>
      </c>
      <c r="G185">
        <v>766904.97239999997</v>
      </c>
    </row>
    <row r="186" spans="1:7" x14ac:dyDescent="0.35">
      <c r="A186" t="s">
        <v>217</v>
      </c>
      <c r="B186">
        <v>933176</v>
      </c>
      <c r="C186">
        <v>373270.4</v>
      </c>
      <c r="D186">
        <v>186635.2</v>
      </c>
      <c r="E186">
        <v>235160.35200000001</v>
      </c>
      <c r="F186">
        <v>93317.6</v>
      </c>
      <c r="G186">
        <v>888383.55200000003</v>
      </c>
    </row>
    <row r="187" spans="1:7" x14ac:dyDescent="0.35">
      <c r="A187" t="s">
        <v>218</v>
      </c>
      <c r="B187">
        <v>856668.2</v>
      </c>
      <c r="C187">
        <v>342667.28</v>
      </c>
      <c r="D187">
        <v>171333.64</v>
      </c>
      <c r="E187">
        <v>215880.38639999999</v>
      </c>
      <c r="F187">
        <v>85666.82</v>
      </c>
      <c r="G187">
        <v>815548.12639999995</v>
      </c>
    </row>
    <row r="188" spans="1:7" x14ac:dyDescent="0.35">
      <c r="A188" t="s">
        <v>219</v>
      </c>
      <c r="B188">
        <v>843131</v>
      </c>
      <c r="C188">
        <v>337252.4</v>
      </c>
      <c r="D188">
        <v>168626.2</v>
      </c>
      <c r="E188">
        <v>212469.0119999999</v>
      </c>
      <c r="F188">
        <v>84313.1</v>
      </c>
      <c r="G188">
        <v>802660.71199999994</v>
      </c>
    </row>
    <row r="189" spans="1:7" x14ac:dyDescent="0.35">
      <c r="A189" t="s">
        <v>220</v>
      </c>
      <c r="B189">
        <v>628914.25</v>
      </c>
      <c r="C189">
        <v>251565.7</v>
      </c>
      <c r="D189">
        <v>125782.85</v>
      </c>
      <c r="E189">
        <v>158486.39099999989</v>
      </c>
      <c r="F189">
        <v>62891.425000000003</v>
      </c>
      <c r="G189">
        <v>598726.36600000004</v>
      </c>
    </row>
    <row r="190" spans="1:7" x14ac:dyDescent="0.35">
      <c r="A190" t="s">
        <v>221</v>
      </c>
      <c r="B190">
        <v>1053498.7</v>
      </c>
      <c r="C190">
        <v>421399.48</v>
      </c>
      <c r="D190">
        <v>210699.74</v>
      </c>
      <c r="E190">
        <v>265481.67239999998</v>
      </c>
      <c r="F190">
        <v>105349.87</v>
      </c>
      <c r="G190">
        <v>1002930.7624</v>
      </c>
    </row>
    <row r="191" spans="1:7" x14ac:dyDescent="0.35">
      <c r="A191" t="s">
        <v>222</v>
      </c>
      <c r="B191">
        <v>605158.54999999993</v>
      </c>
      <c r="C191">
        <v>242063.42</v>
      </c>
      <c r="D191">
        <v>121031.71</v>
      </c>
      <c r="E191">
        <v>152499.95459999991</v>
      </c>
      <c r="F191">
        <v>60515.855000000003</v>
      </c>
      <c r="G191">
        <v>576110.93959999993</v>
      </c>
    </row>
    <row r="192" spans="1:7" x14ac:dyDescent="0.35">
      <c r="A192" t="s">
        <v>223</v>
      </c>
      <c r="B192">
        <v>748754.85</v>
      </c>
      <c r="C192">
        <v>299501.94</v>
      </c>
      <c r="D192">
        <v>149750.97</v>
      </c>
      <c r="E192">
        <v>188686.22219999999</v>
      </c>
      <c r="F192">
        <v>74875.485000000001</v>
      </c>
      <c r="G192">
        <v>712814.61719999998</v>
      </c>
    </row>
    <row r="193" spans="1:7" x14ac:dyDescent="0.35">
      <c r="A193" t="s">
        <v>224</v>
      </c>
      <c r="B193">
        <v>550704.54999999993</v>
      </c>
      <c r="C193">
        <v>220281.82</v>
      </c>
      <c r="D193">
        <v>110140.91</v>
      </c>
      <c r="E193">
        <v>138777.54659999991</v>
      </c>
      <c r="F193">
        <v>55070.454999999987</v>
      </c>
      <c r="G193">
        <v>524270.73159999988</v>
      </c>
    </row>
    <row r="194" spans="1:7" x14ac:dyDescent="0.35">
      <c r="A194" t="s">
        <v>225</v>
      </c>
      <c r="B194">
        <v>966486.29999999993</v>
      </c>
      <c r="C194">
        <v>386594.52</v>
      </c>
      <c r="D194">
        <v>193297.26</v>
      </c>
      <c r="E194">
        <v>243554.5475999999</v>
      </c>
      <c r="F194">
        <v>96648.63</v>
      </c>
      <c r="G194">
        <v>920094.95759999997</v>
      </c>
    </row>
    <row r="195" spans="1:7" x14ac:dyDescent="0.35">
      <c r="A195" t="s">
        <v>226</v>
      </c>
      <c r="B195">
        <v>872234.89999999991</v>
      </c>
      <c r="C195">
        <v>348893.96</v>
      </c>
      <c r="D195">
        <v>174446.98</v>
      </c>
      <c r="E195">
        <v>219803.19479999991</v>
      </c>
      <c r="F195">
        <v>87223.489999999991</v>
      </c>
      <c r="G195">
        <v>830367.62479999987</v>
      </c>
    </row>
    <row r="196" spans="1:7" x14ac:dyDescent="0.35">
      <c r="A196" t="s">
        <v>227</v>
      </c>
      <c r="B196">
        <v>807318</v>
      </c>
      <c r="C196">
        <v>322927.2</v>
      </c>
      <c r="D196">
        <v>161463.6</v>
      </c>
      <c r="E196">
        <v>203444.13599999991</v>
      </c>
      <c r="F196">
        <v>80731.8</v>
      </c>
      <c r="G196">
        <v>768566.73600000003</v>
      </c>
    </row>
    <row r="197" spans="1:7" x14ac:dyDescent="0.35">
      <c r="A197" t="s">
        <v>228</v>
      </c>
      <c r="B197">
        <v>491556</v>
      </c>
      <c r="C197">
        <v>196622.4</v>
      </c>
      <c r="D197">
        <v>98311.200000000012</v>
      </c>
      <c r="E197">
        <v>123872.11199999991</v>
      </c>
      <c r="F197">
        <v>49155.600000000013</v>
      </c>
      <c r="G197">
        <v>467961.31199999992</v>
      </c>
    </row>
    <row r="198" spans="1:7" x14ac:dyDescent="0.35">
      <c r="A198" t="s">
        <v>229</v>
      </c>
      <c r="B198">
        <v>1181120</v>
      </c>
      <c r="C198">
        <v>472448</v>
      </c>
      <c r="D198">
        <v>236224</v>
      </c>
      <c r="E198">
        <v>297642.23999999999</v>
      </c>
      <c r="F198">
        <v>118112</v>
      </c>
      <c r="G198">
        <v>1124426.24</v>
      </c>
    </row>
    <row r="199" spans="1:7" x14ac:dyDescent="0.35">
      <c r="A199" t="s">
        <v>230</v>
      </c>
      <c r="B199">
        <v>1044933</v>
      </c>
      <c r="C199">
        <v>417973.2</v>
      </c>
      <c r="D199">
        <v>208986.6</v>
      </c>
      <c r="E199">
        <v>263323.11599999992</v>
      </c>
      <c r="F199">
        <v>104493.3</v>
      </c>
      <c r="G199">
        <v>994776.21600000001</v>
      </c>
    </row>
    <row r="200" spans="1:7" x14ac:dyDescent="0.35">
      <c r="A200" t="s">
        <v>231</v>
      </c>
      <c r="B200">
        <v>978627</v>
      </c>
      <c r="C200">
        <v>391450.8</v>
      </c>
      <c r="D200">
        <v>195725.4</v>
      </c>
      <c r="E200">
        <v>246614.00399999981</v>
      </c>
      <c r="F200">
        <v>97862.700000000012</v>
      </c>
      <c r="G200">
        <v>931652.90399999986</v>
      </c>
    </row>
    <row r="201" spans="1:7" x14ac:dyDescent="0.35">
      <c r="A201" t="s">
        <v>232</v>
      </c>
      <c r="B201">
        <v>954547</v>
      </c>
      <c r="C201">
        <v>381818.8</v>
      </c>
      <c r="D201">
        <v>190909.4</v>
      </c>
      <c r="E201">
        <v>240545.84399999981</v>
      </c>
      <c r="F201">
        <v>95454.700000000012</v>
      </c>
      <c r="G201">
        <v>908728.74399999995</v>
      </c>
    </row>
    <row r="202" spans="1:7" x14ac:dyDescent="0.35">
      <c r="A202" t="s">
        <v>233</v>
      </c>
      <c r="B202">
        <v>807519.95</v>
      </c>
      <c r="C202">
        <v>323007.98</v>
      </c>
      <c r="D202">
        <v>161503.99</v>
      </c>
      <c r="E202">
        <v>203495.02739999999</v>
      </c>
      <c r="F202">
        <v>80751.994999999995</v>
      </c>
      <c r="G202">
        <v>768758.99239999999</v>
      </c>
    </row>
    <row r="203" spans="1:7" x14ac:dyDescent="0.35">
      <c r="A203" t="s">
        <v>234</v>
      </c>
      <c r="B203">
        <v>451538.8</v>
      </c>
      <c r="C203">
        <v>180615.52</v>
      </c>
      <c r="D203">
        <v>90307.760000000009</v>
      </c>
      <c r="E203">
        <v>113787.7776</v>
      </c>
      <c r="F203">
        <v>45153.88</v>
      </c>
      <c r="G203">
        <v>429864.9376</v>
      </c>
    </row>
    <row r="204" spans="1:7" x14ac:dyDescent="0.35">
      <c r="A204" t="s">
        <v>235</v>
      </c>
      <c r="B204">
        <v>944256.29999999993</v>
      </c>
      <c r="C204">
        <v>377702.52</v>
      </c>
      <c r="D204">
        <v>188851.26</v>
      </c>
      <c r="E204">
        <v>237952.58759999991</v>
      </c>
      <c r="F204">
        <v>94425.63</v>
      </c>
      <c r="G204">
        <v>898931.99759999989</v>
      </c>
    </row>
    <row r="205" spans="1:7" x14ac:dyDescent="0.35">
      <c r="A205" t="s">
        <v>236</v>
      </c>
      <c r="B205">
        <v>834854.29999999993</v>
      </c>
      <c r="C205">
        <v>333941.71999999997</v>
      </c>
      <c r="D205">
        <v>166970.85999999999</v>
      </c>
      <c r="E205">
        <v>210383.2836</v>
      </c>
      <c r="F205">
        <v>83485.429999999993</v>
      </c>
      <c r="G205">
        <v>794781.29359999998</v>
      </c>
    </row>
    <row r="206" spans="1:7" x14ac:dyDescent="0.35">
      <c r="A206" t="s">
        <v>237</v>
      </c>
      <c r="B206">
        <v>784337.1</v>
      </c>
      <c r="C206">
        <v>313734.84000000003</v>
      </c>
      <c r="D206">
        <v>156867.42000000001</v>
      </c>
      <c r="E206">
        <v>197652.9492</v>
      </c>
      <c r="F206">
        <v>78433.710000000006</v>
      </c>
      <c r="G206">
        <v>746688.9192</v>
      </c>
    </row>
    <row r="207" spans="1:7" x14ac:dyDescent="0.35">
      <c r="A207" t="s">
        <v>238</v>
      </c>
      <c r="B207">
        <v>862129.75</v>
      </c>
      <c r="C207">
        <v>344851.9</v>
      </c>
      <c r="D207">
        <v>172425.95</v>
      </c>
      <c r="E207">
        <v>217256.6969999999</v>
      </c>
      <c r="F207">
        <v>86212.975000000006</v>
      </c>
      <c r="G207">
        <v>820747.522</v>
      </c>
    </row>
    <row r="208" spans="1:7" x14ac:dyDescent="0.35">
      <c r="A208" t="s">
        <v>239</v>
      </c>
      <c r="B208">
        <v>952647.64999999991</v>
      </c>
      <c r="C208">
        <v>381059.06</v>
      </c>
      <c r="D208">
        <v>190529.53</v>
      </c>
      <c r="E208">
        <v>240067.2078</v>
      </c>
      <c r="F208">
        <v>95264.764999999999</v>
      </c>
      <c r="G208">
        <v>906920.56279999996</v>
      </c>
    </row>
    <row r="209" spans="1:7" x14ac:dyDescent="0.35">
      <c r="A209" t="s">
        <v>240</v>
      </c>
      <c r="B209">
        <v>642112.6</v>
      </c>
      <c r="C209">
        <v>256845.04</v>
      </c>
      <c r="D209">
        <v>128422.52</v>
      </c>
      <c r="E209">
        <v>161812.37520000001</v>
      </c>
      <c r="F209">
        <v>64211.26</v>
      </c>
      <c r="G209">
        <v>611291.19519999996</v>
      </c>
    </row>
    <row r="210" spans="1:7" x14ac:dyDescent="0.35">
      <c r="A210" t="s">
        <v>241</v>
      </c>
      <c r="B210">
        <v>705767</v>
      </c>
      <c r="C210">
        <v>282306.8</v>
      </c>
      <c r="D210">
        <v>141153.4</v>
      </c>
      <c r="E210">
        <v>177853.28400000001</v>
      </c>
      <c r="F210">
        <v>70576.7</v>
      </c>
      <c r="G210">
        <v>671890.18399999989</v>
      </c>
    </row>
    <row r="211" spans="1:7" x14ac:dyDescent="0.35">
      <c r="A211" t="s">
        <v>242</v>
      </c>
      <c r="B211">
        <v>827722.64999999991</v>
      </c>
      <c r="C211">
        <v>331089.06</v>
      </c>
      <c r="D211">
        <v>165544.53</v>
      </c>
      <c r="E211">
        <v>208586.10779999991</v>
      </c>
      <c r="F211">
        <v>82772.264999999999</v>
      </c>
      <c r="G211">
        <v>787991.96279999986</v>
      </c>
    </row>
    <row r="212" spans="1:7" x14ac:dyDescent="0.35">
      <c r="A212" t="s">
        <v>243</v>
      </c>
      <c r="B212">
        <v>826429.7</v>
      </c>
      <c r="C212">
        <v>330571.88</v>
      </c>
      <c r="D212">
        <v>165285.94</v>
      </c>
      <c r="E212">
        <v>208260.28439999989</v>
      </c>
      <c r="F212">
        <v>82642.97</v>
      </c>
      <c r="G212">
        <v>786761.07439999981</v>
      </c>
    </row>
    <row r="213" spans="1:7" x14ac:dyDescent="0.35">
      <c r="A213" t="s">
        <v>244</v>
      </c>
      <c r="B213">
        <v>622893</v>
      </c>
      <c r="C213">
        <v>249157.2</v>
      </c>
      <c r="D213">
        <v>124578.6</v>
      </c>
      <c r="E213">
        <v>156969.03599999999</v>
      </c>
      <c r="F213">
        <v>62289.3</v>
      </c>
      <c r="G213">
        <v>592994.13600000006</v>
      </c>
    </row>
    <row r="214" spans="1:7" x14ac:dyDescent="0.35">
      <c r="A214" t="s">
        <v>245</v>
      </c>
      <c r="B214">
        <v>734384</v>
      </c>
      <c r="C214">
        <v>293753.59999999998</v>
      </c>
      <c r="D214">
        <v>146876.79999999999</v>
      </c>
      <c r="E214">
        <v>185064.76799999989</v>
      </c>
      <c r="F214">
        <v>73438.400000000009</v>
      </c>
      <c r="G214">
        <v>699133.56799999997</v>
      </c>
    </row>
    <row r="215" spans="1:7" x14ac:dyDescent="0.35">
      <c r="A215" t="s">
        <v>246</v>
      </c>
      <c r="B215">
        <v>843794</v>
      </c>
      <c r="C215">
        <v>337517.6</v>
      </c>
      <c r="D215">
        <v>168758.8</v>
      </c>
      <c r="E215">
        <v>212636.08799999999</v>
      </c>
      <c r="F215">
        <v>84379.400000000009</v>
      </c>
      <c r="G215">
        <v>803291.88800000004</v>
      </c>
    </row>
    <row r="216" spans="1:7" x14ac:dyDescent="0.35">
      <c r="A216" t="s">
        <v>247</v>
      </c>
      <c r="B216">
        <v>734070</v>
      </c>
      <c r="C216">
        <v>293628</v>
      </c>
      <c r="D216">
        <v>146814</v>
      </c>
      <c r="E216">
        <v>184985.64</v>
      </c>
      <c r="F216">
        <v>73407</v>
      </c>
      <c r="G216">
        <v>698834.64</v>
      </c>
    </row>
    <row r="217" spans="1:7" x14ac:dyDescent="0.35">
      <c r="A217" t="s">
        <v>248</v>
      </c>
      <c r="B217">
        <v>650649.29999999993</v>
      </c>
      <c r="C217">
        <v>260259.72</v>
      </c>
      <c r="D217">
        <v>130129.86</v>
      </c>
      <c r="E217">
        <v>163963.62359999999</v>
      </c>
      <c r="F217">
        <v>65064.929999999993</v>
      </c>
      <c r="G217">
        <v>619418.13359999983</v>
      </c>
    </row>
    <row r="218" spans="1:7" x14ac:dyDescent="0.35">
      <c r="A218" t="s">
        <v>249</v>
      </c>
      <c r="B218">
        <v>879202</v>
      </c>
      <c r="C218">
        <v>351680.8</v>
      </c>
      <c r="D218">
        <v>175840.4</v>
      </c>
      <c r="E218">
        <v>221558.90399999989</v>
      </c>
      <c r="F218">
        <v>87920.200000000012</v>
      </c>
      <c r="G218">
        <v>837000.304</v>
      </c>
    </row>
    <row r="219" spans="1:7" x14ac:dyDescent="0.35">
      <c r="A219" t="s">
        <v>250</v>
      </c>
      <c r="B219">
        <v>893114.95</v>
      </c>
      <c r="C219">
        <v>357245.98</v>
      </c>
      <c r="D219">
        <v>178622.99</v>
      </c>
      <c r="E219">
        <v>225064.96739999999</v>
      </c>
      <c r="F219">
        <v>89311.494999999995</v>
      </c>
      <c r="G219">
        <v>850245.43239999993</v>
      </c>
    </row>
    <row r="220" spans="1:7" x14ac:dyDescent="0.35">
      <c r="A220" t="s">
        <v>251</v>
      </c>
      <c r="B220">
        <v>573761.04999999993</v>
      </c>
      <c r="C220">
        <v>229504.42</v>
      </c>
      <c r="D220">
        <v>114752.21</v>
      </c>
      <c r="E220">
        <v>144587.78460000001</v>
      </c>
      <c r="F220">
        <v>57376.105000000003</v>
      </c>
      <c r="G220">
        <v>546220.5196</v>
      </c>
    </row>
    <row r="221" spans="1:7" x14ac:dyDescent="0.35">
      <c r="A221" t="s">
        <v>252</v>
      </c>
      <c r="B221">
        <v>450998</v>
      </c>
      <c r="C221">
        <v>180399.2</v>
      </c>
      <c r="D221">
        <v>90199.6</v>
      </c>
      <c r="E221">
        <v>113651.496</v>
      </c>
      <c r="F221">
        <v>45099.8</v>
      </c>
      <c r="G221">
        <v>429350.09600000002</v>
      </c>
    </row>
    <row r="222" spans="1:7" x14ac:dyDescent="0.35">
      <c r="A222" t="s">
        <v>253</v>
      </c>
      <c r="B222">
        <v>1446713</v>
      </c>
      <c r="C222">
        <v>578685.20000000007</v>
      </c>
      <c r="D222">
        <v>289342.59999999998</v>
      </c>
      <c r="E222">
        <v>364571.67599999998</v>
      </c>
      <c r="F222">
        <v>144671.29999999999</v>
      </c>
      <c r="G222">
        <v>1377270.7760000001</v>
      </c>
    </row>
    <row r="223" spans="1:7" x14ac:dyDescent="0.35">
      <c r="A223" t="s">
        <v>254</v>
      </c>
      <c r="B223">
        <v>914928.85</v>
      </c>
      <c r="C223">
        <v>365971.54</v>
      </c>
      <c r="D223">
        <v>182985.77</v>
      </c>
      <c r="E223">
        <v>230562.07019999999</v>
      </c>
      <c r="F223">
        <v>91492.885000000009</v>
      </c>
      <c r="G223">
        <v>871012.26520000002</v>
      </c>
    </row>
    <row r="224" spans="1:7" x14ac:dyDescent="0.35">
      <c r="A224" t="s">
        <v>255</v>
      </c>
      <c r="B224">
        <v>892533</v>
      </c>
      <c r="C224">
        <v>357013.2</v>
      </c>
      <c r="D224">
        <v>178506.6</v>
      </c>
      <c r="E224">
        <v>224918.3159999999</v>
      </c>
      <c r="F224">
        <v>89253.3</v>
      </c>
      <c r="G224">
        <v>849691.41599999997</v>
      </c>
    </row>
    <row r="225" spans="1:7" x14ac:dyDescent="0.35">
      <c r="A225" t="s">
        <v>256</v>
      </c>
      <c r="B225">
        <v>721809</v>
      </c>
      <c r="C225">
        <v>288723.59999999998</v>
      </c>
      <c r="D225">
        <v>144361.79999999999</v>
      </c>
      <c r="E225">
        <v>181895.8679999999</v>
      </c>
      <c r="F225">
        <v>72180.900000000009</v>
      </c>
      <c r="G225">
        <v>687162.16799999995</v>
      </c>
    </row>
    <row r="226" spans="1:7" x14ac:dyDescent="0.35">
      <c r="A226" t="s">
        <v>257</v>
      </c>
      <c r="B226">
        <v>1106346</v>
      </c>
      <c r="C226">
        <v>442538.4</v>
      </c>
      <c r="D226">
        <v>221269.2</v>
      </c>
      <c r="E226">
        <v>278799.19199999992</v>
      </c>
      <c r="F226">
        <v>110634.6</v>
      </c>
      <c r="G226">
        <v>1053241.392</v>
      </c>
    </row>
    <row r="227" spans="1:7" x14ac:dyDescent="0.35">
      <c r="A227" t="s">
        <v>258</v>
      </c>
      <c r="B227">
        <v>824082</v>
      </c>
      <c r="C227">
        <v>329632.8</v>
      </c>
      <c r="D227">
        <v>164816.4</v>
      </c>
      <c r="E227">
        <v>207668.6639999999</v>
      </c>
      <c r="F227">
        <v>82408.200000000012</v>
      </c>
      <c r="G227">
        <v>784526.06400000001</v>
      </c>
    </row>
    <row r="228" spans="1:7" x14ac:dyDescent="0.35">
      <c r="A228" t="s">
        <v>259</v>
      </c>
      <c r="B228">
        <v>634455.6</v>
      </c>
      <c r="C228">
        <v>253782.24</v>
      </c>
      <c r="D228">
        <v>126891.12</v>
      </c>
      <c r="E228">
        <v>159882.8112</v>
      </c>
      <c r="F228">
        <v>63445.56</v>
      </c>
      <c r="G228">
        <v>604001.73120000004</v>
      </c>
    </row>
    <row r="229" spans="1:7" x14ac:dyDescent="0.35">
      <c r="A229" t="s">
        <v>260</v>
      </c>
      <c r="B229">
        <v>803263</v>
      </c>
      <c r="C229">
        <v>321305.2</v>
      </c>
      <c r="D229">
        <v>160652.6</v>
      </c>
      <c r="E229">
        <v>202422.27600000001</v>
      </c>
      <c r="F229">
        <v>80326.3</v>
      </c>
      <c r="G229">
        <v>764706.37600000005</v>
      </c>
    </row>
    <row r="230" spans="1:7" x14ac:dyDescent="0.35">
      <c r="A230" t="s">
        <v>261</v>
      </c>
      <c r="B230">
        <v>584523</v>
      </c>
      <c r="C230">
        <v>233809.2</v>
      </c>
      <c r="D230">
        <v>116904.6</v>
      </c>
      <c r="E230">
        <v>147299.796</v>
      </c>
      <c r="F230">
        <v>58452.3</v>
      </c>
      <c r="G230">
        <v>556465.89600000007</v>
      </c>
    </row>
    <row r="231" spans="1:7" x14ac:dyDescent="0.35">
      <c r="A231" t="s">
        <v>262</v>
      </c>
      <c r="B231">
        <v>1064720</v>
      </c>
      <c r="C231">
        <v>425888</v>
      </c>
      <c r="D231">
        <v>212944</v>
      </c>
      <c r="E231">
        <v>268309.43999999989</v>
      </c>
      <c r="F231">
        <v>106472</v>
      </c>
      <c r="G231">
        <v>1013613.44</v>
      </c>
    </row>
    <row r="232" spans="1:7" x14ac:dyDescent="0.35">
      <c r="A232" t="s">
        <v>263</v>
      </c>
      <c r="B232">
        <v>692113</v>
      </c>
      <c r="C232">
        <v>276845.2</v>
      </c>
      <c r="D232">
        <v>138422.6</v>
      </c>
      <c r="E232">
        <v>174412.476</v>
      </c>
      <c r="F232">
        <v>69211.3</v>
      </c>
      <c r="G232">
        <v>658891.57600000012</v>
      </c>
    </row>
    <row r="233" spans="1:7" x14ac:dyDescent="0.35">
      <c r="A233" t="s">
        <v>264</v>
      </c>
      <c r="B233">
        <v>778652</v>
      </c>
      <c r="C233">
        <v>311460.8</v>
      </c>
      <c r="D233">
        <v>155730.4</v>
      </c>
      <c r="E233">
        <v>196220.30400000009</v>
      </c>
      <c r="F233">
        <v>77865.2</v>
      </c>
      <c r="G233">
        <v>741276.70400000003</v>
      </c>
    </row>
    <row r="234" spans="1:7" x14ac:dyDescent="0.35">
      <c r="A234" t="s">
        <v>265</v>
      </c>
      <c r="B234">
        <v>1201592</v>
      </c>
      <c r="C234">
        <v>480636.8</v>
      </c>
      <c r="D234">
        <v>240318.4</v>
      </c>
      <c r="E234">
        <v>302801.18399999989</v>
      </c>
      <c r="F234">
        <v>120159.2</v>
      </c>
      <c r="G234">
        <v>1143915.584</v>
      </c>
    </row>
    <row r="235" spans="1:7" x14ac:dyDescent="0.35">
      <c r="A235" t="s">
        <v>266</v>
      </c>
      <c r="B235">
        <v>822924.2</v>
      </c>
      <c r="C235">
        <v>329169.68</v>
      </c>
      <c r="D235">
        <v>164584.84</v>
      </c>
      <c r="E235">
        <v>207376.89839999989</v>
      </c>
      <c r="F235">
        <v>82292.42</v>
      </c>
      <c r="G235">
        <v>783423.83840000001</v>
      </c>
    </row>
    <row r="236" spans="1:7" x14ac:dyDescent="0.35">
      <c r="A236" t="s">
        <v>267</v>
      </c>
      <c r="B236">
        <v>949068</v>
      </c>
      <c r="C236">
        <v>379627.2</v>
      </c>
      <c r="D236">
        <v>189813.6</v>
      </c>
      <c r="E236">
        <v>239165.13599999991</v>
      </c>
      <c r="F236">
        <v>94906.8</v>
      </c>
      <c r="G236">
        <v>903512.73600000003</v>
      </c>
    </row>
    <row r="237" spans="1:7" x14ac:dyDescent="0.35">
      <c r="A237" t="s">
        <v>268</v>
      </c>
      <c r="B237">
        <v>781203</v>
      </c>
      <c r="C237">
        <v>312481.2</v>
      </c>
      <c r="D237">
        <v>156240.6</v>
      </c>
      <c r="E237">
        <v>196863.15599999999</v>
      </c>
      <c r="F237">
        <v>78120.3</v>
      </c>
      <c r="G237">
        <v>743705.25600000005</v>
      </c>
    </row>
    <row r="238" spans="1:7" x14ac:dyDescent="0.35">
      <c r="A238" t="s">
        <v>269</v>
      </c>
      <c r="B238">
        <v>591877</v>
      </c>
      <c r="C238">
        <v>236750.8</v>
      </c>
      <c r="D238">
        <v>118375.4</v>
      </c>
      <c r="E238">
        <v>149153.00399999999</v>
      </c>
      <c r="F238">
        <v>59187.7</v>
      </c>
      <c r="G238">
        <v>563466.90399999998</v>
      </c>
    </row>
    <row r="239" spans="1:7" x14ac:dyDescent="0.35">
      <c r="A239" t="s">
        <v>270</v>
      </c>
      <c r="B239">
        <v>1138550.3</v>
      </c>
      <c r="C239">
        <v>455420.12000000011</v>
      </c>
      <c r="D239">
        <v>227710.06</v>
      </c>
      <c r="E239">
        <v>286914.67560000002</v>
      </c>
      <c r="F239">
        <v>113855.03</v>
      </c>
      <c r="G239">
        <v>1083899.8855999999</v>
      </c>
    </row>
    <row r="240" spans="1:7" x14ac:dyDescent="0.35">
      <c r="A240" t="s">
        <v>271</v>
      </c>
      <c r="B240">
        <v>591667.6</v>
      </c>
      <c r="C240">
        <v>236667.04</v>
      </c>
      <c r="D240">
        <v>118333.52</v>
      </c>
      <c r="E240">
        <v>149100.2352</v>
      </c>
      <c r="F240">
        <v>59166.76</v>
      </c>
      <c r="G240">
        <v>563267.55519999994</v>
      </c>
    </row>
    <row r="241" spans="1:7" x14ac:dyDescent="0.35">
      <c r="A241" t="s">
        <v>272</v>
      </c>
      <c r="B241">
        <v>663060.1</v>
      </c>
      <c r="C241">
        <v>265224.03999999998</v>
      </c>
      <c r="D241">
        <v>132612.01999999999</v>
      </c>
      <c r="E241">
        <v>167091.1452</v>
      </c>
      <c r="F241">
        <v>66306.009999999995</v>
      </c>
      <c r="G241">
        <v>631233.21519999998</v>
      </c>
    </row>
    <row r="242" spans="1:7" x14ac:dyDescent="0.35">
      <c r="A242" t="s">
        <v>273</v>
      </c>
      <c r="B242">
        <v>684782.79999999993</v>
      </c>
      <c r="C242">
        <v>273913.12</v>
      </c>
      <c r="D242">
        <v>136956.56</v>
      </c>
      <c r="E242">
        <v>172565.26560000001</v>
      </c>
      <c r="F242">
        <v>68478.28</v>
      </c>
      <c r="G242">
        <v>651913.22560000001</v>
      </c>
    </row>
    <row r="243" spans="1:7" x14ac:dyDescent="0.35">
      <c r="A243" t="s">
        <v>274</v>
      </c>
      <c r="B243">
        <v>801656.54999999993</v>
      </c>
      <c r="C243">
        <v>320662.62</v>
      </c>
      <c r="D243">
        <v>160331.31</v>
      </c>
      <c r="E243">
        <v>202017.45060000001</v>
      </c>
      <c r="F243">
        <v>80165.654999999999</v>
      </c>
      <c r="G243">
        <v>763177.03560000006</v>
      </c>
    </row>
    <row r="244" spans="1:7" x14ac:dyDescent="0.35">
      <c r="A244" t="s">
        <v>275</v>
      </c>
      <c r="B244">
        <v>789172</v>
      </c>
      <c r="C244">
        <v>315668.8</v>
      </c>
      <c r="D244">
        <v>157834.4</v>
      </c>
      <c r="E244">
        <v>198871.34399999981</v>
      </c>
      <c r="F244">
        <v>78917.200000000012</v>
      </c>
      <c r="G244">
        <v>751291.74399999995</v>
      </c>
    </row>
    <row r="245" spans="1:7" x14ac:dyDescent="0.35">
      <c r="A245" t="s">
        <v>276</v>
      </c>
      <c r="B245">
        <v>823231.04999999993</v>
      </c>
      <c r="C245">
        <v>329292.42</v>
      </c>
      <c r="D245">
        <v>164646.21</v>
      </c>
      <c r="E245">
        <v>207454.22459999999</v>
      </c>
      <c r="F245">
        <v>82323.104999999996</v>
      </c>
      <c r="G245">
        <v>783715.95959999994</v>
      </c>
    </row>
    <row r="246" spans="1:7" x14ac:dyDescent="0.35">
      <c r="A246" t="s">
        <v>277</v>
      </c>
      <c r="B246">
        <v>869053.35</v>
      </c>
      <c r="C246">
        <v>347621.34</v>
      </c>
      <c r="D246">
        <v>173810.67</v>
      </c>
      <c r="E246">
        <v>219001.4442</v>
      </c>
      <c r="F246">
        <v>86905.335000000006</v>
      </c>
      <c r="G246">
        <v>827338.7892</v>
      </c>
    </row>
    <row r="247" spans="1:7" x14ac:dyDescent="0.35">
      <c r="A247" t="s">
        <v>278</v>
      </c>
      <c r="B247">
        <v>670123.35</v>
      </c>
      <c r="C247">
        <v>268049.34000000003</v>
      </c>
      <c r="D247">
        <v>134024.67000000001</v>
      </c>
      <c r="E247">
        <v>168871.0841999999</v>
      </c>
      <c r="F247">
        <v>67012.335000000006</v>
      </c>
      <c r="G247">
        <v>637957.4291999999</v>
      </c>
    </row>
    <row r="248" spans="1:7" x14ac:dyDescent="0.35">
      <c r="A248" t="s">
        <v>279</v>
      </c>
      <c r="B248">
        <v>417419</v>
      </c>
      <c r="C248">
        <v>166967.6</v>
      </c>
      <c r="D248">
        <v>83483.8</v>
      </c>
      <c r="E248">
        <v>105189.5879999999</v>
      </c>
      <c r="F248">
        <v>41741.9</v>
      </c>
      <c r="G248">
        <v>397382.88799999998</v>
      </c>
    </row>
    <row r="249" spans="1:7" x14ac:dyDescent="0.35">
      <c r="A249" t="s">
        <v>280</v>
      </c>
      <c r="B249">
        <v>1221766</v>
      </c>
      <c r="C249">
        <v>488706.4</v>
      </c>
      <c r="D249">
        <v>244353.2</v>
      </c>
      <c r="E249">
        <v>307885.03199999989</v>
      </c>
      <c r="F249">
        <v>122176.6</v>
      </c>
      <c r="G249">
        <v>1163121.2320000001</v>
      </c>
    </row>
    <row r="250" spans="1:7" x14ac:dyDescent="0.35">
      <c r="A250" t="s">
        <v>281</v>
      </c>
      <c r="B250">
        <v>1089669</v>
      </c>
      <c r="C250">
        <v>435867.6</v>
      </c>
      <c r="D250">
        <v>217933.8</v>
      </c>
      <c r="E250">
        <v>274596.58799999999</v>
      </c>
      <c r="F250">
        <v>108966.9</v>
      </c>
      <c r="G250">
        <v>1037364.888</v>
      </c>
    </row>
    <row r="251" spans="1:7" x14ac:dyDescent="0.35">
      <c r="A251" t="s">
        <v>282</v>
      </c>
      <c r="B251">
        <v>823955</v>
      </c>
      <c r="C251">
        <v>329582</v>
      </c>
      <c r="D251">
        <v>164791</v>
      </c>
      <c r="E251">
        <v>207636.66</v>
      </c>
      <c r="F251">
        <v>82395.5</v>
      </c>
      <c r="G251">
        <v>784405.16</v>
      </c>
    </row>
    <row r="252" spans="1:7" x14ac:dyDescent="0.35">
      <c r="A252" t="s">
        <v>283</v>
      </c>
      <c r="B252">
        <v>827560</v>
      </c>
      <c r="C252">
        <v>331024</v>
      </c>
      <c r="D252">
        <v>165512</v>
      </c>
      <c r="E252">
        <v>208545.12</v>
      </c>
      <c r="F252">
        <v>82756</v>
      </c>
      <c r="G252">
        <v>787837.12</v>
      </c>
    </row>
    <row r="253" spans="1:7" x14ac:dyDescent="0.35">
      <c r="A253" t="s">
        <v>284</v>
      </c>
      <c r="B253">
        <v>971232.5</v>
      </c>
      <c r="C253">
        <v>388493</v>
      </c>
      <c r="D253">
        <v>194246.5</v>
      </c>
      <c r="E253">
        <v>244750.59</v>
      </c>
      <c r="F253">
        <v>97123.25</v>
      </c>
      <c r="G253">
        <v>924613.34</v>
      </c>
    </row>
    <row r="254" spans="1:7" x14ac:dyDescent="0.35">
      <c r="A254" t="s">
        <v>285</v>
      </c>
      <c r="B254">
        <v>316910</v>
      </c>
      <c r="C254">
        <v>126764</v>
      </c>
      <c r="D254">
        <v>63382</v>
      </c>
      <c r="E254">
        <v>79861.320000000007</v>
      </c>
      <c r="F254">
        <v>31691</v>
      </c>
      <c r="G254">
        <v>301698.32</v>
      </c>
    </row>
    <row r="255" spans="1:7" x14ac:dyDescent="0.35">
      <c r="A255" t="s">
        <v>286</v>
      </c>
      <c r="B255">
        <v>717902</v>
      </c>
      <c r="C255">
        <v>287160.8</v>
      </c>
      <c r="D255">
        <v>143580.4</v>
      </c>
      <c r="E255">
        <v>180911.304</v>
      </c>
      <c r="F255">
        <v>71790.2</v>
      </c>
      <c r="G255">
        <v>683442.70399999991</v>
      </c>
    </row>
    <row r="256" spans="1:7" x14ac:dyDescent="0.35">
      <c r="A256" t="s">
        <v>287</v>
      </c>
      <c r="B256">
        <v>552865</v>
      </c>
      <c r="C256">
        <v>221146</v>
      </c>
      <c r="D256">
        <v>110573</v>
      </c>
      <c r="E256">
        <v>139321.98000000001</v>
      </c>
      <c r="F256">
        <v>55286.5</v>
      </c>
      <c r="G256">
        <v>526327.48</v>
      </c>
    </row>
    <row r="257" spans="1:7" x14ac:dyDescent="0.35">
      <c r="A257" t="s">
        <v>288</v>
      </c>
      <c r="B257">
        <v>1238302.2</v>
      </c>
      <c r="C257">
        <v>495320.88</v>
      </c>
      <c r="D257">
        <v>247660.44</v>
      </c>
      <c r="E257">
        <v>312052.15439999988</v>
      </c>
      <c r="F257">
        <v>123830.22</v>
      </c>
      <c r="G257">
        <v>1178863.6943999999</v>
      </c>
    </row>
    <row r="258" spans="1:7" x14ac:dyDescent="0.35">
      <c r="A258" t="s">
        <v>289</v>
      </c>
      <c r="B258">
        <v>1511360.7</v>
      </c>
      <c r="C258">
        <v>604544.28</v>
      </c>
      <c r="D258">
        <v>302272.14</v>
      </c>
      <c r="E258">
        <v>380862.89640000003</v>
      </c>
      <c r="F258">
        <v>151136.07</v>
      </c>
      <c r="G258">
        <v>1438815.3864</v>
      </c>
    </row>
    <row r="259" spans="1:7" x14ac:dyDescent="0.35">
      <c r="A259" t="s">
        <v>290</v>
      </c>
      <c r="B259">
        <v>673932.85</v>
      </c>
      <c r="C259">
        <v>269573.14</v>
      </c>
      <c r="D259">
        <v>134786.57</v>
      </c>
      <c r="E259">
        <v>169831.07819999999</v>
      </c>
      <c r="F259">
        <v>67393.285000000003</v>
      </c>
      <c r="G259">
        <v>641584.0732000001</v>
      </c>
    </row>
    <row r="260" spans="1:7" x14ac:dyDescent="0.35">
      <c r="A260" t="s">
        <v>291</v>
      </c>
      <c r="B260">
        <v>808100.39999999991</v>
      </c>
      <c r="C260">
        <v>323240.15999999997</v>
      </c>
      <c r="D260">
        <v>161620.07999999999</v>
      </c>
      <c r="E260">
        <v>203641.30079999991</v>
      </c>
      <c r="F260">
        <v>80810.039999999994</v>
      </c>
      <c r="G260">
        <v>769311.58079999988</v>
      </c>
    </row>
    <row r="261" spans="1:7" x14ac:dyDescent="0.35">
      <c r="A261" t="s">
        <v>292</v>
      </c>
      <c r="B261">
        <v>460507</v>
      </c>
      <c r="C261">
        <v>184202.8</v>
      </c>
      <c r="D261">
        <v>92101.400000000009</v>
      </c>
      <c r="E261">
        <v>116047.764</v>
      </c>
      <c r="F261">
        <v>46050.7</v>
      </c>
      <c r="G261">
        <v>438402.66399999999</v>
      </c>
    </row>
    <row r="262" spans="1:7" x14ac:dyDescent="0.35">
      <c r="A262" t="s">
        <v>293</v>
      </c>
      <c r="B262">
        <v>813175.29999999993</v>
      </c>
      <c r="C262">
        <v>325270.12</v>
      </c>
      <c r="D262">
        <v>162635.06</v>
      </c>
      <c r="E262">
        <v>204920.17559999999</v>
      </c>
      <c r="F262">
        <v>81317.53</v>
      </c>
      <c r="G262">
        <v>774142.88559999992</v>
      </c>
    </row>
    <row r="263" spans="1:7" x14ac:dyDescent="0.35">
      <c r="A263" t="s">
        <v>294</v>
      </c>
      <c r="B263">
        <v>532500</v>
      </c>
      <c r="C263">
        <v>213000</v>
      </c>
      <c r="D263">
        <v>106500</v>
      </c>
      <c r="E263">
        <v>134190</v>
      </c>
      <c r="F263">
        <v>53250</v>
      </c>
      <c r="G263">
        <v>506940</v>
      </c>
    </row>
    <row r="264" spans="1:7" x14ac:dyDescent="0.35">
      <c r="A264" t="s">
        <v>295</v>
      </c>
      <c r="B264">
        <v>751578</v>
      </c>
      <c r="C264">
        <v>300631.2</v>
      </c>
      <c r="D264">
        <v>150315.6</v>
      </c>
      <c r="E264">
        <v>189397.65599999999</v>
      </c>
      <c r="F264">
        <v>75157.8</v>
      </c>
      <c r="G264">
        <v>715502.25600000005</v>
      </c>
    </row>
    <row r="265" spans="1:7" x14ac:dyDescent="0.35">
      <c r="A265" t="s">
        <v>296</v>
      </c>
      <c r="B265">
        <v>799291</v>
      </c>
      <c r="C265">
        <v>319716.40000000002</v>
      </c>
      <c r="D265">
        <v>159858.20000000001</v>
      </c>
      <c r="E265">
        <v>201421.33199999991</v>
      </c>
      <c r="F265">
        <v>79929.100000000006</v>
      </c>
      <c r="G265">
        <v>760925.03200000001</v>
      </c>
    </row>
    <row r="266" spans="1:7" x14ac:dyDescent="0.35">
      <c r="A266" t="s">
        <v>297</v>
      </c>
      <c r="B266">
        <v>811915</v>
      </c>
      <c r="C266">
        <v>324766</v>
      </c>
      <c r="D266">
        <v>162383</v>
      </c>
      <c r="E266">
        <v>204602.58</v>
      </c>
      <c r="F266">
        <v>81191.5</v>
      </c>
      <c r="G266">
        <v>772943.08</v>
      </c>
    </row>
    <row r="267" spans="1:7" x14ac:dyDescent="0.35">
      <c r="A267" t="s">
        <v>298</v>
      </c>
      <c r="B267">
        <v>806406.54999999993</v>
      </c>
      <c r="C267">
        <v>322562.62</v>
      </c>
      <c r="D267">
        <v>161281.31</v>
      </c>
      <c r="E267">
        <v>203214.45060000001</v>
      </c>
      <c r="F267">
        <v>80640.654999999999</v>
      </c>
      <c r="G267">
        <v>767699.03560000006</v>
      </c>
    </row>
    <row r="268" spans="1:7" x14ac:dyDescent="0.35">
      <c r="A268" t="s">
        <v>299</v>
      </c>
      <c r="B268">
        <v>856415</v>
      </c>
      <c r="C268">
        <v>342566</v>
      </c>
      <c r="D268">
        <v>171283</v>
      </c>
      <c r="E268">
        <v>215816.58</v>
      </c>
      <c r="F268">
        <v>85641.5</v>
      </c>
      <c r="G268">
        <v>815307.08</v>
      </c>
    </row>
    <row r="269" spans="1:7" x14ac:dyDescent="0.35">
      <c r="A269" t="s">
        <v>300</v>
      </c>
      <c r="B269">
        <v>379770.1</v>
      </c>
      <c r="C269">
        <v>151908.04</v>
      </c>
      <c r="D269">
        <v>75954.02</v>
      </c>
      <c r="E269">
        <v>95702.065199999954</v>
      </c>
      <c r="F269">
        <v>37977.01</v>
      </c>
      <c r="G269">
        <v>361541.13520000002</v>
      </c>
    </row>
    <row r="270" spans="1:7" x14ac:dyDescent="0.35">
      <c r="A270" t="s">
        <v>301</v>
      </c>
      <c r="B270">
        <v>712408.79999999993</v>
      </c>
      <c r="C270">
        <v>284963.52</v>
      </c>
      <c r="D270">
        <v>142481.76</v>
      </c>
      <c r="E270">
        <v>179527.01759999999</v>
      </c>
      <c r="F270">
        <v>71240.87999999999</v>
      </c>
      <c r="G270">
        <v>678213.17759999994</v>
      </c>
    </row>
    <row r="271" spans="1:7" x14ac:dyDescent="0.35">
      <c r="A271" t="s">
        <v>302</v>
      </c>
      <c r="B271">
        <v>910080.04999999993</v>
      </c>
      <c r="C271">
        <v>364032.02</v>
      </c>
      <c r="D271">
        <v>182016.01</v>
      </c>
      <c r="E271">
        <v>229340.1725999999</v>
      </c>
      <c r="F271">
        <v>91008.005000000005</v>
      </c>
      <c r="G271">
        <v>866396.20759999997</v>
      </c>
    </row>
    <row r="272" spans="1:7" x14ac:dyDescent="0.35">
      <c r="A272" t="s">
        <v>303</v>
      </c>
      <c r="B272">
        <v>1424843.25</v>
      </c>
      <c r="C272">
        <v>569937.30000000005</v>
      </c>
      <c r="D272">
        <v>284968.65000000002</v>
      </c>
      <c r="E272">
        <v>359060.49899999978</v>
      </c>
      <c r="F272">
        <v>142484.32500000001</v>
      </c>
      <c r="G272">
        <v>1356450.774</v>
      </c>
    </row>
    <row r="273" spans="1:7" x14ac:dyDescent="0.35">
      <c r="A273" t="s">
        <v>304</v>
      </c>
      <c r="B273">
        <v>1083743</v>
      </c>
      <c r="C273">
        <v>433497.2</v>
      </c>
      <c r="D273">
        <v>216748.6</v>
      </c>
      <c r="E273">
        <v>273103.23599999992</v>
      </c>
      <c r="F273">
        <v>108374.3</v>
      </c>
      <c r="G273">
        <v>1031723.336</v>
      </c>
    </row>
    <row r="274" spans="1:7" x14ac:dyDescent="0.35">
      <c r="A274" t="s">
        <v>305</v>
      </c>
      <c r="B274">
        <v>1040880</v>
      </c>
      <c r="C274">
        <v>416352</v>
      </c>
      <c r="D274">
        <v>208176</v>
      </c>
      <c r="E274">
        <v>262301.76</v>
      </c>
      <c r="F274">
        <v>104088</v>
      </c>
      <c r="G274">
        <v>990917.76</v>
      </c>
    </row>
    <row r="275" spans="1:7" x14ac:dyDescent="0.35">
      <c r="A275" t="s">
        <v>306</v>
      </c>
      <c r="B275">
        <v>867653</v>
      </c>
      <c r="C275">
        <v>347061.2</v>
      </c>
      <c r="D275">
        <v>173530.6</v>
      </c>
      <c r="E275">
        <v>218648.55599999989</v>
      </c>
      <c r="F275">
        <v>86765.3</v>
      </c>
      <c r="G275">
        <v>826005.65599999996</v>
      </c>
    </row>
    <row r="276" spans="1:7" x14ac:dyDescent="0.35">
      <c r="A276" t="s">
        <v>307</v>
      </c>
      <c r="B276">
        <v>607676.04999999993</v>
      </c>
      <c r="C276">
        <v>243070.42</v>
      </c>
      <c r="D276">
        <v>121535.21</v>
      </c>
      <c r="E276">
        <v>153134.3646</v>
      </c>
      <c r="F276">
        <v>60767.605000000003</v>
      </c>
      <c r="G276">
        <v>578507.59959999996</v>
      </c>
    </row>
    <row r="277" spans="1:7" x14ac:dyDescent="0.35">
      <c r="A277" t="s">
        <v>308</v>
      </c>
      <c r="B277">
        <v>671915</v>
      </c>
      <c r="C277">
        <v>268766</v>
      </c>
      <c r="D277">
        <v>134383</v>
      </c>
      <c r="E277">
        <v>169322.58</v>
      </c>
      <c r="F277">
        <v>67191.5</v>
      </c>
      <c r="G277">
        <v>639663.08000000007</v>
      </c>
    </row>
    <row r="278" spans="1:7" x14ac:dyDescent="0.35">
      <c r="A278" t="s">
        <v>309</v>
      </c>
      <c r="B278">
        <v>778879.35</v>
      </c>
      <c r="C278">
        <v>311551.74</v>
      </c>
      <c r="D278">
        <v>155775.87</v>
      </c>
      <c r="E278">
        <v>196277.5962</v>
      </c>
      <c r="F278">
        <v>77887.934999999998</v>
      </c>
      <c r="G278">
        <v>741493.14119999995</v>
      </c>
    </row>
    <row r="279" spans="1:7" x14ac:dyDescent="0.35">
      <c r="A279" t="s">
        <v>310</v>
      </c>
      <c r="B279">
        <v>931605</v>
      </c>
      <c r="C279">
        <v>372642</v>
      </c>
      <c r="D279">
        <v>186321</v>
      </c>
      <c r="E279">
        <v>234764.46</v>
      </c>
      <c r="F279">
        <v>93160.5</v>
      </c>
      <c r="G279">
        <v>886887.96</v>
      </c>
    </row>
    <row r="280" spans="1:7" x14ac:dyDescent="0.35">
      <c r="A280" t="s">
        <v>311</v>
      </c>
      <c r="B280">
        <v>1144213.25</v>
      </c>
      <c r="C280">
        <v>457685.3</v>
      </c>
      <c r="D280">
        <v>228842.65</v>
      </c>
      <c r="E280">
        <v>288341.73899999983</v>
      </c>
      <c r="F280">
        <v>114421.325</v>
      </c>
      <c r="G280">
        <v>1089291.014</v>
      </c>
    </row>
    <row r="281" spans="1:7" x14ac:dyDescent="0.35">
      <c r="A281" t="s">
        <v>312</v>
      </c>
      <c r="B281">
        <v>1027209</v>
      </c>
      <c r="C281">
        <v>410883.6</v>
      </c>
      <c r="D281">
        <v>205441.8</v>
      </c>
      <c r="E281">
        <v>258856.66799999989</v>
      </c>
      <c r="F281">
        <v>102720.9</v>
      </c>
      <c r="G281">
        <v>977902.96799999999</v>
      </c>
    </row>
    <row r="282" spans="1:7" x14ac:dyDescent="0.35">
      <c r="A282" t="s">
        <v>313</v>
      </c>
      <c r="B282">
        <v>646559</v>
      </c>
      <c r="C282">
        <v>258623.6</v>
      </c>
      <c r="D282">
        <v>129311.8</v>
      </c>
      <c r="E282">
        <v>162932.86799999999</v>
      </c>
      <c r="F282">
        <v>64655.9</v>
      </c>
      <c r="G282">
        <v>615524.16799999995</v>
      </c>
    </row>
    <row r="283" spans="1:7" x14ac:dyDescent="0.35">
      <c r="A283" t="s">
        <v>314</v>
      </c>
      <c r="B283">
        <v>1487040.7</v>
      </c>
      <c r="C283">
        <v>594816.28</v>
      </c>
      <c r="D283">
        <v>297408.14</v>
      </c>
      <c r="E283">
        <v>374734.25640000007</v>
      </c>
      <c r="F283">
        <v>148704.07</v>
      </c>
      <c r="G283">
        <v>1415662.7464000001</v>
      </c>
    </row>
    <row r="284" spans="1:7" x14ac:dyDescent="0.35">
      <c r="A284" t="s">
        <v>315</v>
      </c>
      <c r="B284">
        <v>865989.6</v>
      </c>
      <c r="C284">
        <v>346395.84</v>
      </c>
      <c r="D284">
        <v>173197.92</v>
      </c>
      <c r="E284">
        <v>218229.3792</v>
      </c>
      <c r="F284">
        <v>86598.96</v>
      </c>
      <c r="G284">
        <v>824422.09919999994</v>
      </c>
    </row>
    <row r="285" spans="1:7" x14ac:dyDescent="0.35">
      <c r="A285" t="s">
        <v>316</v>
      </c>
      <c r="B285">
        <v>994345</v>
      </c>
      <c r="C285">
        <v>397738</v>
      </c>
      <c r="D285">
        <v>198869</v>
      </c>
      <c r="E285">
        <v>250574.93999999989</v>
      </c>
      <c r="F285">
        <v>99434.5</v>
      </c>
      <c r="G285">
        <v>946616.44</v>
      </c>
    </row>
    <row r="286" spans="1:7" x14ac:dyDescent="0.35">
      <c r="A286" t="s">
        <v>317</v>
      </c>
      <c r="B286">
        <v>851910.6</v>
      </c>
      <c r="C286">
        <v>340764.24</v>
      </c>
      <c r="D286">
        <v>170382.12</v>
      </c>
      <c r="E286">
        <v>214681.4712</v>
      </c>
      <c r="F286">
        <v>85191.06</v>
      </c>
      <c r="G286">
        <v>811018.89119999995</v>
      </c>
    </row>
    <row r="287" spans="1:7" x14ac:dyDescent="0.35">
      <c r="A287" t="s">
        <v>318</v>
      </c>
      <c r="B287">
        <v>1061708.6000000001</v>
      </c>
      <c r="C287">
        <v>424683.44000000012</v>
      </c>
      <c r="D287">
        <v>212341.72</v>
      </c>
      <c r="E287">
        <v>267550.56719999987</v>
      </c>
      <c r="F287">
        <v>106170.86</v>
      </c>
      <c r="G287">
        <v>1010746.5872</v>
      </c>
    </row>
    <row r="288" spans="1:7" x14ac:dyDescent="0.35">
      <c r="A288" t="s">
        <v>319</v>
      </c>
      <c r="B288">
        <v>650387.1</v>
      </c>
      <c r="C288">
        <v>260154.84</v>
      </c>
      <c r="D288">
        <v>130077.42</v>
      </c>
      <c r="E288">
        <v>163897.54920000001</v>
      </c>
      <c r="F288">
        <v>65038.71</v>
      </c>
      <c r="G288">
        <v>619168.51919999998</v>
      </c>
    </row>
    <row r="289" spans="1:7" x14ac:dyDescent="0.35">
      <c r="A289" t="s">
        <v>320</v>
      </c>
      <c r="B289">
        <v>536334</v>
      </c>
      <c r="C289">
        <v>214533.6</v>
      </c>
      <c r="D289">
        <v>107266.8</v>
      </c>
      <c r="E289">
        <v>135156.16799999989</v>
      </c>
      <c r="F289">
        <v>53633.4</v>
      </c>
      <c r="G289">
        <v>510589.96799999999</v>
      </c>
    </row>
    <row r="290" spans="1:7" x14ac:dyDescent="0.35">
      <c r="A290" t="s">
        <v>321</v>
      </c>
      <c r="B290">
        <v>903849</v>
      </c>
      <c r="C290">
        <v>361539.6</v>
      </c>
      <c r="D290">
        <v>180769.8</v>
      </c>
      <c r="E290">
        <v>227769.948</v>
      </c>
      <c r="F290">
        <v>90384.900000000009</v>
      </c>
      <c r="G290">
        <v>860464.24800000002</v>
      </c>
    </row>
    <row r="291" spans="1:7" x14ac:dyDescent="0.35">
      <c r="A291" t="s">
        <v>322</v>
      </c>
      <c r="B291">
        <v>841041</v>
      </c>
      <c r="C291">
        <v>336416.4</v>
      </c>
      <c r="D291">
        <v>168208.2</v>
      </c>
      <c r="E291">
        <v>211942.33199999991</v>
      </c>
      <c r="F291">
        <v>84104.1</v>
      </c>
      <c r="G291">
        <v>800671.03200000001</v>
      </c>
    </row>
    <row r="292" spans="1:7" x14ac:dyDescent="0.35">
      <c r="A292" t="s">
        <v>323</v>
      </c>
      <c r="B292">
        <v>1178005</v>
      </c>
      <c r="C292">
        <v>471202</v>
      </c>
      <c r="D292">
        <v>235601</v>
      </c>
      <c r="E292">
        <v>296857.26</v>
      </c>
      <c r="F292">
        <v>117800.5</v>
      </c>
      <c r="G292">
        <v>1121460.76</v>
      </c>
    </row>
    <row r="293" spans="1:7" x14ac:dyDescent="0.35">
      <c r="A293" t="s">
        <v>324</v>
      </c>
      <c r="B293">
        <v>1244466</v>
      </c>
      <c r="C293">
        <v>497786.4</v>
      </c>
      <c r="D293">
        <v>248893.2</v>
      </c>
      <c r="E293">
        <v>313605.43199999991</v>
      </c>
      <c r="F293">
        <v>124446.6</v>
      </c>
      <c r="G293">
        <v>1184731.632</v>
      </c>
    </row>
    <row r="294" spans="1:7" x14ac:dyDescent="0.35">
      <c r="A294" t="s">
        <v>325</v>
      </c>
      <c r="B294">
        <v>797369.2</v>
      </c>
      <c r="C294">
        <v>318947.68</v>
      </c>
      <c r="D294">
        <v>159473.84</v>
      </c>
      <c r="E294">
        <v>200937.03839999979</v>
      </c>
      <c r="F294">
        <v>79736.92</v>
      </c>
      <c r="G294">
        <v>759095.47839999991</v>
      </c>
    </row>
    <row r="295" spans="1:7" x14ac:dyDescent="0.35">
      <c r="A295" t="s">
        <v>326</v>
      </c>
      <c r="B295">
        <v>787531.95</v>
      </c>
      <c r="C295">
        <v>315012.78000000003</v>
      </c>
      <c r="D295">
        <v>157506.39000000001</v>
      </c>
      <c r="E295">
        <v>198458.0514</v>
      </c>
      <c r="F295">
        <v>78753.195000000007</v>
      </c>
      <c r="G295">
        <v>749730.41639999999</v>
      </c>
    </row>
    <row r="296" spans="1:7" x14ac:dyDescent="0.35">
      <c r="A296" t="s">
        <v>327</v>
      </c>
      <c r="B296">
        <v>1111359</v>
      </c>
      <c r="C296">
        <v>444543.6</v>
      </c>
      <c r="D296">
        <v>222271.8</v>
      </c>
      <c r="E296">
        <v>280062.46799999999</v>
      </c>
      <c r="F296">
        <v>111135.9</v>
      </c>
      <c r="G296">
        <v>1058013.7679999999</v>
      </c>
    </row>
    <row r="297" spans="1:7" x14ac:dyDescent="0.35">
      <c r="A297" t="s">
        <v>328</v>
      </c>
      <c r="B297">
        <v>934226.2</v>
      </c>
      <c r="C297">
        <v>373690.48</v>
      </c>
      <c r="D297">
        <v>186845.24</v>
      </c>
      <c r="E297">
        <v>235425.0024</v>
      </c>
      <c r="F297">
        <v>93422.62</v>
      </c>
      <c r="G297">
        <v>889383.34239999996</v>
      </c>
    </row>
    <row r="298" spans="1:7" x14ac:dyDescent="0.35">
      <c r="A298" t="s">
        <v>329</v>
      </c>
      <c r="B298">
        <v>693909</v>
      </c>
      <c r="C298">
        <v>277563.59999999998</v>
      </c>
      <c r="D298">
        <v>138781.79999999999</v>
      </c>
      <c r="E298">
        <v>174865.068</v>
      </c>
      <c r="F298">
        <v>69390.900000000009</v>
      </c>
      <c r="G298">
        <v>660601.36800000002</v>
      </c>
    </row>
    <row r="299" spans="1:7" x14ac:dyDescent="0.35">
      <c r="A299" t="s">
        <v>330</v>
      </c>
      <c r="B299">
        <v>491149.05</v>
      </c>
      <c r="C299">
        <v>196459.62</v>
      </c>
      <c r="D299">
        <v>98229.81</v>
      </c>
      <c r="E299">
        <v>123769.5606</v>
      </c>
      <c r="F299">
        <v>49114.904999999999</v>
      </c>
      <c r="G299">
        <v>467573.89559999999</v>
      </c>
    </row>
    <row r="300" spans="1:7" x14ac:dyDescent="0.35">
      <c r="A300" t="s">
        <v>331</v>
      </c>
      <c r="B300">
        <v>928612</v>
      </c>
      <c r="C300">
        <v>371444.8</v>
      </c>
      <c r="D300">
        <v>185722.4</v>
      </c>
      <c r="E300">
        <v>234010.22399999981</v>
      </c>
      <c r="F300">
        <v>92861.200000000012</v>
      </c>
      <c r="G300">
        <v>884038.62399999984</v>
      </c>
    </row>
    <row r="301" spans="1:7" x14ac:dyDescent="0.35">
      <c r="A301" t="s">
        <v>332</v>
      </c>
      <c r="B301">
        <v>1245470</v>
      </c>
      <c r="C301">
        <v>498188</v>
      </c>
      <c r="D301">
        <v>249094</v>
      </c>
      <c r="E301">
        <v>313858.43999999989</v>
      </c>
      <c r="F301">
        <v>124547</v>
      </c>
      <c r="G301">
        <v>1185687.44</v>
      </c>
    </row>
    <row r="302" spans="1:7" x14ac:dyDescent="0.35">
      <c r="A302" t="s">
        <v>333</v>
      </c>
      <c r="B302">
        <v>616244</v>
      </c>
      <c r="C302">
        <v>246497.6</v>
      </c>
      <c r="D302">
        <v>123248.8</v>
      </c>
      <c r="E302">
        <v>155293.48800000001</v>
      </c>
      <c r="F302">
        <v>61624.4</v>
      </c>
      <c r="G302">
        <v>586664.28800000006</v>
      </c>
    </row>
    <row r="303" spans="1:7" x14ac:dyDescent="0.35">
      <c r="A303" t="s">
        <v>334</v>
      </c>
      <c r="B303">
        <v>1113108</v>
      </c>
      <c r="C303">
        <v>445243.2</v>
      </c>
      <c r="D303">
        <v>222621.6</v>
      </c>
      <c r="E303">
        <v>280503.2159999999</v>
      </c>
      <c r="F303">
        <v>111310.8</v>
      </c>
      <c r="G303">
        <v>1059678.8160000001</v>
      </c>
    </row>
    <row r="304" spans="1:7" x14ac:dyDescent="0.35">
      <c r="A304" t="s">
        <v>335</v>
      </c>
      <c r="B304">
        <v>833869.14999999991</v>
      </c>
      <c r="C304">
        <v>333547.65999999997</v>
      </c>
      <c r="D304">
        <v>166773.82999999999</v>
      </c>
      <c r="E304">
        <v>210135.02579999989</v>
      </c>
      <c r="F304">
        <v>83386.914999999994</v>
      </c>
      <c r="G304">
        <v>793843.43079999997</v>
      </c>
    </row>
    <row r="305" spans="1:7" x14ac:dyDescent="0.35">
      <c r="A305" t="s">
        <v>336</v>
      </c>
      <c r="B305">
        <v>1081550.3</v>
      </c>
      <c r="C305">
        <v>432620.12000000011</v>
      </c>
      <c r="D305">
        <v>216310.06</v>
      </c>
      <c r="E305">
        <v>272550.67560000002</v>
      </c>
      <c r="F305">
        <v>108155.03</v>
      </c>
      <c r="G305">
        <v>1029635.8856</v>
      </c>
    </row>
    <row r="306" spans="1:7" x14ac:dyDescent="0.35">
      <c r="A306" t="s">
        <v>337</v>
      </c>
      <c r="B306">
        <v>627117.79999999993</v>
      </c>
      <c r="C306">
        <v>250847.12</v>
      </c>
      <c r="D306">
        <v>125423.56</v>
      </c>
      <c r="E306">
        <v>158033.6856</v>
      </c>
      <c r="F306">
        <v>62711.78</v>
      </c>
      <c r="G306">
        <v>597016.14559999993</v>
      </c>
    </row>
    <row r="307" spans="1:7" x14ac:dyDescent="0.35">
      <c r="A307" t="s">
        <v>338</v>
      </c>
      <c r="B307">
        <v>1049199</v>
      </c>
      <c r="C307">
        <v>419679.6</v>
      </c>
      <c r="D307">
        <v>209839.8</v>
      </c>
      <c r="E307">
        <v>264398.14799999993</v>
      </c>
      <c r="F307">
        <v>104919.9</v>
      </c>
      <c r="G307">
        <v>998837.44799999997</v>
      </c>
    </row>
    <row r="308" spans="1:7" x14ac:dyDescent="0.35">
      <c r="A308" t="s">
        <v>339</v>
      </c>
      <c r="B308">
        <v>474630</v>
      </c>
      <c r="C308">
        <v>189852</v>
      </c>
      <c r="D308">
        <v>94926</v>
      </c>
      <c r="E308">
        <v>119606.76</v>
      </c>
      <c r="F308">
        <v>47463</v>
      </c>
      <c r="G308">
        <v>451847.76</v>
      </c>
    </row>
    <row r="309" spans="1:7" x14ac:dyDescent="0.35">
      <c r="A309" t="s">
        <v>340</v>
      </c>
      <c r="B309">
        <v>729316.9</v>
      </c>
      <c r="C309">
        <v>291726.76</v>
      </c>
      <c r="D309">
        <v>145863.38</v>
      </c>
      <c r="E309">
        <v>183787.85879999999</v>
      </c>
      <c r="F309">
        <v>72931.69</v>
      </c>
      <c r="G309">
        <v>694309.68880000012</v>
      </c>
    </row>
    <row r="310" spans="1:7" x14ac:dyDescent="0.35">
      <c r="A310" t="s">
        <v>341</v>
      </c>
      <c r="B310">
        <v>869028.64999999991</v>
      </c>
      <c r="C310">
        <v>347611.46</v>
      </c>
      <c r="D310">
        <v>173805.73</v>
      </c>
      <c r="E310">
        <v>218995.21979999999</v>
      </c>
      <c r="F310">
        <v>86902.864999999991</v>
      </c>
      <c r="G310">
        <v>827315.2747999999</v>
      </c>
    </row>
    <row r="311" spans="1:7" x14ac:dyDescent="0.35">
      <c r="A311" t="s">
        <v>342</v>
      </c>
      <c r="B311">
        <v>799137.14999999991</v>
      </c>
      <c r="C311">
        <v>319654.86</v>
      </c>
      <c r="D311">
        <v>159827.43</v>
      </c>
      <c r="E311">
        <v>201382.56179999991</v>
      </c>
      <c r="F311">
        <v>79913.714999999997</v>
      </c>
      <c r="G311">
        <v>760778.5667999998</v>
      </c>
    </row>
    <row r="312" spans="1:7" x14ac:dyDescent="0.35">
      <c r="A312" t="s">
        <v>343</v>
      </c>
      <c r="B312">
        <v>1095852.55</v>
      </c>
      <c r="C312">
        <v>438341.02</v>
      </c>
      <c r="D312">
        <v>219170.51</v>
      </c>
      <c r="E312">
        <v>276154.84259999997</v>
      </c>
      <c r="F312">
        <v>109585.255</v>
      </c>
      <c r="G312">
        <v>1043251.6276</v>
      </c>
    </row>
    <row r="313" spans="1:7" x14ac:dyDescent="0.35">
      <c r="A313" t="s">
        <v>344</v>
      </c>
      <c r="B313">
        <v>612918.15</v>
      </c>
      <c r="C313">
        <v>245167.26</v>
      </c>
      <c r="D313">
        <v>122583.63</v>
      </c>
      <c r="E313">
        <v>154455.3738</v>
      </c>
      <c r="F313">
        <v>61291.815000000002</v>
      </c>
      <c r="G313">
        <v>583498.07880000002</v>
      </c>
    </row>
    <row r="314" spans="1:7" x14ac:dyDescent="0.35">
      <c r="A314" t="s">
        <v>345</v>
      </c>
      <c r="B314">
        <v>779045.6</v>
      </c>
      <c r="C314">
        <v>311618.24</v>
      </c>
      <c r="D314">
        <v>155809.12</v>
      </c>
      <c r="E314">
        <v>196319.49119999999</v>
      </c>
      <c r="F314">
        <v>77904.56</v>
      </c>
      <c r="G314">
        <v>741651.41119999997</v>
      </c>
    </row>
    <row r="315" spans="1:7" x14ac:dyDescent="0.35">
      <c r="A315" t="s">
        <v>346</v>
      </c>
      <c r="B315">
        <v>998091.85</v>
      </c>
      <c r="C315">
        <v>399236.74</v>
      </c>
      <c r="D315">
        <v>199618.37</v>
      </c>
      <c r="E315">
        <v>251519.1462000001</v>
      </c>
      <c r="F315">
        <v>99809.184999999998</v>
      </c>
      <c r="G315">
        <v>950183.4412</v>
      </c>
    </row>
    <row r="316" spans="1:7" x14ac:dyDescent="0.35">
      <c r="A316" t="s">
        <v>347</v>
      </c>
      <c r="B316">
        <v>674088</v>
      </c>
      <c r="C316">
        <v>269635.20000000001</v>
      </c>
      <c r="D316">
        <v>134817.60000000001</v>
      </c>
      <c r="E316">
        <v>169870.17600000001</v>
      </c>
      <c r="F316">
        <v>67408.800000000003</v>
      </c>
      <c r="G316">
        <v>641731.77600000007</v>
      </c>
    </row>
    <row r="317" spans="1:7" x14ac:dyDescent="0.35">
      <c r="A317" t="s">
        <v>348</v>
      </c>
      <c r="B317">
        <v>621616.35</v>
      </c>
      <c r="C317">
        <v>248646.54</v>
      </c>
      <c r="D317">
        <v>124323.27</v>
      </c>
      <c r="E317">
        <v>156647.32019999999</v>
      </c>
      <c r="F317">
        <v>62161.635000000002</v>
      </c>
      <c r="G317">
        <v>591778.76520000002</v>
      </c>
    </row>
    <row r="318" spans="1:7" x14ac:dyDescent="0.35">
      <c r="A318" t="s">
        <v>349</v>
      </c>
      <c r="B318">
        <v>1043450.55</v>
      </c>
      <c r="C318">
        <v>417380.22</v>
      </c>
      <c r="D318">
        <v>208690.11</v>
      </c>
      <c r="E318">
        <v>262949.53860000003</v>
      </c>
      <c r="F318">
        <v>104345.05499999999</v>
      </c>
      <c r="G318">
        <v>993364.9236000001</v>
      </c>
    </row>
    <row r="319" spans="1:7" x14ac:dyDescent="0.35">
      <c r="A319" t="s">
        <v>350</v>
      </c>
      <c r="B319">
        <v>871255.45</v>
      </c>
      <c r="C319">
        <v>348502.18</v>
      </c>
      <c r="D319">
        <v>174251.09</v>
      </c>
      <c r="E319">
        <v>219556.37339999989</v>
      </c>
      <c r="F319">
        <v>87125.544999999998</v>
      </c>
      <c r="G319">
        <v>829435.18839999998</v>
      </c>
    </row>
    <row r="320" spans="1:7" x14ac:dyDescent="0.35">
      <c r="A320" t="s">
        <v>351</v>
      </c>
      <c r="B320">
        <v>938270</v>
      </c>
      <c r="C320">
        <v>375308</v>
      </c>
      <c r="D320">
        <v>187654</v>
      </c>
      <c r="E320">
        <v>236444.04</v>
      </c>
      <c r="F320">
        <v>93827</v>
      </c>
      <c r="G320">
        <v>893233.04</v>
      </c>
    </row>
    <row r="321" spans="1:7" x14ac:dyDescent="0.35">
      <c r="A321" t="s">
        <v>352</v>
      </c>
      <c r="B321">
        <v>908518</v>
      </c>
      <c r="C321">
        <v>363407.2</v>
      </c>
      <c r="D321">
        <v>181703.6</v>
      </c>
      <c r="E321">
        <v>228946.53599999979</v>
      </c>
      <c r="F321">
        <v>90851.8</v>
      </c>
      <c r="G321">
        <v>864909.13599999994</v>
      </c>
    </row>
    <row r="322" spans="1:7" x14ac:dyDescent="0.35">
      <c r="A322" t="s">
        <v>353</v>
      </c>
      <c r="B322">
        <v>651470.1</v>
      </c>
      <c r="C322">
        <v>260588.04</v>
      </c>
      <c r="D322">
        <v>130294.02</v>
      </c>
      <c r="E322">
        <v>164170.46520000001</v>
      </c>
      <c r="F322">
        <v>65147.01</v>
      </c>
      <c r="G322">
        <v>620199.53520000004</v>
      </c>
    </row>
    <row r="323" spans="1:7" x14ac:dyDescent="0.35">
      <c r="A323" t="s">
        <v>354</v>
      </c>
      <c r="B323">
        <v>761765.1</v>
      </c>
      <c r="C323">
        <v>304706.03999999998</v>
      </c>
      <c r="D323">
        <v>152353.01999999999</v>
      </c>
      <c r="E323">
        <v>191964.80520000009</v>
      </c>
      <c r="F323">
        <v>76176.509999999995</v>
      </c>
      <c r="G323">
        <v>725200.37520000001</v>
      </c>
    </row>
    <row r="324" spans="1:7" x14ac:dyDescent="0.35">
      <c r="A324" t="s">
        <v>355</v>
      </c>
      <c r="B324">
        <v>1201643</v>
      </c>
      <c r="C324">
        <v>480657.2</v>
      </c>
      <c r="D324">
        <v>240328.6</v>
      </c>
      <c r="E324">
        <v>302814.03599999979</v>
      </c>
      <c r="F324">
        <v>120164.3</v>
      </c>
      <c r="G324">
        <v>1143964.1359999999</v>
      </c>
    </row>
    <row r="325" spans="1:7" x14ac:dyDescent="0.35">
      <c r="A325" t="s">
        <v>356</v>
      </c>
      <c r="B325">
        <v>1083988</v>
      </c>
      <c r="C325">
        <v>433595.2</v>
      </c>
      <c r="D325">
        <v>216797.6</v>
      </c>
      <c r="E325">
        <v>273164.97599999991</v>
      </c>
      <c r="F325">
        <v>108398.8</v>
      </c>
      <c r="G325">
        <v>1031956.576</v>
      </c>
    </row>
    <row r="326" spans="1:7" x14ac:dyDescent="0.35">
      <c r="A326" t="s">
        <v>357</v>
      </c>
      <c r="B326">
        <v>709593</v>
      </c>
      <c r="C326">
        <v>283837.2</v>
      </c>
      <c r="D326">
        <v>141918.6</v>
      </c>
      <c r="E326">
        <v>178817.43599999999</v>
      </c>
      <c r="F326">
        <v>70959.3</v>
      </c>
      <c r="G326">
        <v>675532.53600000008</v>
      </c>
    </row>
    <row r="327" spans="1:7" x14ac:dyDescent="0.35">
      <c r="A327" t="s">
        <v>358</v>
      </c>
      <c r="B327">
        <v>976604.75</v>
      </c>
      <c r="C327">
        <v>390641.9</v>
      </c>
      <c r="D327">
        <v>195320.95</v>
      </c>
      <c r="E327">
        <v>246104.39699999991</v>
      </c>
      <c r="F327">
        <v>97660.475000000006</v>
      </c>
      <c r="G327">
        <v>929727.72199999995</v>
      </c>
    </row>
    <row r="328" spans="1:7" x14ac:dyDescent="0.35">
      <c r="A328" t="s">
        <v>359</v>
      </c>
      <c r="B328">
        <v>907617.64999999991</v>
      </c>
      <c r="C328">
        <v>363047.06</v>
      </c>
      <c r="D328">
        <v>181523.53</v>
      </c>
      <c r="E328">
        <v>228719.64779999989</v>
      </c>
      <c r="F328">
        <v>90761.764999999999</v>
      </c>
      <c r="G328">
        <v>864052.0027999999</v>
      </c>
    </row>
    <row r="329" spans="1:7" x14ac:dyDescent="0.35">
      <c r="A329" t="s">
        <v>360</v>
      </c>
      <c r="B329">
        <v>749368.54999999993</v>
      </c>
      <c r="C329">
        <v>299747.42</v>
      </c>
      <c r="D329">
        <v>149873.71</v>
      </c>
      <c r="E329">
        <v>188840.87460000001</v>
      </c>
      <c r="F329">
        <v>74936.854999999996</v>
      </c>
      <c r="G329">
        <v>713398.85959999997</v>
      </c>
    </row>
    <row r="330" spans="1:7" x14ac:dyDescent="0.35">
      <c r="A330" t="s">
        <v>361</v>
      </c>
      <c r="B330">
        <v>1081306.1499999999</v>
      </c>
      <c r="C330">
        <v>432522.46</v>
      </c>
      <c r="D330">
        <v>216261.23</v>
      </c>
      <c r="E330">
        <v>272489.14980000001</v>
      </c>
      <c r="F330">
        <v>108130.61500000001</v>
      </c>
      <c r="G330">
        <v>1029403.4547999999</v>
      </c>
    </row>
    <row r="331" spans="1:7" x14ac:dyDescent="0.35">
      <c r="A331" t="s">
        <v>362</v>
      </c>
      <c r="B331">
        <v>1249334</v>
      </c>
      <c r="C331">
        <v>499733.6</v>
      </c>
      <c r="D331">
        <v>249866.8</v>
      </c>
      <c r="E331">
        <v>314832.16799999989</v>
      </c>
      <c r="F331">
        <v>124933.4</v>
      </c>
      <c r="G331">
        <v>1189365.9680000001</v>
      </c>
    </row>
    <row r="332" spans="1:7" x14ac:dyDescent="0.35">
      <c r="A332" t="s">
        <v>363</v>
      </c>
      <c r="B332">
        <v>465712.8</v>
      </c>
      <c r="C332">
        <v>186285.12</v>
      </c>
      <c r="D332">
        <v>93142.56</v>
      </c>
      <c r="E332">
        <v>117359.6256</v>
      </c>
      <c r="F332">
        <v>46571.28</v>
      </c>
      <c r="G332">
        <v>443358.58559999999</v>
      </c>
    </row>
    <row r="333" spans="1:7" x14ac:dyDescent="0.35">
      <c r="A333" t="s">
        <v>364</v>
      </c>
      <c r="B333">
        <v>593255.04999999993</v>
      </c>
      <c r="C333">
        <v>237302.02</v>
      </c>
      <c r="D333">
        <v>118651.01</v>
      </c>
      <c r="E333">
        <v>149500.2726</v>
      </c>
      <c r="F333">
        <v>59325.504999999997</v>
      </c>
      <c r="G333">
        <v>564778.80759999994</v>
      </c>
    </row>
    <row r="334" spans="1:7" x14ac:dyDescent="0.35">
      <c r="A334" t="s">
        <v>365</v>
      </c>
      <c r="B334">
        <v>692793</v>
      </c>
      <c r="C334">
        <v>277117.2</v>
      </c>
      <c r="D334">
        <v>138558.6</v>
      </c>
      <c r="E334">
        <v>174583.83600000001</v>
      </c>
      <c r="F334">
        <v>69279.3</v>
      </c>
      <c r="G334">
        <v>659538.93599999999</v>
      </c>
    </row>
    <row r="335" spans="1:7" x14ac:dyDescent="0.35">
      <c r="A335" t="s">
        <v>366</v>
      </c>
      <c r="B335">
        <v>896884</v>
      </c>
      <c r="C335">
        <v>358753.6</v>
      </c>
      <c r="D335">
        <v>179376.8</v>
      </c>
      <c r="E335">
        <v>226014.76799999989</v>
      </c>
      <c r="F335">
        <v>89688.400000000009</v>
      </c>
      <c r="G335">
        <v>853833.56799999997</v>
      </c>
    </row>
    <row r="336" spans="1:7" x14ac:dyDescent="0.35">
      <c r="A336" t="s">
        <v>367</v>
      </c>
      <c r="B336">
        <v>1097050</v>
      </c>
      <c r="C336">
        <v>438820</v>
      </c>
      <c r="D336">
        <v>219410</v>
      </c>
      <c r="E336">
        <v>276456.59999999998</v>
      </c>
      <c r="F336">
        <v>109705</v>
      </c>
      <c r="G336">
        <v>1044391.6</v>
      </c>
    </row>
    <row r="337" spans="1:7" x14ac:dyDescent="0.35">
      <c r="A337" t="s">
        <v>368</v>
      </c>
      <c r="B337">
        <v>550567</v>
      </c>
      <c r="C337">
        <v>220226.8</v>
      </c>
      <c r="D337">
        <v>110113.4</v>
      </c>
      <c r="E337">
        <v>138742.88399999999</v>
      </c>
      <c r="F337">
        <v>55056.7</v>
      </c>
      <c r="G337">
        <v>524139.78399999999</v>
      </c>
    </row>
    <row r="338" spans="1:7" x14ac:dyDescent="0.35">
      <c r="A338" t="s">
        <v>369</v>
      </c>
      <c r="B338">
        <v>461310.5</v>
      </c>
      <c r="C338">
        <v>184524.2</v>
      </c>
      <c r="D338">
        <v>92262.1</v>
      </c>
      <c r="E338">
        <v>116250.246</v>
      </c>
      <c r="F338">
        <v>46131.05</v>
      </c>
      <c r="G338">
        <v>439167.59600000002</v>
      </c>
    </row>
    <row r="339" spans="1:7" x14ac:dyDescent="0.35">
      <c r="A339" t="s">
        <v>370</v>
      </c>
      <c r="B339">
        <v>803759</v>
      </c>
      <c r="C339">
        <v>321503.59999999998</v>
      </c>
      <c r="D339">
        <v>160751.79999999999</v>
      </c>
      <c r="E339">
        <v>202547.26799999989</v>
      </c>
      <c r="F339">
        <v>80375.900000000009</v>
      </c>
      <c r="G339">
        <v>765178.56799999997</v>
      </c>
    </row>
    <row r="340" spans="1:7" x14ac:dyDescent="0.35">
      <c r="A340" t="s">
        <v>371</v>
      </c>
      <c r="B340">
        <v>1301949.3500000001</v>
      </c>
      <c r="C340">
        <v>520779.74</v>
      </c>
      <c r="D340">
        <v>260389.87</v>
      </c>
      <c r="E340">
        <v>328091.23619999993</v>
      </c>
      <c r="F340">
        <v>130194.935</v>
      </c>
      <c r="G340">
        <v>1239455.7812000001</v>
      </c>
    </row>
    <row r="341" spans="1:7" x14ac:dyDescent="0.35">
      <c r="A341" t="s">
        <v>372</v>
      </c>
      <c r="B341">
        <v>764528.64999999991</v>
      </c>
      <c r="C341">
        <v>305811.46000000002</v>
      </c>
      <c r="D341">
        <v>152905.73000000001</v>
      </c>
      <c r="E341">
        <v>192661.21979999999</v>
      </c>
      <c r="F341">
        <v>76452.864999999991</v>
      </c>
      <c r="G341">
        <v>727831.2747999999</v>
      </c>
    </row>
    <row r="342" spans="1:7" x14ac:dyDescent="0.35">
      <c r="A342" t="s">
        <v>373</v>
      </c>
      <c r="B342">
        <v>568834</v>
      </c>
      <c r="C342">
        <v>227533.6</v>
      </c>
      <c r="D342">
        <v>113766.8</v>
      </c>
      <c r="E342">
        <v>143346.16799999989</v>
      </c>
      <c r="F342">
        <v>56883.4</v>
      </c>
      <c r="G342">
        <v>541529.96799999999</v>
      </c>
    </row>
    <row r="343" spans="1:7" x14ac:dyDescent="0.35">
      <c r="A343" t="s">
        <v>374</v>
      </c>
      <c r="B343">
        <v>715951.35</v>
      </c>
      <c r="C343">
        <v>286380.53999999998</v>
      </c>
      <c r="D343">
        <v>143190.26999999999</v>
      </c>
      <c r="E343">
        <v>180419.7402</v>
      </c>
      <c r="F343">
        <v>71595.134999999995</v>
      </c>
      <c r="G343">
        <v>681585.68519999995</v>
      </c>
    </row>
    <row r="344" spans="1:7" x14ac:dyDescent="0.35">
      <c r="A344" t="s">
        <v>375</v>
      </c>
      <c r="B344">
        <v>667672</v>
      </c>
      <c r="C344">
        <v>267068.79999999999</v>
      </c>
      <c r="D344">
        <v>133534.39999999999</v>
      </c>
      <c r="E344">
        <v>168253.34400000001</v>
      </c>
      <c r="F344">
        <v>66767.199999999997</v>
      </c>
      <c r="G344">
        <v>635623.74399999995</v>
      </c>
    </row>
    <row r="345" spans="1:7" x14ac:dyDescent="0.35">
      <c r="A345" t="s">
        <v>376</v>
      </c>
      <c r="B345">
        <v>798554.79999999993</v>
      </c>
      <c r="C345">
        <v>319421.92</v>
      </c>
      <c r="D345">
        <v>159710.96</v>
      </c>
      <c r="E345">
        <v>201235.80959999989</v>
      </c>
      <c r="F345">
        <v>79855.48</v>
      </c>
      <c r="G345">
        <v>760224.16959999991</v>
      </c>
    </row>
    <row r="346" spans="1:7" x14ac:dyDescent="0.35">
      <c r="A346" t="s">
        <v>377</v>
      </c>
      <c r="B346">
        <v>979214.39999999991</v>
      </c>
      <c r="C346">
        <v>391685.76</v>
      </c>
      <c r="D346">
        <v>195842.88</v>
      </c>
      <c r="E346">
        <v>246762.02879999991</v>
      </c>
      <c r="F346">
        <v>97921.44</v>
      </c>
      <c r="G346">
        <v>932212.10879999981</v>
      </c>
    </row>
    <row r="347" spans="1:7" x14ac:dyDescent="0.35">
      <c r="A347" t="s">
        <v>378</v>
      </c>
      <c r="B347">
        <v>721404</v>
      </c>
      <c r="C347">
        <v>288561.59999999998</v>
      </c>
      <c r="D347">
        <v>144280.79999999999</v>
      </c>
      <c r="E347">
        <v>181793.80799999999</v>
      </c>
      <c r="F347">
        <v>72140.400000000009</v>
      </c>
      <c r="G347">
        <v>686776.60800000001</v>
      </c>
    </row>
    <row r="348" spans="1:7" x14ac:dyDescent="0.35">
      <c r="A348" t="s">
        <v>379</v>
      </c>
      <c r="B348">
        <v>610284</v>
      </c>
      <c r="C348">
        <v>244113.6</v>
      </c>
      <c r="D348">
        <v>122056.8</v>
      </c>
      <c r="E348">
        <v>153791.568</v>
      </c>
      <c r="F348">
        <v>61028.4</v>
      </c>
      <c r="G348">
        <v>580990.36800000002</v>
      </c>
    </row>
    <row r="349" spans="1:7" x14ac:dyDescent="0.35">
      <c r="A349" t="s">
        <v>380</v>
      </c>
      <c r="B349">
        <v>706882.65</v>
      </c>
      <c r="C349">
        <v>282753.06</v>
      </c>
      <c r="D349">
        <v>141376.53</v>
      </c>
      <c r="E349">
        <v>178134.42780000009</v>
      </c>
      <c r="F349">
        <v>70688.264999999999</v>
      </c>
      <c r="G349">
        <v>672952.28280000004</v>
      </c>
    </row>
    <row r="350" spans="1:7" x14ac:dyDescent="0.35">
      <c r="A350" t="s">
        <v>381</v>
      </c>
      <c r="B350">
        <v>760557.64999999991</v>
      </c>
      <c r="C350">
        <v>304223.06</v>
      </c>
      <c r="D350">
        <v>152111.53</v>
      </c>
      <c r="E350">
        <v>191660.52779999989</v>
      </c>
      <c r="F350">
        <v>76055.764999999999</v>
      </c>
      <c r="G350">
        <v>724050.8827999999</v>
      </c>
    </row>
    <row r="351" spans="1:7" x14ac:dyDescent="0.35">
      <c r="A351" t="s">
        <v>382</v>
      </c>
      <c r="B351">
        <v>1141124.8</v>
      </c>
      <c r="C351">
        <v>456449.92</v>
      </c>
      <c r="D351">
        <v>228224.96</v>
      </c>
      <c r="E351">
        <v>287563.44959999988</v>
      </c>
      <c r="F351">
        <v>114112.48</v>
      </c>
      <c r="G351">
        <v>1086350.8096</v>
      </c>
    </row>
    <row r="352" spans="1:7" x14ac:dyDescent="0.35">
      <c r="A352" t="s">
        <v>383</v>
      </c>
      <c r="B352">
        <v>868614</v>
      </c>
      <c r="C352">
        <v>347445.6</v>
      </c>
      <c r="D352">
        <v>173722.8</v>
      </c>
      <c r="E352">
        <v>218890.728</v>
      </c>
      <c r="F352">
        <v>86861.400000000009</v>
      </c>
      <c r="G352">
        <v>826920.52800000005</v>
      </c>
    </row>
    <row r="353" spans="1:7" x14ac:dyDescent="0.35">
      <c r="A353" t="s">
        <v>384</v>
      </c>
      <c r="B353">
        <v>952161</v>
      </c>
      <c r="C353">
        <v>380864.4</v>
      </c>
      <c r="D353">
        <v>190432.2</v>
      </c>
      <c r="E353">
        <v>239944.5719999999</v>
      </c>
      <c r="F353">
        <v>95216.1</v>
      </c>
      <c r="G353">
        <v>906457.272</v>
      </c>
    </row>
    <row r="354" spans="1:7" x14ac:dyDescent="0.35">
      <c r="A354" t="s">
        <v>385</v>
      </c>
      <c r="B354">
        <v>1148627.8999999999</v>
      </c>
      <c r="C354">
        <v>459451.16</v>
      </c>
      <c r="D354">
        <v>229725.58</v>
      </c>
      <c r="E354">
        <v>289454.2307999999</v>
      </c>
      <c r="F354">
        <v>114862.79</v>
      </c>
      <c r="G354">
        <v>1093493.7608</v>
      </c>
    </row>
    <row r="355" spans="1:7" x14ac:dyDescent="0.35">
      <c r="A355" t="s">
        <v>386</v>
      </c>
      <c r="B355">
        <v>994730</v>
      </c>
      <c r="C355">
        <v>397892</v>
      </c>
      <c r="D355">
        <v>198946</v>
      </c>
      <c r="E355">
        <v>250671.96</v>
      </c>
      <c r="F355">
        <v>99473</v>
      </c>
      <c r="G355">
        <v>946982.96</v>
      </c>
    </row>
    <row r="356" spans="1:7" x14ac:dyDescent="0.35">
      <c r="A356" t="s">
        <v>387</v>
      </c>
      <c r="B356">
        <v>622310.79999999993</v>
      </c>
      <c r="C356">
        <v>248924.32</v>
      </c>
      <c r="D356">
        <v>124462.16</v>
      </c>
      <c r="E356">
        <v>156822.32159999991</v>
      </c>
      <c r="F356">
        <v>62231.079999999987</v>
      </c>
      <c r="G356">
        <v>592439.88159999985</v>
      </c>
    </row>
    <row r="357" spans="1:7" x14ac:dyDescent="0.35">
      <c r="A357" t="s">
        <v>388</v>
      </c>
      <c r="B357">
        <v>678454.85</v>
      </c>
      <c r="C357">
        <v>271381.94</v>
      </c>
      <c r="D357">
        <v>135690.97</v>
      </c>
      <c r="E357">
        <v>170970.62220000001</v>
      </c>
      <c r="F357">
        <v>67845.485000000001</v>
      </c>
      <c r="G357">
        <v>645889.0172</v>
      </c>
    </row>
    <row r="358" spans="1:7" x14ac:dyDescent="0.35">
      <c r="A358" t="s">
        <v>389</v>
      </c>
      <c r="B358">
        <v>467942.45</v>
      </c>
      <c r="C358">
        <v>187176.98</v>
      </c>
      <c r="D358">
        <v>93588.49</v>
      </c>
      <c r="E358">
        <v>117921.49739999999</v>
      </c>
      <c r="F358">
        <v>46794.245000000003</v>
      </c>
      <c r="G358">
        <v>445481.21240000002</v>
      </c>
    </row>
    <row r="359" spans="1:7" x14ac:dyDescent="0.35">
      <c r="A359" t="s">
        <v>390</v>
      </c>
      <c r="B359">
        <v>842838</v>
      </c>
      <c r="C359">
        <v>337135.2</v>
      </c>
      <c r="D359">
        <v>168567.6</v>
      </c>
      <c r="E359">
        <v>212395.17599999989</v>
      </c>
      <c r="F359">
        <v>84283.8</v>
      </c>
      <c r="G359">
        <v>802381.77599999995</v>
      </c>
    </row>
    <row r="360" spans="1:7" x14ac:dyDescent="0.35">
      <c r="A360" t="s">
        <v>391</v>
      </c>
      <c r="B360">
        <v>790676</v>
      </c>
      <c r="C360">
        <v>316270.40000000002</v>
      </c>
      <c r="D360">
        <v>158135.20000000001</v>
      </c>
      <c r="E360">
        <v>199250.35200000001</v>
      </c>
      <c r="F360">
        <v>79067.600000000006</v>
      </c>
      <c r="G360">
        <v>752723.55200000003</v>
      </c>
    </row>
    <row r="361" spans="1:7" x14ac:dyDescent="0.35">
      <c r="A361" t="s">
        <v>392</v>
      </c>
      <c r="B361">
        <v>1305269.6000000001</v>
      </c>
      <c r="C361">
        <v>522107.84000000008</v>
      </c>
      <c r="D361">
        <v>261053.92</v>
      </c>
      <c r="E361">
        <v>328927.93919999991</v>
      </c>
      <c r="F361">
        <v>130526.96</v>
      </c>
      <c r="G361">
        <v>1242616.6592000001</v>
      </c>
    </row>
    <row r="362" spans="1:7" x14ac:dyDescent="0.35">
      <c r="A362" t="s">
        <v>393</v>
      </c>
      <c r="B362">
        <v>598165.6</v>
      </c>
      <c r="C362">
        <v>239266.24</v>
      </c>
      <c r="D362">
        <v>119633.12</v>
      </c>
      <c r="E362">
        <v>150737.73120000001</v>
      </c>
      <c r="F362">
        <v>59816.56</v>
      </c>
      <c r="G362">
        <v>569453.65119999996</v>
      </c>
    </row>
    <row r="363" spans="1:7" x14ac:dyDescent="0.35">
      <c r="A363" t="s">
        <v>394</v>
      </c>
      <c r="B363">
        <v>1130882</v>
      </c>
      <c r="C363">
        <v>452352.8</v>
      </c>
      <c r="D363">
        <v>226176.4</v>
      </c>
      <c r="E363">
        <v>284982.26399999991</v>
      </c>
      <c r="F363">
        <v>113088.2</v>
      </c>
      <c r="G363">
        <v>1076599.6640000001</v>
      </c>
    </row>
    <row r="364" spans="1:7" x14ac:dyDescent="0.35">
      <c r="A364" t="s">
        <v>395</v>
      </c>
      <c r="B364">
        <v>1501241</v>
      </c>
      <c r="C364">
        <v>600496.4</v>
      </c>
      <c r="D364">
        <v>300248.2</v>
      </c>
      <c r="E364">
        <v>378312.73199999979</v>
      </c>
      <c r="F364">
        <v>150124.1</v>
      </c>
      <c r="G364">
        <v>1429181.432</v>
      </c>
    </row>
    <row r="365" spans="1:7" x14ac:dyDescent="0.35">
      <c r="A365" t="s">
        <v>396</v>
      </c>
      <c r="B365">
        <v>1108802</v>
      </c>
      <c r="C365">
        <v>443520.8</v>
      </c>
      <c r="D365">
        <v>221760.4</v>
      </c>
      <c r="E365">
        <v>279418.10399999982</v>
      </c>
      <c r="F365">
        <v>110880.2</v>
      </c>
      <c r="G365">
        <v>1055579.504</v>
      </c>
    </row>
    <row r="366" spans="1:7" x14ac:dyDescent="0.35">
      <c r="A366" t="s">
        <v>397</v>
      </c>
      <c r="B366">
        <v>923731.54999999993</v>
      </c>
      <c r="C366">
        <v>369492.62</v>
      </c>
      <c r="D366">
        <v>184746.31</v>
      </c>
      <c r="E366">
        <v>232780.35060000001</v>
      </c>
      <c r="F366">
        <v>92373.154999999999</v>
      </c>
      <c r="G366">
        <v>879392.43559999997</v>
      </c>
    </row>
    <row r="367" spans="1:7" x14ac:dyDescent="0.35">
      <c r="A367" t="s">
        <v>398</v>
      </c>
      <c r="B367">
        <v>1015502</v>
      </c>
      <c r="C367">
        <v>406200.8</v>
      </c>
      <c r="D367">
        <v>203100.4</v>
      </c>
      <c r="E367">
        <v>255906.50399999981</v>
      </c>
      <c r="F367">
        <v>101550.2</v>
      </c>
      <c r="G367">
        <v>966757.90399999986</v>
      </c>
    </row>
    <row r="368" spans="1:7" x14ac:dyDescent="0.35">
      <c r="A368" t="s">
        <v>399</v>
      </c>
      <c r="B368">
        <v>808841.39999999991</v>
      </c>
      <c r="C368">
        <v>323536.56</v>
      </c>
      <c r="D368">
        <v>161768.28</v>
      </c>
      <c r="E368">
        <v>203828.0327999999</v>
      </c>
      <c r="F368">
        <v>80884.14</v>
      </c>
      <c r="G368">
        <v>770017.01279999991</v>
      </c>
    </row>
    <row r="369" spans="1:7" x14ac:dyDescent="0.35">
      <c r="A369" t="s">
        <v>400</v>
      </c>
      <c r="B369">
        <v>350759.95</v>
      </c>
      <c r="C369">
        <v>140303.98000000001</v>
      </c>
      <c r="D369">
        <v>70151.990000000005</v>
      </c>
      <c r="E369">
        <v>88391.507400000002</v>
      </c>
      <c r="F369">
        <v>35075.995000000003</v>
      </c>
      <c r="G369">
        <v>333923.47240000003</v>
      </c>
    </row>
    <row r="370" spans="1:7" x14ac:dyDescent="0.35">
      <c r="A370" t="s">
        <v>401</v>
      </c>
      <c r="B370">
        <v>712745.1</v>
      </c>
      <c r="C370">
        <v>285098.03999999998</v>
      </c>
      <c r="D370">
        <v>142549.01999999999</v>
      </c>
      <c r="E370">
        <v>179611.76519999999</v>
      </c>
      <c r="F370">
        <v>71274.509999999995</v>
      </c>
      <c r="G370">
        <v>678533.33519999997</v>
      </c>
    </row>
    <row r="371" spans="1:7" x14ac:dyDescent="0.35">
      <c r="A371" t="s">
        <v>402</v>
      </c>
      <c r="B371">
        <v>1052585.75</v>
      </c>
      <c r="C371">
        <v>421034.3</v>
      </c>
      <c r="D371">
        <v>210517.15</v>
      </c>
      <c r="E371">
        <v>265251.60899999982</v>
      </c>
      <c r="F371">
        <v>105258.575</v>
      </c>
      <c r="G371">
        <v>1002061.634</v>
      </c>
    </row>
    <row r="372" spans="1:7" x14ac:dyDescent="0.35">
      <c r="A372" t="s">
        <v>403</v>
      </c>
      <c r="B372">
        <v>516270</v>
      </c>
      <c r="C372">
        <v>206508</v>
      </c>
      <c r="D372">
        <v>103254</v>
      </c>
      <c r="E372">
        <v>130100.04</v>
      </c>
      <c r="F372">
        <v>51627</v>
      </c>
      <c r="G372">
        <v>491489.04</v>
      </c>
    </row>
    <row r="373" spans="1:7" x14ac:dyDescent="0.35">
      <c r="A373" t="s">
        <v>404</v>
      </c>
      <c r="B373">
        <v>810033</v>
      </c>
      <c r="C373">
        <v>324013.2</v>
      </c>
      <c r="D373">
        <v>162006.6</v>
      </c>
      <c r="E373">
        <v>204128.3159999999</v>
      </c>
      <c r="F373">
        <v>81003.3</v>
      </c>
      <c r="G373">
        <v>771151.41599999997</v>
      </c>
    </row>
    <row r="374" spans="1:7" x14ac:dyDescent="0.35">
      <c r="A374" t="s">
        <v>405</v>
      </c>
      <c r="B374">
        <v>986765.95</v>
      </c>
      <c r="C374">
        <v>394706.38</v>
      </c>
      <c r="D374">
        <v>197353.19</v>
      </c>
      <c r="E374">
        <v>248665.0193999999</v>
      </c>
      <c r="F374">
        <v>98676.595000000001</v>
      </c>
      <c r="G374">
        <v>939401.18439999991</v>
      </c>
    </row>
    <row r="375" spans="1:7" x14ac:dyDescent="0.35">
      <c r="A375" t="s">
        <v>406</v>
      </c>
      <c r="B375">
        <v>1468767.45</v>
      </c>
      <c r="C375">
        <v>587506.98</v>
      </c>
      <c r="D375">
        <v>293753.49</v>
      </c>
      <c r="E375">
        <v>370129.3973999999</v>
      </c>
      <c r="F375">
        <v>146876.745</v>
      </c>
      <c r="G375">
        <v>1398266.6124</v>
      </c>
    </row>
    <row r="376" spans="1:7" x14ac:dyDescent="0.35">
      <c r="A376" t="s">
        <v>407</v>
      </c>
      <c r="B376">
        <v>732309.4</v>
      </c>
      <c r="C376">
        <v>292923.76</v>
      </c>
      <c r="D376">
        <v>146461.88</v>
      </c>
      <c r="E376">
        <v>184541.9688</v>
      </c>
      <c r="F376">
        <v>73230.94</v>
      </c>
      <c r="G376">
        <v>697158.54879999999</v>
      </c>
    </row>
    <row r="377" spans="1:7" x14ac:dyDescent="0.35">
      <c r="A377" t="s">
        <v>408</v>
      </c>
      <c r="B377">
        <v>762522.25</v>
      </c>
      <c r="C377">
        <v>305008.90000000002</v>
      </c>
      <c r="D377">
        <v>152504.45000000001</v>
      </c>
      <c r="E377">
        <v>192155.60699999999</v>
      </c>
      <c r="F377">
        <v>76252.225000000006</v>
      </c>
      <c r="G377">
        <v>725921.18199999991</v>
      </c>
    </row>
    <row r="378" spans="1:7" x14ac:dyDescent="0.35">
      <c r="A378" t="s">
        <v>409</v>
      </c>
      <c r="B378">
        <v>627532</v>
      </c>
      <c r="C378">
        <v>251012.8</v>
      </c>
      <c r="D378">
        <v>125506.4</v>
      </c>
      <c r="E378">
        <v>158138.06400000001</v>
      </c>
      <c r="F378">
        <v>62753.2</v>
      </c>
      <c r="G378">
        <v>597410.46399999992</v>
      </c>
    </row>
    <row r="379" spans="1:7" x14ac:dyDescent="0.35">
      <c r="A379" t="s">
        <v>410</v>
      </c>
      <c r="B379">
        <v>651468.19999999995</v>
      </c>
      <c r="C379">
        <v>260587.28</v>
      </c>
      <c r="D379">
        <v>130293.64</v>
      </c>
      <c r="E379">
        <v>164169.98639999991</v>
      </c>
      <c r="F379">
        <v>65146.82</v>
      </c>
      <c r="G379">
        <v>620197.72639999993</v>
      </c>
    </row>
    <row r="380" spans="1:7" x14ac:dyDescent="0.35">
      <c r="A380" t="s">
        <v>411</v>
      </c>
      <c r="B380">
        <v>814050.25</v>
      </c>
      <c r="C380">
        <v>325620.09999999998</v>
      </c>
      <c r="D380">
        <v>162810.04999999999</v>
      </c>
      <c r="E380">
        <v>205140.66299999991</v>
      </c>
      <c r="F380">
        <v>81405.025000000009</v>
      </c>
      <c r="G380">
        <v>774975.83799999999</v>
      </c>
    </row>
    <row r="381" spans="1:7" x14ac:dyDescent="0.35">
      <c r="A381" t="s">
        <v>412</v>
      </c>
      <c r="B381">
        <v>693250.15</v>
      </c>
      <c r="C381">
        <v>277300.06</v>
      </c>
      <c r="D381">
        <v>138650.03</v>
      </c>
      <c r="E381">
        <v>174699.03779999999</v>
      </c>
      <c r="F381">
        <v>69325.014999999999</v>
      </c>
      <c r="G381">
        <v>659974.14280000003</v>
      </c>
    </row>
    <row r="382" spans="1:7" x14ac:dyDescent="0.35">
      <c r="A382" t="s">
        <v>413</v>
      </c>
      <c r="B382">
        <v>1004415</v>
      </c>
      <c r="C382">
        <v>401766</v>
      </c>
      <c r="D382">
        <v>200883</v>
      </c>
      <c r="E382">
        <v>253112.58</v>
      </c>
      <c r="F382">
        <v>100441.5</v>
      </c>
      <c r="G382">
        <v>956203.08</v>
      </c>
    </row>
    <row r="383" spans="1:7" x14ac:dyDescent="0.35">
      <c r="A383" t="s">
        <v>414</v>
      </c>
      <c r="B383">
        <v>594538</v>
      </c>
      <c r="C383">
        <v>237815.2</v>
      </c>
      <c r="D383">
        <v>118907.6</v>
      </c>
      <c r="E383">
        <v>149823.57599999991</v>
      </c>
      <c r="F383">
        <v>59453.8</v>
      </c>
      <c r="G383">
        <v>566000.17599999998</v>
      </c>
    </row>
    <row r="384" spans="1:7" x14ac:dyDescent="0.35">
      <c r="A384" t="s">
        <v>415</v>
      </c>
      <c r="B384">
        <v>978843</v>
      </c>
      <c r="C384">
        <v>391537.2</v>
      </c>
      <c r="D384">
        <v>195768.6</v>
      </c>
      <c r="E384">
        <v>246668.4359999999</v>
      </c>
      <c r="F384">
        <v>97884.3</v>
      </c>
      <c r="G384">
        <v>931858.53599999996</v>
      </c>
    </row>
    <row r="385" spans="1:7" x14ac:dyDescent="0.35">
      <c r="A385" t="s">
        <v>416</v>
      </c>
      <c r="B385">
        <v>547013</v>
      </c>
      <c r="C385">
        <v>218805.2</v>
      </c>
      <c r="D385">
        <v>109402.6</v>
      </c>
      <c r="E385">
        <v>137847.27600000001</v>
      </c>
      <c r="F385">
        <v>54701.3</v>
      </c>
      <c r="G385">
        <v>520756.37599999999</v>
      </c>
    </row>
    <row r="386" spans="1:7" x14ac:dyDescent="0.35">
      <c r="A386" t="s">
        <v>417</v>
      </c>
      <c r="B386">
        <v>960701.75</v>
      </c>
      <c r="C386">
        <v>384280.7</v>
      </c>
      <c r="D386">
        <v>192140.35</v>
      </c>
      <c r="E386">
        <v>242096.8409999999</v>
      </c>
      <c r="F386">
        <v>96070.175000000003</v>
      </c>
      <c r="G386">
        <v>914588.06599999999</v>
      </c>
    </row>
    <row r="387" spans="1:7" x14ac:dyDescent="0.35">
      <c r="A387" t="s">
        <v>418</v>
      </c>
      <c r="B387">
        <v>1298636.7</v>
      </c>
      <c r="C387">
        <v>519454.68</v>
      </c>
      <c r="D387">
        <v>259727.34</v>
      </c>
      <c r="E387">
        <v>327256.44839999988</v>
      </c>
      <c r="F387">
        <v>129863.67</v>
      </c>
      <c r="G387">
        <v>1236302.1384000001</v>
      </c>
    </row>
    <row r="388" spans="1:7" x14ac:dyDescent="0.35">
      <c r="A388" t="s">
        <v>419</v>
      </c>
      <c r="B388">
        <v>691842.25</v>
      </c>
      <c r="C388">
        <v>276736.90000000002</v>
      </c>
      <c r="D388">
        <v>138368.45000000001</v>
      </c>
      <c r="E388">
        <v>174344.24699999989</v>
      </c>
      <c r="F388">
        <v>69184.225000000006</v>
      </c>
      <c r="G388">
        <v>658633.82199999993</v>
      </c>
    </row>
    <row r="389" spans="1:7" x14ac:dyDescent="0.35">
      <c r="A389" t="s">
        <v>420</v>
      </c>
      <c r="B389">
        <v>876380.7</v>
      </c>
      <c r="C389">
        <v>350552.28</v>
      </c>
      <c r="D389">
        <v>175276.14</v>
      </c>
      <c r="E389">
        <v>220847.93640000001</v>
      </c>
      <c r="F389">
        <v>87638.07</v>
      </c>
      <c r="G389">
        <v>834314.4264</v>
      </c>
    </row>
    <row r="390" spans="1:7" x14ac:dyDescent="0.35">
      <c r="A390" t="s">
        <v>421</v>
      </c>
      <c r="B390">
        <v>1324351</v>
      </c>
      <c r="C390">
        <v>529740.4</v>
      </c>
      <c r="D390">
        <v>264870.2</v>
      </c>
      <c r="E390">
        <v>333736.45199999987</v>
      </c>
      <c r="F390">
        <v>132435.1</v>
      </c>
      <c r="G390">
        <v>1260782.152</v>
      </c>
    </row>
    <row r="391" spans="1:7" x14ac:dyDescent="0.35">
      <c r="A391" t="s">
        <v>422</v>
      </c>
      <c r="B391">
        <v>1428884.55</v>
      </c>
      <c r="C391">
        <v>571553.82000000007</v>
      </c>
      <c r="D391">
        <v>285776.90999999997</v>
      </c>
      <c r="E391">
        <v>360078.9066000001</v>
      </c>
      <c r="F391">
        <v>142888.45499999999</v>
      </c>
      <c r="G391">
        <v>1360298.0915999999</v>
      </c>
    </row>
    <row r="392" spans="1:7" x14ac:dyDescent="0.35">
      <c r="A392" t="s">
        <v>423</v>
      </c>
      <c r="B392">
        <v>894227.39999999991</v>
      </c>
      <c r="C392">
        <v>357690.96</v>
      </c>
      <c r="D392">
        <v>178845.48</v>
      </c>
      <c r="E392">
        <v>225345.3047999999</v>
      </c>
      <c r="F392">
        <v>89422.739999999991</v>
      </c>
      <c r="G392">
        <v>851304.48479999986</v>
      </c>
    </row>
    <row r="393" spans="1:7" x14ac:dyDescent="0.35">
      <c r="A393" t="s">
        <v>424</v>
      </c>
      <c r="B393">
        <v>1031684</v>
      </c>
      <c r="C393">
        <v>412673.6</v>
      </c>
      <c r="D393">
        <v>206336.8</v>
      </c>
      <c r="E393">
        <v>259984.3679999999</v>
      </c>
      <c r="F393">
        <v>103168.4</v>
      </c>
      <c r="G393">
        <v>982163.16799999995</v>
      </c>
    </row>
    <row r="394" spans="1:7" x14ac:dyDescent="0.35">
      <c r="A394" t="s">
        <v>425</v>
      </c>
      <c r="B394">
        <v>1041567.65</v>
      </c>
      <c r="C394">
        <v>416627.06000000011</v>
      </c>
      <c r="D394">
        <v>208313.53</v>
      </c>
      <c r="E394">
        <v>262475.04779999988</v>
      </c>
      <c r="F394">
        <v>104156.765</v>
      </c>
      <c r="G394">
        <v>991572.40280000004</v>
      </c>
    </row>
    <row r="395" spans="1:7" x14ac:dyDescent="0.35">
      <c r="A395" t="s">
        <v>426</v>
      </c>
      <c r="B395">
        <v>663706.1</v>
      </c>
      <c r="C395">
        <v>265482.44</v>
      </c>
      <c r="D395">
        <v>132741.22</v>
      </c>
      <c r="E395">
        <v>167253.93719999999</v>
      </c>
      <c r="F395">
        <v>66370.61</v>
      </c>
      <c r="G395">
        <v>631848.20719999995</v>
      </c>
    </row>
    <row r="396" spans="1:7" x14ac:dyDescent="0.35">
      <c r="A396" t="s">
        <v>427</v>
      </c>
      <c r="B396">
        <v>659025</v>
      </c>
      <c r="C396">
        <v>263610</v>
      </c>
      <c r="D396">
        <v>131805</v>
      </c>
      <c r="E396">
        <v>166074.29999999999</v>
      </c>
      <c r="F396">
        <v>65902.5</v>
      </c>
      <c r="G396">
        <v>627391.80000000005</v>
      </c>
    </row>
    <row r="397" spans="1:7" x14ac:dyDescent="0.35">
      <c r="A397" t="s">
        <v>428</v>
      </c>
      <c r="B397">
        <v>953512.14999999991</v>
      </c>
      <c r="C397">
        <v>381404.86</v>
      </c>
      <c r="D397">
        <v>190702.43</v>
      </c>
      <c r="E397">
        <v>240285.06179999991</v>
      </c>
      <c r="F397">
        <v>95351.214999999997</v>
      </c>
      <c r="G397">
        <v>907743.56679999991</v>
      </c>
    </row>
    <row r="398" spans="1:7" x14ac:dyDescent="0.35">
      <c r="A398" t="s">
        <v>429</v>
      </c>
      <c r="B398">
        <v>1257618</v>
      </c>
      <c r="C398">
        <v>503047.2</v>
      </c>
      <c r="D398">
        <v>251523.6</v>
      </c>
      <c r="E398">
        <v>316919.73599999992</v>
      </c>
      <c r="F398">
        <v>125761.8</v>
      </c>
      <c r="G398">
        <v>1197252.3359999999</v>
      </c>
    </row>
    <row r="399" spans="1:7" x14ac:dyDescent="0.35">
      <c r="A399" t="s">
        <v>430</v>
      </c>
      <c r="B399">
        <v>923094.1</v>
      </c>
      <c r="C399">
        <v>369237.64</v>
      </c>
      <c r="D399">
        <v>184618.82</v>
      </c>
      <c r="E399">
        <v>232619.7132</v>
      </c>
      <c r="F399">
        <v>92309.41</v>
      </c>
      <c r="G399">
        <v>878785.58319999999</v>
      </c>
    </row>
    <row r="400" spans="1:7" x14ac:dyDescent="0.35">
      <c r="A400" t="s">
        <v>431</v>
      </c>
      <c r="B400">
        <v>1427096.65</v>
      </c>
      <c r="C400">
        <v>570838.66</v>
      </c>
      <c r="D400">
        <v>285419.33</v>
      </c>
      <c r="E400">
        <v>359628.35579999979</v>
      </c>
      <c r="F400">
        <v>142709.66500000001</v>
      </c>
      <c r="G400">
        <v>1358596.0108</v>
      </c>
    </row>
    <row r="401" spans="1:7" x14ac:dyDescent="0.35">
      <c r="A401" t="s">
        <v>432</v>
      </c>
      <c r="B401">
        <v>954144.85</v>
      </c>
      <c r="C401">
        <v>381657.94</v>
      </c>
      <c r="D401">
        <v>190828.97</v>
      </c>
      <c r="E401">
        <v>240444.50219999999</v>
      </c>
      <c r="F401">
        <v>95414.485000000001</v>
      </c>
      <c r="G401">
        <v>908345.89720000001</v>
      </c>
    </row>
    <row r="402" spans="1:7" x14ac:dyDescent="0.35">
      <c r="A402" t="s">
        <v>433</v>
      </c>
      <c r="B402">
        <v>829644.5</v>
      </c>
      <c r="C402">
        <v>331857.8</v>
      </c>
      <c r="D402">
        <v>165928.9</v>
      </c>
      <c r="E402">
        <v>209070.4139999999</v>
      </c>
      <c r="F402">
        <v>82964.450000000012</v>
      </c>
      <c r="G402">
        <v>789821.56400000001</v>
      </c>
    </row>
    <row r="403" spans="1:7" x14ac:dyDescent="0.35">
      <c r="A403" t="s">
        <v>434</v>
      </c>
      <c r="B403">
        <v>902588.35</v>
      </c>
      <c r="C403">
        <v>361035.34</v>
      </c>
      <c r="D403">
        <v>180517.67</v>
      </c>
      <c r="E403">
        <v>227452.26420000001</v>
      </c>
      <c r="F403">
        <v>90258.835000000006</v>
      </c>
      <c r="G403">
        <v>859264.10919999995</v>
      </c>
    </row>
    <row r="404" spans="1:7" x14ac:dyDescent="0.35">
      <c r="A404" t="s">
        <v>435</v>
      </c>
      <c r="B404">
        <v>737430</v>
      </c>
      <c r="C404">
        <v>294972</v>
      </c>
      <c r="D404">
        <v>147486</v>
      </c>
      <c r="E404">
        <v>185832.36</v>
      </c>
      <c r="F404">
        <v>73743</v>
      </c>
      <c r="G404">
        <v>702033.36</v>
      </c>
    </row>
    <row r="405" spans="1:7" x14ac:dyDescent="0.35">
      <c r="A405" t="s">
        <v>436</v>
      </c>
      <c r="B405">
        <v>750648</v>
      </c>
      <c r="C405">
        <v>300259.20000000001</v>
      </c>
      <c r="D405">
        <v>150129.60000000001</v>
      </c>
      <c r="E405">
        <v>189163.29599999989</v>
      </c>
      <c r="F405">
        <v>75064.800000000003</v>
      </c>
      <c r="G405">
        <v>714616.89599999995</v>
      </c>
    </row>
    <row r="406" spans="1:7" x14ac:dyDescent="0.35">
      <c r="A406" t="s">
        <v>437</v>
      </c>
      <c r="B406">
        <v>759275</v>
      </c>
      <c r="C406">
        <v>303710</v>
      </c>
      <c r="D406">
        <v>151855</v>
      </c>
      <c r="E406">
        <v>191337.3</v>
      </c>
      <c r="F406">
        <v>75927.5</v>
      </c>
      <c r="G406">
        <v>722829.8</v>
      </c>
    </row>
    <row r="407" spans="1:7" x14ac:dyDescent="0.35">
      <c r="A407" t="s">
        <v>438</v>
      </c>
      <c r="B407">
        <v>707820.29999999993</v>
      </c>
      <c r="C407">
        <v>283128.12</v>
      </c>
      <c r="D407">
        <v>141564.06</v>
      </c>
      <c r="E407">
        <v>178370.7156</v>
      </c>
      <c r="F407">
        <v>70782.03</v>
      </c>
      <c r="G407">
        <v>673844.92559999996</v>
      </c>
    </row>
    <row r="408" spans="1:7" x14ac:dyDescent="0.35">
      <c r="A408" t="s">
        <v>439</v>
      </c>
      <c r="B408">
        <v>1217981</v>
      </c>
      <c r="C408">
        <v>487192.4</v>
      </c>
      <c r="D408">
        <v>243596.2</v>
      </c>
      <c r="E408">
        <v>306931.21199999988</v>
      </c>
      <c r="F408">
        <v>121798.1</v>
      </c>
      <c r="G408">
        <v>1159517.912</v>
      </c>
    </row>
    <row r="409" spans="1:7" x14ac:dyDescent="0.35">
      <c r="A409" t="s">
        <v>440</v>
      </c>
      <c r="B409">
        <v>796367</v>
      </c>
      <c r="C409">
        <v>318546.8</v>
      </c>
      <c r="D409">
        <v>159273.4</v>
      </c>
      <c r="E409">
        <v>200684.48399999979</v>
      </c>
      <c r="F409">
        <v>79636.700000000012</v>
      </c>
      <c r="G409">
        <v>758141.38399999985</v>
      </c>
    </row>
    <row r="410" spans="1:7" x14ac:dyDescent="0.35">
      <c r="A410" t="s">
        <v>441</v>
      </c>
      <c r="B410">
        <v>848604</v>
      </c>
      <c r="C410">
        <v>339441.6</v>
      </c>
      <c r="D410">
        <v>169720.8</v>
      </c>
      <c r="E410">
        <v>213848.20800000001</v>
      </c>
      <c r="F410">
        <v>84860.400000000009</v>
      </c>
      <c r="G410">
        <v>807871.00800000003</v>
      </c>
    </row>
    <row r="411" spans="1:7" x14ac:dyDescent="0.35">
      <c r="A411" t="s">
        <v>442</v>
      </c>
      <c r="B411">
        <v>974300.04999999993</v>
      </c>
      <c r="C411">
        <v>389720.02</v>
      </c>
      <c r="D411">
        <v>194860.01</v>
      </c>
      <c r="E411">
        <v>245523.61259999991</v>
      </c>
      <c r="F411">
        <v>97430.005000000005</v>
      </c>
      <c r="G411">
        <v>927533.64759999991</v>
      </c>
    </row>
    <row r="412" spans="1:7" x14ac:dyDescent="0.35">
      <c r="A412" t="s">
        <v>443</v>
      </c>
      <c r="B412">
        <v>615795.69999999995</v>
      </c>
      <c r="C412">
        <v>246318.28</v>
      </c>
      <c r="D412">
        <v>123159.14</v>
      </c>
      <c r="E412">
        <v>155180.51639999999</v>
      </c>
      <c r="F412">
        <v>61579.57</v>
      </c>
      <c r="G412">
        <v>586237.50639999995</v>
      </c>
    </row>
    <row r="413" spans="1:7" x14ac:dyDescent="0.35">
      <c r="A413" t="s">
        <v>444</v>
      </c>
      <c r="B413">
        <v>1248401</v>
      </c>
      <c r="C413">
        <v>499360.4</v>
      </c>
      <c r="D413">
        <v>249680.2</v>
      </c>
      <c r="E413">
        <v>314597.05199999991</v>
      </c>
      <c r="F413">
        <v>124840.1</v>
      </c>
      <c r="G413">
        <v>1188477.7520000001</v>
      </c>
    </row>
    <row r="414" spans="1:7" x14ac:dyDescent="0.35">
      <c r="A414" t="s">
        <v>445</v>
      </c>
      <c r="B414">
        <v>815084</v>
      </c>
      <c r="C414">
        <v>326033.59999999998</v>
      </c>
      <c r="D414">
        <v>163016.79999999999</v>
      </c>
      <c r="E414">
        <v>205401.16799999989</v>
      </c>
      <c r="F414">
        <v>81508.400000000009</v>
      </c>
      <c r="G414">
        <v>775959.96799999999</v>
      </c>
    </row>
    <row r="415" spans="1:7" x14ac:dyDescent="0.35">
      <c r="A415" t="s">
        <v>446</v>
      </c>
      <c r="B415">
        <v>922017</v>
      </c>
      <c r="C415">
        <v>368806.8</v>
      </c>
      <c r="D415">
        <v>184403.4</v>
      </c>
      <c r="E415">
        <v>232348.2839999999</v>
      </c>
      <c r="F415">
        <v>92201.700000000012</v>
      </c>
      <c r="G415">
        <v>877760.18399999989</v>
      </c>
    </row>
    <row r="416" spans="1:7" x14ac:dyDescent="0.35">
      <c r="A416" t="s">
        <v>447</v>
      </c>
      <c r="B416">
        <v>794185.75</v>
      </c>
      <c r="C416">
        <v>317674.3</v>
      </c>
      <c r="D416">
        <v>158837.15</v>
      </c>
      <c r="E416">
        <v>200134.80899999989</v>
      </c>
      <c r="F416">
        <v>79418.575000000012</v>
      </c>
      <c r="G416">
        <v>756064.83400000003</v>
      </c>
    </row>
    <row r="417" spans="1:7" x14ac:dyDescent="0.35">
      <c r="A417" t="s">
        <v>448</v>
      </c>
      <c r="B417">
        <v>1015454.05</v>
      </c>
      <c r="C417">
        <v>406181.62000000011</v>
      </c>
      <c r="D417">
        <v>203090.81</v>
      </c>
      <c r="E417">
        <v>255894.42060000001</v>
      </c>
      <c r="F417">
        <v>101545.405</v>
      </c>
      <c r="G417">
        <v>966712.25560000003</v>
      </c>
    </row>
    <row r="418" spans="1:7" x14ac:dyDescent="0.35">
      <c r="A418" t="s">
        <v>449</v>
      </c>
      <c r="B418">
        <v>812676</v>
      </c>
      <c r="C418">
        <v>325070.40000000002</v>
      </c>
      <c r="D418">
        <v>162535.20000000001</v>
      </c>
      <c r="E418">
        <v>204794.35200000001</v>
      </c>
      <c r="F418">
        <v>81267.600000000006</v>
      </c>
      <c r="G418">
        <v>773667.55200000003</v>
      </c>
    </row>
    <row r="419" spans="1:7" x14ac:dyDescent="0.35">
      <c r="A419" t="s">
        <v>450</v>
      </c>
      <c r="B419">
        <v>563274</v>
      </c>
      <c r="C419">
        <v>225309.6</v>
      </c>
      <c r="D419">
        <v>112654.8</v>
      </c>
      <c r="E419">
        <v>141945.04800000001</v>
      </c>
      <c r="F419">
        <v>56327.4</v>
      </c>
      <c r="G419">
        <v>536236.848</v>
      </c>
    </row>
    <row r="420" spans="1:7" x14ac:dyDescent="0.35">
      <c r="A420" t="s">
        <v>451</v>
      </c>
      <c r="B420">
        <v>1326722</v>
      </c>
      <c r="C420">
        <v>530688.80000000005</v>
      </c>
      <c r="D420">
        <v>265344.40000000002</v>
      </c>
      <c r="E420">
        <v>334333.9439999999</v>
      </c>
      <c r="F420">
        <v>132672.20000000001</v>
      </c>
      <c r="G420">
        <v>1263039.344</v>
      </c>
    </row>
    <row r="421" spans="1:7" x14ac:dyDescent="0.35">
      <c r="A421" t="s">
        <v>452</v>
      </c>
      <c r="B421">
        <v>713552.6</v>
      </c>
      <c r="C421">
        <v>285421.03999999998</v>
      </c>
      <c r="D421">
        <v>142710.51999999999</v>
      </c>
      <c r="E421">
        <v>179815.25520000001</v>
      </c>
      <c r="F421">
        <v>71355.259999999995</v>
      </c>
      <c r="G421">
        <v>679302.07519999996</v>
      </c>
    </row>
    <row r="422" spans="1:7" x14ac:dyDescent="0.35">
      <c r="A422" t="s">
        <v>453</v>
      </c>
      <c r="B422">
        <v>848067</v>
      </c>
      <c r="C422">
        <v>339226.8</v>
      </c>
      <c r="D422">
        <v>169613.4</v>
      </c>
      <c r="E422">
        <v>213712.88399999979</v>
      </c>
      <c r="F422">
        <v>84806.700000000012</v>
      </c>
      <c r="G422">
        <v>807359.78399999999</v>
      </c>
    </row>
    <row r="423" spans="1:7" x14ac:dyDescent="0.35">
      <c r="A423" t="s">
        <v>454</v>
      </c>
      <c r="B423">
        <v>756671.2</v>
      </c>
      <c r="C423">
        <v>302668.48</v>
      </c>
      <c r="D423">
        <v>151334.24</v>
      </c>
      <c r="E423">
        <v>190681.14240000001</v>
      </c>
      <c r="F423">
        <v>75667.12</v>
      </c>
      <c r="G423">
        <v>720350.98239999998</v>
      </c>
    </row>
    <row r="424" spans="1:7" x14ac:dyDescent="0.35">
      <c r="A424" t="s">
        <v>455</v>
      </c>
      <c r="B424">
        <v>1213063.55</v>
      </c>
      <c r="C424">
        <v>485225.42</v>
      </c>
      <c r="D424">
        <v>242612.71</v>
      </c>
      <c r="E424">
        <v>305692.01459999999</v>
      </c>
      <c r="F424">
        <v>121306.355</v>
      </c>
      <c r="G424">
        <v>1154836.4996</v>
      </c>
    </row>
    <row r="425" spans="1:7" x14ac:dyDescent="0.35">
      <c r="A425" t="s">
        <v>456</v>
      </c>
      <c r="B425">
        <v>340206.4</v>
      </c>
      <c r="C425">
        <v>136082.56</v>
      </c>
      <c r="D425">
        <v>68041.280000000013</v>
      </c>
      <c r="E425">
        <v>85732.012799999968</v>
      </c>
      <c r="F425">
        <v>34020.640000000007</v>
      </c>
      <c r="G425">
        <v>323876.49280000001</v>
      </c>
    </row>
    <row r="426" spans="1:7" x14ac:dyDescent="0.35">
      <c r="A426" t="s">
        <v>457</v>
      </c>
      <c r="B426">
        <v>1334200.8999999999</v>
      </c>
      <c r="C426">
        <v>533680.36</v>
      </c>
      <c r="D426">
        <v>266840.18</v>
      </c>
      <c r="E426">
        <v>336218.62679999991</v>
      </c>
      <c r="F426">
        <v>133420.09</v>
      </c>
      <c r="G426">
        <v>1270159.2568000001</v>
      </c>
    </row>
    <row r="427" spans="1:7" x14ac:dyDescent="0.35">
      <c r="A427" t="s">
        <v>458</v>
      </c>
      <c r="B427">
        <v>778466.1</v>
      </c>
      <c r="C427">
        <v>311386.44</v>
      </c>
      <c r="D427">
        <v>155693.22</v>
      </c>
      <c r="E427">
        <v>196173.45719999989</v>
      </c>
      <c r="F427">
        <v>77846.61</v>
      </c>
      <c r="G427">
        <v>741099.72719999996</v>
      </c>
    </row>
    <row r="428" spans="1:7" x14ac:dyDescent="0.35">
      <c r="A428" t="s">
        <v>459</v>
      </c>
      <c r="B428">
        <v>869651.85</v>
      </c>
      <c r="C428">
        <v>347860.74</v>
      </c>
      <c r="D428">
        <v>173930.37</v>
      </c>
      <c r="E428">
        <v>219152.2662000001</v>
      </c>
      <c r="F428">
        <v>86965.184999999998</v>
      </c>
      <c r="G428">
        <v>827908.56120000011</v>
      </c>
    </row>
    <row r="429" spans="1:7" x14ac:dyDescent="0.35">
      <c r="A429" t="s">
        <v>460</v>
      </c>
      <c r="B429">
        <v>766678</v>
      </c>
      <c r="C429">
        <v>306671.2</v>
      </c>
      <c r="D429">
        <v>153335.6</v>
      </c>
      <c r="E429">
        <v>193202.85599999991</v>
      </c>
      <c r="F429">
        <v>76667.8</v>
      </c>
      <c r="G429">
        <v>729877.45600000001</v>
      </c>
    </row>
    <row r="430" spans="1:7" x14ac:dyDescent="0.35">
      <c r="A430" t="s">
        <v>461</v>
      </c>
      <c r="B430">
        <v>817518.7</v>
      </c>
      <c r="C430">
        <v>327007.48</v>
      </c>
      <c r="D430">
        <v>163503.74</v>
      </c>
      <c r="E430">
        <v>206014.71239999999</v>
      </c>
      <c r="F430">
        <v>81751.87</v>
      </c>
      <c r="G430">
        <v>778277.80239999993</v>
      </c>
    </row>
    <row r="431" spans="1:7" x14ac:dyDescent="0.35">
      <c r="A431" t="s">
        <v>462</v>
      </c>
      <c r="B431">
        <v>753625.5</v>
      </c>
      <c r="C431">
        <v>301450.2</v>
      </c>
      <c r="D431">
        <v>150725.1</v>
      </c>
      <c r="E431">
        <v>189913.6259999999</v>
      </c>
      <c r="F431">
        <v>75362.55</v>
      </c>
      <c r="G431">
        <v>717451.47600000002</v>
      </c>
    </row>
    <row r="432" spans="1:7" x14ac:dyDescent="0.35">
      <c r="A432" t="s">
        <v>463</v>
      </c>
      <c r="B432">
        <v>386768.75</v>
      </c>
      <c r="C432">
        <v>154707.5</v>
      </c>
      <c r="D432">
        <v>77353.75</v>
      </c>
      <c r="E432">
        <v>97465.724999999977</v>
      </c>
      <c r="F432">
        <v>38676.875</v>
      </c>
      <c r="G432">
        <v>368203.85</v>
      </c>
    </row>
    <row r="433" spans="1:7" x14ac:dyDescent="0.35">
      <c r="A433" t="s">
        <v>464</v>
      </c>
      <c r="B433">
        <v>926744</v>
      </c>
      <c r="C433">
        <v>370697.6</v>
      </c>
      <c r="D433">
        <v>185348.8</v>
      </c>
      <c r="E433">
        <v>233539.4879999999</v>
      </c>
      <c r="F433">
        <v>92674.400000000009</v>
      </c>
      <c r="G433">
        <v>882260.28799999994</v>
      </c>
    </row>
    <row r="434" spans="1:7" x14ac:dyDescent="0.35">
      <c r="A434" t="s">
        <v>465</v>
      </c>
      <c r="B434">
        <v>865854</v>
      </c>
      <c r="C434">
        <v>346341.6</v>
      </c>
      <c r="D434">
        <v>173170.8</v>
      </c>
      <c r="E434">
        <v>218195.20800000001</v>
      </c>
      <c r="F434">
        <v>86585.400000000009</v>
      </c>
      <c r="G434">
        <v>824293.00800000003</v>
      </c>
    </row>
    <row r="435" spans="1:7" x14ac:dyDescent="0.35">
      <c r="A435" t="s">
        <v>466</v>
      </c>
      <c r="B435">
        <v>895022.54999999993</v>
      </c>
      <c r="C435">
        <v>358009.02</v>
      </c>
      <c r="D435">
        <v>179004.51</v>
      </c>
      <c r="E435">
        <v>225545.68259999991</v>
      </c>
      <c r="F435">
        <v>89502.255000000005</v>
      </c>
      <c r="G435">
        <v>852061.46759999997</v>
      </c>
    </row>
    <row r="436" spans="1:7" x14ac:dyDescent="0.35">
      <c r="A436" t="s">
        <v>467</v>
      </c>
      <c r="B436">
        <v>952669</v>
      </c>
      <c r="C436">
        <v>381067.6</v>
      </c>
      <c r="D436">
        <v>190533.8</v>
      </c>
      <c r="E436">
        <v>240072.58799999999</v>
      </c>
      <c r="F436">
        <v>95266.900000000009</v>
      </c>
      <c r="G436">
        <v>906940.88800000004</v>
      </c>
    </row>
    <row r="437" spans="1:7" x14ac:dyDescent="0.35">
      <c r="A437" t="s">
        <v>468</v>
      </c>
      <c r="B437">
        <v>770262</v>
      </c>
      <c r="C437">
        <v>308104.8</v>
      </c>
      <c r="D437">
        <v>154052.4</v>
      </c>
      <c r="E437">
        <v>194106.02400000009</v>
      </c>
      <c r="F437">
        <v>77026.2</v>
      </c>
      <c r="G437">
        <v>733289.424</v>
      </c>
    </row>
    <row r="438" spans="1:7" x14ac:dyDescent="0.35">
      <c r="A438" t="s">
        <v>469</v>
      </c>
      <c r="B438">
        <v>535122</v>
      </c>
      <c r="C438">
        <v>214048.8</v>
      </c>
      <c r="D438">
        <v>107024.4</v>
      </c>
      <c r="E438">
        <v>134850.74399999989</v>
      </c>
      <c r="F438">
        <v>53512.2</v>
      </c>
      <c r="G438">
        <v>509436.14399999997</v>
      </c>
    </row>
    <row r="439" spans="1:7" x14ac:dyDescent="0.35">
      <c r="A439" t="s">
        <v>470</v>
      </c>
      <c r="B439">
        <v>1027681.5</v>
      </c>
      <c r="C439">
        <v>411072.6</v>
      </c>
      <c r="D439">
        <v>205536.3</v>
      </c>
      <c r="E439">
        <v>258975.7379999999</v>
      </c>
      <c r="F439">
        <v>102768.15</v>
      </c>
      <c r="G439">
        <v>978352.78799999994</v>
      </c>
    </row>
    <row r="440" spans="1:7" x14ac:dyDescent="0.35">
      <c r="A440" t="s">
        <v>471</v>
      </c>
      <c r="B440">
        <v>712995.9</v>
      </c>
      <c r="C440">
        <v>285198.36</v>
      </c>
      <c r="D440">
        <v>142599.18</v>
      </c>
      <c r="E440">
        <v>179674.96679999991</v>
      </c>
      <c r="F440">
        <v>71299.590000000011</v>
      </c>
      <c r="G440">
        <v>678772.09679999994</v>
      </c>
    </row>
    <row r="441" spans="1:7" x14ac:dyDescent="0.35">
      <c r="A441" t="s">
        <v>472</v>
      </c>
      <c r="B441">
        <v>628484</v>
      </c>
      <c r="C441">
        <v>251393.6</v>
      </c>
      <c r="D441">
        <v>125696.8</v>
      </c>
      <c r="E441">
        <v>158377.96799999991</v>
      </c>
      <c r="F441">
        <v>62848.4</v>
      </c>
      <c r="G441">
        <v>598316.76800000004</v>
      </c>
    </row>
    <row r="442" spans="1:7" x14ac:dyDescent="0.35">
      <c r="A442" t="s">
        <v>473</v>
      </c>
      <c r="B442">
        <v>502832</v>
      </c>
      <c r="C442">
        <v>201132.79999999999</v>
      </c>
      <c r="D442">
        <v>100566.39999999999</v>
      </c>
      <c r="E442">
        <v>126713.664</v>
      </c>
      <c r="F442">
        <v>50283.199999999997</v>
      </c>
      <c r="G442">
        <v>478696.06400000001</v>
      </c>
    </row>
    <row r="443" spans="1:7" x14ac:dyDescent="0.35">
      <c r="A443" t="s">
        <v>474</v>
      </c>
      <c r="B443">
        <v>1300004</v>
      </c>
      <c r="C443">
        <v>520001.6</v>
      </c>
      <c r="D443">
        <v>260000.8</v>
      </c>
      <c r="E443">
        <v>327601.00799999991</v>
      </c>
      <c r="F443">
        <v>130000.4</v>
      </c>
      <c r="G443">
        <v>1237603.808</v>
      </c>
    </row>
    <row r="444" spans="1:7" x14ac:dyDescent="0.35">
      <c r="A444" t="s">
        <v>475</v>
      </c>
      <c r="B444">
        <v>1347680</v>
      </c>
      <c r="C444">
        <v>539072</v>
      </c>
      <c r="D444">
        <v>269536</v>
      </c>
      <c r="E444">
        <v>339615.36</v>
      </c>
      <c r="F444">
        <v>134768</v>
      </c>
      <c r="G444">
        <v>1282991.3600000001</v>
      </c>
    </row>
    <row r="445" spans="1:7" x14ac:dyDescent="0.35">
      <c r="A445" t="s">
        <v>476</v>
      </c>
      <c r="B445">
        <v>788908.5</v>
      </c>
      <c r="C445">
        <v>315563.40000000002</v>
      </c>
      <c r="D445">
        <v>157781.70000000001</v>
      </c>
      <c r="E445">
        <v>198804.94199999989</v>
      </c>
      <c r="F445">
        <v>78890.850000000006</v>
      </c>
      <c r="G445">
        <v>751040.89199999988</v>
      </c>
    </row>
    <row r="446" spans="1:7" x14ac:dyDescent="0.35">
      <c r="A446" t="s">
        <v>477</v>
      </c>
      <c r="B446">
        <v>966449.25</v>
      </c>
      <c r="C446">
        <v>386579.7</v>
      </c>
      <c r="D446">
        <v>193289.85</v>
      </c>
      <c r="E446">
        <v>243545.21099999989</v>
      </c>
      <c r="F446">
        <v>96644.925000000003</v>
      </c>
      <c r="G446">
        <v>920059.68599999999</v>
      </c>
    </row>
    <row r="447" spans="1:7" x14ac:dyDescent="0.35">
      <c r="A447" t="s">
        <v>478</v>
      </c>
      <c r="B447">
        <v>1284990.8999999999</v>
      </c>
      <c r="C447">
        <v>513996.36</v>
      </c>
      <c r="D447">
        <v>256998.18</v>
      </c>
      <c r="E447">
        <v>323817.70679999993</v>
      </c>
      <c r="F447">
        <v>128499.09</v>
      </c>
      <c r="G447">
        <v>1223311.3367999999</v>
      </c>
    </row>
    <row r="448" spans="1:7" x14ac:dyDescent="0.35">
      <c r="A448" t="s">
        <v>479</v>
      </c>
      <c r="B448">
        <v>891085.75</v>
      </c>
      <c r="C448">
        <v>356434.3</v>
      </c>
      <c r="D448">
        <v>178217.15</v>
      </c>
      <c r="E448">
        <v>224553.60899999979</v>
      </c>
      <c r="F448">
        <v>89108.575000000012</v>
      </c>
      <c r="G448">
        <v>848313.63399999985</v>
      </c>
    </row>
    <row r="449" spans="1:7" x14ac:dyDescent="0.35">
      <c r="A449" t="s">
        <v>480</v>
      </c>
      <c r="B449">
        <v>1177257</v>
      </c>
      <c r="C449">
        <v>470902.8</v>
      </c>
      <c r="D449">
        <v>235451.4</v>
      </c>
      <c r="E449">
        <v>296668.76399999991</v>
      </c>
      <c r="F449">
        <v>117725.7</v>
      </c>
      <c r="G449">
        <v>1120748.6640000001</v>
      </c>
    </row>
    <row r="450" spans="1:7" x14ac:dyDescent="0.35">
      <c r="A450" t="s">
        <v>481</v>
      </c>
      <c r="B450">
        <v>802493</v>
      </c>
      <c r="C450">
        <v>320997.2</v>
      </c>
      <c r="D450">
        <v>160498.6</v>
      </c>
      <c r="E450">
        <v>202228.23599999989</v>
      </c>
      <c r="F450">
        <v>80249.3</v>
      </c>
      <c r="G450">
        <v>763973.33600000001</v>
      </c>
    </row>
    <row r="451" spans="1:7" x14ac:dyDescent="0.35">
      <c r="A451" t="s">
        <v>482</v>
      </c>
      <c r="B451">
        <v>597699.15</v>
      </c>
      <c r="C451">
        <v>239079.66</v>
      </c>
      <c r="D451">
        <v>119539.83</v>
      </c>
      <c r="E451">
        <v>150620.18580000001</v>
      </c>
      <c r="F451">
        <v>59769.915000000008</v>
      </c>
      <c r="G451">
        <v>569009.59080000001</v>
      </c>
    </row>
    <row r="452" spans="1:7" x14ac:dyDescent="0.35">
      <c r="A452" t="s">
        <v>483</v>
      </c>
      <c r="B452">
        <v>1041219</v>
      </c>
      <c r="C452">
        <v>416487.6</v>
      </c>
      <c r="D452">
        <v>208243.8</v>
      </c>
      <c r="E452">
        <v>262387.18800000002</v>
      </c>
      <c r="F452">
        <v>104121.9</v>
      </c>
      <c r="G452">
        <v>991240.48800000001</v>
      </c>
    </row>
    <row r="453" spans="1:7" x14ac:dyDescent="0.35">
      <c r="A453" t="s">
        <v>484</v>
      </c>
      <c r="B453">
        <v>1524351</v>
      </c>
      <c r="C453">
        <v>609740.4</v>
      </c>
      <c r="D453">
        <v>304870.2</v>
      </c>
      <c r="E453">
        <v>384136.45199999982</v>
      </c>
      <c r="F453">
        <v>152435.1</v>
      </c>
      <c r="G453">
        <v>1451182.152</v>
      </c>
    </row>
    <row r="454" spans="1:7" x14ac:dyDescent="0.35">
      <c r="A454" t="s">
        <v>485</v>
      </c>
      <c r="B454">
        <v>977984.14999999991</v>
      </c>
      <c r="C454">
        <v>391193.66</v>
      </c>
      <c r="D454">
        <v>195596.83</v>
      </c>
      <c r="E454">
        <v>246452.0057999999</v>
      </c>
      <c r="F454">
        <v>97798.414999999994</v>
      </c>
      <c r="G454">
        <v>931040.91079999995</v>
      </c>
    </row>
    <row r="455" spans="1:7" x14ac:dyDescent="0.35">
      <c r="A455" t="s">
        <v>486</v>
      </c>
      <c r="B455">
        <v>615320.69999999995</v>
      </c>
      <c r="C455">
        <v>246128.28</v>
      </c>
      <c r="D455">
        <v>123064.14</v>
      </c>
      <c r="E455">
        <v>155060.81640000001</v>
      </c>
      <c r="F455">
        <v>61532.07</v>
      </c>
      <c r="G455">
        <v>585785.30639999988</v>
      </c>
    </row>
    <row r="456" spans="1:7" x14ac:dyDescent="0.35">
      <c r="A456" t="s">
        <v>487</v>
      </c>
      <c r="B456">
        <v>299763</v>
      </c>
      <c r="C456">
        <v>119905.2</v>
      </c>
      <c r="D456">
        <v>59952.600000000013</v>
      </c>
      <c r="E456">
        <v>75540.275999999954</v>
      </c>
      <c r="F456">
        <v>29976.3</v>
      </c>
      <c r="G456">
        <v>285374.37599999999</v>
      </c>
    </row>
    <row r="457" spans="1:7" x14ac:dyDescent="0.35">
      <c r="A457" t="s">
        <v>488</v>
      </c>
      <c r="B457">
        <v>668114</v>
      </c>
      <c r="C457">
        <v>267245.59999999998</v>
      </c>
      <c r="D457">
        <v>133622.79999999999</v>
      </c>
      <c r="E457">
        <v>168364.72799999989</v>
      </c>
      <c r="F457">
        <v>66811.400000000009</v>
      </c>
      <c r="G457">
        <v>636044.52800000005</v>
      </c>
    </row>
    <row r="458" spans="1:7" x14ac:dyDescent="0.35">
      <c r="A458" t="s">
        <v>489</v>
      </c>
      <c r="B458">
        <v>877008.64999999991</v>
      </c>
      <c r="C458">
        <v>350803.46</v>
      </c>
      <c r="D458">
        <v>175401.73</v>
      </c>
      <c r="E458">
        <v>221006.1797999999</v>
      </c>
      <c r="F458">
        <v>87700.864999999991</v>
      </c>
      <c r="G458">
        <v>834912.23479999986</v>
      </c>
    </row>
    <row r="459" spans="1:7" x14ac:dyDescent="0.35">
      <c r="A459" t="s">
        <v>490</v>
      </c>
      <c r="B459">
        <v>455674</v>
      </c>
      <c r="C459">
        <v>182269.6</v>
      </c>
      <c r="D459">
        <v>91134.8</v>
      </c>
      <c r="E459">
        <v>114829.8479999999</v>
      </c>
      <c r="F459">
        <v>45567.4</v>
      </c>
      <c r="G459">
        <v>433801.64799999999</v>
      </c>
    </row>
    <row r="460" spans="1:7" x14ac:dyDescent="0.35">
      <c r="A460" t="s">
        <v>491</v>
      </c>
      <c r="B460">
        <v>614133</v>
      </c>
      <c r="C460">
        <v>245653.2</v>
      </c>
      <c r="D460">
        <v>122826.6</v>
      </c>
      <c r="E460">
        <v>154761.51599999989</v>
      </c>
      <c r="F460">
        <v>61413.3</v>
      </c>
      <c r="G460">
        <v>584654.61600000004</v>
      </c>
    </row>
    <row r="461" spans="1:7" x14ac:dyDescent="0.35">
      <c r="A461" t="s">
        <v>492</v>
      </c>
      <c r="B461">
        <v>837101.04999999993</v>
      </c>
      <c r="C461">
        <v>334840.42</v>
      </c>
      <c r="D461">
        <v>167420.21</v>
      </c>
      <c r="E461">
        <v>210949.46459999989</v>
      </c>
      <c r="F461">
        <v>83710.104999999996</v>
      </c>
      <c r="G461">
        <v>796920.19959999993</v>
      </c>
    </row>
    <row r="462" spans="1:7" x14ac:dyDescent="0.35">
      <c r="A462" t="s">
        <v>493</v>
      </c>
      <c r="B462">
        <v>496593.5</v>
      </c>
      <c r="C462">
        <v>198637.4</v>
      </c>
      <c r="D462">
        <v>99318.700000000012</v>
      </c>
      <c r="E462">
        <v>125141.5619999999</v>
      </c>
      <c r="F462">
        <v>49659.350000000013</v>
      </c>
      <c r="G462">
        <v>472757.01199999999</v>
      </c>
    </row>
    <row r="463" spans="1:7" x14ac:dyDescent="0.35">
      <c r="A463" t="s">
        <v>494</v>
      </c>
      <c r="B463">
        <v>988685.89999999991</v>
      </c>
      <c r="C463">
        <v>395474.36</v>
      </c>
      <c r="D463">
        <v>197737.18</v>
      </c>
      <c r="E463">
        <v>249148.84679999991</v>
      </c>
      <c r="F463">
        <v>98868.59</v>
      </c>
      <c r="G463">
        <v>941228.97679999995</v>
      </c>
    </row>
    <row r="464" spans="1:7" x14ac:dyDescent="0.35">
      <c r="A464" t="s">
        <v>495</v>
      </c>
      <c r="B464">
        <v>1318553.45</v>
      </c>
      <c r="C464">
        <v>527421.38</v>
      </c>
      <c r="D464">
        <v>263710.69</v>
      </c>
      <c r="E464">
        <v>332275.46939999989</v>
      </c>
      <c r="F464">
        <v>131855.345</v>
      </c>
      <c r="G464">
        <v>1255262.8844000001</v>
      </c>
    </row>
    <row r="465" spans="1:7" x14ac:dyDescent="0.35">
      <c r="A465" t="s">
        <v>496</v>
      </c>
      <c r="B465">
        <v>896525.45</v>
      </c>
      <c r="C465">
        <v>358610.18</v>
      </c>
      <c r="D465">
        <v>179305.09</v>
      </c>
      <c r="E465">
        <v>225924.41339999979</v>
      </c>
      <c r="F465">
        <v>89652.544999999998</v>
      </c>
      <c r="G465">
        <v>853492.22839999991</v>
      </c>
    </row>
    <row r="466" spans="1:7" x14ac:dyDescent="0.35">
      <c r="A466" t="s">
        <v>497</v>
      </c>
      <c r="B466">
        <v>793025</v>
      </c>
      <c r="C466">
        <v>317210</v>
      </c>
      <c r="D466">
        <v>158605</v>
      </c>
      <c r="E466">
        <v>199842.3</v>
      </c>
      <c r="F466">
        <v>79302.5</v>
      </c>
      <c r="G466">
        <v>754959.8</v>
      </c>
    </row>
    <row r="467" spans="1:7" x14ac:dyDescent="0.35">
      <c r="A467" t="s">
        <v>498</v>
      </c>
      <c r="B467">
        <v>1098124.95</v>
      </c>
      <c r="C467">
        <v>439249.98</v>
      </c>
      <c r="D467">
        <v>219624.99</v>
      </c>
      <c r="E467">
        <v>276727.48739999998</v>
      </c>
      <c r="F467">
        <v>109812.495</v>
      </c>
      <c r="G467">
        <v>1045414.9524</v>
      </c>
    </row>
    <row r="468" spans="1:7" x14ac:dyDescent="0.35">
      <c r="A468" t="s">
        <v>499</v>
      </c>
      <c r="B468">
        <v>904098.85</v>
      </c>
      <c r="C468">
        <v>361639.54</v>
      </c>
      <c r="D468">
        <v>180819.77</v>
      </c>
      <c r="E468">
        <v>227832.9101999999</v>
      </c>
      <c r="F468">
        <v>90409.885000000009</v>
      </c>
      <c r="G468">
        <v>860702.10519999999</v>
      </c>
    </row>
    <row r="469" spans="1:7" x14ac:dyDescent="0.35">
      <c r="A469" t="s">
        <v>500</v>
      </c>
      <c r="B469">
        <v>1104975</v>
      </c>
      <c r="C469">
        <v>441990</v>
      </c>
      <c r="D469">
        <v>220995</v>
      </c>
      <c r="E469">
        <v>278453.7</v>
      </c>
      <c r="F469">
        <v>110497.5</v>
      </c>
      <c r="G469">
        <v>1051936.2</v>
      </c>
    </row>
    <row r="470" spans="1:7" x14ac:dyDescent="0.35">
      <c r="A470" t="s">
        <v>501</v>
      </c>
      <c r="B470">
        <v>773175.54999999993</v>
      </c>
      <c r="C470">
        <v>309270.21999999997</v>
      </c>
      <c r="D470">
        <v>154635.10999999999</v>
      </c>
      <c r="E470">
        <v>194840.2385999999</v>
      </c>
      <c r="F470">
        <v>77317.554999999993</v>
      </c>
      <c r="G470">
        <v>736063.12359999982</v>
      </c>
    </row>
    <row r="471" spans="1:7" x14ac:dyDescent="0.35">
      <c r="A471" t="s">
        <v>502</v>
      </c>
      <c r="B471">
        <v>756323.5</v>
      </c>
      <c r="C471">
        <v>302529.40000000002</v>
      </c>
      <c r="D471">
        <v>151264.70000000001</v>
      </c>
      <c r="E471">
        <v>190593.52199999991</v>
      </c>
      <c r="F471">
        <v>75632.350000000006</v>
      </c>
      <c r="G471">
        <v>720019.97199999995</v>
      </c>
    </row>
    <row r="472" spans="1:7" x14ac:dyDescent="0.35">
      <c r="A472" t="s">
        <v>503</v>
      </c>
      <c r="B472">
        <v>388297.3</v>
      </c>
      <c r="C472">
        <v>155318.92000000001</v>
      </c>
      <c r="D472">
        <v>77659.460000000006</v>
      </c>
      <c r="E472">
        <v>97850.919600000023</v>
      </c>
      <c r="F472">
        <v>38829.730000000003</v>
      </c>
      <c r="G472">
        <v>369659.02960000001</v>
      </c>
    </row>
    <row r="473" spans="1:7" x14ac:dyDescent="0.35">
      <c r="A473" t="s">
        <v>504</v>
      </c>
      <c r="B473">
        <v>711433</v>
      </c>
      <c r="C473">
        <v>284573.2</v>
      </c>
      <c r="D473">
        <v>142286.6</v>
      </c>
      <c r="E473">
        <v>179281.11599999989</v>
      </c>
      <c r="F473">
        <v>71143.3</v>
      </c>
      <c r="G473">
        <v>677284.21600000001</v>
      </c>
    </row>
    <row r="474" spans="1:7" x14ac:dyDescent="0.35">
      <c r="A474" t="s">
        <v>505</v>
      </c>
      <c r="B474">
        <v>1294175</v>
      </c>
      <c r="C474">
        <v>517670</v>
      </c>
      <c r="D474">
        <v>258835</v>
      </c>
      <c r="E474">
        <v>326132.09999999998</v>
      </c>
      <c r="F474">
        <v>129417.5</v>
      </c>
      <c r="G474">
        <v>1232054.6000000001</v>
      </c>
    </row>
    <row r="475" spans="1:7" x14ac:dyDescent="0.35">
      <c r="A475" t="s">
        <v>506</v>
      </c>
      <c r="B475">
        <v>903616</v>
      </c>
      <c r="C475">
        <v>361446.40000000002</v>
      </c>
      <c r="D475">
        <v>180723.20000000001</v>
      </c>
      <c r="E475">
        <v>227711.23199999999</v>
      </c>
      <c r="F475">
        <v>90361.600000000006</v>
      </c>
      <c r="G475">
        <v>860242.43200000003</v>
      </c>
    </row>
    <row r="476" spans="1:7" x14ac:dyDescent="0.35">
      <c r="A476" t="s">
        <v>507</v>
      </c>
      <c r="B476">
        <v>1180294.25</v>
      </c>
      <c r="C476">
        <v>472117.7</v>
      </c>
      <c r="D476">
        <v>236058.85</v>
      </c>
      <c r="E476">
        <v>297434.15100000001</v>
      </c>
      <c r="F476">
        <v>118029.425</v>
      </c>
      <c r="G476">
        <v>1123640.1259999999</v>
      </c>
    </row>
    <row r="477" spans="1:7" x14ac:dyDescent="0.35">
      <c r="A477" t="s">
        <v>508</v>
      </c>
      <c r="B477">
        <v>1110718</v>
      </c>
      <c r="C477">
        <v>444287.2</v>
      </c>
      <c r="D477">
        <v>222143.6</v>
      </c>
      <c r="E477">
        <v>279900.93599999993</v>
      </c>
      <c r="F477">
        <v>111071.8</v>
      </c>
      <c r="G477">
        <v>1057403.5360000001</v>
      </c>
    </row>
    <row r="478" spans="1:7" x14ac:dyDescent="0.35">
      <c r="A478" t="s">
        <v>509</v>
      </c>
      <c r="B478">
        <v>573739.19999999995</v>
      </c>
      <c r="C478">
        <v>229495.67999999999</v>
      </c>
      <c r="D478">
        <v>114747.84</v>
      </c>
      <c r="E478">
        <v>144582.27840000001</v>
      </c>
      <c r="F478">
        <v>57373.919999999998</v>
      </c>
      <c r="G478">
        <v>546199.71840000001</v>
      </c>
    </row>
    <row r="479" spans="1:7" x14ac:dyDescent="0.35">
      <c r="A479" t="s">
        <v>510</v>
      </c>
      <c r="B479">
        <v>995582.89999999991</v>
      </c>
      <c r="C479">
        <v>398233.16</v>
      </c>
      <c r="D479">
        <v>199116.58</v>
      </c>
      <c r="E479">
        <v>250886.89079999991</v>
      </c>
      <c r="F479">
        <v>99558.29</v>
      </c>
      <c r="G479">
        <v>947794.92079999996</v>
      </c>
    </row>
    <row r="480" spans="1:7" x14ac:dyDescent="0.35">
      <c r="A480" t="s">
        <v>511</v>
      </c>
      <c r="B480">
        <v>821821.25</v>
      </c>
      <c r="C480">
        <v>328728.5</v>
      </c>
      <c r="D480">
        <v>164364.25</v>
      </c>
      <c r="E480">
        <v>207098.95499999999</v>
      </c>
      <c r="F480">
        <v>82182.125</v>
      </c>
      <c r="G480">
        <v>782373.83</v>
      </c>
    </row>
    <row r="481" spans="1:7" x14ac:dyDescent="0.35">
      <c r="A481" t="s">
        <v>512</v>
      </c>
      <c r="B481">
        <v>946644</v>
      </c>
      <c r="C481">
        <v>378657.6</v>
      </c>
      <c r="D481">
        <v>189328.8</v>
      </c>
      <c r="E481">
        <v>238554.28799999991</v>
      </c>
      <c r="F481">
        <v>94664.400000000009</v>
      </c>
      <c r="G481">
        <v>901205.08799999999</v>
      </c>
    </row>
    <row r="482" spans="1:7" x14ac:dyDescent="0.35">
      <c r="A482" t="s">
        <v>513</v>
      </c>
      <c r="B482">
        <v>538034.4</v>
      </c>
      <c r="C482">
        <v>215213.76</v>
      </c>
      <c r="D482">
        <v>107606.88</v>
      </c>
      <c r="E482">
        <v>135584.66880000001</v>
      </c>
      <c r="F482">
        <v>53803.44</v>
      </c>
      <c r="G482">
        <v>512208.7488</v>
      </c>
    </row>
    <row r="483" spans="1:7" x14ac:dyDescent="0.35">
      <c r="A483" t="s">
        <v>514</v>
      </c>
      <c r="B483">
        <v>1253862</v>
      </c>
      <c r="C483">
        <v>501544.8</v>
      </c>
      <c r="D483">
        <v>250772.4</v>
      </c>
      <c r="E483">
        <v>315973.22399999981</v>
      </c>
      <c r="F483">
        <v>125386.2</v>
      </c>
      <c r="G483">
        <v>1193676.6240000001</v>
      </c>
    </row>
    <row r="484" spans="1:7" x14ac:dyDescent="0.35">
      <c r="A484" t="s">
        <v>515</v>
      </c>
      <c r="B484">
        <v>1184330.8</v>
      </c>
      <c r="C484">
        <v>473732.32000000012</v>
      </c>
      <c r="D484">
        <v>236866.16</v>
      </c>
      <c r="E484">
        <v>298451.36159999989</v>
      </c>
      <c r="F484">
        <v>118433.08</v>
      </c>
      <c r="G484">
        <v>1127482.9216</v>
      </c>
    </row>
    <row r="485" spans="1:7" x14ac:dyDescent="0.35">
      <c r="A485" t="s">
        <v>516</v>
      </c>
      <c r="B485">
        <v>532790.4</v>
      </c>
      <c r="C485">
        <v>213116.16</v>
      </c>
      <c r="D485">
        <v>106558.08</v>
      </c>
      <c r="E485">
        <v>134263.1808</v>
      </c>
      <c r="F485">
        <v>53279.040000000008</v>
      </c>
      <c r="G485">
        <v>507216.4608</v>
      </c>
    </row>
    <row r="486" spans="1:7" x14ac:dyDescent="0.35">
      <c r="A486" t="s">
        <v>517</v>
      </c>
      <c r="B486">
        <v>1093196</v>
      </c>
      <c r="C486">
        <v>437278.4</v>
      </c>
      <c r="D486">
        <v>218639.2</v>
      </c>
      <c r="E486">
        <v>275485.39199999988</v>
      </c>
      <c r="F486">
        <v>109319.6</v>
      </c>
      <c r="G486">
        <v>1040722.5919999999</v>
      </c>
    </row>
    <row r="487" spans="1:7" x14ac:dyDescent="0.35">
      <c r="A487" t="s">
        <v>518</v>
      </c>
      <c r="B487">
        <v>1410597.05</v>
      </c>
      <c r="C487">
        <v>564238.82000000007</v>
      </c>
      <c r="D487">
        <v>282119.40999999997</v>
      </c>
      <c r="E487">
        <v>355470.45659999992</v>
      </c>
      <c r="F487">
        <v>141059.70499999999</v>
      </c>
      <c r="G487">
        <v>1342888.3916</v>
      </c>
    </row>
    <row r="488" spans="1:7" x14ac:dyDescent="0.35">
      <c r="A488" t="s">
        <v>519</v>
      </c>
      <c r="B488">
        <v>349352</v>
      </c>
      <c r="C488">
        <v>139740.79999999999</v>
      </c>
      <c r="D488">
        <v>69870.400000000009</v>
      </c>
      <c r="E488">
        <v>88036.703999999969</v>
      </c>
      <c r="F488">
        <v>34935.199999999997</v>
      </c>
      <c r="G488">
        <v>332583.10399999999</v>
      </c>
    </row>
    <row r="489" spans="1:7" x14ac:dyDescent="0.35">
      <c r="A489" t="s">
        <v>520</v>
      </c>
      <c r="B489">
        <v>809392.39999999991</v>
      </c>
      <c r="C489">
        <v>323756.96000000002</v>
      </c>
      <c r="D489">
        <v>161878.48000000001</v>
      </c>
      <c r="E489">
        <v>203966.8848</v>
      </c>
      <c r="F489">
        <v>80939.239999999991</v>
      </c>
      <c r="G489">
        <v>770541.56479999993</v>
      </c>
    </row>
    <row r="490" spans="1:7" x14ac:dyDescent="0.35">
      <c r="A490" t="s">
        <v>521</v>
      </c>
      <c r="B490">
        <v>575366.54999999993</v>
      </c>
      <c r="C490">
        <v>230146.62</v>
      </c>
      <c r="D490">
        <v>115073.31</v>
      </c>
      <c r="E490">
        <v>144992.37059999999</v>
      </c>
      <c r="F490">
        <v>57536.654999999999</v>
      </c>
      <c r="G490">
        <v>547748.95559999999</v>
      </c>
    </row>
    <row r="491" spans="1:7" x14ac:dyDescent="0.35">
      <c r="A491" t="s">
        <v>522</v>
      </c>
      <c r="B491">
        <v>871584</v>
      </c>
      <c r="C491">
        <v>348633.59999999998</v>
      </c>
      <c r="D491">
        <v>174316.79999999999</v>
      </c>
      <c r="E491">
        <v>219639.16799999989</v>
      </c>
      <c r="F491">
        <v>87158.400000000009</v>
      </c>
      <c r="G491">
        <v>829747.96799999999</v>
      </c>
    </row>
    <row r="492" spans="1:7" x14ac:dyDescent="0.35">
      <c r="A492" t="s">
        <v>523</v>
      </c>
      <c r="B492">
        <v>1073565.55</v>
      </c>
      <c r="C492">
        <v>429426.22</v>
      </c>
      <c r="D492">
        <v>214713.11</v>
      </c>
      <c r="E492">
        <v>270538.51860000001</v>
      </c>
      <c r="F492">
        <v>107356.55499999999</v>
      </c>
      <c r="G492">
        <v>1022034.4036</v>
      </c>
    </row>
    <row r="493" spans="1:7" x14ac:dyDescent="0.35">
      <c r="A493" t="s">
        <v>524</v>
      </c>
      <c r="B493">
        <v>887109</v>
      </c>
      <c r="C493">
        <v>354843.6</v>
      </c>
      <c r="D493">
        <v>177421.8</v>
      </c>
      <c r="E493">
        <v>223551.46799999999</v>
      </c>
      <c r="F493">
        <v>88710.900000000009</v>
      </c>
      <c r="G493">
        <v>844527.76800000004</v>
      </c>
    </row>
    <row r="494" spans="1:7" x14ac:dyDescent="0.35">
      <c r="A494" t="s">
        <v>525</v>
      </c>
      <c r="B494">
        <v>1020430.15</v>
      </c>
      <c r="C494">
        <v>408172.06000000011</v>
      </c>
      <c r="D494">
        <v>204086.03</v>
      </c>
      <c r="E494">
        <v>257148.39779999989</v>
      </c>
      <c r="F494">
        <v>102043.015</v>
      </c>
      <c r="G494">
        <v>971449.50280000002</v>
      </c>
    </row>
    <row r="495" spans="1:7" x14ac:dyDescent="0.35">
      <c r="A495" t="s">
        <v>526</v>
      </c>
      <c r="B495">
        <v>612566</v>
      </c>
      <c r="C495">
        <v>245026.4</v>
      </c>
      <c r="D495">
        <v>122513.2</v>
      </c>
      <c r="E495">
        <v>154366.6319999999</v>
      </c>
      <c r="F495">
        <v>61256.600000000013</v>
      </c>
      <c r="G495">
        <v>583162.83199999994</v>
      </c>
    </row>
    <row r="496" spans="1:7" x14ac:dyDescent="0.35">
      <c r="A496" t="s">
        <v>527</v>
      </c>
      <c r="B496">
        <v>722247.95</v>
      </c>
      <c r="C496">
        <v>288899.18</v>
      </c>
      <c r="D496">
        <v>144449.59</v>
      </c>
      <c r="E496">
        <v>182006.48339999991</v>
      </c>
      <c r="F496">
        <v>72224.794999999998</v>
      </c>
      <c r="G496">
        <v>687580.04839999997</v>
      </c>
    </row>
    <row r="497" spans="1:7" x14ac:dyDescent="0.35">
      <c r="A497" t="s">
        <v>528</v>
      </c>
      <c r="B497">
        <v>874695.39999999991</v>
      </c>
      <c r="C497">
        <v>349878.16</v>
      </c>
      <c r="D497">
        <v>174939.08</v>
      </c>
      <c r="E497">
        <v>220423.24079999991</v>
      </c>
      <c r="F497">
        <v>87469.54</v>
      </c>
      <c r="G497">
        <v>832710.02079999994</v>
      </c>
    </row>
    <row r="498" spans="1:7" x14ac:dyDescent="0.35">
      <c r="A498" t="s">
        <v>529</v>
      </c>
      <c r="B498">
        <v>932745</v>
      </c>
      <c r="C498">
        <v>373098</v>
      </c>
      <c r="D498">
        <v>186549</v>
      </c>
      <c r="E498">
        <v>235051.74</v>
      </c>
      <c r="F498">
        <v>93274.5</v>
      </c>
      <c r="G498">
        <v>887973.24</v>
      </c>
    </row>
    <row r="499" spans="1:7" x14ac:dyDescent="0.35">
      <c r="A499" t="s">
        <v>530</v>
      </c>
      <c r="B499">
        <v>1108062.8999999999</v>
      </c>
      <c r="C499">
        <v>443225.16</v>
      </c>
      <c r="D499">
        <v>221612.58</v>
      </c>
      <c r="E499">
        <v>279231.8507999999</v>
      </c>
      <c r="F499">
        <v>110806.29</v>
      </c>
      <c r="G499">
        <v>1054875.8807999999</v>
      </c>
    </row>
    <row r="500" spans="1:7" x14ac:dyDescent="0.35">
      <c r="A500" t="s">
        <v>531</v>
      </c>
      <c r="B500">
        <v>969732</v>
      </c>
      <c r="C500">
        <v>387892.8</v>
      </c>
      <c r="D500">
        <v>193946.4</v>
      </c>
      <c r="E500">
        <v>244372.4639999998</v>
      </c>
      <c r="F500">
        <v>96973.200000000012</v>
      </c>
      <c r="G500">
        <v>923184.86399999983</v>
      </c>
    </row>
    <row r="501" spans="1:7" x14ac:dyDescent="0.35">
      <c r="A501" t="s">
        <v>532</v>
      </c>
      <c r="B501">
        <v>1040258</v>
      </c>
      <c r="C501">
        <v>416103.2</v>
      </c>
      <c r="D501">
        <v>208051.6</v>
      </c>
      <c r="E501">
        <v>262145.01599999989</v>
      </c>
      <c r="F501">
        <v>104025.8</v>
      </c>
      <c r="G501">
        <v>990325.61600000004</v>
      </c>
    </row>
    <row r="502" spans="1:7" x14ac:dyDescent="0.35">
      <c r="A502" t="s">
        <v>533</v>
      </c>
      <c r="B502">
        <v>602289.54999999993</v>
      </c>
      <c r="C502">
        <v>240915.82</v>
      </c>
      <c r="D502">
        <v>120457.91</v>
      </c>
      <c r="E502">
        <v>151776.9665999999</v>
      </c>
      <c r="F502">
        <v>60228.954999999987</v>
      </c>
      <c r="G502">
        <v>573379.65159999987</v>
      </c>
    </row>
    <row r="503" spans="1:7" x14ac:dyDescent="0.35">
      <c r="A503" t="s">
        <v>534</v>
      </c>
      <c r="B503">
        <v>401695.15</v>
      </c>
      <c r="C503">
        <v>160678.06</v>
      </c>
      <c r="D503">
        <v>80339.030000000013</v>
      </c>
      <c r="E503">
        <v>101227.1778</v>
      </c>
      <c r="F503">
        <v>40169.515000000007</v>
      </c>
      <c r="G503">
        <v>382413.78279999999</v>
      </c>
    </row>
    <row r="504" spans="1:7" x14ac:dyDescent="0.35">
      <c r="A504" t="s">
        <v>535</v>
      </c>
      <c r="B504">
        <v>511262</v>
      </c>
      <c r="C504">
        <v>204504.8</v>
      </c>
      <c r="D504">
        <v>102252.4</v>
      </c>
      <c r="E504">
        <v>128838.024</v>
      </c>
      <c r="F504">
        <v>51126.2</v>
      </c>
      <c r="G504">
        <v>486721.424</v>
      </c>
    </row>
    <row r="505" spans="1:7" x14ac:dyDescent="0.35">
      <c r="A505" t="s">
        <v>536</v>
      </c>
      <c r="B505">
        <v>846180.2</v>
      </c>
      <c r="C505">
        <v>338472.08</v>
      </c>
      <c r="D505">
        <v>169236.04</v>
      </c>
      <c r="E505">
        <v>213237.41039999991</v>
      </c>
      <c r="F505">
        <v>84618.02</v>
      </c>
      <c r="G505">
        <v>805563.55039999995</v>
      </c>
    </row>
    <row r="506" spans="1:7" x14ac:dyDescent="0.35">
      <c r="A506" t="s">
        <v>537</v>
      </c>
      <c r="B506">
        <v>959117</v>
      </c>
      <c r="C506">
        <v>383646.8</v>
      </c>
      <c r="D506">
        <v>191823.4</v>
      </c>
      <c r="E506">
        <v>241697.48399999979</v>
      </c>
      <c r="F506">
        <v>95911.700000000012</v>
      </c>
      <c r="G506">
        <v>913079.38399999985</v>
      </c>
    </row>
    <row r="507" spans="1:7" x14ac:dyDescent="0.35">
      <c r="A507" t="s">
        <v>538</v>
      </c>
      <c r="B507">
        <v>828214.75</v>
      </c>
      <c r="C507">
        <v>331285.90000000002</v>
      </c>
      <c r="D507">
        <v>165642.95000000001</v>
      </c>
      <c r="E507">
        <v>208710.117</v>
      </c>
      <c r="F507">
        <v>82821.475000000006</v>
      </c>
      <c r="G507">
        <v>788460.44199999992</v>
      </c>
    </row>
    <row r="508" spans="1:7" x14ac:dyDescent="0.35">
      <c r="A508" t="s">
        <v>539</v>
      </c>
      <c r="B508">
        <v>865754</v>
      </c>
      <c r="C508">
        <v>346301.6</v>
      </c>
      <c r="D508">
        <v>173150.8</v>
      </c>
      <c r="E508">
        <v>218170.00799999991</v>
      </c>
      <c r="F508">
        <v>86575.400000000009</v>
      </c>
      <c r="G508">
        <v>824197.80799999996</v>
      </c>
    </row>
    <row r="509" spans="1:7" x14ac:dyDescent="0.35">
      <c r="A509" t="s">
        <v>540</v>
      </c>
      <c r="B509">
        <v>1031083.45</v>
      </c>
      <c r="C509">
        <v>412433.38</v>
      </c>
      <c r="D509">
        <v>206216.69</v>
      </c>
      <c r="E509">
        <v>259833.02939999991</v>
      </c>
      <c r="F509">
        <v>103108.345</v>
      </c>
      <c r="G509">
        <v>981591.44439999992</v>
      </c>
    </row>
    <row r="510" spans="1:7" x14ac:dyDescent="0.35">
      <c r="A510" t="s">
        <v>541</v>
      </c>
      <c r="B510">
        <v>574649</v>
      </c>
      <c r="C510">
        <v>229859.6</v>
      </c>
      <c r="D510">
        <v>114929.8</v>
      </c>
      <c r="E510">
        <v>144811.54800000001</v>
      </c>
      <c r="F510">
        <v>57464.9</v>
      </c>
      <c r="G510">
        <v>547065.848</v>
      </c>
    </row>
    <row r="511" spans="1:7" x14ac:dyDescent="0.35">
      <c r="A511" t="s">
        <v>542</v>
      </c>
      <c r="B511">
        <v>526858</v>
      </c>
      <c r="C511">
        <v>210743.2</v>
      </c>
      <c r="D511">
        <v>105371.6</v>
      </c>
      <c r="E511">
        <v>132768.21599999999</v>
      </c>
      <c r="F511">
        <v>52685.8</v>
      </c>
      <c r="G511">
        <v>501568.81599999999</v>
      </c>
    </row>
    <row r="512" spans="1:7" x14ac:dyDescent="0.35">
      <c r="A512" t="s">
        <v>543</v>
      </c>
      <c r="B512">
        <v>769951.25</v>
      </c>
      <c r="C512">
        <v>307980.5</v>
      </c>
      <c r="D512">
        <v>153990.25</v>
      </c>
      <c r="E512">
        <v>194027.715</v>
      </c>
      <c r="F512">
        <v>76995.125</v>
      </c>
      <c r="G512">
        <v>732993.59</v>
      </c>
    </row>
    <row r="513" spans="1:7" x14ac:dyDescent="0.35">
      <c r="A513" t="s">
        <v>544</v>
      </c>
      <c r="B513">
        <v>580863</v>
      </c>
      <c r="C513">
        <v>232345.2</v>
      </c>
      <c r="D513">
        <v>116172.6</v>
      </c>
      <c r="E513">
        <v>146377.476</v>
      </c>
      <c r="F513">
        <v>58086.3</v>
      </c>
      <c r="G513">
        <v>552981.576</v>
      </c>
    </row>
    <row r="514" spans="1:7" x14ac:dyDescent="0.35">
      <c r="A514" t="s">
        <v>545</v>
      </c>
      <c r="B514">
        <v>921338.5</v>
      </c>
      <c r="C514">
        <v>368535.4</v>
      </c>
      <c r="D514">
        <v>184267.7</v>
      </c>
      <c r="E514">
        <v>232177.30199999991</v>
      </c>
      <c r="F514">
        <v>92133.85</v>
      </c>
      <c r="G514">
        <v>877114.25199999998</v>
      </c>
    </row>
    <row r="515" spans="1:7" x14ac:dyDescent="0.35">
      <c r="A515" t="s">
        <v>546</v>
      </c>
      <c r="B515">
        <v>811237.29999999993</v>
      </c>
      <c r="C515">
        <v>324494.92</v>
      </c>
      <c r="D515">
        <v>162247.46</v>
      </c>
      <c r="E515">
        <v>204431.79959999991</v>
      </c>
      <c r="F515">
        <v>81123.73</v>
      </c>
      <c r="G515">
        <v>772297.9095999999</v>
      </c>
    </row>
    <row r="516" spans="1:7" x14ac:dyDescent="0.35">
      <c r="A516" t="s">
        <v>547</v>
      </c>
      <c r="B516">
        <v>1027705</v>
      </c>
      <c r="C516">
        <v>411082</v>
      </c>
      <c r="D516">
        <v>205541</v>
      </c>
      <c r="E516">
        <v>258981.66</v>
      </c>
      <c r="F516">
        <v>102770.5</v>
      </c>
      <c r="G516">
        <v>978375.16</v>
      </c>
    </row>
    <row r="517" spans="1:7" x14ac:dyDescent="0.35">
      <c r="A517" t="s">
        <v>548</v>
      </c>
      <c r="B517">
        <v>877249.95</v>
      </c>
      <c r="C517">
        <v>350899.98</v>
      </c>
      <c r="D517">
        <v>175449.99</v>
      </c>
      <c r="E517">
        <v>221066.98740000001</v>
      </c>
      <c r="F517">
        <v>87724.994999999995</v>
      </c>
      <c r="G517">
        <v>835141.95239999995</v>
      </c>
    </row>
    <row r="518" spans="1:7" x14ac:dyDescent="0.35">
      <c r="A518" t="s">
        <v>549</v>
      </c>
      <c r="B518">
        <v>1451188</v>
      </c>
      <c r="C518">
        <v>580475.20000000007</v>
      </c>
      <c r="D518">
        <v>290237.59999999998</v>
      </c>
      <c r="E518">
        <v>365699.37599999987</v>
      </c>
      <c r="F518">
        <v>145118.79999999999</v>
      </c>
      <c r="G518">
        <v>1381530.976</v>
      </c>
    </row>
    <row r="519" spans="1:7" x14ac:dyDescent="0.35">
      <c r="A519" t="s">
        <v>550</v>
      </c>
      <c r="B519">
        <v>1238555</v>
      </c>
      <c r="C519">
        <v>495422</v>
      </c>
      <c r="D519">
        <v>247711</v>
      </c>
      <c r="E519">
        <v>312115.86</v>
      </c>
      <c r="F519">
        <v>123855.5</v>
      </c>
      <c r="G519">
        <v>1179104.3600000001</v>
      </c>
    </row>
    <row r="520" spans="1:7" x14ac:dyDescent="0.35">
      <c r="A520" t="s">
        <v>551</v>
      </c>
      <c r="B520">
        <v>825272.6</v>
      </c>
      <c r="C520">
        <v>330109.03999999998</v>
      </c>
      <c r="D520">
        <v>165054.51999999999</v>
      </c>
      <c r="E520">
        <v>207968.69519999999</v>
      </c>
      <c r="F520">
        <v>82527.260000000009</v>
      </c>
      <c r="G520">
        <v>785659.51520000002</v>
      </c>
    </row>
    <row r="521" spans="1:7" x14ac:dyDescent="0.35">
      <c r="A521" t="s">
        <v>552</v>
      </c>
      <c r="B521">
        <v>1084431.6499999999</v>
      </c>
      <c r="C521">
        <v>433772.66</v>
      </c>
      <c r="D521">
        <v>216886.33</v>
      </c>
      <c r="E521">
        <v>273276.77579999989</v>
      </c>
      <c r="F521">
        <v>108443.16499999999</v>
      </c>
      <c r="G521">
        <v>1032378.9308</v>
      </c>
    </row>
    <row r="522" spans="1:7" x14ac:dyDescent="0.35">
      <c r="A522" t="s">
        <v>553</v>
      </c>
      <c r="B522">
        <v>886440.25</v>
      </c>
      <c r="C522">
        <v>354576.1</v>
      </c>
      <c r="D522">
        <v>177288.05</v>
      </c>
      <c r="E522">
        <v>223382.943</v>
      </c>
      <c r="F522">
        <v>88644.025000000009</v>
      </c>
      <c r="G522">
        <v>843891.11800000002</v>
      </c>
    </row>
    <row r="523" spans="1:7" x14ac:dyDescent="0.35">
      <c r="A523" t="s">
        <v>554</v>
      </c>
      <c r="B523">
        <v>624289</v>
      </c>
      <c r="C523">
        <v>249715.6</v>
      </c>
      <c r="D523">
        <v>124857.8</v>
      </c>
      <c r="E523">
        <v>157320.82800000001</v>
      </c>
      <c r="F523">
        <v>62428.9</v>
      </c>
      <c r="G523">
        <v>594323.12800000003</v>
      </c>
    </row>
    <row r="524" spans="1:7" x14ac:dyDescent="0.35">
      <c r="A524" t="s">
        <v>555</v>
      </c>
      <c r="B524">
        <v>970699</v>
      </c>
      <c r="C524">
        <v>388279.6</v>
      </c>
      <c r="D524">
        <v>194139.8</v>
      </c>
      <c r="E524">
        <v>244616.1479999999</v>
      </c>
      <c r="F524">
        <v>97069.900000000009</v>
      </c>
      <c r="G524">
        <v>924105.44799999997</v>
      </c>
    </row>
    <row r="525" spans="1:7" x14ac:dyDescent="0.35">
      <c r="A525" t="s">
        <v>556</v>
      </c>
      <c r="B525">
        <v>683630</v>
      </c>
      <c r="C525">
        <v>273452</v>
      </c>
      <c r="D525">
        <v>136726</v>
      </c>
      <c r="E525">
        <v>172274.76</v>
      </c>
      <c r="F525">
        <v>68363</v>
      </c>
      <c r="G525">
        <v>650815.76</v>
      </c>
    </row>
    <row r="526" spans="1:7" x14ac:dyDescent="0.35">
      <c r="A526" t="s">
        <v>557</v>
      </c>
      <c r="B526">
        <v>754875.7</v>
      </c>
      <c r="C526">
        <v>301950.28000000003</v>
      </c>
      <c r="D526">
        <v>150975.14000000001</v>
      </c>
      <c r="E526">
        <v>190228.67640000011</v>
      </c>
      <c r="F526">
        <v>75487.569999999992</v>
      </c>
      <c r="G526">
        <v>718641.66639999999</v>
      </c>
    </row>
    <row r="527" spans="1:7" x14ac:dyDescent="0.35">
      <c r="A527" t="s">
        <v>558</v>
      </c>
      <c r="B527">
        <v>364757.25</v>
      </c>
      <c r="C527">
        <v>145902.9</v>
      </c>
      <c r="D527">
        <v>72951.45</v>
      </c>
      <c r="E527">
        <v>91918.827000000048</v>
      </c>
      <c r="F527">
        <v>36475.724999999999</v>
      </c>
      <c r="G527">
        <v>347248.902</v>
      </c>
    </row>
    <row r="528" spans="1:7" x14ac:dyDescent="0.35">
      <c r="A528" t="s">
        <v>559</v>
      </c>
      <c r="B528">
        <v>646165.29999999993</v>
      </c>
      <c r="C528">
        <v>258466.12</v>
      </c>
      <c r="D528">
        <v>129233.06</v>
      </c>
      <c r="E528">
        <v>162833.65559999991</v>
      </c>
      <c r="F528">
        <v>64616.53</v>
      </c>
      <c r="G528">
        <v>615149.3655999999</v>
      </c>
    </row>
    <row r="529" spans="1:7" x14ac:dyDescent="0.35">
      <c r="A529" t="s">
        <v>560</v>
      </c>
      <c r="B529">
        <v>1170799</v>
      </c>
      <c r="C529">
        <v>468319.6</v>
      </c>
      <c r="D529">
        <v>234159.8</v>
      </c>
      <c r="E529">
        <v>295041.348</v>
      </c>
      <c r="F529">
        <v>117079.9</v>
      </c>
      <c r="G529">
        <v>1114600.648</v>
      </c>
    </row>
    <row r="530" spans="1:7" x14ac:dyDescent="0.35">
      <c r="A530" t="s">
        <v>561</v>
      </c>
      <c r="B530">
        <v>664667</v>
      </c>
      <c r="C530">
        <v>265866.8</v>
      </c>
      <c r="D530">
        <v>132933.4</v>
      </c>
      <c r="E530">
        <v>167496.084</v>
      </c>
      <c r="F530">
        <v>66466.7</v>
      </c>
      <c r="G530">
        <v>632762.98399999994</v>
      </c>
    </row>
    <row r="531" spans="1:7" x14ac:dyDescent="0.35">
      <c r="A531" t="s">
        <v>562</v>
      </c>
      <c r="B531">
        <v>1042389</v>
      </c>
      <c r="C531">
        <v>416955.6</v>
      </c>
      <c r="D531">
        <v>208477.8</v>
      </c>
      <c r="E531">
        <v>262682.02799999987</v>
      </c>
      <c r="F531">
        <v>104238.9</v>
      </c>
      <c r="G531">
        <v>992354.32799999998</v>
      </c>
    </row>
    <row r="532" spans="1:7" x14ac:dyDescent="0.35">
      <c r="A532" t="s">
        <v>563</v>
      </c>
      <c r="B532">
        <v>829512.45</v>
      </c>
      <c r="C532">
        <v>331804.98</v>
      </c>
      <c r="D532">
        <v>165902.49</v>
      </c>
      <c r="E532">
        <v>209037.13740000001</v>
      </c>
      <c r="F532">
        <v>82951.244999999995</v>
      </c>
      <c r="G532">
        <v>789695.85239999997</v>
      </c>
    </row>
    <row r="533" spans="1:7" x14ac:dyDescent="0.35">
      <c r="A533" t="s">
        <v>564</v>
      </c>
      <c r="B533">
        <v>677561</v>
      </c>
      <c r="C533">
        <v>271024.40000000002</v>
      </c>
      <c r="D533">
        <v>135512.20000000001</v>
      </c>
      <c r="E533">
        <v>170745.37199999989</v>
      </c>
      <c r="F533">
        <v>67756.100000000006</v>
      </c>
      <c r="G533">
        <v>645038.07199999993</v>
      </c>
    </row>
    <row r="534" spans="1:7" x14ac:dyDescent="0.35">
      <c r="A534" t="s">
        <v>565</v>
      </c>
      <c r="B534">
        <v>835841</v>
      </c>
      <c r="C534">
        <v>334336.40000000002</v>
      </c>
      <c r="D534">
        <v>167168.20000000001</v>
      </c>
      <c r="E534">
        <v>210631.93199999991</v>
      </c>
      <c r="F534">
        <v>83584.100000000006</v>
      </c>
      <c r="G534">
        <v>795720.63199999987</v>
      </c>
    </row>
    <row r="535" spans="1:7" x14ac:dyDescent="0.35">
      <c r="A535" t="s">
        <v>566</v>
      </c>
      <c r="B535">
        <v>990324.64999999991</v>
      </c>
      <c r="C535">
        <v>396129.86</v>
      </c>
      <c r="D535">
        <v>198064.93</v>
      </c>
      <c r="E535">
        <v>249561.81179999991</v>
      </c>
      <c r="F535">
        <v>99032.464999999997</v>
      </c>
      <c r="G535">
        <v>942789.06679999991</v>
      </c>
    </row>
    <row r="536" spans="1:7" x14ac:dyDescent="0.35">
      <c r="A536" t="s">
        <v>567</v>
      </c>
      <c r="B536">
        <v>758514.2</v>
      </c>
      <c r="C536">
        <v>303405.68</v>
      </c>
      <c r="D536">
        <v>151702.84</v>
      </c>
      <c r="E536">
        <v>191145.57839999991</v>
      </c>
      <c r="F536">
        <v>75851.42</v>
      </c>
      <c r="G536">
        <v>722105.51839999994</v>
      </c>
    </row>
    <row r="537" spans="1:7" x14ac:dyDescent="0.35">
      <c r="A537" t="s">
        <v>568</v>
      </c>
      <c r="B537">
        <v>835967.7</v>
      </c>
      <c r="C537">
        <v>334387.08</v>
      </c>
      <c r="D537">
        <v>167193.54</v>
      </c>
      <c r="E537">
        <v>210663.86039999989</v>
      </c>
      <c r="F537">
        <v>83596.77</v>
      </c>
      <c r="G537">
        <v>795841.2503999999</v>
      </c>
    </row>
    <row r="538" spans="1:7" x14ac:dyDescent="0.35">
      <c r="A538" t="s">
        <v>569</v>
      </c>
      <c r="B538">
        <v>1093872</v>
      </c>
      <c r="C538">
        <v>437548.79999999999</v>
      </c>
      <c r="D538">
        <v>218774.39999999999</v>
      </c>
      <c r="E538">
        <v>275655.74399999977</v>
      </c>
      <c r="F538">
        <v>109387.2</v>
      </c>
      <c r="G538">
        <v>1041366.144</v>
      </c>
    </row>
    <row r="539" spans="1:7" x14ac:dyDescent="0.35">
      <c r="A539" t="s">
        <v>570</v>
      </c>
      <c r="B539">
        <v>1116014</v>
      </c>
      <c r="C539">
        <v>446405.6</v>
      </c>
      <c r="D539">
        <v>223202.8</v>
      </c>
      <c r="E539">
        <v>281235.52799999987</v>
      </c>
      <c r="F539">
        <v>111601.4</v>
      </c>
      <c r="G539">
        <v>1062445.328</v>
      </c>
    </row>
    <row r="540" spans="1:7" x14ac:dyDescent="0.35">
      <c r="A540" t="s">
        <v>571</v>
      </c>
      <c r="B540">
        <v>1268619.55</v>
      </c>
      <c r="C540">
        <v>507447.82000000012</v>
      </c>
      <c r="D540">
        <v>253723.91</v>
      </c>
      <c r="E540">
        <v>319692.12660000002</v>
      </c>
      <c r="F540">
        <v>126861.955</v>
      </c>
      <c r="G540">
        <v>1207725.8115999999</v>
      </c>
    </row>
    <row r="541" spans="1:7" x14ac:dyDescent="0.35">
      <c r="A541" t="s">
        <v>572</v>
      </c>
      <c r="B541">
        <v>791183.75</v>
      </c>
      <c r="C541">
        <v>316473.5</v>
      </c>
      <c r="D541">
        <v>158236.75</v>
      </c>
      <c r="E541">
        <v>199378.30500000011</v>
      </c>
      <c r="F541">
        <v>79118.375</v>
      </c>
      <c r="G541">
        <v>753206.93</v>
      </c>
    </row>
    <row r="542" spans="1:7" x14ac:dyDescent="0.35">
      <c r="A542" t="s">
        <v>573</v>
      </c>
      <c r="B542">
        <v>439008.3</v>
      </c>
      <c r="C542">
        <v>175603.32</v>
      </c>
      <c r="D542">
        <v>87801.66</v>
      </c>
      <c r="E542">
        <v>110630.0916</v>
      </c>
      <c r="F542">
        <v>43900.83</v>
      </c>
      <c r="G542">
        <v>417935.90159999998</v>
      </c>
    </row>
    <row r="543" spans="1:7" x14ac:dyDescent="0.35">
      <c r="A543" t="s">
        <v>574</v>
      </c>
      <c r="B543">
        <v>1395211.8</v>
      </c>
      <c r="C543">
        <v>558084.72000000009</v>
      </c>
      <c r="D543">
        <v>279042.36</v>
      </c>
      <c r="E543">
        <v>351593.37359999988</v>
      </c>
      <c r="F543">
        <v>139521.18</v>
      </c>
      <c r="G543">
        <v>1328241.6336000001</v>
      </c>
    </row>
    <row r="544" spans="1:7" x14ac:dyDescent="0.35">
      <c r="A544" t="s">
        <v>575</v>
      </c>
      <c r="B544">
        <v>812707.89999999991</v>
      </c>
      <c r="C544">
        <v>325083.15999999997</v>
      </c>
      <c r="D544">
        <v>162541.57999999999</v>
      </c>
      <c r="E544">
        <v>204802.39079999991</v>
      </c>
      <c r="F544">
        <v>81270.789999999994</v>
      </c>
      <c r="G544">
        <v>773697.92079999996</v>
      </c>
    </row>
    <row r="545" spans="1:7" x14ac:dyDescent="0.35">
      <c r="A545" t="s">
        <v>576</v>
      </c>
      <c r="B545">
        <v>966668.7</v>
      </c>
      <c r="C545">
        <v>386667.48</v>
      </c>
      <c r="D545">
        <v>193333.74</v>
      </c>
      <c r="E545">
        <v>243600.51240000001</v>
      </c>
      <c r="F545">
        <v>96666.87</v>
      </c>
      <c r="G545">
        <v>920268.60239999997</v>
      </c>
    </row>
    <row r="546" spans="1:7" x14ac:dyDescent="0.35">
      <c r="A546" t="s">
        <v>577</v>
      </c>
      <c r="B546">
        <v>831205</v>
      </c>
      <c r="C546">
        <v>332482</v>
      </c>
      <c r="D546">
        <v>166241</v>
      </c>
      <c r="E546">
        <v>209463.66</v>
      </c>
      <c r="F546">
        <v>83120.5</v>
      </c>
      <c r="G546">
        <v>791307.16</v>
      </c>
    </row>
    <row r="547" spans="1:7" x14ac:dyDescent="0.35">
      <c r="A547" t="s">
        <v>578</v>
      </c>
      <c r="B547">
        <v>728730</v>
      </c>
      <c r="C547">
        <v>291492</v>
      </c>
      <c r="D547">
        <v>145746</v>
      </c>
      <c r="E547">
        <v>183639.96</v>
      </c>
      <c r="F547">
        <v>72873</v>
      </c>
      <c r="G547">
        <v>693750.96</v>
      </c>
    </row>
    <row r="548" spans="1:7" x14ac:dyDescent="0.35">
      <c r="A548" t="s">
        <v>579</v>
      </c>
      <c r="B548">
        <v>1142866</v>
      </c>
      <c r="C548">
        <v>457146.4</v>
      </c>
      <c r="D548">
        <v>228573.2</v>
      </c>
      <c r="E548">
        <v>288002.23200000002</v>
      </c>
      <c r="F548">
        <v>114286.6</v>
      </c>
      <c r="G548">
        <v>1088008.432</v>
      </c>
    </row>
    <row r="549" spans="1:7" x14ac:dyDescent="0.35">
      <c r="A549" t="s">
        <v>580</v>
      </c>
      <c r="B549">
        <v>889431</v>
      </c>
      <c r="C549">
        <v>355772.4</v>
      </c>
      <c r="D549">
        <v>177886.2</v>
      </c>
      <c r="E549">
        <v>224136.61199999999</v>
      </c>
      <c r="F549">
        <v>88943.1</v>
      </c>
      <c r="G549">
        <v>846738.31200000003</v>
      </c>
    </row>
    <row r="550" spans="1:7" x14ac:dyDescent="0.35">
      <c r="A550" t="s">
        <v>581</v>
      </c>
      <c r="B550">
        <v>654981</v>
      </c>
      <c r="C550">
        <v>261992.4</v>
      </c>
      <c r="D550">
        <v>130996.2</v>
      </c>
      <c r="E550">
        <v>165055.21199999991</v>
      </c>
      <c r="F550">
        <v>65498.100000000013</v>
      </c>
      <c r="G550">
        <v>623541.91199999989</v>
      </c>
    </row>
    <row r="551" spans="1:7" x14ac:dyDescent="0.35">
      <c r="A551" t="s">
        <v>582</v>
      </c>
      <c r="B551">
        <v>865992</v>
      </c>
      <c r="C551">
        <v>346396.8</v>
      </c>
      <c r="D551">
        <v>173198.4</v>
      </c>
      <c r="E551">
        <v>218229.98399999979</v>
      </c>
      <c r="F551">
        <v>86599.200000000012</v>
      </c>
      <c r="G551">
        <v>824424.38399999985</v>
      </c>
    </row>
    <row r="552" spans="1:7" x14ac:dyDescent="0.35">
      <c r="A552" t="s">
        <v>583</v>
      </c>
      <c r="B552">
        <v>809171.04999999993</v>
      </c>
      <c r="C552">
        <v>323668.42</v>
      </c>
      <c r="D552">
        <v>161834.21</v>
      </c>
      <c r="E552">
        <v>203911.10459999999</v>
      </c>
      <c r="F552">
        <v>80917.104999999996</v>
      </c>
      <c r="G552">
        <v>770330.83959999995</v>
      </c>
    </row>
    <row r="553" spans="1:7" x14ac:dyDescent="0.35">
      <c r="A553" t="s">
        <v>584</v>
      </c>
      <c r="B553">
        <v>848906</v>
      </c>
      <c r="C553">
        <v>339562.4</v>
      </c>
      <c r="D553">
        <v>169781.2</v>
      </c>
      <c r="E553">
        <v>213924.31199999989</v>
      </c>
      <c r="F553">
        <v>84890.6</v>
      </c>
      <c r="G553">
        <v>808158.51199999999</v>
      </c>
    </row>
    <row r="554" spans="1:7" x14ac:dyDescent="0.35">
      <c r="A554" t="s">
        <v>585</v>
      </c>
      <c r="B554">
        <v>551758</v>
      </c>
      <c r="C554">
        <v>220703.2</v>
      </c>
      <c r="D554">
        <v>110351.6</v>
      </c>
      <c r="E554">
        <v>139043.01599999989</v>
      </c>
      <c r="F554">
        <v>55175.8</v>
      </c>
      <c r="G554">
        <v>525273.61600000004</v>
      </c>
    </row>
    <row r="555" spans="1:7" x14ac:dyDescent="0.35">
      <c r="A555" t="s">
        <v>586</v>
      </c>
      <c r="B555">
        <v>805129.75</v>
      </c>
      <c r="C555">
        <v>322051.90000000002</v>
      </c>
      <c r="D555">
        <v>161025.95000000001</v>
      </c>
      <c r="E555">
        <v>202892.6969999999</v>
      </c>
      <c r="F555">
        <v>80512.975000000006</v>
      </c>
      <c r="G555">
        <v>766483.522</v>
      </c>
    </row>
    <row r="556" spans="1:7" x14ac:dyDescent="0.35">
      <c r="A556" t="s">
        <v>587</v>
      </c>
      <c r="B556">
        <v>1026566</v>
      </c>
      <c r="C556">
        <v>410626.4</v>
      </c>
      <c r="D556">
        <v>205313.2</v>
      </c>
      <c r="E556">
        <v>258694.63200000001</v>
      </c>
      <c r="F556">
        <v>102656.6</v>
      </c>
      <c r="G556">
        <v>977290.83200000005</v>
      </c>
    </row>
    <row r="557" spans="1:7" x14ac:dyDescent="0.35">
      <c r="A557" t="s">
        <v>588</v>
      </c>
      <c r="B557">
        <v>716643</v>
      </c>
      <c r="C557">
        <v>286657.2</v>
      </c>
      <c r="D557">
        <v>143328.6</v>
      </c>
      <c r="E557">
        <v>180594.03599999999</v>
      </c>
      <c r="F557">
        <v>71664.3</v>
      </c>
      <c r="G557">
        <v>682244.13600000006</v>
      </c>
    </row>
    <row r="558" spans="1:7" x14ac:dyDescent="0.35">
      <c r="A558" t="s">
        <v>589</v>
      </c>
      <c r="B558">
        <v>902220</v>
      </c>
      <c r="C558">
        <v>360888</v>
      </c>
      <c r="D558">
        <v>180444</v>
      </c>
      <c r="E558">
        <v>227359.43999999989</v>
      </c>
      <c r="F558">
        <v>90222</v>
      </c>
      <c r="G558">
        <v>858913.44</v>
      </c>
    </row>
    <row r="559" spans="1:7" x14ac:dyDescent="0.35">
      <c r="A559" t="s">
        <v>590</v>
      </c>
      <c r="B559">
        <v>727216.45</v>
      </c>
      <c r="C559">
        <v>290886.58</v>
      </c>
      <c r="D559">
        <v>145443.29</v>
      </c>
      <c r="E559">
        <v>183258.54539999989</v>
      </c>
      <c r="F559">
        <v>72721.645000000004</v>
      </c>
      <c r="G559">
        <v>692310.06039999996</v>
      </c>
    </row>
    <row r="560" spans="1:7" x14ac:dyDescent="0.35">
      <c r="A560" t="s">
        <v>591</v>
      </c>
      <c r="B560">
        <v>1260778</v>
      </c>
      <c r="C560">
        <v>504311.2</v>
      </c>
      <c r="D560">
        <v>252155.6</v>
      </c>
      <c r="E560">
        <v>317716.05599999992</v>
      </c>
      <c r="F560">
        <v>126077.8</v>
      </c>
      <c r="G560">
        <v>1200260.656</v>
      </c>
    </row>
    <row r="561" spans="1:7" x14ac:dyDescent="0.35">
      <c r="A561" t="s">
        <v>592</v>
      </c>
      <c r="B561">
        <v>919042</v>
      </c>
      <c r="C561">
        <v>367616.8</v>
      </c>
      <c r="D561">
        <v>183808.4</v>
      </c>
      <c r="E561">
        <v>231598.5839999998</v>
      </c>
      <c r="F561">
        <v>91904.200000000012</v>
      </c>
      <c r="G561">
        <v>874927.98399999994</v>
      </c>
    </row>
    <row r="562" spans="1:7" x14ac:dyDescent="0.35">
      <c r="A562" t="s">
        <v>593</v>
      </c>
      <c r="B562">
        <v>931386</v>
      </c>
      <c r="C562">
        <v>372554.4</v>
      </c>
      <c r="D562">
        <v>186277.2</v>
      </c>
      <c r="E562">
        <v>234709.27199999991</v>
      </c>
      <c r="F562">
        <v>93138.6</v>
      </c>
      <c r="G562">
        <v>886679.47199999995</v>
      </c>
    </row>
    <row r="563" spans="1:7" x14ac:dyDescent="0.35">
      <c r="A563" t="s">
        <v>594</v>
      </c>
      <c r="B563">
        <v>890245.95</v>
      </c>
      <c r="C563">
        <v>356098.38</v>
      </c>
      <c r="D563">
        <v>178049.19</v>
      </c>
      <c r="E563">
        <v>224341.97940000001</v>
      </c>
      <c r="F563">
        <v>89024.595000000001</v>
      </c>
      <c r="G563">
        <v>847514.14439999999</v>
      </c>
    </row>
    <row r="564" spans="1:7" x14ac:dyDescent="0.35">
      <c r="A564" t="s">
        <v>595</v>
      </c>
      <c r="B564">
        <v>398946</v>
      </c>
      <c r="C564">
        <v>159578.4</v>
      </c>
      <c r="D564">
        <v>79789.200000000012</v>
      </c>
      <c r="E564">
        <v>100534.39199999991</v>
      </c>
      <c r="F564">
        <v>39894.600000000013</v>
      </c>
      <c r="G564">
        <v>379796.59199999989</v>
      </c>
    </row>
    <row r="565" spans="1:7" x14ac:dyDescent="0.35">
      <c r="A565" t="s">
        <v>596</v>
      </c>
      <c r="B565">
        <v>572680</v>
      </c>
      <c r="C565">
        <v>229072</v>
      </c>
      <c r="D565">
        <v>114536</v>
      </c>
      <c r="E565">
        <v>144315.35999999999</v>
      </c>
      <c r="F565">
        <v>57268</v>
      </c>
      <c r="G565">
        <v>545191.36</v>
      </c>
    </row>
    <row r="566" spans="1:7" x14ac:dyDescent="0.35">
      <c r="A566" t="s">
        <v>597</v>
      </c>
      <c r="B566">
        <v>950794.2</v>
      </c>
      <c r="C566">
        <v>380317.68</v>
      </c>
      <c r="D566">
        <v>190158.84</v>
      </c>
      <c r="E566">
        <v>239600.13839999991</v>
      </c>
      <c r="F566">
        <v>95079.42</v>
      </c>
      <c r="G566">
        <v>905156.0784</v>
      </c>
    </row>
    <row r="567" spans="1:7" x14ac:dyDescent="0.35">
      <c r="A567" t="s">
        <v>598</v>
      </c>
      <c r="B567">
        <v>1043834</v>
      </c>
      <c r="C567">
        <v>417533.6</v>
      </c>
      <c r="D567">
        <v>208766.8</v>
      </c>
      <c r="E567">
        <v>263046.16799999989</v>
      </c>
      <c r="F567">
        <v>104383.4</v>
      </c>
      <c r="G567">
        <v>993729.96799999999</v>
      </c>
    </row>
    <row r="568" spans="1:7" x14ac:dyDescent="0.35">
      <c r="A568" t="s">
        <v>599</v>
      </c>
      <c r="B568">
        <v>789554</v>
      </c>
      <c r="C568">
        <v>315821.59999999998</v>
      </c>
      <c r="D568">
        <v>157910.79999999999</v>
      </c>
      <c r="E568">
        <v>198967.60800000001</v>
      </c>
      <c r="F568">
        <v>78955.400000000009</v>
      </c>
      <c r="G568">
        <v>751655.40800000005</v>
      </c>
    </row>
    <row r="569" spans="1:7" x14ac:dyDescent="0.35">
      <c r="A569" t="s">
        <v>600</v>
      </c>
      <c r="B569">
        <v>1216919</v>
      </c>
      <c r="C569">
        <v>486767.6</v>
      </c>
      <c r="D569">
        <v>243383.8</v>
      </c>
      <c r="E569">
        <v>306663.58799999999</v>
      </c>
      <c r="F569">
        <v>121691.9</v>
      </c>
      <c r="G569">
        <v>1158506.888</v>
      </c>
    </row>
    <row r="570" spans="1:7" x14ac:dyDescent="0.35">
      <c r="A570" t="s">
        <v>601</v>
      </c>
      <c r="B570">
        <v>1281941.3999999999</v>
      </c>
      <c r="C570">
        <v>512776.56</v>
      </c>
      <c r="D570">
        <v>256388.28</v>
      </c>
      <c r="E570">
        <v>323049.23279999988</v>
      </c>
      <c r="F570">
        <v>128194.14</v>
      </c>
      <c r="G570">
        <v>1220408.2128000001</v>
      </c>
    </row>
    <row r="571" spans="1:7" x14ac:dyDescent="0.35">
      <c r="A571" t="s">
        <v>602</v>
      </c>
      <c r="B571">
        <v>1347065.8</v>
      </c>
      <c r="C571">
        <v>538826.32000000007</v>
      </c>
      <c r="D571">
        <v>269413.15999999997</v>
      </c>
      <c r="E571">
        <v>339460.58159999998</v>
      </c>
      <c r="F571">
        <v>134706.57999999999</v>
      </c>
      <c r="G571">
        <v>1282406.6416</v>
      </c>
    </row>
    <row r="572" spans="1:7" x14ac:dyDescent="0.35">
      <c r="A572" t="s">
        <v>603</v>
      </c>
      <c r="B572">
        <v>670872.9</v>
      </c>
      <c r="C572">
        <v>268349.15999999997</v>
      </c>
      <c r="D572">
        <v>134174.57999999999</v>
      </c>
      <c r="E572">
        <v>169059.97080000001</v>
      </c>
      <c r="F572">
        <v>67087.290000000008</v>
      </c>
      <c r="G572">
        <v>638671.00080000004</v>
      </c>
    </row>
    <row r="573" spans="1:7" x14ac:dyDescent="0.35">
      <c r="A573" t="s">
        <v>604</v>
      </c>
      <c r="B573">
        <v>642471</v>
      </c>
      <c r="C573">
        <v>256988.4</v>
      </c>
      <c r="D573">
        <v>128494.2</v>
      </c>
      <c r="E573">
        <v>161902.69199999989</v>
      </c>
      <c r="F573">
        <v>64247.100000000013</v>
      </c>
      <c r="G573">
        <v>611632.39199999988</v>
      </c>
    </row>
    <row r="574" spans="1:7" x14ac:dyDescent="0.35">
      <c r="A574" t="s">
        <v>605</v>
      </c>
      <c r="B574">
        <v>450433</v>
      </c>
      <c r="C574">
        <v>180173.2</v>
      </c>
      <c r="D574">
        <v>90086.6</v>
      </c>
      <c r="E574">
        <v>113509.11599999999</v>
      </c>
      <c r="F574">
        <v>45043.3</v>
      </c>
      <c r="G574">
        <v>428812.21600000001</v>
      </c>
    </row>
    <row r="575" spans="1:7" x14ac:dyDescent="0.35">
      <c r="A575" t="s">
        <v>606</v>
      </c>
      <c r="B575">
        <v>874332</v>
      </c>
      <c r="C575">
        <v>349732.8</v>
      </c>
      <c r="D575">
        <v>174866.4</v>
      </c>
      <c r="E575">
        <v>220331.6639999999</v>
      </c>
      <c r="F575">
        <v>87433.200000000012</v>
      </c>
      <c r="G575">
        <v>832364.06400000001</v>
      </c>
    </row>
    <row r="576" spans="1:7" x14ac:dyDescent="0.35">
      <c r="A576" t="s">
        <v>607</v>
      </c>
      <c r="B576">
        <v>831084</v>
      </c>
      <c r="C576">
        <v>332433.59999999998</v>
      </c>
      <c r="D576">
        <v>166216.79999999999</v>
      </c>
      <c r="E576">
        <v>209433.16799999989</v>
      </c>
      <c r="F576">
        <v>83108.400000000009</v>
      </c>
      <c r="G576">
        <v>791191.96799999999</v>
      </c>
    </row>
    <row r="577" spans="1:7" x14ac:dyDescent="0.35">
      <c r="A577" t="s">
        <v>608</v>
      </c>
      <c r="B577">
        <v>1052256.1000000001</v>
      </c>
      <c r="C577">
        <v>420902.44000000012</v>
      </c>
      <c r="D577">
        <v>210451.22</v>
      </c>
      <c r="E577">
        <v>265168.5371999999</v>
      </c>
      <c r="F577">
        <v>105225.61</v>
      </c>
      <c r="G577">
        <v>1001747.8072</v>
      </c>
    </row>
    <row r="578" spans="1:7" x14ac:dyDescent="0.35">
      <c r="A578" t="s">
        <v>609</v>
      </c>
      <c r="B578">
        <v>513014</v>
      </c>
      <c r="C578">
        <v>205205.6</v>
      </c>
      <c r="D578">
        <v>102602.8</v>
      </c>
      <c r="E578">
        <v>129279.5279999999</v>
      </c>
      <c r="F578">
        <v>51301.4</v>
      </c>
      <c r="G578">
        <v>488389.32799999998</v>
      </c>
    </row>
    <row r="579" spans="1:7" x14ac:dyDescent="0.35">
      <c r="A579" t="s">
        <v>610</v>
      </c>
      <c r="B579">
        <v>733002.9</v>
      </c>
      <c r="C579">
        <v>293201.15999999997</v>
      </c>
      <c r="D579">
        <v>146600.57999999999</v>
      </c>
      <c r="E579">
        <v>184716.73079999999</v>
      </c>
      <c r="F579">
        <v>73300.290000000008</v>
      </c>
      <c r="G579">
        <v>697818.76080000005</v>
      </c>
    </row>
    <row r="580" spans="1:7" x14ac:dyDescent="0.35">
      <c r="A580" t="s">
        <v>611</v>
      </c>
      <c r="B580">
        <v>619608.04999999993</v>
      </c>
      <c r="C580">
        <v>247843.22</v>
      </c>
      <c r="D580">
        <v>123921.61</v>
      </c>
      <c r="E580">
        <v>156141.2286</v>
      </c>
      <c r="F580">
        <v>61960.804999999993</v>
      </c>
      <c r="G580">
        <v>589866.86359999981</v>
      </c>
    </row>
    <row r="581" spans="1:7" x14ac:dyDescent="0.35">
      <c r="A581" t="s">
        <v>612</v>
      </c>
      <c r="B581">
        <v>937014</v>
      </c>
      <c r="C581">
        <v>374805.6</v>
      </c>
      <c r="D581">
        <v>187402.8</v>
      </c>
      <c r="E581">
        <v>236127.5279999999</v>
      </c>
      <c r="F581">
        <v>93701.400000000009</v>
      </c>
      <c r="G581">
        <v>892037.32799999998</v>
      </c>
    </row>
    <row r="582" spans="1:7" x14ac:dyDescent="0.35">
      <c r="A582" t="s">
        <v>613</v>
      </c>
      <c r="B582">
        <v>1166345.3999999999</v>
      </c>
      <c r="C582">
        <v>466538.16</v>
      </c>
      <c r="D582">
        <v>233269.08</v>
      </c>
      <c r="E582">
        <v>293919.04079999978</v>
      </c>
      <c r="F582">
        <v>116634.54</v>
      </c>
      <c r="G582">
        <v>1110360.8208000001</v>
      </c>
    </row>
    <row r="583" spans="1:7" x14ac:dyDescent="0.35">
      <c r="A583" t="s">
        <v>614</v>
      </c>
      <c r="B583">
        <v>779317</v>
      </c>
      <c r="C583">
        <v>311726.8</v>
      </c>
      <c r="D583">
        <v>155863.4</v>
      </c>
      <c r="E583">
        <v>196387.88400000011</v>
      </c>
      <c r="F583">
        <v>77931.7</v>
      </c>
      <c r="G583">
        <v>741909.78399999999</v>
      </c>
    </row>
    <row r="584" spans="1:7" x14ac:dyDescent="0.35">
      <c r="A584" t="s">
        <v>615</v>
      </c>
      <c r="B584">
        <v>924075</v>
      </c>
      <c r="C584">
        <v>369630</v>
      </c>
      <c r="D584">
        <v>184815</v>
      </c>
      <c r="E584">
        <v>232866.9</v>
      </c>
      <c r="F584">
        <v>92407.5</v>
      </c>
      <c r="G584">
        <v>879719.4</v>
      </c>
    </row>
    <row r="585" spans="1:7" x14ac:dyDescent="0.35">
      <c r="A585" t="s">
        <v>616</v>
      </c>
      <c r="B585">
        <v>704008</v>
      </c>
      <c r="C585">
        <v>281603.20000000001</v>
      </c>
      <c r="D585">
        <v>140801.60000000001</v>
      </c>
      <c r="E585">
        <v>177410.01599999989</v>
      </c>
      <c r="F585">
        <v>70400.800000000003</v>
      </c>
      <c r="G585">
        <v>670215.61600000004</v>
      </c>
    </row>
    <row r="586" spans="1:7" x14ac:dyDescent="0.35">
      <c r="A586" t="s">
        <v>617</v>
      </c>
      <c r="B586">
        <v>783770</v>
      </c>
      <c r="C586">
        <v>313508</v>
      </c>
      <c r="D586">
        <v>156754</v>
      </c>
      <c r="E586">
        <v>197510.04</v>
      </c>
      <c r="F586">
        <v>78377</v>
      </c>
      <c r="G586">
        <v>746149.04</v>
      </c>
    </row>
    <row r="587" spans="1:7" x14ac:dyDescent="0.35">
      <c r="A587" t="s">
        <v>618</v>
      </c>
      <c r="B587">
        <v>949756</v>
      </c>
      <c r="C587">
        <v>379902.4</v>
      </c>
      <c r="D587">
        <v>189951.2</v>
      </c>
      <c r="E587">
        <v>239338.5119999999</v>
      </c>
      <c r="F587">
        <v>94975.6</v>
      </c>
      <c r="G587">
        <v>904167.71199999994</v>
      </c>
    </row>
    <row r="588" spans="1:7" x14ac:dyDescent="0.35">
      <c r="A588" t="s">
        <v>619</v>
      </c>
      <c r="B588">
        <v>655514.25</v>
      </c>
      <c r="C588">
        <v>262205.7</v>
      </c>
      <c r="D588">
        <v>131102.85</v>
      </c>
      <c r="E588">
        <v>165189.59099999999</v>
      </c>
      <c r="F588">
        <v>65551.425000000003</v>
      </c>
      <c r="G588">
        <v>624049.56600000011</v>
      </c>
    </row>
    <row r="589" spans="1:7" x14ac:dyDescent="0.35">
      <c r="A589" t="s">
        <v>620</v>
      </c>
      <c r="B589">
        <v>495180</v>
      </c>
      <c r="C589">
        <v>198072</v>
      </c>
      <c r="D589">
        <v>99036</v>
      </c>
      <c r="E589">
        <v>124785.36</v>
      </c>
      <c r="F589">
        <v>49518</v>
      </c>
      <c r="G589">
        <v>471411.36</v>
      </c>
    </row>
    <row r="590" spans="1:7" x14ac:dyDescent="0.35">
      <c r="A590" t="s">
        <v>621</v>
      </c>
      <c r="B590">
        <v>1144302.55</v>
      </c>
      <c r="C590">
        <v>457721.02</v>
      </c>
      <c r="D590">
        <v>228860.51</v>
      </c>
      <c r="E590">
        <v>288364.2426</v>
      </c>
      <c r="F590">
        <v>114430.255</v>
      </c>
      <c r="G590">
        <v>1089376.0275999999</v>
      </c>
    </row>
    <row r="591" spans="1:7" x14ac:dyDescent="0.35">
      <c r="A591" t="s">
        <v>622</v>
      </c>
      <c r="B591">
        <v>570676</v>
      </c>
      <c r="C591">
        <v>228270.4</v>
      </c>
      <c r="D591">
        <v>114135.2</v>
      </c>
      <c r="E591">
        <v>143810.35200000001</v>
      </c>
      <c r="F591">
        <v>57067.600000000013</v>
      </c>
      <c r="G591">
        <v>543283.55200000003</v>
      </c>
    </row>
    <row r="592" spans="1:7" x14ac:dyDescent="0.35">
      <c r="A592" t="s">
        <v>623</v>
      </c>
      <c r="B592">
        <v>619750</v>
      </c>
      <c r="C592">
        <v>247900</v>
      </c>
      <c r="D592">
        <v>123950</v>
      </c>
      <c r="E592">
        <v>156177</v>
      </c>
      <c r="F592">
        <v>61975</v>
      </c>
      <c r="G592">
        <v>590002</v>
      </c>
    </row>
    <row r="593" spans="1:7" x14ac:dyDescent="0.35">
      <c r="A593" t="s">
        <v>624</v>
      </c>
      <c r="B593">
        <v>1189129</v>
      </c>
      <c r="C593">
        <v>475651.6</v>
      </c>
      <c r="D593">
        <v>237825.8</v>
      </c>
      <c r="E593">
        <v>299660.50799999991</v>
      </c>
      <c r="F593">
        <v>118912.9</v>
      </c>
      <c r="G593">
        <v>1132050.808</v>
      </c>
    </row>
    <row r="594" spans="1:7" x14ac:dyDescent="0.35">
      <c r="A594" t="s">
        <v>625</v>
      </c>
      <c r="B594">
        <v>1262501.55</v>
      </c>
      <c r="C594">
        <v>505000.62000000011</v>
      </c>
      <c r="D594">
        <v>252500.31</v>
      </c>
      <c r="E594">
        <v>318150.39059999993</v>
      </c>
      <c r="F594">
        <v>126250.155</v>
      </c>
      <c r="G594">
        <v>1201901.4756</v>
      </c>
    </row>
    <row r="595" spans="1:7" x14ac:dyDescent="0.35">
      <c r="A595" t="s">
        <v>626</v>
      </c>
      <c r="B595">
        <v>595814.35</v>
      </c>
      <c r="C595">
        <v>238325.74</v>
      </c>
      <c r="D595">
        <v>119162.87</v>
      </c>
      <c r="E595">
        <v>150145.2162</v>
      </c>
      <c r="F595">
        <v>59581.434999999998</v>
      </c>
      <c r="G595">
        <v>567215.26120000007</v>
      </c>
    </row>
    <row r="596" spans="1:7" x14ac:dyDescent="0.35">
      <c r="A596" t="s">
        <v>627</v>
      </c>
      <c r="B596">
        <v>519034.4</v>
      </c>
      <c r="C596">
        <v>207613.76</v>
      </c>
      <c r="D596">
        <v>103806.88</v>
      </c>
      <c r="E596">
        <v>130796.6688</v>
      </c>
      <c r="F596">
        <v>51903.44</v>
      </c>
      <c r="G596">
        <v>494120.7488</v>
      </c>
    </row>
    <row r="597" spans="1:7" x14ac:dyDescent="0.35">
      <c r="A597" t="s">
        <v>628</v>
      </c>
      <c r="B597">
        <v>819862.35</v>
      </c>
      <c r="C597">
        <v>327944.94</v>
      </c>
      <c r="D597">
        <v>163972.47</v>
      </c>
      <c r="E597">
        <v>206605.3121999999</v>
      </c>
      <c r="F597">
        <v>81986.235000000001</v>
      </c>
      <c r="G597">
        <v>780508.95719999995</v>
      </c>
    </row>
    <row r="598" spans="1:7" x14ac:dyDescent="0.35">
      <c r="A598" t="s">
        <v>629</v>
      </c>
      <c r="B598">
        <v>910098.1</v>
      </c>
      <c r="C598">
        <v>364039.24</v>
      </c>
      <c r="D598">
        <v>182019.62</v>
      </c>
      <c r="E598">
        <v>229344.7212</v>
      </c>
      <c r="F598">
        <v>91009.81</v>
      </c>
      <c r="G598">
        <v>866413.39119999995</v>
      </c>
    </row>
    <row r="599" spans="1:7" x14ac:dyDescent="0.35">
      <c r="A599" t="s">
        <v>630</v>
      </c>
      <c r="B599">
        <v>522542.75</v>
      </c>
      <c r="C599">
        <v>209017.1</v>
      </c>
      <c r="D599">
        <v>104508.55</v>
      </c>
      <c r="E599">
        <v>131680.7729999999</v>
      </c>
      <c r="F599">
        <v>52254.275000000001</v>
      </c>
      <c r="G599">
        <v>497460.69799999997</v>
      </c>
    </row>
    <row r="600" spans="1:7" x14ac:dyDescent="0.35">
      <c r="A600" t="s">
        <v>631</v>
      </c>
      <c r="B600">
        <v>941279</v>
      </c>
      <c r="C600">
        <v>376511.6</v>
      </c>
      <c r="D600">
        <v>188255.8</v>
      </c>
      <c r="E600">
        <v>237202.30799999999</v>
      </c>
      <c r="F600">
        <v>94127.900000000009</v>
      </c>
      <c r="G600">
        <v>896097.60800000001</v>
      </c>
    </row>
    <row r="601" spans="1:7" x14ac:dyDescent="0.35">
      <c r="A601" t="s">
        <v>632</v>
      </c>
      <c r="B601">
        <v>577542.04999999993</v>
      </c>
      <c r="C601">
        <v>231016.82</v>
      </c>
      <c r="D601">
        <v>115508.41</v>
      </c>
      <c r="E601">
        <v>145540.5965999999</v>
      </c>
      <c r="F601">
        <v>57754.204999999987</v>
      </c>
      <c r="G601">
        <v>549820.03159999987</v>
      </c>
    </row>
    <row r="602" spans="1:7" x14ac:dyDescent="0.35">
      <c r="A602" t="s">
        <v>633</v>
      </c>
      <c r="B602">
        <v>662849</v>
      </c>
      <c r="C602">
        <v>265139.59999999998</v>
      </c>
      <c r="D602">
        <v>132569.79999999999</v>
      </c>
      <c r="E602">
        <v>167037.948</v>
      </c>
      <c r="F602">
        <v>66284.900000000009</v>
      </c>
      <c r="G602">
        <v>631032.24800000002</v>
      </c>
    </row>
    <row r="603" spans="1:7" x14ac:dyDescent="0.35">
      <c r="A603" t="s">
        <v>634</v>
      </c>
      <c r="B603">
        <v>779038</v>
      </c>
      <c r="C603">
        <v>311615.2</v>
      </c>
      <c r="D603">
        <v>155807.6</v>
      </c>
      <c r="E603">
        <v>196317.57599999991</v>
      </c>
      <c r="F603">
        <v>77903.8</v>
      </c>
      <c r="G603">
        <v>741644.17599999998</v>
      </c>
    </row>
    <row r="604" spans="1:7" x14ac:dyDescent="0.35">
      <c r="A604" t="s">
        <v>635</v>
      </c>
      <c r="B604">
        <v>901590.85</v>
      </c>
      <c r="C604">
        <v>360636.34</v>
      </c>
      <c r="D604">
        <v>180318.17</v>
      </c>
      <c r="E604">
        <v>227200.89420000001</v>
      </c>
      <c r="F604">
        <v>90159.085000000006</v>
      </c>
      <c r="G604">
        <v>858314.48919999995</v>
      </c>
    </row>
    <row r="605" spans="1:7" x14ac:dyDescent="0.35">
      <c r="A605" t="s">
        <v>636</v>
      </c>
      <c r="B605">
        <v>820889.29999999993</v>
      </c>
      <c r="C605">
        <v>328355.71999999997</v>
      </c>
      <c r="D605">
        <v>164177.85999999999</v>
      </c>
      <c r="E605">
        <v>206864.10359999989</v>
      </c>
      <c r="F605">
        <v>82088.929999999993</v>
      </c>
      <c r="G605">
        <v>781486.61359999981</v>
      </c>
    </row>
    <row r="606" spans="1:7" x14ac:dyDescent="0.35">
      <c r="A606" t="s">
        <v>637</v>
      </c>
      <c r="B606">
        <v>1314211</v>
      </c>
      <c r="C606">
        <v>525684.4</v>
      </c>
      <c r="D606">
        <v>262842.2</v>
      </c>
      <c r="E606">
        <v>331181.1719999999</v>
      </c>
      <c r="F606">
        <v>131421.1</v>
      </c>
      <c r="G606">
        <v>1251128.872</v>
      </c>
    </row>
    <row r="607" spans="1:7" x14ac:dyDescent="0.35">
      <c r="A607" t="s">
        <v>638</v>
      </c>
      <c r="B607">
        <v>1067099.8500000001</v>
      </c>
      <c r="C607">
        <v>426839.94000000012</v>
      </c>
      <c r="D607">
        <v>213419.97</v>
      </c>
      <c r="E607">
        <v>268909.1621999999</v>
      </c>
      <c r="F607">
        <v>106709.985</v>
      </c>
      <c r="G607">
        <v>1015879.0572</v>
      </c>
    </row>
    <row r="608" spans="1:7" x14ac:dyDescent="0.35">
      <c r="A608" t="s">
        <v>639</v>
      </c>
      <c r="B608">
        <v>962916</v>
      </c>
      <c r="C608">
        <v>385166.4</v>
      </c>
      <c r="D608">
        <v>192583.2</v>
      </c>
      <c r="E608">
        <v>242654.83199999991</v>
      </c>
      <c r="F608">
        <v>96291.6</v>
      </c>
      <c r="G608">
        <v>916696.03200000001</v>
      </c>
    </row>
    <row r="609" spans="1:7" x14ac:dyDescent="0.35">
      <c r="A609" t="s">
        <v>640</v>
      </c>
      <c r="B609">
        <v>681618</v>
      </c>
      <c r="C609">
        <v>272647.2</v>
      </c>
      <c r="D609">
        <v>136323.6</v>
      </c>
      <c r="E609">
        <v>171767.736</v>
      </c>
      <c r="F609">
        <v>68161.8</v>
      </c>
      <c r="G609">
        <v>648900.33600000013</v>
      </c>
    </row>
    <row r="610" spans="1:7" x14ac:dyDescent="0.35">
      <c r="A610" t="s">
        <v>641</v>
      </c>
      <c r="B610">
        <v>767728.25</v>
      </c>
      <c r="C610">
        <v>307091.3</v>
      </c>
      <c r="D610">
        <v>153545.65</v>
      </c>
      <c r="E610">
        <v>193467.51900000009</v>
      </c>
      <c r="F610">
        <v>76772.824999999997</v>
      </c>
      <c r="G610">
        <v>730877.29399999999</v>
      </c>
    </row>
    <row r="611" spans="1:7" x14ac:dyDescent="0.35">
      <c r="A611" t="s">
        <v>642</v>
      </c>
      <c r="B611">
        <v>1033220</v>
      </c>
      <c r="C611">
        <v>413288</v>
      </c>
      <c r="D611">
        <v>206644</v>
      </c>
      <c r="E611">
        <v>260371.43999999989</v>
      </c>
      <c r="F611">
        <v>103322</v>
      </c>
      <c r="G611">
        <v>983625.44</v>
      </c>
    </row>
    <row r="612" spans="1:7" x14ac:dyDescent="0.35">
      <c r="A612" t="s">
        <v>643</v>
      </c>
      <c r="B612">
        <v>415711.45</v>
      </c>
      <c r="C612">
        <v>166284.57999999999</v>
      </c>
      <c r="D612">
        <v>83142.290000000008</v>
      </c>
      <c r="E612">
        <v>104759.28539999999</v>
      </c>
      <c r="F612">
        <v>41571.144999999997</v>
      </c>
      <c r="G612">
        <v>395757.30040000012</v>
      </c>
    </row>
    <row r="613" spans="1:7" x14ac:dyDescent="0.35">
      <c r="A613" t="s">
        <v>644</v>
      </c>
      <c r="B613">
        <v>1066064</v>
      </c>
      <c r="C613">
        <v>426425.59999999998</v>
      </c>
      <c r="D613">
        <v>213212.79999999999</v>
      </c>
      <c r="E613">
        <v>268648.12799999991</v>
      </c>
      <c r="F613">
        <v>106606.39999999999</v>
      </c>
      <c r="G613">
        <v>1014892.928</v>
      </c>
    </row>
    <row r="614" spans="1:7" x14ac:dyDescent="0.35">
      <c r="A614" t="s">
        <v>645</v>
      </c>
      <c r="B614">
        <v>705342.7</v>
      </c>
      <c r="C614">
        <v>282137.08</v>
      </c>
      <c r="D614">
        <v>141068.54</v>
      </c>
      <c r="E614">
        <v>177746.36039999989</v>
      </c>
      <c r="F614">
        <v>70534.27</v>
      </c>
      <c r="G614">
        <v>671486.2503999999</v>
      </c>
    </row>
    <row r="615" spans="1:7" x14ac:dyDescent="0.35">
      <c r="A615" t="s">
        <v>646</v>
      </c>
      <c r="B615">
        <v>1030888.7</v>
      </c>
      <c r="C615">
        <v>412355.48</v>
      </c>
      <c r="D615">
        <v>206177.74</v>
      </c>
      <c r="E615">
        <v>259783.95240000001</v>
      </c>
      <c r="F615">
        <v>103088.87</v>
      </c>
      <c r="G615">
        <v>981406.04239999992</v>
      </c>
    </row>
    <row r="616" spans="1:7" x14ac:dyDescent="0.35">
      <c r="A616" t="s">
        <v>647</v>
      </c>
      <c r="B616">
        <v>570929.1</v>
      </c>
      <c r="C616">
        <v>228371.64</v>
      </c>
      <c r="D616">
        <v>114185.82</v>
      </c>
      <c r="E616">
        <v>143874.13320000001</v>
      </c>
      <c r="F616">
        <v>57092.91</v>
      </c>
      <c r="G616">
        <v>543524.50320000004</v>
      </c>
    </row>
    <row r="617" spans="1:7" x14ac:dyDescent="0.35">
      <c r="A617" t="s">
        <v>648</v>
      </c>
      <c r="B617">
        <v>1239959</v>
      </c>
      <c r="C617">
        <v>495983.6</v>
      </c>
      <c r="D617">
        <v>247991.8</v>
      </c>
      <c r="E617">
        <v>312469.66799999989</v>
      </c>
      <c r="F617">
        <v>123995.9</v>
      </c>
      <c r="G617">
        <v>1180440.9680000001</v>
      </c>
    </row>
    <row r="618" spans="1:7" x14ac:dyDescent="0.35">
      <c r="A618" t="s">
        <v>649</v>
      </c>
      <c r="B618">
        <v>604903.94999999995</v>
      </c>
      <c r="C618">
        <v>241961.58</v>
      </c>
      <c r="D618">
        <v>120980.79</v>
      </c>
      <c r="E618">
        <v>152435.79539999989</v>
      </c>
      <c r="F618">
        <v>60490.394999999997</v>
      </c>
      <c r="G618">
        <v>575868.56039999996</v>
      </c>
    </row>
    <row r="619" spans="1:7" x14ac:dyDescent="0.35">
      <c r="A619" t="s">
        <v>650</v>
      </c>
      <c r="B619">
        <v>831699</v>
      </c>
      <c r="C619">
        <v>332679.59999999998</v>
      </c>
      <c r="D619">
        <v>166339.79999999999</v>
      </c>
      <c r="E619">
        <v>209588.1479999999</v>
      </c>
      <c r="F619">
        <v>83169.900000000009</v>
      </c>
      <c r="G619">
        <v>791777.44799999997</v>
      </c>
    </row>
    <row r="620" spans="1:7" x14ac:dyDescent="0.35">
      <c r="A620" t="s">
        <v>651</v>
      </c>
      <c r="B620">
        <v>504154.55</v>
      </c>
      <c r="C620">
        <v>201661.82</v>
      </c>
      <c r="D620">
        <v>100830.91</v>
      </c>
      <c r="E620">
        <v>127046.9466</v>
      </c>
      <c r="F620">
        <v>50415.455000000002</v>
      </c>
      <c r="G620">
        <v>479955.13160000002</v>
      </c>
    </row>
    <row r="621" spans="1:7" x14ac:dyDescent="0.35">
      <c r="A621" t="s">
        <v>652</v>
      </c>
      <c r="B621">
        <v>999953</v>
      </c>
      <c r="C621">
        <v>399981.2</v>
      </c>
      <c r="D621">
        <v>199990.6</v>
      </c>
      <c r="E621">
        <v>251988.15599999999</v>
      </c>
      <c r="F621">
        <v>99995.3</v>
      </c>
      <c r="G621">
        <v>951955.25600000005</v>
      </c>
    </row>
    <row r="622" spans="1:7" x14ac:dyDescent="0.35">
      <c r="A622" t="s">
        <v>653</v>
      </c>
      <c r="B622">
        <v>872719.39999999991</v>
      </c>
      <c r="C622">
        <v>349087.76</v>
      </c>
      <c r="D622">
        <v>174543.88</v>
      </c>
      <c r="E622">
        <v>219925.28879999989</v>
      </c>
      <c r="F622">
        <v>87271.94</v>
      </c>
      <c r="G622">
        <v>830828.86879999982</v>
      </c>
    </row>
    <row r="623" spans="1:7" x14ac:dyDescent="0.35">
      <c r="A623" t="s">
        <v>654</v>
      </c>
      <c r="B623">
        <v>1060831</v>
      </c>
      <c r="C623">
        <v>424332.4</v>
      </c>
      <c r="D623">
        <v>212166.2</v>
      </c>
      <c r="E623">
        <v>267329.41199999989</v>
      </c>
      <c r="F623">
        <v>106083.1</v>
      </c>
      <c r="G623">
        <v>1009911.112</v>
      </c>
    </row>
    <row r="624" spans="1:7" x14ac:dyDescent="0.35">
      <c r="A624" t="s">
        <v>655</v>
      </c>
      <c r="B624">
        <v>541364.15</v>
      </c>
      <c r="C624">
        <v>216545.66</v>
      </c>
      <c r="D624">
        <v>108272.83</v>
      </c>
      <c r="E624">
        <v>136423.76579999999</v>
      </c>
      <c r="F624">
        <v>54136.415000000008</v>
      </c>
      <c r="G624">
        <v>515378.67080000008</v>
      </c>
    </row>
    <row r="625" spans="1:7" x14ac:dyDescent="0.35">
      <c r="A625" t="s">
        <v>656</v>
      </c>
      <c r="B625">
        <v>1210151</v>
      </c>
      <c r="C625">
        <v>484060.4</v>
      </c>
      <c r="D625">
        <v>242030.2</v>
      </c>
      <c r="E625">
        <v>304958.05199999991</v>
      </c>
      <c r="F625">
        <v>121015.1</v>
      </c>
      <c r="G625">
        <v>1152063.7520000001</v>
      </c>
    </row>
    <row r="626" spans="1:7" x14ac:dyDescent="0.35">
      <c r="A626" t="s">
        <v>657</v>
      </c>
      <c r="B626">
        <v>1041935</v>
      </c>
      <c r="C626">
        <v>416774</v>
      </c>
      <c r="D626">
        <v>208387</v>
      </c>
      <c r="E626">
        <v>262567.62</v>
      </c>
      <c r="F626">
        <v>104193.5</v>
      </c>
      <c r="G626">
        <v>991922.12</v>
      </c>
    </row>
    <row r="627" spans="1:7" x14ac:dyDescent="0.35">
      <c r="A627" t="s">
        <v>658</v>
      </c>
      <c r="B627">
        <v>1135536</v>
      </c>
      <c r="C627">
        <v>454214.40000000002</v>
      </c>
      <c r="D627">
        <v>227107.20000000001</v>
      </c>
      <c r="E627">
        <v>286155.07199999993</v>
      </c>
      <c r="F627">
        <v>113553.60000000001</v>
      </c>
      <c r="G627">
        <v>1081030.2720000001</v>
      </c>
    </row>
    <row r="628" spans="1:7" x14ac:dyDescent="0.35">
      <c r="A628" t="s">
        <v>659</v>
      </c>
      <c r="B628">
        <v>1355052</v>
      </c>
      <c r="C628">
        <v>542020.80000000005</v>
      </c>
      <c r="D628">
        <v>271010.40000000002</v>
      </c>
      <c r="E628">
        <v>341473.10399999982</v>
      </c>
      <c r="F628">
        <v>135505.20000000001</v>
      </c>
      <c r="G628">
        <v>1290009.504</v>
      </c>
    </row>
    <row r="629" spans="1:7" x14ac:dyDescent="0.35">
      <c r="A629" t="s">
        <v>660</v>
      </c>
      <c r="B629">
        <v>1441341</v>
      </c>
      <c r="C629">
        <v>576536.4</v>
      </c>
      <c r="D629">
        <v>288268.2</v>
      </c>
      <c r="E629">
        <v>363217.93199999997</v>
      </c>
      <c r="F629">
        <v>144134.1</v>
      </c>
      <c r="G629">
        <v>1372156.632</v>
      </c>
    </row>
    <row r="630" spans="1:7" x14ac:dyDescent="0.35">
      <c r="A630" t="s">
        <v>661</v>
      </c>
      <c r="B630">
        <v>953285.1</v>
      </c>
      <c r="C630">
        <v>381314.04</v>
      </c>
      <c r="D630">
        <v>190657.02</v>
      </c>
      <c r="E630">
        <v>240227.84519999989</v>
      </c>
      <c r="F630">
        <v>95328.510000000009</v>
      </c>
      <c r="G630">
        <v>907527.41519999993</v>
      </c>
    </row>
    <row r="631" spans="1:7" x14ac:dyDescent="0.35">
      <c r="A631" t="s">
        <v>662</v>
      </c>
      <c r="B631">
        <v>979703</v>
      </c>
      <c r="C631">
        <v>391881.2</v>
      </c>
      <c r="D631">
        <v>195940.6</v>
      </c>
      <c r="E631">
        <v>246885.15599999999</v>
      </c>
      <c r="F631">
        <v>97970.3</v>
      </c>
      <c r="G631">
        <v>932677.25600000005</v>
      </c>
    </row>
    <row r="632" spans="1:7" x14ac:dyDescent="0.35">
      <c r="A632" t="s">
        <v>663</v>
      </c>
      <c r="B632">
        <v>729168</v>
      </c>
      <c r="C632">
        <v>291667.20000000001</v>
      </c>
      <c r="D632">
        <v>145833.60000000001</v>
      </c>
      <c r="E632">
        <v>183750.33600000001</v>
      </c>
      <c r="F632">
        <v>72916.800000000003</v>
      </c>
      <c r="G632">
        <v>694167.9360000001</v>
      </c>
    </row>
    <row r="633" spans="1:7" x14ac:dyDescent="0.35">
      <c r="A633" t="s">
        <v>664</v>
      </c>
      <c r="B633">
        <v>382412.05</v>
      </c>
      <c r="C633">
        <v>152964.82</v>
      </c>
      <c r="D633">
        <v>76482.41</v>
      </c>
      <c r="E633">
        <v>96367.836599999981</v>
      </c>
      <c r="F633">
        <v>38241.205000000002</v>
      </c>
      <c r="G633">
        <v>364056.27159999998</v>
      </c>
    </row>
    <row r="634" spans="1:7" x14ac:dyDescent="0.35">
      <c r="A634" t="s">
        <v>665</v>
      </c>
      <c r="B634">
        <v>602663.85</v>
      </c>
      <c r="C634">
        <v>241065.54</v>
      </c>
      <c r="D634">
        <v>120532.77</v>
      </c>
      <c r="E634">
        <v>151871.29019999999</v>
      </c>
      <c r="F634">
        <v>60266.385000000002</v>
      </c>
      <c r="G634">
        <v>573735.9852</v>
      </c>
    </row>
    <row r="635" spans="1:7" x14ac:dyDescent="0.35">
      <c r="A635" t="s">
        <v>666</v>
      </c>
      <c r="B635">
        <v>1083039</v>
      </c>
      <c r="C635">
        <v>433215.6</v>
      </c>
      <c r="D635">
        <v>216607.8</v>
      </c>
      <c r="E635">
        <v>272925.82799999998</v>
      </c>
      <c r="F635">
        <v>108303.9</v>
      </c>
      <c r="G635">
        <v>1031053.128</v>
      </c>
    </row>
    <row r="636" spans="1:7" x14ac:dyDescent="0.35">
      <c r="A636" t="s">
        <v>667</v>
      </c>
      <c r="B636">
        <v>803781</v>
      </c>
      <c r="C636">
        <v>321512.40000000002</v>
      </c>
      <c r="D636">
        <v>160756.20000000001</v>
      </c>
      <c r="E636">
        <v>202552.81199999989</v>
      </c>
      <c r="F636">
        <v>80378.100000000006</v>
      </c>
      <c r="G636">
        <v>765199.51199999999</v>
      </c>
    </row>
    <row r="637" spans="1:7" x14ac:dyDescent="0.35">
      <c r="A637" t="s">
        <v>668</v>
      </c>
      <c r="B637">
        <v>582597.94999999995</v>
      </c>
      <c r="C637">
        <v>233039.18</v>
      </c>
      <c r="D637">
        <v>116519.59</v>
      </c>
      <c r="E637">
        <v>146814.68340000001</v>
      </c>
      <c r="F637">
        <v>58259.794999999998</v>
      </c>
      <c r="G637">
        <v>554633.24840000004</v>
      </c>
    </row>
    <row r="638" spans="1:7" x14ac:dyDescent="0.35">
      <c r="A638" t="s">
        <v>669</v>
      </c>
      <c r="B638">
        <v>505736.3</v>
      </c>
      <c r="C638">
        <v>202294.52</v>
      </c>
      <c r="D638">
        <v>101147.26</v>
      </c>
      <c r="E638">
        <v>127445.5475999999</v>
      </c>
      <c r="F638">
        <v>50573.63</v>
      </c>
      <c r="G638">
        <v>481460.95760000002</v>
      </c>
    </row>
    <row r="639" spans="1:7" x14ac:dyDescent="0.35">
      <c r="A639" t="s">
        <v>670</v>
      </c>
      <c r="B639">
        <v>780970.29999999993</v>
      </c>
      <c r="C639">
        <v>312388.12</v>
      </c>
      <c r="D639">
        <v>156194.06</v>
      </c>
      <c r="E639">
        <v>196804.5155999999</v>
      </c>
      <c r="F639">
        <v>78097.03</v>
      </c>
      <c r="G639">
        <v>743483.72560000001</v>
      </c>
    </row>
    <row r="640" spans="1:7" x14ac:dyDescent="0.35">
      <c r="A640" t="s">
        <v>671</v>
      </c>
      <c r="B640">
        <v>623347.25</v>
      </c>
      <c r="C640">
        <v>249338.9</v>
      </c>
      <c r="D640">
        <v>124669.45</v>
      </c>
      <c r="E640">
        <v>157083.5069999999</v>
      </c>
      <c r="F640">
        <v>62334.725000000013</v>
      </c>
      <c r="G640">
        <v>593426.58199999994</v>
      </c>
    </row>
    <row r="641" spans="1:7" x14ac:dyDescent="0.35">
      <c r="A641" t="s">
        <v>672</v>
      </c>
      <c r="B641">
        <v>635865.4</v>
      </c>
      <c r="C641">
        <v>254346.16</v>
      </c>
      <c r="D641">
        <v>127173.08</v>
      </c>
      <c r="E641">
        <v>160238.0808</v>
      </c>
      <c r="F641">
        <v>63586.540000000008</v>
      </c>
      <c r="G641">
        <v>605343.86080000014</v>
      </c>
    </row>
    <row r="642" spans="1:7" x14ac:dyDescent="0.35">
      <c r="A642" t="s">
        <v>673</v>
      </c>
      <c r="B642">
        <v>1177093</v>
      </c>
      <c r="C642">
        <v>470837.2</v>
      </c>
      <c r="D642">
        <v>235418.6</v>
      </c>
      <c r="E642">
        <v>296627.43599999993</v>
      </c>
      <c r="F642">
        <v>117709.3</v>
      </c>
      <c r="G642">
        <v>1120592.5360000001</v>
      </c>
    </row>
    <row r="643" spans="1:7" x14ac:dyDescent="0.35">
      <c r="A643" t="s">
        <v>674</v>
      </c>
      <c r="B643">
        <v>1367252.35</v>
      </c>
      <c r="C643">
        <v>546900.94000000006</v>
      </c>
      <c r="D643">
        <v>273450.46999999997</v>
      </c>
      <c r="E643">
        <v>344547.59220000001</v>
      </c>
      <c r="F643">
        <v>136725.23499999999</v>
      </c>
      <c r="G643">
        <v>1301624.2372000001</v>
      </c>
    </row>
    <row r="644" spans="1:7" x14ac:dyDescent="0.35">
      <c r="A644" t="s">
        <v>675</v>
      </c>
      <c r="B644">
        <v>895089.04999999993</v>
      </c>
      <c r="C644">
        <v>358035.62</v>
      </c>
      <c r="D644">
        <v>179017.81</v>
      </c>
      <c r="E644">
        <v>225562.4406</v>
      </c>
      <c r="F644">
        <v>89508.904999999999</v>
      </c>
      <c r="G644">
        <v>852124.77559999994</v>
      </c>
    </row>
    <row r="645" spans="1:7" x14ac:dyDescent="0.35">
      <c r="A645" t="s">
        <v>676</v>
      </c>
      <c r="B645">
        <v>716699</v>
      </c>
      <c r="C645">
        <v>286679.59999999998</v>
      </c>
      <c r="D645">
        <v>143339.79999999999</v>
      </c>
      <c r="E645">
        <v>180608.1479999999</v>
      </c>
      <c r="F645">
        <v>71669.900000000009</v>
      </c>
      <c r="G645">
        <v>682297.44799999997</v>
      </c>
    </row>
    <row r="646" spans="1:7" x14ac:dyDescent="0.35">
      <c r="A646" t="s">
        <v>677</v>
      </c>
      <c r="B646">
        <v>1145935</v>
      </c>
      <c r="C646">
        <v>458374</v>
      </c>
      <c r="D646">
        <v>229187</v>
      </c>
      <c r="E646">
        <v>288775.62</v>
      </c>
      <c r="F646">
        <v>114593.5</v>
      </c>
      <c r="G646">
        <v>1090930.1200000001</v>
      </c>
    </row>
    <row r="647" spans="1:7" x14ac:dyDescent="0.35">
      <c r="A647" t="s">
        <v>678</v>
      </c>
      <c r="B647">
        <v>958465.45</v>
      </c>
      <c r="C647">
        <v>383386.18</v>
      </c>
      <c r="D647">
        <v>191693.09</v>
      </c>
      <c r="E647">
        <v>241533.29339999979</v>
      </c>
      <c r="F647">
        <v>95846.544999999998</v>
      </c>
      <c r="G647">
        <v>912459.10839999991</v>
      </c>
    </row>
    <row r="648" spans="1:7" x14ac:dyDescent="0.35">
      <c r="A648" t="s">
        <v>679</v>
      </c>
      <c r="B648">
        <v>1257493</v>
      </c>
      <c r="C648">
        <v>502997.2</v>
      </c>
      <c r="D648">
        <v>251498.6</v>
      </c>
      <c r="E648">
        <v>316888.23599999992</v>
      </c>
      <c r="F648">
        <v>125749.3</v>
      </c>
      <c r="G648">
        <v>1197133.3359999999</v>
      </c>
    </row>
    <row r="649" spans="1:7" x14ac:dyDescent="0.35">
      <c r="A649" t="s">
        <v>680</v>
      </c>
      <c r="B649">
        <v>1395978</v>
      </c>
      <c r="C649">
        <v>558391.20000000007</v>
      </c>
      <c r="D649">
        <v>279195.59999999998</v>
      </c>
      <c r="E649">
        <v>351786.45599999989</v>
      </c>
      <c r="F649">
        <v>139597.79999999999</v>
      </c>
      <c r="G649">
        <v>1328971.0560000001</v>
      </c>
    </row>
    <row r="650" spans="1:7" x14ac:dyDescent="0.35">
      <c r="A650" t="s">
        <v>681</v>
      </c>
      <c r="B650">
        <v>1083545</v>
      </c>
      <c r="C650">
        <v>433418</v>
      </c>
      <c r="D650">
        <v>216709</v>
      </c>
      <c r="E650">
        <v>273053.34000000003</v>
      </c>
      <c r="F650">
        <v>108354.5</v>
      </c>
      <c r="G650">
        <v>1031534.84</v>
      </c>
    </row>
    <row r="651" spans="1:7" x14ac:dyDescent="0.35">
      <c r="A651" t="s">
        <v>682</v>
      </c>
      <c r="B651">
        <v>1416496.55</v>
      </c>
      <c r="C651">
        <v>566598.62</v>
      </c>
      <c r="D651">
        <v>283299.31</v>
      </c>
      <c r="E651">
        <v>356957.13059999997</v>
      </c>
      <c r="F651">
        <v>141649.655</v>
      </c>
      <c r="G651">
        <v>1348504.7156</v>
      </c>
    </row>
    <row r="652" spans="1:7" x14ac:dyDescent="0.35">
      <c r="A652" t="s">
        <v>683</v>
      </c>
      <c r="B652">
        <v>1598649</v>
      </c>
      <c r="C652">
        <v>639459.60000000009</v>
      </c>
      <c r="D652">
        <v>319729.8</v>
      </c>
      <c r="E652">
        <v>402859.54799999972</v>
      </c>
      <c r="F652">
        <v>159864.9</v>
      </c>
      <c r="G652">
        <v>1521913.848</v>
      </c>
    </row>
    <row r="653" spans="1:7" x14ac:dyDescent="0.35">
      <c r="A653" t="s">
        <v>684</v>
      </c>
      <c r="B653">
        <v>1286842.45</v>
      </c>
      <c r="C653">
        <v>514736.98</v>
      </c>
      <c r="D653">
        <v>257368.49</v>
      </c>
      <c r="E653">
        <v>324284.29739999998</v>
      </c>
      <c r="F653">
        <v>128684.245</v>
      </c>
      <c r="G653">
        <v>1225074.0123999999</v>
      </c>
    </row>
    <row r="654" spans="1:7" x14ac:dyDescent="0.35">
      <c r="A654" t="s">
        <v>685</v>
      </c>
      <c r="B654">
        <v>830839</v>
      </c>
      <c r="C654">
        <v>332335.59999999998</v>
      </c>
      <c r="D654">
        <v>166167.79999999999</v>
      </c>
      <c r="E654">
        <v>209371.42800000001</v>
      </c>
      <c r="F654">
        <v>83083.900000000009</v>
      </c>
      <c r="G654">
        <v>790958.728</v>
      </c>
    </row>
    <row r="655" spans="1:7" x14ac:dyDescent="0.35">
      <c r="A655" t="s">
        <v>686</v>
      </c>
      <c r="B655">
        <v>659743.65</v>
      </c>
      <c r="C655">
        <v>263897.46000000002</v>
      </c>
      <c r="D655">
        <v>131948.73000000001</v>
      </c>
      <c r="E655">
        <v>166255.39980000001</v>
      </c>
      <c r="F655">
        <v>65974.365000000005</v>
      </c>
      <c r="G655">
        <v>628075.95479999995</v>
      </c>
    </row>
    <row r="656" spans="1:7" x14ac:dyDescent="0.35">
      <c r="A656" t="s">
        <v>687</v>
      </c>
      <c r="B656">
        <v>1143724.95</v>
      </c>
      <c r="C656">
        <v>457489.98</v>
      </c>
      <c r="D656">
        <v>228744.99</v>
      </c>
      <c r="E656">
        <v>288218.68739999988</v>
      </c>
      <c r="F656">
        <v>114372.495</v>
      </c>
      <c r="G656">
        <v>1088826.1524</v>
      </c>
    </row>
    <row r="657" spans="1:7" x14ac:dyDescent="0.35">
      <c r="A657" t="s">
        <v>688</v>
      </c>
      <c r="B657">
        <v>973909</v>
      </c>
      <c r="C657">
        <v>389563.6</v>
      </c>
      <c r="D657">
        <v>194781.8</v>
      </c>
      <c r="E657">
        <v>245425.068</v>
      </c>
      <c r="F657">
        <v>97390.900000000009</v>
      </c>
      <c r="G657">
        <v>927161.36800000002</v>
      </c>
    </row>
    <row r="658" spans="1:7" x14ac:dyDescent="0.35">
      <c r="A658" t="s">
        <v>689</v>
      </c>
      <c r="B658">
        <v>986580.7</v>
      </c>
      <c r="C658">
        <v>394632.28</v>
      </c>
      <c r="D658">
        <v>197316.14</v>
      </c>
      <c r="E658">
        <v>248618.33639999991</v>
      </c>
      <c r="F658">
        <v>98658.07</v>
      </c>
      <c r="G658">
        <v>939224.8263999999</v>
      </c>
    </row>
    <row r="659" spans="1:7" x14ac:dyDescent="0.35">
      <c r="A659" t="s">
        <v>690</v>
      </c>
      <c r="B659">
        <v>812634.75</v>
      </c>
      <c r="C659">
        <v>325053.90000000002</v>
      </c>
      <c r="D659">
        <v>162526.95000000001</v>
      </c>
      <c r="E659">
        <v>204783.95699999991</v>
      </c>
      <c r="F659">
        <v>81263.475000000006</v>
      </c>
      <c r="G659">
        <v>773628.28200000001</v>
      </c>
    </row>
    <row r="660" spans="1:7" x14ac:dyDescent="0.35">
      <c r="A660" t="s">
        <v>691</v>
      </c>
      <c r="B660">
        <v>1379049</v>
      </c>
      <c r="C660">
        <v>551619.6</v>
      </c>
      <c r="D660">
        <v>275809.8</v>
      </c>
      <c r="E660">
        <v>347520.34800000011</v>
      </c>
      <c r="F660">
        <v>137904.9</v>
      </c>
      <c r="G660">
        <v>1312854.648</v>
      </c>
    </row>
    <row r="661" spans="1:7" x14ac:dyDescent="0.35">
      <c r="A661" t="s">
        <v>692</v>
      </c>
      <c r="B661">
        <v>586591.75</v>
      </c>
      <c r="C661">
        <v>234636.7</v>
      </c>
      <c r="D661">
        <v>117318.35</v>
      </c>
      <c r="E661">
        <v>147821.12100000001</v>
      </c>
      <c r="F661">
        <v>58659.175000000003</v>
      </c>
      <c r="G661">
        <v>558435.34600000002</v>
      </c>
    </row>
    <row r="662" spans="1:7" x14ac:dyDescent="0.35">
      <c r="A662" t="s">
        <v>693</v>
      </c>
      <c r="B662">
        <v>1180980.1499999999</v>
      </c>
      <c r="C662">
        <v>472392.06</v>
      </c>
      <c r="D662">
        <v>236196.03</v>
      </c>
      <c r="E662">
        <v>297606.9977999999</v>
      </c>
      <c r="F662">
        <v>118098.015</v>
      </c>
      <c r="G662">
        <v>1124293.1028</v>
      </c>
    </row>
    <row r="663" spans="1:7" x14ac:dyDescent="0.35">
      <c r="A663" t="s">
        <v>694</v>
      </c>
      <c r="B663">
        <v>1222184</v>
      </c>
      <c r="C663">
        <v>488873.6</v>
      </c>
      <c r="D663">
        <v>244436.8</v>
      </c>
      <c r="E663">
        <v>307990.3679999999</v>
      </c>
      <c r="F663">
        <v>122218.4</v>
      </c>
      <c r="G663">
        <v>1163519.1680000001</v>
      </c>
    </row>
    <row r="664" spans="1:7" x14ac:dyDescent="0.35">
      <c r="A664" t="s">
        <v>695</v>
      </c>
      <c r="B664">
        <v>698940.65</v>
      </c>
      <c r="C664">
        <v>279576.26</v>
      </c>
      <c r="D664">
        <v>139788.13</v>
      </c>
      <c r="E664">
        <v>176133.04380000001</v>
      </c>
      <c r="F664">
        <v>69894.065000000002</v>
      </c>
      <c r="G664">
        <v>665391.49879999994</v>
      </c>
    </row>
    <row r="665" spans="1:7" x14ac:dyDescent="0.35">
      <c r="A665" t="s">
        <v>696</v>
      </c>
      <c r="B665">
        <v>844467</v>
      </c>
      <c r="C665">
        <v>337786.8</v>
      </c>
      <c r="D665">
        <v>168893.4</v>
      </c>
      <c r="E665">
        <v>212805.68399999989</v>
      </c>
      <c r="F665">
        <v>84446.700000000012</v>
      </c>
      <c r="G665">
        <v>803932.58400000003</v>
      </c>
    </row>
    <row r="666" spans="1:7" x14ac:dyDescent="0.35">
      <c r="A666" t="s">
        <v>697</v>
      </c>
      <c r="B666">
        <v>341826.15</v>
      </c>
      <c r="C666">
        <v>136730.46</v>
      </c>
      <c r="D666">
        <v>68365.23000000001</v>
      </c>
      <c r="E666">
        <v>86140.189799999964</v>
      </c>
      <c r="F666">
        <v>34182.615000000013</v>
      </c>
      <c r="G666">
        <v>325418.49479999999</v>
      </c>
    </row>
    <row r="667" spans="1:7" x14ac:dyDescent="0.35">
      <c r="A667" t="s">
        <v>698</v>
      </c>
      <c r="B667">
        <v>744749</v>
      </c>
      <c r="C667">
        <v>297899.59999999998</v>
      </c>
      <c r="D667">
        <v>148949.79999999999</v>
      </c>
      <c r="E667">
        <v>187676.74799999991</v>
      </c>
      <c r="F667">
        <v>74474.900000000009</v>
      </c>
      <c r="G667">
        <v>709001.04799999995</v>
      </c>
    </row>
    <row r="668" spans="1:7" x14ac:dyDescent="0.35">
      <c r="A668" t="s">
        <v>699</v>
      </c>
      <c r="B668">
        <v>1270182.3</v>
      </c>
      <c r="C668">
        <v>508072.92</v>
      </c>
      <c r="D668">
        <v>254036.46</v>
      </c>
      <c r="E668">
        <v>320085.93959999993</v>
      </c>
      <c r="F668">
        <v>127018.23</v>
      </c>
      <c r="G668">
        <v>1209213.5496</v>
      </c>
    </row>
    <row r="669" spans="1:7" x14ac:dyDescent="0.35">
      <c r="A669" t="s">
        <v>700</v>
      </c>
      <c r="B669">
        <v>697537.5</v>
      </c>
      <c r="C669">
        <v>279015</v>
      </c>
      <c r="D669">
        <v>139507.5</v>
      </c>
      <c r="E669">
        <v>175779.45</v>
      </c>
      <c r="F669">
        <v>69753.75</v>
      </c>
      <c r="G669">
        <v>664055.69999999995</v>
      </c>
    </row>
    <row r="670" spans="1:7" x14ac:dyDescent="0.35">
      <c r="A670" t="s">
        <v>701</v>
      </c>
      <c r="B670">
        <v>786022</v>
      </c>
      <c r="C670">
        <v>314408.8</v>
      </c>
      <c r="D670">
        <v>157204.4</v>
      </c>
      <c r="E670">
        <v>198077.54400000011</v>
      </c>
      <c r="F670">
        <v>78602.2</v>
      </c>
      <c r="G670">
        <v>748292.94400000002</v>
      </c>
    </row>
    <row r="671" spans="1:7" x14ac:dyDescent="0.35">
      <c r="A671" t="s">
        <v>702</v>
      </c>
      <c r="B671">
        <v>725035.25</v>
      </c>
      <c r="C671">
        <v>290014.09999999998</v>
      </c>
      <c r="D671">
        <v>145007.04999999999</v>
      </c>
      <c r="E671">
        <v>182708.88299999991</v>
      </c>
      <c r="F671">
        <v>72503.525000000009</v>
      </c>
      <c r="G671">
        <v>690233.55799999996</v>
      </c>
    </row>
    <row r="672" spans="1:7" x14ac:dyDescent="0.35">
      <c r="A672" t="s">
        <v>703</v>
      </c>
      <c r="B672">
        <v>741420</v>
      </c>
      <c r="C672">
        <v>296568</v>
      </c>
      <c r="D672">
        <v>148284</v>
      </c>
      <c r="E672">
        <v>186837.84</v>
      </c>
      <c r="F672">
        <v>74142</v>
      </c>
      <c r="G672">
        <v>705831.84</v>
      </c>
    </row>
    <row r="673" spans="1:7" x14ac:dyDescent="0.35">
      <c r="A673" t="s">
        <v>704</v>
      </c>
      <c r="B673">
        <v>642920.1</v>
      </c>
      <c r="C673">
        <v>257168.04</v>
      </c>
      <c r="D673">
        <v>128584.02</v>
      </c>
      <c r="E673">
        <v>162015.8652</v>
      </c>
      <c r="F673">
        <v>64292.01</v>
      </c>
      <c r="G673">
        <v>612059.93519999995</v>
      </c>
    </row>
    <row r="674" spans="1:7" x14ac:dyDescent="0.35">
      <c r="A674" t="s">
        <v>705</v>
      </c>
      <c r="B674">
        <v>915118.85</v>
      </c>
      <c r="C674">
        <v>366047.54</v>
      </c>
      <c r="D674">
        <v>183023.77</v>
      </c>
      <c r="E674">
        <v>230609.95019999999</v>
      </c>
      <c r="F674">
        <v>91511.885000000009</v>
      </c>
      <c r="G674">
        <v>871193.14520000003</v>
      </c>
    </row>
    <row r="675" spans="1:7" x14ac:dyDescent="0.35">
      <c r="A675" t="s">
        <v>706</v>
      </c>
      <c r="B675">
        <v>467533</v>
      </c>
      <c r="C675">
        <v>187013.2</v>
      </c>
      <c r="D675">
        <v>93506.6</v>
      </c>
      <c r="E675">
        <v>117818.31600000001</v>
      </c>
      <c r="F675">
        <v>46753.3</v>
      </c>
      <c r="G675">
        <v>445091.41600000003</v>
      </c>
    </row>
    <row r="676" spans="1:7" x14ac:dyDescent="0.35">
      <c r="A676" t="s">
        <v>707</v>
      </c>
      <c r="B676">
        <v>568421</v>
      </c>
      <c r="C676">
        <v>227368.4</v>
      </c>
      <c r="D676">
        <v>113684.2</v>
      </c>
      <c r="E676">
        <v>143242.09199999989</v>
      </c>
      <c r="F676">
        <v>56842.100000000013</v>
      </c>
      <c r="G676">
        <v>541136.79200000002</v>
      </c>
    </row>
    <row r="677" spans="1:7" x14ac:dyDescent="0.35">
      <c r="A677" t="s">
        <v>708</v>
      </c>
      <c r="B677">
        <v>931162</v>
      </c>
      <c r="C677">
        <v>372464.8</v>
      </c>
      <c r="D677">
        <v>186232.4</v>
      </c>
      <c r="E677">
        <v>234652.82399999991</v>
      </c>
      <c r="F677">
        <v>93116.200000000012</v>
      </c>
      <c r="G677">
        <v>886466.22399999993</v>
      </c>
    </row>
    <row r="678" spans="1:7" x14ac:dyDescent="0.35">
      <c r="A678" t="s">
        <v>709</v>
      </c>
      <c r="B678">
        <v>601992</v>
      </c>
      <c r="C678">
        <v>240796.79999999999</v>
      </c>
      <c r="D678">
        <v>120398.39999999999</v>
      </c>
      <c r="E678">
        <v>151701.984</v>
      </c>
      <c r="F678">
        <v>60199.199999999997</v>
      </c>
      <c r="G678">
        <v>573096.38399999996</v>
      </c>
    </row>
    <row r="679" spans="1:7" x14ac:dyDescent="0.35">
      <c r="A679" t="s">
        <v>710</v>
      </c>
      <c r="B679">
        <v>703079.79999999993</v>
      </c>
      <c r="C679">
        <v>281231.92</v>
      </c>
      <c r="D679">
        <v>140615.96</v>
      </c>
      <c r="E679">
        <v>177176.1096</v>
      </c>
      <c r="F679">
        <v>70307.98</v>
      </c>
      <c r="G679">
        <v>669331.96959999995</v>
      </c>
    </row>
    <row r="680" spans="1:7" x14ac:dyDescent="0.35">
      <c r="A680" t="s">
        <v>711</v>
      </c>
      <c r="B680">
        <v>599333</v>
      </c>
      <c r="C680">
        <v>239733.2</v>
      </c>
      <c r="D680">
        <v>119866.6</v>
      </c>
      <c r="E680">
        <v>151031.916</v>
      </c>
      <c r="F680">
        <v>59933.3</v>
      </c>
      <c r="G680">
        <v>570565.01600000006</v>
      </c>
    </row>
    <row r="681" spans="1:7" x14ac:dyDescent="0.35">
      <c r="A681" t="s">
        <v>712</v>
      </c>
      <c r="B681">
        <v>567759</v>
      </c>
      <c r="C681">
        <v>227103.6</v>
      </c>
      <c r="D681">
        <v>113551.8</v>
      </c>
      <c r="E681">
        <v>143075.26799999989</v>
      </c>
      <c r="F681">
        <v>56775.9</v>
      </c>
      <c r="G681">
        <v>540506.56799999997</v>
      </c>
    </row>
    <row r="682" spans="1:7" x14ac:dyDescent="0.35">
      <c r="A682" t="s">
        <v>713</v>
      </c>
      <c r="B682">
        <v>757095</v>
      </c>
      <c r="C682">
        <v>302838</v>
      </c>
      <c r="D682">
        <v>151419</v>
      </c>
      <c r="E682">
        <v>190787.93999999989</v>
      </c>
      <c r="F682">
        <v>75709.5</v>
      </c>
      <c r="G682">
        <v>720754.44</v>
      </c>
    </row>
    <row r="683" spans="1:7" x14ac:dyDescent="0.35">
      <c r="A683" t="s">
        <v>714</v>
      </c>
      <c r="B683">
        <v>782330.7</v>
      </c>
      <c r="C683">
        <v>312932.28000000003</v>
      </c>
      <c r="D683">
        <v>156466.14000000001</v>
      </c>
      <c r="E683">
        <v>197147.33640000009</v>
      </c>
      <c r="F683">
        <v>78233.069999999992</v>
      </c>
      <c r="G683">
        <v>744778.82640000002</v>
      </c>
    </row>
    <row r="684" spans="1:7" x14ac:dyDescent="0.35">
      <c r="A684" t="s">
        <v>715</v>
      </c>
      <c r="B684">
        <v>704144.75</v>
      </c>
      <c r="C684">
        <v>281657.90000000002</v>
      </c>
      <c r="D684">
        <v>140828.95000000001</v>
      </c>
      <c r="E684">
        <v>177444.47700000001</v>
      </c>
      <c r="F684">
        <v>70414.475000000006</v>
      </c>
      <c r="G684">
        <v>670345.80200000003</v>
      </c>
    </row>
    <row r="685" spans="1:7" x14ac:dyDescent="0.35">
      <c r="A685" t="s">
        <v>716</v>
      </c>
      <c r="B685">
        <v>827365</v>
      </c>
      <c r="C685">
        <v>330946</v>
      </c>
      <c r="D685">
        <v>165473</v>
      </c>
      <c r="E685">
        <v>208495.98</v>
      </c>
      <c r="F685">
        <v>82736.5</v>
      </c>
      <c r="G685">
        <v>787651.48</v>
      </c>
    </row>
    <row r="686" spans="1:7" x14ac:dyDescent="0.35">
      <c r="A686" t="s">
        <v>717</v>
      </c>
      <c r="B686">
        <v>1034637.4</v>
      </c>
      <c r="C686">
        <v>413854.96</v>
      </c>
      <c r="D686">
        <v>206927.48</v>
      </c>
      <c r="E686">
        <v>260728.62479999999</v>
      </c>
      <c r="F686">
        <v>103463.74</v>
      </c>
      <c r="G686">
        <v>984974.80480000004</v>
      </c>
    </row>
    <row r="687" spans="1:7" x14ac:dyDescent="0.35">
      <c r="A687" t="s">
        <v>718</v>
      </c>
      <c r="B687">
        <v>696603.65</v>
      </c>
      <c r="C687">
        <v>278641.46000000002</v>
      </c>
      <c r="D687">
        <v>139320.73000000001</v>
      </c>
      <c r="E687">
        <v>175544.11979999999</v>
      </c>
      <c r="F687">
        <v>69660.365000000005</v>
      </c>
      <c r="G687">
        <v>663166.67480000004</v>
      </c>
    </row>
    <row r="688" spans="1:7" x14ac:dyDescent="0.35">
      <c r="A688" t="s">
        <v>719</v>
      </c>
      <c r="B688">
        <v>757797</v>
      </c>
      <c r="C688">
        <v>303118.8</v>
      </c>
      <c r="D688">
        <v>151559.4</v>
      </c>
      <c r="E688">
        <v>190964.84400000001</v>
      </c>
      <c r="F688">
        <v>75779.7</v>
      </c>
      <c r="G688">
        <v>721422.74399999995</v>
      </c>
    </row>
    <row r="689" spans="1:7" x14ac:dyDescent="0.35">
      <c r="A689" t="s">
        <v>720</v>
      </c>
      <c r="B689">
        <v>760056</v>
      </c>
      <c r="C689">
        <v>304022.40000000002</v>
      </c>
      <c r="D689">
        <v>152011.20000000001</v>
      </c>
      <c r="E689">
        <v>191534.11199999999</v>
      </c>
      <c r="F689">
        <v>76005.600000000006</v>
      </c>
      <c r="G689">
        <v>723573.31200000003</v>
      </c>
    </row>
    <row r="690" spans="1:7" x14ac:dyDescent="0.35">
      <c r="A690" t="s">
        <v>721</v>
      </c>
      <c r="B690">
        <v>421762.95</v>
      </c>
      <c r="C690">
        <v>168705.18</v>
      </c>
      <c r="D690">
        <v>84352.590000000011</v>
      </c>
      <c r="E690">
        <v>106284.2634</v>
      </c>
      <c r="F690">
        <v>42176.295000000013</v>
      </c>
      <c r="G690">
        <v>401518.3284</v>
      </c>
    </row>
    <row r="691" spans="1:7" x14ac:dyDescent="0.35">
      <c r="A691" t="s">
        <v>722</v>
      </c>
      <c r="B691">
        <v>796143.7</v>
      </c>
      <c r="C691">
        <v>318457.48</v>
      </c>
      <c r="D691">
        <v>159228.74</v>
      </c>
      <c r="E691">
        <v>200628.21239999999</v>
      </c>
      <c r="F691">
        <v>79614.37</v>
      </c>
      <c r="G691">
        <v>757928.80239999993</v>
      </c>
    </row>
    <row r="692" spans="1:7" x14ac:dyDescent="0.35">
      <c r="A692" t="s">
        <v>723</v>
      </c>
      <c r="B692">
        <v>391629.9</v>
      </c>
      <c r="C692">
        <v>156651.96</v>
      </c>
      <c r="D692">
        <v>78325.98000000001</v>
      </c>
      <c r="E692">
        <v>98690.734799999977</v>
      </c>
      <c r="F692">
        <v>39162.990000000013</v>
      </c>
      <c r="G692">
        <v>372831.66480000003</v>
      </c>
    </row>
    <row r="693" spans="1:7" x14ac:dyDescent="0.35">
      <c r="A693" t="s">
        <v>724</v>
      </c>
      <c r="B693">
        <v>573209.1</v>
      </c>
      <c r="C693">
        <v>229283.64</v>
      </c>
      <c r="D693">
        <v>114641.82</v>
      </c>
      <c r="E693">
        <v>144448.69320000001</v>
      </c>
      <c r="F693">
        <v>57320.91</v>
      </c>
      <c r="G693">
        <v>545695.06319999998</v>
      </c>
    </row>
    <row r="694" spans="1:7" x14ac:dyDescent="0.35">
      <c r="A694" t="s">
        <v>725</v>
      </c>
      <c r="B694">
        <v>417224</v>
      </c>
      <c r="C694">
        <v>166889.60000000001</v>
      </c>
      <c r="D694">
        <v>83444.800000000003</v>
      </c>
      <c r="E694">
        <v>105140.448</v>
      </c>
      <c r="F694">
        <v>41722.400000000001</v>
      </c>
      <c r="G694">
        <v>397197.24800000002</v>
      </c>
    </row>
    <row r="695" spans="1:7" x14ac:dyDescent="0.35">
      <c r="A695" t="s">
        <v>726</v>
      </c>
      <c r="B695">
        <v>1121352</v>
      </c>
      <c r="C695">
        <v>448540.8</v>
      </c>
      <c r="D695">
        <v>224270.4</v>
      </c>
      <c r="E695">
        <v>282580.70399999991</v>
      </c>
      <c r="F695">
        <v>112135.2</v>
      </c>
      <c r="G695">
        <v>1067527.1040000001</v>
      </c>
    </row>
    <row r="696" spans="1:7" x14ac:dyDescent="0.35">
      <c r="A696" t="s">
        <v>727</v>
      </c>
      <c r="B696">
        <v>1104937</v>
      </c>
      <c r="C696">
        <v>441974.8</v>
      </c>
      <c r="D696">
        <v>220987.4</v>
      </c>
      <c r="E696">
        <v>278444.12399999978</v>
      </c>
      <c r="F696">
        <v>110493.7</v>
      </c>
      <c r="G696">
        <v>1051900.024</v>
      </c>
    </row>
    <row r="697" spans="1:7" x14ac:dyDescent="0.35">
      <c r="A697" t="s">
        <v>728</v>
      </c>
      <c r="B697">
        <v>647901</v>
      </c>
      <c r="C697">
        <v>259160.4</v>
      </c>
      <c r="D697">
        <v>129580.2</v>
      </c>
      <c r="E697">
        <v>163271.05199999991</v>
      </c>
      <c r="F697">
        <v>64790.100000000013</v>
      </c>
      <c r="G697">
        <v>616801.75199999998</v>
      </c>
    </row>
    <row r="698" spans="1:7" x14ac:dyDescent="0.35">
      <c r="A698" t="s">
        <v>729</v>
      </c>
      <c r="B698">
        <v>816584</v>
      </c>
      <c r="C698">
        <v>326633.59999999998</v>
      </c>
      <c r="D698">
        <v>163316.79999999999</v>
      </c>
      <c r="E698">
        <v>205779.16799999989</v>
      </c>
      <c r="F698">
        <v>81658.400000000009</v>
      </c>
      <c r="G698">
        <v>777387.96799999999</v>
      </c>
    </row>
    <row r="699" spans="1:7" x14ac:dyDescent="0.35">
      <c r="A699" t="s">
        <v>730</v>
      </c>
      <c r="B699">
        <v>564900.4</v>
      </c>
      <c r="C699">
        <v>225960.16</v>
      </c>
      <c r="D699">
        <v>112980.08</v>
      </c>
      <c r="E699">
        <v>142354.9008</v>
      </c>
      <c r="F699">
        <v>56490.040000000008</v>
      </c>
      <c r="G699">
        <v>537785.18080000009</v>
      </c>
    </row>
    <row r="700" spans="1:7" x14ac:dyDescent="0.35">
      <c r="A700" t="s">
        <v>731</v>
      </c>
      <c r="B700">
        <v>911957.25</v>
      </c>
      <c r="C700">
        <v>364782.9</v>
      </c>
      <c r="D700">
        <v>182391.45</v>
      </c>
      <c r="E700">
        <v>229813.22700000001</v>
      </c>
      <c r="F700">
        <v>91195.725000000006</v>
      </c>
      <c r="G700">
        <v>868183.30200000003</v>
      </c>
    </row>
    <row r="701" spans="1:7" x14ac:dyDescent="0.35">
      <c r="A701" t="s">
        <v>732</v>
      </c>
      <c r="B701">
        <v>832456</v>
      </c>
      <c r="C701">
        <v>332982.40000000002</v>
      </c>
      <c r="D701">
        <v>166491.20000000001</v>
      </c>
      <c r="E701">
        <v>209778.91199999989</v>
      </c>
      <c r="F701">
        <v>83245.600000000006</v>
      </c>
      <c r="G701">
        <v>792498.11199999985</v>
      </c>
    </row>
    <row r="702" spans="1:7" x14ac:dyDescent="0.35">
      <c r="A702" t="s">
        <v>733</v>
      </c>
      <c r="B702">
        <v>708641</v>
      </c>
      <c r="C702">
        <v>283456.40000000002</v>
      </c>
      <c r="D702">
        <v>141728.20000000001</v>
      </c>
      <c r="E702">
        <v>178577.53199999989</v>
      </c>
      <c r="F702">
        <v>70864.100000000006</v>
      </c>
      <c r="G702">
        <v>674626.23199999996</v>
      </c>
    </row>
    <row r="703" spans="1:7" x14ac:dyDescent="0.35">
      <c r="A703" t="s">
        <v>734</v>
      </c>
      <c r="B703">
        <v>921479.1</v>
      </c>
      <c r="C703">
        <v>368591.64</v>
      </c>
      <c r="D703">
        <v>184295.82</v>
      </c>
      <c r="E703">
        <v>232212.73319999999</v>
      </c>
      <c r="F703">
        <v>92147.91</v>
      </c>
      <c r="G703">
        <v>877248.10320000001</v>
      </c>
    </row>
    <row r="704" spans="1:7" x14ac:dyDescent="0.35">
      <c r="A704" t="s">
        <v>735</v>
      </c>
      <c r="B704">
        <v>1064080.75</v>
      </c>
      <c r="C704">
        <v>425632.3</v>
      </c>
      <c r="D704">
        <v>212816.15</v>
      </c>
      <c r="E704">
        <v>268148.34899999981</v>
      </c>
      <c r="F704">
        <v>106408.075</v>
      </c>
      <c r="G704">
        <v>1013004.874</v>
      </c>
    </row>
    <row r="705" spans="1:7" x14ac:dyDescent="0.35">
      <c r="A705" t="s">
        <v>736</v>
      </c>
      <c r="B705">
        <v>624153</v>
      </c>
      <c r="C705">
        <v>249661.2</v>
      </c>
      <c r="D705">
        <v>124830.6</v>
      </c>
      <c r="E705">
        <v>157286.55600000001</v>
      </c>
      <c r="F705">
        <v>62415.3</v>
      </c>
      <c r="G705">
        <v>594193.65600000008</v>
      </c>
    </row>
    <row r="706" spans="1:7" x14ac:dyDescent="0.35">
      <c r="A706" t="s">
        <v>737</v>
      </c>
      <c r="B706">
        <v>524417</v>
      </c>
      <c r="C706">
        <v>209766.8</v>
      </c>
      <c r="D706">
        <v>104883.4</v>
      </c>
      <c r="E706">
        <v>132153.084</v>
      </c>
      <c r="F706">
        <v>52441.7</v>
      </c>
      <c r="G706">
        <v>499244.984</v>
      </c>
    </row>
    <row r="707" spans="1:7" x14ac:dyDescent="0.35">
      <c r="A707" t="s">
        <v>738</v>
      </c>
      <c r="B707">
        <v>864734</v>
      </c>
      <c r="C707">
        <v>345893.6</v>
      </c>
      <c r="D707">
        <v>172946.8</v>
      </c>
      <c r="E707">
        <v>217912.96799999999</v>
      </c>
      <c r="F707">
        <v>86473.400000000009</v>
      </c>
      <c r="G707">
        <v>823226.76800000004</v>
      </c>
    </row>
    <row r="708" spans="1:7" x14ac:dyDescent="0.35">
      <c r="A708" t="s">
        <v>739</v>
      </c>
      <c r="B708">
        <v>533899</v>
      </c>
      <c r="C708">
        <v>213559.6</v>
      </c>
      <c r="D708">
        <v>106779.8</v>
      </c>
      <c r="E708">
        <v>134542.54800000001</v>
      </c>
      <c r="F708">
        <v>53389.9</v>
      </c>
      <c r="G708">
        <v>508271.848</v>
      </c>
    </row>
    <row r="709" spans="1:7" x14ac:dyDescent="0.35">
      <c r="A709" t="s">
        <v>740</v>
      </c>
      <c r="B709">
        <v>609348</v>
      </c>
      <c r="C709">
        <v>243739.2</v>
      </c>
      <c r="D709">
        <v>121869.6</v>
      </c>
      <c r="E709">
        <v>153555.69599999991</v>
      </c>
      <c r="F709">
        <v>60934.8</v>
      </c>
      <c r="G709">
        <v>580099.29599999997</v>
      </c>
    </row>
    <row r="710" spans="1:7" x14ac:dyDescent="0.35">
      <c r="A710" t="s">
        <v>741</v>
      </c>
      <c r="B710">
        <v>1407446</v>
      </c>
      <c r="C710">
        <v>562978.4</v>
      </c>
      <c r="D710">
        <v>281489.2</v>
      </c>
      <c r="E710">
        <v>354676.39199999999</v>
      </c>
      <c r="F710">
        <v>140744.6</v>
      </c>
      <c r="G710">
        <v>1339888.5919999999</v>
      </c>
    </row>
    <row r="711" spans="1:7" x14ac:dyDescent="0.35">
      <c r="A711" t="s">
        <v>742</v>
      </c>
      <c r="B711">
        <v>762301</v>
      </c>
      <c r="C711">
        <v>304920.40000000002</v>
      </c>
      <c r="D711">
        <v>152460.20000000001</v>
      </c>
      <c r="E711">
        <v>192099.85200000001</v>
      </c>
      <c r="F711">
        <v>76230.100000000006</v>
      </c>
      <c r="G711">
        <v>725710.55200000003</v>
      </c>
    </row>
    <row r="712" spans="1:7" x14ac:dyDescent="0.35">
      <c r="A712" t="s">
        <v>743</v>
      </c>
      <c r="B712">
        <v>975198</v>
      </c>
      <c r="C712">
        <v>390079.2</v>
      </c>
      <c r="D712">
        <v>195039.6</v>
      </c>
      <c r="E712">
        <v>245749.89599999989</v>
      </c>
      <c r="F712">
        <v>97519.8</v>
      </c>
      <c r="G712">
        <v>928388.49600000004</v>
      </c>
    </row>
    <row r="713" spans="1:7" x14ac:dyDescent="0.35">
      <c r="A713" t="s">
        <v>744</v>
      </c>
      <c r="B713">
        <v>941202</v>
      </c>
      <c r="C713">
        <v>376480.8</v>
      </c>
      <c r="D713">
        <v>188240.4</v>
      </c>
      <c r="E713">
        <v>237182.90399999989</v>
      </c>
      <c r="F713">
        <v>94120.200000000012</v>
      </c>
      <c r="G713">
        <v>896024.304</v>
      </c>
    </row>
    <row r="714" spans="1:7" x14ac:dyDescent="0.35">
      <c r="A714" t="s">
        <v>745</v>
      </c>
      <c r="B714">
        <v>737010</v>
      </c>
      <c r="C714">
        <v>294804</v>
      </c>
      <c r="D714">
        <v>147402</v>
      </c>
      <c r="E714">
        <v>185726.52</v>
      </c>
      <c r="F714">
        <v>73701</v>
      </c>
      <c r="G714">
        <v>701633.52</v>
      </c>
    </row>
    <row r="715" spans="1:7" x14ac:dyDescent="0.35">
      <c r="A715" t="s">
        <v>746</v>
      </c>
      <c r="B715">
        <v>689869</v>
      </c>
      <c r="C715">
        <v>275947.59999999998</v>
      </c>
      <c r="D715">
        <v>137973.79999999999</v>
      </c>
      <c r="E715">
        <v>173846.98800000001</v>
      </c>
      <c r="F715">
        <v>68986.900000000009</v>
      </c>
      <c r="G715">
        <v>656755.28800000006</v>
      </c>
    </row>
    <row r="716" spans="1:7" x14ac:dyDescent="0.35">
      <c r="A716" t="s">
        <v>747</v>
      </c>
      <c r="B716">
        <v>664001</v>
      </c>
      <c r="C716">
        <v>265600.40000000002</v>
      </c>
      <c r="D716">
        <v>132800.20000000001</v>
      </c>
      <c r="E716">
        <v>167328.25199999989</v>
      </c>
      <c r="F716">
        <v>66400.100000000006</v>
      </c>
      <c r="G716">
        <v>632128.95199999993</v>
      </c>
    </row>
    <row r="717" spans="1:7" x14ac:dyDescent="0.35">
      <c r="A717" t="s">
        <v>748</v>
      </c>
      <c r="B717">
        <v>931372.39999999991</v>
      </c>
      <c r="C717">
        <v>372548.96</v>
      </c>
      <c r="D717">
        <v>186274.48</v>
      </c>
      <c r="E717">
        <v>234705.84479999999</v>
      </c>
      <c r="F717">
        <v>93137.239999999991</v>
      </c>
      <c r="G717">
        <v>886666.5247999999</v>
      </c>
    </row>
    <row r="718" spans="1:7" x14ac:dyDescent="0.35">
      <c r="A718" t="s">
        <v>749</v>
      </c>
      <c r="B718">
        <v>998264.75</v>
      </c>
      <c r="C718">
        <v>399305.9</v>
      </c>
      <c r="D718">
        <v>199652.95</v>
      </c>
      <c r="E718">
        <v>251562.71699999989</v>
      </c>
      <c r="F718">
        <v>99826.475000000006</v>
      </c>
      <c r="G718">
        <v>950348.04200000002</v>
      </c>
    </row>
    <row r="719" spans="1:7" x14ac:dyDescent="0.35">
      <c r="A719" t="s">
        <v>750</v>
      </c>
      <c r="B719">
        <v>903054</v>
      </c>
      <c r="C719">
        <v>361221.6</v>
      </c>
      <c r="D719">
        <v>180610.8</v>
      </c>
      <c r="E719">
        <v>227569.60800000001</v>
      </c>
      <c r="F719">
        <v>90305.400000000009</v>
      </c>
      <c r="G719">
        <v>859707.40800000005</v>
      </c>
    </row>
    <row r="720" spans="1:7" x14ac:dyDescent="0.35">
      <c r="A720" t="s">
        <v>751</v>
      </c>
      <c r="B720">
        <v>740061</v>
      </c>
      <c r="C720">
        <v>296024.40000000002</v>
      </c>
      <c r="D720">
        <v>148012.20000000001</v>
      </c>
      <c r="E720">
        <v>186495.372</v>
      </c>
      <c r="F720">
        <v>74006.100000000006</v>
      </c>
      <c r="G720">
        <v>704538.07200000004</v>
      </c>
    </row>
    <row r="721" spans="1:7" x14ac:dyDescent="0.35">
      <c r="A721" t="s">
        <v>752</v>
      </c>
      <c r="B721">
        <v>976814</v>
      </c>
      <c r="C721">
        <v>390725.6</v>
      </c>
      <c r="D721">
        <v>195362.8</v>
      </c>
      <c r="E721">
        <v>246157.12799999991</v>
      </c>
      <c r="F721">
        <v>97681.400000000009</v>
      </c>
      <c r="G721">
        <v>929926.92799999996</v>
      </c>
    </row>
    <row r="722" spans="1:7" x14ac:dyDescent="0.35">
      <c r="A722" t="s">
        <v>753</v>
      </c>
      <c r="B722">
        <v>1304784</v>
      </c>
      <c r="C722">
        <v>521913.59999999998</v>
      </c>
      <c r="D722">
        <v>260956.79999999999</v>
      </c>
      <c r="E722">
        <v>328805.56800000003</v>
      </c>
      <c r="F722">
        <v>130478.39999999999</v>
      </c>
      <c r="G722">
        <v>1242154.368</v>
      </c>
    </row>
    <row r="723" spans="1:7" x14ac:dyDescent="0.35">
      <c r="A723" t="s">
        <v>754</v>
      </c>
      <c r="B723">
        <v>554965</v>
      </c>
      <c r="C723">
        <v>221986</v>
      </c>
      <c r="D723">
        <v>110993</v>
      </c>
      <c r="E723">
        <v>139851.18</v>
      </c>
      <c r="F723">
        <v>55496.5</v>
      </c>
      <c r="G723">
        <v>528326.67999999993</v>
      </c>
    </row>
    <row r="724" spans="1:7" x14ac:dyDescent="0.35">
      <c r="A724" t="s">
        <v>755</v>
      </c>
      <c r="B724">
        <v>982272</v>
      </c>
      <c r="C724">
        <v>392908.79999999999</v>
      </c>
      <c r="D724">
        <v>196454.39999999999</v>
      </c>
      <c r="E724">
        <v>247532.54399999991</v>
      </c>
      <c r="F724">
        <v>98227.200000000012</v>
      </c>
      <c r="G724">
        <v>935122.9439999999</v>
      </c>
    </row>
    <row r="725" spans="1:7" x14ac:dyDescent="0.35">
      <c r="A725" t="s">
        <v>756</v>
      </c>
      <c r="B725">
        <v>1108608</v>
      </c>
      <c r="C725">
        <v>443443.20000000001</v>
      </c>
      <c r="D725">
        <v>221721.60000000001</v>
      </c>
      <c r="E725">
        <v>279369.2159999999</v>
      </c>
      <c r="F725">
        <v>110860.8</v>
      </c>
      <c r="G725">
        <v>1055394.8160000001</v>
      </c>
    </row>
    <row r="726" spans="1:7" x14ac:dyDescent="0.35">
      <c r="A726" t="s">
        <v>757</v>
      </c>
      <c r="B726">
        <v>777481.89999999991</v>
      </c>
      <c r="C726">
        <v>310992.76</v>
      </c>
      <c r="D726">
        <v>155496.38</v>
      </c>
      <c r="E726">
        <v>195925.43880000009</v>
      </c>
      <c r="F726">
        <v>77748.189999999988</v>
      </c>
      <c r="G726">
        <v>740162.76879999996</v>
      </c>
    </row>
    <row r="727" spans="1:7" x14ac:dyDescent="0.35">
      <c r="A727" t="s">
        <v>758</v>
      </c>
      <c r="B727">
        <v>1210973.55</v>
      </c>
      <c r="C727">
        <v>484389.42</v>
      </c>
      <c r="D727">
        <v>242194.71</v>
      </c>
      <c r="E727">
        <v>305165.33459999989</v>
      </c>
      <c r="F727">
        <v>121097.355</v>
      </c>
      <c r="G727">
        <v>1152846.8196</v>
      </c>
    </row>
    <row r="728" spans="1:7" x14ac:dyDescent="0.35">
      <c r="A728" t="s">
        <v>759</v>
      </c>
      <c r="B728">
        <v>1137641</v>
      </c>
      <c r="C728">
        <v>455056.4</v>
      </c>
      <c r="D728">
        <v>227528.2</v>
      </c>
      <c r="E728">
        <v>286685.53199999989</v>
      </c>
      <c r="F728">
        <v>113764.1</v>
      </c>
      <c r="G728">
        <v>1083034.2320000001</v>
      </c>
    </row>
    <row r="729" spans="1:7" x14ac:dyDescent="0.35">
      <c r="A729" t="s">
        <v>760</v>
      </c>
      <c r="B729">
        <v>1115480.5</v>
      </c>
      <c r="C729">
        <v>446192.2</v>
      </c>
      <c r="D729">
        <v>223096.1</v>
      </c>
      <c r="E729">
        <v>281101.08599999989</v>
      </c>
      <c r="F729">
        <v>111548.05</v>
      </c>
      <c r="G729">
        <v>1061937.436</v>
      </c>
    </row>
    <row r="730" spans="1:7" x14ac:dyDescent="0.35">
      <c r="A730" t="s">
        <v>761</v>
      </c>
      <c r="B730">
        <v>1025472.75</v>
      </c>
      <c r="C730">
        <v>410189.1</v>
      </c>
      <c r="D730">
        <v>205094.55</v>
      </c>
      <c r="E730">
        <v>258419.13299999991</v>
      </c>
      <c r="F730">
        <v>102547.27499999999</v>
      </c>
      <c r="G730">
        <v>976250.05799999996</v>
      </c>
    </row>
    <row r="731" spans="1:7" x14ac:dyDescent="0.35">
      <c r="A731" t="s">
        <v>762</v>
      </c>
      <c r="B731">
        <v>481370</v>
      </c>
      <c r="C731">
        <v>192548</v>
      </c>
      <c r="D731">
        <v>96274</v>
      </c>
      <c r="E731">
        <v>121305.24</v>
      </c>
      <c r="F731">
        <v>48137</v>
      </c>
      <c r="G731">
        <v>458264.24</v>
      </c>
    </row>
    <row r="732" spans="1:7" x14ac:dyDescent="0.35">
      <c r="A732" t="s">
        <v>763</v>
      </c>
      <c r="B732">
        <v>900660</v>
      </c>
      <c r="C732">
        <v>360264</v>
      </c>
      <c r="D732">
        <v>180132</v>
      </c>
      <c r="E732">
        <v>226966.31999999989</v>
      </c>
      <c r="F732">
        <v>90066</v>
      </c>
      <c r="G732">
        <v>857428.32</v>
      </c>
    </row>
    <row r="733" spans="1:7" x14ac:dyDescent="0.35">
      <c r="A733" t="s">
        <v>764</v>
      </c>
      <c r="B733">
        <v>589076</v>
      </c>
      <c r="C733">
        <v>235630.4</v>
      </c>
      <c r="D733">
        <v>117815.2</v>
      </c>
      <c r="E733">
        <v>148447.15199999991</v>
      </c>
      <c r="F733">
        <v>58907.600000000013</v>
      </c>
      <c r="G733">
        <v>560800.35199999996</v>
      </c>
    </row>
    <row r="734" spans="1:7" x14ac:dyDescent="0.35">
      <c r="A734" t="s">
        <v>765</v>
      </c>
      <c r="B734">
        <v>446536</v>
      </c>
      <c r="C734">
        <v>178614.39999999999</v>
      </c>
      <c r="D734">
        <v>89307.200000000012</v>
      </c>
      <c r="E734">
        <v>112527.0719999999</v>
      </c>
      <c r="F734">
        <v>44653.600000000013</v>
      </c>
      <c r="G734">
        <v>425102.272</v>
      </c>
    </row>
    <row r="735" spans="1:7" x14ac:dyDescent="0.35">
      <c r="A735" t="s">
        <v>766</v>
      </c>
      <c r="B735">
        <v>814200.35</v>
      </c>
      <c r="C735">
        <v>325680.14</v>
      </c>
      <c r="D735">
        <v>162840.07</v>
      </c>
      <c r="E735">
        <v>205178.48819999999</v>
      </c>
      <c r="F735">
        <v>81420.035000000003</v>
      </c>
      <c r="G735">
        <v>775118.73320000002</v>
      </c>
    </row>
    <row r="736" spans="1:7" x14ac:dyDescent="0.35">
      <c r="A736" t="s">
        <v>767</v>
      </c>
      <c r="B736">
        <v>1043609</v>
      </c>
      <c r="C736">
        <v>417443.6</v>
      </c>
      <c r="D736">
        <v>208721.8</v>
      </c>
      <c r="E736">
        <v>262989.46799999999</v>
      </c>
      <c r="F736">
        <v>104360.9</v>
      </c>
      <c r="G736">
        <v>993515.76800000004</v>
      </c>
    </row>
    <row r="737" spans="1:7" x14ac:dyDescent="0.35">
      <c r="A737" t="s">
        <v>768</v>
      </c>
      <c r="B737">
        <v>334489</v>
      </c>
      <c r="C737">
        <v>133795.6</v>
      </c>
      <c r="D737">
        <v>66897.8</v>
      </c>
      <c r="E737">
        <v>84291.227999999974</v>
      </c>
      <c r="F737">
        <v>33448.9</v>
      </c>
      <c r="G737">
        <v>318433.52799999999</v>
      </c>
    </row>
    <row r="738" spans="1:7" x14ac:dyDescent="0.35">
      <c r="A738" t="s">
        <v>769</v>
      </c>
      <c r="B738">
        <v>1213132</v>
      </c>
      <c r="C738">
        <v>485252.8</v>
      </c>
      <c r="D738">
        <v>242626.4</v>
      </c>
      <c r="E738">
        <v>305709.26399999991</v>
      </c>
      <c r="F738">
        <v>121313.2</v>
      </c>
      <c r="G738">
        <v>1154901.6640000001</v>
      </c>
    </row>
    <row r="739" spans="1:7" x14ac:dyDescent="0.35">
      <c r="A739" t="s">
        <v>770</v>
      </c>
      <c r="B739">
        <v>1341435.1499999999</v>
      </c>
      <c r="C739">
        <v>536574.05999999994</v>
      </c>
      <c r="D739">
        <v>268287.03000000003</v>
      </c>
      <c r="E739">
        <v>338041.65779999999</v>
      </c>
      <c r="F739">
        <v>134143.51500000001</v>
      </c>
      <c r="G739">
        <v>1277046.2627999999</v>
      </c>
    </row>
    <row r="740" spans="1:7" x14ac:dyDescent="0.35">
      <c r="A740" t="s">
        <v>771</v>
      </c>
      <c r="B740">
        <v>959098</v>
      </c>
      <c r="C740">
        <v>383639.2</v>
      </c>
      <c r="D740">
        <v>191819.6</v>
      </c>
      <c r="E740">
        <v>241692.69599999991</v>
      </c>
      <c r="F740">
        <v>95909.8</v>
      </c>
      <c r="G740">
        <v>913061.29599999997</v>
      </c>
    </row>
    <row r="741" spans="1:7" x14ac:dyDescent="0.35">
      <c r="A741" t="s">
        <v>772</v>
      </c>
      <c r="B741">
        <v>786860</v>
      </c>
      <c r="C741">
        <v>314744</v>
      </c>
      <c r="D741">
        <v>157372</v>
      </c>
      <c r="E741">
        <v>198288.72</v>
      </c>
      <c r="F741">
        <v>78686</v>
      </c>
      <c r="G741">
        <v>749090.72</v>
      </c>
    </row>
    <row r="742" spans="1:7" x14ac:dyDescent="0.35">
      <c r="A742" t="s">
        <v>773</v>
      </c>
      <c r="B742">
        <v>973726.25</v>
      </c>
      <c r="C742">
        <v>389490.5</v>
      </c>
      <c r="D742">
        <v>194745.25</v>
      </c>
      <c r="E742">
        <v>245379.01500000001</v>
      </c>
      <c r="F742">
        <v>97372.625</v>
      </c>
      <c r="G742">
        <v>926987.39</v>
      </c>
    </row>
    <row r="743" spans="1:7" x14ac:dyDescent="0.35">
      <c r="A743" t="s">
        <v>774</v>
      </c>
      <c r="B743">
        <v>827774</v>
      </c>
      <c r="C743">
        <v>331109.59999999998</v>
      </c>
      <c r="D743">
        <v>165554.79999999999</v>
      </c>
      <c r="E743">
        <v>208599.04800000001</v>
      </c>
      <c r="F743">
        <v>82777.400000000009</v>
      </c>
      <c r="G743">
        <v>788040.848</v>
      </c>
    </row>
    <row r="744" spans="1:7" x14ac:dyDescent="0.35">
      <c r="A744" t="s">
        <v>775</v>
      </c>
      <c r="B744">
        <v>1205099.7</v>
      </c>
      <c r="C744">
        <v>482039.88</v>
      </c>
      <c r="D744">
        <v>241019.94</v>
      </c>
      <c r="E744">
        <v>303685.12439999997</v>
      </c>
      <c r="F744">
        <v>120509.97</v>
      </c>
      <c r="G744">
        <v>1147254.9143999999</v>
      </c>
    </row>
    <row r="745" spans="1:7" x14ac:dyDescent="0.35">
      <c r="A745" t="s">
        <v>776</v>
      </c>
      <c r="B745">
        <v>1029269.9</v>
      </c>
      <c r="C745">
        <v>411707.96</v>
      </c>
      <c r="D745">
        <v>205853.98</v>
      </c>
      <c r="E745">
        <v>259376.0148</v>
      </c>
      <c r="F745">
        <v>102926.99</v>
      </c>
      <c r="G745">
        <v>979864.94480000006</v>
      </c>
    </row>
    <row r="746" spans="1:7" x14ac:dyDescent="0.35">
      <c r="A746" t="s">
        <v>777</v>
      </c>
      <c r="B746">
        <v>545617</v>
      </c>
      <c r="C746">
        <v>218246.8</v>
      </c>
      <c r="D746">
        <v>109123.4</v>
      </c>
      <c r="E746">
        <v>137495.484</v>
      </c>
      <c r="F746">
        <v>54561.7</v>
      </c>
      <c r="G746">
        <v>519427.38400000002</v>
      </c>
    </row>
    <row r="747" spans="1:7" x14ac:dyDescent="0.35">
      <c r="A747" t="s">
        <v>778</v>
      </c>
      <c r="B747">
        <v>1296290</v>
      </c>
      <c r="C747">
        <v>518516</v>
      </c>
      <c r="D747">
        <v>259258</v>
      </c>
      <c r="E747">
        <v>326665.08</v>
      </c>
      <c r="F747">
        <v>129629</v>
      </c>
      <c r="G747">
        <v>1234068.08</v>
      </c>
    </row>
    <row r="748" spans="1:7" x14ac:dyDescent="0.35">
      <c r="A748" t="s">
        <v>779</v>
      </c>
      <c r="B748">
        <v>1224985.1000000001</v>
      </c>
      <c r="C748">
        <v>489994.04</v>
      </c>
      <c r="D748">
        <v>244997.02</v>
      </c>
      <c r="E748">
        <v>308696.2452</v>
      </c>
      <c r="F748">
        <v>122498.51</v>
      </c>
      <c r="G748">
        <v>1166185.8152000001</v>
      </c>
    </row>
    <row r="749" spans="1:7" x14ac:dyDescent="0.35">
      <c r="A749" t="s">
        <v>780</v>
      </c>
      <c r="B749">
        <v>975174.04999999993</v>
      </c>
      <c r="C749">
        <v>390069.62</v>
      </c>
      <c r="D749">
        <v>195034.81</v>
      </c>
      <c r="E749">
        <v>245743.86060000001</v>
      </c>
      <c r="F749">
        <v>97517.404999999999</v>
      </c>
      <c r="G749">
        <v>928365.69559999998</v>
      </c>
    </row>
    <row r="750" spans="1:7" x14ac:dyDescent="0.35">
      <c r="A750" t="s">
        <v>781</v>
      </c>
      <c r="B750">
        <v>545633</v>
      </c>
      <c r="C750">
        <v>218253.2</v>
      </c>
      <c r="D750">
        <v>109126.6</v>
      </c>
      <c r="E750">
        <v>137499.51599999989</v>
      </c>
      <c r="F750">
        <v>54563.3</v>
      </c>
      <c r="G750">
        <v>519442.61599999998</v>
      </c>
    </row>
    <row r="751" spans="1:7" x14ac:dyDescent="0.35">
      <c r="A751" t="s">
        <v>782</v>
      </c>
      <c r="B751">
        <v>1099028.3999999999</v>
      </c>
      <c r="C751">
        <v>439611.36</v>
      </c>
      <c r="D751">
        <v>219805.68</v>
      </c>
      <c r="E751">
        <v>276955.15679999988</v>
      </c>
      <c r="F751">
        <v>109902.84</v>
      </c>
      <c r="G751">
        <v>1046275.0368</v>
      </c>
    </row>
    <row r="752" spans="1:7" x14ac:dyDescent="0.35">
      <c r="A752" t="s">
        <v>783</v>
      </c>
      <c r="B752">
        <v>604893.5</v>
      </c>
      <c r="C752">
        <v>241957.4</v>
      </c>
      <c r="D752">
        <v>120978.7</v>
      </c>
      <c r="E752">
        <v>152433.16200000001</v>
      </c>
      <c r="F752">
        <v>60489.350000000013</v>
      </c>
      <c r="G752">
        <v>575858.61199999996</v>
      </c>
    </row>
    <row r="753" spans="1:7" x14ac:dyDescent="0.35">
      <c r="A753" t="s">
        <v>784</v>
      </c>
      <c r="B753">
        <v>477069</v>
      </c>
      <c r="C753">
        <v>190827.6</v>
      </c>
      <c r="D753">
        <v>95413.8</v>
      </c>
      <c r="E753">
        <v>120221.38800000001</v>
      </c>
      <c r="F753">
        <v>47706.9</v>
      </c>
      <c r="G753">
        <v>454169.68800000002</v>
      </c>
    </row>
    <row r="754" spans="1:7" x14ac:dyDescent="0.35">
      <c r="A754" t="s">
        <v>785</v>
      </c>
      <c r="B754">
        <v>763344</v>
      </c>
      <c r="C754">
        <v>305337.59999999998</v>
      </c>
      <c r="D754">
        <v>152668.79999999999</v>
      </c>
      <c r="E754">
        <v>192362.68799999999</v>
      </c>
      <c r="F754">
        <v>76334.400000000009</v>
      </c>
      <c r="G754">
        <v>726703.48800000001</v>
      </c>
    </row>
    <row r="755" spans="1:7" x14ac:dyDescent="0.35">
      <c r="A755" t="s">
        <v>786</v>
      </c>
      <c r="B755">
        <v>1167418.8999999999</v>
      </c>
      <c r="C755">
        <v>466967.56</v>
      </c>
      <c r="D755">
        <v>233483.78</v>
      </c>
      <c r="E755">
        <v>294189.56280000001</v>
      </c>
      <c r="F755">
        <v>116741.89</v>
      </c>
      <c r="G755">
        <v>1111382.7927999999</v>
      </c>
    </row>
    <row r="756" spans="1:7" x14ac:dyDescent="0.35">
      <c r="A756" t="s">
        <v>787</v>
      </c>
      <c r="B756">
        <v>1048719.25</v>
      </c>
      <c r="C756">
        <v>419487.7</v>
      </c>
      <c r="D756">
        <v>209743.85</v>
      </c>
      <c r="E756">
        <v>264277.25099999987</v>
      </c>
      <c r="F756">
        <v>104871.925</v>
      </c>
      <c r="G756">
        <v>998380.72600000002</v>
      </c>
    </row>
    <row r="757" spans="1:7" x14ac:dyDescent="0.35">
      <c r="A757" t="s">
        <v>788</v>
      </c>
      <c r="B757">
        <v>565231</v>
      </c>
      <c r="C757">
        <v>226092.4</v>
      </c>
      <c r="D757">
        <v>113046.2</v>
      </c>
      <c r="E757">
        <v>142438.21199999991</v>
      </c>
      <c r="F757">
        <v>56523.100000000013</v>
      </c>
      <c r="G757">
        <v>538099.91200000001</v>
      </c>
    </row>
    <row r="758" spans="1:7" x14ac:dyDescent="0.35">
      <c r="A758" t="s">
        <v>789</v>
      </c>
      <c r="B758">
        <v>1081389</v>
      </c>
      <c r="C758">
        <v>432555.6</v>
      </c>
      <c r="D758">
        <v>216277.8</v>
      </c>
      <c r="E758">
        <v>272510.02799999987</v>
      </c>
      <c r="F758">
        <v>108138.9</v>
      </c>
      <c r="G758">
        <v>1029482.328</v>
      </c>
    </row>
    <row r="759" spans="1:7" x14ac:dyDescent="0.35">
      <c r="A759" t="s">
        <v>790</v>
      </c>
      <c r="B759">
        <v>796164.6</v>
      </c>
      <c r="C759">
        <v>318465.84000000003</v>
      </c>
      <c r="D759">
        <v>159232.92000000001</v>
      </c>
      <c r="E759">
        <v>200633.47920000009</v>
      </c>
      <c r="F759">
        <v>79616.460000000006</v>
      </c>
      <c r="G759">
        <v>757948.69920000003</v>
      </c>
    </row>
    <row r="760" spans="1:7" x14ac:dyDescent="0.35">
      <c r="A760" t="s">
        <v>791</v>
      </c>
      <c r="B760">
        <v>871386</v>
      </c>
      <c r="C760">
        <v>348554.4</v>
      </c>
      <c r="D760">
        <v>174277.2</v>
      </c>
      <c r="E760">
        <v>219589.27199999991</v>
      </c>
      <c r="F760">
        <v>87138.6</v>
      </c>
      <c r="G760">
        <v>829559.47199999995</v>
      </c>
    </row>
    <row r="761" spans="1:7" x14ac:dyDescent="0.35">
      <c r="A761" t="s">
        <v>792</v>
      </c>
      <c r="B761">
        <v>670487.19999999995</v>
      </c>
      <c r="C761">
        <v>268194.88</v>
      </c>
      <c r="D761">
        <v>134097.44</v>
      </c>
      <c r="E761">
        <v>168962.77439999991</v>
      </c>
      <c r="F761">
        <v>67048.72</v>
      </c>
      <c r="G761">
        <v>638303.81439999992</v>
      </c>
    </row>
    <row r="762" spans="1:7" x14ac:dyDescent="0.35">
      <c r="A762" t="s">
        <v>793</v>
      </c>
      <c r="B762">
        <v>916450.75</v>
      </c>
      <c r="C762">
        <v>366580.3</v>
      </c>
      <c r="D762">
        <v>183290.15</v>
      </c>
      <c r="E762">
        <v>230945.5889999998</v>
      </c>
      <c r="F762">
        <v>91645.075000000012</v>
      </c>
      <c r="G762">
        <v>872461.11399999983</v>
      </c>
    </row>
    <row r="763" spans="1:7" x14ac:dyDescent="0.35">
      <c r="A763" t="s">
        <v>794</v>
      </c>
      <c r="B763">
        <v>989739</v>
      </c>
      <c r="C763">
        <v>395895.6</v>
      </c>
      <c r="D763">
        <v>197947.8</v>
      </c>
      <c r="E763">
        <v>249414.228</v>
      </c>
      <c r="F763">
        <v>98973.900000000009</v>
      </c>
      <c r="G763">
        <v>942231.52800000005</v>
      </c>
    </row>
    <row r="764" spans="1:7" x14ac:dyDescent="0.35">
      <c r="A764" t="s">
        <v>795</v>
      </c>
      <c r="B764">
        <v>709168.35</v>
      </c>
      <c r="C764">
        <v>283667.34000000003</v>
      </c>
      <c r="D764">
        <v>141833.67000000001</v>
      </c>
      <c r="E764">
        <v>178710.42419999989</v>
      </c>
      <c r="F764">
        <v>70916.835000000006</v>
      </c>
      <c r="G764">
        <v>675128.26919999986</v>
      </c>
    </row>
    <row r="765" spans="1:7" x14ac:dyDescent="0.35">
      <c r="A765" t="s">
        <v>796</v>
      </c>
      <c r="B765">
        <v>863834.04999999993</v>
      </c>
      <c r="C765">
        <v>345533.62</v>
      </c>
      <c r="D765">
        <v>172766.81</v>
      </c>
      <c r="E765">
        <v>217686.18059999999</v>
      </c>
      <c r="F765">
        <v>86383.404999999999</v>
      </c>
      <c r="G765">
        <v>822370.01560000004</v>
      </c>
    </row>
    <row r="766" spans="1:7" x14ac:dyDescent="0.35">
      <c r="A766" t="s">
        <v>797</v>
      </c>
      <c r="B766">
        <v>774461.85</v>
      </c>
      <c r="C766">
        <v>309784.74</v>
      </c>
      <c r="D766">
        <v>154892.37</v>
      </c>
      <c r="E766">
        <v>195164.3862000001</v>
      </c>
      <c r="F766">
        <v>77446.184999999998</v>
      </c>
      <c r="G766">
        <v>737287.68119999999</v>
      </c>
    </row>
    <row r="767" spans="1:7" x14ac:dyDescent="0.35">
      <c r="A767" t="s">
        <v>798</v>
      </c>
      <c r="B767">
        <v>767079</v>
      </c>
      <c r="C767">
        <v>306831.59999999998</v>
      </c>
      <c r="D767">
        <v>153415.79999999999</v>
      </c>
      <c r="E767">
        <v>193303.90799999991</v>
      </c>
      <c r="F767">
        <v>76707.900000000009</v>
      </c>
      <c r="G767">
        <v>730259.20799999998</v>
      </c>
    </row>
    <row r="768" spans="1:7" x14ac:dyDescent="0.35">
      <c r="A768" t="s">
        <v>799</v>
      </c>
      <c r="B768">
        <v>783773</v>
      </c>
      <c r="C768">
        <v>313509.2</v>
      </c>
      <c r="D768">
        <v>156754.6</v>
      </c>
      <c r="E768">
        <v>197510.79599999989</v>
      </c>
      <c r="F768">
        <v>78377.3</v>
      </c>
      <c r="G768">
        <v>746151.89599999995</v>
      </c>
    </row>
    <row r="769" spans="1:7" x14ac:dyDescent="0.35">
      <c r="A769" t="s">
        <v>800</v>
      </c>
      <c r="B769">
        <v>584626</v>
      </c>
      <c r="C769">
        <v>233850.4</v>
      </c>
      <c r="D769">
        <v>116925.2</v>
      </c>
      <c r="E769">
        <v>147325.75199999989</v>
      </c>
      <c r="F769">
        <v>58462.600000000013</v>
      </c>
      <c r="G769">
        <v>556563.95199999993</v>
      </c>
    </row>
    <row r="770" spans="1:7" x14ac:dyDescent="0.35">
      <c r="A770" t="s">
        <v>801</v>
      </c>
      <c r="B770">
        <v>980372.45</v>
      </c>
      <c r="C770">
        <v>392148.98</v>
      </c>
      <c r="D770">
        <v>196074.49</v>
      </c>
      <c r="E770">
        <v>247053.85740000001</v>
      </c>
      <c r="F770">
        <v>98037.244999999995</v>
      </c>
      <c r="G770">
        <v>933314.57239999995</v>
      </c>
    </row>
    <row r="771" spans="1:7" x14ac:dyDescent="0.35">
      <c r="A771" t="s">
        <v>802</v>
      </c>
      <c r="B771">
        <v>429282</v>
      </c>
      <c r="C771">
        <v>171712.8</v>
      </c>
      <c r="D771">
        <v>85856.400000000009</v>
      </c>
      <c r="E771">
        <v>108179.064</v>
      </c>
      <c r="F771">
        <v>42928.2</v>
      </c>
      <c r="G771">
        <v>408676.46399999998</v>
      </c>
    </row>
    <row r="772" spans="1:7" x14ac:dyDescent="0.35">
      <c r="A772" t="s">
        <v>803</v>
      </c>
      <c r="B772">
        <v>854842.29999999993</v>
      </c>
      <c r="C772">
        <v>341936.92</v>
      </c>
      <c r="D772">
        <v>170968.46</v>
      </c>
      <c r="E772">
        <v>215420.25959999999</v>
      </c>
      <c r="F772">
        <v>85484.23</v>
      </c>
      <c r="G772">
        <v>813809.86959999998</v>
      </c>
    </row>
    <row r="773" spans="1:7" x14ac:dyDescent="0.35">
      <c r="A773" t="s">
        <v>804</v>
      </c>
      <c r="B773">
        <v>833579</v>
      </c>
      <c r="C773">
        <v>333431.59999999998</v>
      </c>
      <c r="D773">
        <v>166715.79999999999</v>
      </c>
      <c r="E773">
        <v>210061.90799999991</v>
      </c>
      <c r="F773">
        <v>83357.900000000009</v>
      </c>
      <c r="G773">
        <v>793567.20799999998</v>
      </c>
    </row>
    <row r="774" spans="1:7" x14ac:dyDescent="0.35">
      <c r="A774" t="s">
        <v>805</v>
      </c>
      <c r="B774">
        <v>820115.04999999993</v>
      </c>
      <c r="C774">
        <v>328046.02</v>
      </c>
      <c r="D774">
        <v>164023.01</v>
      </c>
      <c r="E774">
        <v>206668.99259999991</v>
      </c>
      <c r="F774">
        <v>82011.505000000005</v>
      </c>
      <c r="G774">
        <v>780749.52759999991</v>
      </c>
    </row>
    <row r="775" spans="1:7" x14ac:dyDescent="0.35">
      <c r="A775" t="s">
        <v>806</v>
      </c>
      <c r="B775">
        <v>1145493.8500000001</v>
      </c>
      <c r="C775">
        <v>458197.54</v>
      </c>
      <c r="D775">
        <v>229098.77</v>
      </c>
      <c r="E775">
        <v>288664.45020000008</v>
      </c>
      <c r="F775">
        <v>114549.38499999999</v>
      </c>
      <c r="G775">
        <v>1090510.1451999999</v>
      </c>
    </row>
    <row r="776" spans="1:7" x14ac:dyDescent="0.35">
      <c r="A776" t="s">
        <v>807</v>
      </c>
      <c r="B776">
        <v>627018</v>
      </c>
      <c r="C776">
        <v>250807.2</v>
      </c>
      <c r="D776">
        <v>125403.6</v>
      </c>
      <c r="E776">
        <v>158008.53599999999</v>
      </c>
      <c r="F776">
        <v>62701.8</v>
      </c>
      <c r="G776">
        <v>596921.13600000006</v>
      </c>
    </row>
    <row r="777" spans="1:7" x14ac:dyDescent="0.35">
      <c r="A777" t="s">
        <v>808</v>
      </c>
      <c r="B777">
        <v>891945.5</v>
      </c>
      <c r="C777">
        <v>356778.2</v>
      </c>
      <c r="D777">
        <v>178389.1</v>
      </c>
      <c r="E777">
        <v>224770.26599999989</v>
      </c>
      <c r="F777">
        <v>89194.55</v>
      </c>
      <c r="G777">
        <v>849132.11600000004</v>
      </c>
    </row>
    <row r="778" spans="1:7" x14ac:dyDescent="0.35">
      <c r="A778" t="s">
        <v>809</v>
      </c>
      <c r="B778">
        <v>1364701</v>
      </c>
      <c r="C778">
        <v>545880.4</v>
      </c>
      <c r="D778">
        <v>272940.2</v>
      </c>
      <c r="E778">
        <v>343904.65199999989</v>
      </c>
      <c r="F778">
        <v>136470.1</v>
      </c>
      <c r="G778">
        <v>1299195.352</v>
      </c>
    </row>
    <row r="779" spans="1:7" x14ac:dyDescent="0.35">
      <c r="A779" t="s">
        <v>810</v>
      </c>
      <c r="B779">
        <v>495312</v>
      </c>
      <c r="C779">
        <v>198124.79999999999</v>
      </c>
      <c r="D779">
        <v>99062.400000000009</v>
      </c>
      <c r="E779">
        <v>124818.624</v>
      </c>
      <c r="F779">
        <v>49531.199999999997</v>
      </c>
      <c r="G779">
        <v>471537.02399999998</v>
      </c>
    </row>
    <row r="780" spans="1:7" x14ac:dyDescent="0.35">
      <c r="A780" t="s">
        <v>811</v>
      </c>
      <c r="B780">
        <v>792866.2</v>
      </c>
      <c r="C780">
        <v>317146.48</v>
      </c>
      <c r="D780">
        <v>158573.24</v>
      </c>
      <c r="E780">
        <v>199802.2824</v>
      </c>
      <c r="F780">
        <v>79286.62</v>
      </c>
      <c r="G780">
        <v>754808.62239999999</v>
      </c>
    </row>
    <row r="781" spans="1:7" x14ac:dyDescent="0.35">
      <c r="A781" t="s">
        <v>812</v>
      </c>
      <c r="B781">
        <v>435308</v>
      </c>
      <c r="C781">
        <v>174123.2</v>
      </c>
      <c r="D781">
        <v>87061.6</v>
      </c>
      <c r="E781">
        <v>109697.61599999999</v>
      </c>
      <c r="F781">
        <v>43530.8</v>
      </c>
      <c r="G781">
        <v>414413.21600000001</v>
      </c>
    </row>
    <row r="782" spans="1:7" x14ac:dyDescent="0.35">
      <c r="A782" t="s">
        <v>813</v>
      </c>
      <c r="B782">
        <v>955554</v>
      </c>
      <c r="C782">
        <v>382221.6</v>
      </c>
      <c r="D782">
        <v>191110.8</v>
      </c>
      <c r="E782">
        <v>240799.60800000001</v>
      </c>
      <c r="F782">
        <v>95555.400000000009</v>
      </c>
      <c r="G782">
        <v>909687.40800000005</v>
      </c>
    </row>
    <row r="783" spans="1:7" x14ac:dyDescent="0.35">
      <c r="A783" t="s">
        <v>814</v>
      </c>
      <c r="B783">
        <v>1016488.6</v>
      </c>
      <c r="C783">
        <v>406595.44</v>
      </c>
      <c r="D783">
        <v>203297.72</v>
      </c>
      <c r="E783">
        <v>256155.12719999999</v>
      </c>
      <c r="F783">
        <v>101648.86</v>
      </c>
      <c r="G783">
        <v>967697.14720000001</v>
      </c>
    </row>
    <row r="784" spans="1:7" x14ac:dyDescent="0.35">
      <c r="A784" t="s">
        <v>815</v>
      </c>
      <c r="B784">
        <v>710215</v>
      </c>
      <c r="C784">
        <v>284086</v>
      </c>
      <c r="D784">
        <v>142043</v>
      </c>
      <c r="E784">
        <v>178974.18000000011</v>
      </c>
      <c r="F784">
        <v>71021.5</v>
      </c>
      <c r="G784">
        <v>676124.68</v>
      </c>
    </row>
    <row r="785" spans="1:7" x14ac:dyDescent="0.35">
      <c r="A785" t="s">
        <v>816</v>
      </c>
      <c r="B785">
        <v>834232</v>
      </c>
      <c r="C785">
        <v>333692.79999999999</v>
      </c>
      <c r="D785">
        <v>166846.39999999999</v>
      </c>
      <c r="E785">
        <v>210226.4639999998</v>
      </c>
      <c r="F785">
        <v>83423.200000000012</v>
      </c>
      <c r="G785">
        <v>794188.86399999983</v>
      </c>
    </row>
    <row r="786" spans="1:7" x14ac:dyDescent="0.35">
      <c r="A786" t="s">
        <v>817</v>
      </c>
      <c r="B786">
        <v>619994.69999999995</v>
      </c>
      <c r="C786">
        <v>247997.88</v>
      </c>
      <c r="D786">
        <v>123998.94</v>
      </c>
      <c r="E786">
        <v>156238.66439999989</v>
      </c>
      <c r="F786">
        <v>61999.47</v>
      </c>
      <c r="G786">
        <v>590234.95439999993</v>
      </c>
    </row>
    <row r="787" spans="1:7" x14ac:dyDescent="0.35">
      <c r="A787" t="s">
        <v>818</v>
      </c>
      <c r="B787">
        <v>983304.14999999991</v>
      </c>
      <c r="C787">
        <v>393321.66</v>
      </c>
      <c r="D787">
        <v>196660.83</v>
      </c>
      <c r="E787">
        <v>247792.64579999979</v>
      </c>
      <c r="F787">
        <v>98330.414999999994</v>
      </c>
      <c r="G787">
        <v>936105.55079999985</v>
      </c>
    </row>
    <row r="788" spans="1:7" x14ac:dyDescent="0.35">
      <c r="A788" t="s">
        <v>819</v>
      </c>
      <c r="B788">
        <v>543201.44999999995</v>
      </c>
      <c r="C788">
        <v>217280.58</v>
      </c>
      <c r="D788">
        <v>108640.29</v>
      </c>
      <c r="E788">
        <v>136886.76539999989</v>
      </c>
      <c r="F788">
        <v>54320.144999999997</v>
      </c>
      <c r="G788">
        <v>517127.78039999987</v>
      </c>
    </row>
    <row r="789" spans="1:7" x14ac:dyDescent="0.35">
      <c r="A789" t="s">
        <v>820</v>
      </c>
      <c r="B789">
        <v>1117461.25</v>
      </c>
      <c r="C789">
        <v>446984.5</v>
      </c>
      <c r="D789">
        <v>223492.25</v>
      </c>
      <c r="E789">
        <v>281600.23499999999</v>
      </c>
      <c r="F789">
        <v>111746.125</v>
      </c>
      <c r="G789">
        <v>1063823.1100000001</v>
      </c>
    </row>
    <row r="790" spans="1:7" x14ac:dyDescent="0.35">
      <c r="A790" t="s">
        <v>821</v>
      </c>
      <c r="B790">
        <v>473605.4</v>
      </c>
      <c r="C790">
        <v>189442.16</v>
      </c>
      <c r="D790">
        <v>94721.080000000016</v>
      </c>
      <c r="E790">
        <v>119348.56080000001</v>
      </c>
      <c r="F790">
        <v>47360.540000000008</v>
      </c>
      <c r="G790">
        <v>450872.34080000001</v>
      </c>
    </row>
    <row r="791" spans="1:7" x14ac:dyDescent="0.35">
      <c r="A791" t="s">
        <v>822</v>
      </c>
      <c r="B791">
        <v>758614.89999999991</v>
      </c>
      <c r="C791">
        <v>303445.96000000002</v>
      </c>
      <c r="D791">
        <v>151722.98000000001</v>
      </c>
      <c r="E791">
        <v>191170.95479999989</v>
      </c>
      <c r="F791">
        <v>75861.489999999991</v>
      </c>
      <c r="G791">
        <v>722201.38479999988</v>
      </c>
    </row>
    <row r="792" spans="1:7" x14ac:dyDescent="0.35">
      <c r="A792" t="s">
        <v>823</v>
      </c>
      <c r="B792">
        <v>811228.75</v>
      </c>
      <c r="C792">
        <v>324491.5</v>
      </c>
      <c r="D792">
        <v>162245.75</v>
      </c>
      <c r="E792">
        <v>204429.64499999999</v>
      </c>
      <c r="F792">
        <v>81122.875</v>
      </c>
      <c r="G792">
        <v>772289.77</v>
      </c>
    </row>
    <row r="793" spans="1:7" x14ac:dyDescent="0.35">
      <c r="A793" t="s">
        <v>824</v>
      </c>
      <c r="B793">
        <v>1448937.15</v>
      </c>
      <c r="C793">
        <v>579574.86</v>
      </c>
      <c r="D793">
        <v>289787.43</v>
      </c>
      <c r="E793">
        <v>365132.16179999989</v>
      </c>
      <c r="F793">
        <v>144893.715</v>
      </c>
      <c r="G793">
        <v>1379388.1668</v>
      </c>
    </row>
    <row r="794" spans="1:7" x14ac:dyDescent="0.35">
      <c r="A794" t="s">
        <v>825</v>
      </c>
      <c r="B794">
        <v>698266.15</v>
      </c>
      <c r="C794">
        <v>279306.46000000002</v>
      </c>
      <c r="D794">
        <v>139653.23000000001</v>
      </c>
      <c r="E794">
        <v>175963.06979999991</v>
      </c>
      <c r="F794">
        <v>69826.615000000005</v>
      </c>
      <c r="G794">
        <v>664749.37479999999</v>
      </c>
    </row>
    <row r="795" spans="1:7" x14ac:dyDescent="0.35">
      <c r="A795" t="s">
        <v>826</v>
      </c>
      <c r="B795">
        <v>589938.6</v>
      </c>
      <c r="C795">
        <v>235975.44</v>
      </c>
      <c r="D795">
        <v>117987.72</v>
      </c>
      <c r="E795">
        <v>148664.52720000001</v>
      </c>
      <c r="F795">
        <v>58993.86</v>
      </c>
      <c r="G795">
        <v>561621.54720000003</v>
      </c>
    </row>
    <row r="796" spans="1:7" x14ac:dyDescent="0.35">
      <c r="A796" t="s">
        <v>827</v>
      </c>
      <c r="B796">
        <v>837172.29999999993</v>
      </c>
      <c r="C796">
        <v>334868.92</v>
      </c>
      <c r="D796">
        <v>167434.46</v>
      </c>
      <c r="E796">
        <v>210967.41959999991</v>
      </c>
      <c r="F796">
        <v>83717.23</v>
      </c>
      <c r="G796">
        <v>796988.02959999989</v>
      </c>
    </row>
    <row r="797" spans="1:7" x14ac:dyDescent="0.35">
      <c r="A797" t="s">
        <v>828</v>
      </c>
      <c r="B797">
        <v>518355.15</v>
      </c>
      <c r="C797">
        <v>207342.06</v>
      </c>
      <c r="D797">
        <v>103671.03</v>
      </c>
      <c r="E797">
        <v>130625.4978</v>
      </c>
      <c r="F797">
        <v>51835.515000000007</v>
      </c>
      <c r="G797">
        <v>493474.10280000011</v>
      </c>
    </row>
    <row r="798" spans="1:7" x14ac:dyDescent="0.35">
      <c r="A798" t="s">
        <v>829</v>
      </c>
      <c r="B798">
        <v>1054851</v>
      </c>
      <c r="C798">
        <v>421940.4</v>
      </c>
      <c r="D798">
        <v>210970.2</v>
      </c>
      <c r="E798">
        <v>265822.45199999987</v>
      </c>
      <c r="F798">
        <v>105485.1</v>
      </c>
      <c r="G798">
        <v>1004218.152</v>
      </c>
    </row>
    <row r="799" spans="1:7" x14ac:dyDescent="0.35">
      <c r="A799" t="s">
        <v>830</v>
      </c>
      <c r="B799">
        <v>915611.89999999991</v>
      </c>
      <c r="C799">
        <v>366244.76</v>
      </c>
      <c r="D799">
        <v>183122.38</v>
      </c>
      <c r="E799">
        <v>230734.19879999981</v>
      </c>
      <c r="F799">
        <v>91561.19</v>
      </c>
      <c r="G799">
        <v>871662.52879999974</v>
      </c>
    </row>
    <row r="800" spans="1:7" x14ac:dyDescent="0.35">
      <c r="A800" t="s">
        <v>831</v>
      </c>
      <c r="B800">
        <v>989494</v>
      </c>
      <c r="C800">
        <v>395797.6</v>
      </c>
      <c r="D800">
        <v>197898.8</v>
      </c>
      <c r="E800">
        <v>249352.4879999999</v>
      </c>
      <c r="F800">
        <v>98949.400000000009</v>
      </c>
      <c r="G800">
        <v>941998.28799999994</v>
      </c>
    </row>
    <row r="801" spans="1:7" x14ac:dyDescent="0.35">
      <c r="A801" t="s">
        <v>832</v>
      </c>
      <c r="B801">
        <v>1161378</v>
      </c>
      <c r="C801">
        <v>464551.2</v>
      </c>
      <c r="D801">
        <v>232275.6</v>
      </c>
      <c r="E801">
        <v>292667.25599999988</v>
      </c>
      <c r="F801">
        <v>116137.8</v>
      </c>
      <c r="G801">
        <v>1105631.8559999999</v>
      </c>
    </row>
    <row r="802" spans="1:7" x14ac:dyDescent="0.35">
      <c r="A802" t="s">
        <v>833</v>
      </c>
      <c r="B802">
        <v>644530.35</v>
      </c>
      <c r="C802">
        <v>257812.14</v>
      </c>
      <c r="D802">
        <v>128906.07</v>
      </c>
      <c r="E802">
        <v>162421.6482</v>
      </c>
      <c r="F802">
        <v>64453.035000000003</v>
      </c>
      <c r="G802">
        <v>613592.89320000005</v>
      </c>
    </row>
    <row r="803" spans="1:7" x14ac:dyDescent="0.35">
      <c r="A803" t="s">
        <v>834</v>
      </c>
      <c r="B803">
        <v>1029309</v>
      </c>
      <c r="C803">
        <v>411723.6</v>
      </c>
      <c r="D803">
        <v>205861.8</v>
      </c>
      <c r="E803">
        <v>259385.8679999999</v>
      </c>
      <c r="F803">
        <v>102930.9</v>
      </c>
      <c r="G803">
        <v>979902.16799999995</v>
      </c>
    </row>
    <row r="804" spans="1:7" x14ac:dyDescent="0.35">
      <c r="A804" t="s">
        <v>835</v>
      </c>
      <c r="B804">
        <v>821953.29999999993</v>
      </c>
      <c r="C804">
        <v>328781.32</v>
      </c>
      <c r="D804">
        <v>164390.66</v>
      </c>
      <c r="E804">
        <v>207132.23159999991</v>
      </c>
      <c r="F804">
        <v>82195.33</v>
      </c>
      <c r="G804">
        <v>782499.54159999988</v>
      </c>
    </row>
    <row r="805" spans="1:7" x14ac:dyDescent="0.35">
      <c r="A805" t="s">
        <v>836</v>
      </c>
      <c r="B805">
        <v>643186.1</v>
      </c>
      <c r="C805">
        <v>257274.44</v>
      </c>
      <c r="D805">
        <v>128637.22</v>
      </c>
      <c r="E805">
        <v>162082.89719999989</v>
      </c>
      <c r="F805">
        <v>64318.61</v>
      </c>
      <c r="G805">
        <v>612313.16719999991</v>
      </c>
    </row>
    <row r="806" spans="1:7" x14ac:dyDescent="0.35">
      <c r="A806" t="s">
        <v>837</v>
      </c>
      <c r="B806">
        <v>492700.4</v>
      </c>
      <c r="C806">
        <v>197080.16</v>
      </c>
      <c r="D806">
        <v>98540.080000000016</v>
      </c>
      <c r="E806">
        <v>124160.50079999999</v>
      </c>
      <c r="F806">
        <v>49270.040000000008</v>
      </c>
      <c r="G806">
        <v>469050.78080000012</v>
      </c>
    </row>
    <row r="807" spans="1:7" x14ac:dyDescent="0.35">
      <c r="A807" t="s">
        <v>838</v>
      </c>
      <c r="B807">
        <v>936339.95</v>
      </c>
      <c r="C807">
        <v>374535.98</v>
      </c>
      <c r="D807">
        <v>187267.99</v>
      </c>
      <c r="E807">
        <v>235957.66740000001</v>
      </c>
      <c r="F807">
        <v>93633.994999999995</v>
      </c>
      <c r="G807">
        <v>891395.6324</v>
      </c>
    </row>
    <row r="808" spans="1:7" x14ac:dyDescent="0.35">
      <c r="A808" t="s">
        <v>839</v>
      </c>
      <c r="B808">
        <v>618266.65</v>
      </c>
      <c r="C808">
        <v>247306.66</v>
      </c>
      <c r="D808">
        <v>123653.33</v>
      </c>
      <c r="E808">
        <v>155803.19579999999</v>
      </c>
      <c r="F808">
        <v>61826.665000000008</v>
      </c>
      <c r="G808">
        <v>588589.85080000013</v>
      </c>
    </row>
    <row r="809" spans="1:7" x14ac:dyDescent="0.35">
      <c r="A809" t="s">
        <v>840</v>
      </c>
      <c r="B809">
        <v>571920</v>
      </c>
      <c r="C809">
        <v>228768</v>
      </c>
      <c r="D809">
        <v>114384</v>
      </c>
      <c r="E809">
        <v>144123.84</v>
      </c>
      <c r="F809">
        <v>57192</v>
      </c>
      <c r="G809">
        <v>544467.84000000008</v>
      </c>
    </row>
    <row r="810" spans="1:7" x14ac:dyDescent="0.35">
      <c r="A810" t="s">
        <v>841</v>
      </c>
      <c r="B810">
        <v>725871</v>
      </c>
      <c r="C810">
        <v>290348.40000000002</v>
      </c>
      <c r="D810">
        <v>145174.20000000001</v>
      </c>
      <c r="E810">
        <v>182919.492</v>
      </c>
      <c r="F810">
        <v>72587.100000000006</v>
      </c>
      <c r="G810">
        <v>691029.19199999992</v>
      </c>
    </row>
    <row r="811" spans="1:7" x14ac:dyDescent="0.35">
      <c r="A811" t="s">
        <v>842</v>
      </c>
      <c r="B811">
        <v>641000</v>
      </c>
      <c r="C811">
        <v>256400</v>
      </c>
      <c r="D811">
        <v>128200</v>
      </c>
      <c r="E811">
        <v>161532</v>
      </c>
      <c r="F811">
        <v>64100</v>
      </c>
      <c r="G811">
        <v>610232</v>
      </c>
    </row>
    <row r="812" spans="1:7" x14ac:dyDescent="0.35">
      <c r="A812" t="s">
        <v>843</v>
      </c>
      <c r="B812">
        <v>828470</v>
      </c>
      <c r="C812">
        <v>331388</v>
      </c>
      <c r="D812">
        <v>165694</v>
      </c>
      <c r="E812">
        <v>208774.43999999989</v>
      </c>
      <c r="F812">
        <v>82847</v>
      </c>
      <c r="G812">
        <v>788703.44</v>
      </c>
    </row>
    <row r="813" spans="1:7" x14ac:dyDescent="0.35">
      <c r="A813" t="s">
        <v>844</v>
      </c>
      <c r="B813">
        <v>1206549.3999999999</v>
      </c>
      <c r="C813">
        <v>482619.76</v>
      </c>
      <c r="D813">
        <v>241309.88</v>
      </c>
      <c r="E813">
        <v>304050.44879999978</v>
      </c>
      <c r="F813">
        <v>120654.94</v>
      </c>
      <c r="G813">
        <v>1148635.0288</v>
      </c>
    </row>
    <row r="814" spans="1:7" x14ac:dyDescent="0.35">
      <c r="A814" t="s">
        <v>845</v>
      </c>
      <c r="B814">
        <v>653492</v>
      </c>
      <c r="C814">
        <v>261396.8</v>
      </c>
      <c r="D814">
        <v>130698.4</v>
      </c>
      <c r="E814">
        <v>164679.984</v>
      </c>
      <c r="F814">
        <v>65349.2</v>
      </c>
      <c r="G814">
        <v>622124.38399999996</v>
      </c>
    </row>
    <row r="815" spans="1:7" x14ac:dyDescent="0.35">
      <c r="A815" t="s">
        <v>846</v>
      </c>
      <c r="B815">
        <v>1121664.05</v>
      </c>
      <c r="C815">
        <v>448665.62000000011</v>
      </c>
      <c r="D815">
        <v>224332.81</v>
      </c>
      <c r="E815">
        <v>282659.3406</v>
      </c>
      <c r="F815">
        <v>112166.405</v>
      </c>
      <c r="G815">
        <v>1067824.1756</v>
      </c>
    </row>
    <row r="816" spans="1:7" x14ac:dyDescent="0.35">
      <c r="A816" t="s">
        <v>847</v>
      </c>
      <c r="B816">
        <v>474650.4</v>
      </c>
      <c r="C816">
        <v>189860.16</v>
      </c>
      <c r="D816">
        <v>94930.080000000016</v>
      </c>
      <c r="E816">
        <v>119611.9008</v>
      </c>
      <c r="F816">
        <v>47465.040000000008</v>
      </c>
      <c r="G816">
        <v>451867.18080000009</v>
      </c>
    </row>
    <row r="817" spans="1:7" x14ac:dyDescent="0.35">
      <c r="A817" t="s">
        <v>848</v>
      </c>
      <c r="B817">
        <v>761026</v>
      </c>
      <c r="C817">
        <v>304410.40000000002</v>
      </c>
      <c r="D817">
        <v>152205.20000000001</v>
      </c>
      <c r="E817">
        <v>191778.55199999991</v>
      </c>
      <c r="F817">
        <v>76102.600000000006</v>
      </c>
      <c r="G817">
        <v>724496.75199999998</v>
      </c>
    </row>
    <row r="818" spans="1:7" x14ac:dyDescent="0.35">
      <c r="A818" t="s">
        <v>849</v>
      </c>
      <c r="B818">
        <v>1456731</v>
      </c>
      <c r="C818">
        <v>582692.4</v>
      </c>
      <c r="D818">
        <v>291346.2</v>
      </c>
      <c r="E818">
        <v>367096.21199999982</v>
      </c>
      <c r="F818">
        <v>145673.1</v>
      </c>
      <c r="G818">
        <v>1386807.912</v>
      </c>
    </row>
    <row r="819" spans="1:7" x14ac:dyDescent="0.35">
      <c r="A819" t="s">
        <v>850</v>
      </c>
      <c r="B819">
        <v>723689</v>
      </c>
      <c r="C819">
        <v>289475.59999999998</v>
      </c>
      <c r="D819">
        <v>144737.79999999999</v>
      </c>
      <c r="E819">
        <v>182369.62799999991</v>
      </c>
      <c r="F819">
        <v>72368.900000000009</v>
      </c>
      <c r="G819">
        <v>688951.92799999996</v>
      </c>
    </row>
    <row r="820" spans="1:7" x14ac:dyDescent="0.35">
      <c r="A820" t="s">
        <v>851</v>
      </c>
      <c r="B820">
        <v>1022871</v>
      </c>
      <c r="C820">
        <v>409148.4</v>
      </c>
      <c r="D820">
        <v>204574.2</v>
      </c>
      <c r="E820">
        <v>257763.492</v>
      </c>
      <c r="F820">
        <v>102287.1</v>
      </c>
      <c r="G820">
        <v>973773.19200000004</v>
      </c>
    </row>
    <row r="821" spans="1:7" x14ac:dyDescent="0.35">
      <c r="A821" t="s">
        <v>852</v>
      </c>
      <c r="B821">
        <v>844273.54999999993</v>
      </c>
      <c r="C821">
        <v>337709.42</v>
      </c>
      <c r="D821">
        <v>168854.71</v>
      </c>
      <c r="E821">
        <v>212756.93459999989</v>
      </c>
      <c r="F821">
        <v>84427.354999999996</v>
      </c>
      <c r="G821">
        <v>803748.41959999991</v>
      </c>
    </row>
    <row r="822" spans="1:7" x14ac:dyDescent="0.35">
      <c r="A822" t="s">
        <v>853</v>
      </c>
      <c r="B822">
        <v>920617</v>
      </c>
      <c r="C822">
        <v>368246.8</v>
      </c>
      <c r="D822">
        <v>184123.4</v>
      </c>
      <c r="E822">
        <v>231995.48399999979</v>
      </c>
      <c r="F822">
        <v>92061.700000000012</v>
      </c>
      <c r="G822">
        <v>876427.38399999985</v>
      </c>
    </row>
    <row r="823" spans="1:7" x14ac:dyDescent="0.35">
      <c r="A823" t="s">
        <v>854</v>
      </c>
      <c r="B823">
        <v>954187</v>
      </c>
      <c r="C823">
        <v>381674.8</v>
      </c>
      <c r="D823">
        <v>190837.4</v>
      </c>
      <c r="E823">
        <v>240455.12399999981</v>
      </c>
      <c r="F823">
        <v>95418.700000000012</v>
      </c>
      <c r="G823">
        <v>908386.02399999998</v>
      </c>
    </row>
    <row r="824" spans="1:7" x14ac:dyDescent="0.35">
      <c r="A824" t="s">
        <v>855</v>
      </c>
      <c r="B824">
        <v>757629.75</v>
      </c>
      <c r="C824">
        <v>303051.90000000002</v>
      </c>
      <c r="D824">
        <v>151525.95000000001</v>
      </c>
      <c r="E824">
        <v>190922.6969999999</v>
      </c>
      <c r="F824">
        <v>75762.975000000006</v>
      </c>
      <c r="G824">
        <v>721263.522</v>
      </c>
    </row>
    <row r="825" spans="1:7" x14ac:dyDescent="0.35">
      <c r="A825" t="s">
        <v>856</v>
      </c>
      <c r="B825">
        <v>821480.2</v>
      </c>
      <c r="C825">
        <v>328592.08</v>
      </c>
      <c r="D825">
        <v>164296.04</v>
      </c>
      <c r="E825">
        <v>207013.01039999991</v>
      </c>
      <c r="F825">
        <v>82148.02</v>
      </c>
      <c r="G825">
        <v>782049.15039999993</v>
      </c>
    </row>
    <row r="826" spans="1:7" x14ac:dyDescent="0.35">
      <c r="A826" t="s">
        <v>857</v>
      </c>
      <c r="B826">
        <v>1433369.5</v>
      </c>
      <c r="C826">
        <v>573347.80000000005</v>
      </c>
      <c r="D826">
        <v>286673.90000000002</v>
      </c>
      <c r="E826">
        <v>361209.11399999983</v>
      </c>
      <c r="F826">
        <v>143336.95000000001</v>
      </c>
      <c r="G826">
        <v>1364567.764</v>
      </c>
    </row>
    <row r="827" spans="1:7" x14ac:dyDescent="0.35">
      <c r="A827" t="s">
        <v>858</v>
      </c>
      <c r="B827">
        <v>912770.45</v>
      </c>
      <c r="C827">
        <v>365108.18</v>
      </c>
      <c r="D827">
        <v>182554.09</v>
      </c>
      <c r="E827">
        <v>230018.15340000001</v>
      </c>
      <c r="F827">
        <v>91277.044999999998</v>
      </c>
      <c r="G827">
        <v>868957.46840000001</v>
      </c>
    </row>
    <row r="828" spans="1:7" x14ac:dyDescent="0.35">
      <c r="A828" t="s">
        <v>859</v>
      </c>
      <c r="B828">
        <v>1276970</v>
      </c>
      <c r="C828">
        <v>510788</v>
      </c>
      <c r="D828">
        <v>255394</v>
      </c>
      <c r="E828">
        <v>321796.43999999989</v>
      </c>
      <c r="F828">
        <v>127697</v>
      </c>
      <c r="G828">
        <v>1215675.44</v>
      </c>
    </row>
    <row r="829" spans="1:7" x14ac:dyDescent="0.35">
      <c r="A829" t="s">
        <v>860</v>
      </c>
      <c r="B829">
        <v>866451.29999999993</v>
      </c>
      <c r="C829">
        <v>346580.52</v>
      </c>
      <c r="D829">
        <v>173290.26</v>
      </c>
      <c r="E829">
        <v>218345.7275999999</v>
      </c>
      <c r="F829">
        <v>86645.13</v>
      </c>
      <c r="G829">
        <v>824861.6375999999</v>
      </c>
    </row>
    <row r="830" spans="1:7" x14ac:dyDescent="0.35">
      <c r="A830" t="s">
        <v>861</v>
      </c>
      <c r="B830">
        <v>949506.95</v>
      </c>
      <c r="C830">
        <v>379802.78</v>
      </c>
      <c r="D830">
        <v>189901.39</v>
      </c>
      <c r="E830">
        <v>239275.75140000001</v>
      </c>
      <c r="F830">
        <v>94950.695000000007</v>
      </c>
      <c r="G830">
        <v>903930.61639999994</v>
      </c>
    </row>
    <row r="831" spans="1:7" x14ac:dyDescent="0.35">
      <c r="A831" t="s">
        <v>862</v>
      </c>
      <c r="B831">
        <v>648913.65</v>
      </c>
      <c r="C831">
        <v>259565.46</v>
      </c>
      <c r="D831">
        <v>129782.73</v>
      </c>
      <c r="E831">
        <v>163526.23980000001</v>
      </c>
      <c r="F831">
        <v>64891.365000000013</v>
      </c>
      <c r="G831">
        <v>617765.79480000003</v>
      </c>
    </row>
    <row r="832" spans="1:7" x14ac:dyDescent="0.35">
      <c r="A832" t="s">
        <v>863</v>
      </c>
      <c r="B832">
        <v>777879.95</v>
      </c>
      <c r="C832">
        <v>311151.98</v>
      </c>
      <c r="D832">
        <v>155575.99</v>
      </c>
      <c r="E832">
        <v>196025.74739999999</v>
      </c>
      <c r="F832">
        <v>77787.994999999995</v>
      </c>
      <c r="G832">
        <v>740541.71239999996</v>
      </c>
    </row>
    <row r="833" spans="1:7" x14ac:dyDescent="0.35">
      <c r="A833" t="s">
        <v>864</v>
      </c>
      <c r="B833">
        <v>720126.6</v>
      </c>
      <c r="C833">
        <v>288050.64</v>
      </c>
      <c r="D833">
        <v>144025.32</v>
      </c>
      <c r="E833">
        <v>181471.90319999991</v>
      </c>
      <c r="F833">
        <v>72012.66</v>
      </c>
      <c r="G833">
        <v>685560.52320000005</v>
      </c>
    </row>
    <row r="834" spans="1:7" x14ac:dyDescent="0.35">
      <c r="A834" t="s">
        <v>865</v>
      </c>
      <c r="B834">
        <v>1127511</v>
      </c>
      <c r="C834">
        <v>451004.4</v>
      </c>
      <c r="D834">
        <v>225502.2</v>
      </c>
      <c r="E834">
        <v>284132.77199999988</v>
      </c>
      <c r="F834">
        <v>112751.1</v>
      </c>
      <c r="G834">
        <v>1073390.4720000001</v>
      </c>
    </row>
    <row r="835" spans="1:7" x14ac:dyDescent="0.35">
      <c r="A835" t="s">
        <v>866</v>
      </c>
      <c r="B835">
        <v>719447.35</v>
      </c>
      <c r="C835">
        <v>287778.94</v>
      </c>
      <c r="D835">
        <v>143889.47</v>
      </c>
      <c r="E835">
        <v>181300.7322</v>
      </c>
      <c r="F835">
        <v>71944.735000000001</v>
      </c>
      <c r="G835">
        <v>684913.87719999999</v>
      </c>
    </row>
    <row r="836" spans="1:7" x14ac:dyDescent="0.35">
      <c r="A836" t="s">
        <v>867</v>
      </c>
      <c r="B836">
        <v>1251574</v>
      </c>
      <c r="C836">
        <v>500629.6</v>
      </c>
      <c r="D836">
        <v>250314.8</v>
      </c>
      <c r="E836">
        <v>315396.64799999993</v>
      </c>
      <c r="F836">
        <v>125157.4</v>
      </c>
      <c r="G836">
        <v>1191498.4480000001</v>
      </c>
    </row>
    <row r="837" spans="1:7" x14ac:dyDescent="0.35">
      <c r="A837" t="s">
        <v>868</v>
      </c>
      <c r="B837">
        <v>724659.04999999993</v>
      </c>
      <c r="C837">
        <v>289863.62</v>
      </c>
      <c r="D837">
        <v>144931.81</v>
      </c>
      <c r="E837">
        <v>182614.08059999999</v>
      </c>
      <c r="F837">
        <v>72465.904999999999</v>
      </c>
      <c r="G837">
        <v>689875.41559999995</v>
      </c>
    </row>
    <row r="838" spans="1:7" x14ac:dyDescent="0.35">
      <c r="A838" t="s">
        <v>869</v>
      </c>
      <c r="B838">
        <v>640109</v>
      </c>
      <c r="C838">
        <v>256043.6</v>
      </c>
      <c r="D838">
        <v>128021.8</v>
      </c>
      <c r="E838">
        <v>161307.46799999991</v>
      </c>
      <c r="F838">
        <v>64010.9</v>
      </c>
      <c r="G838">
        <v>609383.76800000004</v>
      </c>
    </row>
    <row r="839" spans="1:7" x14ac:dyDescent="0.35">
      <c r="A839" t="s">
        <v>870</v>
      </c>
      <c r="B839">
        <v>901454</v>
      </c>
      <c r="C839">
        <v>360581.6</v>
      </c>
      <c r="D839">
        <v>180290.8</v>
      </c>
      <c r="E839">
        <v>227166.40799999991</v>
      </c>
      <c r="F839">
        <v>90145.400000000009</v>
      </c>
      <c r="G839">
        <v>858184.20799999998</v>
      </c>
    </row>
    <row r="840" spans="1:7" x14ac:dyDescent="0.35">
      <c r="A840" t="s">
        <v>871</v>
      </c>
      <c r="B840">
        <v>1085617</v>
      </c>
      <c r="C840">
        <v>434246.8</v>
      </c>
      <c r="D840">
        <v>217123.4</v>
      </c>
      <c r="E840">
        <v>273575.48399999982</v>
      </c>
      <c r="F840">
        <v>108561.7</v>
      </c>
      <c r="G840">
        <v>1033507.384</v>
      </c>
    </row>
    <row r="841" spans="1:7" x14ac:dyDescent="0.35">
      <c r="A841" t="s">
        <v>872</v>
      </c>
      <c r="B841">
        <v>743674</v>
      </c>
      <c r="C841">
        <v>297469.59999999998</v>
      </c>
      <c r="D841">
        <v>148734.79999999999</v>
      </c>
      <c r="E841">
        <v>187405.848</v>
      </c>
      <c r="F841">
        <v>74367.400000000009</v>
      </c>
      <c r="G841">
        <v>707977.64800000004</v>
      </c>
    </row>
    <row r="842" spans="1:7" x14ac:dyDescent="0.35">
      <c r="A842" t="s">
        <v>873</v>
      </c>
      <c r="B842">
        <v>992754.75</v>
      </c>
      <c r="C842">
        <v>397101.9</v>
      </c>
      <c r="D842">
        <v>198550.95</v>
      </c>
      <c r="E842">
        <v>250174.1969999999</v>
      </c>
      <c r="F842">
        <v>99275.475000000006</v>
      </c>
      <c r="G842">
        <v>945102.522</v>
      </c>
    </row>
    <row r="843" spans="1:7" x14ac:dyDescent="0.35">
      <c r="A843" t="s">
        <v>874</v>
      </c>
      <c r="B843">
        <v>1055906</v>
      </c>
      <c r="C843">
        <v>422362.4</v>
      </c>
      <c r="D843">
        <v>211181.2</v>
      </c>
      <c r="E843">
        <v>266088.31199999992</v>
      </c>
      <c r="F843">
        <v>105590.6</v>
      </c>
      <c r="G843">
        <v>1005222.512</v>
      </c>
    </row>
    <row r="844" spans="1:7" x14ac:dyDescent="0.35">
      <c r="A844" t="s">
        <v>875</v>
      </c>
      <c r="B844">
        <v>674236</v>
      </c>
      <c r="C844">
        <v>269694.40000000002</v>
      </c>
      <c r="D844">
        <v>134847.20000000001</v>
      </c>
      <c r="E844">
        <v>169907.47200000001</v>
      </c>
      <c r="F844">
        <v>67423.600000000006</v>
      </c>
      <c r="G844">
        <v>641872.6719999999</v>
      </c>
    </row>
    <row r="845" spans="1:7" x14ac:dyDescent="0.35">
      <c r="A845" t="s">
        <v>876</v>
      </c>
      <c r="B845">
        <v>501823.25</v>
      </c>
      <c r="C845">
        <v>200729.3</v>
      </c>
      <c r="D845">
        <v>100364.65</v>
      </c>
      <c r="E845">
        <v>126459.459</v>
      </c>
      <c r="F845">
        <v>50182.324999999997</v>
      </c>
      <c r="G845">
        <v>477735.734</v>
      </c>
    </row>
    <row r="846" spans="1:7" x14ac:dyDescent="0.35">
      <c r="A846" t="s">
        <v>877</v>
      </c>
      <c r="B846">
        <v>613525.19999999995</v>
      </c>
      <c r="C846">
        <v>245410.08</v>
      </c>
      <c r="D846">
        <v>122705.04</v>
      </c>
      <c r="E846">
        <v>154608.35039999991</v>
      </c>
      <c r="F846">
        <v>61352.52</v>
      </c>
      <c r="G846">
        <v>584075.99039999989</v>
      </c>
    </row>
    <row r="847" spans="1:7" x14ac:dyDescent="0.35">
      <c r="A847" t="s">
        <v>878</v>
      </c>
      <c r="B847">
        <v>929259</v>
      </c>
      <c r="C847">
        <v>371703.6</v>
      </c>
      <c r="D847">
        <v>185851.8</v>
      </c>
      <c r="E847">
        <v>234173.26799999989</v>
      </c>
      <c r="F847">
        <v>92925.900000000009</v>
      </c>
      <c r="G847">
        <v>884654.56799999997</v>
      </c>
    </row>
    <row r="848" spans="1:7" x14ac:dyDescent="0.35">
      <c r="A848" t="s">
        <v>879</v>
      </c>
      <c r="B848">
        <v>736714.54999999993</v>
      </c>
      <c r="C848">
        <v>294685.82</v>
      </c>
      <c r="D848">
        <v>147342.91</v>
      </c>
      <c r="E848">
        <v>185652.0665999999</v>
      </c>
      <c r="F848">
        <v>73671.455000000002</v>
      </c>
      <c r="G848">
        <v>701352.25159999984</v>
      </c>
    </row>
    <row r="849" spans="1:7" x14ac:dyDescent="0.35">
      <c r="A849" t="s">
        <v>880</v>
      </c>
      <c r="B849">
        <v>523607.7</v>
      </c>
      <c r="C849">
        <v>209443.08</v>
      </c>
      <c r="D849">
        <v>104721.54</v>
      </c>
      <c r="E849">
        <v>131949.1404</v>
      </c>
      <c r="F849">
        <v>52360.77</v>
      </c>
      <c r="G849">
        <v>498474.53039999999</v>
      </c>
    </row>
    <row r="850" spans="1:7" x14ac:dyDescent="0.35">
      <c r="A850" t="s">
        <v>881</v>
      </c>
      <c r="B850">
        <v>873371.1</v>
      </c>
      <c r="C850">
        <v>349348.44</v>
      </c>
      <c r="D850">
        <v>174674.22</v>
      </c>
      <c r="E850">
        <v>220089.5172</v>
      </c>
      <c r="F850">
        <v>87337.11</v>
      </c>
      <c r="G850">
        <v>831449.28720000002</v>
      </c>
    </row>
    <row r="851" spans="1:7" x14ac:dyDescent="0.35">
      <c r="A851" t="s">
        <v>882</v>
      </c>
      <c r="B851">
        <v>1135206.3</v>
      </c>
      <c r="C851">
        <v>454082.52</v>
      </c>
      <c r="D851">
        <v>227041.26</v>
      </c>
      <c r="E851">
        <v>286071.98759999999</v>
      </c>
      <c r="F851">
        <v>113520.63</v>
      </c>
      <c r="G851">
        <v>1080716.3976</v>
      </c>
    </row>
    <row r="852" spans="1:7" x14ac:dyDescent="0.35">
      <c r="A852" t="s">
        <v>883</v>
      </c>
      <c r="B852">
        <v>659326</v>
      </c>
      <c r="C852">
        <v>263730.40000000002</v>
      </c>
      <c r="D852">
        <v>131865.20000000001</v>
      </c>
      <c r="E852">
        <v>166150.15199999991</v>
      </c>
      <c r="F852">
        <v>65932.600000000006</v>
      </c>
      <c r="G852">
        <v>627678.35199999996</v>
      </c>
    </row>
    <row r="853" spans="1:7" x14ac:dyDescent="0.35">
      <c r="A853" t="s">
        <v>884</v>
      </c>
      <c r="B853">
        <v>1164231.6499999999</v>
      </c>
      <c r="C853">
        <v>465692.66</v>
      </c>
      <c r="D853">
        <v>232846.33</v>
      </c>
      <c r="E853">
        <v>293386.37579999992</v>
      </c>
      <c r="F853">
        <v>116423.16499999999</v>
      </c>
      <c r="G853">
        <v>1108348.5308000001</v>
      </c>
    </row>
    <row r="854" spans="1:7" x14ac:dyDescent="0.35">
      <c r="A854" t="s">
        <v>885</v>
      </c>
      <c r="B854">
        <v>918356</v>
      </c>
      <c r="C854">
        <v>367342.4</v>
      </c>
      <c r="D854">
        <v>183671.2</v>
      </c>
      <c r="E854">
        <v>231425.71199999991</v>
      </c>
      <c r="F854">
        <v>91835.6</v>
      </c>
      <c r="G854">
        <v>874274.91200000001</v>
      </c>
    </row>
    <row r="855" spans="1:7" x14ac:dyDescent="0.35">
      <c r="A855" t="s">
        <v>886</v>
      </c>
      <c r="B855">
        <v>1152754.7</v>
      </c>
      <c r="C855">
        <v>461101.88</v>
      </c>
      <c r="D855">
        <v>230550.94</v>
      </c>
      <c r="E855">
        <v>290494.18439999991</v>
      </c>
      <c r="F855">
        <v>115275.47</v>
      </c>
      <c r="G855">
        <v>1097422.4743999999</v>
      </c>
    </row>
    <row r="856" spans="1:7" x14ac:dyDescent="0.35">
      <c r="A856" t="s">
        <v>887</v>
      </c>
      <c r="B856">
        <v>1040559.7</v>
      </c>
      <c r="C856">
        <v>416223.88</v>
      </c>
      <c r="D856">
        <v>208111.94</v>
      </c>
      <c r="E856">
        <v>262221.0443999999</v>
      </c>
      <c r="F856">
        <v>104055.97</v>
      </c>
      <c r="G856">
        <v>990612.83439999993</v>
      </c>
    </row>
    <row r="857" spans="1:7" x14ac:dyDescent="0.35">
      <c r="A857" t="s">
        <v>888</v>
      </c>
      <c r="B857">
        <v>1281992.7</v>
      </c>
      <c r="C857">
        <v>512797.08</v>
      </c>
      <c r="D857">
        <v>256398.54</v>
      </c>
      <c r="E857">
        <v>323062.16039999988</v>
      </c>
      <c r="F857">
        <v>128199.27</v>
      </c>
      <c r="G857">
        <v>1220457.0504000001</v>
      </c>
    </row>
    <row r="858" spans="1:7" x14ac:dyDescent="0.35">
      <c r="A858" t="s">
        <v>889</v>
      </c>
      <c r="B858">
        <v>764597</v>
      </c>
      <c r="C858">
        <v>305838.8</v>
      </c>
      <c r="D858">
        <v>152919.4</v>
      </c>
      <c r="E858">
        <v>192678.44400000011</v>
      </c>
      <c r="F858">
        <v>76459.7</v>
      </c>
      <c r="G858">
        <v>727896.34400000004</v>
      </c>
    </row>
    <row r="859" spans="1:7" x14ac:dyDescent="0.35">
      <c r="A859" t="s">
        <v>890</v>
      </c>
      <c r="B859">
        <v>737762</v>
      </c>
      <c r="C859">
        <v>295104.8</v>
      </c>
      <c r="D859">
        <v>147552.4</v>
      </c>
      <c r="E859">
        <v>185916.02400000009</v>
      </c>
      <c r="F859">
        <v>73776.2</v>
      </c>
      <c r="G859">
        <v>702349.424</v>
      </c>
    </row>
    <row r="860" spans="1:7" x14ac:dyDescent="0.35">
      <c r="A860" t="s">
        <v>891</v>
      </c>
      <c r="B860">
        <v>573406.69999999995</v>
      </c>
      <c r="C860">
        <v>229362.68</v>
      </c>
      <c r="D860">
        <v>114681.34</v>
      </c>
      <c r="E860">
        <v>144498.4884</v>
      </c>
      <c r="F860">
        <v>57340.67</v>
      </c>
      <c r="G860">
        <v>545883.17839999998</v>
      </c>
    </row>
    <row r="861" spans="1:7" x14ac:dyDescent="0.35">
      <c r="A861" t="s">
        <v>892</v>
      </c>
      <c r="B861">
        <v>738601</v>
      </c>
      <c r="C861">
        <v>295440.40000000002</v>
      </c>
      <c r="D861">
        <v>147720.20000000001</v>
      </c>
      <c r="E861">
        <v>186127.4519999999</v>
      </c>
      <c r="F861">
        <v>73860.100000000006</v>
      </c>
      <c r="G861">
        <v>703148.15199999989</v>
      </c>
    </row>
    <row r="862" spans="1:7" x14ac:dyDescent="0.35">
      <c r="A862" t="s">
        <v>893</v>
      </c>
      <c r="B862">
        <v>838173</v>
      </c>
      <c r="C862">
        <v>335269.2</v>
      </c>
      <c r="D862">
        <v>167634.6</v>
      </c>
      <c r="E862">
        <v>211219.5959999999</v>
      </c>
      <c r="F862">
        <v>83817.3</v>
      </c>
      <c r="G862">
        <v>797940.696</v>
      </c>
    </row>
    <row r="863" spans="1:7" x14ac:dyDescent="0.35">
      <c r="A863" t="s">
        <v>894</v>
      </c>
      <c r="B863">
        <v>1181089.3999999999</v>
      </c>
      <c r="C863">
        <v>472435.76</v>
      </c>
      <c r="D863">
        <v>236217.88</v>
      </c>
      <c r="E863">
        <v>297634.52879999991</v>
      </c>
      <c r="F863">
        <v>118108.94</v>
      </c>
      <c r="G863">
        <v>1124397.1088</v>
      </c>
    </row>
    <row r="864" spans="1:7" x14ac:dyDescent="0.35">
      <c r="A864" t="s">
        <v>895</v>
      </c>
      <c r="B864">
        <v>1180211</v>
      </c>
      <c r="C864">
        <v>472084.4</v>
      </c>
      <c r="D864">
        <v>236042.2</v>
      </c>
      <c r="E864">
        <v>297413.1719999999</v>
      </c>
      <c r="F864">
        <v>118021.1</v>
      </c>
      <c r="G864">
        <v>1123560.872</v>
      </c>
    </row>
    <row r="865" spans="1:7" x14ac:dyDescent="0.35">
      <c r="A865" t="s">
        <v>896</v>
      </c>
      <c r="B865">
        <v>791393.7</v>
      </c>
      <c r="C865">
        <v>316557.48</v>
      </c>
      <c r="D865">
        <v>158278.74</v>
      </c>
      <c r="E865">
        <v>199431.21239999999</v>
      </c>
      <c r="F865">
        <v>79139.37</v>
      </c>
      <c r="G865">
        <v>753406.80239999993</v>
      </c>
    </row>
    <row r="866" spans="1:7" x14ac:dyDescent="0.35">
      <c r="A866" t="s">
        <v>897</v>
      </c>
      <c r="B866">
        <v>1404433</v>
      </c>
      <c r="C866">
        <v>561773.20000000007</v>
      </c>
      <c r="D866">
        <v>280886.59999999998</v>
      </c>
      <c r="E866">
        <v>353917.11599999992</v>
      </c>
      <c r="F866">
        <v>140443.29999999999</v>
      </c>
      <c r="G866">
        <v>1337020.216</v>
      </c>
    </row>
    <row r="867" spans="1:7" x14ac:dyDescent="0.35">
      <c r="A867" t="s">
        <v>898</v>
      </c>
      <c r="B867">
        <v>859494</v>
      </c>
      <c r="C867">
        <v>343797.6</v>
      </c>
      <c r="D867">
        <v>171898.8</v>
      </c>
      <c r="E867">
        <v>216592.4879999999</v>
      </c>
      <c r="F867">
        <v>85949.400000000009</v>
      </c>
      <c r="G867">
        <v>818238.28799999994</v>
      </c>
    </row>
    <row r="868" spans="1:7" x14ac:dyDescent="0.35">
      <c r="A868" t="s">
        <v>899</v>
      </c>
      <c r="B868">
        <v>847035</v>
      </c>
      <c r="C868">
        <v>338814</v>
      </c>
      <c r="D868">
        <v>169407</v>
      </c>
      <c r="E868">
        <v>213452.81999999989</v>
      </c>
      <c r="F868">
        <v>84703.5</v>
      </c>
      <c r="G868">
        <v>806377.32</v>
      </c>
    </row>
    <row r="869" spans="1:7" x14ac:dyDescent="0.35">
      <c r="A869" t="s">
        <v>900</v>
      </c>
      <c r="B869">
        <v>960693</v>
      </c>
      <c r="C869">
        <v>384277.2</v>
      </c>
      <c r="D869">
        <v>192138.6</v>
      </c>
      <c r="E869">
        <v>242094.63599999991</v>
      </c>
      <c r="F869">
        <v>96069.3</v>
      </c>
      <c r="G869">
        <v>914579.73600000003</v>
      </c>
    </row>
    <row r="870" spans="1:7" x14ac:dyDescent="0.35">
      <c r="A870" t="s">
        <v>901</v>
      </c>
      <c r="B870">
        <v>1059698</v>
      </c>
      <c r="C870">
        <v>423879.2</v>
      </c>
      <c r="D870">
        <v>211939.6</v>
      </c>
      <c r="E870">
        <v>267043.89599999989</v>
      </c>
      <c r="F870">
        <v>105969.8</v>
      </c>
      <c r="G870">
        <v>1008832.496</v>
      </c>
    </row>
    <row r="871" spans="1:7" x14ac:dyDescent="0.35">
      <c r="A871" t="s">
        <v>902</v>
      </c>
      <c r="B871">
        <v>793041</v>
      </c>
      <c r="C871">
        <v>317216.40000000002</v>
      </c>
      <c r="D871">
        <v>158608.20000000001</v>
      </c>
      <c r="E871">
        <v>199846.33199999991</v>
      </c>
      <c r="F871">
        <v>79304.100000000006</v>
      </c>
      <c r="G871">
        <v>754975.03200000001</v>
      </c>
    </row>
    <row r="872" spans="1:7" x14ac:dyDescent="0.35">
      <c r="A872" t="s">
        <v>903</v>
      </c>
      <c r="B872">
        <v>1023585</v>
      </c>
      <c r="C872">
        <v>409434</v>
      </c>
      <c r="D872">
        <v>204717</v>
      </c>
      <c r="E872">
        <v>257943.42</v>
      </c>
      <c r="F872">
        <v>102358.5</v>
      </c>
      <c r="G872">
        <v>974452.92</v>
      </c>
    </row>
    <row r="873" spans="1:7" x14ac:dyDescent="0.35">
      <c r="A873" t="s">
        <v>904</v>
      </c>
      <c r="B873">
        <v>824537</v>
      </c>
      <c r="C873">
        <v>329814.8</v>
      </c>
      <c r="D873">
        <v>164907.4</v>
      </c>
      <c r="E873">
        <v>207783.32399999991</v>
      </c>
      <c r="F873">
        <v>82453.700000000012</v>
      </c>
      <c r="G873">
        <v>784959.22399999993</v>
      </c>
    </row>
    <row r="874" spans="1:7" x14ac:dyDescent="0.35">
      <c r="A874" t="s">
        <v>905</v>
      </c>
      <c r="B874">
        <v>695924.4</v>
      </c>
      <c r="C874">
        <v>278369.76</v>
      </c>
      <c r="D874">
        <v>139184.88</v>
      </c>
      <c r="E874">
        <v>175372.94880000001</v>
      </c>
      <c r="F874">
        <v>69592.44</v>
      </c>
      <c r="G874">
        <v>662520.02879999997</v>
      </c>
    </row>
    <row r="875" spans="1:7" x14ac:dyDescent="0.35">
      <c r="A875" t="s">
        <v>906</v>
      </c>
      <c r="B875">
        <v>754710.39999999991</v>
      </c>
      <c r="C875">
        <v>301884.15999999997</v>
      </c>
      <c r="D875">
        <v>150942.07999999999</v>
      </c>
      <c r="E875">
        <v>190187.02079999979</v>
      </c>
      <c r="F875">
        <v>75471.039999999994</v>
      </c>
      <c r="G875">
        <v>718484.30079999985</v>
      </c>
    </row>
    <row r="876" spans="1:7" x14ac:dyDescent="0.35">
      <c r="A876" t="s">
        <v>907</v>
      </c>
      <c r="B876">
        <v>953783.85</v>
      </c>
      <c r="C876">
        <v>381513.54</v>
      </c>
      <c r="D876">
        <v>190756.77</v>
      </c>
      <c r="E876">
        <v>240353.53019999989</v>
      </c>
      <c r="F876">
        <v>95378.385000000009</v>
      </c>
      <c r="G876">
        <v>908002.22519999999</v>
      </c>
    </row>
    <row r="877" spans="1:7" x14ac:dyDescent="0.35">
      <c r="A877" t="s">
        <v>908</v>
      </c>
      <c r="B877">
        <v>886370.89999999991</v>
      </c>
      <c r="C877">
        <v>354548.36</v>
      </c>
      <c r="D877">
        <v>177274.18</v>
      </c>
      <c r="E877">
        <v>223365.46679999991</v>
      </c>
      <c r="F877">
        <v>88637.09</v>
      </c>
      <c r="G877">
        <v>843825.09679999994</v>
      </c>
    </row>
    <row r="878" spans="1:7" x14ac:dyDescent="0.35">
      <c r="A878" t="s">
        <v>909</v>
      </c>
      <c r="B878">
        <v>1235850</v>
      </c>
      <c r="C878">
        <v>494340</v>
      </c>
      <c r="D878">
        <v>247170</v>
      </c>
      <c r="E878">
        <v>311434.2</v>
      </c>
      <c r="F878">
        <v>123585</v>
      </c>
      <c r="G878">
        <v>1176529.2</v>
      </c>
    </row>
    <row r="879" spans="1:7" x14ac:dyDescent="0.35">
      <c r="A879" t="s">
        <v>910</v>
      </c>
      <c r="B879">
        <v>1017162</v>
      </c>
      <c r="C879">
        <v>406864.8</v>
      </c>
      <c r="D879">
        <v>203432.4</v>
      </c>
      <c r="E879">
        <v>256324.82399999991</v>
      </c>
      <c r="F879">
        <v>101716.2</v>
      </c>
      <c r="G879">
        <v>968338.22399999993</v>
      </c>
    </row>
    <row r="880" spans="1:7" x14ac:dyDescent="0.35">
      <c r="A880" t="s">
        <v>911</v>
      </c>
      <c r="B880">
        <v>898179</v>
      </c>
      <c r="C880">
        <v>359271.6</v>
      </c>
      <c r="D880">
        <v>179635.8</v>
      </c>
      <c r="E880">
        <v>226341.10800000001</v>
      </c>
      <c r="F880">
        <v>89817.900000000009</v>
      </c>
      <c r="G880">
        <v>855066.40800000005</v>
      </c>
    </row>
    <row r="881" spans="1:7" x14ac:dyDescent="0.35">
      <c r="A881" t="s">
        <v>912</v>
      </c>
      <c r="B881">
        <v>650181.9</v>
      </c>
      <c r="C881">
        <v>260072.76</v>
      </c>
      <c r="D881">
        <v>130036.38</v>
      </c>
      <c r="E881">
        <v>163845.8388</v>
      </c>
      <c r="F881">
        <v>65018.19</v>
      </c>
      <c r="G881">
        <v>618973.1688000001</v>
      </c>
    </row>
    <row r="882" spans="1:7" x14ac:dyDescent="0.35">
      <c r="A882" t="s">
        <v>913</v>
      </c>
      <c r="B882">
        <v>563987</v>
      </c>
      <c r="C882">
        <v>225594.8</v>
      </c>
      <c r="D882">
        <v>112797.4</v>
      </c>
      <c r="E882">
        <v>142124.72399999999</v>
      </c>
      <c r="F882">
        <v>56398.7</v>
      </c>
      <c r="G882">
        <v>536915.62399999995</v>
      </c>
    </row>
    <row r="883" spans="1:7" x14ac:dyDescent="0.35">
      <c r="A883" t="s">
        <v>914</v>
      </c>
      <c r="B883">
        <v>1115154.6499999999</v>
      </c>
      <c r="C883">
        <v>446061.86</v>
      </c>
      <c r="D883">
        <v>223030.93</v>
      </c>
      <c r="E883">
        <v>281018.97179999988</v>
      </c>
      <c r="F883">
        <v>111515.465</v>
      </c>
      <c r="G883">
        <v>1061627.2268000001</v>
      </c>
    </row>
    <row r="884" spans="1:7" x14ac:dyDescent="0.35">
      <c r="A884" t="s">
        <v>915</v>
      </c>
      <c r="B884">
        <v>667092.85</v>
      </c>
      <c r="C884">
        <v>266837.14</v>
      </c>
      <c r="D884">
        <v>133418.57</v>
      </c>
      <c r="E884">
        <v>168107.3982</v>
      </c>
      <c r="F884">
        <v>66709.285000000003</v>
      </c>
      <c r="G884">
        <v>635072.39320000005</v>
      </c>
    </row>
    <row r="885" spans="1:7" x14ac:dyDescent="0.35">
      <c r="A885" t="s">
        <v>916</v>
      </c>
      <c r="B885">
        <v>1294524.1499999999</v>
      </c>
      <c r="C885">
        <v>517809.66</v>
      </c>
      <c r="D885">
        <v>258904.83</v>
      </c>
      <c r="E885">
        <v>326220.08579999988</v>
      </c>
      <c r="F885">
        <v>129452.41499999999</v>
      </c>
      <c r="G885">
        <v>1232386.9908</v>
      </c>
    </row>
    <row r="886" spans="1:7" x14ac:dyDescent="0.35">
      <c r="A886" t="s">
        <v>917</v>
      </c>
      <c r="B886">
        <v>886654.95</v>
      </c>
      <c r="C886">
        <v>354661.98</v>
      </c>
      <c r="D886">
        <v>177330.99</v>
      </c>
      <c r="E886">
        <v>223437.04740000001</v>
      </c>
      <c r="F886">
        <v>88665.494999999995</v>
      </c>
      <c r="G886">
        <v>844095.51240000001</v>
      </c>
    </row>
    <row r="887" spans="1:7" x14ac:dyDescent="0.35">
      <c r="A887" t="s">
        <v>918</v>
      </c>
      <c r="B887">
        <v>618215</v>
      </c>
      <c r="C887">
        <v>247286</v>
      </c>
      <c r="D887">
        <v>123643</v>
      </c>
      <c r="E887">
        <v>155790.18</v>
      </c>
      <c r="F887">
        <v>61821.5</v>
      </c>
      <c r="G887">
        <v>588540.67999999993</v>
      </c>
    </row>
    <row r="888" spans="1:7" x14ac:dyDescent="0.35">
      <c r="A888" t="s">
        <v>919</v>
      </c>
      <c r="B888">
        <v>846803.39999999991</v>
      </c>
      <c r="C888">
        <v>338721.36</v>
      </c>
      <c r="D888">
        <v>169360.68</v>
      </c>
      <c r="E888">
        <v>213394.4567999999</v>
      </c>
      <c r="F888">
        <v>84680.34</v>
      </c>
      <c r="G888">
        <v>806156.83679999982</v>
      </c>
    </row>
    <row r="889" spans="1:7" x14ac:dyDescent="0.35">
      <c r="A889" t="s">
        <v>920</v>
      </c>
      <c r="B889">
        <v>563703.4</v>
      </c>
      <c r="C889">
        <v>225481.36</v>
      </c>
      <c r="D889">
        <v>112740.68</v>
      </c>
      <c r="E889">
        <v>142053.2568</v>
      </c>
      <c r="F889">
        <v>56370.34</v>
      </c>
      <c r="G889">
        <v>536645.63679999998</v>
      </c>
    </row>
    <row r="890" spans="1:7" x14ac:dyDescent="0.35">
      <c r="A890" t="s">
        <v>921</v>
      </c>
      <c r="B890">
        <v>526647.69999999995</v>
      </c>
      <c r="C890">
        <v>210659.08</v>
      </c>
      <c r="D890">
        <v>105329.54</v>
      </c>
      <c r="E890">
        <v>132715.2203999999</v>
      </c>
      <c r="F890">
        <v>52664.77</v>
      </c>
      <c r="G890">
        <v>501368.61039999989</v>
      </c>
    </row>
    <row r="891" spans="1:7" x14ac:dyDescent="0.35">
      <c r="A891" t="s">
        <v>922</v>
      </c>
      <c r="B891">
        <v>861061</v>
      </c>
      <c r="C891">
        <v>344424.4</v>
      </c>
      <c r="D891">
        <v>172212.2</v>
      </c>
      <c r="E891">
        <v>216987.372</v>
      </c>
      <c r="F891">
        <v>86106.1</v>
      </c>
      <c r="G891">
        <v>819730.07200000004</v>
      </c>
    </row>
    <row r="892" spans="1:7" x14ac:dyDescent="0.35">
      <c r="A892" t="s">
        <v>923</v>
      </c>
      <c r="B892">
        <v>779968</v>
      </c>
      <c r="C892">
        <v>311987.20000000001</v>
      </c>
      <c r="D892">
        <v>155993.60000000001</v>
      </c>
      <c r="E892">
        <v>196551.9359999999</v>
      </c>
      <c r="F892">
        <v>77996.800000000003</v>
      </c>
      <c r="G892">
        <v>742529.53599999996</v>
      </c>
    </row>
    <row r="893" spans="1:7" x14ac:dyDescent="0.35">
      <c r="A893" t="s">
        <v>924</v>
      </c>
      <c r="B893">
        <v>689086.29999999993</v>
      </c>
      <c r="C893">
        <v>275634.52</v>
      </c>
      <c r="D893">
        <v>137817.26</v>
      </c>
      <c r="E893">
        <v>173649.7476</v>
      </c>
      <c r="F893">
        <v>68908.62999999999</v>
      </c>
      <c r="G893">
        <v>656010.15759999992</v>
      </c>
    </row>
    <row r="894" spans="1:7" x14ac:dyDescent="0.35">
      <c r="A894" t="s">
        <v>925</v>
      </c>
      <c r="B894">
        <v>868256</v>
      </c>
      <c r="C894">
        <v>347302.40000000002</v>
      </c>
      <c r="D894">
        <v>173651.20000000001</v>
      </c>
      <c r="E894">
        <v>218800.5119999999</v>
      </c>
      <c r="F894">
        <v>86825.600000000006</v>
      </c>
      <c r="G894">
        <v>826579.71199999994</v>
      </c>
    </row>
    <row r="895" spans="1:7" x14ac:dyDescent="0.35">
      <c r="A895" t="s">
        <v>926</v>
      </c>
      <c r="B895">
        <v>1191332</v>
      </c>
      <c r="C895">
        <v>476532.8</v>
      </c>
      <c r="D895">
        <v>238266.4</v>
      </c>
      <c r="E895">
        <v>300215.66399999987</v>
      </c>
      <c r="F895">
        <v>119133.2</v>
      </c>
      <c r="G895">
        <v>1134148.064</v>
      </c>
    </row>
    <row r="896" spans="1:7" x14ac:dyDescent="0.35">
      <c r="A896" t="s">
        <v>927</v>
      </c>
      <c r="B896">
        <v>540642</v>
      </c>
      <c r="C896">
        <v>216256.8</v>
      </c>
      <c r="D896">
        <v>108128.4</v>
      </c>
      <c r="E896">
        <v>136241.78400000001</v>
      </c>
      <c r="F896">
        <v>54064.2</v>
      </c>
      <c r="G896">
        <v>514691.18400000001</v>
      </c>
    </row>
    <row r="897" spans="1:7" x14ac:dyDescent="0.35">
      <c r="A897" t="s">
        <v>928</v>
      </c>
      <c r="B897">
        <v>773704.7</v>
      </c>
      <c r="C897">
        <v>309481.88</v>
      </c>
      <c r="D897">
        <v>154740.94</v>
      </c>
      <c r="E897">
        <v>194973.58439999991</v>
      </c>
      <c r="F897">
        <v>77370.47</v>
      </c>
      <c r="G897">
        <v>736566.87439999986</v>
      </c>
    </row>
    <row r="898" spans="1:7" x14ac:dyDescent="0.35">
      <c r="A898" t="s">
        <v>929</v>
      </c>
      <c r="B898">
        <v>520401.45</v>
      </c>
      <c r="C898">
        <v>208160.58</v>
      </c>
      <c r="D898">
        <v>104080.29</v>
      </c>
      <c r="E898">
        <v>131141.1654</v>
      </c>
      <c r="F898">
        <v>52040.144999999997</v>
      </c>
      <c r="G898">
        <v>495422.18040000001</v>
      </c>
    </row>
    <row r="899" spans="1:7" x14ac:dyDescent="0.35">
      <c r="A899" t="s">
        <v>930</v>
      </c>
      <c r="B899">
        <v>797585</v>
      </c>
      <c r="C899">
        <v>319034</v>
      </c>
      <c r="D899">
        <v>159517</v>
      </c>
      <c r="E899">
        <v>200991.42</v>
      </c>
      <c r="F899">
        <v>79758.5</v>
      </c>
      <c r="G899">
        <v>759300.92</v>
      </c>
    </row>
    <row r="900" spans="1:7" x14ac:dyDescent="0.35">
      <c r="A900" t="s">
        <v>931</v>
      </c>
      <c r="B900">
        <v>542079.5</v>
      </c>
      <c r="C900">
        <v>216831.8</v>
      </c>
      <c r="D900">
        <v>108415.9</v>
      </c>
      <c r="E900">
        <v>136604.03400000001</v>
      </c>
      <c r="F900">
        <v>54207.95</v>
      </c>
      <c r="G900">
        <v>516059.68400000001</v>
      </c>
    </row>
    <row r="901" spans="1:7" x14ac:dyDescent="0.35">
      <c r="A901" t="s">
        <v>932</v>
      </c>
      <c r="B901">
        <v>920367.6</v>
      </c>
      <c r="C901">
        <v>368147.04</v>
      </c>
      <c r="D901">
        <v>184073.52</v>
      </c>
      <c r="E901">
        <v>231932.6351999999</v>
      </c>
      <c r="F901">
        <v>92036.760000000009</v>
      </c>
      <c r="G901">
        <v>876189.95519999997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01"/>
  <sheetViews>
    <sheetView workbookViewId="0">
      <selection activeCell="B2" sqref="B2"/>
    </sheetView>
  </sheetViews>
  <sheetFormatPr defaultRowHeight="14.5" x14ac:dyDescent="0.35"/>
  <sheetData>
    <row r="1" spans="1:4" x14ac:dyDescent="0.35">
      <c r="A1" t="s">
        <v>0</v>
      </c>
      <c r="B1" t="s">
        <v>944</v>
      </c>
      <c r="C1" t="s">
        <v>945</v>
      </c>
      <c r="D1" t="s">
        <v>946</v>
      </c>
    </row>
    <row r="2" spans="1:4" x14ac:dyDescent="0.35">
      <c r="A2" t="s">
        <v>14</v>
      </c>
      <c r="B2">
        <f>MIN(0.12*Earnings!C2,1800)</f>
        <v>1800</v>
      </c>
      <c r="C2">
        <f>IF(Earnings!G2&lt;=21000,0.0075*Earnings!G2,0)</f>
        <v>0</v>
      </c>
      <c r="D2" s="2">
        <v>200</v>
      </c>
    </row>
    <row r="3" spans="1:4" x14ac:dyDescent="0.35">
      <c r="A3" t="s">
        <v>19</v>
      </c>
      <c r="B3">
        <f>MIN(0.12*Earnings!C3,1800)</f>
        <v>1800</v>
      </c>
      <c r="C3">
        <f>IF(Earnings!G3&lt;=21000,0.0075*Earnings!G3,0)</f>
        <v>0</v>
      </c>
      <c r="D3" s="2">
        <v>200</v>
      </c>
    </row>
    <row r="4" spans="1:4" x14ac:dyDescent="0.35">
      <c r="A4" t="s">
        <v>24</v>
      </c>
      <c r="B4">
        <f>MIN(0.12*Earnings!C4,1800)</f>
        <v>1800</v>
      </c>
      <c r="C4">
        <f>IF(Earnings!G4&lt;=21000,0.0075*Earnings!G4,0)</f>
        <v>0</v>
      </c>
      <c r="D4" s="2">
        <v>200</v>
      </c>
    </row>
    <row r="5" spans="1:4" x14ac:dyDescent="0.35">
      <c r="A5" t="s">
        <v>26</v>
      </c>
      <c r="B5">
        <f>MIN(0.12*Earnings!C5,1800)</f>
        <v>1800</v>
      </c>
      <c r="C5">
        <f>IF(Earnings!G5&lt;=21000,0.0075*Earnings!G5,0)</f>
        <v>0</v>
      </c>
      <c r="D5" s="2">
        <v>200</v>
      </c>
    </row>
    <row r="6" spans="1:4" x14ac:dyDescent="0.35">
      <c r="A6" t="s">
        <v>29</v>
      </c>
      <c r="B6">
        <f>MIN(0.12*Earnings!C6,1800)</f>
        <v>1800</v>
      </c>
      <c r="C6">
        <f>IF(Earnings!G6&lt;=21000,0.0075*Earnings!G6,0)</f>
        <v>0</v>
      </c>
      <c r="D6" s="2">
        <v>200</v>
      </c>
    </row>
    <row r="7" spans="1:4" x14ac:dyDescent="0.35">
      <c r="A7" t="s">
        <v>31</v>
      </c>
      <c r="B7">
        <f>MIN(0.12*Earnings!C7,1800)</f>
        <v>1800</v>
      </c>
      <c r="C7">
        <f>IF(Earnings!G7&lt;=21000,0.0075*Earnings!G7,0)</f>
        <v>0</v>
      </c>
      <c r="D7" s="2">
        <v>200</v>
      </c>
    </row>
    <row r="8" spans="1:4" x14ac:dyDescent="0.35">
      <c r="A8" t="s">
        <v>33</v>
      </c>
      <c r="B8">
        <f>MIN(0.12*Earnings!C8,1800)</f>
        <v>1800</v>
      </c>
      <c r="C8">
        <f>IF(Earnings!G8&lt;=21000,0.0075*Earnings!G8,0)</f>
        <v>0</v>
      </c>
      <c r="D8" s="2">
        <v>200</v>
      </c>
    </row>
    <row r="9" spans="1:4" x14ac:dyDescent="0.35">
      <c r="A9" t="s">
        <v>35</v>
      </c>
      <c r="B9">
        <f>MIN(0.12*Earnings!C9,1800)</f>
        <v>1800</v>
      </c>
      <c r="C9">
        <f>IF(Earnings!G9&lt;=21000,0.0075*Earnings!G9,0)</f>
        <v>0</v>
      </c>
      <c r="D9" s="2">
        <v>200</v>
      </c>
    </row>
    <row r="10" spans="1:4" x14ac:dyDescent="0.35">
      <c r="A10" t="s">
        <v>37</v>
      </c>
      <c r="B10">
        <f>MIN(0.12*Earnings!C10,1800)</f>
        <v>1800</v>
      </c>
      <c r="C10">
        <f>IF(Earnings!G10&lt;=21000,0.0075*Earnings!G10,0)</f>
        <v>0</v>
      </c>
      <c r="D10" s="2">
        <v>200</v>
      </c>
    </row>
    <row r="11" spans="1:4" x14ac:dyDescent="0.35">
      <c r="A11" t="s">
        <v>39</v>
      </c>
      <c r="B11">
        <f>MIN(0.12*Earnings!C11,1800)</f>
        <v>1800</v>
      </c>
      <c r="C11">
        <f>IF(Earnings!G11&lt;=21000,0.0075*Earnings!G11,0)</f>
        <v>0</v>
      </c>
      <c r="D11" s="2">
        <v>200</v>
      </c>
    </row>
    <row r="12" spans="1:4" x14ac:dyDescent="0.35">
      <c r="A12" t="s">
        <v>40</v>
      </c>
      <c r="B12">
        <f>MIN(0.12*Earnings!C12,1800)</f>
        <v>1800</v>
      </c>
      <c r="C12">
        <f>IF(Earnings!G12&lt;=21000,0.0075*Earnings!G12,0)</f>
        <v>0</v>
      </c>
      <c r="D12" s="2">
        <v>200</v>
      </c>
    </row>
    <row r="13" spans="1:4" x14ac:dyDescent="0.35">
      <c r="A13" t="s">
        <v>41</v>
      </c>
      <c r="B13">
        <f>MIN(0.12*Earnings!C13,1800)</f>
        <v>1800</v>
      </c>
      <c r="C13">
        <f>IF(Earnings!G13&lt;=21000,0.0075*Earnings!G13,0)</f>
        <v>0</v>
      </c>
      <c r="D13" s="2">
        <v>200</v>
      </c>
    </row>
    <row r="14" spans="1:4" x14ac:dyDescent="0.35">
      <c r="A14" t="s">
        <v>42</v>
      </c>
      <c r="B14">
        <f>MIN(0.12*Earnings!C14,1800)</f>
        <v>1800</v>
      </c>
      <c r="C14">
        <f>IF(Earnings!G14&lt;=21000,0.0075*Earnings!G14,0)</f>
        <v>0</v>
      </c>
      <c r="D14" s="2">
        <v>200</v>
      </c>
    </row>
    <row r="15" spans="1:4" x14ac:dyDescent="0.35">
      <c r="A15" t="s">
        <v>43</v>
      </c>
      <c r="B15">
        <f>MIN(0.12*Earnings!C15,1800)</f>
        <v>1800</v>
      </c>
      <c r="C15">
        <f>IF(Earnings!G15&lt;=21000,0.0075*Earnings!G15,0)</f>
        <v>0</v>
      </c>
      <c r="D15" s="2">
        <v>200</v>
      </c>
    </row>
    <row r="16" spans="1:4" x14ac:dyDescent="0.35">
      <c r="A16" t="s">
        <v>46</v>
      </c>
      <c r="B16">
        <f>MIN(0.12*Earnings!C16,1800)</f>
        <v>1800</v>
      </c>
      <c r="C16">
        <f>IF(Earnings!G16&lt;=21000,0.0075*Earnings!G16,0)</f>
        <v>0</v>
      </c>
      <c r="D16" s="2">
        <v>200</v>
      </c>
    </row>
    <row r="17" spans="1:4" x14ac:dyDescent="0.35">
      <c r="A17" t="s">
        <v>47</v>
      </c>
      <c r="B17">
        <f>MIN(0.12*Earnings!C17,1800)</f>
        <v>1800</v>
      </c>
      <c r="C17">
        <f>IF(Earnings!G17&lt;=21000,0.0075*Earnings!G17,0)</f>
        <v>0</v>
      </c>
      <c r="D17" s="2">
        <v>200</v>
      </c>
    </row>
    <row r="18" spans="1:4" x14ac:dyDescent="0.35">
      <c r="A18" t="s">
        <v>48</v>
      </c>
      <c r="B18">
        <f>MIN(0.12*Earnings!C18,1800)</f>
        <v>1800</v>
      </c>
      <c r="C18">
        <f>IF(Earnings!G18&lt;=21000,0.0075*Earnings!G18,0)</f>
        <v>0</v>
      </c>
      <c r="D18" s="2">
        <v>200</v>
      </c>
    </row>
    <row r="19" spans="1:4" x14ac:dyDescent="0.35">
      <c r="A19" t="s">
        <v>49</v>
      </c>
      <c r="B19">
        <f>MIN(0.12*Earnings!C19,1800)</f>
        <v>1800</v>
      </c>
      <c r="C19">
        <f>IF(Earnings!G19&lt;=21000,0.0075*Earnings!G19,0)</f>
        <v>0</v>
      </c>
      <c r="D19" s="2">
        <v>200</v>
      </c>
    </row>
    <row r="20" spans="1:4" x14ac:dyDescent="0.35">
      <c r="A20" t="s">
        <v>50</v>
      </c>
      <c r="B20">
        <f>MIN(0.12*Earnings!C20,1800)</f>
        <v>1800</v>
      </c>
      <c r="C20">
        <f>IF(Earnings!G20&lt;=21000,0.0075*Earnings!G20,0)</f>
        <v>0</v>
      </c>
      <c r="D20" s="2">
        <v>200</v>
      </c>
    </row>
    <row r="21" spans="1:4" x14ac:dyDescent="0.35">
      <c r="A21" t="s">
        <v>51</v>
      </c>
      <c r="B21">
        <f>MIN(0.12*Earnings!C21,1800)</f>
        <v>1800</v>
      </c>
      <c r="C21">
        <f>IF(Earnings!G21&lt;=21000,0.0075*Earnings!G21,0)</f>
        <v>0</v>
      </c>
      <c r="D21" s="2">
        <v>200</v>
      </c>
    </row>
    <row r="22" spans="1:4" x14ac:dyDescent="0.35">
      <c r="A22" t="s">
        <v>52</v>
      </c>
      <c r="B22">
        <f>MIN(0.12*Earnings!C22,1800)</f>
        <v>1800</v>
      </c>
      <c r="C22">
        <f>IF(Earnings!G22&lt;=21000,0.0075*Earnings!G22,0)</f>
        <v>0</v>
      </c>
      <c r="D22" s="2">
        <v>200</v>
      </c>
    </row>
    <row r="23" spans="1:4" x14ac:dyDescent="0.35">
      <c r="A23" t="s">
        <v>53</v>
      </c>
      <c r="B23">
        <f>MIN(0.12*Earnings!C23,1800)</f>
        <v>1800</v>
      </c>
      <c r="C23">
        <f>IF(Earnings!G23&lt;=21000,0.0075*Earnings!G23,0)</f>
        <v>0</v>
      </c>
      <c r="D23" s="2">
        <v>200</v>
      </c>
    </row>
    <row r="24" spans="1:4" x14ac:dyDescent="0.35">
      <c r="A24" t="s">
        <v>54</v>
      </c>
      <c r="B24">
        <f>MIN(0.12*Earnings!C24,1800)</f>
        <v>1800</v>
      </c>
      <c r="C24">
        <f>IF(Earnings!G24&lt;=21000,0.0075*Earnings!G24,0)</f>
        <v>0</v>
      </c>
      <c r="D24" s="2">
        <v>200</v>
      </c>
    </row>
    <row r="25" spans="1:4" x14ac:dyDescent="0.35">
      <c r="A25" t="s">
        <v>55</v>
      </c>
      <c r="B25">
        <f>MIN(0.12*Earnings!C25,1800)</f>
        <v>1800</v>
      </c>
      <c r="C25">
        <f>IF(Earnings!G25&lt;=21000,0.0075*Earnings!G25,0)</f>
        <v>0</v>
      </c>
      <c r="D25" s="2">
        <v>200</v>
      </c>
    </row>
    <row r="26" spans="1:4" x14ac:dyDescent="0.35">
      <c r="A26" t="s">
        <v>56</v>
      </c>
      <c r="B26">
        <f>MIN(0.12*Earnings!C26,1800)</f>
        <v>1800</v>
      </c>
      <c r="C26">
        <f>IF(Earnings!G26&lt;=21000,0.0075*Earnings!G26,0)</f>
        <v>0</v>
      </c>
      <c r="D26" s="2">
        <v>200</v>
      </c>
    </row>
    <row r="27" spans="1:4" x14ac:dyDescent="0.35">
      <c r="A27" t="s">
        <v>57</v>
      </c>
      <c r="B27">
        <f>MIN(0.12*Earnings!C27,1800)</f>
        <v>1800</v>
      </c>
      <c r="C27">
        <f>IF(Earnings!G27&lt;=21000,0.0075*Earnings!G27,0)</f>
        <v>0</v>
      </c>
      <c r="D27" s="2">
        <v>200</v>
      </c>
    </row>
    <row r="28" spans="1:4" x14ac:dyDescent="0.35">
      <c r="A28" t="s">
        <v>58</v>
      </c>
      <c r="B28">
        <f>MIN(0.12*Earnings!C28,1800)</f>
        <v>1800</v>
      </c>
      <c r="C28">
        <f>IF(Earnings!G28&lt;=21000,0.0075*Earnings!G28,0)</f>
        <v>0</v>
      </c>
      <c r="D28" s="2">
        <v>200</v>
      </c>
    </row>
    <row r="29" spans="1:4" x14ac:dyDescent="0.35">
      <c r="A29" t="s">
        <v>59</v>
      </c>
      <c r="B29">
        <f>MIN(0.12*Earnings!C29,1800)</f>
        <v>1800</v>
      </c>
      <c r="C29">
        <f>IF(Earnings!G29&lt;=21000,0.0075*Earnings!G29,0)</f>
        <v>0</v>
      </c>
      <c r="D29" s="2">
        <v>200</v>
      </c>
    </row>
    <row r="30" spans="1:4" x14ac:dyDescent="0.35">
      <c r="A30" t="s">
        <v>60</v>
      </c>
      <c r="B30">
        <f>MIN(0.12*Earnings!C30,1800)</f>
        <v>1800</v>
      </c>
      <c r="C30">
        <f>IF(Earnings!G30&lt;=21000,0.0075*Earnings!G30,0)</f>
        <v>0</v>
      </c>
      <c r="D30" s="2">
        <v>200</v>
      </c>
    </row>
    <row r="31" spans="1:4" x14ac:dyDescent="0.35">
      <c r="A31" t="s">
        <v>61</v>
      </c>
      <c r="B31">
        <f>MIN(0.12*Earnings!C31,1800)</f>
        <v>1800</v>
      </c>
      <c r="C31">
        <f>IF(Earnings!G31&lt;=21000,0.0075*Earnings!G31,0)</f>
        <v>0</v>
      </c>
      <c r="D31" s="2">
        <v>200</v>
      </c>
    </row>
    <row r="32" spans="1:4" x14ac:dyDescent="0.35">
      <c r="A32" t="s">
        <v>62</v>
      </c>
      <c r="B32">
        <f>MIN(0.12*Earnings!C32,1800)</f>
        <v>1800</v>
      </c>
      <c r="C32">
        <f>IF(Earnings!G32&lt;=21000,0.0075*Earnings!G32,0)</f>
        <v>0</v>
      </c>
      <c r="D32" s="2">
        <v>200</v>
      </c>
    </row>
    <row r="33" spans="1:4" x14ac:dyDescent="0.35">
      <c r="A33" t="s">
        <v>63</v>
      </c>
      <c r="B33">
        <f>MIN(0.12*Earnings!C33,1800)</f>
        <v>1800</v>
      </c>
      <c r="C33">
        <f>IF(Earnings!G33&lt;=21000,0.0075*Earnings!G33,0)</f>
        <v>0</v>
      </c>
      <c r="D33" s="2">
        <v>200</v>
      </c>
    </row>
    <row r="34" spans="1:4" x14ac:dyDescent="0.35">
      <c r="A34" t="s">
        <v>64</v>
      </c>
      <c r="B34">
        <f>MIN(0.12*Earnings!C34,1800)</f>
        <v>1800</v>
      </c>
      <c r="C34">
        <f>IF(Earnings!G34&lt;=21000,0.0075*Earnings!G34,0)</f>
        <v>0</v>
      </c>
      <c r="D34" s="2">
        <v>200</v>
      </c>
    </row>
    <row r="35" spans="1:4" x14ac:dyDescent="0.35">
      <c r="A35" t="s">
        <v>65</v>
      </c>
      <c r="B35">
        <f>MIN(0.12*Earnings!C35,1800)</f>
        <v>1800</v>
      </c>
      <c r="C35">
        <f>IF(Earnings!G35&lt;=21000,0.0075*Earnings!G35,0)</f>
        <v>0</v>
      </c>
      <c r="D35" s="2">
        <v>200</v>
      </c>
    </row>
    <row r="36" spans="1:4" x14ac:dyDescent="0.35">
      <c r="A36" t="s">
        <v>66</v>
      </c>
      <c r="B36">
        <f>MIN(0.12*Earnings!C36,1800)</f>
        <v>1800</v>
      </c>
      <c r="C36">
        <f>IF(Earnings!G36&lt;=21000,0.0075*Earnings!G36,0)</f>
        <v>0</v>
      </c>
      <c r="D36" s="2">
        <v>200</v>
      </c>
    </row>
    <row r="37" spans="1:4" x14ac:dyDescent="0.35">
      <c r="A37" t="s">
        <v>67</v>
      </c>
      <c r="B37">
        <f>MIN(0.12*Earnings!C37,1800)</f>
        <v>1800</v>
      </c>
      <c r="C37">
        <f>IF(Earnings!G37&lt;=21000,0.0075*Earnings!G37,0)</f>
        <v>0</v>
      </c>
      <c r="D37" s="2">
        <v>200</v>
      </c>
    </row>
    <row r="38" spans="1:4" x14ac:dyDescent="0.35">
      <c r="A38" t="s">
        <v>68</v>
      </c>
      <c r="B38">
        <f>MIN(0.12*Earnings!C38,1800)</f>
        <v>1800</v>
      </c>
      <c r="C38">
        <f>IF(Earnings!G38&lt;=21000,0.0075*Earnings!G38,0)</f>
        <v>0</v>
      </c>
      <c r="D38" s="2">
        <v>200</v>
      </c>
    </row>
    <row r="39" spans="1:4" x14ac:dyDescent="0.35">
      <c r="A39" t="s">
        <v>69</v>
      </c>
      <c r="B39">
        <f>MIN(0.12*Earnings!C39,1800)</f>
        <v>1800</v>
      </c>
      <c r="C39">
        <f>IF(Earnings!G39&lt;=21000,0.0075*Earnings!G39,0)</f>
        <v>0</v>
      </c>
      <c r="D39" s="2">
        <v>200</v>
      </c>
    </row>
    <row r="40" spans="1:4" x14ac:dyDescent="0.35">
      <c r="A40" t="s">
        <v>70</v>
      </c>
      <c r="B40">
        <f>MIN(0.12*Earnings!C40,1800)</f>
        <v>1800</v>
      </c>
      <c r="C40">
        <f>IF(Earnings!G40&lt;=21000,0.0075*Earnings!G40,0)</f>
        <v>0</v>
      </c>
      <c r="D40" s="2">
        <v>200</v>
      </c>
    </row>
    <row r="41" spans="1:4" x14ac:dyDescent="0.35">
      <c r="A41" t="s">
        <v>72</v>
      </c>
      <c r="B41">
        <f>MIN(0.12*Earnings!C41,1800)</f>
        <v>1800</v>
      </c>
      <c r="C41">
        <f>IF(Earnings!G41&lt;=21000,0.0075*Earnings!G41,0)</f>
        <v>0</v>
      </c>
      <c r="D41" s="2">
        <v>200</v>
      </c>
    </row>
    <row r="42" spans="1:4" x14ac:dyDescent="0.35">
      <c r="A42" t="s">
        <v>73</v>
      </c>
      <c r="B42">
        <f>MIN(0.12*Earnings!C42,1800)</f>
        <v>1800</v>
      </c>
      <c r="C42">
        <f>IF(Earnings!G42&lt;=21000,0.0075*Earnings!G42,0)</f>
        <v>0</v>
      </c>
      <c r="D42" s="2">
        <v>200</v>
      </c>
    </row>
    <row r="43" spans="1:4" x14ac:dyDescent="0.35">
      <c r="A43" t="s">
        <v>74</v>
      </c>
      <c r="B43">
        <f>MIN(0.12*Earnings!C43,1800)</f>
        <v>1800</v>
      </c>
      <c r="C43">
        <f>IF(Earnings!G43&lt;=21000,0.0075*Earnings!G43,0)</f>
        <v>0</v>
      </c>
      <c r="D43" s="2">
        <v>200</v>
      </c>
    </row>
    <row r="44" spans="1:4" x14ac:dyDescent="0.35">
      <c r="A44" t="s">
        <v>75</v>
      </c>
      <c r="B44">
        <f>MIN(0.12*Earnings!C44,1800)</f>
        <v>1800</v>
      </c>
      <c r="C44">
        <f>IF(Earnings!G44&lt;=21000,0.0075*Earnings!G44,0)</f>
        <v>0</v>
      </c>
      <c r="D44" s="2">
        <v>200</v>
      </c>
    </row>
    <row r="45" spans="1:4" x14ac:dyDescent="0.35">
      <c r="A45" t="s">
        <v>76</v>
      </c>
      <c r="B45">
        <f>MIN(0.12*Earnings!C45,1800)</f>
        <v>1800</v>
      </c>
      <c r="C45">
        <f>IF(Earnings!G45&lt;=21000,0.0075*Earnings!G45,0)</f>
        <v>0</v>
      </c>
      <c r="D45" s="2">
        <v>200</v>
      </c>
    </row>
    <row r="46" spans="1:4" x14ac:dyDescent="0.35">
      <c r="A46" t="s">
        <v>77</v>
      </c>
      <c r="B46">
        <f>MIN(0.12*Earnings!C46,1800)</f>
        <v>1800</v>
      </c>
      <c r="C46">
        <f>IF(Earnings!G46&lt;=21000,0.0075*Earnings!G46,0)</f>
        <v>0</v>
      </c>
      <c r="D46" s="2">
        <v>200</v>
      </c>
    </row>
    <row r="47" spans="1:4" x14ac:dyDescent="0.35">
      <c r="A47" t="s">
        <v>78</v>
      </c>
      <c r="B47">
        <f>MIN(0.12*Earnings!C47,1800)</f>
        <v>1800</v>
      </c>
      <c r="C47">
        <f>IF(Earnings!G47&lt;=21000,0.0075*Earnings!G47,0)</f>
        <v>0</v>
      </c>
      <c r="D47" s="2">
        <v>200</v>
      </c>
    </row>
    <row r="48" spans="1:4" x14ac:dyDescent="0.35">
      <c r="A48" t="s">
        <v>79</v>
      </c>
      <c r="B48">
        <f>MIN(0.12*Earnings!C48,1800)</f>
        <v>1800</v>
      </c>
      <c r="C48">
        <f>IF(Earnings!G48&lt;=21000,0.0075*Earnings!G48,0)</f>
        <v>0</v>
      </c>
      <c r="D48" s="2">
        <v>200</v>
      </c>
    </row>
    <row r="49" spans="1:4" x14ac:dyDescent="0.35">
      <c r="A49" t="s">
        <v>80</v>
      </c>
      <c r="B49">
        <f>MIN(0.12*Earnings!C49,1800)</f>
        <v>1800</v>
      </c>
      <c r="C49">
        <f>IF(Earnings!G49&lt;=21000,0.0075*Earnings!G49,0)</f>
        <v>0</v>
      </c>
      <c r="D49" s="2">
        <v>200</v>
      </c>
    </row>
    <row r="50" spans="1:4" x14ac:dyDescent="0.35">
      <c r="A50" t="s">
        <v>81</v>
      </c>
      <c r="B50">
        <f>MIN(0.12*Earnings!C50,1800)</f>
        <v>1800</v>
      </c>
      <c r="C50">
        <f>IF(Earnings!G50&lt;=21000,0.0075*Earnings!G50,0)</f>
        <v>0</v>
      </c>
      <c r="D50" s="2">
        <v>200</v>
      </c>
    </row>
    <row r="51" spans="1:4" x14ac:dyDescent="0.35">
      <c r="A51" t="s">
        <v>82</v>
      </c>
      <c r="B51">
        <f>MIN(0.12*Earnings!C51,1800)</f>
        <v>1800</v>
      </c>
      <c r="C51">
        <f>IF(Earnings!G51&lt;=21000,0.0075*Earnings!G51,0)</f>
        <v>0</v>
      </c>
      <c r="D51" s="2">
        <v>200</v>
      </c>
    </row>
    <row r="52" spans="1:4" x14ac:dyDescent="0.35">
      <c r="A52" t="s">
        <v>83</v>
      </c>
      <c r="B52">
        <f>MIN(0.12*Earnings!C52,1800)</f>
        <v>1800</v>
      </c>
      <c r="C52">
        <f>IF(Earnings!G52&lt;=21000,0.0075*Earnings!G52,0)</f>
        <v>0</v>
      </c>
      <c r="D52" s="2">
        <v>200</v>
      </c>
    </row>
    <row r="53" spans="1:4" x14ac:dyDescent="0.35">
      <c r="A53" t="s">
        <v>84</v>
      </c>
      <c r="B53">
        <f>MIN(0.12*Earnings!C53,1800)</f>
        <v>1800</v>
      </c>
      <c r="C53">
        <f>IF(Earnings!G53&lt;=21000,0.0075*Earnings!G53,0)</f>
        <v>0</v>
      </c>
      <c r="D53" s="2">
        <v>200</v>
      </c>
    </row>
    <row r="54" spans="1:4" x14ac:dyDescent="0.35">
      <c r="A54" t="s">
        <v>85</v>
      </c>
      <c r="B54">
        <f>MIN(0.12*Earnings!C54,1800)</f>
        <v>1800</v>
      </c>
      <c r="C54">
        <f>IF(Earnings!G54&lt;=21000,0.0075*Earnings!G54,0)</f>
        <v>0</v>
      </c>
      <c r="D54" s="2">
        <v>200</v>
      </c>
    </row>
    <row r="55" spans="1:4" x14ac:dyDescent="0.35">
      <c r="A55" t="s">
        <v>86</v>
      </c>
      <c r="B55">
        <f>MIN(0.12*Earnings!C55,1800)</f>
        <v>1800</v>
      </c>
      <c r="C55">
        <f>IF(Earnings!G55&lt;=21000,0.0075*Earnings!G55,0)</f>
        <v>0</v>
      </c>
      <c r="D55" s="2">
        <v>200</v>
      </c>
    </row>
    <row r="56" spans="1:4" x14ac:dyDescent="0.35">
      <c r="A56" t="s">
        <v>87</v>
      </c>
      <c r="B56">
        <f>MIN(0.12*Earnings!C56,1800)</f>
        <v>1800</v>
      </c>
      <c r="C56">
        <f>IF(Earnings!G56&lt;=21000,0.0075*Earnings!G56,0)</f>
        <v>0</v>
      </c>
      <c r="D56" s="2">
        <v>200</v>
      </c>
    </row>
    <row r="57" spans="1:4" x14ac:dyDescent="0.35">
      <c r="A57" t="s">
        <v>88</v>
      </c>
      <c r="B57">
        <f>MIN(0.12*Earnings!C57,1800)</f>
        <v>1800</v>
      </c>
      <c r="C57">
        <f>IF(Earnings!G57&lt;=21000,0.0075*Earnings!G57,0)</f>
        <v>0</v>
      </c>
      <c r="D57" s="2">
        <v>200</v>
      </c>
    </row>
    <row r="58" spans="1:4" x14ac:dyDescent="0.35">
      <c r="A58" t="s">
        <v>89</v>
      </c>
      <c r="B58">
        <f>MIN(0.12*Earnings!C58,1800)</f>
        <v>1800</v>
      </c>
      <c r="C58">
        <f>IF(Earnings!G58&lt;=21000,0.0075*Earnings!G58,0)</f>
        <v>0</v>
      </c>
      <c r="D58" s="2">
        <v>200</v>
      </c>
    </row>
    <row r="59" spans="1:4" x14ac:dyDescent="0.35">
      <c r="A59" t="s">
        <v>90</v>
      </c>
      <c r="B59">
        <f>MIN(0.12*Earnings!C59,1800)</f>
        <v>1800</v>
      </c>
      <c r="C59">
        <f>IF(Earnings!G59&lt;=21000,0.0075*Earnings!G59,0)</f>
        <v>0</v>
      </c>
      <c r="D59" s="2">
        <v>200</v>
      </c>
    </row>
    <row r="60" spans="1:4" x14ac:dyDescent="0.35">
      <c r="A60" t="s">
        <v>91</v>
      </c>
      <c r="B60">
        <f>MIN(0.12*Earnings!C60,1800)</f>
        <v>1800</v>
      </c>
      <c r="C60">
        <f>IF(Earnings!G60&lt;=21000,0.0075*Earnings!G60,0)</f>
        <v>0</v>
      </c>
      <c r="D60" s="2">
        <v>200</v>
      </c>
    </row>
    <row r="61" spans="1:4" x14ac:dyDescent="0.35">
      <c r="A61" t="s">
        <v>92</v>
      </c>
      <c r="B61">
        <f>MIN(0.12*Earnings!C61,1800)</f>
        <v>1800</v>
      </c>
      <c r="C61">
        <f>IF(Earnings!G61&lt;=21000,0.0075*Earnings!G61,0)</f>
        <v>0</v>
      </c>
      <c r="D61" s="2">
        <v>200</v>
      </c>
    </row>
    <row r="62" spans="1:4" x14ac:dyDescent="0.35">
      <c r="A62" t="s">
        <v>93</v>
      </c>
      <c r="B62">
        <f>MIN(0.12*Earnings!C62,1800)</f>
        <v>1800</v>
      </c>
      <c r="C62">
        <f>IF(Earnings!G62&lt;=21000,0.0075*Earnings!G62,0)</f>
        <v>0</v>
      </c>
      <c r="D62" s="2">
        <v>200</v>
      </c>
    </row>
    <row r="63" spans="1:4" x14ac:dyDescent="0.35">
      <c r="A63" t="s">
        <v>94</v>
      </c>
      <c r="B63">
        <f>MIN(0.12*Earnings!C63,1800)</f>
        <v>1800</v>
      </c>
      <c r="C63">
        <f>IF(Earnings!G63&lt;=21000,0.0075*Earnings!G63,0)</f>
        <v>0</v>
      </c>
      <c r="D63" s="2">
        <v>200</v>
      </c>
    </row>
    <row r="64" spans="1:4" x14ac:dyDescent="0.35">
      <c r="A64" t="s">
        <v>95</v>
      </c>
      <c r="B64">
        <f>MIN(0.12*Earnings!C64,1800)</f>
        <v>1800</v>
      </c>
      <c r="C64">
        <f>IF(Earnings!G64&lt;=21000,0.0075*Earnings!G64,0)</f>
        <v>0</v>
      </c>
      <c r="D64" s="2">
        <v>200</v>
      </c>
    </row>
    <row r="65" spans="1:4" x14ac:dyDescent="0.35">
      <c r="A65" t="s">
        <v>96</v>
      </c>
      <c r="B65">
        <f>MIN(0.12*Earnings!C65,1800)</f>
        <v>1800</v>
      </c>
      <c r="C65">
        <f>IF(Earnings!G65&lt;=21000,0.0075*Earnings!G65,0)</f>
        <v>0</v>
      </c>
      <c r="D65" s="2">
        <v>200</v>
      </c>
    </row>
    <row r="66" spans="1:4" x14ac:dyDescent="0.35">
      <c r="A66" t="s">
        <v>97</v>
      </c>
      <c r="B66">
        <f>MIN(0.12*Earnings!C66,1800)</f>
        <v>1800</v>
      </c>
      <c r="C66">
        <f>IF(Earnings!G66&lt;=21000,0.0075*Earnings!G66,0)</f>
        <v>0</v>
      </c>
      <c r="D66" s="2">
        <v>200</v>
      </c>
    </row>
    <row r="67" spans="1:4" x14ac:dyDescent="0.35">
      <c r="A67" t="s">
        <v>98</v>
      </c>
      <c r="B67">
        <f>MIN(0.12*Earnings!C67,1800)</f>
        <v>1800</v>
      </c>
      <c r="C67">
        <f>IF(Earnings!G67&lt;=21000,0.0075*Earnings!G67,0)</f>
        <v>0</v>
      </c>
      <c r="D67" s="2">
        <v>200</v>
      </c>
    </row>
    <row r="68" spans="1:4" x14ac:dyDescent="0.35">
      <c r="A68" t="s">
        <v>99</v>
      </c>
      <c r="B68">
        <f>MIN(0.12*Earnings!C68,1800)</f>
        <v>1800</v>
      </c>
      <c r="C68">
        <f>IF(Earnings!G68&lt;=21000,0.0075*Earnings!G68,0)</f>
        <v>0</v>
      </c>
      <c r="D68" s="2">
        <v>200</v>
      </c>
    </row>
    <row r="69" spans="1:4" x14ac:dyDescent="0.35">
      <c r="A69" t="s">
        <v>100</v>
      </c>
      <c r="B69">
        <f>MIN(0.12*Earnings!C69,1800)</f>
        <v>1800</v>
      </c>
      <c r="C69">
        <f>IF(Earnings!G69&lt;=21000,0.0075*Earnings!G69,0)</f>
        <v>0</v>
      </c>
      <c r="D69" s="2">
        <v>200</v>
      </c>
    </row>
    <row r="70" spans="1:4" x14ac:dyDescent="0.35">
      <c r="A70" t="s">
        <v>101</v>
      </c>
      <c r="B70">
        <f>MIN(0.12*Earnings!C70,1800)</f>
        <v>1800</v>
      </c>
      <c r="C70">
        <f>IF(Earnings!G70&lt;=21000,0.0075*Earnings!G70,0)</f>
        <v>0</v>
      </c>
      <c r="D70" s="2">
        <v>200</v>
      </c>
    </row>
    <row r="71" spans="1:4" x14ac:dyDescent="0.35">
      <c r="A71" t="s">
        <v>102</v>
      </c>
      <c r="B71">
        <f>MIN(0.12*Earnings!C71,1800)</f>
        <v>1800</v>
      </c>
      <c r="C71">
        <f>IF(Earnings!G71&lt;=21000,0.0075*Earnings!G71,0)</f>
        <v>0</v>
      </c>
      <c r="D71" s="2">
        <v>200</v>
      </c>
    </row>
    <row r="72" spans="1:4" x14ac:dyDescent="0.35">
      <c r="A72" t="s">
        <v>103</v>
      </c>
      <c r="B72">
        <f>MIN(0.12*Earnings!C72,1800)</f>
        <v>1800</v>
      </c>
      <c r="C72">
        <f>IF(Earnings!G72&lt;=21000,0.0075*Earnings!G72,0)</f>
        <v>0</v>
      </c>
      <c r="D72" s="2">
        <v>200</v>
      </c>
    </row>
    <row r="73" spans="1:4" x14ac:dyDescent="0.35">
      <c r="A73" t="s">
        <v>104</v>
      </c>
      <c r="B73">
        <f>MIN(0.12*Earnings!C73,1800)</f>
        <v>1800</v>
      </c>
      <c r="C73">
        <f>IF(Earnings!G73&lt;=21000,0.0075*Earnings!G73,0)</f>
        <v>0</v>
      </c>
      <c r="D73" s="2">
        <v>200</v>
      </c>
    </row>
    <row r="74" spans="1:4" x14ac:dyDescent="0.35">
      <c r="A74" t="s">
        <v>105</v>
      </c>
      <c r="B74">
        <f>MIN(0.12*Earnings!C74,1800)</f>
        <v>1800</v>
      </c>
      <c r="C74">
        <f>IF(Earnings!G74&lt;=21000,0.0075*Earnings!G74,0)</f>
        <v>0</v>
      </c>
      <c r="D74" s="2">
        <v>200</v>
      </c>
    </row>
    <row r="75" spans="1:4" x14ac:dyDescent="0.35">
      <c r="A75" t="s">
        <v>106</v>
      </c>
      <c r="B75">
        <f>MIN(0.12*Earnings!C75,1800)</f>
        <v>1800</v>
      </c>
      <c r="C75">
        <f>IF(Earnings!G75&lt;=21000,0.0075*Earnings!G75,0)</f>
        <v>0</v>
      </c>
      <c r="D75" s="2">
        <v>200</v>
      </c>
    </row>
    <row r="76" spans="1:4" x14ac:dyDescent="0.35">
      <c r="A76" t="s">
        <v>107</v>
      </c>
      <c r="B76">
        <f>MIN(0.12*Earnings!C76,1800)</f>
        <v>1800</v>
      </c>
      <c r="C76">
        <f>IF(Earnings!G76&lt;=21000,0.0075*Earnings!G76,0)</f>
        <v>0</v>
      </c>
      <c r="D76" s="2">
        <v>200</v>
      </c>
    </row>
    <row r="77" spans="1:4" x14ac:dyDescent="0.35">
      <c r="A77" t="s">
        <v>108</v>
      </c>
      <c r="B77">
        <f>MIN(0.12*Earnings!C77,1800)</f>
        <v>1800</v>
      </c>
      <c r="C77">
        <f>IF(Earnings!G77&lt;=21000,0.0075*Earnings!G77,0)</f>
        <v>0</v>
      </c>
      <c r="D77" s="2">
        <v>200</v>
      </c>
    </row>
    <row r="78" spans="1:4" x14ac:dyDescent="0.35">
      <c r="A78" t="s">
        <v>109</v>
      </c>
      <c r="B78">
        <f>MIN(0.12*Earnings!C78,1800)</f>
        <v>1800</v>
      </c>
      <c r="C78">
        <f>IF(Earnings!G78&lt;=21000,0.0075*Earnings!G78,0)</f>
        <v>0</v>
      </c>
      <c r="D78" s="2">
        <v>200</v>
      </c>
    </row>
    <row r="79" spans="1:4" x14ac:dyDescent="0.35">
      <c r="A79" t="s">
        <v>110</v>
      </c>
      <c r="B79">
        <f>MIN(0.12*Earnings!C79,1800)</f>
        <v>1800</v>
      </c>
      <c r="C79">
        <f>IF(Earnings!G79&lt;=21000,0.0075*Earnings!G79,0)</f>
        <v>0</v>
      </c>
      <c r="D79" s="2">
        <v>200</v>
      </c>
    </row>
    <row r="80" spans="1:4" x14ac:dyDescent="0.35">
      <c r="A80" t="s">
        <v>111</v>
      </c>
      <c r="B80">
        <f>MIN(0.12*Earnings!C80,1800)</f>
        <v>1800</v>
      </c>
      <c r="C80">
        <f>IF(Earnings!G80&lt;=21000,0.0075*Earnings!G80,0)</f>
        <v>0</v>
      </c>
      <c r="D80" s="2">
        <v>200</v>
      </c>
    </row>
    <row r="81" spans="1:4" x14ac:dyDescent="0.35">
      <c r="A81" t="s">
        <v>112</v>
      </c>
      <c r="B81">
        <f>MIN(0.12*Earnings!C81,1800)</f>
        <v>1800</v>
      </c>
      <c r="C81">
        <f>IF(Earnings!G81&lt;=21000,0.0075*Earnings!G81,0)</f>
        <v>0</v>
      </c>
      <c r="D81" s="2">
        <v>200</v>
      </c>
    </row>
    <row r="82" spans="1:4" x14ac:dyDescent="0.35">
      <c r="A82" t="s">
        <v>113</v>
      </c>
      <c r="B82">
        <f>MIN(0.12*Earnings!C82,1800)</f>
        <v>1800</v>
      </c>
      <c r="C82">
        <f>IF(Earnings!G82&lt;=21000,0.0075*Earnings!G82,0)</f>
        <v>0</v>
      </c>
      <c r="D82" s="2">
        <v>200</v>
      </c>
    </row>
    <row r="83" spans="1:4" x14ac:dyDescent="0.35">
      <c r="A83" t="s">
        <v>114</v>
      </c>
      <c r="B83">
        <f>MIN(0.12*Earnings!C83,1800)</f>
        <v>1800</v>
      </c>
      <c r="C83">
        <f>IF(Earnings!G83&lt;=21000,0.0075*Earnings!G83,0)</f>
        <v>0</v>
      </c>
      <c r="D83" s="2">
        <v>200</v>
      </c>
    </row>
    <row r="84" spans="1:4" x14ac:dyDescent="0.35">
      <c r="A84" t="s">
        <v>115</v>
      </c>
      <c r="B84">
        <f>MIN(0.12*Earnings!C84,1800)</f>
        <v>1800</v>
      </c>
      <c r="C84">
        <f>IF(Earnings!G84&lt;=21000,0.0075*Earnings!G84,0)</f>
        <v>0</v>
      </c>
      <c r="D84" s="2">
        <v>200</v>
      </c>
    </row>
    <row r="85" spans="1:4" x14ac:dyDescent="0.35">
      <c r="A85" t="s">
        <v>116</v>
      </c>
      <c r="B85">
        <f>MIN(0.12*Earnings!C85,1800)</f>
        <v>1800</v>
      </c>
      <c r="C85">
        <f>IF(Earnings!G85&lt;=21000,0.0075*Earnings!G85,0)</f>
        <v>0</v>
      </c>
      <c r="D85" s="2">
        <v>200</v>
      </c>
    </row>
    <row r="86" spans="1:4" x14ac:dyDescent="0.35">
      <c r="A86" t="s">
        <v>117</v>
      </c>
      <c r="B86">
        <f>MIN(0.12*Earnings!C86,1800)</f>
        <v>1800</v>
      </c>
      <c r="C86">
        <f>IF(Earnings!G86&lt;=21000,0.0075*Earnings!G86,0)</f>
        <v>0</v>
      </c>
      <c r="D86" s="2">
        <v>200</v>
      </c>
    </row>
    <row r="87" spans="1:4" x14ac:dyDescent="0.35">
      <c r="A87" t="s">
        <v>118</v>
      </c>
      <c r="B87">
        <f>MIN(0.12*Earnings!C87,1800)</f>
        <v>1800</v>
      </c>
      <c r="C87">
        <f>IF(Earnings!G87&lt;=21000,0.0075*Earnings!G87,0)</f>
        <v>0</v>
      </c>
      <c r="D87" s="2">
        <v>200</v>
      </c>
    </row>
    <row r="88" spans="1:4" x14ac:dyDescent="0.35">
      <c r="A88" t="s">
        <v>119</v>
      </c>
      <c r="B88">
        <f>MIN(0.12*Earnings!C88,1800)</f>
        <v>1800</v>
      </c>
      <c r="C88">
        <f>IF(Earnings!G88&lt;=21000,0.0075*Earnings!G88,0)</f>
        <v>0</v>
      </c>
      <c r="D88" s="2">
        <v>200</v>
      </c>
    </row>
    <row r="89" spans="1:4" x14ac:dyDescent="0.35">
      <c r="A89" t="s">
        <v>120</v>
      </c>
      <c r="B89">
        <f>MIN(0.12*Earnings!C89,1800)</f>
        <v>1800</v>
      </c>
      <c r="C89">
        <f>IF(Earnings!G89&lt;=21000,0.0075*Earnings!G89,0)</f>
        <v>0</v>
      </c>
      <c r="D89" s="2">
        <v>200</v>
      </c>
    </row>
    <row r="90" spans="1:4" x14ac:dyDescent="0.35">
      <c r="A90" t="s">
        <v>121</v>
      </c>
      <c r="B90">
        <f>MIN(0.12*Earnings!C90,1800)</f>
        <v>1800</v>
      </c>
      <c r="C90">
        <f>IF(Earnings!G90&lt;=21000,0.0075*Earnings!G90,0)</f>
        <v>0</v>
      </c>
      <c r="D90" s="2">
        <v>200</v>
      </c>
    </row>
    <row r="91" spans="1:4" x14ac:dyDescent="0.35">
      <c r="A91" t="s">
        <v>122</v>
      </c>
      <c r="B91">
        <f>MIN(0.12*Earnings!C91,1800)</f>
        <v>1800</v>
      </c>
      <c r="C91">
        <f>IF(Earnings!G91&lt;=21000,0.0075*Earnings!G91,0)</f>
        <v>0</v>
      </c>
      <c r="D91" s="2">
        <v>200</v>
      </c>
    </row>
    <row r="92" spans="1:4" x14ac:dyDescent="0.35">
      <c r="A92" t="s">
        <v>123</v>
      </c>
      <c r="B92">
        <f>MIN(0.12*Earnings!C92,1800)</f>
        <v>1800</v>
      </c>
      <c r="C92">
        <f>IF(Earnings!G92&lt;=21000,0.0075*Earnings!G92,0)</f>
        <v>0</v>
      </c>
      <c r="D92" s="2">
        <v>200</v>
      </c>
    </row>
    <row r="93" spans="1:4" x14ac:dyDescent="0.35">
      <c r="A93" t="s">
        <v>124</v>
      </c>
      <c r="B93">
        <f>MIN(0.12*Earnings!C93,1800)</f>
        <v>1800</v>
      </c>
      <c r="C93">
        <f>IF(Earnings!G93&lt;=21000,0.0075*Earnings!G93,0)</f>
        <v>0</v>
      </c>
      <c r="D93" s="2">
        <v>200</v>
      </c>
    </row>
    <row r="94" spans="1:4" x14ac:dyDescent="0.35">
      <c r="A94" t="s">
        <v>125</v>
      </c>
      <c r="B94">
        <f>MIN(0.12*Earnings!C94,1800)</f>
        <v>1800</v>
      </c>
      <c r="C94">
        <f>IF(Earnings!G94&lt;=21000,0.0075*Earnings!G94,0)</f>
        <v>0</v>
      </c>
      <c r="D94" s="2">
        <v>200</v>
      </c>
    </row>
    <row r="95" spans="1:4" x14ac:dyDescent="0.35">
      <c r="A95" t="s">
        <v>126</v>
      </c>
      <c r="B95">
        <f>MIN(0.12*Earnings!C95,1800)</f>
        <v>1800</v>
      </c>
      <c r="C95">
        <f>IF(Earnings!G95&lt;=21000,0.0075*Earnings!G95,0)</f>
        <v>0</v>
      </c>
      <c r="D95" s="2">
        <v>200</v>
      </c>
    </row>
    <row r="96" spans="1:4" x14ac:dyDescent="0.35">
      <c r="A96" t="s">
        <v>127</v>
      </c>
      <c r="B96">
        <f>MIN(0.12*Earnings!C96,1800)</f>
        <v>1800</v>
      </c>
      <c r="C96">
        <f>IF(Earnings!G96&lt;=21000,0.0075*Earnings!G96,0)</f>
        <v>0</v>
      </c>
      <c r="D96" s="2">
        <v>200</v>
      </c>
    </row>
    <row r="97" spans="1:4" x14ac:dyDescent="0.35">
      <c r="A97" t="s">
        <v>128</v>
      </c>
      <c r="B97">
        <f>MIN(0.12*Earnings!C97,1800)</f>
        <v>1800</v>
      </c>
      <c r="C97">
        <f>IF(Earnings!G97&lt;=21000,0.0075*Earnings!G97,0)</f>
        <v>0</v>
      </c>
      <c r="D97" s="2">
        <v>200</v>
      </c>
    </row>
    <row r="98" spans="1:4" x14ac:dyDescent="0.35">
      <c r="A98" t="s">
        <v>129</v>
      </c>
      <c r="B98">
        <f>MIN(0.12*Earnings!C98,1800)</f>
        <v>1800</v>
      </c>
      <c r="C98">
        <f>IF(Earnings!G98&lt;=21000,0.0075*Earnings!G98,0)</f>
        <v>0</v>
      </c>
      <c r="D98" s="2">
        <v>200</v>
      </c>
    </row>
    <row r="99" spans="1:4" x14ac:dyDescent="0.35">
      <c r="A99" t="s">
        <v>130</v>
      </c>
      <c r="B99">
        <f>MIN(0.12*Earnings!C99,1800)</f>
        <v>1800</v>
      </c>
      <c r="C99">
        <f>IF(Earnings!G99&lt;=21000,0.0075*Earnings!G99,0)</f>
        <v>0</v>
      </c>
      <c r="D99" s="2">
        <v>200</v>
      </c>
    </row>
    <row r="100" spans="1:4" x14ac:dyDescent="0.35">
      <c r="A100" t="s">
        <v>131</v>
      </c>
      <c r="B100">
        <f>MIN(0.12*Earnings!C100,1800)</f>
        <v>1800</v>
      </c>
      <c r="C100">
        <f>IF(Earnings!G100&lt;=21000,0.0075*Earnings!G100,0)</f>
        <v>0</v>
      </c>
      <c r="D100" s="2">
        <v>200</v>
      </c>
    </row>
    <row r="101" spans="1:4" x14ac:dyDescent="0.35">
      <c r="A101" t="s">
        <v>132</v>
      </c>
      <c r="B101">
        <f>MIN(0.12*Earnings!C101,1800)</f>
        <v>1800</v>
      </c>
      <c r="C101">
        <f>IF(Earnings!G101&lt;=21000,0.0075*Earnings!G101,0)</f>
        <v>0</v>
      </c>
      <c r="D101" s="2">
        <v>200</v>
      </c>
    </row>
    <row r="102" spans="1:4" x14ac:dyDescent="0.35">
      <c r="A102" t="s">
        <v>133</v>
      </c>
      <c r="B102">
        <f>MIN(0.12*Earnings!C102,1800)</f>
        <v>1800</v>
      </c>
      <c r="C102">
        <f>IF(Earnings!G102&lt;=21000,0.0075*Earnings!G102,0)</f>
        <v>0</v>
      </c>
      <c r="D102" s="2">
        <v>200</v>
      </c>
    </row>
    <row r="103" spans="1:4" x14ac:dyDescent="0.35">
      <c r="A103" t="s">
        <v>134</v>
      </c>
      <c r="B103">
        <f>MIN(0.12*Earnings!C103,1800)</f>
        <v>1800</v>
      </c>
      <c r="C103">
        <f>IF(Earnings!G103&lt;=21000,0.0075*Earnings!G103,0)</f>
        <v>0</v>
      </c>
      <c r="D103" s="2">
        <v>200</v>
      </c>
    </row>
    <row r="104" spans="1:4" x14ac:dyDescent="0.35">
      <c r="A104" t="s">
        <v>135</v>
      </c>
      <c r="B104">
        <f>MIN(0.12*Earnings!C104,1800)</f>
        <v>1800</v>
      </c>
      <c r="C104">
        <f>IF(Earnings!G104&lt;=21000,0.0075*Earnings!G104,0)</f>
        <v>0</v>
      </c>
      <c r="D104" s="2">
        <v>200</v>
      </c>
    </row>
    <row r="105" spans="1:4" x14ac:dyDescent="0.35">
      <c r="A105" t="s">
        <v>136</v>
      </c>
      <c r="B105">
        <f>MIN(0.12*Earnings!C105,1800)</f>
        <v>1800</v>
      </c>
      <c r="C105">
        <f>IF(Earnings!G105&lt;=21000,0.0075*Earnings!G105,0)</f>
        <v>0</v>
      </c>
      <c r="D105" s="2">
        <v>200</v>
      </c>
    </row>
    <row r="106" spans="1:4" x14ac:dyDescent="0.35">
      <c r="A106" t="s">
        <v>137</v>
      </c>
      <c r="B106">
        <f>MIN(0.12*Earnings!C106,1800)</f>
        <v>1800</v>
      </c>
      <c r="C106">
        <f>IF(Earnings!G106&lt;=21000,0.0075*Earnings!G106,0)</f>
        <v>0</v>
      </c>
      <c r="D106" s="2">
        <v>200</v>
      </c>
    </row>
    <row r="107" spans="1:4" x14ac:dyDescent="0.35">
      <c r="A107" t="s">
        <v>138</v>
      </c>
      <c r="B107">
        <f>MIN(0.12*Earnings!C107,1800)</f>
        <v>1800</v>
      </c>
      <c r="C107">
        <f>IF(Earnings!G107&lt;=21000,0.0075*Earnings!G107,0)</f>
        <v>0</v>
      </c>
      <c r="D107" s="2">
        <v>200</v>
      </c>
    </row>
    <row r="108" spans="1:4" x14ac:dyDescent="0.35">
      <c r="A108" t="s">
        <v>139</v>
      </c>
      <c r="B108">
        <f>MIN(0.12*Earnings!C108,1800)</f>
        <v>1800</v>
      </c>
      <c r="C108">
        <f>IF(Earnings!G108&lt;=21000,0.0075*Earnings!G108,0)</f>
        <v>0</v>
      </c>
      <c r="D108" s="2">
        <v>200</v>
      </c>
    </row>
    <row r="109" spans="1:4" x14ac:dyDescent="0.35">
      <c r="A109" t="s">
        <v>140</v>
      </c>
      <c r="B109">
        <f>MIN(0.12*Earnings!C109,1800)</f>
        <v>1800</v>
      </c>
      <c r="C109">
        <f>IF(Earnings!G109&lt;=21000,0.0075*Earnings!G109,0)</f>
        <v>0</v>
      </c>
      <c r="D109" s="2">
        <v>200</v>
      </c>
    </row>
    <row r="110" spans="1:4" x14ac:dyDescent="0.35">
      <c r="A110" t="s">
        <v>141</v>
      </c>
      <c r="B110">
        <f>MIN(0.12*Earnings!C110,1800)</f>
        <v>1800</v>
      </c>
      <c r="C110">
        <f>IF(Earnings!G110&lt;=21000,0.0075*Earnings!G110,0)</f>
        <v>0</v>
      </c>
      <c r="D110" s="2">
        <v>200</v>
      </c>
    </row>
    <row r="111" spans="1:4" x14ac:dyDescent="0.35">
      <c r="A111" t="s">
        <v>142</v>
      </c>
      <c r="B111">
        <f>MIN(0.12*Earnings!C111,1800)</f>
        <v>1800</v>
      </c>
      <c r="C111">
        <f>IF(Earnings!G111&lt;=21000,0.0075*Earnings!G111,0)</f>
        <v>0</v>
      </c>
      <c r="D111" s="2">
        <v>200</v>
      </c>
    </row>
    <row r="112" spans="1:4" x14ac:dyDescent="0.35">
      <c r="A112" t="s">
        <v>143</v>
      </c>
      <c r="B112">
        <f>MIN(0.12*Earnings!C112,1800)</f>
        <v>1800</v>
      </c>
      <c r="C112">
        <f>IF(Earnings!G112&lt;=21000,0.0075*Earnings!G112,0)</f>
        <v>0</v>
      </c>
      <c r="D112" s="2">
        <v>200</v>
      </c>
    </row>
    <row r="113" spans="1:4" x14ac:dyDescent="0.35">
      <c r="A113" t="s">
        <v>144</v>
      </c>
      <c r="B113">
        <f>MIN(0.12*Earnings!C113,1800)</f>
        <v>1800</v>
      </c>
      <c r="C113">
        <f>IF(Earnings!G113&lt;=21000,0.0075*Earnings!G113,0)</f>
        <v>0</v>
      </c>
      <c r="D113" s="2">
        <v>200</v>
      </c>
    </row>
    <row r="114" spans="1:4" x14ac:dyDescent="0.35">
      <c r="A114" t="s">
        <v>145</v>
      </c>
      <c r="B114">
        <f>MIN(0.12*Earnings!C114,1800)</f>
        <v>1800</v>
      </c>
      <c r="C114">
        <f>IF(Earnings!G114&lt;=21000,0.0075*Earnings!G114,0)</f>
        <v>0</v>
      </c>
      <c r="D114" s="2">
        <v>200</v>
      </c>
    </row>
    <row r="115" spans="1:4" x14ac:dyDescent="0.35">
      <c r="A115" t="s">
        <v>146</v>
      </c>
      <c r="B115">
        <f>MIN(0.12*Earnings!C115,1800)</f>
        <v>1800</v>
      </c>
      <c r="C115">
        <f>IF(Earnings!G115&lt;=21000,0.0075*Earnings!G115,0)</f>
        <v>0</v>
      </c>
      <c r="D115" s="2">
        <v>200</v>
      </c>
    </row>
    <row r="116" spans="1:4" x14ac:dyDescent="0.35">
      <c r="A116" t="s">
        <v>147</v>
      </c>
      <c r="B116">
        <f>MIN(0.12*Earnings!C116,1800)</f>
        <v>1800</v>
      </c>
      <c r="C116">
        <f>IF(Earnings!G116&lt;=21000,0.0075*Earnings!G116,0)</f>
        <v>0</v>
      </c>
      <c r="D116" s="2">
        <v>200</v>
      </c>
    </row>
    <row r="117" spans="1:4" x14ac:dyDescent="0.35">
      <c r="A117" t="s">
        <v>148</v>
      </c>
      <c r="B117">
        <f>MIN(0.12*Earnings!C117,1800)</f>
        <v>1800</v>
      </c>
      <c r="C117">
        <f>IF(Earnings!G117&lt;=21000,0.0075*Earnings!G117,0)</f>
        <v>0</v>
      </c>
      <c r="D117" s="2">
        <v>200</v>
      </c>
    </row>
    <row r="118" spans="1:4" x14ac:dyDescent="0.35">
      <c r="A118" t="s">
        <v>149</v>
      </c>
      <c r="B118">
        <f>MIN(0.12*Earnings!C118,1800)</f>
        <v>1800</v>
      </c>
      <c r="C118">
        <f>IF(Earnings!G118&lt;=21000,0.0075*Earnings!G118,0)</f>
        <v>0</v>
      </c>
      <c r="D118" s="2">
        <v>200</v>
      </c>
    </row>
    <row r="119" spans="1:4" x14ac:dyDescent="0.35">
      <c r="A119" t="s">
        <v>150</v>
      </c>
      <c r="B119">
        <f>MIN(0.12*Earnings!C119,1800)</f>
        <v>1800</v>
      </c>
      <c r="C119">
        <f>IF(Earnings!G119&lt;=21000,0.0075*Earnings!G119,0)</f>
        <v>0</v>
      </c>
      <c r="D119" s="2">
        <v>200</v>
      </c>
    </row>
    <row r="120" spans="1:4" x14ac:dyDescent="0.35">
      <c r="A120" t="s">
        <v>151</v>
      </c>
      <c r="B120">
        <f>MIN(0.12*Earnings!C120,1800)</f>
        <v>1800</v>
      </c>
      <c r="C120">
        <f>IF(Earnings!G120&lt;=21000,0.0075*Earnings!G120,0)</f>
        <v>0</v>
      </c>
      <c r="D120" s="2">
        <v>200</v>
      </c>
    </row>
    <row r="121" spans="1:4" x14ac:dyDescent="0.35">
      <c r="A121" t="s">
        <v>152</v>
      </c>
      <c r="B121">
        <f>MIN(0.12*Earnings!C121,1800)</f>
        <v>1800</v>
      </c>
      <c r="C121">
        <f>IF(Earnings!G121&lt;=21000,0.0075*Earnings!G121,0)</f>
        <v>0</v>
      </c>
      <c r="D121" s="2">
        <v>200</v>
      </c>
    </row>
    <row r="122" spans="1:4" x14ac:dyDescent="0.35">
      <c r="A122" t="s">
        <v>153</v>
      </c>
      <c r="B122">
        <f>MIN(0.12*Earnings!C122,1800)</f>
        <v>1800</v>
      </c>
      <c r="C122">
        <f>IF(Earnings!G122&lt;=21000,0.0075*Earnings!G122,0)</f>
        <v>0</v>
      </c>
      <c r="D122" s="2">
        <v>200</v>
      </c>
    </row>
    <row r="123" spans="1:4" x14ac:dyDescent="0.35">
      <c r="A123" t="s">
        <v>154</v>
      </c>
      <c r="B123">
        <f>MIN(0.12*Earnings!C123,1800)</f>
        <v>1800</v>
      </c>
      <c r="C123">
        <f>IF(Earnings!G123&lt;=21000,0.0075*Earnings!G123,0)</f>
        <v>0</v>
      </c>
      <c r="D123" s="2">
        <v>200</v>
      </c>
    </row>
    <row r="124" spans="1:4" x14ac:dyDescent="0.35">
      <c r="A124" t="s">
        <v>155</v>
      </c>
      <c r="B124">
        <f>MIN(0.12*Earnings!C124,1800)</f>
        <v>1800</v>
      </c>
      <c r="C124">
        <f>IF(Earnings!G124&lt;=21000,0.0075*Earnings!G124,0)</f>
        <v>0</v>
      </c>
      <c r="D124" s="2">
        <v>200</v>
      </c>
    </row>
    <row r="125" spans="1:4" x14ac:dyDescent="0.35">
      <c r="A125" t="s">
        <v>156</v>
      </c>
      <c r="B125">
        <f>MIN(0.12*Earnings!C125,1800)</f>
        <v>1800</v>
      </c>
      <c r="C125">
        <f>IF(Earnings!G125&lt;=21000,0.0075*Earnings!G125,0)</f>
        <v>0</v>
      </c>
      <c r="D125" s="2">
        <v>200</v>
      </c>
    </row>
    <row r="126" spans="1:4" x14ac:dyDescent="0.35">
      <c r="A126" t="s">
        <v>157</v>
      </c>
      <c r="B126">
        <f>MIN(0.12*Earnings!C126,1800)</f>
        <v>1800</v>
      </c>
      <c r="C126">
        <f>IF(Earnings!G126&lt;=21000,0.0075*Earnings!G126,0)</f>
        <v>0</v>
      </c>
      <c r="D126" s="2">
        <v>200</v>
      </c>
    </row>
    <row r="127" spans="1:4" x14ac:dyDescent="0.35">
      <c r="A127" t="s">
        <v>158</v>
      </c>
      <c r="B127">
        <f>MIN(0.12*Earnings!C127,1800)</f>
        <v>1800</v>
      </c>
      <c r="C127">
        <f>IF(Earnings!G127&lt;=21000,0.0075*Earnings!G127,0)</f>
        <v>0</v>
      </c>
      <c r="D127" s="2">
        <v>200</v>
      </c>
    </row>
    <row r="128" spans="1:4" x14ac:dyDescent="0.35">
      <c r="A128" t="s">
        <v>159</v>
      </c>
      <c r="B128">
        <f>MIN(0.12*Earnings!C128,1800)</f>
        <v>1800</v>
      </c>
      <c r="C128">
        <f>IF(Earnings!G128&lt;=21000,0.0075*Earnings!G128,0)</f>
        <v>0</v>
      </c>
      <c r="D128" s="2">
        <v>200</v>
      </c>
    </row>
    <row r="129" spans="1:4" x14ac:dyDescent="0.35">
      <c r="A129" t="s">
        <v>160</v>
      </c>
      <c r="B129">
        <f>MIN(0.12*Earnings!C129,1800)</f>
        <v>1800</v>
      </c>
      <c r="C129">
        <f>IF(Earnings!G129&lt;=21000,0.0075*Earnings!G129,0)</f>
        <v>0</v>
      </c>
      <c r="D129" s="2">
        <v>200</v>
      </c>
    </row>
    <row r="130" spans="1:4" x14ac:dyDescent="0.35">
      <c r="A130" t="s">
        <v>161</v>
      </c>
      <c r="B130">
        <f>MIN(0.12*Earnings!C130,1800)</f>
        <v>1800</v>
      </c>
      <c r="C130">
        <f>IF(Earnings!G130&lt;=21000,0.0075*Earnings!G130,0)</f>
        <v>0</v>
      </c>
      <c r="D130" s="2">
        <v>200</v>
      </c>
    </row>
    <row r="131" spans="1:4" x14ac:dyDescent="0.35">
      <c r="A131" t="s">
        <v>162</v>
      </c>
      <c r="B131">
        <f>MIN(0.12*Earnings!C131,1800)</f>
        <v>1800</v>
      </c>
      <c r="C131">
        <f>IF(Earnings!G131&lt;=21000,0.0075*Earnings!G131,0)</f>
        <v>0</v>
      </c>
      <c r="D131" s="2">
        <v>200</v>
      </c>
    </row>
    <row r="132" spans="1:4" x14ac:dyDescent="0.35">
      <c r="A132" t="s">
        <v>163</v>
      </c>
      <c r="B132">
        <f>MIN(0.12*Earnings!C132,1800)</f>
        <v>1800</v>
      </c>
      <c r="C132">
        <f>IF(Earnings!G132&lt;=21000,0.0075*Earnings!G132,0)</f>
        <v>0</v>
      </c>
      <c r="D132" s="2">
        <v>200</v>
      </c>
    </row>
    <row r="133" spans="1:4" x14ac:dyDescent="0.35">
      <c r="A133" t="s">
        <v>164</v>
      </c>
      <c r="B133">
        <f>MIN(0.12*Earnings!C133,1800)</f>
        <v>1800</v>
      </c>
      <c r="C133">
        <f>IF(Earnings!G133&lt;=21000,0.0075*Earnings!G133,0)</f>
        <v>0</v>
      </c>
      <c r="D133" s="2">
        <v>200</v>
      </c>
    </row>
    <row r="134" spans="1:4" x14ac:dyDescent="0.35">
      <c r="A134" t="s">
        <v>165</v>
      </c>
      <c r="B134">
        <f>MIN(0.12*Earnings!C134,1800)</f>
        <v>1800</v>
      </c>
      <c r="C134">
        <f>IF(Earnings!G134&lt;=21000,0.0075*Earnings!G134,0)</f>
        <v>0</v>
      </c>
      <c r="D134" s="2">
        <v>200</v>
      </c>
    </row>
    <row r="135" spans="1:4" x14ac:dyDescent="0.35">
      <c r="A135" t="s">
        <v>166</v>
      </c>
      <c r="B135">
        <f>MIN(0.12*Earnings!C135,1800)</f>
        <v>1800</v>
      </c>
      <c r="C135">
        <f>IF(Earnings!G135&lt;=21000,0.0075*Earnings!G135,0)</f>
        <v>0</v>
      </c>
      <c r="D135" s="2">
        <v>200</v>
      </c>
    </row>
    <row r="136" spans="1:4" x14ac:dyDescent="0.35">
      <c r="A136" t="s">
        <v>167</v>
      </c>
      <c r="B136">
        <f>MIN(0.12*Earnings!C136,1800)</f>
        <v>1800</v>
      </c>
      <c r="C136">
        <f>IF(Earnings!G136&lt;=21000,0.0075*Earnings!G136,0)</f>
        <v>0</v>
      </c>
      <c r="D136" s="2">
        <v>200</v>
      </c>
    </row>
    <row r="137" spans="1:4" x14ac:dyDescent="0.35">
      <c r="A137" t="s">
        <v>168</v>
      </c>
      <c r="B137">
        <f>MIN(0.12*Earnings!C137,1800)</f>
        <v>1800</v>
      </c>
      <c r="C137">
        <f>IF(Earnings!G137&lt;=21000,0.0075*Earnings!G137,0)</f>
        <v>0</v>
      </c>
      <c r="D137" s="2">
        <v>200</v>
      </c>
    </row>
    <row r="138" spans="1:4" x14ac:dyDescent="0.35">
      <c r="A138" t="s">
        <v>169</v>
      </c>
      <c r="B138">
        <f>MIN(0.12*Earnings!C138,1800)</f>
        <v>1800</v>
      </c>
      <c r="C138">
        <f>IF(Earnings!G138&lt;=21000,0.0075*Earnings!G138,0)</f>
        <v>0</v>
      </c>
      <c r="D138" s="2">
        <v>200</v>
      </c>
    </row>
    <row r="139" spans="1:4" x14ac:dyDescent="0.35">
      <c r="A139" t="s">
        <v>170</v>
      </c>
      <c r="B139">
        <f>MIN(0.12*Earnings!C139,1800)</f>
        <v>1800</v>
      </c>
      <c r="C139">
        <f>IF(Earnings!G139&lt;=21000,0.0075*Earnings!G139,0)</f>
        <v>0</v>
      </c>
      <c r="D139" s="2">
        <v>200</v>
      </c>
    </row>
    <row r="140" spans="1:4" x14ac:dyDescent="0.35">
      <c r="A140" t="s">
        <v>171</v>
      </c>
      <c r="B140">
        <f>MIN(0.12*Earnings!C140,1800)</f>
        <v>1800</v>
      </c>
      <c r="C140">
        <f>IF(Earnings!G140&lt;=21000,0.0075*Earnings!G140,0)</f>
        <v>0</v>
      </c>
      <c r="D140" s="2">
        <v>200</v>
      </c>
    </row>
    <row r="141" spans="1:4" x14ac:dyDescent="0.35">
      <c r="A141" t="s">
        <v>172</v>
      </c>
      <c r="B141">
        <f>MIN(0.12*Earnings!C141,1800)</f>
        <v>1800</v>
      </c>
      <c r="C141">
        <f>IF(Earnings!G141&lt;=21000,0.0075*Earnings!G141,0)</f>
        <v>0</v>
      </c>
      <c r="D141" s="2">
        <v>200</v>
      </c>
    </row>
    <row r="142" spans="1:4" x14ac:dyDescent="0.35">
      <c r="A142" t="s">
        <v>173</v>
      </c>
      <c r="B142">
        <f>MIN(0.12*Earnings!C142,1800)</f>
        <v>1800</v>
      </c>
      <c r="C142">
        <f>IF(Earnings!G142&lt;=21000,0.0075*Earnings!G142,0)</f>
        <v>0</v>
      </c>
      <c r="D142" s="2">
        <v>200</v>
      </c>
    </row>
    <row r="143" spans="1:4" x14ac:dyDescent="0.35">
      <c r="A143" t="s">
        <v>174</v>
      </c>
      <c r="B143">
        <f>MIN(0.12*Earnings!C143,1800)</f>
        <v>1800</v>
      </c>
      <c r="C143">
        <f>IF(Earnings!G143&lt;=21000,0.0075*Earnings!G143,0)</f>
        <v>0</v>
      </c>
      <c r="D143" s="2">
        <v>200</v>
      </c>
    </row>
    <row r="144" spans="1:4" x14ac:dyDescent="0.35">
      <c r="A144" t="s">
        <v>175</v>
      </c>
      <c r="B144">
        <f>MIN(0.12*Earnings!C144,1800)</f>
        <v>1800</v>
      </c>
      <c r="C144">
        <f>IF(Earnings!G144&lt;=21000,0.0075*Earnings!G144,0)</f>
        <v>0</v>
      </c>
      <c r="D144" s="2">
        <v>200</v>
      </c>
    </row>
    <row r="145" spans="1:4" x14ac:dyDescent="0.35">
      <c r="A145" t="s">
        <v>176</v>
      </c>
      <c r="B145">
        <f>MIN(0.12*Earnings!C145,1800)</f>
        <v>1800</v>
      </c>
      <c r="C145">
        <f>IF(Earnings!G145&lt;=21000,0.0075*Earnings!G145,0)</f>
        <v>0</v>
      </c>
      <c r="D145" s="2">
        <v>200</v>
      </c>
    </row>
    <row r="146" spans="1:4" x14ac:dyDescent="0.35">
      <c r="A146" t="s">
        <v>177</v>
      </c>
      <c r="B146">
        <f>MIN(0.12*Earnings!C146,1800)</f>
        <v>1800</v>
      </c>
      <c r="C146">
        <f>IF(Earnings!G146&lt;=21000,0.0075*Earnings!G146,0)</f>
        <v>0</v>
      </c>
      <c r="D146" s="2">
        <v>200</v>
      </c>
    </row>
    <row r="147" spans="1:4" x14ac:dyDescent="0.35">
      <c r="A147" t="s">
        <v>178</v>
      </c>
      <c r="B147">
        <f>MIN(0.12*Earnings!C147,1800)</f>
        <v>1800</v>
      </c>
      <c r="C147">
        <f>IF(Earnings!G147&lt;=21000,0.0075*Earnings!G147,0)</f>
        <v>0</v>
      </c>
      <c r="D147" s="2">
        <v>200</v>
      </c>
    </row>
    <row r="148" spans="1:4" x14ac:dyDescent="0.35">
      <c r="A148" t="s">
        <v>179</v>
      </c>
      <c r="B148">
        <f>MIN(0.12*Earnings!C148,1800)</f>
        <v>1800</v>
      </c>
      <c r="C148">
        <f>IF(Earnings!G148&lt;=21000,0.0075*Earnings!G148,0)</f>
        <v>0</v>
      </c>
      <c r="D148" s="2">
        <v>200</v>
      </c>
    </row>
    <row r="149" spans="1:4" x14ac:dyDescent="0.35">
      <c r="A149" t="s">
        <v>180</v>
      </c>
      <c r="B149">
        <f>MIN(0.12*Earnings!C149,1800)</f>
        <v>1800</v>
      </c>
      <c r="C149">
        <f>IF(Earnings!G149&lt;=21000,0.0075*Earnings!G149,0)</f>
        <v>0</v>
      </c>
      <c r="D149" s="2">
        <v>200</v>
      </c>
    </row>
    <row r="150" spans="1:4" x14ac:dyDescent="0.35">
      <c r="A150" t="s">
        <v>181</v>
      </c>
      <c r="B150">
        <f>MIN(0.12*Earnings!C150,1800)</f>
        <v>1800</v>
      </c>
      <c r="C150">
        <f>IF(Earnings!G150&lt;=21000,0.0075*Earnings!G150,0)</f>
        <v>0</v>
      </c>
      <c r="D150" s="2">
        <v>200</v>
      </c>
    </row>
    <row r="151" spans="1:4" x14ac:dyDescent="0.35">
      <c r="A151" t="s">
        <v>182</v>
      </c>
      <c r="B151">
        <f>MIN(0.12*Earnings!C151,1800)</f>
        <v>1800</v>
      </c>
      <c r="C151">
        <f>IF(Earnings!G151&lt;=21000,0.0075*Earnings!G151,0)</f>
        <v>0</v>
      </c>
      <c r="D151" s="2">
        <v>200</v>
      </c>
    </row>
    <row r="152" spans="1:4" x14ac:dyDescent="0.35">
      <c r="A152" t="s">
        <v>183</v>
      </c>
      <c r="B152">
        <f>MIN(0.12*Earnings!C152,1800)</f>
        <v>1800</v>
      </c>
      <c r="C152">
        <f>IF(Earnings!G152&lt;=21000,0.0075*Earnings!G152,0)</f>
        <v>0</v>
      </c>
      <c r="D152" s="2">
        <v>200</v>
      </c>
    </row>
    <row r="153" spans="1:4" x14ac:dyDescent="0.35">
      <c r="A153" t="s">
        <v>184</v>
      </c>
      <c r="B153">
        <f>MIN(0.12*Earnings!C153,1800)</f>
        <v>1800</v>
      </c>
      <c r="C153">
        <f>IF(Earnings!G153&lt;=21000,0.0075*Earnings!G153,0)</f>
        <v>0</v>
      </c>
      <c r="D153" s="2">
        <v>200</v>
      </c>
    </row>
    <row r="154" spans="1:4" x14ac:dyDescent="0.35">
      <c r="A154" t="s">
        <v>185</v>
      </c>
      <c r="B154">
        <f>MIN(0.12*Earnings!C154,1800)</f>
        <v>1800</v>
      </c>
      <c r="C154">
        <f>IF(Earnings!G154&lt;=21000,0.0075*Earnings!G154,0)</f>
        <v>0</v>
      </c>
      <c r="D154" s="2">
        <v>200</v>
      </c>
    </row>
    <row r="155" spans="1:4" x14ac:dyDescent="0.35">
      <c r="A155" t="s">
        <v>186</v>
      </c>
      <c r="B155">
        <f>MIN(0.12*Earnings!C155,1800)</f>
        <v>1800</v>
      </c>
      <c r="C155">
        <f>IF(Earnings!G155&lt;=21000,0.0075*Earnings!G155,0)</f>
        <v>0</v>
      </c>
      <c r="D155" s="2">
        <v>200</v>
      </c>
    </row>
    <row r="156" spans="1:4" x14ac:dyDescent="0.35">
      <c r="A156" t="s">
        <v>187</v>
      </c>
      <c r="B156">
        <f>MIN(0.12*Earnings!C156,1800)</f>
        <v>1800</v>
      </c>
      <c r="C156">
        <f>IF(Earnings!G156&lt;=21000,0.0075*Earnings!G156,0)</f>
        <v>0</v>
      </c>
      <c r="D156" s="2">
        <v>200</v>
      </c>
    </row>
    <row r="157" spans="1:4" x14ac:dyDescent="0.35">
      <c r="A157" t="s">
        <v>188</v>
      </c>
      <c r="B157">
        <f>MIN(0.12*Earnings!C157,1800)</f>
        <v>1800</v>
      </c>
      <c r="C157">
        <f>IF(Earnings!G157&lt;=21000,0.0075*Earnings!G157,0)</f>
        <v>0</v>
      </c>
      <c r="D157" s="2">
        <v>200</v>
      </c>
    </row>
    <row r="158" spans="1:4" x14ac:dyDescent="0.35">
      <c r="A158" t="s">
        <v>189</v>
      </c>
      <c r="B158">
        <f>MIN(0.12*Earnings!C158,1800)</f>
        <v>1800</v>
      </c>
      <c r="C158">
        <f>IF(Earnings!G158&lt;=21000,0.0075*Earnings!G158,0)</f>
        <v>0</v>
      </c>
      <c r="D158" s="2">
        <v>200</v>
      </c>
    </row>
    <row r="159" spans="1:4" x14ac:dyDescent="0.35">
      <c r="A159" t="s">
        <v>190</v>
      </c>
      <c r="B159">
        <f>MIN(0.12*Earnings!C159,1800)</f>
        <v>1800</v>
      </c>
      <c r="C159">
        <f>IF(Earnings!G159&lt;=21000,0.0075*Earnings!G159,0)</f>
        <v>0</v>
      </c>
      <c r="D159" s="2">
        <v>200</v>
      </c>
    </row>
    <row r="160" spans="1:4" x14ac:dyDescent="0.35">
      <c r="A160" t="s">
        <v>191</v>
      </c>
      <c r="B160">
        <f>MIN(0.12*Earnings!C160,1800)</f>
        <v>1800</v>
      </c>
      <c r="C160">
        <f>IF(Earnings!G160&lt;=21000,0.0075*Earnings!G160,0)</f>
        <v>0</v>
      </c>
      <c r="D160" s="2">
        <v>200</v>
      </c>
    </row>
    <row r="161" spans="1:4" x14ac:dyDescent="0.35">
      <c r="A161" t="s">
        <v>192</v>
      </c>
      <c r="B161">
        <f>MIN(0.12*Earnings!C161,1800)</f>
        <v>1800</v>
      </c>
      <c r="C161">
        <f>IF(Earnings!G161&lt;=21000,0.0075*Earnings!G161,0)</f>
        <v>0</v>
      </c>
      <c r="D161" s="2">
        <v>200</v>
      </c>
    </row>
    <row r="162" spans="1:4" x14ac:dyDescent="0.35">
      <c r="A162" t="s">
        <v>193</v>
      </c>
      <c r="B162">
        <f>MIN(0.12*Earnings!C162,1800)</f>
        <v>1800</v>
      </c>
      <c r="C162">
        <f>IF(Earnings!G162&lt;=21000,0.0075*Earnings!G162,0)</f>
        <v>0</v>
      </c>
      <c r="D162" s="2">
        <v>200</v>
      </c>
    </row>
    <row r="163" spans="1:4" x14ac:dyDescent="0.35">
      <c r="A163" t="s">
        <v>194</v>
      </c>
      <c r="B163">
        <f>MIN(0.12*Earnings!C163,1800)</f>
        <v>1800</v>
      </c>
      <c r="C163">
        <f>IF(Earnings!G163&lt;=21000,0.0075*Earnings!G163,0)</f>
        <v>0</v>
      </c>
      <c r="D163" s="2">
        <v>200</v>
      </c>
    </row>
    <row r="164" spans="1:4" x14ac:dyDescent="0.35">
      <c r="A164" t="s">
        <v>195</v>
      </c>
      <c r="B164">
        <f>MIN(0.12*Earnings!C164,1800)</f>
        <v>1800</v>
      </c>
      <c r="C164">
        <f>IF(Earnings!G164&lt;=21000,0.0075*Earnings!G164,0)</f>
        <v>0</v>
      </c>
      <c r="D164" s="2">
        <v>200</v>
      </c>
    </row>
    <row r="165" spans="1:4" x14ac:dyDescent="0.35">
      <c r="A165" t="s">
        <v>196</v>
      </c>
      <c r="B165">
        <f>MIN(0.12*Earnings!C165,1800)</f>
        <v>1800</v>
      </c>
      <c r="C165">
        <f>IF(Earnings!G165&lt;=21000,0.0075*Earnings!G165,0)</f>
        <v>0</v>
      </c>
      <c r="D165" s="2">
        <v>200</v>
      </c>
    </row>
    <row r="166" spans="1:4" x14ac:dyDescent="0.35">
      <c r="A166" t="s">
        <v>197</v>
      </c>
      <c r="B166">
        <f>MIN(0.12*Earnings!C166,1800)</f>
        <v>1800</v>
      </c>
      <c r="C166">
        <f>IF(Earnings!G166&lt;=21000,0.0075*Earnings!G166,0)</f>
        <v>0</v>
      </c>
      <c r="D166" s="2">
        <v>200</v>
      </c>
    </row>
    <row r="167" spans="1:4" x14ac:dyDescent="0.35">
      <c r="A167" t="s">
        <v>198</v>
      </c>
      <c r="B167">
        <f>MIN(0.12*Earnings!C167,1800)</f>
        <v>1800</v>
      </c>
      <c r="C167">
        <f>IF(Earnings!G167&lt;=21000,0.0075*Earnings!G167,0)</f>
        <v>0</v>
      </c>
      <c r="D167" s="2">
        <v>200</v>
      </c>
    </row>
    <row r="168" spans="1:4" x14ac:dyDescent="0.35">
      <c r="A168" t="s">
        <v>199</v>
      </c>
      <c r="B168">
        <f>MIN(0.12*Earnings!C168,1800)</f>
        <v>1800</v>
      </c>
      <c r="C168">
        <f>IF(Earnings!G168&lt;=21000,0.0075*Earnings!G168,0)</f>
        <v>0</v>
      </c>
      <c r="D168" s="2">
        <v>200</v>
      </c>
    </row>
    <row r="169" spans="1:4" x14ac:dyDescent="0.35">
      <c r="A169" t="s">
        <v>200</v>
      </c>
      <c r="B169">
        <f>MIN(0.12*Earnings!C169,1800)</f>
        <v>1800</v>
      </c>
      <c r="C169">
        <f>IF(Earnings!G169&lt;=21000,0.0075*Earnings!G169,0)</f>
        <v>0</v>
      </c>
      <c r="D169" s="2">
        <v>200</v>
      </c>
    </row>
    <row r="170" spans="1:4" x14ac:dyDescent="0.35">
      <c r="A170" t="s">
        <v>201</v>
      </c>
      <c r="B170">
        <f>MIN(0.12*Earnings!C170,1800)</f>
        <v>1800</v>
      </c>
      <c r="C170">
        <f>IF(Earnings!G170&lt;=21000,0.0075*Earnings!G170,0)</f>
        <v>0</v>
      </c>
      <c r="D170" s="2">
        <v>200</v>
      </c>
    </row>
    <row r="171" spans="1:4" x14ac:dyDescent="0.35">
      <c r="A171" t="s">
        <v>202</v>
      </c>
      <c r="B171">
        <f>MIN(0.12*Earnings!C171,1800)</f>
        <v>1800</v>
      </c>
      <c r="C171">
        <f>IF(Earnings!G171&lt;=21000,0.0075*Earnings!G171,0)</f>
        <v>0</v>
      </c>
      <c r="D171" s="2">
        <v>200</v>
      </c>
    </row>
    <row r="172" spans="1:4" x14ac:dyDescent="0.35">
      <c r="A172" t="s">
        <v>203</v>
      </c>
      <c r="B172">
        <f>MIN(0.12*Earnings!C172,1800)</f>
        <v>1800</v>
      </c>
      <c r="C172">
        <f>IF(Earnings!G172&lt;=21000,0.0075*Earnings!G172,0)</f>
        <v>0</v>
      </c>
      <c r="D172" s="2">
        <v>200</v>
      </c>
    </row>
    <row r="173" spans="1:4" x14ac:dyDescent="0.35">
      <c r="A173" t="s">
        <v>204</v>
      </c>
      <c r="B173">
        <f>MIN(0.12*Earnings!C173,1800)</f>
        <v>1800</v>
      </c>
      <c r="C173">
        <f>IF(Earnings!G173&lt;=21000,0.0075*Earnings!G173,0)</f>
        <v>0</v>
      </c>
      <c r="D173" s="2">
        <v>200</v>
      </c>
    </row>
    <row r="174" spans="1:4" x14ac:dyDescent="0.35">
      <c r="A174" t="s">
        <v>205</v>
      </c>
      <c r="B174">
        <f>MIN(0.12*Earnings!C174,1800)</f>
        <v>1800</v>
      </c>
      <c r="C174">
        <f>IF(Earnings!G174&lt;=21000,0.0075*Earnings!G174,0)</f>
        <v>0</v>
      </c>
      <c r="D174" s="2">
        <v>200</v>
      </c>
    </row>
    <row r="175" spans="1:4" x14ac:dyDescent="0.35">
      <c r="A175" t="s">
        <v>206</v>
      </c>
      <c r="B175">
        <f>MIN(0.12*Earnings!C175,1800)</f>
        <v>1800</v>
      </c>
      <c r="C175">
        <f>IF(Earnings!G175&lt;=21000,0.0075*Earnings!G175,0)</f>
        <v>0</v>
      </c>
      <c r="D175" s="2">
        <v>200</v>
      </c>
    </row>
    <row r="176" spans="1:4" x14ac:dyDescent="0.35">
      <c r="A176" t="s">
        <v>207</v>
      </c>
      <c r="B176">
        <f>MIN(0.12*Earnings!C176,1800)</f>
        <v>1800</v>
      </c>
      <c r="C176">
        <f>IF(Earnings!G176&lt;=21000,0.0075*Earnings!G176,0)</f>
        <v>0</v>
      </c>
      <c r="D176" s="2">
        <v>200</v>
      </c>
    </row>
    <row r="177" spans="1:4" x14ac:dyDescent="0.35">
      <c r="A177" t="s">
        <v>208</v>
      </c>
      <c r="B177">
        <f>MIN(0.12*Earnings!C177,1800)</f>
        <v>1800</v>
      </c>
      <c r="C177">
        <f>IF(Earnings!G177&lt;=21000,0.0075*Earnings!G177,0)</f>
        <v>0</v>
      </c>
      <c r="D177" s="2">
        <v>200</v>
      </c>
    </row>
    <row r="178" spans="1:4" x14ac:dyDescent="0.35">
      <c r="A178" t="s">
        <v>209</v>
      </c>
      <c r="B178">
        <f>MIN(0.12*Earnings!C178,1800)</f>
        <v>1800</v>
      </c>
      <c r="C178">
        <f>IF(Earnings!G178&lt;=21000,0.0075*Earnings!G178,0)</f>
        <v>0</v>
      </c>
      <c r="D178" s="2">
        <v>200</v>
      </c>
    </row>
    <row r="179" spans="1:4" x14ac:dyDescent="0.35">
      <c r="A179" t="s">
        <v>210</v>
      </c>
      <c r="B179">
        <f>MIN(0.12*Earnings!C179,1800)</f>
        <v>1800</v>
      </c>
      <c r="C179">
        <f>IF(Earnings!G179&lt;=21000,0.0075*Earnings!G179,0)</f>
        <v>0</v>
      </c>
      <c r="D179" s="2">
        <v>200</v>
      </c>
    </row>
    <row r="180" spans="1:4" x14ac:dyDescent="0.35">
      <c r="A180" t="s">
        <v>211</v>
      </c>
      <c r="B180">
        <f>MIN(0.12*Earnings!C180,1800)</f>
        <v>1800</v>
      </c>
      <c r="C180">
        <f>IF(Earnings!G180&lt;=21000,0.0075*Earnings!G180,0)</f>
        <v>0</v>
      </c>
      <c r="D180" s="2">
        <v>200</v>
      </c>
    </row>
    <row r="181" spans="1:4" x14ac:dyDescent="0.35">
      <c r="A181" t="s">
        <v>212</v>
      </c>
      <c r="B181">
        <f>MIN(0.12*Earnings!C181,1800)</f>
        <v>1800</v>
      </c>
      <c r="C181">
        <f>IF(Earnings!G181&lt;=21000,0.0075*Earnings!G181,0)</f>
        <v>0</v>
      </c>
      <c r="D181" s="2">
        <v>200</v>
      </c>
    </row>
    <row r="182" spans="1:4" x14ac:dyDescent="0.35">
      <c r="A182" t="s">
        <v>213</v>
      </c>
      <c r="B182">
        <f>MIN(0.12*Earnings!C182,1800)</f>
        <v>1800</v>
      </c>
      <c r="C182">
        <f>IF(Earnings!G182&lt;=21000,0.0075*Earnings!G182,0)</f>
        <v>0</v>
      </c>
      <c r="D182" s="2">
        <v>200</v>
      </c>
    </row>
    <row r="183" spans="1:4" x14ac:dyDescent="0.35">
      <c r="A183" t="s">
        <v>214</v>
      </c>
      <c r="B183">
        <f>MIN(0.12*Earnings!C183,1800)</f>
        <v>1800</v>
      </c>
      <c r="C183">
        <f>IF(Earnings!G183&lt;=21000,0.0075*Earnings!G183,0)</f>
        <v>0</v>
      </c>
      <c r="D183" s="2">
        <v>200</v>
      </c>
    </row>
    <row r="184" spans="1:4" x14ac:dyDescent="0.35">
      <c r="A184" t="s">
        <v>215</v>
      </c>
      <c r="B184">
        <f>MIN(0.12*Earnings!C184,1800)</f>
        <v>1800</v>
      </c>
      <c r="C184">
        <f>IF(Earnings!G184&lt;=21000,0.0075*Earnings!G184,0)</f>
        <v>0</v>
      </c>
      <c r="D184" s="2">
        <v>200</v>
      </c>
    </row>
    <row r="185" spans="1:4" x14ac:dyDescent="0.35">
      <c r="A185" t="s">
        <v>216</v>
      </c>
      <c r="B185">
        <f>MIN(0.12*Earnings!C185,1800)</f>
        <v>1800</v>
      </c>
      <c r="C185">
        <f>IF(Earnings!G185&lt;=21000,0.0075*Earnings!G185,0)</f>
        <v>0</v>
      </c>
      <c r="D185" s="2">
        <v>200</v>
      </c>
    </row>
    <row r="186" spans="1:4" x14ac:dyDescent="0.35">
      <c r="A186" t="s">
        <v>217</v>
      </c>
      <c r="B186">
        <f>MIN(0.12*Earnings!C186,1800)</f>
        <v>1800</v>
      </c>
      <c r="C186">
        <f>IF(Earnings!G186&lt;=21000,0.0075*Earnings!G186,0)</f>
        <v>0</v>
      </c>
      <c r="D186" s="2">
        <v>200</v>
      </c>
    </row>
    <row r="187" spans="1:4" x14ac:dyDescent="0.35">
      <c r="A187" t="s">
        <v>218</v>
      </c>
      <c r="B187">
        <f>MIN(0.12*Earnings!C187,1800)</f>
        <v>1800</v>
      </c>
      <c r="C187">
        <f>IF(Earnings!G187&lt;=21000,0.0075*Earnings!G187,0)</f>
        <v>0</v>
      </c>
      <c r="D187" s="2">
        <v>200</v>
      </c>
    </row>
    <row r="188" spans="1:4" x14ac:dyDescent="0.35">
      <c r="A188" t="s">
        <v>219</v>
      </c>
      <c r="B188">
        <f>MIN(0.12*Earnings!C188,1800)</f>
        <v>1800</v>
      </c>
      <c r="C188">
        <f>IF(Earnings!G188&lt;=21000,0.0075*Earnings!G188,0)</f>
        <v>0</v>
      </c>
      <c r="D188" s="2">
        <v>200</v>
      </c>
    </row>
    <row r="189" spans="1:4" x14ac:dyDescent="0.35">
      <c r="A189" t="s">
        <v>220</v>
      </c>
      <c r="B189">
        <f>MIN(0.12*Earnings!C189,1800)</f>
        <v>1800</v>
      </c>
      <c r="C189">
        <f>IF(Earnings!G189&lt;=21000,0.0075*Earnings!G189,0)</f>
        <v>0</v>
      </c>
      <c r="D189" s="2">
        <v>200</v>
      </c>
    </row>
    <row r="190" spans="1:4" x14ac:dyDescent="0.35">
      <c r="A190" t="s">
        <v>221</v>
      </c>
      <c r="B190">
        <f>MIN(0.12*Earnings!C190,1800)</f>
        <v>1800</v>
      </c>
      <c r="C190">
        <f>IF(Earnings!G190&lt;=21000,0.0075*Earnings!G190,0)</f>
        <v>0</v>
      </c>
      <c r="D190" s="2">
        <v>200</v>
      </c>
    </row>
    <row r="191" spans="1:4" x14ac:dyDescent="0.35">
      <c r="A191" t="s">
        <v>222</v>
      </c>
      <c r="B191">
        <f>MIN(0.12*Earnings!C191,1800)</f>
        <v>1800</v>
      </c>
      <c r="C191">
        <f>IF(Earnings!G191&lt;=21000,0.0075*Earnings!G191,0)</f>
        <v>0</v>
      </c>
      <c r="D191" s="2">
        <v>200</v>
      </c>
    </row>
    <row r="192" spans="1:4" x14ac:dyDescent="0.35">
      <c r="A192" t="s">
        <v>223</v>
      </c>
      <c r="B192">
        <f>MIN(0.12*Earnings!C192,1800)</f>
        <v>1800</v>
      </c>
      <c r="C192">
        <f>IF(Earnings!G192&lt;=21000,0.0075*Earnings!G192,0)</f>
        <v>0</v>
      </c>
      <c r="D192" s="2">
        <v>200</v>
      </c>
    </row>
    <row r="193" spans="1:4" x14ac:dyDescent="0.35">
      <c r="A193" t="s">
        <v>224</v>
      </c>
      <c r="B193">
        <f>MIN(0.12*Earnings!C193,1800)</f>
        <v>1800</v>
      </c>
      <c r="C193">
        <f>IF(Earnings!G193&lt;=21000,0.0075*Earnings!G193,0)</f>
        <v>0</v>
      </c>
      <c r="D193" s="2">
        <v>200</v>
      </c>
    </row>
    <row r="194" spans="1:4" x14ac:dyDescent="0.35">
      <c r="A194" t="s">
        <v>225</v>
      </c>
      <c r="B194">
        <f>MIN(0.12*Earnings!C194,1800)</f>
        <v>1800</v>
      </c>
      <c r="C194">
        <f>IF(Earnings!G194&lt;=21000,0.0075*Earnings!G194,0)</f>
        <v>0</v>
      </c>
      <c r="D194" s="2">
        <v>200</v>
      </c>
    </row>
    <row r="195" spans="1:4" x14ac:dyDescent="0.35">
      <c r="A195" t="s">
        <v>226</v>
      </c>
      <c r="B195">
        <f>MIN(0.12*Earnings!C195,1800)</f>
        <v>1800</v>
      </c>
      <c r="C195">
        <f>IF(Earnings!G195&lt;=21000,0.0075*Earnings!G195,0)</f>
        <v>0</v>
      </c>
      <c r="D195" s="2">
        <v>200</v>
      </c>
    </row>
    <row r="196" spans="1:4" x14ac:dyDescent="0.35">
      <c r="A196" t="s">
        <v>227</v>
      </c>
      <c r="B196">
        <f>MIN(0.12*Earnings!C196,1800)</f>
        <v>1800</v>
      </c>
      <c r="C196">
        <f>IF(Earnings!G196&lt;=21000,0.0075*Earnings!G196,0)</f>
        <v>0</v>
      </c>
      <c r="D196" s="2">
        <v>200</v>
      </c>
    </row>
    <row r="197" spans="1:4" x14ac:dyDescent="0.35">
      <c r="A197" t="s">
        <v>228</v>
      </c>
      <c r="B197">
        <f>MIN(0.12*Earnings!C197,1800)</f>
        <v>1800</v>
      </c>
      <c r="C197">
        <f>IF(Earnings!G197&lt;=21000,0.0075*Earnings!G197,0)</f>
        <v>0</v>
      </c>
      <c r="D197" s="2">
        <v>200</v>
      </c>
    </row>
    <row r="198" spans="1:4" x14ac:dyDescent="0.35">
      <c r="A198" t="s">
        <v>229</v>
      </c>
      <c r="B198">
        <f>MIN(0.12*Earnings!C198,1800)</f>
        <v>1800</v>
      </c>
      <c r="C198">
        <f>IF(Earnings!G198&lt;=21000,0.0075*Earnings!G198,0)</f>
        <v>0</v>
      </c>
      <c r="D198" s="2">
        <v>200</v>
      </c>
    </row>
    <row r="199" spans="1:4" x14ac:dyDescent="0.35">
      <c r="A199" t="s">
        <v>230</v>
      </c>
      <c r="B199">
        <f>MIN(0.12*Earnings!C199,1800)</f>
        <v>1800</v>
      </c>
      <c r="C199">
        <f>IF(Earnings!G199&lt;=21000,0.0075*Earnings!G199,0)</f>
        <v>0</v>
      </c>
      <c r="D199" s="2">
        <v>200</v>
      </c>
    </row>
    <row r="200" spans="1:4" x14ac:dyDescent="0.35">
      <c r="A200" t="s">
        <v>231</v>
      </c>
      <c r="B200">
        <f>MIN(0.12*Earnings!C200,1800)</f>
        <v>1800</v>
      </c>
      <c r="C200">
        <f>IF(Earnings!G200&lt;=21000,0.0075*Earnings!G200,0)</f>
        <v>0</v>
      </c>
      <c r="D200" s="2">
        <v>200</v>
      </c>
    </row>
    <row r="201" spans="1:4" x14ac:dyDescent="0.35">
      <c r="A201" t="s">
        <v>232</v>
      </c>
      <c r="B201">
        <f>MIN(0.12*Earnings!C201,1800)</f>
        <v>1800</v>
      </c>
      <c r="C201">
        <f>IF(Earnings!G201&lt;=21000,0.0075*Earnings!G201,0)</f>
        <v>0</v>
      </c>
      <c r="D201" s="2">
        <v>200</v>
      </c>
    </row>
    <row r="202" spans="1:4" x14ac:dyDescent="0.35">
      <c r="A202" t="s">
        <v>233</v>
      </c>
      <c r="B202">
        <f>MIN(0.12*Earnings!C202,1800)</f>
        <v>1800</v>
      </c>
      <c r="C202">
        <f>IF(Earnings!G202&lt;=21000,0.0075*Earnings!G202,0)</f>
        <v>0</v>
      </c>
      <c r="D202" s="2">
        <v>200</v>
      </c>
    </row>
    <row r="203" spans="1:4" x14ac:dyDescent="0.35">
      <c r="A203" t="s">
        <v>234</v>
      </c>
      <c r="B203">
        <f>MIN(0.12*Earnings!C203,1800)</f>
        <v>1800</v>
      </c>
      <c r="C203">
        <f>IF(Earnings!G203&lt;=21000,0.0075*Earnings!G203,0)</f>
        <v>0</v>
      </c>
      <c r="D203" s="2">
        <v>200</v>
      </c>
    </row>
    <row r="204" spans="1:4" x14ac:dyDescent="0.35">
      <c r="A204" t="s">
        <v>235</v>
      </c>
      <c r="B204">
        <f>MIN(0.12*Earnings!C204,1800)</f>
        <v>1800</v>
      </c>
      <c r="C204">
        <f>IF(Earnings!G204&lt;=21000,0.0075*Earnings!G204,0)</f>
        <v>0</v>
      </c>
      <c r="D204" s="2">
        <v>200</v>
      </c>
    </row>
    <row r="205" spans="1:4" x14ac:dyDescent="0.35">
      <c r="A205" t="s">
        <v>236</v>
      </c>
      <c r="B205">
        <f>MIN(0.12*Earnings!C205,1800)</f>
        <v>1800</v>
      </c>
      <c r="C205">
        <f>IF(Earnings!G205&lt;=21000,0.0075*Earnings!G205,0)</f>
        <v>0</v>
      </c>
      <c r="D205" s="2">
        <v>200</v>
      </c>
    </row>
    <row r="206" spans="1:4" x14ac:dyDescent="0.35">
      <c r="A206" t="s">
        <v>237</v>
      </c>
      <c r="B206">
        <f>MIN(0.12*Earnings!C206,1800)</f>
        <v>1800</v>
      </c>
      <c r="C206">
        <f>IF(Earnings!G206&lt;=21000,0.0075*Earnings!G206,0)</f>
        <v>0</v>
      </c>
      <c r="D206" s="2">
        <v>200</v>
      </c>
    </row>
    <row r="207" spans="1:4" x14ac:dyDescent="0.35">
      <c r="A207" t="s">
        <v>238</v>
      </c>
      <c r="B207">
        <f>MIN(0.12*Earnings!C207,1800)</f>
        <v>1800</v>
      </c>
      <c r="C207">
        <f>IF(Earnings!G207&lt;=21000,0.0075*Earnings!G207,0)</f>
        <v>0</v>
      </c>
      <c r="D207" s="2">
        <v>200</v>
      </c>
    </row>
    <row r="208" spans="1:4" x14ac:dyDescent="0.35">
      <c r="A208" t="s">
        <v>239</v>
      </c>
      <c r="B208">
        <f>MIN(0.12*Earnings!C208,1800)</f>
        <v>1800</v>
      </c>
      <c r="C208">
        <f>IF(Earnings!G208&lt;=21000,0.0075*Earnings!G208,0)</f>
        <v>0</v>
      </c>
      <c r="D208" s="2">
        <v>200</v>
      </c>
    </row>
    <row r="209" spans="1:4" x14ac:dyDescent="0.35">
      <c r="A209" t="s">
        <v>240</v>
      </c>
      <c r="B209">
        <f>MIN(0.12*Earnings!C209,1800)</f>
        <v>1800</v>
      </c>
      <c r="C209">
        <f>IF(Earnings!G209&lt;=21000,0.0075*Earnings!G209,0)</f>
        <v>0</v>
      </c>
      <c r="D209" s="2">
        <v>200</v>
      </c>
    </row>
    <row r="210" spans="1:4" x14ac:dyDescent="0.35">
      <c r="A210" t="s">
        <v>241</v>
      </c>
      <c r="B210">
        <f>MIN(0.12*Earnings!C210,1800)</f>
        <v>1800</v>
      </c>
      <c r="C210">
        <f>IF(Earnings!G210&lt;=21000,0.0075*Earnings!G210,0)</f>
        <v>0</v>
      </c>
      <c r="D210" s="2">
        <v>200</v>
      </c>
    </row>
    <row r="211" spans="1:4" x14ac:dyDescent="0.35">
      <c r="A211" t="s">
        <v>242</v>
      </c>
      <c r="B211">
        <f>MIN(0.12*Earnings!C211,1800)</f>
        <v>1800</v>
      </c>
      <c r="C211">
        <f>IF(Earnings!G211&lt;=21000,0.0075*Earnings!G211,0)</f>
        <v>0</v>
      </c>
      <c r="D211" s="2">
        <v>200</v>
      </c>
    </row>
    <row r="212" spans="1:4" x14ac:dyDescent="0.35">
      <c r="A212" t="s">
        <v>243</v>
      </c>
      <c r="B212">
        <f>MIN(0.12*Earnings!C212,1800)</f>
        <v>1800</v>
      </c>
      <c r="C212">
        <f>IF(Earnings!G212&lt;=21000,0.0075*Earnings!G212,0)</f>
        <v>0</v>
      </c>
      <c r="D212" s="2">
        <v>200</v>
      </c>
    </row>
    <row r="213" spans="1:4" x14ac:dyDescent="0.35">
      <c r="A213" t="s">
        <v>244</v>
      </c>
      <c r="B213">
        <f>MIN(0.12*Earnings!C213,1800)</f>
        <v>1800</v>
      </c>
      <c r="C213">
        <f>IF(Earnings!G213&lt;=21000,0.0075*Earnings!G213,0)</f>
        <v>0</v>
      </c>
      <c r="D213" s="2">
        <v>200</v>
      </c>
    </row>
    <row r="214" spans="1:4" x14ac:dyDescent="0.35">
      <c r="A214" t="s">
        <v>245</v>
      </c>
      <c r="B214">
        <f>MIN(0.12*Earnings!C214,1800)</f>
        <v>1800</v>
      </c>
      <c r="C214">
        <f>IF(Earnings!G214&lt;=21000,0.0075*Earnings!G214,0)</f>
        <v>0</v>
      </c>
      <c r="D214" s="2">
        <v>200</v>
      </c>
    </row>
    <row r="215" spans="1:4" x14ac:dyDescent="0.35">
      <c r="A215" t="s">
        <v>246</v>
      </c>
      <c r="B215">
        <f>MIN(0.12*Earnings!C215,1800)</f>
        <v>1800</v>
      </c>
      <c r="C215">
        <f>IF(Earnings!G215&lt;=21000,0.0075*Earnings!G215,0)</f>
        <v>0</v>
      </c>
      <c r="D215" s="2">
        <v>200</v>
      </c>
    </row>
    <row r="216" spans="1:4" x14ac:dyDescent="0.35">
      <c r="A216" t="s">
        <v>247</v>
      </c>
      <c r="B216">
        <f>MIN(0.12*Earnings!C216,1800)</f>
        <v>1800</v>
      </c>
      <c r="C216">
        <f>IF(Earnings!G216&lt;=21000,0.0075*Earnings!G216,0)</f>
        <v>0</v>
      </c>
      <c r="D216" s="2">
        <v>200</v>
      </c>
    </row>
    <row r="217" spans="1:4" x14ac:dyDescent="0.35">
      <c r="A217" t="s">
        <v>248</v>
      </c>
      <c r="B217">
        <f>MIN(0.12*Earnings!C217,1800)</f>
        <v>1800</v>
      </c>
      <c r="C217">
        <f>IF(Earnings!G217&lt;=21000,0.0075*Earnings!G217,0)</f>
        <v>0</v>
      </c>
      <c r="D217" s="2">
        <v>200</v>
      </c>
    </row>
    <row r="218" spans="1:4" x14ac:dyDescent="0.35">
      <c r="A218" t="s">
        <v>249</v>
      </c>
      <c r="B218">
        <f>MIN(0.12*Earnings!C218,1800)</f>
        <v>1800</v>
      </c>
      <c r="C218">
        <f>IF(Earnings!G218&lt;=21000,0.0075*Earnings!G218,0)</f>
        <v>0</v>
      </c>
      <c r="D218" s="2">
        <v>200</v>
      </c>
    </row>
    <row r="219" spans="1:4" x14ac:dyDescent="0.35">
      <c r="A219" t="s">
        <v>250</v>
      </c>
      <c r="B219">
        <f>MIN(0.12*Earnings!C219,1800)</f>
        <v>1800</v>
      </c>
      <c r="C219">
        <f>IF(Earnings!G219&lt;=21000,0.0075*Earnings!G219,0)</f>
        <v>0</v>
      </c>
      <c r="D219" s="2">
        <v>200</v>
      </c>
    </row>
    <row r="220" spans="1:4" x14ac:dyDescent="0.35">
      <c r="A220" t="s">
        <v>251</v>
      </c>
      <c r="B220">
        <f>MIN(0.12*Earnings!C220,1800)</f>
        <v>1800</v>
      </c>
      <c r="C220">
        <f>IF(Earnings!G220&lt;=21000,0.0075*Earnings!G220,0)</f>
        <v>0</v>
      </c>
      <c r="D220" s="2">
        <v>200</v>
      </c>
    </row>
    <row r="221" spans="1:4" x14ac:dyDescent="0.35">
      <c r="A221" t="s">
        <v>252</v>
      </c>
      <c r="B221">
        <f>MIN(0.12*Earnings!C221,1800)</f>
        <v>1800</v>
      </c>
      <c r="C221">
        <f>IF(Earnings!G221&lt;=21000,0.0075*Earnings!G221,0)</f>
        <v>0</v>
      </c>
      <c r="D221" s="2">
        <v>200</v>
      </c>
    </row>
    <row r="222" spans="1:4" x14ac:dyDescent="0.35">
      <c r="A222" t="s">
        <v>253</v>
      </c>
      <c r="B222">
        <f>MIN(0.12*Earnings!C222,1800)</f>
        <v>1800</v>
      </c>
      <c r="C222">
        <f>IF(Earnings!G222&lt;=21000,0.0075*Earnings!G222,0)</f>
        <v>0</v>
      </c>
      <c r="D222" s="2">
        <v>200</v>
      </c>
    </row>
    <row r="223" spans="1:4" x14ac:dyDescent="0.35">
      <c r="A223" t="s">
        <v>254</v>
      </c>
      <c r="B223">
        <f>MIN(0.12*Earnings!C223,1800)</f>
        <v>1800</v>
      </c>
      <c r="C223">
        <f>IF(Earnings!G223&lt;=21000,0.0075*Earnings!G223,0)</f>
        <v>0</v>
      </c>
      <c r="D223" s="2">
        <v>200</v>
      </c>
    </row>
    <row r="224" spans="1:4" x14ac:dyDescent="0.35">
      <c r="A224" t="s">
        <v>255</v>
      </c>
      <c r="B224">
        <f>MIN(0.12*Earnings!C224,1800)</f>
        <v>1800</v>
      </c>
      <c r="C224">
        <f>IF(Earnings!G224&lt;=21000,0.0075*Earnings!G224,0)</f>
        <v>0</v>
      </c>
      <c r="D224" s="2">
        <v>200</v>
      </c>
    </row>
    <row r="225" spans="1:4" x14ac:dyDescent="0.35">
      <c r="A225" t="s">
        <v>256</v>
      </c>
      <c r="B225">
        <f>MIN(0.12*Earnings!C225,1800)</f>
        <v>1800</v>
      </c>
      <c r="C225">
        <f>IF(Earnings!G225&lt;=21000,0.0075*Earnings!G225,0)</f>
        <v>0</v>
      </c>
      <c r="D225" s="2">
        <v>200</v>
      </c>
    </row>
    <row r="226" spans="1:4" x14ac:dyDescent="0.35">
      <c r="A226" t="s">
        <v>257</v>
      </c>
      <c r="B226">
        <f>MIN(0.12*Earnings!C226,1800)</f>
        <v>1800</v>
      </c>
      <c r="C226">
        <f>IF(Earnings!G226&lt;=21000,0.0075*Earnings!G226,0)</f>
        <v>0</v>
      </c>
      <c r="D226" s="2">
        <v>200</v>
      </c>
    </row>
    <row r="227" spans="1:4" x14ac:dyDescent="0.35">
      <c r="A227" t="s">
        <v>258</v>
      </c>
      <c r="B227">
        <f>MIN(0.12*Earnings!C227,1800)</f>
        <v>1800</v>
      </c>
      <c r="C227">
        <f>IF(Earnings!G227&lt;=21000,0.0075*Earnings!G227,0)</f>
        <v>0</v>
      </c>
      <c r="D227" s="2">
        <v>200</v>
      </c>
    </row>
    <row r="228" spans="1:4" x14ac:dyDescent="0.35">
      <c r="A228" t="s">
        <v>259</v>
      </c>
      <c r="B228">
        <f>MIN(0.12*Earnings!C228,1800)</f>
        <v>1800</v>
      </c>
      <c r="C228">
        <f>IF(Earnings!G228&lt;=21000,0.0075*Earnings!G228,0)</f>
        <v>0</v>
      </c>
      <c r="D228" s="2">
        <v>200</v>
      </c>
    </row>
    <row r="229" spans="1:4" x14ac:dyDescent="0.35">
      <c r="A229" t="s">
        <v>260</v>
      </c>
      <c r="B229">
        <f>MIN(0.12*Earnings!C229,1800)</f>
        <v>1800</v>
      </c>
      <c r="C229">
        <f>IF(Earnings!G229&lt;=21000,0.0075*Earnings!G229,0)</f>
        <v>0</v>
      </c>
      <c r="D229" s="2">
        <v>200</v>
      </c>
    </row>
    <row r="230" spans="1:4" x14ac:dyDescent="0.35">
      <c r="A230" t="s">
        <v>261</v>
      </c>
      <c r="B230">
        <f>MIN(0.12*Earnings!C230,1800)</f>
        <v>1800</v>
      </c>
      <c r="C230">
        <f>IF(Earnings!G230&lt;=21000,0.0075*Earnings!G230,0)</f>
        <v>0</v>
      </c>
      <c r="D230" s="2">
        <v>200</v>
      </c>
    </row>
    <row r="231" spans="1:4" x14ac:dyDescent="0.35">
      <c r="A231" t="s">
        <v>262</v>
      </c>
      <c r="B231">
        <f>MIN(0.12*Earnings!C231,1800)</f>
        <v>1800</v>
      </c>
      <c r="C231">
        <f>IF(Earnings!G231&lt;=21000,0.0075*Earnings!G231,0)</f>
        <v>0</v>
      </c>
      <c r="D231" s="2">
        <v>200</v>
      </c>
    </row>
    <row r="232" spans="1:4" x14ac:dyDescent="0.35">
      <c r="A232" t="s">
        <v>263</v>
      </c>
      <c r="B232">
        <f>MIN(0.12*Earnings!C232,1800)</f>
        <v>1800</v>
      </c>
      <c r="C232">
        <f>IF(Earnings!G232&lt;=21000,0.0075*Earnings!G232,0)</f>
        <v>0</v>
      </c>
      <c r="D232" s="2">
        <v>200</v>
      </c>
    </row>
    <row r="233" spans="1:4" x14ac:dyDescent="0.35">
      <c r="A233" t="s">
        <v>264</v>
      </c>
      <c r="B233">
        <f>MIN(0.12*Earnings!C233,1800)</f>
        <v>1800</v>
      </c>
      <c r="C233">
        <f>IF(Earnings!G233&lt;=21000,0.0075*Earnings!G233,0)</f>
        <v>0</v>
      </c>
      <c r="D233" s="2">
        <v>200</v>
      </c>
    </row>
    <row r="234" spans="1:4" x14ac:dyDescent="0.35">
      <c r="A234" t="s">
        <v>265</v>
      </c>
      <c r="B234">
        <f>MIN(0.12*Earnings!C234,1800)</f>
        <v>1800</v>
      </c>
      <c r="C234">
        <f>IF(Earnings!G234&lt;=21000,0.0075*Earnings!G234,0)</f>
        <v>0</v>
      </c>
      <c r="D234" s="2">
        <v>200</v>
      </c>
    </row>
    <row r="235" spans="1:4" x14ac:dyDescent="0.35">
      <c r="A235" t="s">
        <v>266</v>
      </c>
      <c r="B235">
        <f>MIN(0.12*Earnings!C235,1800)</f>
        <v>1800</v>
      </c>
      <c r="C235">
        <f>IF(Earnings!G235&lt;=21000,0.0075*Earnings!G235,0)</f>
        <v>0</v>
      </c>
      <c r="D235" s="2">
        <v>200</v>
      </c>
    </row>
    <row r="236" spans="1:4" x14ac:dyDescent="0.35">
      <c r="A236" t="s">
        <v>267</v>
      </c>
      <c r="B236">
        <f>MIN(0.12*Earnings!C236,1800)</f>
        <v>1800</v>
      </c>
      <c r="C236">
        <f>IF(Earnings!G236&lt;=21000,0.0075*Earnings!G236,0)</f>
        <v>0</v>
      </c>
      <c r="D236" s="2">
        <v>200</v>
      </c>
    </row>
    <row r="237" spans="1:4" x14ac:dyDescent="0.35">
      <c r="A237" t="s">
        <v>268</v>
      </c>
      <c r="B237">
        <f>MIN(0.12*Earnings!C237,1800)</f>
        <v>1800</v>
      </c>
      <c r="C237">
        <f>IF(Earnings!G237&lt;=21000,0.0075*Earnings!G237,0)</f>
        <v>0</v>
      </c>
      <c r="D237" s="2">
        <v>200</v>
      </c>
    </row>
    <row r="238" spans="1:4" x14ac:dyDescent="0.35">
      <c r="A238" t="s">
        <v>269</v>
      </c>
      <c r="B238">
        <f>MIN(0.12*Earnings!C238,1800)</f>
        <v>1800</v>
      </c>
      <c r="C238">
        <f>IF(Earnings!G238&lt;=21000,0.0075*Earnings!G238,0)</f>
        <v>0</v>
      </c>
      <c r="D238" s="2">
        <v>200</v>
      </c>
    </row>
    <row r="239" spans="1:4" x14ac:dyDescent="0.35">
      <c r="A239" t="s">
        <v>270</v>
      </c>
      <c r="B239">
        <f>MIN(0.12*Earnings!C239,1800)</f>
        <v>1800</v>
      </c>
      <c r="C239">
        <f>IF(Earnings!G239&lt;=21000,0.0075*Earnings!G239,0)</f>
        <v>0</v>
      </c>
      <c r="D239" s="2">
        <v>200</v>
      </c>
    </row>
    <row r="240" spans="1:4" x14ac:dyDescent="0.35">
      <c r="A240" t="s">
        <v>271</v>
      </c>
      <c r="B240">
        <f>MIN(0.12*Earnings!C240,1800)</f>
        <v>1800</v>
      </c>
      <c r="C240">
        <f>IF(Earnings!G240&lt;=21000,0.0075*Earnings!G240,0)</f>
        <v>0</v>
      </c>
      <c r="D240" s="2">
        <v>200</v>
      </c>
    </row>
    <row r="241" spans="1:4" x14ac:dyDescent="0.35">
      <c r="A241" t="s">
        <v>272</v>
      </c>
      <c r="B241">
        <f>MIN(0.12*Earnings!C241,1800)</f>
        <v>1800</v>
      </c>
      <c r="C241">
        <f>IF(Earnings!G241&lt;=21000,0.0075*Earnings!G241,0)</f>
        <v>0</v>
      </c>
      <c r="D241" s="2">
        <v>200</v>
      </c>
    </row>
    <row r="242" spans="1:4" x14ac:dyDescent="0.35">
      <c r="A242" t="s">
        <v>273</v>
      </c>
      <c r="B242">
        <f>MIN(0.12*Earnings!C242,1800)</f>
        <v>1800</v>
      </c>
      <c r="C242">
        <f>IF(Earnings!G242&lt;=21000,0.0075*Earnings!G242,0)</f>
        <v>0</v>
      </c>
      <c r="D242" s="2">
        <v>200</v>
      </c>
    </row>
    <row r="243" spans="1:4" x14ac:dyDescent="0.35">
      <c r="A243" t="s">
        <v>274</v>
      </c>
      <c r="B243">
        <f>MIN(0.12*Earnings!C243,1800)</f>
        <v>1800</v>
      </c>
      <c r="C243">
        <f>IF(Earnings!G243&lt;=21000,0.0075*Earnings!G243,0)</f>
        <v>0</v>
      </c>
      <c r="D243" s="2">
        <v>200</v>
      </c>
    </row>
    <row r="244" spans="1:4" x14ac:dyDescent="0.35">
      <c r="A244" t="s">
        <v>275</v>
      </c>
      <c r="B244">
        <f>MIN(0.12*Earnings!C244,1800)</f>
        <v>1800</v>
      </c>
      <c r="C244">
        <f>IF(Earnings!G244&lt;=21000,0.0075*Earnings!G244,0)</f>
        <v>0</v>
      </c>
      <c r="D244" s="2">
        <v>200</v>
      </c>
    </row>
    <row r="245" spans="1:4" x14ac:dyDescent="0.35">
      <c r="A245" t="s">
        <v>276</v>
      </c>
      <c r="B245">
        <f>MIN(0.12*Earnings!C245,1800)</f>
        <v>1800</v>
      </c>
      <c r="C245">
        <f>IF(Earnings!G245&lt;=21000,0.0075*Earnings!G245,0)</f>
        <v>0</v>
      </c>
      <c r="D245" s="2">
        <v>200</v>
      </c>
    </row>
    <row r="246" spans="1:4" x14ac:dyDescent="0.35">
      <c r="A246" t="s">
        <v>277</v>
      </c>
      <c r="B246">
        <f>MIN(0.12*Earnings!C246,1800)</f>
        <v>1800</v>
      </c>
      <c r="C246">
        <f>IF(Earnings!G246&lt;=21000,0.0075*Earnings!G246,0)</f>
        <v>0</v>
      </c>
      <c r="D246" s="2">
        <v>200</v>
      </c>
    </row>
    <row r="247" spans="1:4" x14ac:dyDescent="0.35">
      <c r="A247" t="s">
        <v>278</v>
      </c>
      <c r="B247">
        <f>MIN(0.12*Earnings!C247,1800)</f>
        <v>1800</v>
      </c>
      <c r="C247">
        <f>IF(Earnings!G247&lt;=21000,0.0075*Earnings!G247,0)</f>
        <v>0</v>
      </c>
      <c r="D247" s="2">
        <v>200</v>
      </c>
    </row>
    <row r="248" spans="1:4" x14ac:dyDescent="0.35">
      <c r="A248" t="s">
        <v>279</v>
      </c>
      <c r="B248">
        <f>MIN(0.12*Earnings!C248,1800)</f>
        <v>1800</v>
      </c>
      <c r="C248">
        <f>IF(Earnings!G248&lt;=21000,0.0075*Earnings!G248,0)</f>
        <v>0</v>
      </c>
      <c r="D248" s="2">
        <v>200</v>
      </c>
    </row>
    <row r="249" spans="1:4" x14ac:dyDescent="0.35">
      <c r="A249" t="s">
        <v>280</v>
      </c>
      <c r="B249">
        <f>MIN(0.12*Earnings!C249,1800)</f>
        <v>1800</v>
      </c>
      <c r="C249">
        <f>IF(Earnings!G249&lt;=21000,0.0075*Earnings!G249,0)</f>
        <v>0</v>
      </c>
      <c r="D249" s="2">
        <v>200</v>
      </c>
    </row>
    <row r="250" spans="1:4" x14ac:dyDescent="0.35">
      <c r="A250" t="s">
        <v>281</v>
      </c>
      <c r="B250">
        <f>MIN(0.12*Earnings!C250,1800)</f>
        <v>1800</v>
      </c>
      <c r="C250">
        <f>IF(Earnings!G250&lt;=21000,0.0075*Earnings!G250,0)</f>
        <v>0</v>
      </c>
      <c r="D250" s="2">
        <v>200</v>
      </c>
    </row>
    <row r="251" spans="1:4" x14ac:dyDescent="0.35">
      <c r="A251" t="s">
        <v>282</v>
      </c>
      <c r="B251">
        <f>MIN(0.12*Earnings!C251,1800)</f>
        <v>1800</v>
      </c>
      <c r="C251">
        <f>IF(Earnings!G251&lt;=21000,0.0075*Earnings!G251,0)</f>
        <v>0</v>
      </c>
      <c r="D251" s="2">
        <v>200</v>
      </c>
    </row>
    <row r="252" spans="1:4" x14ac:dyDescent="0.35">
      <c r="A252" t="s">
        <v>283</v>
      </c>
      <c r="B252">
        <f>MIN(0.12*Earnings!C252,1800)</f>
        <v>1800</v>
      </c>
      <c r="C252">
        <f>IF(Earnings!G252&lt;=21000,0.0075*Earnings!G252,0)</f>
        <v>0</v>
      </c>
      <c r="D252" s="2">
        <v>200</v>
      </c>
    </row>
    <row r="253" spans="1:4" x14ac:dyDescent="0.35">
      <c r="A253" t="s">
        <v>284</v>
      </c>
      <c r="B253">
        <f>MIN(0.12*Earnings!C253,1800)</f>
        <v>1800</v>
      </c>
      <c r="C253">
        <f>IF(Earnings!G253&lt;=21000,0.0075*Earnings!G253,0)</f>
        <v>0</v>
      </c>
      <c r="D253" s="2">
        <v>200</v>
      </c>
    </row>
    <row r="254" spans="1:4" x14ac:dyDescent="0.35">
      <c r="A254" t="s">
        <v>285</v>
      </c>
      <c r="B254">
        <f>MIN(0.12*Earnings!C254,1800)</f>
        <v>1800</v>
      </c>
      <c r="C254">
        <f>IF(Earnings!G254&lt;=21000,0.0075*Earnings!G254,0)</f>
        <v>0</v>
      </c>
      <c r="D254" s="2">
        <v>200</v>
      </c>
    </row>
    <row r="255" spans="1:4" x14ac:dyDescent="0.35">
      <c r="A255" t="s">
        <v>286</v>
      </c>
      <c r="B255">
        <f>MIN(0.12*Earnings!C255,1800)</f>
        <v>1800</v>
      </c>
      <c r="C255">
        <f>IF(Earnings!G255&lt;=21000,0.0075*Earnings!G255,0)</f>
        <v>0</v>
      </c>
      <c r="D255" s="2">
        <v>200</v>
      </c>
    </row>
    <row r="256" spans="1:4" x14ac:dyDescent="0.35">
      <c r="A256" t="s">
        <v>287</v>
      </c>
      <c r="B256">
        <f>MIN(0.12*Earnings!C256,1800)</f>
        <v>1800</v>
      </c>
      <c r="C256">
        <f>IF(Earnings!G256&lt;=21000,0.0075*Earnings!G256,0)</f>
        <v>0</v>
      </c>
      <c r="D256" s="2">
        <v>200</v>
      </c>
    </row>
    <row r="257" spans="1:4" x14ac:dyDescent="0.35">
      <c r="A257" t="s">
        <v>288</v>
      </c>
      <c r="B257">
        <f>MIN(0.12*Earnings!C257,1800)</f>
        <v>1800</v>
      </c>
      <c r="C257">
        <f>IF(Earnings!G257&lt;=21000,0.0075*Earnings!G257,0)</f>
        <v>0</v>
      </c>
      <c r="D257" s="2">
        <v>200</v>
      </c>
    </row>
    <row r="258" spans="1:4" x14ac:dyDescent="0.35">
      <c r="A258" t="s">
        <v>289</v>
      </c>
      <c r="B258">
        <f>MIN(0.12*Earnings!C258,1800)</f>
        <v>1800</v>
      </c>
      <c r="C258">
        <f>IF(Earnings!G258&lt;=21000,0.0075*Earnings!G258,0)</f>
        <v>0</v>
      </c>
      <c r="D258" s="2">
        <v>200</v>
      </c>
    </row>
    <row r="259" spans="1:4" x14ac:dyDescent="0.35">
      <c r="A259" t="s">
        <v>290</v>
      </c>
      <c r="B259">
        <f>MIN(0.12*Earnings!C259,1800)</f>
        <v>1800</v>
      </c>
      <c r="C259">
        <f>IF(Earnings!G259&lt;=21000,0.0075*Earnings!G259,0)</f>
        <v>0</v>
      </c>
      <c r="D259" s="2">
        <v>200</v>
      </c>
    </row>
    <row r="260" spans="1:4" x14ac:dyDescent="0.35">
      <c r="A260" t="s">
        <v>291</v>
      </c>
      <c r="B260">
        <f>MIN(0.12*Earnings!C260,1800)</f>
        <v>1800</v>
      </c>
      <c r="C260">
        <f>IF(Earnings!G260&lt;=21000,0.0075*Earnings!G260,0)</f>
        <v>0</v>
      </c>
      <c r="D260" s="2">
        <v>200</v>
      </c>
    </row>
    <row r="261" spans="1:4" x14ac:dyDescent="0.35">
      <c r="A261" t="s">
        <v>292</v>
      </c>
      <c r="B261">
        <f>MIN(0.12*Earnings!C261,1800)</f>
        <v>1800</v>
      </c>
      <c r="C261">
        <f>IF(Earnings!G261&lt;=21000,0.0075*Earnings!G261,0)</f>
        <v>0</v>
      </c>
      <c r="D261" s="2">
        <v>200</v>
      </c>
    </row>
    <row r="262" spans="1:4" x14ac:dyDescent="0.35">
      <c r="A262" t="s">
        <v>293</v>
      </c>
      <c r="B262">
        <f>MIN(0.12*Earnings!C262,1800)</f>
        <v>1800</v>
      </c>
      <c r="C262">
        <f>IF(Earnings!G262&lt;=21000,0.0075*Earnings!G262,0)</f>
        <v>0</v>
      </c>
      <c r="D262" s="2">
        <v>200</v>
      </c>
    </row>
    <row r="263" spans="1:4" x14ac:dyDescent="0.35">
      <c r="A263" t="s">
        <v>294</v>
      </c>
      <c r="B263">
        <f>MIN(0.12*Earnings!C263,1800)</f>
        <v>1800</v>
      </c>
      <c r="C263">
        <f>IF(Earnings!G263&lt;=21000,0.0075*Earnings!G263,0)</f>
        <v>0</v>
      </c>
      <c r="D263" s="2">
        <v>200</v>
      </c>
    </row>
    <row r="264" spans="1:4" x14ac:dyDescent="0.35">
      <c r="A264" t="s">
        <v>295</v>
      </c>
      <c r="B264">
        <f>MIN(0.12*Earnings!C264,1800)</f>
        <v>1800</v>
      </c>
      <c r="C264">
        <f>IF(Earnings!G264&lt;=21000,0.0075*Earnings!G264,0)</f>
        <v>0</v>
      </c>
      <c r="D264" s="2">
        <v>200</v>
      </c>
    </row>
    <row r="265" spans="1:4" x14ac:dyDescent="0.35">
      <c r="A265" t="s">
        <v>296</v>
      </c>
      <c r="B265">
        <f>MIN(0.12*Earnings!C265,1800)</f>
        <v>1800</v>
      </c>
      <c r="C265">
        <f>IF(Earnings!G265&lt;=21000,0.0075*Earnings!G265,0)</f>
        <v>0</v>
      </c>
      <c r="D265" s="2">
        <v>200</v>
      </c>
    </row>
    <row r="266" spans="1:4" x14ac:dyDescent="0.35">
      <c r="A266" t="s">
        <v>297</v>
      </c>
      <c r="B266">
        <f>MIN(0.12*Earnings!C266,1800)</f>
        <v>1800</v>
      </c>
      <c r="C266">
        <f>IF(Earnings!G266&lt;=21000,0.0075*Earnings!G266,0)</f>
        <v>0</v>
      </c>
      <c r="D266" s="2">
        <v>200</v>
      </c>
    </row>
    <row r="267" spans="1:4" x14ac:dyDescent="0.35">
      <c r="A267" t="s">
        <v>298</v>
      </c>
      <c r="B267">
        <f>MIN(0.12*Earnings!C267,1800)</f>
        <v>1800</v>
      </c>
      <c r="C267">
        <f>IF(Earnings!G267&lt;=21000,0.0075*Earnings!G267,0)</f>
        <v>0</v>
      </c>
      <c r="D267" s="2">
        <v>200</v>
      </c>
    </row>
    <row r="268" spans="1:4" x14ac:dyDescent="0.35">
      <c r="A268" t="s">
        <v>299</v>
      </c>
      <c r="B268">
        <f>MIN(0.12*Earnings!C268,1800)</f>
        <v>1800</v>
      </c>
      <c r="C268">
        <f>IF(Earnings!G268&lt;=21000,0.0075*Earnings!G268,0)</f>
        <v>0</v>
      </c>
      <c r="D268" s="2">
        <v>200</v>
      </c>
    </row>
    <row r="269" spans="1:4" x14ac:dyDescent="0.35">
      <c r="A269" t="s">
        <v>300</v>
      </c>
      <c r="B269">
        <f>MIN(0.12*Earnings!C269,1800)</f>
        <v>1800</v>
      </c>
      <c r="C269">
        <f>IF(Earnings!G269&lt;=21000,0.0075*Earnings!G269,0)</f>
        <v>0</v>
      </c>
      <c r="D269" s="2">
        <v>200</v>
      </c>
    </row>
    <row r="270" spans="1:4" x14ac:dyDescent="0.35">
      <c r="A270" t="s">
        <v>301</v>
      </c>
      <c r="B270">
        <f>MIN(0.12*Earnings!C270,1800)</f>
        <v>1800</v>
      </c>
      <c r="C270">
        <f>IF(Earnings!G270&lt;=21000,0.0075*Earnings!G270,0)</f>
        <v>0</v>
      </c>
      <c r="D270" s="2">
        <v>200</v>
      </c>
    </row>
    <row r="271" spans="1:4" x14ac:dyDescent="0.35">
      <c r="A271" t="s">
        <v>302</v>
      </c>
      <c r="B271">
        <f>MIN(0.12*Earnings!C271,1800)</f>
        <v>1800</v>
      </c>
      <c r="C271">
        <f>IF(Earnings!G271&lt;=21000,0.0075*Earnings!G271,0)</f>
        <v>0</v>
      </c>
      <c r="D271" s="2">
        <v>200</v>
      </c>
    </row>
    <row r="272" spans="1:4" x14ac:dyDescent="0.35">
      <c r="A272" t="s">
        <v>303</v>
      </c>
      <c r="B272">
        <f>MIN(0.12*Earnings!C272,1800)</f>
        <v>1800</v>
      </c>
      <c r="C272">
        <f>IF(Earnings!G272&lt;=21000,0.0075*Earnings!G272,0)</f>
        <v>0</v>
      </c>
      <c r="D272" s="2">
        <v>200</v>
      </c>
    </row>
    <row r="273" spans="1:4" x14ac:dyDescent="0.35">
      <c r="A273" t="s">
        <v>304</v>
      </c>
      <c r="B273">
        <f>MIN(0.12*Earnings!C273,1800)</f>
        <v>1800</v>
      </c>
      <c r="C273">
        <f>IF(Earnings!G273&lt;=21000,0.0075*Earnings!G273,0)</f>
        <v>0</v>
      </c>
      <c r="D273" s="2">
        <v>200</v>
      </c>
    </row>
    <row r="274" spans="1:4" x14ac:dyDescent="0.35">
      <c r="A274" t="s">
        <v>305</v>
      </c>
      <c r="B274">
        <f>MIN(0.12*Earnings!C274,1800)</f>
        <v>1800</v>
      </c>
      <c r="C274">
        <f>IF(Earnings!G274&lt;=21000,0.0075*Earnings!G274,0)</f>
        <v>0</v>
      </c>
      <c r="D274" s="2">
        <v>200</v>
      </c>
    </row>
    <row r="275" spans="1:4" x14ac:dyDescent="0.35">
      <c r="A275" t="s">
        <v>306</v>
      </c>
      <c r="B275">
        <f>MIN(0.12*Earnings!C275,1800)</f>
        <v>1800</v>
      </c>
      <c r="C275">
        <f>IF(Earnings!G275&lt;=21000,0.0075*Earnings!G275,0)</f>
        <v>0</v>
      </c>
      <c r="D275" s="2">
        <v>200</v>
      </c>
    </row>
    <row r="276" spans="1:4" x14ac:dyDescent="0.35">
      <c r="A276" t="s">
        <v>307</v>
      </c>
      <c r="B276">
        <f>MIN(0.12*Earnings!C276,1800)</f>
        <v>1800</v>
      </c>
      <c r="C276">
        <f>IF(Earnings!G276&lt;=21000,0.0075*Earnings!G276,0)</f>
        <v>0</v>
      </c>
      <c r="D276" s="2">
        <v>200</v>
      </c>
    </row>
    <row r="277" spans="1:4" x14ac:dyDescent="0.35">
      <c r="A277" t="s">
        <v>308</v>
      </c>
      <c r="B277">
        <f>MIN(0.12*Earnings!C277,1800)</f>
        <v>1800</v>
      </c>
      <c r="C277">
        <f>IF(Earnings!G277&lt;=21000,0.0075*Earnings!G277,0)</f>
        <v>0</v>
      </c>
      <c r="D277" s="2">
        <v>200</v>
      </c>
    </row>
    <row r="278" spans="1:4" x14ac:dyDescent="0.35">
      <c r="A278" t="s">
        <v>309</v>
      </c>
      <c r="B278">
        <f>MIN(0.12*Earnings!C278,1800)</f>
        <v>1800</v>
      </c>
      <c r="C278">
        <f>IF(Earnings!G278&lt;=21000,0.0075*Earnings!G278,0)</f>
        <v>0</v>
      </c>
      <c r="D278" s="2">
        <v>200</v>
      </c>
    </row>
    <row r="279" spans="1:4" x14ac:dyDescent="0.35">
      <c r="A279" t="s">
        <v>310</v>
      </c>
      <c r="B279">
        <f>MIN(0.12*Earnings!C279,1800)</f>
        <v>1800</v>
      </c>
      <c r="C279">
        <f>IF(Earnings!G279&lt;=21000,0.0075*Earnings!G279,0)</f>
        <v>0</v>
      </c>
      <c r="D279" s="2">
        <v>200</v>
      </c>
    </row>
    <row r="280" spans="1:4" x14ac:dyDescent="0.35">
      <c r="A280" t="s">
        <v>311</v>
      </c>
      <c r="B280">
        <f>MIN(0.12*Earnings!C280,1800)</f>
        <v>1800</v>
      </c>
      <c r="C280">
        <f>IF(Earnings!G280&lt;=21000,0.0075*Earnings!G280,0)</f>
        <v>0</v>
      </c>
      <c r="D280" s="2">
        <v>200</v>
      </c>
    </row>
    <row r="281" spans="1:4" x14ac:dyDescent="0.35">
      <c r="A281" t="s">
        <v>312</v>
      </c>
      <c r="B281">
        <f>MIN(0.12*Earnings!C281,1800)</f>
        <v>1800</v>
      </c>
      <c r="C281">
        <f>IF(Earnings!G281&lt;=21000,0.0075*Earnings!G281,0)</f>
        <v>0</v>
      </c>
      <c r="D281" s="2">
        <v>200</v>
      </c>
    </row>
    <row r="282" spans="1:4" x14ac:dyDescent="0.35">
      <c r="A282" t="s">
        <v>313</v>
      </c>
      <c r="B282">
        <f>MIN(0.12*Earnings!C282,1800)</f>
        <v>1800</v>
      </c>
      <c r="C282">
        <f>IF(Earnings!G282&lt;=21000,0.0075*Earnings!G282,0)</f>
        <v>0</v>
      </c>
      <c r="D282" s="2">
        <v>200</v>
      </c>
    </row>
    <row r="283" spans="1:4" x14ac:dyDescent="0.35">
      <c r="A283" t="s">
        <v>314</v>
      </c>
      <c r="B283">
        <f>MIN(0.12*Earnings!C283,1800)</f>
        <v>1800</v>
      </c>
      <c r="C283">
        <f>IF(Earnings!G283&lt;=21000,0.0075*Earnings!G283,0)</f>
        <v>0</v>
      </c>
      <c r="D283" s="2">
        <v>200</v>
      </c>
    </row>
    <row r="284" spans="1:4" x14ac:dyDescent="0.35">
      <c r="A284" t="s">
        <v>315</v>
      </c>
      <c r="B284">
        <f>MIN(0.12*Earnings!C284,1800)</f>
        <v>1800</v>
      </c>
      <c r="C284">
        <f>IF(Earnings!G284&lt;=21000,0.0075*Earnings!G284,0)</f>
        <v>0</v>
      </c>
      <c r="D284" s="2">
        <v>200</v>
      </c>
    </row>
    <row r="285" spans="1:4" x14ac:dyDescent="0.35">
      <c r="A285" t="s">
        <v>316</v>
      </c>
      <c r="B285">
        <f>MIN(0.12*Earnings!C285,1800)</f>
        <v>1800</v>
      </c>
      <c r="C285">
        <f>IF(Earnings!G285&lt;=21000,0.0075*Earnings!G285,0)</f>
        <v>0</v>
      </c>
      <c r="D285" s="2">
        <v>200</v>
      </c>
    </row>
    <row r="286" spans="1:4" x14ac:dyDescent="0.35">
      <c r="A286" t="s">
        <v>317</v>
      </c>
      <c r="B286">
        <f>MIN(0.12*Earnings!C286,1800)</f>
        <v>1800</v>
      </c>
      <c r="C286">
        <f>IF(Earnings!G286&lt;=21000,0.0075*Earnings!G286,0)</f>
        <v>0</v>
      </c>
      <c r="D286" s="2">
        <v>200</v>
      </c>
    </row>
    <row r="287" spans="1:4" x14ac:dyDescent="0.35">
      <c r="A287" t="s">
        <v>318</v>
      </c>
      <c r="B287">
        <f>MIN(0.12*Earnings!C287,1800)</f>
        <v>1800</v>
      </c>
      <c r="C287">
        <f>IF(Earnings!G287&lt;=21000,0.0075*Earnings!G287,0)</f>
        <v>0</v>
      </c>
      <c r="D287" s="2">
        <v>200</v>
      </c>
    </row>
    <row r="288" spans="1:4" x14ac:dyDescent="0.35">
      <c r="A288" t="s">
        <v>319</v>
      </c>
      <c r="B288">
        <f>MIN(0.12*Earnings!C288,1800)</f>
        <v>1800</v>
      </c>
      <c r="C288">
        <f>IF(Earnings!G288&lt;=21000,0.0075*Earnings!G288,0)</f>
        <v>0</v>
      </c>
      <c r="D288" s="2">
        <v>200</v>
      </c>
    </row>
    <row r="289" spans="1:4" x14ac:dyDescent="0.35">
      <c r="A289" t="s">
        <v>320</v>
      </c>
      <c r="B289">
        <f>MIN(0.12*Earnings!C289,1800)</f>
        <v>1800</v>
      </c>
      <c r="C289">
        <f>IF(Earnings!G289&lt;=21000,0.0075*Earnings!G289,0)</f>
        <v>0</v>
      </c>
      <c r="D289" s="2">
        <v>200</v>
      </c>
    </row>
    <row r="290" spans="1:4" x14ac:dyDescent="0.35">
      <c r="A290" t="s">
        <v>321</v>
      </c>
      <c r="B290">
        <f>MIN(0.12*Earnings!C290,1800)</f>
        <v>1800</v>
      </c>
      <c r="C290">
        <f>IF(Earnings!G290&lt;=21000,0.0075*Earnings!G290,0)</f>
        <v>0</v>
      </c>
      <c r="D290" s="2">
        <v>200</v>
      </c>
    </row>
    <row r="291" spans="1:4" x14ac:dyDescent="0.35">
      <c r="A291" t="s">
        <v>322</v>
      </c>
      <c r="B291">
        <f>MIN(0.12*Earnings!C291,1800)</f>
        <v>1800</v>
      </c>
      <c r="C291">
        <f>IF(Earnings!G291&lt;=21000,0.0075*Earnings!G291,0)</f>
        <v>0</v>
      </c>
      <c r="D291" s="2">
        <v>200</v>
      </c>
    </row>
    <row r="292" spans="1:4" x14ac:dyDescent="0.35">
      <c r="A292" t="s">
        <v>323</v>
      </c>
      <c r="B292">
        <f>MIN(0.12*Earnings!C292,1800)</f>
        <v>1800</v>
      </c>
      <c r="C292">
        <f>IF(Earnings!G292&lt;=21000,0.0075*Earnings!G292,0)</f>
        <v>0</v>
      </c>
      <c r="D292" s="2">
        <v>200</v>
      </c>
    </row>
    <row r="293" spans="1:4" x14ac:dyDescent="0.35">
      <c r="A293" t="s">
        <v>324</v>
      </c>
      <c r="B293">
        <f>MIN(0.12*Earnings!C293,1800)</f>
        <v>1800</v>
      </c>
      <c r="C293">
        <f>IF(Earnings!G293&lt;=21000,0.0075*Earnings!G293,0)</f>
        <v>0</v>
      </c>
      <c r="D293" s="2">
        <v>200</v>
      </c>
    </row>
    <row r="294" spans="1:4" x14ac:dyDescent="0.35">
      <c r="A294" t="s">
        <v>325</v>
      </c>
      <c r="B294">
        <f>MIN(0.12*Earnings!C294,1800)</f>
        <v>1800</v>
      </c>
      <c r="C294">
        <f>IF(Earnings!G294&lt;=21000,0.0075*Earnings!G294,0)</f>
        <v>0</v>
      </c>
      <c r="D294" s="2">
        <v>200</v>
      </c>
    </row>
    <row r="295" spans="1:4" x14ac:dyDescent="0.35">
      <c r="A295" t="s">
        <v>326</v>
      </c>
      <c r="B295">
        <f>MIN(0.12*Earnings!C295,1800)</f>
        <v>1800</v>
      </c>
      <c r="C295">
        <f>IF(Earnings!G295&lt;=21000,0.0075*Earnings!G295,0)</f>
        <v>0</v>
      </c>
      <c r="D295" s="2">
        <v>200</v>
      </c>
    </row>
    <row r="296" spans="1:4" x14ac:dyDescent="0.35">
      <c r="A296" t="s">
        <v>327</v>
      </c>
      <c r="B296">
        <f>MIN(0.12*Earnings!C296,1800)</f>
        <v>1800</v>
      </c>
      <c r="C296">
        <f>IF(Earnings!G296&lt;=21000,0.0075*Earnings!G296,0)</f>
        <v>0</v>
      </c>
      <c r="D296" s="2">
        <v>200</v>
      </c>
    </row>
    <row r="297" spans="1:4" x14ac:dyDescent="0.35">
      <c r="A297" t="s">
        <v>328</v>
      </c>
      <c r="B297">
        <f>MIN(0.12*Earnings!C297,1800)</f>
        <v>1800</v>
      </c>
      <c r="C297">
        <f>IF(Earnings!G297&lt;=21000,0.0075*Earnings!G297,0)</f>
        <v>0</v>
      </c>
      <c r="D297" s="2">
        <v>200</v>
      </c>
    </row>
    <row r="298" spans="1:4" x14ac:dyDescent="0.35">
      <c r="A298" t="s">
        <v>329</v>
      </c>
      <c r="B298">
        <f>MIN(0.12*Earnings!C298,1800)</f>
        <v>1800</v>
      </c>
      <c r="C298">
        <f>IF(Earnings!G298&lt;=21000,0.0075*Earnings!G298,0)</f>
        <v>0</v>
      </c>
      <c r="D298" s="2">
        <v>200</v>
      </c>
    </row>
    <row r="299" spans="1:4" x14ac:dyDescent="0.35">
      <c r="A299" t="s">
        <v>330</v>
      </c>
      <c r="B299">
        <f>MIN(0.12*Earnings!C299,1800)</f>
        <v>1800</v>
      </c>
      <c r="C299">
        <f>IF(Earnings!G299&lt;=21000,0.0075*Earnings!G299,0)</f>
        <v>0</v>
      </c>
      <c r="D299" s="2">
        <v>200</v>
      </c>
    </row>
    <row r="300" spans="1:4" x14ac:dyDescent="0.35">
      <c r="A300" t="s">
        <v>331</v>
      </c>
      <c r="B300">
        <f>MIN(0.12*Earnings!C300,1800)</f>
        <v>1800</v>
      </c>
      <c r="C300">
        <f>IF(Earnings!G300&lt;=21000,0.0075*Earnings!G300,0)</f>
        <v>0</v>
      </c>
      <c r="D300" s="2">
        <v>200</v>
      </c>
    </row>
    <row r="301" spans="1:4" x14ac:dyDescent="0.35">
      <c r="A301" t="s">
        <v>332</v>
      </c>
      <c r="B301">
        <f>MIN(0.12*Earnings!C301,1800)</f>
        <v>1800</v>
      </c>
      <c r="C301">
        <f>IF(Earnings!G301&lt;=21000,0.0075*Earnings!G301,0)</f>
        <v>0</v>
      </c>
      <c r="D301" s="2">
        <v>200</v>
      </c>
    </row>
    <row r="302" spans="1:4" x14ac:dyDescent="0.35">
      <c r="A302" t="s">
        <v>333</v>
      </c>
      <c r="B302">
        <f>MIN(0.12*Earnings!C302,1800)</f>
        <v>1800</v>
      </c>
      <c r="C302">
        <f>IF(Earnings!G302&lt;=21000,0.0075*Earnings!G302,0)</f>
        <v>0</v>
      </c>
      <c r="D302" s="2">
        <v>200</v>
      </c>
    </row>
    <row r="303" spans="1:4" x14ac:dyDescent="0.35">
      <c r="A303" t="s">
        <v>334</v>
      </c>
      <c r="B303">
        <f>MIN(0.12*Earnings!C303,1800)</f>
        <v>1800</v>
      </c>
      <c r="C303">
        <f>IF(Earnings!G303&lt;=21000,0.0075*Earnings!G303,0)</f>
        <v>0</v>
      </c>
      <c r="D303" s="2">
        <v>200</v>
      </c>
    </row>
    <row r="304" spans="1:4" x14ac:dyDescent="0.35">
      <c r="A304" t="s">
        <v>335</v>
      </c>
      <c r="B304">
        <f>MIN(0.12*Earnings!C304,1800)</f>
        <v>1800</v>
      </c>
      <c r="C304">
        <f>IF(Earnings!G304&lt;=21000,0.0075*Earnings!G304,0)</f>
        <v>0</v>
      </c>
      <c r="D304" s="2">
        <v>200</v>
      </c>
    </row>
    <row r="305" spans="1:4" x14ac:dyDescent="0.35">
      <c r="A305" t="s">
        <v>336</v>
      </c>
      <c r="B305">
        <f>MIN(0.12*Earnings!C305,1800)</f>
        <v>1800</v>
      </c>
      <c r="C305">
        <f>IF(Earnings!G305&lt;=21000,0.0075*Earnings!G305,0)</f>
        <v>0</v>
      </c>
      <c r="D305" s="2">
        <v>200</v>
      </c>
    </row>
    <row r="306" spans="1:4" x14ac:dyDescent="0.35">
      <c r="A306" t="s">
        <v>337</v>
      </c>
      <c r="B306">
        <f>MIN(0.12*Earnings!C306,1800)</f>
        <v>1800</v>
      </c>
      <c r="C306">
        <f>IF(Earnings!G306&lt;=21000,0.0075*Earnings!G306,0)</f>
        <v>0</v>
      </c>
      <c r="D306" s="2">
        <v>200</v>
      </c>
    </row>
    <row r="307" spans="1:4" x14ac:dyDescent="0.35">
      <c r="A307" t="s">
        <v>338</v>
      </c>
      <c r="B307">
        <f>MIN(0.12*Earnings!C307,1800)</f>
        <v>1800</v>
      </c>
      <c r="C307">
        <f>IF(Earnings!G307&lt;=21000,0.0075*Earnings!G307,0)</f>
        <v>0</v>
      </c>
      <c r="D307" s="2">
        <v>200</v>
      </c>
    </row>
    <row r="308" spans="1:4" x14ac:dyDescent="0.35">
      <c r="A308" t="s">
        <v>339</v>
      </c>
      <c r="B308">
        <f>MIN(0.12*Earnings!C308,1800)</f>
        <v>1800</v>
      </c>
      <c r="C308">
        <f>IF(Earnings!G308&lt;=21000,0.0075*Earnings!G308,0)</f>
        <v>0</v>
      </c>
      <c r="D308" s="2">
        <v>200</v>
      </c>
    </row>
    <row r="309" spans="1:4" x14ac:dyDescent="0.35">
      <c r="A309" t="s">
        <v>340</v>
      </c>
      <c r="B309">
        <f>MIN(0.12*Earnings!C309,1800)</f>
        <v>1800</v>
      </c>
      <c r="C309">
        <f>IF(Earnings!G309&lt;=21000,0.0075*Earnings!G309,0)</f>
        <v>0</v>
      </c>
      <c r="D309" s="2">
        <v>200</v>
      </c>
    </row>
    <row r="310" spans="1:4" x14ac:dyDescent="0.35">
      <c r="A310" t="s">
        <v>341</v>
      </c>
      <c r="B310">
        <f>MIN(0.12*Earnings!C310,1800)</f>
        <v>1800</v>
      </c>
      <c r="C310">
        <f>IF(Earnings!G310&lt;=21000,0.0075*Earnings!G310,0)</f>
        <v>0</v>
      </c>
      <c r="D310" s="2">
        <v>200</v>
      </c>
    </row>
    <row r="311" spans="1:4" x14ac:dyDescent="0.35">
      <c r="A311" t="s">
        <v>342</v>
      </c>
      <c r="B311">
        <f>MIN(0.12*Earnings!C311,1800)</f>
        <v>1800</v>
      </c>
      <c r="C311">
        <f>IF(Earnings!G311&lt;=21000,0.0075*Earnings!G311,0)</f>
        <v>0</v>
      </c>
      <c r="D311" s="2">
        <v>200</v>
      </c>
    </row>
    <row r="312" spans="1:4" x14ac:dyDescent="0.35">
      <c r="A312" t="s">
        <v>343</v>
      </c>
      <c r="B312">
        <f>MIN(0.12*Earnings!C312,1800)</f>
        <v>1800</v>
      </c>
      <c r="C312">
        <f>IF(Earnings!G312&lt;=21000,0.0075*Earnings!G312,0)</f>
        <v>0</v>
      </c>
      <c r="D312" s="2">
        <v>200</v>
      </c>
    </row>
    <row r="313" spans="1:4" x14ac:dyDescent="0.35">
      <c r="A313" t="s">
        <v>344</v>
      </c>
      <c r="B313">
        <f>MIN(0.12*Earnings!C313,1800)</f>
        <v>1800</v>
      </c>
      <c r="C313">
        <f>IF(Earnings!G313&lt;=21000,0.0075*Earnings!G313,0)</f>
        <v>0</v>
      </c>
      <c r="D313" s="2">
        <v>200</v>
      </c>
    </row>
    <row r="314" spans="1:4" x14ac:dyDescent="0.35">
      <c r="A314" t="s">
        <v>345</v>
      </c>
      <c r="B314">
        <f>MIN(0.12*Earnings!C314,1800)</f>
        <v>1800</v>
      </c>
      <c r="C314">
        <f>IF(Earnings!G314&lt;=21000,0.0075*Earnings!G314,0)</f>
        <v>0</v>
      </c>
      <c r="D314" s="2">
        <v>200</v>
      </c>
    </row>
    <row r="315" spans="1:4" x14ac:dyDescent="0.35">
      <c r="A315" t="s">
        <v>346</v>
      </c>
      <c r="B315">
        <f>MIN(0.12*Earnings!C315,1800)</f>
        <v>1800</v>
      </c>
      <c r="C315">
        <f>IF(Earnings!G315&lt;=21000,0.0075*Earnings!G315,0)</f>
        <v>0</v>
      </c>
      <c r="D315" s="2">
        <v>200</v>
      </c>
    </row>
    <row r="316" spans="1:4" x14ac:dyDescent="0.35">
      <c r="A316" t="s">
        <v>347</v>
      </c>
      <c r="B316">
        <f>MIN(0.12*Earnings!C316,1800)</f>
        <v>1800</v>
      </c>
      <c r="C316">
        <f>IF(Earnings!G316&lt;=21000,0.0075*Earnings!G316,0)</f>
        <v>0</v>
      </c>
      <c r="D316" s="2">
        <v>200</v>
      </c>
    </row>
    <row r="317" spans="1:4" x14ac:dyDescent="0.35">
      <c r="A317" t="s">
        <v>348</v>
      </c>
      <c r="B317">
        <f>MIN(0.12*Earnings!C317,1800)</f>
        <v>1800</v>
      </c>
      <c r="C317">
        <f>IF(Earnings!G317&lt;=21000,0.0075*Earnings!G317,0)</f>
        <v>0</v>
      </c>
      <c r="D317" s="2">
        <v>200</v>
      </c>
    </row>
    <row r="318" spans="1:4" x14ac:dyDescent="0.35">
      <c r="A318" t="s">
        <v>349</v>
      </c>
      <c r="B318">
        <f>MIN(0.12*Earnings!C318,1800)</f>
        <v>1800</v>
      </c>
      <c r="C318">
        <f>IF(Earnings!G318&lt;=21000,0.0075*Earnings!G318,0)</f>
        <v>0</v>
      </c>
      <c r="D318" s="2">
        <v>200</v>
      </c>
    </row>
    <row r="319" spans="1:4" x14ac:dyDescent="0.35">
      <c r="A319" t="s">
        <v>350</v>
      </c>
      <c r="B319">
        <f>MIN(0.12*Earnings!C319,1800)</f>
        <v>1800</v>
      </c>
      <c r="C319">
        <f>IF(Earnings!G319&lt;=21000,0.0075*Earnings!G319,0)</f>
        <v>0</v>
      </c>
      <c r="D319" s="2">
        <v>200</v>
      </c>
    </row>
    <row r="320" spans="1:4" x14ac:dyDescent="0.35">
      <c r="A320" t="s">
        <v>351</v>
      </c>
      <c r="B320">
        <f>MIN(0.12*Earnings!C320,1800)</f>
        <v>1800</v>
      </c>
      <c r="C320">
        <f>IF(Earnings!G320&lt;=21000,0.0075*Earnings!G320,0)</f>
        <v>0</v>
      </c>
      <c r="D320" s="2">
        <v>200</v>
      </c>
    </row>
    <row r="321" spans="1:4" x14ac:dyDescent="0.35">
      <c r="A321" t="s">
        <v>352</v>
      </c>
      <c r="B321">
        <f>MIN(0.12*Earnings!C321,1800)</f>
        <v>1800</v>
      </c>
      <c r="C321">
        <f>IF(Earnings!G321&lt;=21000,0.0075*Earnings!G321,0)</f>
        <v>0</v>
      </c>
      <c r="D321" s="2">
        <v>200</v>
      </c>
    </row>
    <row r="322" spans="1:4" x14ac:dyDescent="0.35">
      <c r="A322" t="s">
        <v>353</v>
      </c>
      <c r="B322">
        <f>MIN(0.12*Earnings!C322,1800)</f>
        <v>1800</v>
      </c>
      <c r="C322">
        <f>IF(Earnings!G322&lt;=21000,0.0075*Earnings!G322,0)</f>
        <v>0</v>
      </c>
      <c r="D322" s="2">
        <v>200</v>
      </c>
    </row>
    <row r="323" spans="1:4" x14ac:dyDescent="0.35">
      <c r="A323" t="s">
        <v>354</v>
      </c>
      <c r="B323">
        <f>MIN(0.12*Earnings!C323,1800)</f>
        <v>1800</v>
      </c>
      <c r="C323">
        <f>IF(Earnings!G323&lt;=21000,0.0075*Earnings!G323,0)</f>
        <v>0</v>
      </c>
      <c r="D323" s="2">
        <v>200</v>
      </c>
    </row>
    <row r="324" spans="1:4" x14ac:dyDescent="0.35">
      <c r="A324" t="s">
        <v>355</v>
      </c>
      <c r="B324">
        <f>MIN(0.12*Earnings!C324,1800)</f>
        <v>1800</v>
      </c>
      <c r="C324">
        <f>IF(Earnings!G324&lt;=21000,0.0075*Earnings!G324,0)</f>
        <v>0</v>
      </c>
      <c r="D324" s="2">
        <v>200</v>
      </c>
    </row>
    <row r="325" spans="1:4" x14ac:dyDescent="0.35">
      <c r="A325" t="s">
        <v>356</v>
      </c>
      <c r="B325">
        <f>MIN(0.12*Earnings!C325,1800)</f>
        <v>1800</v>
      </c>
      <c r="C325">
        <f>IF(Earnings!G325&lt;=21000,0.0075*Earnings!G325,0)</f>
        <v>0</v>
      </c>
      <c r="D325" s="2">
        <v>200</v>
      </c>
    </row>
    <row r="326" spans="1:4" x14ac:dyDescent="0.35">
      <c r="A326" t="s">
        <v>357</v>
      </c>
      <c r="B326">
        <f>MIN(0.12*Earnings!C326,1800)</f>
        <v>1800</v>
      </c>
      <c r="C326">
        <f>IF(Earnings!G326&lt;=21000,0.0075*Earnings!G326,0)</f>
        <v>0</v>
      </c>
      <c r="D326" s="2">
        <v>200</v>
      </c>
    </row>
    <row r="327" spans="1:4" x14ac:dyDescent="0.35">
      <c r="A327" t="s">
        <v>358</v>
      </c>
      <c r="B327">
        <f>MIN(0.12*Earnings!C327,1800)</f>
        <v>1800</v>
      </c>
      <c r="C327">
        <f>IF(Earnings!G327&lt;=21000,0.0075*Earnings!G327,0)</f>
        <v>0</v>
      </c>
      <c r="D327" s="2">
        <v>200</v>
      </c>
    </row>
    <row r="328" spans="1:4" x14ac:dyDescent="0.35">
      <c r="A328" t="s">
        <v>359</v>
      </c>
      <c r="B328">
        <f>MIN(0.12*Earnings!C328,1800)</f>
        <v>1800</v>
      </c>
      <c r="C328">
        <f>IF(Earnings!G328&lt;=21000,0.0075*Earnings!G328,0)</f>
        <v>0</v>
      </c>
      <c r="D328" s="2">
        <v>200</v>
      </c>
    </row>
    <row r="329" spans="1:4" x14ac:dyDescent="0.35">
      <c r="A329" t="s">
        <v>360</v>
      </c>
      <c r="B329">
        <f>MIN(0.12*Earnings!C329,1800)</f>
        <v>1800</v>
      </c>
      <c r="C329">
        <f>IF(Earnings!G329&lt;=21000,0.0075*Earnings!G329,0)</f>
        <v>0</v>
      </c>
      <c r="D329" s="2">
        <v>200</v>
      </c>
    </row>
    <row r="330" spans="1:4" x14ac:dyDescent="0.35">
      <c r="A330" t="s">
        <v>361</v>
      </c>
      <c r="B330">
        <f>MIN(0.12*Earnings!C330,1800)</f>
        <v>1800</v>
      </c>
      <c r="C330">
        <f>IF(Earnings!G330&lt;=21000,0.0075*Earnings!G330,0)</f>
        <v>0</v>
      </c>
      <c r="D330" s="2">
        <v>200</v>
      </c>
    </row>
    <row r="331" spans="1:4" x14ac:dyDescent="0.35">
      <c r="A331" t="s">
        <v>362</v>
      </c>
      <c r="B331">
        <f>MIN(0.12*Earnings!C331,1800)</f>
        <v>1800</v>
      </c>
      <c r="C331">
        <f>IF(Earnings!G331&lt;=21000,0.0075*Earnings!G331,0)</f>
        <v>0</v>
      </c>
      <c r="D331" s="2">
        <v>200</v>
      </c>
    </row>
    <row r="332" spans="1:4" x14ac:dyDescent="0.35">
      <c r="A332" t="s">
        <v>363</v>
      </c>
      <c r="B332">
        <f>MIN(0.12*Earnings!C332,1800)</f>
        <v>1800</v>
      </c>
      <c r="C332">
        <f>IF(Earnings!G332&lt;=21000,0.0075*Earnings!G332,0)</f>
        <v>0</v>
      </c>
      <c r="D332" s="2">
        <v>200</v>
      </c>
    </row>
    <row r="333" spans="1:4" x14ac:dyDescent="0.35">
      <c r="A333" t="s">
        <v>364</v>
      </c>
      <c r="B333">
        <f>MIN(0.12*Earnings!C333,1800)</f>
        <v>1800</v>
      </c>
      <c r="C333">
        <f>IF(Earnings!G333&lt;=21000,0.0075*Earnings!G333,0)</f>
        <v>0</v>
      </c>
      <c r="D333" s="2">
        <v>200</v>
      </c>
    </row>
    <row r="334" spans="1:4" x14ac:dyDescent="0.35">
      <c r="A334" t="s">
        <v>365</v>
      </c>
      <c r="B334">
        <f>MIN(0.12*Earnings!C334,1800)</f>
        <v>1800</v>
      </c>
      <c r="C334">
        <f>IF(Earnings!G334&lt;=21000,0.0075*Earnings!G334,0)</f>
        <v>0</v>
      </c>
      <c r="D334" s="2">
        <v>200</v>
      </c>
    </row>
    <row r="335" spans="1:4" x14ac:dyDescent="0.35">
      <c r="A335" t="s">
        <v>366</v>
      </c>
      <c r="B335">
        <f>MIN(0.12*Earnings!C335,1800)</f>
        <v>1800</v>
      </c>
      <c r="C335">
        <f>IF(Earnings!G335&lt;=21000,0.0075*Earnings!G335,0)</f>
        <v>0</v>
      </c>
      <c r="D335" s="2">
        <v>200</v>
      </c>
    </row>
    <row r="336" spans="1:4" x14ac:dyDescent="0.35">
      <c r="A336" t="s">
        <v>367</v>
      </c>
      <c r="B336">
        <f>MIN(0.12*Earnings!C336,1800)</f>
        <v>1800</v>
      </c>
      <c r="C336">
        <f>IF(Earnings!G336&lt;=21000,0.0075*Earnings!G336,0)</f>
        <v>0</v>
      </c>
      <c r="D336" s="2">
        <v>200</v>
      </c>
    </row>
    <row r="337" spans="1:4" x14ac:dyDescent="0.35">
      <c r="A337" t="s">
        <v>368</v>
      </c>
      <c r="B337">
        <f>MIN(0.12*Earnings!C337,1800)</f>
        <v>1800</v>
      </c>
      <c r="C337">
        <f>IF(Earnings!G337&lt;=21000,0.0075*Earnings!G337,0)</f>
        <v>0</v>
      </c>
      <c r="D337" s="2">
        <v>200</v>
      </c>
    </row>
    <row r="338" spans="1:4" x14ac:dyDescent="0.35">
      <c r="A338" t="s">
        <v>369</v>
      </c>
      <c r="B338">
        <f>MIN(0.12*Earnings!C338,1800)</f>
        <v>1800</v>
      </c>
      <c r="C338">
        <f>IF(Earnings!G338&lt;=21000,0.0075*Earnings!G338,0)</f>
        <v>0</v>
      </c>
      <c r="D338" s="2">
        <v>200</v>
      </c>
    </row>
    <row r="339" spans="1:4" x14ac:dyDescent="0.35">
      <c r="A339" t="s">
        <v>370</v>
      </c>
      <c r="B339">
        <f>MIN(0.12*Earnings!C339,1800)</f>
        <v>1800</v>
      </c>
      <c r="C339">
        <f>IF(Earnings!G339&lt;=21000,0.0075*Earnings!G339,0)</f>
        <v>0</v>
      </c>
      <c r="D339" s="2">
        <v>200</v>
      </c>
    </row>
    <row r="340" spans="1:4" x14ac:dyDescent="0.35">
      <c r="A340" t="s">
        <v>371</v>
      </c>
      <c r="B340">
        <f>MIN(0.12*Earnings!C340,1800)</f>
        <v>1800</v>
      </c>
      <c r="C340">
        <f>IF(Earnings!G340&lt;=21000,0.0075*Earnings!G340,0)</f>
        <v>0</v>
      </c>
      <c r="D340" s="2">
        <v>200</v>
      </c>
    </row>
    <row r="341" spans="1:4" x14ac:dyDescent="0.35">
      <c r="A341" t="s">
        <v>372</v>
      </c>
      <c r="B341">
        <f>MIN(0.12*Earnings!C341,1800)</f>
        <v>1800</v>
      </c>
      <c r="C341">
        <f>IF(Earnings!G341&lt;=21000,0.0075*Earnings!G341,0)</f>
        <v>0</v>
      </c>
      <c r="D341" s="2">
        <v>200</v>
      </c>
    </row>
    <row r="342" spans="1:4" x14ac:dyDescent="0.35">
      <c r="A342" t="s">
        <v>373</v>
      </c>
      <c r="B342">
        <f>MIN(0.12*Earnings!C342,1800)</f>
        <v>1800</v>
      </c>
      <c r="C342">
        <f>IF(Earnings!G342&lt;=21000,0.0075*Earnings!G342,0)</f>
        <v>0</v>
      </c>
      <c r="D342" s="2">
        <v>200</v>
      </c>
    </row>
    <row r="343" spans="1:4" x14ac:dyDescent="0.35">
      <c r="A343" t="s">
        <v>374</v>
      </c>
      <c r="B343">
        <f>MIN(0.12*Earnings!C343,1800)</f>
        <v>1800</v>
      </c>
      <c r="C343">
        <f>IF(Earnings!G343&lt;=21000,0.0075*Earnings!G343,0)</f>
        <v>0</v>
      </c>
      <c r="D343" s="2">
        <v>200</v>
      </c>
    </row>
    <row r="344" spans="1:4" x14ac:dyDescent="0.35">
      <c r="A344" t="s">
        <v>375</v>
      </c>
      <c r="B344">
        <f>MIN(0.12*Earnings!C344,1800)</f>
        <v>1800</v>
      </c>
      <c r="C344">
        <f>IF(Earnings!G344&lt;=21000,0.0075*Earnings!G344,0)</f>
        <v>0</v>
      </c>
      <c r="D344" s="2">
        <v>200</v>
      </c>
    </row>
    <row r="345" spans="1:4" x14ac:dyDescent="0.35">
      <c r="A345" t="s">
        <v>376</v>
      </c>
      <c r="B345">
        <f>MIN(0.12*Earnings!C345,1800)</f>
        <v>1800</v>
      </c>
      <c r="C345">
        <f>IF(Earnings!G345&lt;=21000,0.0075*Earnings!G345,0)</f>
        <v>0</v>
      </c>
      <c r="D345" s="2">
        <v>200</v>
      </c>
    </row>
    <row r="346" spans="1:4" x14ac:dyDescent="0.35">
      <c r="A346" t="s">
        <v>377</v>
      </c>
      <c r="B346">
        <f>MIN(0.12*Earnings!C346,1800)</f>
        <v>1800</v>
      </c>
      <c r="C346">
        <f>IF(Earnings!G346&lt;=21000,0.0075*Earnings!G346,0)</f>
        <v>0</v>
      </c>
      <c r="D346" s="2">
        <v>200</v>
      </c>
    </row>
    <row r="347" spans="1:4" x14ac:dyDescent="0.35">
      <c r="A347" t="s">
        <v>378</v>
      </c>
      <c r="B347">
        <f>MIN(0.12*Earnings!C347,1800)</f>
        <v>1800</v>
      </c>
      <c r="C347">
        <f>IF(Earnings!G347&lt;=21000,0.0075*Earnings!G347,0)</f>
        <v>0</v>
      </c>
      <c r="D347" s="2">
        <v>200</v>
      </c>
    </row>
    <row r="348" spans="1:4" x14ac:dyDescent="0.35">
      <c r="A348" t="s">
        <v>379</v>
      </c>
      <c r="B348">
        <f>MIN(0.12*Earnings!C348,1800)</f>
        <v>1800</v>
      </c>
      <c r="C348">
        <f>IF(Earnings!G348&lt;=21000,0.0075*Earnings!G348,0)</f>
        <v>0</v>
      </c>
      <c r="D348" s="2">
        <v>200</v>
      </c>
    </row>
    <row r="349" spans="1:4" x14ac:dyDescent="0.35">
      <c r="A349" t="s">
        <v>380</v>
      </c>
      <c r="B349">
        <f>MIN(0.12*Earnings!C349,1800)</f>
        <v>1800</v>
      </c>
      <c r="C349">
        <f>IF(Earnings!G349&lt;=21000,0.0075*Earnings!G349,0)</f>
        <v>0</v>
      </c>
      <c r="D349" s="2">
        <v>200</v>
      </c>
    </row>
    <row r="350" spans="1:4" x14ac:dyDescent="0.35">
      <c r="A350" t="s">
        <v>381</v>
      </c>
      <c r="B350">
        <f>MIN(0.12*Earnings!C350,1800)</f>
        <v>1800</v>
      </c>
      <c r="C350">
        <f>IF(Earnings!G350&lt;=21000,0.0075*Earnings!G350,0)</f>
        <v>0</v>
      </c>
      <c r="D350" s="2">
        <v>200</v>
      </c>
    </row>
    <row r="351" spans="1:4" x14ac:dyDescent="0.35">
      <c r="A351" t="s">
        <v>382</v>
      </c>
      <c r="B351">
        <f>MIN(0.12*Earnings!C351,1800)</f>
        <v>1800</v>
      </c>
      <c r="C351">
        <f>IF(Earnings!G351&lt;=21000,0.0075*Earnings!G351,0)</f>
        <v>0</v>
      </c>
      <c r="D351" s="2">
        <v>200</v>
      </c>
    </row>
    <row r="352" spans="1:4" x14ac:dyDescent="0.35">
      <c r="A352" t="s">
        <v>383</v>
      </c>
      <c r="B352">
        <f>MIN(0.12*Earnings!C352,1800)</f>
        <v>1800</v>
      </c>
      <c r="C352">
        <f>IF(Earnings!G352&lt;=21000,0.0075*Earnings!G352,0)</f>
        <v>0</v>
      </c>
      <c r="D352" s="2">
        <v>200</v>
      </c>
    </row>
    <row r="353" spans="1:4" x14ac:dyDescent="0.35">
      <c r="A353" t="s">
        <v>384</v>
      </c>
      <c r="B353">
        <f>MIN(0.12*Earnings!C353,1800)</f>
        <v>1800</v>
      </c>
      <c r="C353">
        <f>IF(Earnings!G353&lt;=21000,0.0075*Earnings!G353,0)</f>
        <v>0</v>
      </c>
      <c r="D353" s="2">
        <v>200</v>
      </c>
    </row>
    <row r="354" spans="1:4" x14ac:dyDescent="0.35">
      <c r="A354" t="s">
        <v>385</v>
      </c>
      <c r="B354">
        <f>MIN(0.12*Earnings!C354,1800)</f>
        <v>1800</v>
      </c>
      <c r="C354">
        <f>IF(Earnings!G354&lt;=21000,0.0075*Earnings!G354,0)</f>
        <v>0</v>
      </c>
      <c r="D354" s="2">
        <v>200</v>
      </c>
    </row>
    <row r="355" spans="1:4" x14ac:dyDescent="0.35">
      <c r="A355" t="s">
        <v>386</v>
      </c>
      <c r="B355">
        <f>MIN(0.12*Earnings!C355,1800)</f>
        <v>1800</v>
      </c>
      <c r="C355">
        <f>IF(Earnings!G355&lt;=21000,0.0075*Earnings!G355,0)</f>
        <v>0</v>
      </c>
      <c r="D355" s="2">
        <v>200</v>
      </c>
    </row>
    <row r="356" spans="1:4" x14ac:dyDescent="0.35">
      <c r="A356" t="s">
        <v>387</v>
      </c>
      <c r="B356">
        <f>MIN(0.12*Earnings!C356,1800)</f>
        <v>1800</v>
      </c>
      <c r="C356">
        <f>IF(Earnings!G356&lt;=21000,0.0075*Earnings!G356,0)</f>
        <v>0</v>
      </c>
      <c r="D356" s="2">
        <v>200</v>
      </c>
    </row>
    <row r="357" spans="1:4" x14ac:dyDescent="0.35">
      <c r="A357" t="s">
        <v>388</v>
      </c>
      <c r="B357">
        <f>MIN(0.12*Earnings!C357,1800)</f>
        <v>1800</v>
      </c>
      <c r="C357">
        <f>IF(Earnings!G357&lt;=21000,0.0075*Earnings!G357,0)</f>
        <v>0</v>
      </c>
      <c r="D357" s="2">
        <v>200</v>
      </c>
    </row>
    <row r="358" spans="1:4" x14ac:dyDescent="0.35">
      <c r="A358" t="s">
        <v>389</v>
      </c>
      <c r="B358">
        <f>MIN(0.12*Earnings!C358,1800)</f>
        <v>1800</v>
      </c>
      <c r="C358">
        <f>IF(Earnings!G358&lt;=21000,0.0075*Earnings!G358,0)</f>
        <v>0</v>
      </c>
      <c r="D358" s="2">
        <v>200</v>
      </c>
    </row>
    <row r="359" spans="1:4" x14ac:dyDescent="0.35">
      <c r="A359" t="s">
        <v>390</v>
      </c>
      <c r="B359">
        <f>MIN(0.12*Earnings!C359,1800)</f>
        <v>1800</v>
      </c>
      <c r="C359">
        <f>IF(Earnings!G359&lt;=21000,0.0075*Earnings!G359,0)</f>
        <v>0</v>
      </c>
      <c r="D359" s="2">
        <v>200</v>
      </c>
    </row>
    <row r="360" spans="1:4" x14ac:dyDescent="0.35">
      <c r="A360" t="s">
        <v>391</v>
      </c>
      <c r="B360">
        <f>MIN(0.12*Earnings!C360,1800)</f>
        <v>1800</v>
      </c>
      <c r="C360">
        <f>IF(Earnings!G360&lt;=21000,0.0075*Earnings!G360,0)</f>
        <v>0</v>
      </c>
      <c r="D360" s="2">
        <v>200</v>
      </c>
    </row>
    <row r="361" spans="1:4" x14ac:dyDescent="0.35">
      <c r="A361" t="s">
        <v>392</v>
      </c>
      <c r="B361">
        <f>MIN(0.12*Earnings!C361,1800)</f>
        <v>1800</v>
      </c>
      <c r="C361">
        <f>IF(Earnings!G361&lt;=21000,0.0075*Earnings!G361,0)</f>
        <v>0</v>
      </c>
      <c r="D361" s="2">
        <v>200</v>
      </c>
    </row>
    <row r="362" spans="1:4" x14ac:dyDescent="0.35">
      <c r="A362" t="s">
        <v>393</v>
      </c>
      <c r="B362">
        <f>MIN(0.12*Earnings!C362,1800)</f>
        <v>1800</v>
      </c>
      <c r="C362">
        <f>IF(Earnings!G362&lt;=21000,0.0075*Earnings!G362,0)</f>
        <v>0</v>
      </c>
      <c r="D362" s="2">
        <v>200</v>
      </c>
    </row>
    <row r="363" spans="1:4" x14ac:dyDescent="0.35">
      <c r="A363" t="s">
        <v>394</v>
      </c>
      <c r="B363">
        <f>MIN(0.12*Earnings!C363,1800)</f>
        <v>1800</v>
      </c>
      <c r="C363">
        <f>IF(Earnings!G363&lt;=21000,0.0075*Earnings!G363,0)</f>
        <v>0</v>
      </c>
      <c r="D363" s="2">
        <v>200</v>
      </c>
    </row>
    <row r="364" spans="1:4" x14ac:dyDescent="0.35">
      <c r="A364" t="s">
        <v>395</v>
      </c>
      <c r="B364">
        <f>MIN(0.12*Earnings!C364,1800)</f>
        <v>1800</v>
      </c>
      <c r="C364">
        <f>IF(Earnings!G364&lt;=21000,0.0075*Earnings!G364,0)</f>
        <v>0</v>
      </c>
      <c r="D364" s="2">
        <v>200</v>
      </c>
    </row>
    <row r="365" spans="1:4" x14ac:dyDescent="0.35">
      <c r="A365" t="s">
        <v>396</v>
      </c>
      <c r="B365">
        <f>MIN(0.12*Earnings!C365,1800)</f>
        <v>1800</v>
      </c>
      <c r="C365">
        <f>IF(Earnings!G365&lt;=21000,0.0075*Earnings!G365,0)</f>
        <v>0</v>
      </c>
      <c r="D365" s="2">
        <v>200</v>
      </c>
    </row>
    <row r="366" spans="1:4" x14ac:dyDescent="0.35">
      <c r="A366" t="s">
        <v>397</v>
      </c>
      <c r="B366">
        <f>MIN(0.12*Earnings!C366,1800)</f>
        <v>1800</v>
      </c>
      <c r="C366">
        <f>IF(Earnings!G366&lt;=21000,0.0075*Earnings!G366,0)</f>
        <v>0</v>
      </c>
      <c r="D366" s="2">
        <v>200</v>
      </c>
    </row>
    <row r="367" spans="1:4" x14ac:dyDescent="0.35">
      <c r="A367" t="s">
        <v>398</v>
      </c>
      <c r="B367">
        <f>MIN(0.12*Earnings!C367,1800)</f>
        <v>1800</v>
      </c>
      <c r="C367">
        <f>IF(Earnings!G367&lt;=21000,0.0075*Earnings!G367,0)</f>
        <v>0</v>
      </c>
      <c r="D367" s="2">
        <v>200</v>
      </c>
    </row>
    <row r="368" spans="1:4" x14ac:dyDescent="0.35">
      <c r="A368" t="s">
        <v>399</v>
      </c>
      <c r="B368">
        <f>MIN(0.12*Earnings!C368,1800)</f>
        <v>1800</v>
      </c>
      <c r="C368">
        <f>IF(Earnings!G368&lt;=21000,0.0075*Earnings!G368,0)</f>
        <v>0</v>
      </c>
      <c r="D368" s="2">
        <v>200</v>
      </c>
    </row>
    <row r="369" spans="1:4" x14ac:dyDescent="0.35">
      <c r="A369" t="s">
        <v>400</v>
      </c>
      <c r="B369">
        <f>MIN(0.12*Earnings!C369,1800)</f>
        <v>1800</v>
      </c>
      <c r="C369">
        <f>IF(Earnings!G369&lt;=21000,0.0075*Earnings!G369,0)</f>
        <v>0</v>
      </c>
      <c r="D369" s="2">
        <v>200</v>
      </c>
    </row>
    <row r="370" spans="1:4" x14ac:dyDescent="0.35">
      <c r="A370" t="s">
        <v>401</v>
      </c>
      <c r="B370">
        <f>MIN(0.12*Earnings!C370,1800)</f>
        <v>1800</v>
      </c>
      <c r="C370">
        <f>IF(Earnings!G370&lt;=21000,0.0075*Earnings!G370,0)</f>
        <v>0</v>
      </c>
      <c r="D370" s="2">
        <v>200</v>
      </c>
    </row>
    <row r="371" spans="1:4" x14ac:dyDescent="0.35">
      <c r="A371" t="s">
        <v>402</v>
      </c>
      <c r="B371">
        <f>MIN(0.12*Earnings!C371,1800)</f>
        <v>1800</v>
      </c>
      <c r="C371">
        <f>IF(Earnings!G371&lt;=21000,0.0075*Earnings!G371,0)</f>
        <v>0</v>
      </c>
      <c r="D371" s="2">
        <v>200</v>
      </c>
    </row>
    <row r="372" spans="1:4" x14ac:dyDescent="0.35">
      <c r="A372" t="s">
        <v>403</v>
      </c>
      <c r="B372">
        <f>MIN(0.12*Earnings!C372,1800)</f>
        <v>1800</v>
      </c>
      <c r="C372">
        <f>IF(Earnings!G372&lt;=21000,0.0075*Earnings!G372,0)</f>
        <v>0</v>
      </c>
      <c r="D372" s="2">
        <v>200</v>
      </c>
    </row>
    <row r="373" spans="1:4" x14ac:dyDescent="0.35">
      <c r="A373" t="s">
        <v>404</v>
      </c>
      <c r="B373">
        <f>MIN(0.12*Earnings!C373,1800)</f>
        <v>1800</v>
      </c>
      <c r="C373">
        <f>IF(Earnings!G373&lt;=21000,0.0075*Earnings!G373,0)</f>
        <v>0</v>
      </c>
      <c r="D373" s="2">
        <v>200</v>
      </c>
    </row>
    <row r="374" spans="1:4" x14ac:dyDescent="0.35">
      <c r="A374" t="s">
        <v>405</v>
      </c>
      <c r="B374">
        <f>MIN(0.12*Earnings!C374,1800)</f>
        <v>1800</v>
      </c>
      <c r="C374">
        <f>IF(Earnings!G374&lt;=21000,0.0075*Earnings!G374,0)</f>
        <v>0</v>
      </c>
      <c r="D374" s="2">
        <v>200</v>
      </c>
    </row>
    <row r="375" spans="1:4" x14ac:dyDescent="0.35">
      <c r="A375" t="s">
        <v>406</v>
      </c>
      <c r="B375">
        <f>MIN(0.12*Earnings!C375,1800)</f>
        <v>1800</v>
      </c>
      <c r="C375">
        <f>IF(Earnings!G375&lt;=21000,0.0075*Earnings!G375,0)</f>
        <v>0</v>
      </c>
      <c r="D375" s="2">
        <v>200</v>
      </c>
    </row>
    <row r="376" spans="1:4" x14ac:dyDescent="0.35">
      <c r="A376" t="s">
        <v>407</v>
      </c>
      <c r="B376">
        <f>MIN(0.12*Earnings!C376,1800)</f>
        <v>1800</v>
      </c>
      <c r="C376">
        <f>IF(Earnings!G376&lt;=21000,0.0075*Earnings!G376,0)</f>
        <v>0</v>
      </c>
      <c r="D376" s="2">
        <v>200</v>
      </c>
    </row>
    <row r="377" spans="1:4" x14ac:dyDescent="0.35">
      <c r="A377" t="s">
        <v>408</v>
      </c>
      <c r="B377">
        <f>MIN(0.12*Earnings!C377,1800)</f>
        <v>1800</v>
      </c>
      <c r="C377">
        <f>IF(Earnings!G377&lt;=21000,0.0075*Earnings!G377,0)</f>
        <v>0</v>
      </c>
      <c r="D377" s="2">
        <v>200</v>
      </c>
    </row>
    <row r="378" spans="1:4" x14ac:dyDescent="0.35">
      <c r="A378" t="s">
        <v>409</v>
      </c>
      <c r="B378">
        <f>MIN(0.12*Earnings!C378,1800)</f>
        <v>1800</v>
      </c>
      <c r="C378">
        <f>IF(Earnings!G378&lt;=21000,0.0075*Earnings!G378,0)</f>
        <v>0</v>
      </c>
      <c r="D378" s="2">
        <v>200</v>
      </c>
    </row>
    <row r="379" spans="1:4" x14ac:dyDescent="0.35">
      <c r="A379" t="s">
        <v>410</v>
      </c>
      <c r="B379">
        <f>MIN(0.12*Earnings!C379,1800)</f>
        <v>1800</v>
      </c>
      <c r="C379">
        <f>IF(Earnings!G379&lt;=21000,0.0075*Earnings!G379,0)</f>
        <v>0</v>
      </c>
      <c r="D379" s="2">
        <v>200</v>
      </c>
    </row>
    <row r="380" spans="1:4" x14ac:dyDescent="0.35">
      <c r="A380" t="s">
        <v>411</v>
      </c>
      <c r="B380">
        <f>MIN(0.12*Earnings!C380,1800)</f>
        <v>1800</v>
      </c>
      <c r="C380">
        <f>IF(Earnings!G380&lt;=21000,0.0075*Earnings!G380,0)</f>
        <v>0</v>
      </c>
      <c r="D380" s="2">
        <v>200</v>
      </c>
    </row>
    <row r="381" spans="1:4" x14ac:dyDescent="0.35">
      <c r="A381" t="s">
        <v>412</v>
      </c>
      <c r="B381">
        <f>MIN(0.12*Earnings!C381,1800)</f>
        <v>1800</v>
      </c>
      <c r="C381">
        <f>IF(Earnings!G381&lt;=21000,0.0075*Earnings!G381,0)</f>
        <v>0</v>
      </c>
      <c r="D381" s="2">
        <v>200</v>
      </c>
    </row>
    <row r="382" spans="1:4" x14ac:dyDescent="0.35">
      <c r="A382" t="s">
        <v>413</v>
      </c>
      <c r="B382">
        <f>MIN(0.12*Earnings!C382,1800)</f>
        <v>1800</v>
      </c>
      <c r="C382">
        <f>IF(Earnings!G382&lt;=21000,0.0075*Earnings!G382,0)</f>
        <v>0</v>
      </c>
      <c r="D382" s="2">
        <v>200</v>
      </c>
    </row>
    <row r="383" spans="1:4" x14ac:dyDescent="0.35">
      <c r="A383" t="s">
        <v>414</v>
      </c>
      <c r="B383">
        <f>MIN(0.12*Earnings!C383,1800)</f>
        <v>1800</v>
      </c>
      <c r="C383">
        <f>IF(Earnings!G383&lt;=21000,0.0075*Earnings!G383,0)</f>
        <v>0</v>
      </c>
      <c r="D383" s="2">
        <v>200</v>
      </c>
    </row>
    <row r="384" spans="1:4" x14ac:dyDescent="0.35">
      <c r="A384" t="s">
        <v>415</v>
      </c>
      <c r="B384">
        <f>MIN(0.12*Earnings!C384,1800)</f>
        <v>1800</v>
      </c>
      <c r="C384">
        <f>IF(Earnings!G384&lt;=21000,0.0075*Earnings!G384,0)</f>
        <v>0</v>
      </c>
      <c r="D384" s="2">
        <v>200</v>
      </c>
    </row>
    <row r="385" spans="1:4" x14ac:dyDescent="0.35">
      <c r="A385" t="s">
        <v>416</v>
      </c>
      <c r="B385">
        <f>MIN(0.12*Earnings!C385,1800)</f>
        <v>1800</v>
      </c>
      <c r="C385">
        <f>IF(Earnings!G385&lt;=21000,0.0075*Earnings!G385,0)</f>
        <v>0</v>
      </c>
      <c r="D385" s="2">
        <v>200</v>
      </c>
    </row>
    <row r="386" spans="1:4" x14ac:dyDescent="0.35">
      <c r="A386" t="s">
        <v>417</v>
      </c>
      <c r="B386">
        <f>MIN(0.12*Earnings!C386,1800)</f>
        <v>1800</v>
      </c>
      <c r="C386">
        <f>IF(Earnings!G386&lt;=21000,0.0075*Earnings!G386,0)</f>
        <v>0</v>
      </c>
      <c r="D386" s="2">
        <v>200</v>
      </c>
    </row>
    <row r="387" spans="1:4" x14ac:dyDescent="0.35">
      <c r="A387" t="s">
        <v>418</v>
      </c>
      <c r="B387">
        <f>MIN(0.12*Earnings!C387,1800)</f>
        <v>1800</v>
      </c>
      <c r="C387">
        <f>IF(Earnings!G387&lt;=21000,0.0075*Earnings!G387,0)</f>
        <v>0</v>
      </c>
      <c r="D387" s="2">
        <v>200</v>
      </c>
    </row>
    <row r="388" spans="1:4" x14ac:dyDescent="0.35">
      <c r="A388" t="s">
        <v>419</v>
      </c>
      <c r="B388">
        <f>MIN(0.12*Earnings!C388,1800)</f>
        <v>1800</v>
      </c>
      <c r="C388">
        <f>IF(Earnings!G388&lt;=21000,0.0075*Earnings!G388,0)</f>
        <v>0</v>
      </c>
      <c r="D388" s="2">
        <v>200</v>
      </c>
    </row>
    <row r="389" spans="1:4" x14ac:dyDescent="0.35">
      <c r="A389" t="s">
        <v>420</v>
      </c>
      <c r="B389">
        <f>MIN(0.12*Earnings!C389,1800)</f>
        <v>1800</v>
      </c>
      <c r="C389">
        <f>IF(Earnings!G389&lt;=21000,0.0075*Earnings!G389,0)</f>
        <v>0</v>
      </c>
      <c r="D389" s="2">
        <v>200</v>
      </c>
    </row>
    <row r="390" spans="1:4" x14ac:dyDescent="0.35">
      <c r="A390" t="s">
        <v>421</v>
      </c>
      <c r="B390">
        <f>MIN(0.12*Earnings!C390,1800)</f>
        <v>1800</v>
      </c>
      <c r="C390">
        <f>IF(Earnings!G390&lt;=21000,0.0075*Earnings!G390,0)</f>
        <v>0</v>
      </c>
      <c r="D390" s="2">
        <v>200</v>
      </c>
    </row>
    <row r="391" spans="1:4" x14ac:dyDescent="0.35">
      <c r="A391" t="s">
        <v>422</v>
      </c>
      <c r="B391">
        <f>MIN(0.12*Earnings!C391,1800)</f>
        <v>1800</v>
      </c>
      <c r="C391">
        <f>IF(Earnings!G391&lt;=21000,0.0075*Earnings!G391,0)</f>
        <v>0</v>
      </c>
      <c r="D391" s="2">
        <v>200</v>
      </c>
    </row>
    <row r="392" spans="1:4" x14ac:dyDescent="0.35">
      <c r="A392" t="s">
        <v>423</v>
      </c>
      <c r="B392">
        <f>MIN(0.12*Earnings!C392,1800)</f>
        <v>1800</v>
      </c>
      <c r="C392">
        <f>IF(Earnings!G392&lt;=21000,0.0075*Earnings!G392,0)</f>
        <v>0</v>
      </c>
      <c r="D392" s="2">
        <v>200</v>
      </c>
    </row>
    <row r="393" spans="1:4" x14ac:dyDescent="0.35">
      <c r="A393" t="s">
        <v>424</v>
      </c>
      <c r="B393">
        <f>MIN(0.12*Earnings!C393,1800)</f>
        <v>1800</v>
      </c>
      <c r="C393">
        <f>IF(Earnings!G393&lt;=21000,0.0075*Earnings!G393,0)</f>
        <v>0</v>
      </c>
      <c r="D393" s="2">
        <v>200</v>
      </c>
    </row>
    <row r="394" spans="1:4" x14ac:dyDescent="0.35">
      <c r="A394" t="s">
        <v>425</v>
      </c>
      <c r="B394">
        <f>MIN(0.12*Earnings!C394,1800)</f>
        <v>1800</v>
      </c>
      <c r="C394">
        <f>IF(Earnings!G394&lt;=21000,0.0075*Earnings!G394,0)</f>
        <v>0</v>
      </c>
      <c r="D394" s="2">
        <v>200</v>
      </c>
    </row>
    <row r="395" spans="1:4" x14ac:dyDescent="0.35">
      <c r="A395" t="s">
        <v>426</v>
      </c>
      <c r="B395">
        <f>MIN(0.12*Earnings!C395,1800)</f>
        <v>1800</v>
      </c>
      <c r="C395">
        <f>IF(Earnings!G395&lt;=21000,0.0075*Earnings!G395,0)</f>
        <v>0</v>
      </c>
      <c r="D395" s="2">
        <v>200</v>
      </c>
    </row>
    <row r="396" spans="1:4" x14ac:dyDescent="0.35">
      <c r="A396" t="s">
        <v>427</v>
      </c>
      <c r="B396">
        <f>MIN(0.12*Earnings!C396,1800)</f>
        <v>1800</v>
      </c>
      <c r="C396">
        <f>IF(Earnings!G396&lt;=21000,0.0075*Earnings!G396,0)</f>
        <v>0</v>
      </c>
      <c r="D396" s="2">
        <v>200</v>
      </c>
    </row>
    <row r="397" spans="1:4" x14ac:dyDescent="0.35">
      <c r="A397" t="s">
        <v>428</v>
      </c>
      <c r="B397">
        <f>MIN(0.12*Earnings!C397,1800)</f>
        <v>1800</v>
      </c>
      <c r="C397">
        <f>IF(Earnings!G397&lt;=21000,0.0075*Earnings!G397,0)</f>
        <v>0</v>
      </c>
      <c r="D397" s="2">
        <v>200</v>
      </c>
    </row>
    <row r="398" spans="1:4" x14ac:dyDescent="0.35">
      <c r="A398" t="s">
        <v>429</v>
      </c>
      <c r="B398">
        <f>MIN(0.12*Earnings!C398,1800)</f>
        <v>1800</v>
      </c>
      <c r="C398">
        <f>IF(Earnings!G398&lt;=21000,0.0075*Earnings!G398,0)</f>
        <v>0</v>
      </c>
      <c r="D398" s="2">
        <v>200</v>
      </c>
    </row>
    <row r="399" spans="1:4" x14ac:dyDescent="0.35">
      <c r="A399" t="s">
        <v>430</v>
      </c>
      <c r="B399">
        <f>MIN(0.12*Earnings!C399,1800)</f>
        <v>1800</v>
      </c>
      <c r="C399">
        <f>IF(Earnings!G399&lt;=21000,0.0075*Earnings!G399,0)</f>
        <v>0</v>
      </c>
      <c r="D399" s="2">
        <v>200</v>
      </c>
    </row>
    <row r="400" spans="1:4" x14ac:dyDescent="0.35">
      <c r="A400" t="s">
        <v>431</v>
      </c>
      <c r="B400">
        <f>MIN(0.12*Earnings!C400,1800)</f>
        <v>1800</v>
      </c>
      <c r="C400">
        <f>IF(Earnings!G400&lt;=21000,0.0075*Earnings!G400,0)</f>
        <v>0</v>
      </c>
      <c r="D400" s="2">
        <v>200</v>
      </c>
    </row>
    <row r="401" spans="1:4" x14ac:dyDescent="0.35">
      <c r="A401" t="s">
        <v>432</v>
      </c>
      <c r="B401">
        <f>MIN(0.12*Earnings!C401,1800)</f>
        <v>1800</v>
      </c>
      <c r="C401">
        <f>IF(Earnings!G401&lt;=21000,0.0075*Earnings!G401,0)</f>
        <v>0</v>
      </c>
      <c r="D401" s="2">
        <v>200</v>
      </c>
    </row>
    <row r="402" spans="1:4" x14ac:dyDescent="0.35">
      <c r="A402" t="s">
        <v>433</v>
      </c>
      <c r="B402">
        <f>MIN(0.12*Earnings!C402,1800)</f>
        <v>1800</v>
      </c>
      <c r="C402">
        <f>IF(Earnings!G402&lt;=21000,0.0075*Earnings!G402,0)</f>
        <v>0</v>
      </c>
      <c r="D402" s="2">
        <v>200</v>
      </c>
    </row>
    <row r="403" spans="1:4" x14ac:dyDescent="0.35">
      <c r="A403" t="s">
        <v>434</v>
      </c>
      <c r="B403">
        <f>MIN(0.12*Earnings!C403,1800)</f>
        <v>1800</v>
      </c>
      <c r="C403">
        <f>IF(Earnings!G403&lt;=21000,0.0075*Earnings!G403,0)</f>
        <v>0</v>
      </c>
      <c r="D403" s="2">
        <v>200</v>
      </c>
    </row>
    <row r="404" spans="1:4" x14ac:dyDescent="0.35">
      <c r="A404" t="s">
        <v>435</v>
      </c>
      <c r="B404">
        <f>MIN(0.12*Earnings!C404,1800)</f>
        <v>1800</v>
      </c>
      <c r="C404">
        <f>IF(Earnings!G404&lt;=21000,0.0075*Earnings!G404,0)</f>
        <v>0</v>
      </c>
      <c r="D404" s="2">
        <v>200</v>
      </c>
    </row>
    <row r="405" spans="1:4" x14ac:dyDescent="0.35">
      <c r="A405" t="s">
        <v>436</v>
      </c>
      <c r="B405">
        <f>MIN(0.12*Earnings!C405,1800)</f>
        <v>1800</v>
      </c>
      <c r="C405">
        <f>IF(Earnings!G405&lt;=21000,0.0075*Earnings!G405,0)</f>
        <v>0</v>
      </c>
      <c r="D405" s="2">
        <v>200</v>
      </c>
    </row>
    <row r="406" spans="1:4" x14ac:dyDescent="0.35">
      <c r="A406" t="s">
        <v>437</v>
      </c>
      <c r="B406">
        <f>MIN(0.12*Earnings!C406,1800)</f>
        <v>1800</v>
      </c>
      <c r="C406">
        <f>IF(Earnings!G406&lt;=21000,0.0075*Earnings!G406,0)</f>
        <v>0</v>
      </c>
      <c r="D406" s="2">
        <v>200</v>
      </c>
    </row>
    <row r="407" spans="1:4" x14ac:dyDescent="0.35">
      <c r="A407" t="s">
        <v>438</v>
      </c>
      <c r="B407">
        <f>MIN(0.12*Earnings!C407,1800)</f>
        <v>1800</v>
      </c>
      <c r="C407">
        <f>IF(Earnings!G407&lt;=21000,0.0075*Earnings!G407,0)</f>
        <v>0</v>
      </c>
      <c r="D407" s="2">
        <v>200</v>
      </c>
    </row>
    <row r="408" spans="1:4" x14ac:dyDescent="0.35">
      <c r="A408" t="s">
        <v>439</v>
      </c>
      <c r="B408">
        <f>MIN(0.12*Earnings!C408,1800)</f>
        <v>1800</v>
      </c>
      <c r="C408">
        <f>IF(Earnings!G408&lt;=21000,0.0075*Earnings!G408,0)</f>
        <v>0</v>
      </c>
      <c r="D408" s="2">
        <v>200</v>
      </c>
    </row>
    <row r="409" spans="1:4" x14ac:dyDescent="0.35">
      <c r="A409" t="s">
        <v>440</v>
      </c>
      <c r="B409">
        <f>MIN(0.12*Earnings!C409,1800)</f>
        <v>1800</v>
      </c>
      <c r="C409">
        <f>IF(Earnings!G409&lt;=21000,0.0075*Earnings!G409,0)</f>
        <v>0</v>
      </c>
      <c r="D409" s="2">
        <v>200</v>
      </c>
    </row>
    <row r="410" spans="1:4" x14ac:dyDescent="0.35">
      <c r="A410" t="s">
        <v>441</v>
      </c>
      <c r="B410">
        <f>MIN(0.12*Earnings!C410,1800)</f>
        <v>1800</v>
      </c>
      <c r="C410">
        <f>IF(Earnings!G410&lt;=21000,0.0075*Earnings!G410,0)</f>
        <v>0</v>
      </c>
      <c r="D410" s="2">
        <v>200</v>
      </c>
    </row>
    <row r="411" spans="1:4" x14ac:dyDescent="0.35">
      <c r="A411" t="s">
        <v>442</v>
      </c>
      <c r="B411">
        <f>MIN(0.12*Earnings!C411,1800)</f>
        <v>1800</v>
      </c>
      <c r="C411">
        <f>IF(Earnings!G411&lt;=21000,0.0075*Earnings!G411,0)</f>
        <v>0</v>
      </c>
      <c r="D411" s="2">
        <v>200</v>
      </c>
    </row>
    <row r="412" spans="1:4" x14ac:dyDescent="0.35">
      <c r="A412" t="s">
        <v>443</v>
      </c>
      <c r="B412">
        <f>MIN(0.12*Earnings!C412,1800)</f>
        <v>1800</v>
      </c>
      <c r="C412">
        <f>IF(Earnings!G412&lt;=21000,0.0075*Earnings!G412,0)</f>
        <v>0</v>
      </c>
      <c r="D412" s="2">
        <v>200</v>
      </c>
    </row>
    <row r="413" spans="1:4" x14ac:dyDescent="0.35">
      <c r="A413" t="s">
        <v>444</v>
      </c>
      <c r="B413">
        <f>MIN(0.12*Earnings!C413,1800)</f>
        <v>1800</v>
      </c>
      <c r="C413">
        <f>IF(Earnings!G413&lt;=21000,0.0075*Earnings!G413,0)</f>
        <v>0</v>
      </c>
      <c r="D413" s="2">
        <v>200</v>
      </c>
    </row>
    <row r="414" spans="1:4" x14ac:dyDescent="0.35">
      <c r="A414" t="s">
        <v>445</v>
      </c>
      <c r="B414">
        <f>MIN(0.12*Earnings!C414,1800)</f>
        <v>1800</v>
      </c>
      <c r="C414">
        <f>IF(Earnings!G414&lt;=21000,0.0075*Earnings!G414,0)</f>
        <v>0</v>
      </c>
      <c r="D414" s="2">
        <v>200</v>
      </c>
    </row>
    <row r="415" spans="1:4" x14ac:dyDescent="0.35">
      <c r="A415" t="s">
        <v>446</v>
      </c>
      <c r="B415">
        <f>MIN(0.12*Earnings!C415,1800)</f>
        <v>1800</v>
      </c>
      <c r="C415">
        <f>IF(Earnings!G415&lt;=21000,0.0075*Earnings!G415,0)</f>
        <v>0</v>
      </c>
      <c r="D415" s="2">
        <v>200</v>
      </c>
    </row>
    <row r="416" spans="1:4" x14ac:dyDescent="0.35">
      <c r="A416" t="s">
        <v>447</v>
      </c>
      <c r="B416">
        <f>MIN(0.12*Earnings!C416,1800)</f>
        <v>1800</v>
      </c>
      <c r="C416">
        <f>IF(Earnings!G416&lt;=21000,0.0075*Earnings!G416,0)</f>
        <v>0</v>
      </c>
      <c r="D416" s="2">
        <v>200</v>
      </c>
    </row>
    <row r="417" spans="1:4" x14ac:dyDescent="0.35">
      <c r="A417" t="s">
        <v>448</v>
      </c>
      <c r="B417">
        <f>MIN(0.12*Earnings!C417,1800)</f>
        <v>1800</v>
      </c>
      <c r="C417">
        <f>IF(Earnings!G417&lt;=21000,0.0075*Earnings!G417,0)</f>
        <v>0</v>
      </c>
      <c r="D417" s="2">
        <v>200</v>
      </c>
    </row>
    <row r="418" spans="1:4" x14ac:dyDescent="0.35">
      <c r="A418" t="s">
        <v>449</v>
      </c>
      <c r="B418">
        <f>MIN(0.12*Earnings!C418,1800)</f>
        <v>1800</v>
      </c>
      <c r="C418">
        <f>IF(Earnings!G418&lt;=21000,0.0075*Earnings!G418,0)</f>
        <v>0</v>
      </c>
      <c r="D418" s="2">
        <v>200</v>
      </c>
    </row>
    <row r="419" spans="1:4" x14ac:dyDescent="0.35">
      <c r="A419" t="s">
        <v>450</v>
      </c>
      <c r="B419">
        <f>MIN(0.12*Earnings!C419,1800)</f>
        <v>1800</v>
      </c>
      <c r="C419">
        <f>IF(Earnings!G419&lt;=21000,0.0075*Earnings!G419,0)</f>
        <v>0</v>
      </c>
      <c r="D419" s="2">
        <v>200</v>
      </c>
    </row>
    <row r="420" spans="1:4" x14ac:dyDescent="0.35">
      <c r="A420" t="s">
        <v>451</v>
      </c>
      <c r="B420">
        <f>MIN(0.12*Earnings!C420,1800)</f>
        <v>1800</v>
      </c>
      <c r="C420">
        <f>IF(Earnings!G420&lt;=21000,0.0075*Earnings!G420,0)</f>
        <v>0</v>
      </c>
      <c r="D420" s="2">
        <v>200</v>
      </c>
    </row>
    <row r="421" spans="1:4" x14ac:dyDescent="0.35">
      <c r="A421" t="s">
        <v>452</v>
      </c>
      <c r="B421">
        <f>MIN(0.12*Earnings!C421,1800)</f>
        <v>1800</v>
      </c>
      <c r="C421">
        <f>IF(Earnings!G421&lt;=21000,0.0075*Earnings!G421,0)</f>
        <v>0</v>
      </c>
      <c r="D421" s="2">
        <v>200</v>
      </c>
    </row>
    <row r="422" spans="1:4" x14ac:dyDescent="0.35">
      <c r="A422" t="s">
        <v>453</v>
      </c>
      <c r="B422">
        <f>MIN(0.12*Earnings!C422,1800)</f>
        <v>1800</v>
      </c>
      <c r="C422">
        <f>IF(Earnings!G422&lt;=21000,0.0075*Earnings!G422,0)</f>
        <v>0</v>
      </c>
      <c r="D422" s="2">
        <v>200</v>
      </c>
    </row>
    <row r="423" spans="1:4" x14ac:dyDescent="0.35">
      <c r="A423" t="s">
        <v>454</v>
      </c>
      <c r="B423">
        <f>MIN(0.12*Earnings!C423,1800)</f>
        <v>1800</v>
      </c>
      <c r="C423">
        <f>IF(Earnings!G423&lt;=21000,0.0075*Earnings!G423,0)</f>
        <v>0</v>
      </c>
      <c r="D423" s="2">
        <v>200</v>
      </c>
    </row>
    <row r="424" spans="1:4" x14ac:dyDescent="0.35">
      <c r="A424" t="s">
        <v>455</v>
      </c>
      <c r="B424">
        <f>MIN(0.12*Earnings!C424,1800)</f>
        <v>1800</v>
      </c>
      <c r="C424">
        <f>IF(Earnings!G424&lt;=21000,0.0075*Earnings!G424,0)</f>
        <v>0</v>
      </c>
      <c r="D424" s="2">
        <v>200</v>
      </c>
    </row>
    <row r="425" spans="1:4" x14ac:dyDescent="0.35">
      <c r="A425" t="s">
        <v>456</v>
      </c>
      <c r="B425">
        <f>MIN(0.12*Earnings!C425,1800)</f>
        <v>1800</v>
      </c>
      <c r="C425">
        <f>IF(Earnings!G425&lt;=21000,0.0075*Earnings!G425,0)</f>
        <v>0</v>
      </c>
      <c r="D425" s="2">
        <v>200</v>
      </c>
    </row>
    <row r="426" spans="1:4" x14ac:dyDescent="0.35">
      <c r="A426" t="s">
        <v>457</v>
      </c>
      <c r="B426">
        <f>MIN(0.12*Earnings!C426,1800)</f>
        <v>1800</v>
      </c>
      <c r="C426">
        <f>IF(Earnings!G426&lt;=21000,0.0075*Earnings!G426,0)</f>
        <v>0</v>
      </c>
      <c r="D426" s="2">
        <v>200</v>
      </c>
    </row>
    <row r="427" spans="1:4" x14ac:dyDescent="0.35">
      <c r="A427" t="s">
        <v>458</v>
      </c>
      <c r="B427">
        <f>MIN(0.12*Earnings!C427,1800)</f>
        <v>1800</v>
      </c>
      <c r="C427">
        <f>IF(Earnings!G427&lt;=21000,0.0075*Earnings!G427,0)</f>
        <v>0</v>
      </c>
      <c r="D427" s="2">
        <v>200</v>
      </c>
    </row>
    <row r="428" spans="1:4" x14ac:dyDescent="0.35">
      <c r="A428" t="s">
        <v>459</v>
      </c>
      <c r="B428">
        <f>MIN(0.12*Earnings!C428,1800)</f>
        <v>1800</v>
      </c>
      <c r="C428">
        <f>IF(Earnings!G428&lt;=21000,0.0075*Earnings!G428,0)</f>
        <v>0</v>
      </c>
      <c r="D428" s="2">
        <v>200</v>
      </c>
    </row>
    <row r="429" spans="1:4" x14ac:dyDescent="0.35">
      <c r="A429" t="s">
        <v>460</v>
      </c>
      <c r="B429">
        <f>MIN(0.12*Earnings!C429,1800)</f>
        <v>1800</v>
      </c>
      <c r="C429">
        <f>IF(Earnings!G429&lt;=21000,0.0075*Earnings!G429,0)</f>
        <v>0</v>
      </c>
      <c r="D429" s="2">
        <v>200</v>
      </c>
    </row>
    <row r="430" spans="1:4" x14ac:dyDescent="0.35">
      <c r="A430" t="s">
        <v>461</v>
      </c>
      <c r="B430">
        <f>MIN(0.12*Earnings!C430,1800)</f>
        <v>1800</v>
      </c>
      <c r="C430">
        <f>IF(Earnings!G430&lt;=21000,0.0075*Earnings!G430,0)</f>
        <v>0</v>
      </c>
      <c r="D430" s="2">
        <v>200</v>
      </c>
    </row>
    <row r="431" spans="1:4" x14ac:dyDescent="0.35">
      <c r="A431" t="s">
        <v>462</v>
      </c>
      <c r="B431">
        <f>MIN(0.12*Earnings!C431,1800)</f>
        <v>1800</v>
      </c>
      <c r="C431">
        <f>IF(Earnings!G431&lt;=21000,0.0075*Earnings!G431,0)</f>
        <v>0</v>
      </c>
      <c r="D431" s="2">
        <v>200</v>
      </c>
    </row>
    <row r="432" spans="1:4" x14ac:dyDescent="0.35">
      <c r="A432" t="s">
        <v>463</v>
      </c>
      <c r="B432">
        <f>MIN(0.12*Earnings!C432,1800)</f>
        <v>1800</v>
      </c>
      <c r="C432">
        <f>IF(Earnings!G432&lt;=21000,0.0075*Earnings!G432,0)</f>
        <v>0</v>
      </c>
      <c r="D432" s="2">
        <v>200</v>
      </c>
    </row>
    <row r="433" spans="1:4" x14ac:dyDescent="0.35">
      <c r="A433" t="s">
        <v>464</v>
      </c>
      <c r="B433">
        <f>MIN(0.12*Earnings!C433,1800)</f>
        <v>1800</v>
      </c>
      <c r="C433">
        <f>IF(Earnings!G433&lt;=21000,0.0075*Earnings!G433,0)</f>
        <v>0</v>
      </c>
      <c r="D433" s="2">
        <v>200</v>
      </c>
    </row>
    <row r="434" spans="1:4" x14ac:dyDescent="0.35">
      <c r="A434" t="s">
        <v>465</v>
      </c>
      <c r="B434">
        <f>MIN(0.12*Earnings!C434,1800)</f>
        <v>1800</v>
      </c>
      <c r="C434">
        <f>IF(Earnings!G434&lt;=21000,0.0075*Earnings!G434,0)</f>
        <v>0</v>
      </c>
      <c r="D434" s="2">
        <v>200</v>
      </c>
    </row>
    <row r="435" spans="1:4" x14ac:dyDescent="0.35">
      <c r="A435" t="s">
        <v>466</v>
      </c>
      <c r="B435">
        <f>MIN(0.12*Earnings!C435,1800)</f>
        <v>1800</v>
      </c>
      <c r="C435">
        <f>IF(Earnings!G435&lt;=21000,0.0075*Earnings!G435,0)</f>
        <v>0</v>
      </c>
      <c r="D435" s="2">
        <v>200</v>
      </c>
    </row>
    <row r="436" spans="1:4" x14ac:dyDescent="0.35">
      <c r="A436" t="s">
        <v>467</v>
      </c>
      <c r="B436">
        <f>MIN(0.12*Earnings!C436,1800)</f>
        <v>1800</v>
      </c>
      <c r="C436">
        <f>IF(Earnings!G436&lt;=21000,0.0075*Earnings!G436,0)</f>
        <v>0</v>
      </c>
      <c r="D436" s="2">
        <v>200</v>
      </c>
    </row>
    <row r="437" spans="1:4" x14ac:dyDescent="0.35">
      <c r="A437" t="s">
        <v>468</v>
      </c>
      <c r="B437">
        <f>MIN(0.12*Earnings!C437,1800)</f>
        <v>1800</v>
      </c>
      <c r="C437">
        <f>IF(Earnings!G437&lt;=21000,0.0075*Earnings!G437,0)</f>
        <v>0</v>
      </c>
      <c r="D437" s="2">
        <v>200</v>
      </c>
    </row>
    <row r="438" spans="1:4" x14ac:dyDescent="0.35">
      <c r="A438" t="s">
        <v>469</v>
      </c>
      <c r="B438">
        <f>MIN(0.12*Earnings!C438,1800)</f>
        <v>1800</v>
      </c>
      <c r="C438">
        <f>IF(Earnings!G438&lt;=21000,0.0075*Earnings!G438,0)</f>
        <v>0</v>
      </c>
      <c r="D438" s="2">
        <v>200</v>
      </c>
    </row>
    <row r="439" spans="1:4" x14ac:dyDescent="0.35">
      <c r="A439" t="s">
        <v>470</v>
      </c>
      <c r="B439">
        <f>MIN(0.12*Earnings!C439,1800)</f>
        <v>1800</v>
      </c>
      <c r="C439">
        <f>IF(Earnings!G439&lt;=21000,0.0075*Earnings!G439,0)</f>
        <v>0</v>
      </c>
      <c r="D439" s="2">
        <v>200</v>
      </c>
    </row>
    <row r="440" spans="1:4" x14ac:dyDescent="0.35">
      <c r="A440" t="s">
        <v>471</v>
      </c>
      <c r="B440">
        <f>MIN(0.12*Earnings!C440,1800)</f>
        <v>1800</v>
      </c>
      <c r="C440">
        <f>IF(Earnings!G440&lt;=21000,0.0075*Earnings!G440,0)</f>
        <v>0</v>
      </c>
      <c r="D440" s="2">
        <v>200</v>
      </c>
    </row>
    <row r="441" spans="1:4" x14ac:dyDescent="0.35">
      <c r="A441" t="s">
        <v>472</v>
      </c>
      <c r="B441">
        <f>MIN(0.12*Earnings!C441,1800)</f>
        <v>1800</v>
      </c>
      <c r="C441">
        <f>IF(Earnings!G441&lt;=21000,0.0075*Earnings!G441,0)</f>
        <v>0</v>
      </c>
      <c r="D441" s="2">
        <v>200</v>
      </c>
    </row>
    <row r="442" spans="1:4" x14ac:dyDescent="0.35">
      <c r="A442" t="s">
        <v>473</v>
      </c>
      <c r="B442">
        <f>MIN(0.12*Earnings!C442,1800)</f>
        <v>1800</v>
      </c>
      <c r="C442">
        <f>IF(Earnings!G442&lt;=21000,0.0075*Earnings!G442,0)</f>
        <v>0</v>
      </c>
      <c r="D442" s="2">
        <v>200</v>
      </c>
    </row>
    <row r="443" spans="1:4" x14ac:dyDescent="0.35">
      <c r="A443" t="s">
        <v>474</v>
      </c>
      <c r="B443">
        <f>MIN(0.12*Earnings!C443,1800)</f>
        <v>1800</v>
      </c>
      <c r="C443">
        <f>IF(Earnings!G443&lt;=21000,0.0075*Earnings!G443,0)</f>
        <v>0</v>
      </c>
      <c r="D443" s="2">
        <v>200</v>
      </c>
    </row>
    <row r="444" spans="1:4" x14ac:dyDescent="0.35">
      <c r="A444" t="s">
        <v>475</v>
      </c>
      <c r="B444">
        <f>MIN(0.12*Earnings!C444,1800)</f>
        <v>1800</v>
      </c>
      <c r="C444">
        <f>IF(Earnings!G444&lt;=21000,0.0075*Earnings!G444,0)</f>
        <v>0</v>
      </c>
      <c r="D444" s="2">
        <v>200</v>
      </c>
    </row>
    <row r="445" spans="1:4" x14ac:dyDescent="0.35">
      <c r="A445" t="s">
        <v>476</v>
      </c>
      <c r="B445">
        <f>MIN(0.12*Earnings!C445,1800)</f>
        <v>1800</v>
      </c>
      <c r="C445">
        <f>IF(Earnings!G445&lt;=21000,0.0075*Earnings!G445,0)</f>
        <v>0</v>
      </c>
      <c r="D445" s="2">
        <v>200</v>
      </c>
    </row>
    <row r="446" spans="1:4" x14ac:dyDescent="0.35">
      <c r="A446" t="s">
        <v>477</v>
      </c>
      <c r="B446">
        <f>MIN(0.12*Earnings!C446,1800)</f>
        <v>1800</v>
      </c>
      <c r="C446">
        <f>IF(Earnings!G446&lt;=21000,0.0075*Earnings!G446,0)</f>
        <v>0</v>
      </c>
      <c r="D446" s="2">
        <v>200</v>
      </c>
    </row>
    <row r="447" spans="1:4" x14ac:dyDescent="0.35">
      <c r="A447" t="s">
        <v>478</v>
      </c>
      <c r="B447">
        <f>MIN(0.12*Earnings!C447,1800)</f>
        <v>1800</v>
      </c>
      <c r="C447">
        <f>IF(Earnings!G447&lt;=21000,0.0075*Earnings!G447,0)</f>
        <v>0</v>
      </c>
      <c r="D447" s="2">
        <v>200</v>
      </c>
    </row>
    <row r="448" spans="1:4" x14ac:dyDescent="0.35">
      <c r="A448" t="s">
        <v>479</v>
      </c>
      <c r="B448">
        <f>MIN(0.12*Earnings!C448,1800)</f>
        <v>1800</v>
      </c>
      <c r="C448">
        <f>IF(Earnings!G448&lt;=21000,0.0075*Earnings!G448,0)</f>
        <v>0</v>
      </c>
      <c r="D448" s="2">
        <v>200</v>
      </c>
    </row>
    <row r="449" spans="1:4" x14ac:dyDescent="0.35">
      <c r="A449" t="s">
        <v>480</v>
      </c>
      <c r="B449">
        <f>MIN(0.12*Earnings!C449,1800)</f>
        <v>1800</v>
      </c>
      <c r="C449">
        <f>IF(Earnings!G449&lt;=21000,0.0075*Earnings!G449,0)</f>
        <v>0</v>
      </c>
      <c r="D449" s="2">
        <v>200</v>
      </c>
    </row>
    <row r="450" spans="1:4" x14ac:dyDescent="0.35">
      <c r="A450" t="s">
        <v>481</v>
      </c>
      <c r="B450">
        <f>MIN(0.12*Earnings!C450,1800)</f>
        <v>1800</v>
      </c>
      <c r="C450">
        <f>IF(Earnings!G450&lt;=21000,0.0075*Earnings!G450,0)</f>
        <v>0</v>
      </c>
      <c r="D450" s="2">
        <v>200</v>
      </c>
    </row>
    <row r="451" spans="1:4" x14ac:dyDescent="0.35">
      <c r="A451" t="s">
        <v>482</v>
      </c>
      <c r="B451">
        <f>MIN(0.12*Earnings!C451,1800)</f>
        <v>1800</v>
      </c>
      <c r="C451">
        <f>IF(Earnings!G451&lt;=21000,0.0075*Earnings!G451,0)</f>
        <v>0</v>
      </c>
      <c r="D451" s="2">
        <v>200</v>
      </c>
    </row>
    <row r="452" spans="1:4" x14ac:dyDescent="0.35">
      <c r="A452" t="s">
        <v>483</v>
      </c>
      <c r="B452">
        <f>MIN(0.12*Earnings!C452,1800)</f>
        <v>1800</v>
      </c>
      <c r="C452">
        <f>IF(Earnings!G452&lt;=21000,0.0075*Earnings!G452,0)</f>
        <v>0</v>
      </c>
      <c r="D452" s="2">
        <v>200</v>
      </c>
    </row>
    <row r="453" spans="1:4" x14ac:dyDescent="0.35">
      <c r="A453" t="s">
        <v>484</v>
      </c>
      <c r="B453">
        <f>MIN(0.12*Earnings!C453,1800)</f>
        <v>1800</v>
      </c>
      <c r="C453">
        <f>IF(Earnings!G453&lt;=21000,0.0075*Earnings!G453,0)</f>
        <v>0</v>
      </c>
      <c r="D453" s="2">
        <v>200</v>
      </c>
    </row>
    <row r="454" spans="1:4" x14ac:dyDescent="0.35">
      <c r="A454" t="s">
        <v>485</v>
      </c>
      <c r="B454">
        <f>MIN(0.12*Earnings!C454,1800)</f>
        <v>1800</v>
      </c>
      <c r="C454">
        <f>IF(Earnings!G454&lt;=21000,0.0075*Earnings!G454,0)</f>
        <v>0</v>
      </c>
      <c r="D454" s="2">
        <v>200</v>
      </c>
    </row>
    <row r="455" spans="1:4" x14ac:dyDescent="0.35">
      <c r="A455" t="s">
        <v>486</v>
      </c>
      <c r="B455">
        <f>MIN(0.12*Earnings!C455,1800)</f>
        <v>1800</v>
      </c>
      <c r="C455">
        <f>IF(Earnings!G455&lt;=21000,0.0075*Earnings!G455,0)</f>
        <v>0</v>
      </c>
      <c r="D455" s="2">
        <v>200</v>
      </c>
    </row>
    <row r="456" spans="1:4" x14ac:dyDescent="0.35">
      <c r="A456" t="s">
        <v>487</v>
      </c>
      <c r="B456">
        <f>MIN(0.12*Earnings!C456,1800)</f>
        <v>1800</v>
      </c>
      <c r="C456">
        <f>IF(Earnings!G456&lt;=21000,0.0075*Earnings!G456,0)</f>
        <v>0</v>
      </c>
      <c r="D456" s="2">
        <v>200</v>
      </c>
    </row>
    <row r="457" spans="1:4" x14ac:dyDescent="0.35">
      <c r="A457" t="s">
        <v>488</v>
      </c>
      <c r="B457">
        <f>MIN(0.12*Earnings!C457,1800)</f>
        <v>1800</v>
      </c>
      <c r="C457">
        <f>IF(Earnings!G457&lt;=21000,0.0075*Earnings!G457,0)</f>
        <v>0</v>
      </c>
      <c r="D457" s="2">
        <v>200</v>
      </c>
    </row>
    <row r="458" spans="1:4" x14ac:dyDescent="0.35">
      <c r="A458" t="s">
        <v>489</v>
      </c>
      <c r="B458">
        <f>MIN(0.12*Earnings!C458,1800)</f>
        <v>1800</v>
      </c>
      <c r="C458">
        <f>IF(Earnings!G458&lt;=21000,0.0075*Earnings!G458,0)</f>
        <v>0</v>
      </c>
      <c r="D458" s="2">
        <v>200</v>
      </c>
    </row>
    <row r="459" spans="1:4" x14ac:dyDescent="0.35">
      <c r="A459" t="s">
        <v>490</v>
      </c>
      <c r="B459">
        <f>MIN(0.12*Earnings!C459,1800)</f>
        <v>1800</v>
      </c>
      <c r="C459">
        <f>IF(Earnings!G459&lt;=21000,0.0075*Earnings!G459,0)</f>
        <v>0</v>
      </c>
      <c r="D459" s="2">
        <v>200</v>
      </c>
    </row>
    <row r="460" spans="1:4" x14ac:dyDescent="0.35">
      <c r="A460" t="s">
        <v>491</v>
      </c>
      <c r="B460">
        <f>MIN(0.12*Earnings!C460,1800)</f>
        <v>1800</v>
      </c>
      <c r="C460">
        <f>IF(Earnings!G460&lt;=21000,0.0075*Earnings!G460,0)</f>
        <v>0</v>
      </c>
      <c r="D460" s="2">
        <v>200</v>
      </c>
    </row>
    <row r="461" spans="1:4" x14ac:dyDescent="0.35">
      <c r="A461" t="s">
        <v>492</v>
      </c>
      <c r="B461">
        <f>MIN(0.12*Earnings!C461,1800)</f>
        <v>1800</v>
      </c>
      <c r="C461">
        <f>IF(Earnings!G461&lt;=21000,0.0075*Earnings!G461,0)</f>
        <v>0</v>
      </c>
      <c r="D461" s="2">
        <v>200</v>
      </c>
    </row>
    <row r="462" spans="1:4" x14ac:dyDescent="0.35">
      <c r="A462" t="s">
        <v>493</v>
      </c>
      <c r="B462">
        <f>MIN(0.12*Earnings!C462,1800)</f>
        <v>1800</v>
      </c>
      <c r="C462">
        <f>IF(Earnings!G462&lt;=21000,0.0075*Earnings!G462,0)</f>
        <v>0</v>
      </c>
      <c r="D462" s="2">
        <v>200</v>
      </c>
    </row>
    <row r="463" spans="1:4" x14ac:dyDescent="0.35">
      <c r="A463" t="s">
        <v>494</v>
      </c>
      <c r="B463">
        <f>MIN(0.12*Earnings!C463,1800)</f>
        <v>1800</v>
      </c>
      <c r="C463">
        <f>IF(Earnings!G463&lt;=21000,0.0075*Earnings!G463,0)</f>
        <v>0</v>
      </c>
      <c r="D463" s="2">
        <v>200</v>
      </c>
    </row>
    <row r="464" spans="1:4" x14ac:dyDescent="0.35">
      <c r="A464" t="s">
        <v>495</v>
      </c>
      <c r="B464">
        <f>MIN(0.12*Earnings!C464,1800)</f>
        <v>1800</v>
      </c>
      <c r="C464">
        <f>IF(Earnings!G464&lt;=21000,0.0075*Earnings!G464,0)</f>
        <v>0</v>
      </c>
      <c r="D464" s="2">
        <v>200</v>
      </c>
    </row>
    <row r="465" spans="1:4" x14ac:dyDescent="0.35">
      <c r="A465" t="s">
        <v>496</v>
      </c>
      <c r="B465">
        <f>MIN(0.12*Earnings!C465,1800)</f>
        <v>1800</v>
      </c>
      <c r="C465">
        <f>IF(Earnings!G465&lt;=21000,0.0075*Earnings!G465,0)</f>
        <v>0</v>
      </c>
      <c r="D465" s="2">
        <v>200</v>
      </c>
    </row>
    <row r="466" spans="1:4" x14ac:dyDescent="0.35">
      <c r="A466" t="s">
        <v>497</v>
      </c>
      <c r="B466">
        <f>MIN(0.12*Earnings!C466,1800)</f>
        <v>1800</v>
      </c>
      <c r="C466">
        <f>IF(Earnings!G466&lt;=21000,0.0075*Earnings!G466,0)</f>
        <v>0</v>
      </c>
      <c r="D466" s="2">
        <v>200</v>
      </c>
    </row>
    <row r="467" spans="1:4" x14ac:dyDescent="0.35">
      <c r="A467" t="s">
        <v>498</v>
      </c>
      <c r="B467">
        <f>MIN(0.12*Earnings!C467,1800)</f>
        <v>1800</v>
      </c>
      <c r="C467">
        <f>IF(Earnings!G467&lt;=21000,0.0075*Earnings!G467,0)</f>
        <v>0</v>
      </c>
      <c r="D467" s="2">
        <v>200</v>
      </c>
    </row>
    <row r="468" spans="1:4" x14ac:dyDescent="0.35">
      <c r="A468" t="s">
        <v>499</v>
      </c>
      <c r="B468">
        <f>MIN(0.12*Earnings!C468,1800)</f>
        <v>1800</v>
      </c>
      <c r="C468">
        <f>IF(Earnings!G468&lt;=21000,0.0075*Earnings!G468,0)</f>
        <v>0</v>
      </c>
      <c r="D468" s="2">
        <v>200</v>
      </c>
    </row>
    <row r="469" spans="1:4" x14ac:dyDescent="0.35">
      <c r="A469" t="s">
        <v>500</v>
      </c>
      <c r="B469">
        <f>MIN(0.12*Earnings!C469,1800)</f>
        <v>1800</v>
      </c>
      <c r="C469">
        <f>IF(Earnings!G469&lt;=21000,0.0075*Earnings!G469,0)</f>
        <v>0</v>
      </c>
      <c r="D469" s="2">
        <v>200</v>
      </c>
    </row>
    <row r="470" spans="1:4" x14ac:dyDescent="0.35">
      <c r="A470" t="s">
        <v>501</v>
      </c>
      <c r="B470">
        <f>MIN(0.12*Earnings!C470,1800)</f>
        <v>1800</v>
      </c>
      <c r="C470">
        <f>IF(Earnings!G470&lt;=21000,0.0075*Earnings!G470,0)</f>
        <v>0</v>
      </c>
      <c r="D470" s="2">
        <v>200</v>
      </c>
    </row>
    <row r="471" spans="1:4" x14ac:dyDescent="0.35">
      <c r="A471" t="s">
        <v>502</v>
      </c>
      <c r="B471">
        <f>MIN(0.12*Earnings!C471,1800)</f>
        <v>1800</v>
      </c>
      <c r="C471">
        <f>IF(Earnings!G471&lt;=21000,0.0075*Earnings!G471,0)</f>
        <v>0</v>
      </c>
      <c r="D471" s="2">
        <v>200</v>
      </c>
    </row>
    <row r="472" spans="1:4" x14ac:dyDescent="0.35">
      <c r="A472" t="s">
        <v>503</v>
      </c>
      <c r="B472">
        <f>MIN(0.12*Earnings!C472,1800)</f>
        <v>1800</v>
      </c>
      <c r="C472">
        <f>IF(Earnings!G472&lt;=21000,0.0075*Earnings!G472,0)</f>
        <v>0</v>
      </c>
      <c r="D472" s="2">
        <v>200</v>
      </c>
    </row>
    <row r="473" spans="1:4" x14ac:dyDescent="0.35">
      <c r="A473" t="s">
        <v>504</v>
      </c>
      <c r="B473">
        <f>MIN(0.12*Earnings!C473,1800)</f>
        <v>1800</v>
      </c>
      <c r="C473">
        <f>IF(Earnings!G473&lt;=21000,0.0075*Earnings!G473,0)</f>
        <v>0</v>
      </c>
      <c r="D473" s="2">
        <v>200</v>
      </c>
    </row>
    <row r="474" spans="1:4" x14ac:dyDescent="0.35">
      <c r="A474" t="s">
        <v>505</v>
      </c>
      <c r="B474">
        <f>MIN(0.12*Earnings!C474,1800)</f>
        <v>1800</v>
      </c>
      <c r="C474">
        <f>IF(Earnings!G474&lt;=21000,0.0075*Earnings!G474,0)</f>
        <v>0</v>
      </c>
      <c r="D474" s="2">
        <v>200</v>
      </c>
    </row>
    <row r="475" spans="1:4" x14ac:dyDescent="0.35">
      <c r="A475" t="s">
        <v>506</v>
      </c>
      <c r="B475">
        <f>MIN(0.12*Earnings!C475,1800)</f>
        <v>1800</v>
      </c>
      <c r="C475">
        <f>IF(Earnings!G475&lt;=21000,0.0075*Earnings!G475,0)</f>
        <v>0</v>
      </c>
      <c r="D475" s="2">
        <v>200</v>
      </c>
    </row>
    <row r="476" spans="1:4" x14ac:dyDescent="0.35">
      <c r="A476" t="s">
        <v>507</v>
      </c>
      <c r="B476">
        <f>MIN(0.12*Earnings!C476,1800)</f>
        <v>1800</v>
      </c>
      <c r="C476">
        <f>IF(Earnings!G476&lt;=21000,0.0075*Earnings!G476,0)</f>
        <v>0</v>
      </c>
      <c r="D476" s="2">
        <v>200</v>
      </c>
    </row>
    <row r="477" spans="1:4" x14ac:dyDescent="0.35">
      <c r="A477" t="s">
        <v>508</v>
      </c>
      <c r="B477">
        <f>MIN(0.12*Earnings!C477,1800)</f>
        <v>1800</v>
      </c>
      <c r="C477">
        <f>IF(Earnings!G477&lt;=21000,0.0075*Earnings!G477,0)</f>
        <v>0</v>
      </c>
      <c r="D477" s="2">
        <v>200</v>
      </c>
    </row>
    <row r="478" spans="1:4" x14ac:dyDescent="0.35">
      <c r="A478" t="s">
        <v>509</v>
      </c>
      <c r="B478">
        <f>MIN(0.12*Earnings!C478,1800)</f>
        <v>1800</v>
      </c>
      <c r="C478">
        <f>IF(Earnings!G478&lt;=21000,0.0075*Earnings!G478,0)</f>
        <v>0</v>
      </c>
      <c r="D478" s="2">
        <v>200</v>
      </c>
    </row>
    <row r="479" spans="1:4" x14ac:dyDescent="0.35">
      <c r="A479" t="s">
        <v>510</v>
      </c>
      <c r="B479">
        <f>MIN(0.12*Earnings!C479,1800)</f>
        <v>1800</v>
      </c>
      <c r="C479">
        <f>IF(Earnings!G479&lt;=21000,0.0075*Earnings!G479,0)</f>
        <v>0</v>
      </c>
      <c r="D479" s="2">
        <v>200</v>
      </c>
    </row>
    <row r="480" spans="1:4" x14ac:dyDescent="0.35">
      <c r="A480" t="s">
        <v>511</v>
      </c>
      <c r="B480">
        <f>MIN(0.12*Earnings!C480,1800)</f>
        <v>1800</v>
      </c>
      <c r="C480">
        <f>IF(Earnings!G480&lt;=21000,0.0075*Earnings!G480,0)</f>
        <v>0</v>
      </c>
      <c r="D480" s="2">
        <v>200</v>
      </c>
    </row>
    <row r="481" spans="1:4" x14ac:dyDescent="0.35">
      <c r="A481" t="s">
        <v>512</v>
      </c>
      <c r="B481">
        <f>MIN(0.12*Earnings!C481,1800)</f>
        <v>1800</v>
      </c>
      <c r="C481">
        <f>IF(Earnings!G481&lt;=21000,0.0075*Earnings!G481,0)</f>
        <v>0</v>
      </c>
      <c r="D481" s="2">
        <v>200</v>
      </c>
    </row>
    <row r="482" spans="1:4" x14ac:dyDescent="0.35">
      <c r="A482" t="s">
        <v>513</v>
      </c>
      <c r="B482">
        <f>MIN(0.12*Earnings!C482,1800)</f>
        <v>1800</v>
      </c>
      <c r="C482">
        <f>IF(Earnings!G482&lt;=21000,0.0075*Earnings!G482,0)</f>
        <v>0</v>
      </c>
      <c r="D482" s="2">
        <v>200</v>
      </c>
    </row>
    <row r="483" spans="1:4" x14ac:dyDescent="0.35">
      <c r="A483" t="s">
        <v>514</v>
      </c>
      <c r="B483">
        <f>MIN(0.12*Earnings!C483,1800)</f>
        <v>1800</v>
      </c>
      <c r="C483">
        <f>IF(Earnings!G483&lt;=21000,0.0075*Earnings!G483,0)</f>
        <v>0</v>
      </c>
      <c r="D483" s="2">
        <v>200</v>
      </c>
    </row>
    <row r="484" spans="1:4" x14ac:dyDescent="0.35">
      <c r="A484" t="s">
        <v>515</v>
      </c>
      <c r="B484">
        <f>MIN(0.12*Earnings!C484,1800)</f>
        <v>1800</v>
      </c>
      <c r="C484">
        <f>IF(Earnings!G484&lt;=21000,0.0075*Earnings!G484,0)</f>
        <v>0</v>
      </c>
      <c r="D484" s="2">
        <v>200</v>
      </c>
    </row>
    <row r="485" spans="1:4" x14ac:dyDescent="0.35">
      <c r="A485" t="s">
        <v>516</v>
      </c>
      <c r="B485">
        <f>MIN(0.12*Earnings!C485,1800)</f>
        <v>1800</v>
      </c>
      <c r="C485">
        <f>IF(Earnings!G485&lt;=21000,0.0075*Earnings!G485,0)</f>
        <v>0</v>
      </c>
      <c r="D485" s="2">
        <v>200</v>
      </c>
    </row>
    <row r="486" spans="1:4" x14ac:dyDescent="0.35">
      <c r="A486" t="s">
        <v>517</v>
      </c>
      <c r="B486">
        <f>MIN(0.12*Earnings!C486,1800)</f>
        <v>1800</v>
      </c>
      <c r="C486">
        <f>IF(Earnings!G486&lt;=21000,0.0075*Earnings!G486,0)</f>
        <v>0</v>
      </c>
      <c r="D486" s="2">
        <v>200</v>
      </c>
    </row>
    <row r="487" spans="1:4" x14ac:dyDescent="0.35">
      <c r="A487" t="s">
        <v>518</v>
      </c>
      <c r="B487">
        <f>MIN(0.12*Earnings!C487,1800)</f>
        <v>1800</v>
      </c>
      <c r="C487">
        <f>IF(Earnings!G487&lt;=21000,0.0075*Earnings!G487,0)</f>
        <v>0</v>
      </c>
      <c r="D487" s="2">
        <v>200</v>
      </c>
    </row>
    <row r="488" spans="1:4" x14ac:dyDescent="0.35">
      <c r="A488" t="s">
        <v>519</v>
      </c>
      <c r="B488">
        <f>MIN(0.12*Earnings!C488,1800)</f>
        <v>1800</v>
      </c>
      <c r="C488">
        <f>IF(Earnings!G488&lt;=21000,0.0075*Earnings!G488,0)</f>
        <v>0</v>
      </c>
      <c r="D488" s="2">
        <v>200</v>
      </c>
    </row>
    <row r="489" spans="1:4" x14ac:dyDescent="0.35">
      <c r="A489" t="s">
        <v>520</v>
      </c>
      <c r="B489">
        <f>MIN(0.12*Earnings!C489,1800)</f>
        <v>1800</v>
      </c>
      <c r="C489">
        <f>IF(Earnings!G489&lt;=21000,0.0075*Earnings!G489,0)</f>
        <v>0</v>
      </c>
      <c r="D489" s="2">
        <v>200</v>
      </c>
    </row>
    <row r="490" spans="1:4" x14ac:dyDescent="0.35">
      <c r="A490" t="s">
        <v>521</v>
      </c>
      <c r="B490">
        <f>MIN(0.12*Earnings!C490,1800)</f>
        <v>1800</v>
      </c>
      <c r="C490">
        <f>IF(Earnings!G490&lt;=21000,0.0075*Earnings!G490,0)</f>
        <v>0</v>
      </c>
      <c r="D490" s="2">
        <v>200</v>
      </c>
    </row>
    <row r="491" spans="1:4" x14ac:dyDescent="0.35">
      <c r="A491" t="s">
        <v>522</v>
      </c>
      <c r="B491">
        <f>MIN(0.12*Earnings!C491,1800)</f>
        <v>1800</v>
      </c>
      <c r="C491">
        <f>IF(Earnings!G491&lt;=21000,0.0075*Earnings!G491,0)</f>
        <v>0</v>
      </c>
      <c r="D491" s="2">
        <v>200</v>
      </c>
    </row>
    <row r="492" spans="1:4" x14ac:dyDescent="0.35">
      <c r="A492" t="s">
        <v>523</v>
      </c>
      <c r="B492">
        <f>MIN(0.12*Earnings!C492,1800)</f>
        <v>1800</v>
      </c>
      <c r="C492">
        <f>IF(Earnings!G492&lt;=21000,0.0075*Earnings!G492,0)</f>
        <v>0</v>
      </c>
      <c r="D492" s="2">
        <v>200</v>
      </c>
    </row>
    <row r="493" spans="1:4" x14ac:dyDescent="0.35">
      <c r="A493" t="s">
        <v>524</v>
      </c>
      <c r="B493">
        <f>MIN(0.12*Earnings!C493,1800)</f>
        <v>1800</v>
      </c>
      <c r="C493">
        <f>IF(Earnings!G493&lt;=21000,0.0075*Earnings!G493,0)</f>
        <v>0</v>
      </c>
      <c r="D493" s="2">
        <v>200</v>
      </c>
    </row>
    <row r="494" spans="1:4" x14ac:dyDescent="0.35">
      <c r="A494" t="s">
        <v>525</v>
      </c>
      <c r="B494">
        <f>MIN(0.12*Earnings!C494,1800)</f>
        <v>1800</v>
      </c>
      <c r="C494">
        <f>IF(Earnings!G494&lt;=21000,0.0075*Earnings!G494,0)</f>
        <v>0</v>
      </c>
      <c r="D494" s="2">
        <v>200</v>
      </c>
    </row>
    <row r="495" spans="1:4" x14ac:dyDescent="0.35">
      <c r="A495" t="s">
        <v>526</v>
      </c>
      <c r="B495">
        <f>MIN(0.12*Earnings!C495,1800)</f>
        <v>1800</v>
      </c>
      <c r="C495">
        <f>IF(Earnings!G495&lt;=21000,0.0075*Earnings!G495,0)</f>
        <v>0</v>
      </c>
      <c r="D495" s="2">
        <v>200</v>
      </c>
    </row>
    <row r="496" spans="1:4" x14ac:dyDescent="0.35">
      <c r="A496" t="s">
        <v>527</v>
      </c>
      <c r="B496">
        <f>MIN(0.12*Earnings!C496,1800)</f>
        <v>1800</v>
      </c>
      <c r="C496">
        <f>IF(Earnings!G496&lt;=21000,0.0075*Earnings!G496,0)</f>
        <v>0</v>
      </c>
      <c r="D496" s="2">
        <v>200</v>
      </c>
    </row>
    <row r="497" spans="1:4" x14ac:dyDescent="0.35">
      <c r="A497" t="s">
        <v>528</v>
      </c>
      <c r="B497">
        <f>MIN(0.12*Earnings!C497,1800)</f>
        <v>1800</v>
      </c>
      <c r="C497">
        <f>IF(Earnings!G497&lt;=21000,0.0075*Earnings!G497,0)</f>
        <v>0</v>
      </c>
      <c r="D497" s="2">
        <v>200</v>
      </c>
    </row>
    <row r="498" spans="1:4" x14ac:dyDescent="0.35">
      <c r="A498" t="s">
        <v>529</v>
      </c>
      <c r="B498">
        <f>MIN(0.12*Earnings!C498,1800)</f>
        <v>1800</v>
      </c>
      <c r="C498">
        <f>IF(Earnings!G498&lt;=21000,0.0075*Earnings!G498,0)</f>
        <v>0</v>
      </c>
      <c r="D498" s="2">
        <v>200</v>
      </c>
    </row>
    <row r="499" spans="1:4" x14ac:dyDescent="0.35">
      <c r="A499" t="s">
        <v>530</v>
      </c>
      <c r="B499">
        <f>MIN(0.12*Earnings!C499,1800)</f>
        <v>1800</v>
      </c>
      <c r="C499">
        <f>IF(Earnings!G499&lt;=21000,0.0075*Earnings!G499,0)</f>
        <v>0</v>
      </c>
      <c r="D499" s="2">
        <v>200</v>
      </c>
    </row>
    <row r="500" spans="1:4" x14ac:dyDescent="0.35">
      <c r="A500" t="s">
        <v>531</v>
      </c>
      <c r="B500">
        <f>MIN(0.12*Earnings!C500,1800)</f>
        <v>1800</v>
      </c>
      <c r="C500">
        <f>IF(Earnings!G500&lt;=21000,0.0075*Earnings!G500,0)</f>
        <v>0</v>
      </c>
      <c r="D500" s="2">
        <v>200</v>
      </c>
    </row>
    <row r="501" spans="1:4" x14ac:dyDescent="0.35">
      <c r="A501" t="s">
        <v>532</v>
      </c>
      <c r="B501">
        <f>MIN(0.12*Earnings!C501,1800)</f>
        <v>1800</v>
      </c>
      <c r="C501">
        <f>IF(Earnings!G501&lt;=21000,0.0075*Earnings!G501,0)</f>
        <v>0</v>
      </c>
      <c r="D501" s="2">
        <v>200</v>
      </c>
    </row>
    <row r="502" spans="1:4" x14ac:dyDescent="0.35">
      <c r="A502" t="s">
        <v>533</v>
      </c>
      <c r="B502">
        <f>MIN(0.12*Earnings!C502,1800)</f>
        <v>1800</v>
      </c>
      <c r="C502">
        <f>IF(Earnings!G502&lt;=21000,0.0075*Earnings!G502,0)</f>
        <v>0</v>
      </c>
      <c r="D502" s="2">
        <v>200</v>
      </c>
    </row>
    <row r="503" spans="1:4" x14ac:dyDescent="0.35">
      <c r="A503" t="s">
        <v>534</v>
      </c>
      <c r="B503">
        <f>MIN(0.12*Earnings!C503,1800)</f>
        <v>1800</v>
      </c>
      <c r="C503">
        <f>IF(Earnings!G503&lt;=21000,0.0075*Earnings!G503,0)</f>
        <v>0</v>
      </c>
      <c r="D503" s="2">
        <v>200</v>
      </c>
    </row>
    <row r="504" spans="1:4" x14ac:dyDescent="0.35">
      <c r="A504" t="s">
        <v>535</v>
      </c>
      <c r="B504">
        <f>MIN(0.12*Earnings!C504,1800)</f>
        <v>1800</v>
      </c>
      <c r="C504">
        <f>IF(Earnings!G504&lt;=21000,0.0075*Earnings!G504,0)</f>
        <v>0</v>
      </c>
      <c r="D504" s="2">
        <v>200</v>
      </c>
    </row>
    <row r="505" spans="1:4" x14ac:dyDescent="0.35">
      <c r="A505" t="s">
        <v>536</v>
      </c>
      <c r="B505">
        <f>MIN(0.12*Earnings!C505,1800)</f>
        <v>1800</v>
      </c>
      <c r="C505">
        <f>IF(Earnings!G505&lt;=21000,0.0075*Earnings!G505,0)</f>
        <v>0</v>
      </c>
      <c r="D505" s="2">
        <v>200</v>
      </c>
    </row>
    <row r="506" spans="1:4" x14ac:dyDescent="0.35">
      <c r="A506" t="s">
        <v>537</v>
      </c>
      <c r="B506">
        <f>MIN(0.12*Earnings!C506,1800)</f>
        <v>1800</v>
      </c>
      <c r="C506">
        <f>IF(Earnings!G506&lt;=21000,0.0075*Earnings!G506,0)</f>
        <v>0</v>
      </c>
      <c r="D506" s="2">
        <v>200</v>
      </c>
    </row>
    <row r="507" spans="1:4" x14ac:dyDescent="0.35">
      <c r="A507" t="s">
        <v>538</v>
      </c>
      <c r="B507">
        <f>MIN(0.12*Earnings!C507,1800)</f>
        <v>1800</v>
      </c>
      <c r="C507">
        <f>IF(Earnings!G507&lt;=21000,0.0075*Earnings!G507,0)</f>
        <v>0</v>
      </c>
      <c r="D507" s="2">
        <v>200</v>
      </c>
    </row>
    <row r="508" spans="1:4" x14ac:dyDescent="0.35">
      <c r="A508" t="s">
        <v>539</v>
      </c>
      <c r="B508">
        <f>MIN(0.12*Earnings!C508,1800)</f>
        <v>1800</v>
      </c>
      <c r="C508">
        <f>IF(Earnings!G508&lt;=21000,0.0075*Earnings!G508,0)</f>
        <v>0</v>
      </c>
      <c r="D508" s="2">
        <v>200</v>
      </c>
    </row>
    <row r="509" spans="1:4" x14ac:dyDescent="0.35">
      <c r="A509" t="s">
        <v>540</v>
      </c>
      <c r="B509">
        <f>MIN(0.12*Earnings!C509,1800)</f>
        <v>1800</v>
      </c>
      <c r="C509">
        <f>IF(Earnings!G509&lt;=21000,0.0075*Earnings!G509,0)</f>
        <v>0</v>
      </c>
      <c r="D509" s="2">
        <v>200</v>
      </c>
    </row>
    <row r="510" spans="1:4" x14ac:dyDescent="0.35">
      <c r="A510" t="s">
        <v>541</v>
      </c>
      <c r="B510">
        <f>MIN(0.12*Earnings!C510,1800)</f>
        <v>1800</v>
      </c>
      <c r="C510">
        <f>IF(Earnings!G510&lt;=21000,0.0075*Earnings!G510,0)</f>
        <v>0</v>
      </c>
      <c r="D510" s="2">
        <v>200</v>
      </c>
    </row>
    <row r="511" spans="1:4" x14ac:dyDescent="0.35">
      <c r="A511" t="s">
        <v>542</v>
      </c>
      <c r="B511">
        <f>MIN(0.12*Earnings!C511,1800)</f>
        <v>1800</v>
      </c>
      <c r="C511">
        <f>IF(Earnings!G511&lt;=21000,0.0075*Earnings!G511,0)</f>
        <v>0</v>
      </c>
      <c r="D511" s="2">
        <v>200</v>
      </c>
    </row>
    <row r="512" spans="1:4" x14ac:dyDescent="0.35">
      <c r="A512" t="s">
        <v>543</v>
      </c>
      <c r="B512">
        <f>MIN(0.12*Earnings!C512,1800)</f>
        <v>1800</v>
      </c>
      <c r="C512">
        <f>IF(Earnings!G512&lt;=21000,0.0075*Earnings!G512,0)</f>
        <v>0</v>
      </c>
      <c r="D512" s="2">
        <v>200</v>
      </c>
    </row>
    <row r="513" spans="1:4" x14ac:dyDescent="0.35">
      <c r="A513" t="s">
        <v>544</v>
      </c>
      <c r="B513">
        <f>MIN(0.12*Earnings!C513,1800)</f>
        <v>1800</v>
      </c>
      <c r="C513">
        <f>IF(Earnings!G513&lt;=21000,0.0075*Earnings!G513,0)</f>
        <v>0</v>
      </c>
      <c r="D513" s="2">
        <v>200</v>
      </c>
    </row>
    <row r="514" spans="1:4" x14ac:dyDescent="0.35">
      <c r="A514" t="s">
        <v>545</v>
      </c>
      <c r="B514">
        <f>MIN(0.12*Earnings!C514,1800)</f>
        <v>1800</v>
      </c>
      <c r="C514">
        <f>IF(Earnings!G514&lt;=21000,0.0075*Earnings!G514,0)</f>
        <v>0</v>
      </c>
      <c r="D514" s="2">
        <v>200</v>
      </c>
    </row>
    <row r="515" spans="1:4" x14ac:dyDescent="0.35">
      <c r="A515" t="s">
        <v>546</v>
      </c>
      <c r="B515">
        <f>MIN(0.12*Earnings!C515,1800)</f>
        <v>1800</v>
      </c>
      <c r="C515">
        <f>IF(Earnings!G515&lt;=21000,0.0075*Earnings!G515,0)</f>
        <v>0</v>
      </c>
      <c r="D515" s="2">
        <v>200</v>
      </c>
    </row>
    <row r="516" spans="1:4" x14ac:dyDescent="0.35">
      <c r="A516" t="s">
        <v>547</v>
      </c>
      <c r="B516">
        <f>MIN(0.12*Earnings!C516,1800)</f>
        <v>1800</v>
      </c>
      <c r="C516">
        <f>IF(Earnings!G516&lt;=21000,0.0075*Earnings!G516,0)</f>
        <v>0</v>
      </c>
      <c r="D516" s="2">
        <v>200</v>
      </c>
    </row>
    <row r="517" spans="1:4" x14ac:dyDescent="0.35">
      <c r="A517" t="s">
        <v>548</v>
      </c>
      <c r="B517">
        <f>MIN(0.12*Earnings!C517,1800)</f>
        <v>1800</v>
      </c>
      <c r="C517">
        <f>IF(Earnings!G517&lt;=21000,0.0075*Earnings!G517,0)</f>
        <v>0</v>
      </c>
      <c r="D517" s="2">
        <v>200</v>
      </c>
    </row>
    <row r="518" spans="1:4" x14ac:dyDescent="0.35">
      <c r="A518" t="s">
        <v>549</v>
      </c>
      <c r="B518">
        <f>MIN(0.12*Earnings!C518,1800)</f>
        <v>1800</v>
      </c>
      <c r="C518">
        <f>IF(Earnings!G518&lt;=21000,0.0075*Earnings!G518,0)</f>
        <v>0</v>
      </c>
      <c r="D518" s="2">
        <v>200</v>
      </c>
    </row>
    <row r="519" spans="1:4" x14ac:dyDescent="0.35">
      <c r="A519" t="s">
        <v>550</v>
      </c>
      <c r="B519">
        <f>MIN(0.12*Earnings!C519,1800)</f>
        <v>1800</v>
      </c>
      <c r="C519">
        <f>IF(Earnings!G519&lt;=21000,0.0075*Earnings!G519,0)</f>
        <v>0</v>
      </c>
      <c r="D519" s="2">
        <v>200</v>
      </c>
    </row>
    <row r="520" spans="1:4" x14ac:dyDescent="0.35">
      <c r="A520" t="s">
        <v>551</v>
      </c>
      <c r="B520">
        <f>MIN(0.12*Earnings!C520,1800)</f>
        <v>1800</v>
      </c>
      <c r="C520">
        <f>IF(Earnings!G520&lt;=21000,0.0075*Earnings!G520,0)</f>
        <v>0</v>
      </c>
      <c r="D520" s="2">
        <v>200</v>
      </c>
    </row>
    <row r="521" spans="1:4" x14ac:dyDescent="0.35">
      <c r="A521" t="s">
        <v>552</v>
      </c>
      <c r="B521">
        <f>MIN(0.12*Earnings!C521,1800)</f>
        <v>1800</v>
      </c>
      <c r="C521">
        <f>IF(Earnings!G521&lt;=21000,0.0075*Earnings!G521,0)</f>
        <v>0</v>
      </c>
      <c r="D521" s="2">
        <v>200</v>
      </c>
    </row>
    <row r="522" spans="1:4" x14ac:dyDescent="0.35">
      <c r="A522" t="s">
        <v>553</v>
      </c>
      <c r="B522">
        <f>MIN(0.12*Earnings!C522,1800)</f>
        <v>1800</v>
      </c>
      <c r="C522">
        <f>IF(Earnings!G522&lt;=21000,0.0075*Earnings!G522,0)</f>
        <v>0</v>
      </c>
      <c r="D522" s="2">
        <v>200</v>
      </c>
    </row>
    <row r="523" spans="1:4" x14ac:dyDescent="0.35">
      <c r="A523" t="s">
        <v>554</v>
      </c>
      <c r="B523">
        <f>MIN(0.12*Earnings!C523,1800)</f>
        <v>1800</v>
      </c>
      <c r="C523">
        <f>IF(Earnings!G523&lt;=21000,0.0075*Earnings!G523,0)</f>
        <v>0</v>
      </c>
      <c r="D523" s="2">
        <v>200</v>
      </c>
    </row>
    <row r="524" spans="1:4" x14ac:dyDescent="0.35">
      <c r="A524" t="s">
        <v>555</v>
      </c>
      <c r="B524">
        <f>MIN(0.12*Earnings!C524,1800)</f>
        <v>1800</v>
      </c>
      <c r="C524">
        <f>IF(Earnings!G524&lt;=21000,0.0075*Earnings!G524,0)</f>
        <v>0</v>
      </c>
      <c r="D524" s="2">
        <v>200</v>
      </c>
    </row>
    <row r="525" spans="1:4" x14ac:dyDescent="0.35">
      <c r="A525" t="s">
        <v>556</v>
      </c>
      <c r="B525">
        <f>MIN(0.12*Earnings!C525,1800)</f>
        <v>1800</v>
      </c>
      <c r="C525">
        <f>IF(Earnings!G525&lt;=21000,0.0075*Earnings!G525,0)</f>
        <v>0</v>
      </c>
      <c r="D525" s="2">
        <v>200</v>
      </c>
    </row>
    <row r="526" spans="1:4" x14ac:dyDescent="0.35">
      <c r="A526" t="s">
        <v>557</v>
      </c>
      <c r="B526">
        <f>MIN(0.12*Earnings!C526,1800)</f>
        <v>1800</v>
      </c>
      <c r="C526">
        <f>IF(Earnings!G526&lt;=21000,0.0075*Earnings!G526,0)</f>
        <v>0</v>
      </c>
      <c r="D526" s="2">
        <v>200</v>
      </c>
    </row>
    <row r="527" spans="1:4" x14ac:dyDescent="0.35">
      <c r="A527" t="s">
        <v>558</v>
      </c>
      <c r="B527">
        <f>MIN(0.12*Earnings!C527,1800)</f>
        <v>1800</v>
      </c>
      <c r="C527">
        <f>IF(Earnings!G527&lt;=21000,0.0075*Earnings!G527,0)</f>
        <v>0</v>
      </c>
      <c r="D527" s="2">
        <v>200</v>
      </c>
    </row>
    <row r="528" spans="1:4" x14ac:dyDescent="0.35">
      <c r="A528" t="s">
        <v>559</v>
      </c>
      <c r="B528">
        <f>MIN(0.12*Earnings!C528,1800)</f>
        <v>1800</v>
      </c>
      <c r="C528">
        <f>IF(Earnings!G528&lt;=21000,0.0075*Earnings!G528,0)</f>
        <v>0</v>
      </c>
      <c r="D528" s="2">
        <v>200</v>
      </c>
    </row>
    <row r="529" spans="1:4" x14ac:dyDescent="0.35">
      <c r="A529" t="s">
        <v>560</v>
      </c>
      <c r="B529">
        <f>MIN(0.12*Earnings!C529,1800)</f>
        <v>1800</v>
      </c>
      <c r="C529">
        <f>IF(Earnings!G529&lt;=21000,0.0075*Earnings!G529,0)</f>
        <v>0</v>
      </c>
      <c r="D529" s="2">
        <v>200</v>
      </c>
    </row>
    <row r="530" spans="1:4" x14ac:dyDescent="0.35">
      <c r="A530" t="s">
        <v>561</v>
      </c>
      <c r="B530">
        <f>MIN(0.12*Earnings!C530,1800)</f>
        <v>1800</v>
      </c>
      <c r="C530">
        <f>IF(Earnings!G530&lt;=21000,0.0075*Earnings!G530,0)</f>
        <v>0</v>
      </c>
      <c r="D530" s="2">
        <v>200</v>
      </c>
    </row>
    <row r="531" spans="1:4" x14ac:dyDescent="0.35">
      <c r="A531" t="s">
        <v>562</v>
      </c>
      <c r="B531">
        <f>MIN(0.12*Earnings!C531,1800)</f>
        <v>1800</v>
      </c>
      <c r="C531">
        <f>IF(Earnings!G531&lt;=21000,0.0075*Earnings!G531,0)</f>
        <v>0</v>
      </c>
      <c r="D531" s="2">
        <v>200</v>
      </c>
    </row>
    <row r="532" spans="1:4" x14ac:dyDescent="0.35">
      <c r="A532" t="s">
        <v>563</v>
      </c>
      <c r="B532">
        <f>MIN(0.12*Earnings!C532,1800)</f>
        <v>1800</v>
      </c>
      <c r="C532">
        <f>IF(Earnings!G532&lt;=21000,0.0075*Earnings!G532,0)</f>
        <v>0</v>
      </c>
      <c r="D532" s="2">
        <v>200</v>
      </c>
    </row>
    <row r="533" spans="1:4" x14ac:dyDescent="0.35">
      <c r="A533" t="s">
        <v>564</v>
      </c>
      <c r="B533">
        <f>MIN(0.12*Earnings!C533,1800)</f>
        <v>1800</v>
      </c>
      <c r="C533">
        <f>IF(Earnings!G533&lt;=21000,0.0075*Earnings!G533,0)</f>
        <v>0</v>
      </c>
      <c r="D533" s="2">
        <v>200</v>
      </c>
    </row>
    <row r="534" spans="1:4" x14ac:dyDescent="0.35">
      <c r="A534" t="s">
        <v>565</v>
      </c>
      <c r="B534">
        <f>MIN(0.12*Earnings!C534,1800)</f>
        <v>1800</v>
      </c>
      <c r="C534">
        <f>IF(Earnings!G534&lt;=21000,0.0075*Earnings!G534,0)</f>
        <v>0</v>
      </c>
      <c r="D534" s="2">
        <v>200</v>
      </c>
    </row>
    <row r="535" spans="1:4" x14ac:dyDescent="0.35">
      <c r="A535" t="s">
        <v>566</v>
      </c>
      <c r="B535">
        <f>MIN(0.12*Earnings!C535,1800)</f>
        <v>1800</v>
      </c>
      <c r="C535">
        <f>IF(Earnings!G535&lt;=21000,0.0075*Earnings!G535,0)</f>
        <v>0</v>
      </c>
      <c r="D535" s="2">
        <v>200</v>
      </c>
    </row>
    <row r="536" spans="1:4" x14ac:dyDescent="0.35">
      <c r="A536" t="s">
        <v>567</v>
      </c>
      <c r="B536">
        <f>MIN(0.12*Earnings!C536,1800)</f>
        <v>1800</v>
      </c>
      <c r="C536">
        <f>IF(Earnings!G536&lt;=21000,0.0075*Earnings!G536,0)</f>
        <v>0</v>
      </c>
      <c r="D536" s="2">
        <v>200</v>
      </c>
    </row>
    <row r="537" spans="1:4" x14ac:dyDescent="0.35">
      <c r="A537" t="s">
        <v>568</v>
      </c>
      <c r="B537">
        <f>MIN(0.12*Earnings!C537,1800)</f>
        <v>1800</v>
      </c>
      <c r="C537">
        <f>IF(Earnings!G537&lt;=21000,0.0075*Earnings!G537,0)</f>
        <v>0</v>
      </c>
      <c r="D537" s="2">
        <v>200</v>
      </c>
    </row>
    <row r="538" spans="1:4" x14ac:dyDescent="0.35">
      <c r="A538" t="s">
        <v>569</v>
      </c>
      <c r="B538">
        <f>MIN(0.12*Earnings!C538,1800)</f>
        <v>1800</v>
      </c>
      <c r="C538">
        <f>IF(Earnings!G538&lt;=21000,0.0075*Earnings!G538,0)</f>
        <v>0</v>
      </c>
      <c r="D538" s="2">
        <v>200</v>
      </c>
    </row>
    <row r="539" spans="1:4" x14ac:dyDescent="0.35">
      <c r="A539" t="s">
        <v>570</v>
      </c>
      <c r="B539">
        <f>MIN(0.12*Earnings!C539,1800)</f>
        <v>1800</v>
      </c>
      <c r="C539">
        <f>IF(Earnings!G539&lt;=21000,0.0075*Earnings!G539,0)</f>
        <v>0</v>
      </c>
      <c r="D539" s="2">
        <v>200</v>
      </c>
    </row>
    <row r="540" spans="1:4" x14ac:dyDescent="0.35">
      <c r="A540" t="s">
        <v>571</v>
      </c>
      <c r="B540">
        <f>MIN(0.12*Earnings!C540,1800)</f>
        <v>1800</v>
      </c>
      <c r="C540">
        <f>IF(Earnings!G540&lt;=21000,0.0075*Earnings!G540,0)</f>
        <v>0</v>
      </c>
      <c r="D540" s="2">
        <v>200</v>
      </c>
    </row>
    <row r="541" spans="1:4" x14ac:dyDescent="0.35">
      <c r="A541" t="s">
        <v>572</v>
      </c>
      <c r="B541">
        <f>MIN(0.12*Earnings!C541,1800)</f>
        <v>1800</v>
      </c>
      <c r="C541">
        <f>IF(Earnings!G541&lt;=21000,0.0075*Earnings!G541,0)</f>
        <v>0</v>
      </c>
      <c r="D541" s="2">
        <v>200</v>
      </c>
    </row>
    <row r="542" spans="1:4" x14ac:dyDescent="0.35">
      <c r="A542" t="s">
        <v>573</v>
      </c>
      <c r="B542">
        <f>MIN(0.12*Earnings!C542,1800)</f>
        <v>1800</v>
      </c>
      <c r="C542">
        <f>IF(Earnings!G542&lt;=21000,0.0075*Earnings!G542,0)</f>
        <v>0</v>
      </c>
      <c r="D542" s="2">
        <v>200</v>
      </c>
    </row>
    <row r="543" spans="1:4" x14ac:dyDescent="0.35">
      <c r="A543" t="s">
        <v>574</v>
      </c>
      <c r="B543">
        <f>MIN(0.12*Earnings!C543,1800)</f>
        <v>1800</v>
      </c>
      <c r="C543">
        <f>IF(Earnings!G543&lt;=21000,0.0075*Earnings!G543,0)</f>
        <v>0</v>
      </c>
      <c r="D543" s="2">
        <v>200</v>
      </c>
    </row>
    <row r="544" spans="1:4" x14ac:dyDescent="0.35">
      <c r="A544" t="s">
        <v>575</v>
      </c>
      <c r="B544">
        <f>MIN(0.12*Earnings!C544,1800)</f>
        <v>1800</v>
      </c>
      <c r="C544">
        <f>IF(Earnings!G544&lt;=21000,0.0075*Earnings!G544,0)</f>
        <v>0</v>
      </c>
      <c r="D544" s="2">
        <v>200</v>
      </c>
    </row>
    <row r="545" spans="1:4" x14ac:dyDescent="0.35">
      <c r="A545" t="s">
        <v>576</v>
      </c>
      <c r="B545">
        <f>MIN(0.12*Earnings!C545,1800)</f>
        <v>1800</v>
      </c>
      <c r="C545">
        <f>IF(Earnings!G545&lt;=21000,0.0075*Earnings!G545,0)</f>
        <v>0</v>
      </c>
      <c r="D545" s="2">
        <v>200</v>
      </c>
    </row>
    <row r="546" spans="1:4" x14ac:dyDescent="0.35">
      <c r="A546" t="s">
        <v>577</v>
      </c>
      <c r="B546">
        <f>MIN(0.12*Earnings!C546,1800)</f>
        <v>1800</v>
      </c>
      <c r="C546">
        <f>IF(Earnings!G546&lt;=21000,0.0075*Earnings!G546,0)</f>
        <v>0</v>
      </c>
      <c r="D546" s="2">
        <v>200</v>
      </c>
    </row>
    <row r="547" spans="1:4" x14ac:dyDescent="0.35">
      <c r="A547" t="s">
        <v>578</v>
      </c>
      <c r="B547">
        <f>MIN(0.12*Earnings!C547,1800)</f>
        <v>1800</v>
      </c>
      <c r="C547">
        <f>IF(Earnings!G547&lt;=21000,0.0075*Earnings!G547,0)</f>
        <v>0</v>
      </c>
      <c r="D547" s="2">
        <v>200</v>
      </c>
    </row>
    <row r="548" spans="1:4" x14ac:dyDescent="0.35">
      <c r="A548" t="s">
        <v>579</v>
      </c>
      <c r="B548">
        <f>MIN(0.12*Earnings!C548,1800)</f>
        <v>1800</v>
      </c>
      <c r="C548">
        <f>IF(Earnings!G548&lt;=21000,0.0075*Earnings!G548,0)</f>
        <v>0</v>
      </c>
      <c r="D548" s="2">
        <v>200</v>
      </c>
    </row>
    <row r="549" spans="1:4" x14ac:dyDescent="0.35">
      <c r="A549" t="s">
        <v>580</v>
      </c>
      <c r="B549">
        <f>MIN(0.12*Earnings!C549,1800)</f>
        <v>1800</v>
      </c>
      <c r="C549">
        <f>IF(Earnings!G549&lt;=21000,0.0075*Earnings!G549,0)</f>
        <v>0</v>
      </c>
      <c r="D549" s="2">
        <v>200</v>
      </c>
    </row>
    <row r="550" spans="1:4" x14ac:dyDescent="0.35">
      <c r="A550" t="s">
        <v>581</v>
      </c>
      <c r="B550">
        <f>MIN(0.12*Earnings!C550,1800)</f>
        <v>1800</v>
      </c>
      <c r="C550">
        <f>IF(Earnings!G550&lt;=21000,0.0075*Earnings!G550,0)</f>
        <v>0</v>
      </c>
      <c r="D550" s="2">
        <v>200</v>
      </c>
    </row>
    <row r="551" spans="1:4" x14ac:dyDescent="0.35">
      <c r="A551" t="s">
        <v>582</v>
      </c>
      <c r="B551">
        <f>MIN(0.12*Earnings!C551,1800)</f>
        <v>1800</v>
      </c>
      <c r="C551">
        <f>IF(Earnings!G551&lt;=21000,0.0075*Earnings!G551,0)</f>
        <v>0</v>
      </c>
      <c r="D551" s="2">
        <v>200</v>
      </c>
    </row>
    <row r="552" spans="1:4" x14ac:dyDescent="0.35">
      <c r="A552" t="s">
        <v>583</v>
      </c>
      <c r="B552">
        <f>MIN(0.12*Earnings!C552,1800)</f>
        <v>1800</v>
      </c>
      <c r="C552">
        <f>IF(Earnings!G552&lt;=21000,0.0075*Earnings!G552,0)</f>
        <v>0</v>
      </c>
      <c r="D552" s="2">
        <v>200</v>
      </c>
    </row>
    <row r="553" spans="1:4" x14ac:dyDescent="0.35">
      <c r="A553" t="s">
        <v>584</v>
      </c>
      <c r="B553">
        <f>MIN(0.12*Earnings!C553,1800)</f>
        <v>1800</v>
      </c>
      <c r="C553">
        <f>IF(Earnings!G553&lt;=21000,0.0075*Earnings!G553,0)</f>
        <v>0</v>
      </c>
      <c r="D553" s="2">
        <v>200</v>
      </c>
    </row>
    <row r="554" spans="1:4" x14ac:dyDescent="0.35">
      <c r="A554" t="s">
        <v>585</v>
      </c>
      <c r="B554">
        <f>MIN(0.12*Earnings!C554,1800)</f>
        <v>1800</v>
      </c>
      <c r="C554">
        <f>IF(Earnings!G554&lt;=21000,0.0075*Earnings!G554,0)</f>
        <v>0</v>
      </c>
      <c r="D554" s="2">
        <v>200</v>
      </c>
    </row>
    <row r="555" spans="1:4" x14ac:dyDescent="0.35">
      <c r="A555" t="s">
        <v>586</v>
      </c>
      <c r="B555">
        <f>MIN(0.12*Earnings!C555,1800)</f>
        <v>1800</v>
      </c>
      <c r="C555">
        <f>IF(Earnings!G555&lt;=21000,0.0075*Earnings!G555,0)</f>
        <v>0</v>
      </c>
      <c r="D555" s="2">
        <v>200</v>
      </c>
    </row>
    <row r="556" spans="1:4" x14ac:dyDescent="0.35">
      <c r="A556" t="s">
        <v>587</v>
      </c>
      <c r="B556">
        <f>MIN(0.12*Earnings!C556,1800)</f>
        <v>1800</v>
      </c>
      <c r="C556">
        <f>IF(Earnings!G556&lt;=21000,0.0075*Earnings!G556,0)</f>
        <v>0</v>
      </c>
      <c r="D556" s="2">
        <v>200</v>
      </c>
    </row>
    <row r="557" spans="1:4" x14ac:dyDescent="0.35">
      <c r="A557" t="s">
        <v>588</v>
      </c>
      <c r="B557">
        <f>MIN(0.12*Earnings!C557,1800)</f>
        <v>1800</v>
      </c>
      <c r="C557">
        <f>IF(Earnings!G557&lt;=21000,0.0075*Earnings!G557,0)</f>
        <v>0</v>
      </c>
      <c r="D557" s="2">
        <v>200</v>
      </c>
    </row>
    <row r="558" spans="1:4" x14ac:dyDescent="0.35">
      <c r="A558" t="s">
        <v>589</v>
      </c>
      <c r="B558">
        <f>MIN(0.12*Earnings!C558,1800)</f>
        <v>1800</v>
      </c>
      <c r="C558">
        <f>IF(Earnings!G558&lt;=21000,0.0075*Earnings!G558,0)</f>
        <v>0</v>
      </c>
      <c r="D558" s="2">
        <v>200</v>
      </c>
    </row>
    <row r="559" spans="1:4" x14ac:dyDescent="0.35">
      <c r="A559" t="s">
        <v>590</v>
      </c>
      <c r="B559">
        <f>MIN(0.12*Earnings!C559,1800)</f>
        <v>1800</v>
      </c>
      <c r="C559">
        <f>IF(Earnings!G559&lt;=21000,0.0075*Earnings!G559,0)</f>
        <v>0</v>
      </c>
      <c r="D559" s="2">
        <v>200</v>
      </c>
    </row>
    <row r="560" spans="1:4" x14ac:dyDescent="0.35">
      <c r="A560" t="s">
        <v>591</v>
      </c>
      <c r="B560">
        <f>MIN(0.12*Earnings!C560,1800)</f>
        <v>1800</v>
      </c>
      <c r="C560">
        <f>IF(Earnings!G560&lt;=21000,0.0075*Earnings!G560,0)</f>
        <v>0</v>
      </c>
      <c r="D560" s="2">
        <v>200</v>
      </c>
    </row>
    <row r="561" spans="1:4" x14ac:dyDescent="0.35">
      <c r="A561" t="s">
        <v>592</v>
      </c>
      <c r="B561">
        <f>MIN(0.12*Earnings!C561,1800)</f>
        <v>1800</v>
      </c>
      <c r="C561">
        <f>IF(Earnings!G561&lt;=21000,0.0075*Earnings!G561,0)</f>
        <v>0</v>
      </c>
      <c r="D561" s="2">
        <v>200</v>
      </c>
    </row>
    <row r="562" spans="1:4" x14ac:dyDescent="0.35">
      <c r="A562" t="s">
        <v>593</v>
      </c>
      <c r="B562">
        <f>MIN(0.12*Earnings!C562,1800)</f>
        <v>1800</v>
      </c>
      <c r="C562">
        <f>IF(Earnings!G562&lt;=21000,0.0075*Earnings!G562,0)</f>
        <v>0</v>
      </c>
      <c r="D562" s="2">
        <v>200</v>
      </c>
    </row>
    <row r="563" spans="1:4" x14ac:dyDescent="0.35">
      <c r="A563" t="s">
        <v>594</v>
      </c>
      <c r="B563">
        <f>MIN(0.12*Earnings!C563,1800)</f>
        <v>1800</v>
      </c>
      <c r="C563">
        <f>IF(Earnings!G563&lt;=21000,0.0075*Earnings!G563,0)</f>
        <v>0</v>
      </c>
      <c r="D563" s="2">
        <v>200</v>
      </c>
    </row>
    <row r="564" spans="1:4" x14ac:dyDescent="0.35">
      <c r="A564" t="s">
        <v>595</v>
      </c>
      <c r="B564">
        <f>MIN(0.12*Earnings!C564,1800)</f>
        <v>1800</v>
      </c>
      <c r="C564">
        <f>IF(Earnings!G564&lt;=21000,0.0075*Earnings!G564,0)</f>
        <v>0</v>
      </c>
      <c r="D564" s="2">
        <v>200</v>
      </c>
    </row>
    <row r="565" spans="1:4" x14ac:dyDescent="0.35">
      <c r="A565" t="s">
        <v>596</v>
      </c>
      <c r="B565">
        <f>MIN(0.12*Earnings!C565,1800)</f>
        <v>1800</v>
      </c>
      <c r="C565">
        <f>IF(Earnings!G565&lt;=21000,0.0075*Earnings!G565,0)</f>
        <v>0</v>
      </c>
      <c r="D565" s="2">
        <v>200</v>
      </c>
    </row>
    <row r="566" spans="1:4" x14ac:dyDescent="0.35">
      <c r="A566" t="s">
        <v>597</v>
      </c>
      <c r="B566">
        <f>MIN(0.12*Earnings!C566,1800)</f>
        <v>1800</v>
      </c>
      <c r="C566">
        <f>IF(Earnings!G566&lt;=21000,0.0075*Earnings!G566,0)</f>
        <v>0</v>
      </c>
      <c r="D566" s="2">
        <v>200</v>
      </c>
    </row>
    <row r="567" spans="1:4" x14ac:dyDescent="0.35">
      <c r="A567" t="s">
        <v>598</v>
      </c>
      <c r="B567">
        <f>MIN(0.12*Earnings!C567,1800)</f>
        <v>1800</v>
      </c>
      <c r="C567">
        <f>IF(Earnings!G567&lt;=21000,0.0075*Earnings!G567,0)</f>
        <v>0</v>
      </c>
      <c r="D567" s="2">
        <v>200</v>
      </c>
    </row>
    <row r="568" spans="1:4" x14ac:dyDescent="0.35">
      <c r="A568" t="s">
        <v>599</v>
      </c>
      <c r="B568">
        <f>MIN(0.12*Earnings!C568,1800)</f>
        <v>1800</v>
      </c>
      <c r="C568">
        <f>IF(Earnings!G568&lt;=21000,0.0075*Earnings!G568,0)</f>
        <v>0</v>
      </c>
      <c r="D568" s="2">
        <v>200</v>
      </c>
    </row>
    <row r="569" spans="1:4" x14ac:dyDescent="0.35">
      <c r="A569" t="s">
        <v>600</v>
      </c>
      <c r="B569">
        <f>MIN(0.12*Earnings!C569,1800)</f>
        <v>1800</v>
      </c>
      <c r="C569">
        <f>IF(Earnings!G569&lt;=21000,0.0075*Earnings!G569,0)</f>
        <v>0</v>
      </c>
      <c r="D569" s="2">
        <v>200</v>
      </c>
    </row>
    <row r="570" spans="1:4" x14ac:dyDescent="0.35">
      <c r="A570" t="s">
        <v>601</v>
      </c>
      <c r="B570">
        <f>MIN(0.12*Earnings!C570,1800)</f>
        <v>1800</v>
      </c>
      <c r="C570">
        <f>IF(Earnings!G570&lt;=21000,0.0075*Earnings!G570,0)</f>
        <v>0</v>
      </c>
      <c r="D570" s="2">
        <v>200</v>
      </c>
    </row>
    <row r="571" spans="1:4" x14ac:dyDescent="0.35">
      <c r="A571" t="s">
        <v>602</v>
      </c>
      <c r="B571">
        <f>MIN(0.12*Earnings!C571,1800)</f>
        <v>1800</v>
      </c>
      <c r="C571">
        <f>IF(Earnings!G571&lt;=21000,0.0075*Earnings!G571,0)</f>
        <v>0</v>
      </c>
      <c r="D571" s="2">
        <v>200</v>
      </c>
    </row>
    <row r="572" spans="1:4" x14ac:dyDescent="0.35">
      <c r="A572" t="s">
        <v>603</v>
      </c>
      <c r="B572">
        <f>MIN(0.12*Earnings!C572,1800)</f>
        <v>1800</v>
      </c>
      <c r="C572">
        <f>IF(Earnings!G572&lt;=21000,0.0075*Earnings!G572,0)</f>
        <v>0</v>
      </c>
      <c r="D572" s="2">
        <v>200</v>
      </c>
    </row>
    <row r="573" spans="1:4" x14ac:dyDescent="0.35">
      <c r="A573" t="s">
        <v>604</v>
      </c>
      <c r="B573">
        <f>MIN(0.12*Earnings!C573,1800)</f>
        <v>1800</v>
      </c>
      <c r="C573">
        <f>IF(Earnings!G573&lt;=21000,0.0075*Earnings!G573,0)</f>
        <v>0</v>
      </c>
      <c r="D573" s="2">
        <v>200</v>
      </c>
    </row>
    <row r="574" spans="1:4" x14ac:dyDescent="0.35">
      <c r="A574" t="s">
        <v>605</v>
      </c>
      <c r="B574">
        <f>MIN(0.12*Earnings!C574,1800)</f>
        <v>1800</v>
      </c>
      <c r="C574">
        <f>IF(Earnings!G574&lt;=21000,0.0075*Earnings!G574,0)</f>
        <v>0</v>
      </c>
      <c r="D574" s="2">
        <v>200</v>
      </c>
    </row>
    <row r="575" spans="1:4" x14ac:dyDescent="0.35">
      <c r="A575" t="s">
        <v>606</v>
      </c>
      <c r="B575">
        <f>MIN(0.12*Earnings!C575,1800)</f>
        <v>1800</v>
      </c>
      <c r="C575">
        <f>IF(Earnings!G575&lt;=21000,0.0075*Earnings!G575,0)</f>
        <v>0</v>
      </c>
      <c r="D575" s="2">
        <v>200</v>
      </c>
    </row>
    <row r="576" spans="1:4" x14ac:dyDescent="0.35">
      <c r="A576" t="s">
        <v>607</v>
      </c>
      <c r="B576">
        <f>MIN(0.12*Earnings!C576,1800)</f>
        <v>1800</v>
      </c>
      <c r="C576">
        <f>IF(Earnings!G576&lt;=21000,0.0075*Earnings!G576,0)</f>
        <v>0</v>
      </c>
      <c r="D576" s="2">
        <v>200</v>
      </c>
    </row>
    <row r="577" spans="1:4" x14ac:dyDescent="0.35">
      <c r="A577" t="s">
        <v>608</v>
      </c>
      <c r="B577">
        <f>MIN(0.12*Earnings!C577,1800)</f>
        <v>1800</v>
      </c>
      <c r="C577">
        <f>IF(Earnings!G577&lt;=21000,0.0075*Earnings!G577,0)</f>
        <v>0</v>
      </c>
      <c r="D577" s="2">
        <v>200</v>
      </c>
    </row>
    <row r="578" spans="1:4" x14ac:dyDescent="0.35">
      <c r="A578" t="s">
        <v>609</v>
      </c>
      <c r="B578">
        <f>MIN(0.12*Earnings!C578,1800)</f>
        <v>1800</v>
      </c>
      <c r="C578">
        <f>IF(Earnings!G578&lt;=21000,0.0075*Earnings!G578,0)</f>
        <v>0</v>
      </c>
      <c r="D578" s="2">
        <v>200</v>
      </c>
    </row>
    <row r="579" spans="1:4" x14ac:dyDescent="0.35">
      <c r="A579" t="s">
        <v>610</v>
      </c>
      <c r="B579">
        <f>MIN(0.12*Earnings!C579,1800)</f>
        <v>1800</v>
      </c>
      <c r="C579">
        <f>IF(Earnings!G579&lt;=21000,0.0075*Earnings!G579,0)</f>
        <v>0</v>
      </c>
      <c r="D579" s="2">
        <v>200</v>
      </c>
    </row>
    <row r="580" spans="1:4" x14ac:dyDescent="0.35">
      <c r="A580" t="s">
        <v>611</v>
      </c>
      <c r="B580">
        <f>MIN(0.12*Earnings!C580,1800)</f>
        <v>1800</v>
      </c>
      <c r="C580">
        <f>IF(Earnings!G580&lt;=21000,0.0075*Earnings!G580,0)</f>
        <v>0</v>
      </c>
      <c r="D580" s="2">
        <v>200</v>
      </c>
    </row>
    <row r="581" spans="1:4" x14ac:dyDescent="0.35">
      <c r="A581" t="s">
        <v>612</v>
      </c>
      <c r="B581">
        <f>MIN(0.12*Earnings!C581,1800)</f>
        <v>1800</v>
      </c>
      <c r="C581">
        <f>IF(Earnings!G581&lt;=21000,0.0075*Earnings!G581,0)</f>
        <v>0</v>
      </c>
      <c r="D581" s="2">
        <v>200</v>
      </c>
    </row>
    <row r="582" spans="1:4" x14ac:dyDescent="0.35">
      <c r="A582" t="s">
        <v>613</v>
      </c>
      <c r="B582">
        <f>MIN(0.12*Earnings!C582,1800)</f>
        <v>1800</v>
      </c>
      <c r="C582">
        <f>IF(Earnings!G582&lt;=21000,0.0075*Earnings!G582,0)</f>
        <v>0</v>
      </c>
      <c r="D582" s="2">
        <v>200</v>
      </c>
    </row>
    <row r="583" spans="1:4" x14ac:dyDescent="0.35">
      <c r="A583" t="s">
        <v>614</v>
      </c>
      <c r="B583">
        <f>MIN(0.12*Earnings!C583,1800)</f>
        <v>1800</v>
      </c>
      <c r="C583">
        <f>IF(Earnings!G583&lt;=21000,0.0075*Earnings!G583,0)</f>
        <v>0</v>
      </c>
      <c r="D583" s="2">
        <v>200</v>
      </c>
    </row>
    <row r="584" spans="1:4" x14ac:dyDescent="0.35">
      <c r="A584" t="s">
        <v>615</v>
      </c>
      <c r="B584">
        <f>MIN(0.12*Earnings!C584,1800)</f>
        <v>1800</v>
      </c>
      <c r="C584">
        <f>IF(Earnings!G584&lt;=21000,0.0075*Earnings!G584,0)</f>
        <v>0</v>
      </c>
      <c r="D584" s="2">
        <v>200</v>
      </c>
    </row>
    <row r="585" spans="1:4" x14ac:dyDescent="0.35">
      <c r="A585" t="s">
        <v>616</v>
      </c>
      <c r="B585">
        <f>MIN(0.12*Earnings!C585,1800)</f>
        <v>1800</v>
      </c>
      <c r="C585">
        <f>IF(Earnings!G585&lt;=21000,0.0075*Earnings!G585,0)</f>
        <v>0</v>
      </c>
      <c r="D585" s="2">
        <v>200</v>
      </c>
    </row>
    <row r="586" spans="1:4" x14ac:dyDescent="0.35">
      <c r="A586" t="s">
        <v>617</v>
      </c>
      <c r="B586">
        <f>MIN(0.12*Earnings!C586,1800)</f>
        <v>1800</v>
      </c>
      <c r="C586">
        <f>IF(Earnings!G586&lt;=21000,0.0075*Earnings!G586,0)</f>
        <v>0</v>
      </c>
      <c r="D586" s="2">
        <v>200</v>
      </c>
    </row>
    <row r="587" spans="1:4" x14ac:dyDescent="0.35">
      <c r="A587" t="s">
        <v>618</v>
      </c>
      <c r="B587">
        <f>MIN(0.12*Earnings!C587,1800)</f>
        <v>1800</v>
      </c>
      <c r="C587">
        <f>IF(Earnings!G587&lt;=21000,0.0075*Earnings!G587,0)</f>
        <v>0</v>
      </c>
      <c r="D587" s="2">
        <v>200</v>
      </c>
    </row>
    <row r="588" spans="1:4" x14ac:dyDescent="0.35">
      <c r="A588" t="s">
        <v>619</v>
      </c>
      <c r="B588">
        <f>MIN(0.12*Earnings!C588,1800)</f>
        <v>1800</v>
      </c>
      <c r="C588">
        <f>IF(Earnings!G588&lt;=21000,0.0075*Earnings!G588,0)</f>
        <v>0</v>
      </c>
      <c r="D588" s="2">
        <v>200</v>
      </c>
    </row>
    <row r="589" spans="1:4" x14ac:dyDescent="0.35">
      <c r="A589" t="s">
        <v>620</v>
      </c>
      <c r="B589">
        <f>MIN(0.12*Earnings!C589,1800)</f>
        <v>1800</v>
      </c>
      <c r="C589">
        <f>IF(Earnings!G589&lt;=21000,0.0075*Earnings!G589,0)</f>
        <v>0</v>
      </c>
      <c r="D589" s="2">
        <v>200</v>
      </c>
    </row>
    <row r="590" spans="1:4" x14ac:dyDescent="0.35">
      <c r="A590" t="s">
        <v>621</v>
      </c>
      <c r="B590">
        <f>MIN(0.12*Earnings!C590,1800)</f>
        <v>1800</v>
      </c>
      <c r="C590">
        <f>IF(Earnings!G590&lt;=21000,0.0075*Earnings!G590,0)</f>
        <v>0</v>
      </c>
      <c r="D590" s="2">
        <v>200</v>
      </c>
    </row>
    <row r="591" spans="1:4" x14ac:dyDescent="0.35">
      <c r="A591" t="s">
        <v>622</v>
      </c>
      <c r="B591">
        <f>MIN(0.12*Earnings!C591,1800)</f>
        <v>1800</v>
      </c>
      <c r="C591">
        <f>IF(Earnings!G591&lt;=21000,0.0075*Earnings!G591,0)</f>
        <v>0</v>
      </c>
      <c r="D591" s="2">
        <v>200</v>
      </c>
    </row>
    <row r="592" spans="1:4" x14ac:dyDescent="0.35">
      <c r="A592" t="s">
        <v>623</v>
      </c>
      <c r="B592">
        <f>MIN(0.12*Earnings!C592,1800)</f>
        <v>1800</v>
      </c>
      <c r="C592">
        <f>IF(Earnings!G592&lt;=21000,0.0075*Earnings!G592,0)</f>
        <v>0</v>
      </c>
      <c r="D592" s="2">
        <v>200</v>
      </c>
    </row>
    <row r="593" spans="1:4" x14ac:dyDescent="0.35">
      <c r="A593" t="s">
        <v>624</v>
      </c>
      <c r="B593">
        <f>MIN(0.12*Earnings!C593,1800)</f>
        <v>1800</v>
      </c>
      <c r="C593">
        <f>IF(Earnings!G593&lt;=21000,0.0075*Earnings!G593,0)</f>
        <v>0</v>
      </c>
      <c r="D593" s="2">
        <v>200</v>
      </c>
    </row>
    <row r="594" spans="1:4" x14ac:dyDescent="0.35">
      <c r="A594" t="s">
        <v>625</v>
      </c>
      <c r="B594">
        <f>MIN(0.12*Earnings!C594,1800)</f>
        <v>1800</v>
      </c>
      <c r="C594">
        <f>IF(Earnings!G594&lt;=21000,0.0075*Earnings!G594,0)</f>
        <v>0</v>
      </c>
      <c r="D594" s="2">
        <v>200</v>
      </c>
    </row>
    <row r="595" spans="1:4" x14ac:dyDescent="0.35">
      <c r="A595" t="s">
        <v>626</v>
      </c>
      <c r="B595">
        <f>MIN(0.12*Earnings!C595,1800)</f>
        <v>1800</v>
      </c>
      <c r="C595">
        <f>IF(Earnings!G595&lt;=21000,0.0075*Earnings!G595,0)</f>
        <v>0</v>
      </c>
      <c r="D595" s="2">
        <v>200</v>
      </c>
    </row>
    <row r="596" spans="1:4" x14ac:dyDescent="0.35">
      <c r="A596" t="s">
        <v>627</v>
      </c>
      <c r="B596">
        <f>MIN(0.12*Earnings!C596,1800)</f>
        <v>1800</v>
      </c>
      <c r="C596">
        <f>IF(Earnings!G596&lt;=21000,0.0075*Earnings!G596,0)</f>
        <v>0</v>
      </c>
      <c r="D596" s="2">
        <v>200</v>
      </c>
    </row>
    <row r="597" spans="1:4" x14ac:dyDescent="0.35">
      <c r="A597" t="s">
        <v>628</v>
      </c>
      <c r="B597">
        <f>MIN(0.12*Earnings!C597,1800)</f>
        <v>1800</v>
      </c>
      <c r="C597">
        <f>IF(Earnings!G597&lt;=21000,0.0075*Earnings!G597,0)</f>
        <v>0</v>
      </c>
      <c r="D597" s="2">
        <v>200</v>
      </c>
    </row>
    <row r="598" spans="1:4" x14ac:dyDescent="0.35">
      <c r="A598" t="s">
        <v>629</v>
      </c>
      <c r="B598">
        <f>MIN(0.12*Earnings!C598,1800)</f>
        <v>1800</v>
      </c>
      <c r="C598">
        <f>IF(Earnings!G598&lt;=21000,0.0075*Earnings!G598,0)</f>
        <v>0</v>
      </c>
      <c r="D598" s="2">
        <v>200</v>
      </c>
    </row>
    <row r="599" spans="1:4" x14ac:dyDescent="0.35">
      <c r="A599" t="s">
        <v>630</v>
      </c>
      <c r="B599">
        <f>MIN(0.12*Earnings!C599,1800)</f>
        <v>1800</v>
      </c>
      <c r="C599">
        <f>IF(Earnings!G599&lt;=21000,0.0075*Earnings!G599,0)</f>
        <v>0</v>
      </c>
      <c r="D599" s="2">
        <v>200</v>
      </c>
    </row>
    <row r="600" spans="1:4" x14ac:dyDescent="0.35">
      <c r="A600" t="s">
        <v>631</v>
      </c>
      <c r="B600">
        <f>MIN(0.12*Earnings!C600,1800)</f>
        <v>1800</v>
      </c>
      <c r="C600">
        <f>IF(Earnings!G600&lt;=21000,0.0075*Earnings!G600,0)</f>
        <v>0</v>
      </c>
      <c r="D600" s="2">
        <v>200</v>
      </c>
    </row>
    <row r="601" spans="1:4" x14ac:dyDescent="0.35">
      <c r="A601" t="s">
        <v>632</v>
      </c>
      <c r="B601">
        <f>MIN(0.12*Earnings!C601,1800)</f>
        <v>1800</v>
      </c>
      <c r="C601">
        <f>IF(Earnings!G601&lt;=21000,0.0075*Earnings!G601,0)</f>
        <v>0</v>
      </c>
      <c r="D601" s="2">
        <v>200</v>
      </c>
    </row>
    <row r="602" spans="1:4" x14ac:dyDescent="0.35">
      <c r="A602" t="s">
        <v>633</v>
      </c>
      <c r="B602">
        <f>MIN(0.12*Earnings!C602,1800)</f>
        <v>1800</v>
      </c>
      <c r="C602">
        <f>IF(Earnings!G602&lt;=21000,0.0075*Earnings!G602,0)</f>
        <v>0</v>
      </c>
      <c r="D602" s="2">
        <v>200</v>
      </c>
    </row>
    <row r="603" spans="1:4" x14ac:dyDescent="0.35">
      <c r="A603" t="s">
        <v>634</v>
      </c>
      <c r="B603">
        <f>MIN(0.12*Earnings!C603,1800)</f>
        <v>1800</v>
      </c>
      <c r="C603">
        <f>IF(Earnings!G603&lt;=21000,0.0075*Earnings!G603,0)</f>
        <v>0</v>
      </c>
      <c r="D603" s="2">
        <v>200</v>
      </c>
    </row>
    <row r="604" spans="1:4" x14ac:dyDescent="0.35">
      <c r="A604" t="s">
        <v>635</v>
      </c>
      <c r="B604">
        <f>MIN(0.12*Earnings!C604,1800)</f>
        <v>1800</v>
      </c>
      <c r="C604">
        <f>IF(Earnings!G604&lt;=21000,0.0075*Earnings!G604,0)</f>
        <v>0</v>
      </c>
      <c r="D604" s="2">
        <v>200</v>
      </c>
    </row>
    <row r="605" spans="1:4" x14ac:dyDescent="0.35">
      <c r="A605" t="s">
        <v>636</v>
      </c>
      <c r="B605">
        <f>MIN(0.12*Earnings!C605,1800)</f>
        <v>1800</v>
      </c>
      <c r="C605">
        <f>IF(Earnings!G605&lt;=21000,0.0075*Earnings!G605,0)</f>
        <v>0</v>
      </c>
      <c r="D605" s="2">
        <v>200</v>
      </c>
    </row>
    <row r="606" spans="1:4" x14ac:dyDescent="0.35">
      <c r="A606" t="s">
        <v>637</v>
      </c>
      <c r="B606">
        <f>MIN(0.12*Earnings!C606,1800)</f>
        <v>1800</v>
      </c>
      <c r="C606">
        <f>IF(Earnings!G606&lt;=21000,0.0075*Earnings!G606,0)</f>
        <v>0</v>
      </c>
      <c r="D606" s="2">
        <v>200</v>
      </c>
    </row>
    <row r="607" spans="1:4" x14ac:dyDescent="0.35">
      <c r="A607" t="s">
        <v>638</v>
      </c>
      <c r="B607">
        <f>MIN(0.12*Earnings!C607,1800)</f>
        <v>1800</v>
      </c>
      <c r="C607">
        <f>IF(Earnings!G607&lt;=21000,0.0075*Earnings!G607,0)</f>
        <v>0</v>
      </c>
      <c r="D607" s="2">
        <v>200</v>
      </c>
    </row>
    <row r="608" spans="1:4" x14ac:dyDescent="0.35">
      <c r="A608" t="s">
        <v>639</v>
      </c>
      <c r="B608">
        <f>MIN(0.12*Earnings!C608,1800)</f>
        <v>1800</v>
      </c>
      <c r="C608">
        <f>IF(Earnings!G608&lt;=21000,0.0075*Earnings!G608,0)</f>
        <v>0</v>
      </c>
      <c r="D608" s="2">
        <v>200</v>
      </c>
    </row>
    <row r="609" spans="1:4" x14ac:dyDescent="0.35">
      <c r="A609" t="s">
        <v>640</v>
      </c>
      <c r="B609">
        <f>MIN(0.12*Earnings!C609,1800)</f>
        <v>1800</v>
      </c>
      <c r="C609">
        <f>IF(Earnings!G609&lt;=21000,0.0075*Earnings!G609,0)</f>
        <v>0</v>
      </c>
      <c r="D609" s="2">
        <v>200</v>
      </c>
    </row>
    <row r="610" spans="1:4" x14ac:dyDescent="0.35">
      <c r="A610" t="s">
        <v>641</v>
      </c>
      <c r="B610">
        <f>MIN(0.12*Earnings!C610,1800)</f>
        <v>1800</v>
      </c>
      <c r="C610">
        <f>IF(Earnings!G610&lt;=21000,0.0075*Earnings!G610,0)</f>
        <v>0</v>
      </c>
      <c r="D610" s="2">
        <v>200</v>
      </c>
    </row>
    <row r="611" spans="1:4" x14ac:dyDescent="0.35">
      <c r="A611" t="s">
        <v>642</v>
      </c>
      <c r="B611">
        <f>MIN(0.12*Earnings!C611,1800)</f>
        <v>1800</v>
      </c>
      <c r="C611">
        <f>IF(Earnings!G611&lt;=21000,0.0075*Earnings!G611,0)</f>
        <v>0</v>
      </c>
      <c r="D611" s="2">
        <v>200</v>
      </c>
    </row>
    <row r="612" spans="1:4" x14ac:dyDescent="0.35">
      <c r="A612" t="s">
        <v>643</v>
      </c>
      <c r="B612">
        <f>MIN(0.12*Earnings!C612,1800)</f>
        <v>1800</v>
      </c>
      <c r="C612">
        <f>IF(Earnings!G612&lt;=21000,0.0075*Earnings!G612,0)</f>
        <v>0</v>
      </c>
      <c r="D612" s="2">
        <v>200</v>
      </c>
    </row>
    <row r="613" spans="1:4" x14ac:dyDescent="0.35">
      <c r="A613" t="s">
        <v>644</v>
      </c>
      <c r="B613">
        <f>MIN(0.12*Earnings!C613,1800)</f>
        <v>1800</v>
      </c>
      <c r="C613">
        <f>IF(Earnings!G613&lt;=21000,0.0075*Earnings!G613,0)</f>
        <v>0</v>
      </c>
      <c r="D613" s="2">
        <v>200</v>
      </c>
    </row>
    <row r="614" spans="1:4" x14ac:dyDescent="0.35">
      <c r="A614" t="s">
        <v>645</v>
      </c>
      <c r="B614">
        <f>MIN(0.12*Earnings!C614,1800)</f>
        <v>1800</v>
      </c>
      <c r="C614">
        <f>IF(Earnings!G614&lt;=21000,0.0075*Earnings!G614,0)</f>
        <v>0</v>
      </c>
      <c r="D614" s="2">
        <v>200</v>
      </c>
    </row>
    <row r="615" spans="1:4" x14ac:dyDescent="0.35">
      <c r="A615" t="s">
        <v>646</v>
      </c>
      <c r="B615">
        <f>MIN(0.12*Earnings!C615,1800)</f>
        <v>1800</v>
      </c>
      <c r="C615">
        <f>IF(Earnings!G615&lt;=21000,0.0075*Earnings!G615,0)</f>
        <v>0</v>
      </c>
      <c r="D615" s="2">
        <v>200</v>
      </c>
    </row>
    <row r="616" spans="1:4" x14ac:dyDescent="0.35">
      <c r="A616" t="s">
        <v>647</v>
      </c>
      <c r="B616">
        <f>MIN(0.12*Earnings!C616,1800)</f>
        <v>1800</v>
      </c>
      <c r="C616">
        <f>IF(Earnings!G616&lt;=21000,0.0075*Earnings!G616,0)</f>
        <v>0</v>
      </c>
      <c r="D616" s="2">
        <v>200</v>
      </c>
    </row>
    <row r="617" spans="1:4" x14ac:dyDescent="0.35">
      <c r="A617" t="s">
        <v>648</v>
      </c>
      <c r="B617">
        <f>MIN(0.12*Earnings!C617,1800)</f>
        <v>1800</v>
      </c>
      <c r="C617">
        <f>IF(Earnings!G617&lt;=21000,0.0075*Earnings!G617,0)</f>
        <v>0</v>
      </c>
      <c r="D617" s="2">
        <v>200</v>
      </c>
    </row>
    <row r="618" spans="1:4" x14ac:dyDescent="0.35">
      <c r="A618" t="s">
        <v>649</v>
      </c>
      <c r="B618">
        <f>MIN(0.12*Earnings!C618,1800)</f>
        <v>1800</v>
      </c>
      <c r="C618">
        <f>IF(Earnings!G618&lt;=21000,0.0075*Earnings!G618,0)</f>
        <v>0</v>
      </c>
      <c r="D618" s="2">
        <v>200</v>
      </c>
    </row>
    <row r="619" spans="1:4" x14ac:dyDescent="0.35">
      <c r="A619" t="s">
        <v>650</v>
      </c>
      <c r="B619">
        <f>MIN(0.12*Earnings!C619,1800)</f>
        <v>1800</v>
      </c>
      <c r="C619">
        <f>IF(Earnings!G619&lt;=21000,0.0075*Earnings!G619,0)</f>
        <v>0</v>
      </c>
      <c r="D619" s="2">
        <v>200</v>
      </c>
    </row>
    <row r="620" spans="1:4" x14ac:dyDescent="0.35">
      <c r="A620" t="s">
        <v>651</v>
      </c>
      <c r="B620">
        <f>MIN(0.12*Earnings!C620,1800)</f>
        <v>1800</v>
      </c>
      <c r="C620">
        <f>IF(Earnings!G620&lt;=21000,0.0075*Earnings!G620,0)</f>
        <v>0</v>
      </c>
      <c r="D620" s="2">
        <v>200</v>
      </c>
    </row>
    <row r="621" spans="1:4" x14ac:dyDescent="0.35">
      <c r="A621" t="s">
        <v>652</v>
      </c>
      <c r="B621">
        <f>MIN(0.12*Earnings!C621,1800)</f>
        <v>1800</v>
      </c>
      <c r="C621">
        <f>IF(Earnings!G621&lt;=21000,0.0075*Earnings!G621,0)</f>
        <v>0</v>
      </c>
      <c r="D621" s="2">
        <v>200</v>
      </c>
    </row>
    <row r="622" spans="1:4" x14ac:dyDescent="0.35">
      <c r="A622" t="s">
        <v>653</v>
      </c>
      <c r="B622">
        <f>MIN(0.12*Earnings!C622,1800)</f>
        <v>1800</v>
      </c>
      <c r="C622">
        <f>IF(Earnings!G622&lt;=21000,0.0075*Earnings!G622,0)</f>
        <v>0</v>
      </c>
      <c r="D622" s="2">
        <v>200</v>
      </c>
    </row>
    <row r="623" spans="1:4" x14ac:dyDescent="0.35">
      <c r="A623" t="s">
        <v>654</v>
      </c>
      <c r="B623">
        <f>MIN(0.12*Earnings!C623,1800)</f>
        <v>1800</v>
      </c>
      <c r="C623">
        <f>IF(Earnings!G623&lt;=21000,0.0075*Earnings!G623,0)</f>
        <v>0</v>
      </c>
      <c r="D623" s="2">
        <v>200</v>
      </c>
    </row>
    <row r="624" spans="1:4" x14ac:dyDescent="0.35">
      <c r="A624" t="s">
        <v>655</v>
      </c>
      <c r="B624">
        <f>MIN(0.12*Earnings!C624,1800)</f>
        <v>1800</v>
      </c>
      <c r="C624">
        <f>IF(Earnings!G624&lt;=21000,0.0075*Earnings!G624,0)</f>
        <v>0</v>
      </c>
      <c r="D624" s="2">
        <v>200</v>
      </c>
    </row>
    <row r="625" spans="1:4" x14ac:dyDescent="0.35">
      <c r="A625" t="s">
        <v>656</v>
      </c>
      <c r="B625">
        <f>MIN(0.12*Earnings!C625,1800)</f>
        <v>1800</v>
      </c>
      <c r="C625">
        <f>IF(Earnings!G625&lt;=21000,0.0075*Earnings!G625,0)</f>
        <v>0</v>
      </c>
      <c r="D625" s="2">
        <v>200</v>
      </c>
    </row>
    <row r="626" spans="1:4" x14ac:dyDescent="0.35">
      <c r="A626" t="s">
        <v>657</v>
      </c>
      <c r="B626">
        <f>MIN(0.12*Earnings!C626,1800)</f>
        <v>1800</v>
      </c>
      <c r="C626">
        <f>IF(Earnings!G626&lt;=21000,0.0075*Earnings!G626,0)</f>
        <v>0</v>
      </c>
      <c r="D626" s="2">
        <v>200</v>
      </c>
    </row>
    <row r="627" spans="1:4" x14ac:dyDescent="0.35">
      <c r="A627" t="s">
        <v>658</v>
      </c>
      <c r="B627">
        <f>MIN(0.12*Earnings!C627,1800)</f>
        <v>1800</v>
      </c>
      <c r="C627">
        <f>IF(Earnings!G627&lt;=21000,0.0075*Earnings!G627,0)</f>
        <v>0</v>
      </c>
      <c r="D627" s="2">
        <v>200</v>
      </c>
    </row>
    <row r="628" spans="1:4" x14ac:dyDescent="0.35">
      <c r="A628" t="s">
        <v>659</v>
      </c>
      <c r="B628">
        <f>MIN(0.12*Earnings!C628,1800)</f>
        <v>1800</v>
      </c>
      <c r="C628">
        <f>IF(Earnings!G628&lt;=21000,0.0075*Earnings!G628,0)</f>
        <v>0</v>
      </c>
      <c r="D628" s="2">
        <v>200</v>
      </c>
    </row>
    <row r="629" spans="1:4" x14ac:dyDescent="0.35">
      <c r="A629" t="s">
        <v>660</v>
      </c>
      <c r="B629">
        <f>MIN(0.12*Earnings!C629,1800)</f>
        <v>1800</v>
      </c>
      <c r="C629">
        <f>IF(Earnings!G629&lt;=21000,0.0075*Earnings!G629,0)</f>
        <v>0</v>
      </c>
      <c r="D629" s="2">
        <v>200</v>
      </c>
    </row>
    <row r="630" spans="1:4" x14ac:dyDescent="0.35">
      <c r="A630" t="s">
        <v>661</v>
      </c>
      <c r="B630">
        <f>MIN(0.12*Earnings!C630,1800)</f>
        <v>1800</v>
      </c>
      <c r="C630">
        <f>IF(Earnings!G630&lt;=21000,0.0075*Earnings!G630,0)</f>
        <v>0</v>
      </c>
      <c r="D630" s="2">
        <v>200</v>
      </c>
    </row>
    <row r="631" spans="1:4" x14ac:dyDescent="0.35">
      <c r="A631" t="s">
        <v>662</v>
      </c>
      <c r="B631">
        <f>MIN(0.12*Earnings!C631,1800)</f>
        <v>1800</v>
      </c>
      <c r="C631">
        <f>IF(Earnings!G631&lt;=21000,0.0075*Earnings!G631,0)</f>
        <v>0</v>
      </c>
      <c r="D631" s="2">
        <v>200</v>
      </c>
    </row>
    <row r="632" spans="1:4" x14ac:dyDescent="0.35">
      <c r="A632" t="s">
        <v>663</v>
      </c>
      <c r="B632">
        <f>MIN(0.12*Earnings!C632,1800)</f>
        <v>1800</v>
      </c>
      <c r="C632">
        <f>IF(Earnings!G632&lt;=21000,0.0075*Earnings!G632,0)</f>
        <v>0</v>
      </c>
      <c r="D632" s="2">
        <v>200</v>
      </c>
    </row>
    <row r="633" spans="1:4" x14ac:dyDescent="0.35">
      <c r="A633" t="s">
        <v>664</v>
      </c>
      <c r="B633">
        <f>MIN(0.12*Earnings!C633,1800)</f>
        <v>1800</v>
      </c>
      <c r="C633">
        <f>IF(Earnings!G633&lt;=21000,0.0075*Earnings!G633,0)</f>
        <v>0</v>
      </c>
      <c r="D633" s="2">
        <v>200</v>
      </c>
    </row>
    <row r="634" spans="1:4" x14ac:dyDescent="0.35">
      <c r="A634" t="s">
        <v>665</v>
      </c>
      <c r="B634">
        <f>MIN(0.12*Earnings!C634,1800)</f>
        <v>1800</v>
      </c>
      <c r="C634">
        <f>IF(Earnings!G634&lt;=21000,0.0075*Earnings!G634,0)</f>
        <v>0</v>
      </c>
      <c r="D634" s="2">
        <v>200</v>
      </c>
    </row>
    <row r="635" spans="1:4" x14ac:dyDescent="0.35">
      <c r="A635" t="s">
        <v>666</v>
      </c>
      <c r="B635">
        <f>MIN(0.12*Earnings!C635,1800)</f>
        <v>1800</v>
      </c>
      <c r="C635">
        <f>IF(Earnings!G635&lt;=21000,0.0075*Earnings!G635,0)</f>
        <v>0</v>
      </c>
      <c r="D635" s="2">
        <v>200</v>
      </c>
    </row>
    <row r="636" spans="1:4" x14ac:dyDescent="0.35">
      <c r="A636" t="s">
        <v>667</v>
      </c>
      <c r="B636">
        <f>MIN(0.12*Earnings!C636,1800)</f>
        <v>1800</v>
      </c>
      <c r="C636">
        <f>IF(Earnings!G636&lt;=21000,0.0075*Earnings!G636,0)</f>
        <v>0</v>
      </c>
      <c r="D636" s="2">
        <v>200</v>
      </c>
    </row>
    <row r="637" spans="1:4" x14ac:dyDescent="0.35">
      <c r="A637" t="s">
        <v>668</v>
      </c>
      <c r="B637">
        <f>MIN(0.12*Earnings!C637,1800)</f>
        <v>1800</v>
      </c>
      <c r="C637">
        <f>IF(Earnings!G637&lt;=21000,0.0075*Earnings!G637,0)</f>
        <v>0</v>
      </c>
      <c r="D637" s="2">
        <v>200</v>
      </c>
    </row>
    <row r="638" spans="1:4" x14ac:dyDescent="0.35">
      <c r="A638" t="s">
        <v>669</v>
      </c>
      <c r="B638">
        <f>MIN(0.12*Earnings!C638,1800)</f>
        <v>1800</v>
      </c>
      <c r="C638">
        <f>IF(Earnings!G638&lt;=21000,0.0075*Earnings!G638,0)</f>
        <v>0</v>
      </c>
      <c r="D638" s="2">
        <v>200</v>
      </c>
    </row>
    <row r="639" spans="1:4" x14ac:dyDescent="0.35">
      <c r="A639" t="s">
        <v>670</v>
      </c>
      <c r="B639">
        <f>MIN(0.12*Earnings!C639,1800)</f>
        <v>1800</v>
      </c>
      <c r="C639">
        <f>IF(Earnings!G639&lt;=21000,0.0075*Earnings!G639,0)</f>
        <v>0</v>
      </c>
      <c r="D639" s="2">
        <v>200</v>
      </c>
    </row>
    <row r="640" spans="1:4" x14ac:dyDescent="0.35">
      <c r="A640" t="s">
        <v>671</v>
      </c>
      <c r="B640">
        <f>MIN(0.12*Earnings!C640,1800)</f>
        <v>1800</v>
      </c>
      <c r="C640">
        <f>IF(Earnings!G640&lt;=21000,0.0075*Earnings!G640,0)</f>
        <v>0</v>
      </c>
      <c r="D640" s="2">
        <v>200</v>
      </c>
    </row>
    <row r="641" spans="1:4" x14ac:dyDescent="0.35">
      <c r="A641" t="s">
        <v>672</v>
      </c>
      <c r="B641">
        <f>MIN(0.12*Earnings!C641,1800)</f>
        <v>1800</v>
      </c>
      <c r="C641">
        <f>IF(Earnings!G641&lt;=21000,0.0075*Earnings!G641,0)</f>
        <v>0</v>
      </c>
      <c r="D641" s="2">
        <v>200</v>
      </c>
    </row>
    <row r="642" spans="1:4" x14ac:dyDescent="0.35">
      <c r="A642" t="s">
        <v>673</v>
      </c>
      <c r="B642">
        <f>MIN(0.12*Earnings!C642,1800)</f>
        <v>1800</v>
      </c>
      <c r="C642">
        <f>IF(Earnings!G642&lt;=21000,0.0075*Earnings!G642,0)</f>
        <v>0</v>
      </c>
      <c r="D642" s="2">
        <v>200</v>
      </c>
    </row>
    <row r="643" spans="1:4" x14ac:dyDescent="0.35">
      <c r="A643" t="s">
        <v>674</v>
      </c>
      <c r="B643">
        <f>MIN(0.12*Earnings!C643,1800)</f>
        <v>1800</v>
      </c>
      <c r="C643">
        <f>IF(Earnings!G643&lt;=21000,0.0075*Earnings!G643,0)</f>
        <v>0</v>
      </c>
      <c r="D643" s="2">
        <v>200</v>
      </c>
    </row>
    <row r="644" spans="1:4" x14ac:dyDescent="0.35">
      <c r="A644" t="s">
        <v>675</v>
      </c>
      <c r="B644">
        <f>MIN(0.12*Earnings!C644,1800)</f>
        <v>1800</v>
      </c>
      <c r="C644">
        <f>IF(Earnings!G644&lt;=21000,0.0075*Earnings!G644,0)</f>
        <v>0</v>
      </c>
      <c r="D644" s="2">
        <v>200</v>
      </c>
    </row>
    <row r="645" spans="1:4" x14ac:dyDescent="0.35">
      <c r="A645" t="s">
        <v>676</v>
      </c>
      <c r="B645">
        <f>MIN(0.12*Earnings!C645,1800)</f>
        <v>1800</v>
      </c>
      <c r="C645">
        <f>IF(Earnings!G645&lt;=21000,0.0075*Earnings!G645,0)</f>
        <v>0</v>
      </c>
      <c r="D645" s="2">
        <v>200</v>
      </c>
    </row>
    <row r="646" spans="1:4" x14ac:dyDescent="0.35">
      <c r="A646" t="s">
        <v>677</v>
      </c>
      <c r="B646">
        <f>MIN(0.12*Earnings!C646,1800)</f>
        <v>1800</v>
      </c>
      <c r="C646">
        <f>IF(Earnings!G646&lt;=21000,0.0075*Earnings!G646,0)</f>
        <v>0</v>
      </c>
      <c r="D646" s="2">
        <v>200</v>
      </c>
    </row>
    <row r="647" spans="1:4" x14ac:dyDescent="0.35">
      <c r="A647" t="s">
        <v>678</v>
      </c>
      <c r="B647">
        <f>MIN(0.12*Earnings!C647,1800)</f>
        <v>1800</v>
      </c>
      <c r="C647">
        <f>IF(Earnings!G647&lt;=21000,0.0075*Earnings!G647,0)</f>
        <v>0</v>
      </c>
      <c r="D647" s="2">
        <v>200</v>
      </c>
    </row>
    <row r="648" spans="1:4" x14ac:dyDescent="0.35">
      <c r="A648" t="s">
        <v>679</v>
      </c>
      <c r="B648">
        <f>MIN(0.12*Earnings!C648,1800)</f>
        <v>1800</v>
      </c>
      <c r="C648">
        <f>IF(Earnings!G648&lt;=21000,0.0075*Earnings!G648,0)</f>
        <v>0</v>
      </c>
      <c r="D648" s="2">
        <v>200</v>
      </c>
    </row>
    <row r="649" spans="1:4" x14ac:dyDescent="0.35">
      <c r="A649" t="s">
        <v>680</v>
      </c>
      <c r="B649">
        <f>MIN(0.12*Earnings!C649,1800)</f>
        <v>1800</v>
      </c>
      <c r="C649">
        <f>IF(Earnings!G649&lt;=21000,0.0075*Earnings!G649,0)</f>
        <v>0</v>
      </c>
      <c r="D649" s="2">
        <v>200</v>
      </c>
    </row>
    <row r="650" spans="1:4" x14ac:dyDescent="0.35">
      <c r="A650" t="s">
        <v>681</v>
      </c>
      <c r="B650">
        <f>MIN(0.12*Earnings!C650,1800)</f>
        <v>1800</v>
      </c>
      <c r="C650">
        <f>IF(Earnings!G650&lt;=21000,0.0075*Earnings!G650,0)</f>
        <v>0</v>
      </c>
      <c r="D650" s="2">
        <v>200</v>
      </c>
    </row>
    <row r="651" spans="1:4" x14ac:dyDescent="0.35">
      <c r="A651" t="s">
        <v>682</v>
      </c>
      <c r="B651">
        <f>MIN(0.12*Earnings!C651,1800)</f>
        <v>1800</v>
      </c>
      <c r="C651">
        <f>IF(Earnings!G651&lt;=21000,0.0075*Earnings!G651,0)</f>
        <v>0</v>
      </c>
      <c r="D651" s="2">
        <v>200</v>
      </c>
    </row>
    <row r="652" spans="1:4" x14ac:dyDescent="0.35">
      <c r="A652" t="s">
        <v>683</v>
      </c>
      <c r="B652">
        <f>MIN(0.12*Earnings!C652,1800)</f>
        <v>1800</v>
      </c>
      <c r="C652">
        <f>IF(Earnings!G652&lt;=21000,0.0075*Earnings!G652,0)</f>
        <v>0</v>
      </c>
      <c r="D652" s="2">
        <v>200</v>
      </c>
    </row>
    <row r="653" spans="1:4" x14ac:dyDescent="0.35">
      <c r="A653" t="s">
        <v>684</v>
      </c>
      <c r="B653">
        <f>MIN(0.12*Earnings!C653,1800)</f>
        <v>1800</v>
      </c>
      <c r="C653">
        <f>IF(Earnings!G653&lt;=21000,0.0075*Earnings!G653,0)</f>
        <v>0</v>
      </c>
      <c r="D653" s="2">
        <v>200</v>
      </c>
    </row>
    <row r="654" spans="1:4" x14ac:dyDescent="0.35">
      <c r="A654" t="s">
        <v>685</v>
      </c>
      <c r="B654">
        <f>MIN(0.12*Earnings!C654,1800)</f>
        <v>1800</v>
      </c>
      <c r="C654">
        <f>IF(Earnings!G654&lt;=21000,0.0075*Earnings!G654,0)</f>
        <v>0</v>
      </c>
      <c r="D654" s="2">
        <v>200</v>
      </c>
    </row>
    <row r="655" spans="1:4" x14ac:dyDescent="0.35">
      <c r="A655" t="s">
        <v>686</v>
      </c>
      <c r="B655">
        <f>MIN(0.12*Earnings!C655,1800)</f>
        <v>1800</v>
      </c>
      <c r="C655">
        <f>IF(Earnings!G655&lt;=21000,0.0075*Earnings!G655,0)</f>
        <v>0</v>
      </c>
      <c r="D655" s="2">
        <v>200</v>
      </c>
    </row>
    <row r="656" spans="1:4" x14ac:dyDescent="0.35">
      <c r="A656" t="s">
        <v>687</v>
      </c>
      <c r="B656">
        <f>MIN(0.12*Earnings!C656,1800)</f>
        <v>1800</v>
      </c>
      <c r="C656">
        <f>IF(Earnings!G656&lt;=21000,0.0075*Earnings!G656,0)</f>
        <v>0</v>
      </c>
      <c r="D656" s="2">
        <v>200</v>
      </c>
    </row>
    <row r="657" spans="1:4" x14ac:dyDescent="0.35">
      <c r="A657" t="s">
        <v>688</v>
      </c>
      <c r="B657">
        <f>MIN(0.12*Earnings!C657,1800)</f>
        <v>1800</v>
      </c>
      <c r="C657">
        <f>IF(Earnings!G657&lt;=21000,0.0075*Earnings!G657,0)</f>
        <v>0</v>
      </c>
      <c r="D657" s="2">
        <v>200</v>
      </c>
    </row>
    <row r="658" spans="1:4" x14ac:dyDescent="0.35">
      <c r="A658" t="s">
        <v>689</v>
      </c>
      <c r="B658">
        <f>MIN(0.12*Earnings!C658,1800)</f>
        <v>1800</v>
      </c>
      <c r="C658">
        <f>IF(Earnings!G658&lt;=21000,0.0075*Earnings!G658,0)</f>
        <v>0</v>
      </c>
      <c r="D658" s="2">
        <v>200</v>
      </c>
    </row>
    <row r="659" spans="1:4" x14ac:dyDescent="0.35">
      <c r="A659" t="s">
        <v>690</v>
      </c>
      <c r="B659">
        <f>MIN(0.12*Earnings!C659,1800)</f>
        <v>1800</v>
      </c>
      <c r="C659">
        <f>IF(Earnings!G659&lt;=21000,0.0075*Earnings!G659,0)</f>
        <v>0</v>
      </c>
      <c r="D659" s="2">
        <v>200</v>
      </c>
    </row>
    <row r="660" spans="1:4" x14ac:dyDescent="0.35">
      <c r="A660" t="s">
        <v>691</v>
      </c>
      <c r="B660">
        <f>MIN(0.12*Earnings!C660,1800)</f>
        <v>1800</v>
      </c>
      <c r="C660">
        <f>IF(Earnings!G660&lt;=21000,0.0075*Earnings!G660,0)</f>
        <v>0</v>
      </c>
      <c r="D660" s="2">
        <v>200</v>
      </c>
    </row>
    <row r="661" spans="1:4" x14ac:dyDescent="0.35">
      <c r="A661" t="s">
        <v>692</v>
      </c>
      <c r="B661">
        <f>MIN(0.12*Earnings!C661,1800)</f>
        <v>1800</v>
      </c>
      <c r="C661">
        <f>IF(Earnings!G661&lt;=21000,0.0075*Earnings!G661,0)</f>
        <v>0</v>
      </c>
      <c r="D661" s="2">
        <v>200</v>
      </c>
    </row>
    <row r="662" spans="1:4" x14ac:dyDescent="0.35">
      <c r="A662" t="s">
        <v>693</v>
      </c>
      <c r="B662">
        <f>MIN(0.12*Earnings!C662,1800)</f>
        <v>1800</v>
      </c>
      <c r="C662">
        <f>IF(Earnings!G662&lt;=21000,0.0075*Earnings!G662,0)</f>
        <v>0</v>
      </c>
      <c r="D662" s="2">
        <v>200</v>
      </c>
    </row>
    <row r="663" spans="1:4" x14ac:dyDescent="0.35">
      <c r="A663" t="s">
        <v>694</v>
      </c>
      <c r="B663">
        <f>MIN(0.12*Earnings!C663,1800)</f>
        <v>1800</v>
      </c>
      <c r="C663">
        <f>IF(Earnings!G663&lt;=21000,0.0075*Earnings!G663,0)</f>
        <v>0</v>
      </c>
      <c r="D663" s="2">
        <v>200</v>
      </c>
    </row>
    <row r="664" spans="1:4" x14ac:dyDescent="0.35">
      <c r="A664" t="s">
        <v>695</v>
      </c>
      <c r="B664">
        <f>MIN(0.12*Earnings!C664,1800)</f>
        <v>1800</v>
      </c>
      <c r="C664">
        <f>IF(Earnings!G664&lt;=21000,0.0075*Earnings!G664,0)</f>
        <v>0</v>
      </c>
      <c r="D664" s="2">
        <v>200</v>
      </c>
    </row>
    <row r="665" spans="1:4" x14ac:dyDescent="0.35">
      <c r="A665" t="s">
        <v>696</v>
      </c>
      <c r="B665">
        <f>MIN(0.12*Earnings!C665,1800)</f>
        <v>1800</v>
      </c>
      <c r="C665">
        <f>IF(Earnings!G665&lt;=21000,0.0075*Earnings!G665,0)</f>
        <v>0</v>
      </c>
      <c r="D665" s="2">
        <v>200</v>
      </c>
    </row>
    <row r="666" spans="1:4" x14ac:dyDescent="0.35">
      <c r="A666" t="s">
        <v>697</v>
      </c>
      <c r="B666">
        <f>MIN(0.12*Earnings!C666,1800)</f>
        <v>1800</v>
      </c>
      <c r="C666">
        <f>IF(Earnings!G666&lt;=21000,0.0075*Earnings!G666,0)</f>
        <v>0</v>
      </c>
      <c r="D666" s="2">
        <v>200</v>
      </c>
    </row>
    <row r="667" spans="1:4" x14ac:dyDescent="0.35">
      <c r="A667" t="s">
        <v>698</v>
      </c>
      <c r="B667">
        <f>MIN(0.12*Earnings!C667,1800)</f>
        <v>1800</v>
      </c>
      <c r="C667">
        <f>IF(Earnings!G667&lt;=21000,0.0075*Earnings!G667,0)</f>
        <v>0</v>
      </c>
      <c r="D667" s="2">
        <v>200</v>
      </c>
    </row>
    <row r="668" spans="1:4" x14ac:dyDescent="0.35">
      <c r="A668" t="s">
        <v>699</v>
      </c>
      <c r="B668">
        <f>MIN(0.12*Earnings!C668,1800)</f>
        <v>1800</v>
      </c>
      <c r="C668">
        <f>IF(Earnings!G668&lt;=21000,0.0075*Earnings!G668,0)</f>
        <v>0</v>
      </c>
      <c r="D668" s="2">
        <v>200</v>
      </c>
    </row>
    <row r="669" spans="1:4" x14ac:dyDescent="0.35">
      <c r="A669" t="s">
        <v>700</v>
      </c>
      <c r="B669">
        <f>MIN(0.12*Earnings!C669,1800)</f>
        <v>1800</v>
      </c>
      <c r="C669">
        <f>IF(Earnings!G669&lt;=21000,0.0075*Earnings!G669,0)</f>
        <v>0</v>
      </c>
      <c r="D669" s="2">
        <v>200</v>
      </c>
    </row>
    <row r="670" spans="1:4" x14ac:dyDescent="0.35">
      <c r="A670" t="s">
        <v>701</v>
      </c>
      <c r="B670">
        <f>MIN(0.12*Earnings!C670,1800)</f>
        <v>1800</v>
      </c>
      <c r="C670">
        <f>IF(Earnings!G670&lt;=21000,0.0075*Earnings!G670,0)</f>
        <v>0</v>
      </c>
      <c r="D670" s="2">
        <v>200</v>
      </c>
    </row>
    <row r="671" spans="1:4" x14ac:dyDescent="0.35">
      <c r="A671" t="s">
        <v>702</v>
      </c>
      <c r="B671">
        <f>MIN(0.12*Earnings!C671,1800)</f>
        <v>1800</v>
      </c>
      <c r="C671">
        <f>IF(Earnings!G671&lt;=21000,0.0075*Earnings!G671,0)</f>
        <v>0</v>
      </c>
      <c r="D671" s="2">
        <v>200</v>
      </c>
    </row>
    <row r="672" spans="1:4" x14ac:dyDescent="0.35">
      <c r="A672" t="s">
        <v>703</v>
      </c>
      <c r="B672">
        <f>MIN(0.12*Earnings!C672,1800)</f>
        <v>1800</v>
      </c>
      <c r="C672">
        <f>IF(Earnings!G672&lt;=21000,0.0075*Earnings!G672,0)</f>
        <v>0</v>
      </c>
      <c r="D672" s="2">
        <v>200</v>
      </c>
    </row>
    <row r="673" spans="1:4" x14ac:dyDescent="0.35">
      <c r="A673" t="s">
        <v>704</v>
      </c>
      <c r="B673">
        <f>MIN(0.12*Earnings!C673,1800)</f>
        <v>1800</v>
      </c>
      <c r="C673">
        <f>IF(Earnings!G673&lt;=21000,0.0075*Earnings!G673,0)</f>
        <v>0</v>
      </c>
      <c r="D673" s="2">
        <v>200</v>
      </c>
    </row>
    <row r="674" spans="1:4" x14ac:dyDescent="0.35">
      <c r="A674" t="s">
        <v>705</v>
      </c>
      <c r="B674">
        <f>MIN(0.12*Earnings!C674,1800)</f>
        <v>1800</v>
      </c>
      <c r="C674">
        <f>IF(Earnings!G674&lt;=21000,0.0075*Earnings!G674,0)</f>
        <v>0</v>
      </c>
      <c r="D674" s="2">
        <v>200</v>
      </c>
    </row>
    <row r="675" spans="1:4" x14ac:dyDescent="0.35">
      <c r="A675" t="s">
        <v>706</v>
      </c>
      <c r="B675">
        <f>MIN(0.12*Earnings!C675,1800)</f>
        <v>1800</v>
      </c>
      <c r="C675">
        <f>IF(Earnings!G675&lt;=21000,0.0075*Earnings!G675,0)</f>
        <v>0</v>
      </c>
      <c r="D675" s="2">
        <v>200</v>
      </c>
    </row>
    <row r="676" spans="1:4" x14ac:dyDescent="0.35">
      <c r="A676" t="s">
        <v>707</v>
      </c>
      <c r="B676">
        <f>MIN(0.12*Earnings!C676,1800)</f>
        <v>1800</v>
      </c>
      <c r="C676">
        <f>IF(Earnings!G676&lt;=21000,0.0075*Earnings!G676,0)</f>
        <v>0</v>
      </c>
      <c r="D676" s="2">
        <v>200</v>
      </c>
    </row>
    <row r="677" spans="1:4" x14ac:dyDescent="0.35">
      <c r="A677" t="s">
        <v>708</v>
      </c>
      <c r="B677">
        <f>MIN(0.12*Earnings!C677,1800)</f>
        <v>1800</v>
      </c>
      <c r="C677">
        <f>IF(Earnings!G677&lt;=21000,0.0075*Earnings!G677,0)</f>
        <v>0</v>
      </c>
      <c r="D677" s="2">
        <v>200</v>
      </c>
    </row>
    <row r="678" spans="1:4" x14ac:dyDescent="0.35">
      <c r="A678" t="s">
        <v>709</v>
      </c>
      <c r="B678">
        <f>MIN(0.12*Earnings!C678,1800)</f>
        <v>1800</v>
      </c>
      <c r="C678">
        <f>IF(Earnings!G678&lt;=21000,0.0075*Earnings!G678,0)</f>
        <v>0</v>
      </c>
      <c r="D678" s="2">
        <v>200</v>
      </c>
    </row>
    <row r="679" spans="1:4" x14ac:dyDescent="0.35">
      <c r="A679" t="s">
        <v>710</v>
      </c>
      <c r="B679">
        <f>MIN(0.12*Earnings!C679,1800)</f>
        <v>1800</v>
      </c>
      <c r="C679">
        <f>IF(Earnings!G679&lt;=21000,0.0075*Earnings!G679,0)</f>
        <v>0</v>
      </c>
      <c r="D679" s="2">
        <v>200</v>
      </c>
    </row>
    <row r="680" spans="1:4" x14ac:dyDescent="0.35">
      <c r="A680" t="s">
        <v>711</v>
      </c>
      <c r="B680">
        <f>MIN(0.12*Earnings!C680,1800)</f>
        <v>1800</v>
      </c>
      <c r="C680">
        <f>IF(Earnings!G680&lt;=21000,0.0075*Earnings!G680,0)</f>
        <v>0</v>
      </c>
      <c r="D680" s="2">
        <v>200</v>
      </c>
    </row>
    <row r="681" spans="1:4" x14ac:dyDescent="0.35">
      <c r="A681" t="s">
        <v>712</v>
      </c>
      <c r="B681">
        <f>MIN(0.12*Earnings!C681,1800)</f>
        <v>1800</v>
      </c>
      <c r="C681">
        <f>IF(Earnings!G681&lt;=21000,0.0075*Earnings!G681,0)</f>
        <v>0</v>
      </c>
      <c r="D681" s="2">
        <v>200</v>
      </c>
    </row>
    <row r="682" spans="1:4" x14ac:dyDescent="0.35">
      <c r="A682" t="s">
        <v>713</v>
      </c>
      <c r="B682">
        <f>MIN(0.12*Earnings!C682,1800)</f>
        <v>1800</v>
      </c>
      <c r="C682">
        <f>IF(Earnings!G682&lt;=21000,0.0075*Earnings!G682,0)</f>
        <v>0</v>
      </c>
      <c r="D682" s="2">
        <v>200</v>
      </c>
    </row>
    <row r="683" spans="1:4" x14ac:dyDescent="0.35">
      <c r="A683" t="s">
        <v>714</v>
      </c>
      <c r="B683">
        <f>MIN(0.12*Earnings!C683,1800)</f>
        <v>1800</v>
      </c>
      <c r="C683">
        <f>IF(Earnings!G683&lt;=21000,0.0075*Earnings!G683,0)</f>
        <v>0</v>
      </c>
      <c r="D683" s="2">
        <v>200</v>
      </c>
    </row>
    <row r="684" spans="1:4" x14ac:dyDescent="0.35">
      <c r="A684" t="s">
        <v>715</v>
      </c>
      <c r="B684">
        <f>MIN(0.12*Earnings!C684,1800)</f>
        <v>1800</v>
      </c>
      <c r="C684">
        <f>IF(Earnings!G684&lt;=21000,0.0075*Earnings!G684,0)</f>
        <v>0</v>
      </c>
      <c r="D684" s="2">
        <v>200</v>
      </c>
    </row>
    <row r="685" spans="1:4" x14ac:dyDescent="0.35">
      <c r="A685" t="s">
        <v>716</v>
      </c>
      <c r="B685">
        <f>MIN(0.12*Earnings!C685,1800)</f>
        <v>1800</v>
      </c>
      <c r="C685">
        <f>IF(Earnings!G685&lt;=21000,0.0075*Earnings!G685,0)</f>
        <v>0</v>
      </c>
      <c r="D685" s="2">
        <v>200</v>
      </c>
    </row>
    <row r="686" spans="1:4" x14ac:dyDescent="0.35">
      <c r="A686" t="s">
        <v>717</v>
      </c>
      <c r="B686">
        <f>MIN(0.12*Earnings!C686,1800)</f>
        <v>1800</v>
      </c>
      <c r="C686">
        <f>IF(Earnings!G686&lt;=21000,0.0075*Earnings!G686,0)</f>
        <v>0</v>
      </c>
      <c r="D686" s="2">
        <v>200</v>
      </c>
    </row>
    <row r="687" spans="1:4" x14ac:dyDescent="0.35">
      <c r="A687" t="s">
        <v>718</v>
      </c>
      <c r="B687">
        <f>MIN(0.12*Earnings!C687,1800)</f>
        <v>1800</v>
      </c>
      <c r="C687">
        <f>IF(Earnings!G687&lt;=21000,0.0075*Earnings!G687,0)</f>
        <v>0</v>
      </c>
      <c r="D687" s="2">
        <v>200</v>
      </c>
    </row>
    <row r="688" spans="1:4" x14ac:dyDescent="0.35">
      <c r="A688" t="s">
        <v>719</v>
      </c>
      <c r="B688">
        <f>MIN(0.12*Earnings!C688,1800)</f>
        <v>1800</v>
      </c>
      <c r="C688">
        <f>IF(Earnings!G688&lt;=21000,0.0075*Earnings!G688,0)</f>
        <v>0</v>
      </c>
      <c r="D688" s="2">
        <v>200</v>
      </c>
    </row>
    <row r="689" spans="1:4" x14ac:dyDescent="0.35">
      <c r="A689" t="s">
        <v>720</v>
      </c>
      <c r="B689">
        <f>MIN(0.12*Earnings!C689,1800)</f>
        <v>1800</v>
      </c>
      <c r="C689">
        <f>IF(Earnings!G689&lt;=21000,0.0075*Earnings!G689,0)</f>
        <v>0</v>
      </c>
      <c r="D689" s="2">
        <v>200</v>
      </c>
    </row>
    <row r="690" spans="1:4" x14ac:dyDescent="0.35">
      <c r="A690" t="s">
        <v>721</v>
      </c>
      <c r="B690">
        <f>MIN(0.12*Earnings!C690,1800)</f>
        <v>1800</v>
      </c>
      <c r="C690">
        <f>IF(Earnings!G690&lt;=21000,0.0075*Earnings!G690,0)</f>
        <v>0</v>
      </c>
      <c r="D690" s="2">
        <v>200</v>
      </c>
    </row>
    <row r="691" spans="1:4" x14ac:dyDescent="0.35">
      <c r="A691" t="s">
        <v>722</v>
      </c>
      <c r="B691">
        <f>MIN(0.12*Earnings!C691,1800)</f>
        <v>1800</v>
      </c>
      <c r="C691">
        <f>IF(Earnings!G691&lt;=21000,0.0075*Earnings!G691,0)</f>
        <v>0</v>
      </c>
      <c r="D691" s="2">
        <v>200</v>
      </c>
    </row>
    <row r="692" spans="1:4" x14ac:dyDescent="0.35">
      <c r="A692" t="s">
        <v>723</v>
      </c>
      <c r="B692">
        <f>MIN(0.12*Earnings!C692,1800)</f>
        <v>1800</v>
      </c>
      <c r="C692">
        <f>IF(Earnings!G692&lt;=21000,0.0075*Earnings!G692,0)</f>
        <v>0</v>
      </c>
      <c r="D692" s="2">
        <v>200</v>
      </c>
    </row>
    <row r="693" spans="1:4" x14ac:dyDescent="0.35">
      <c r="A693" t="s">
        <v>724</v>
      </c>
      <c r="B693">
        <f>MIN(0.12*Earnings!C693,1800)</f>
        <v>1800</v>
      </c>
      <c r="C693">
        <f>IF(Earnings!G693&lt;=21000,0.0075*Earnings!G693,0)</f>
        <v>0</v>
      </c>
      <c r="D693" s="2">
        <v>200</v>
      </c>
    </row>
    <row r="694" spans="1:4" x14ac:dyDescent="0.35">
      <c r="A694" t="s">
        <v>725</v>
      </c>
      <c r="B694">
        <f>MIN(0.12*Earnings!C694,1800)</f>
        <v>1800</v>
      </c>
      <c r="C694">
        <f>IF(Earnings!G694&lt;=21000,0.0075*Earnings!G694,0)</f>
        <v>0</v>
      </c>
      <c r="D694" s="2">
        <v>200</v>
      </c>
    </row>
    <row r="695" spans="1:4" x14ac:dyDescent="0.35">
      <c r="A695" t="s">
        <v>726</v>
      </c>
      <c r="B695">
        <f>MIN(0.12*Earnings!C695,1800)</f>
        <v>1800</v>
      </c>
      <c r="C695">
        <f>IF(Earnings!G695&lt;=21000,0.0075*Earnings!G695,0)</f>
        <v>0</v>
      </c>
      <c r="D695" s="2">
        <v>200</v>
      </c>
    </row>
    <row r="696" spans="1:4" x14ac:dyDescent="0.35">
      <c r="A696" t="s">
        <v>727</v>
      </c>
      <c r="B696">
        <f>MIN(0.12*Earnings!C696,1800)</f>
        <v>1800</v>
      </c>
      <c r="C696">
        <f>IF(Earnings!G696&lt;=21000,0.0075*Earnings!G696,0)</f>
        <v>0</v>
      </c>
      <c r="D696" s="2">
        <v>200</v>
      </c>
    </row>
    <row r="697" spans="1:4" x14ac:dyDescent="0.35">
      <c r="A697" t="s">
        <v>728</v>
      </c>
      <c r="B697">
        <f>MIN(0.12*Earnings!C697,1800)</f>
        <v>1800</v>
      </c>
      <c r="C697">
        <f>IF(Earnings!G697&lt;=21000,0.0075*Earnings!G697,0)</f>
        <v>0</v>
      </c>
      <c r="D697" s="2">
        <v>200</v>
      </c>
    </row>
    <row r="698" spans="1:4" x14ac:dyDescent="0.35">
      <c r="A698" t="s">
        <v>729</v>
      </c>
      <c r="B698">
        <f>MIN(0.12*Earnings!C698,1800)</f>
        <v>1800</v>
      </c>
      <c r="C698">
        <f>IF(Earnings!G698&lt;=21000,0.0075*Earnings!G698,0)</f>
        <v>0</v>
      </c>
      <c r="D698" s="2">
        <v>200</v>
      </c>
    </row>
    <row r="699" spans="1:4" x14ac:dyDescent="0.35">
      <c r="A699" t="s">
        <v>730</v>
      </c>
      <c r="B699">
        <f>MIN(0.12*Earnings!C699,1800)</f>
        <v>1800</v>
      </c>
      <c r="C699">
        <f>IF(Earnings!G699&lt;=21000,0.0075*Earnings!G699,0)</f>
        <v>0</v>
      </c>
      <c r="D699" s="2">
        <v>200</v>
      </c>
    </row>
    <row r="700" spans="1:4" x14ac:dyDescent="0.35">
      <c r="A700" t="s">
        <v>731</v>
      </c>
      <c r="B700">
        <f>MIN(0.12*Earnings!C700,1800)</f>
        <v>1800</v>
      </c>
      <c r="C700">
        <f>IF(Earnings!G700&lt;=21000,0.0075*Earnings!G700,0)</f>
        <v>0</v>
      </c>
      <c r="D700" s="2">
        <v>200</v>
      </c>
    </row>
    <row r="701" spans="1:4" x14ac:dyDescent="0.35">
      <c r="A701" t="s">
        <v>732</v>
      </c>
      <c r="B701">
        <f>MIN(0.12*Earnings!C701,1800)</f>
        <v>1800</v>
      </c>
      <c r="C701">
        <f>IF(Earnings!G701&lt;=21000,0.0075*Earnings!G701,0)</f>
        <v>0</v>
      </c>
      <c r="D701" s="2">
        <v>200</v>
      </c>
    </row>
    <row r="702" spans="1:4" x14ac:dyDescent="0.35">
      <c r="A702" t="s">
        <v>733</v>
      </c>
      <c r="B702">
        <f>MIN(0.12*Earnings!C702,1800)</f>
        <v>1800</v>
      </c>
      <c r="C702">
        <f>IF(Earnings!G702&lt;=21000,0.0075*Earnings!G702,0)</f>
        <v>0</v>
      </c>
      <c r="D702" s="2">
        <v>200</v>
      </c>
    </row>
    <row r="703" spans="1:4" x14ac:dyDescent="0.35">
      <c r="A703" t="s">
        <v>734</v>
      </c>
      <c r="B703">
        <f>MIN(0.12*Earnings!C703,1800)</f>
        <v>1800</v>
      </c>
      <c r="C703">
        <f>IF(Earnings!G703&lt;=21000,0.0075*Earnings!G703,0)</f>
        <v>0</v>
      </c>
      <c r="D703" s="2">
        <v>200</v>
      </c>
    </row>
    <row r="704" spans="1:4" x14ac:dyDescent="0.35">
      <c r="A704" t="s">
        <v>735</v>
      </c>
      <c r="B704">
        <f>MIN(0.12*Earnings!C704,1800)</f>
        <v>1800</v>
      </c>
      <c r="C704">
        <f>IF(Earnings!G704&lt;=21000,0.0075*Earnings!G704,0)</f>
        <v>0</v>
      </c>
      <c r="D704" s="2">
        <v>200</v>
      </c>
    </row>
    <row r="705" spans="1:4" x14ac:dyDescent="0.35">
      <c r="A705" t="s">
        <v>736</v>
      </c>
      <c r="B705">
        <f>MIN(0.12*Earnings!C705,1800)</f>
        <v>1800</v>
      </c>
      <c r="C705">
        <f>IF(Earnings!G705&lt;=21000,0.0075*Earnings!G705,0)</f>
        <v>0</v>
      </c>
      <c r="D705" s="2">
        <v>200</v>
      </c>
    </row>
    <row r="706" spans="1:4" x14ac:dyDescent="0.35">
      <c r="A706" t="s">
        <v>737</v>
      </c>
      <c r="B706">
        <f>MIN(0.12*Earnings!C706,1800)</f>
        <v>1800</v>
      </c>
      <c r="C706">
        <f>IF(Earnings!G706&lt;=21000,0.0075*Earnings!G706,0)</f>
        <v>0</v>
      </c>
      <c r="D706" s="2">
        <v>200</v>
      </c>
    </row>
    <row r="707" spans="1:4" x14ac:dyDescent="0.35">
      <c r="A707" t="s">
        <v>738</v>
      </c>
      <c r="B707">
        <f>MIN(0.12*Earnings!C707,1800)</f>
        <v>1800</v>
      </c>
      <c r="C707">
        <f>IF(Earnings!G707&lt;=21000,0.0075*Earnings!G707,0)</f>
        <v>0</v>
      </c>
      <c r="D707" s="2">
        <v>200</v>
      </c>
    </row>
    <row r="708" spans="1:4" x14ac:dyDescent="0.35">
      <c r="A708" t="s">
        <v>739</v>
      </c>
      <c r="B708">
        <f>MIN(0.12*Earnings!C708,1800)</f>
        <v>1800</v>
      </c>
      <c r="C708">
        <f>IF(Earnings!G708&lt;=21000,0.0075*Earnings!G708,0)</f>
        <v>0</v>
      </c>
      <c r="D708" s="2">
        <v>200</v>
      </c>
    </row>
    <row r="709" spans="1:4" x14ac:dyDescent="0.35">
      <c r="A709" t="s">
        <v>740</v>
      </c>
      <c r="B709">
        <f>MIN(0.12*Earnings!C709,1800)</f>
        <v>1800</v>
      </c>
      <c r="C709">
        <f>IF(Earnings!G709&lt;=21000,0.0075*Earnings!G709,0)</f>
        <v>0</v>
      </c>
      <c r="D709" s="2">
        <v>200</v>
      </c>
    </row>
    <row r="710" spans="1:4" x14ac:dyDescent="0.35">
      <c r="A710" t="s">
        <v>741</v>
      </c>
      <c r="B710">
        <f>MIN(0.12*Earnings!C710,1800)</f>
        <v>1800</v>
      </c>
      <c r="C710">
        <f>IF(Earnings!G710&lt;=21000,0.0075*Earnings!G710,0)</f>
        <v>0</v>
      </c>
      <c r="D710" s="2">
        <v>200</v>
      </c>
    </row>
    <row r="711" spans="1:4" x14ac:dyDescent="0.35">
      <c r="A711" t="s">
        <v>742</v>
      </c>
      <c r="B711">
        <f>MIN(0.12*Earnings!C711,1800)</f>
        <v>1800</v>
      </c>
      <c r="C711">
        <f>IF(Earnings!G711&lt;=21000,0.0075*Earnings!G711,0)</f>
        <v>0</v>
      </c>
      <c r="D711" s="2">
        <v>200</v>
      </c>
    </row>
    <row r="712" spans="1:4" x14ac:dyDescent="0.35">
      <c r="A712" t="s">
        <v>743</v>
      </c>
      <c r="B712">
        <f>MIN(0.12*Earnings!C712,1800)</f>
        <v>1800</v>
      </c>
      <c r="C712">
        <f>IF(Earnings!G712&lt;=21000,0.0075*Earnings!G712,0)</f>
        <v>0</v>
      </c>
      <c r="D712" s="2">
        <v>200</v>
      </c>
    </row>
    <row r="713" spans="1:4" x14ac:dyDescent="0.35">
      <c r="A713" t="s">
        <v>744</v>
      </c>
      <c r="B713">
        <f>MIN(0.12*Earnings!C713,1800)</f>
        <v>1800</v>
      </c>
      <c r="C713">
        <f>IF(Earnings!G713&lt;=21000,0.0075*Earnings!G713,0)</f>
        <v>0</v>
      </c>
      <c r="D713" s="2">
        <v>200</v>
      </c>
    </row>
    <row r="714" spans="1:4" x14ac:dyDescent="0.35">
      <c r="A714" t="s">
        <v>745</v>
      </c>
      <c r="B714">
        <f>MIN(0.12*Earnings!C714,1800)</f>
        <v>1800</v>
      </c>
      <c r="C714">
        <f>IF(Earnings!G714&lt;=21000,0.0075*Earnings!G714,0)</f>
        <v>0</v>
      </c>
      <c r="D714" s="2">
        <v>200</v>
      </c>
    </row>
    <row r="715" spans="1:4" x14ac:dyDescent="0.35">
      <c r="A715" t="s">
        <v>746</v>
      </c>
      <c r="B715">
        <f>MIN(0.12*Earnings!C715,1800)</f>
        <v>1800</v>
      </c>
      <c r="C715">
        <f>IF(Earnings!G715&lt;=21000,0.0075*Earnings!G715,0)</f>
        <v>0</v>
      </c>
      <c r="D715" s="2">
        <v>200</v>
      </c>
    </row>
    <row r="716" spans="1:4" x14ac:dyDescent="0.35">
      <c r="A716" t="s">
        <v>747</v>
      </c>
      <c r="B716">
        <f>MIN(0.12*Earnings!C716,1800)</f>
        <v>1800</v>
      </c>
      <c r="C716">
        <f>IF(Earnings!G716&lt;=21000,0.0075*Earnings!G716,0)</f>
        <v>0</v>
      </c>
      <c r="D716" s="2">
        <v>200</v>
      </c>
    </row>
    <row r="717" spans="1:4" x14ac:dyDescent="0.35">
      <c r="A717" t="s">
        <v>748</v>
      </c>
      <c r="B717">
        <f>MIN(0.12*Earnings!C717,1800)</f>
        <v>1800</v>
      </c>
      <c r="C717">
        <f>IF(Earnings!G717&lt;=21000,0.0075*Earnings!G717,0)</f>
        <v>0</v>
      </c>
      <c r="D717" s="2">
        <v>200</v>
      </c>
    </row>
    <row r="718" spans="1:4" x14ac:dyDescent="0.35">
      <c r="A718" t="s">
        <v>749</v>
      </c>
      <c r="B718">
        <f>MIN(0.12*Earnings!C718,1800)</f>
        <v>1800</v>
      </c>
      <c r="C718">
        <f>IF(Earnings!G718&lt;=21000,0.0075*Earnings!G718,0)</f>
        <v>0</v>
      </c>
      <c r="D718" s="2">
        <v>200</v>
      </c>
    </row>
    <row r="719" spans="1:4" x14ac:dyDescent="0.35">
      <c r="A719" t="s">
        <v>750</v>
      </c>
      <c r="B719">
        <f>MIN(0.12*Earnings!C719,1800)</f>
        <v>1800</v>
      </c>
      <c r="C719">
        <f>IF(Earnings!G719&lt;=21000,0.0075*Earnings!G719,0)</f>
        <v>0</v>
      </c>
      <c r="D719" s="2">
        <v>200</v>
      </c>
    </row>
    <row r="720" spans="1:4" x14ac:dyDescent="0.35">
      <c r="A720" t="s">
        <v>751</v>
      </c>
      <c r="B720">
        <f>MIN(0.12*Earnings!C720,1800)</f>
        <v>1800</v>
      </c>
      <c r="C720">
        <f>IF(Earnings!G720&lt;=21000,0.0075*Earnings!G720,0)</f>
        <v>0</v>
      </c>
      <c r="D720" s="2">
        <v>200</v>
      </c>
    </row>
    <row r="721" spans="1:4" x14ac:dyDescent="0.35">
      <c r="A721" t="s">
        <v>752</v>
      </c>
      <c r="B721">
        <f>MIN(0.12*Earnings!C721,1800)</f>
        <v>1800</v>
      </c>
      <c r="C721">
        <f>IF(Earnings!G721&lt;=21000,0.0075*Earnings!G721,0)</f>
        <v>0</v>
      </c>
      <c r="D721" s="2">
        <v>200</v>
      </c>
    </row>
    <row r="722" spans="1:4" x14ac:dyDescent="0.35">
      <c r="A722" t="s">
        <v>753</v>
      </c>
      <c r="B722">
        <f>MIN(0.12*Earnings!C722,1800)</f>
        <v>1800</v>
      </c>
      <c r="C722">
        <f>IF(Earnings!G722&lt;=21000,0.0075*Earnings!G722,0)</f>
        <v>0</v>
      </c>
      <c r="D722" s="2">
        <v>200</v>
      </c>
    </row>
    <row r="723" spans="1:4" x14ac:dyDescent="0.35">
      <c r="A723" t="s">
        <v>754</v>
      </c>
      <c r="B723">
        <f>MIN(0.12*Earnings!C723,1800)</f>
        <v>1800</v>
      </c>
      <c r="C723">
        <f>IF(Earnings!G723&lt;=21000,0.0075*Earnings!G723,0)</f>
        <v>0</v>
      </c>
      <c r="D723" s="2">
        <v>200</v>
      </c>
    </row>
    <row r="724" spans="1:4" x14ac:dyDescent="0.35">
      <c r="A724" t="s">
        <v>755</v>
      </c>
      <c r="B724">
        <f>MIN(0.12*Earnings!C724,1800)</f>
        <v>1800</v>
      </c>
      <c r="C724">
        <f>IF(Earnings!G724&lt;=21000,0.0075*Earnings!G724,0)</f>
        <v>0</v>
      </c>
      <c r="D724" s="2">
        <v>200</v>
      </c>
    </row>
    <row r="725" spans="1:4" x14ac:dyDescent="0.35">
      <c r="A725" t="s">
        <v>756</v>
      </c>
      <c r="B725">
        <f>MIN(0.12*Earnings!C725,1800)</f>
        <v>1800</v>
      </c>
      <c r="C725">
        <f>IF(Earnings!G725&lt;=21000,0.0075*Earnings!G725,0)</f>
        <v>0</v>
      </c>
      <c r="D725" s="2">
        <v>200</v>
      </c>
    </row>
    <row r="726" spans="1:4" x14ac:dyDescent="0.35">
      <c r="A726" t="s">
        <v>757</v>
      </c>
      <c r="B726">
        <f>MIN(0.12*Earnings!C726,1800)</f>
        <v>1800</v>
      </c>
      <c r="C726">
        <f>IF(Earnings!G726&lt;=21000,0.0075*Earnings!G726,0)</f>
        <v>0</v>
      </c>
      <c r="D726" s="2">
        <v>200</v>
      </c>
    </row>
    <row r="727" spans="1:4" x14ac:dyDescent="0.35">
      <c r="A727" t="s">
        <v>758</v>
      </c>
      <c r="B727">
        <f>MIN(0.12*Earnings!C727,1800)</f>
        <v>1800</v>
      </c>
      <c r="C727">
        <f>IF(Earnings!G727&lt;=21000,0.0075*Earnings!G727,0)</f>
        <v>0</v>
      </c>
      <c r="D727" s="2">
        <v>200</v>
      </c>
    </row>
    <row r="728" spans="1:4" x14ac:dyDescent="0.35">
      <c r="A728" t="s">
        <v>759</v>
      </c>
      <c r="B728">
        <f>MIN(0.12*Earnings!C728,1800)</f>
        <v>1800</v>
      </c>
      <c r="C728">
        <f>IF(Earnings!G728&lt;=21000,0.0075*Earnings!G728,0)</f>
        <v>0</v>
      </c>
      <c r="D728" s="2">
        <v>200</v>
      </c>
    </row>
    <row r="729" spans="1:4" x14ac:dyDescent="0.35">
      <c r="A729" t="s">
        <v>760</v>
      </c>
      <c r="B729">
        <f>MIN(0.12*Earnings!C729,1800)</f>
        <v>1800</v>
      </c>
      <c r="C729">
        <f>IF(Earnings!G729&lt;=21000,0.0075*Earnings!G729,0)</f>
        <v>0</v>
      </c>
      <c r="D729" s="2">
        <v>200</v>
      </c>
    </row>
    <row r="730" spans="1:4" x14ac:dyDescent="0.35">
      <c r="A730" t="s">
        <v>761</v>
      </c>
      <c r="B730">
        <f>MIN(0.12*Earnings!C730,1800)</f>
        <v>1800</v>
      </c>
      <c r="C730">
        <f>IF(Earnings!G730&lt;=21000,0.0075*Earnings!G730,0)</f>
        <v>0</v>
      </c>
      <c r="D730" s="2">
        <v>200</v>
      </c>
    </row>
    <row r="731" spans="1:4" x14ac:dyDescent="0.35">
      <c r="A731" t="s">
        <v>762</v>
      </c>
      <c r="B731">
        <f>MIN(0.12*Earnings!C731,1800)</f>
        <v>1800</v>
      </c>
      <c r="C731">
        <f>IF(Earnings!G731&lt;=21000,0.0075*Earnings!G731,0)</f>
        <v>0</v>
      </c>
      <c r="D731" s="2">
        <v>200</v>
      </c>
    </row>
    <row r="732" spans="1:4" x14ac:dyDescent="0.35">
      <c r="A732" t="s">
        <v>763</v>
      </c>
      <c r="B732">
        <f>MIN(0.12*Earnings!C732,1800)</f>
        <v>1800</v>
      </c>
      <c r="C732">
        <f>IF(Earnings!G732&lt;=21000,0.0075*Earnings!G732,0)</f>
        <v>0</v>
      </c>
      <c r="D732" s="2">
        <v>200</v>
      </c>
    </row>
    <row r="733" spans="1:4" x14ac:dyDescent="0.35">
      <c r="A733" t="s">
        <v>764</v>
      </c>
      <c r="B733">
        <f>MIN(0.12*Earnings!C733,1800)</f>
        <v>1800</v>
      </c>
      <c r="C733">
        <f>IF(Earnings!G733&lt;=21000,0.0075*Earnings!G733,0)</f>
        <v>0</v>
      </c>
      <c r="D733" s="2">
        <v>200</v>
      </c>
    </row>
    <row r="734" spans="1:4" x14ac:dyDescent="0.35">
      <c r="A734" t="s">
        <v>765</v>
      </c>
      <c r="B734">
        <f>MIN(0.12*Earnings!C734,1800)</f>
        <v>1800</v>
      </c>
      <c r="C734">
        <f>IF(Earnings!G734&lt;=21000,0.0075*Earnings!G734,0)</f>
        <v>0</v>
      </c>
      <c r="D734" s="2">
        <v>200</v>
      </c>
    </row>
    <row r="735" spans="1:4" x14ac:dyDescent="0.35">
      <c r="A735" t="s">
        <v>766</v>
      </c>
      <c r="B735">
        <f>MIN(0.12*Earnings!C735,1800)</f>
        <v>1800</v>
      </c>
      <c r="C735">
        <f>IF(Earnings!G735&lt;=21000,0.0075*Earnings!G735,0)</f>
        <v>0</v>
      </c>
      <c r="D735" s="2">
        <v>200</v>
      </c>
    </row>
    <row r="736" spans="1:4" x14ac:dyDescent="0.35">
      <c r="A736" t="s">
        <v>767</v>
      </c>
      <c r="B736">
        <f>MIN(0.12*Earnings!C736,1800)</f>
        <v>1800</v>
      </c>
      <c r="C736">
        <f>IF(Earnings!G736&lt;=21000,0.0075*Earnings!G736,0)</f>
        <v>0</v>
      </c>
      <c r="D736" s="2">
        <v>200</v>
      </c>
    </row>
    <row r="737" spans="1:4" x14ac:dyDescent="0.35">
      <c r="A737" t="s">
        <v>768</v>
      </c>
      <c r="B737">
        <f>MIN(0.12*Earnings!C737,1800)</f>
        <v>1800</v>
      </c>
      <c r="C737">
        <f>IF(Earnings!G737&lt;=21000,0.0075*Earnings!G737,0)</f>
        <v>0</v>
      </c>
      <c r="D737" s="2">
        <v>200</v>
      </c>
    </row>
    <row r="738" spans="1:4" x14ac:dyDescent="0.35">
      <c r="A738" t="s">
        <v>769</v>
      </c>
      <c r="B738">
        <f>MIN(0.12*Earnings!C738,1800)</f>
        <v>1800</v>
      </c>
      <c r="C738">
        <f>IF(Earnings!G738&lt;=21000,0.0075*Earnings!G738,0)</f>
        <v>0</v>
      </c>
      <c r="D738" s="2">
        <v>200</v>
      </c>
    </row>
    <row r="739" spans="1:4" x14ac:dyDescent="0.35">
      <c r="A739" t="s">
        <v>770</v>
      </c>
      <c r="B739">
        <f>MIN(0.12*Earnings!C739,1800)</f>
        <v>1800</v>
      </c>
      <c r="C739">
        <f>IF(Earnings!G739&lt;=21000,0.0075*Earnings!G739,0)</f>
        <v>0</v>
      </c>
      <c r="D739" s="2">
        <v>200</v>
      </c>
    </row>
    <row r="740" spans="1:4" x14ac:dyDescent="0.35">
      <c r="A740" t="s">
        <v>771</v>
      </c>
      <c r="B740">
        <f>MIN(0.12*Earnings!C740,1800)</f>
        <v>1800</v>
      </c>
      <c r="C740">
        <f>IF(Earnings!G740&lt;=21000,0.0075*Earnings!G740,0)</f>
        <v>0</v>
      </c>
      <c r="D740" s="2">
        <v>200</v>
      </c>
    </row>
    <row r="741" spans="1:4" x14ac:dyDescent="0.35">
      <c r="A741" t="s">
        <v>772</v>
      </c>
      <c r="B741">
        <f>MIN(0.12*Earnings!C741,1800)</f>
        <v>1800</v>
      </c>
      <c r="C741">
        <f>IF(Earnings!G741&lt;=21000,0.0075*Earnings!G741,0)</f>
        <v>0</v>
      </c>
      <c r="D741" s="2">
        <v>200</v>
      </c>
    </row>
    <row r="742" spans="1:4" x14ac:dyDescent="0.35">
      <c r="A742" t="s">
        <v>773</v>
      </c>
      <c r="B742">
        <f>MIN(0.12*Earnings!C742,1800)</f>
        <v>1800</v>
      </c>
      <c r="C742">
        <f>IF(Earnings!G742&lt;=21000,0.0075*Earnings!G742,0)</f>
        <v>0</v>
      </c>
      <c r="D742" s="2">
        <v>200</v>
      </c>
    </row>
    <row r="743" spans="1:4" x14ac:dyDescent="0.35">
      <c r="A743" t="s">
        <v>774</v>
      </c>
      <c r="B743">
        <f>MIN(0.12*Earnings!C743,1800)</f>
        <v>1800</v>
      </c>
      <c r="C743">
        <f>IF(Earnings!G743&lt;=21000,0.0075*Earnings!G743,0)</f>
        <v>0</v>
      </c>
      <c r="D743" s="2">
        <v>200</v>
      </c>
    </row>
    <row r="744" spans="1:4" x14ac:dyDescent="0.35">
      <c r="A744" t="s">
        <v>775</v>
      </c>
      <c r="B744">
        <f>MIN(0.12*Earnings!C744,1800)</f>
        <v>1800</v>
      </c>
      <c r="C744">
        <f>IF(Earnings!G744&lt;=21000,0.0075*Earnings!G744,0)</f>
        <v>0</v>
      </c>
      <c r="D744" s="2">
        <v>200</v>
      </c>
    </row>
    <row r="745" spans="1:4" x14ac:dyDescent="0.35">
      <c r="A745" t="s">
        <v>776</v>
      </c>
      <c r="B745">
        <f>MIN(0.12*Earnings!C745,1800)</f>
        <v>1800</v>
      </c>
      <c r="C745">
        <f>IF(Earnings!G745&lt;=21000,0.0075*Earnings!G745,0)</f>
        <v>0</v>
      </c>
      <c r="D745" s="2">
        <v>200</v>
      </c>
    </row>
    <row r="746" spans="1:4" x14ac:dyDescent="0.35">
      <c r="A746" t="s">
        <v>777</v>
      </c>
      <c r="B746">
        <f>MIN(0.12*Earnings!C746,1800)</f>
        <v>1800</v>
      </c>
      <c r="C746">
        <f>IF(Earnings!G746&lt;=21000,0.0075*Earnings!G746,0)</f>
        <v>0</v>
      </c>
      <c r="D746" s="2">
        <v>200</v>
      </c>
    </row>
    <row r="747" spans="1:4" x14ac:dyDescent="0.35">
      <c r="A747" t="s">
        <v>778</v>
      </c>
      <c r="B747">
        <f>MIN(0.12*Earnings!C747,1800)</f>
        <v>1800</v>
      </c>
      <c r="C747">
        <f>IF(Earnings!G747&lt;=21000,0.0075*Earnings!G747,0)</f>
        <v>0</v>
      </c>
      <c r="D747" s="2">
        <v>200</v>
      </c>
    </row>
    <row r="748" spans="1:4" x14ac:dyDescent="0.35">
      <c r="A748" t="s">
        <v>779</v>
      </c>
      <c r="B748">
        <f>MIN(0.12*Earnings!C748,1800)</f>
        <v>1800</v>
      </c>
      <c r="C748">
        <f>IF(Earnings!G748&lt;=21000,0.0075*Earnings!G748,0)</f>
        <v>0</v>
      </c>
      <c r="D748" s="2">
        <v>200</v>
      </c>
    </row>
    <row r="749" spans="1:4" x14ac:dyDescent="0.35">
      <c r="A749" t="s">
        <v>780</v>
      </c>
      <c r="B749">
        <f>MIN(0.12*Earnings!C749,1800)</f>
        <v>1800</v>
      </c>
      <c r="C749">
        <f>IF(Earnings!G749&lt;=21000,0.0075*Earnings!G749,0)</f>
        <v>0</v>
      </c>
      <c r="D749" s="2">
        <v>200</v>
      </c>
    </row>
    <row r="750" spans="1:4" x14ac:dyDescent="0.35">
      <c r="A750" t="s">
        <v>781</v>
      </c>
      <c r="B750">
        <f>MIN(0.12*Earnings!C750,1800)</f>
        <v>1800</v>
      </c>
      <c r="C750">
        <f>IF(Earnings!G750&lt;=21000,0.0075*Earnings!G750,0)</f>
        <v>0</v>
      </c>
      <c r="D750" s="2">
        <v>200</v>
      </c>
    </row>
    <row r="751" spans="1:4" x14ac:dyDescent="0.35">
      <c r="A751" t="s">
        <v>782</v>
      </c>
      <c r="B751">
        <f>MIN(0.12*Earnings!C751,1800)</f>
        <v>1800</v>
      </c>
      <c r="C751">
        <f>IF(Earnings!G751&lt;=21000,0.0075*Earnings!G751,0)</f>
        <v>0</v>
      </c>
      <c r="D751" s="2">
        <v>200</v>
      </c>
    </row>
    <row r="752" spans="1:4" x14ac:dyDescent="0.35">
      <c r="A752" t="s">
        <v>783</v>
      </c>
      <c r="B752">
        <f>MIN(0.12*Earnings!C752,1800)</f>
        <v>1800</v>
      </c>
      <c r="C752">
        <f>IF(Earnings!G752&lt;=21000,0.0075*Earnings!G752,0)</f>
        <v>0</v>
      </c>
      <c r="D752" s="2">
        <v>200</v>
      </c>
    </row>
    <row r="753" spans="1:4" x14ac:dyDescent="0.35">
      <c r="A753" t="s">
        <v>784</v>
      </c>
      <c r="B753">
        <f>MIN(0.12*Earnings!C753,1800)</f>
        <v>1800</v>
      </c>
      <c r="C753">
        <f>IF(Earnings!G753&lt;=21000,0.0075*Earnings!G753,0)</f>
        <v>0</v>
      </c>
      <c r="D753" s="2">
        <v>200</v>
      </c>
    </row>
    <row r="754" spans="1:4" x14ac:dyDescent="0.35">
      <c r="A754" t="s">
        <v>785</v>
      </c>
      <c r="B754">
        <f>MIN(0.12*Earnings!C754,1800)</f>
        <v>1800</v>
      </c>
      <c r="C754">
        <f>IF(Earnings!G754&lt;=21000,0.0075*Earnings!G754,0)</f>
        <v>0</v>
      </c>
      <c r="D754" s="2">
        <v>200</v>
      </c>
    </row>
    <row r="755" spans="1:4" x14ac:dyDescent="0.35">
      <c r="A755" t="s">
        <v>786</v>
      </c>
      <c r="B755">
        <f>MIN(0.12*Earnings!C755,1800)</f>
        <v>1800</v>
      </c>
      <c r="C755">
        <f>IF(Earnings!G755&lt;=21000,0.0075*Earnings!G755,0)</f>
        <v>0</v>
      </c>
      <c r="D755" s="2">
        <v>200</v>
      </c>
    </row>
    <row r="756" spans="1:4" x14ac:dyDescent="0.35">
      <c r="A756" t="s">
        <v>787</v>
      </c>
      <c r="B756">
        <f>MIN(0.12*Earnings!C756,1800)</f>
        <v>1800</v>
      </c>
      <c r="C756">
        <f>IF(Earnings!G756&lt;=21000,0.0075*Earnings!G756,0)</f>
        <v>0</v>
      </c>
      <c r="D756" s="2">
        <v>200</v>
      </c>
    </row>
    <row r="757" spans="1:4" x14ac:dyDescent="0.35">
      <c r="A757" t="s">
        <v>788</v>
      </c>
      <c r="B757">
        <f>MIN(0.12*Earnings!C757,1800)</f>
        <v>1800</v>
      </c>
      <c r="C757">
        <f>IF(Earnings!G757&lt;=21000,0.0075*Earnings!G757,0)</f>
        <v>0</v>
      </c>
      <c r="D757" s="2">
        <v>200</v>
      </c>
    </row>
    <row r="758" spans="1:4" x14ac:dyDescent="0.35">
      <c r="A758" t="s">
        <v>789</v>
      </c>
      <c r="B758">
        <f>MIN(0.12*Earnings!C758,1800)</f>
        <v>1800</v>
      </c>
      <c r="C758">
        <f>IF(Earnings!G758&lt;=21000,0.0075*Earnings!G758,0)</f>
        <v>0</v>
      </c>
      <c r="D758" s="2">
        <v>200</v>
      </c>
    </row>
    <row r="759" spans="1:4" x14ac:dyDescent="0.35">
      <c r="A759" t="s">
        <v>790</v>
      </c>
      <c r="B759">
        <f>MIN(0.12*Earnings!C759,1800)</f>
        <v>1800</v>
      </c>
      <c r="C759">
        <f>IF(Earnings!G759&lt;=21000,0.0075*Earnings!G759,0)</f>
        <v>0</v>
      </c>
      <c r="D759" s="2">
        <v>200</v>
      </c>
    </row>
    <row r="760" spans="1:4" x14ac:dyDescent="0.35">
      <c r="A760" t="s">
        <v>791</v>
      </c>
      <c r="B760">
        <f>MIN(0.12*Earnings!C760,1800)</f>
        <v>1800</v>
      </c>
      <c r="C760">
        <f>IF(Earnings!G760&lt;=21000,0.0075*Earnings!G760,0)</f>
        <v>0</v>
      </c>
      <c r="D760" s="2">
        <v>200</v>
      </c>
    </row>
    <row r="761" spans="1:4" x14ac:dyDescent="0.35">
      <c r="A761" t="s">
        <v>792</v>
      </c>
      <c r="B761">
        <f>MIN(0.12*Earnings!C761,1800)</f>
        <v>1800</v>
      </c>
      <c r="C761">
        <f>IF(Earnings!G761&lt;=21000,0.0075*Earnings!G761,0)</f>
        <v>0</v>
      </c>
      <c r="D761" s="2">
        <v>200</v>
      </c>
    </row>
    <row r="762" spans="1:4" x14ac:dyDescent="0.35">
      <c r="A762" t="s">
        <v>793</v>
      </c>
      <c r="B762">
        <f>MIN(0.12*Earnings!C762,1800)</f>
        <v>1800</v>
      </c>
      <c r="C762">
        <f>IF(Earnings!G762&lt;=21000,0.0075*Earnings!G762,0)</f>
        <v>0</v>
      </c>
      <c r="D762" s="2">
        <v>200</v>
      </c>
    </row>
    <row r="763" spans="1:4" x14ac:dyDescent="0.35">
      <c r="A763" t="s">
        <v>794</v>
      </c>
      <c r="B763">
        <f>MIN(0.12*Earnings!C763,1800)</f>
        <v>1800</v>
      </c>
      <c r="C763">
        <f>IF(Earnings!G763&lt;=21000,0.0075*Earnings!G763,0)</f>
        <v>0</v>
      </c>
      <c r="D763" s="2">
        <v>200</v>
      </c>
    </row>
    <row r="764" spans="1:4" x14ac:dyDescent="0.35">
      <c r="A764" t="s">
        <v>795</v>
      </c>
      <c r="B764">
        <f>MIN(0.12*Earnings!C764,1800)</f>
        <v>1800</v>
      </c>
      <c r="C764">
        <f>IF(Earnings!G764&lt;=21000,0.0075*Earnings!G764,0)</f>
        <v>0</v>
      </c>
      <c r="D764" s="2">
        <v>200</v>
      </c>
    </row>
    <row r="765" spans="1:4" x14ac:dyDescent="0.35">
      <c r="A765" t="s">
        <v>796</v>
      </c>
      <c r="B765">
        <f>MIN(0.12*Earnings!C765,1800)</f>
        <v>1800</v>
      </c>
      <c r="C765">
        <f>IF(Earnings!G765&lt;=21000,0.0075*Earnings!G765,0)</f>
        <v>0</v>
      </c>
      <c r="D765" s="2">
        <v>200</v>
      </c>
    </row>
    <row r="766" spans="1:4" x14ac:dyDescent="0.35">
      <c r="A766" t="s">
        <v>797</v>
      </c>
      <c r="B766">
        <f>MIN(0.12*Earnings!C766,1800)</f>
        <v>1800</v>
      </c>
      <c r="C766">
        <f>IF(Earnings!G766&lt;=21000,0.0075*Earnings!G766,0)</f>
        <v>0</v>
      </c>
      <c r="D766" s="2">
        <v>200</v>
      </c>
    </row>
    <row r="767" spans="1:4" x14ac:dyDescent="0.35">
      <c r="A767" t="s">
        <v>798</v>
      </c>
      <c r="B767">
        <f>MIN(0.12*Earnings!C767,1800)</f>
        <v>1800</v>
      </c>
      <c r="C767">
        <f>IF(Earnings!G767&lt;=21000,0.0075*Earnings!G767,0)</f>
        <v>0</v>
      </c>
      <c r="D767" s="2">
        <v>200</v>
      </c>
    </row>
    <row r="768" spans="1:4" x14ac:dyDescent="0.35">
      <c r="A768" t="s">
        <v>799</v>
      </c>
      <c r="B768">
        <f>MIN(0.12*Earnings!C768,1800)</f>
        <v>1800</v>
      </c>
      <c r="C768">
        <f>IF(Earnings!G768&lt;=21000,0.0075*Earnings!G768,0)</f>
        <v>0</v>
      </c>
      <c r="D768" s="2">
        <v>200</v>
      </c>
    </row>
    <row r="769" spans="1:4" x14ac:dyDescent="0.35">
      <c r="A769" t="s">
        <v>800</v>
      </c>
      <c r="B769">
        <f>MIN(0.12*Earnings!C769,1800)</f>
        <v>1800</v>
      </c>
      <c r="C769">
        <f>IF(Earnings!G769&lt;=21000,0.0075*Earnings!G769,0)</f>
        <v>0</v>
      </c>
      <c r="D769" s="2">
        <v>200</v>
      </c>
    </row>
    <row r="770" spans="1:4" x14ac:dyDescent="0.35">
      <c r="A770" t="s">
        <v>801</v>
      </c>
      <c r="B770">
        <f>MIN(0.12*Earnings!C770,1800)</f>
        <v>1800</v>
      </c>
      <c r="C770">
        <f>IF(Earnings!G770&lt;=21000,0.0075*Earnings!G770,0)</f>
        <v>0</v>
      </c>
      <c r="D770" s="2">
        <v>200</v>
      </c>
    </row>
    <row r="771" spans="1:4" x14ac:dyDescent="0.35">
      <c r="A771" t="s">
        <v>802</v>
      </c>
      <c r="B771">
        <f>MIN(0.12*Earnings!C771,1800)</f>
        <v>1800</v>
      </c>
      <c r="C771">
        <f>IF(Earnings!G771&lt;=21000,0.0075*Earnings!G771,0)</f>
        <v>0</v>
      </c>
      <c r="D771" s="2">
        <v>200</v>
      </c>
    </row>
    <row r="772" spans="1:4" x14ac:dyDescent="0.35">
      <c r="A772" t="s">
        <v>803</v>
      </c>
      <c r="B772">
        <f>MIN(0.12*Earnings!C772,1800)</f>
        <v>1800</v>
      </c>
      <c r="C772">
        <f>IF(Earnings!G772&lt;=21000,0.0075*Earnings!G772,0)</f>
        <v>0</v>
      </c>
      <c r="D772" s="2">
        <v>200</v>
      </c>
    </row>
    <row r="773" spans="1:4" x14ac:dyDescent="0.35">
      <c r="A773" t="s">
        <v>804</v>
      </c>
      <c r="B773">
        <f>MIN(0.12*Earnings!C773,1800)</f>
        <v>1800</v>
      </c>
      <c r="C773">
        <f>IF(Earnings!G773&lt;=21000,0.0075*Earnings!G773,0)</f>
        <v>0</v>
      </c>
      <c r="D773" s="2">
        <v>200</v>
      </c>
    </row>
    <row r="774" spans="1:4" x14ac:dyDescent="0.35">
      <c r="A774" t="s">
        <v>805</v>
      </c>
      <c r="B774">
        <f>MIN(0.12*Earnings!C774,1800)</f>
        <v>1800</v>
      </c>
      <c r="C774">
        <f>IF(Earnings!G774&lt;=21000,0.0075*Earnings!G774,0)</f>
        <v>0</v>
      </c>
      <c r="D774" s="2">
        <v>200</v>
      </c>
    </row>
    <row r="775" spans="1:4" x14ac:dyDescent="0.35">
      <c r="A775" t="s">
        <v>806</v>
      </c>
      <c r="B775">
        <f>MIN(0.12*Earnings!C775,1800)</f>
        <v>1800</v>
      </c>
      <c r="C775">
        <f>IF(Earnings!G775&lt;=21000,0.0075*Earnings!G775,0)</f>
        <v>0</v>
      </c>
      <c r="D775" s="2">
        <v>200</v>
      </c>
    </row>
    <row r="776" spans="1:4" x14ac:dyDescent="0.35">
      <c r="A776" t="s">
        <v>807</v>
      </c>
      <c r="B776">
        <f>MIN(0.12*Earnings!C776,1800)</f>
        <v>1800</v>
      </c>
      <c r="C776">
        <f>IF(Earnings!G776&lt;=21000,0.0075*Earnings!G776,0)</f>
        <v>0</v>
      </c>
      <c r="D776" s="2">
        <v>200</v>
      </c>
    </row>
    <row r="777" spans="1:4" x14ac:dyDescent="0.35">
      <c r="A777" t="s">
        <v>808</v>
      </c>
      <c r="B777">
        <f>MIN(0.12*Earnings!C777,1800)</f>
        <v>1800</v>
      </c>
      <c r="C777">
        <f>IF(Earnings!G777&lt;=21000,0.0075*Earnings!G777,0)</f>
        <v>0</v>
      </c>
      <c r="D777" s="2">
        <v>200</v>
      </c>
    </row>
    <row r="778" spans="1:4" x14ac:dyDescent="0.35">
      <c r="A778" t="s">
        <v>809</v>
      </c>
      <c r="B778">
        <f>MIN(0.12*Earnings!C778,1800)</f>
        <v>1800</v>
      </c>
      <c r="C778">
        <f>IF(Earnings!G778&lt;=21000,0.0075*Earnings!G778,0)</f>
        <v>0</v>
      </c>
      <c r="D778" s="2">
        <v>200</v>
      </c>
    </row>
    <row r="779" spans="1:4" x14ac:dyDescent="0.35">
      <c r="A779" t="s">
        <v>810</v>
      </c>
      <c r="B779">
        <f>MIN(0.12*Earnings!C779,1800)</f>
        <v>1800</v>
      </c>
      <c r="C779">
        <f>IF(Earnings!G779&lt;=21000,0.0075*Earnings!G779,0)</f>
        <v>0</v>
      </c>
      <c r="D779" s="2">
        <v>200</v>
      </c>
    </row>
    <row r="780" spans="1:4" x14ac:dyDescent="0.35">
      <c r="A780" t="s">
        <v>811</v>
      </c>
      <c r="B780">
        <f>MIN(0.12*Earnings!C780,1800)</f>
        <v>1800</v>
      </c>
      <c r="C780">
        <f>IF(Earnings!G780&lt;=21000,0.0075*Earnings!G780,0)</f>
        <v>0</v>
      </c>
      <c r="D780" s="2">
        <v>200</v>
      </c>
    </row>
    <row r="781" spans="1:4" x14ac:dyDescent="0.35">
      <c r="A781" t="s">
        <v>812</v>
      </c>
      <c r="B781">
        <f>MIN(0.12*Earnings!C781,1800)</f>
        <v>1800</v>
      </c>
      <c r="C781">
        <f>IF(Earnings!G781&lt;=21000,0.0075*Earnings!G781,0)</f>
        <v>0</v>
      </c>
      <c r="D781" s="2">
        <v>200</v>
      </c>
    </row>
    <row r="782" spans="1:4" x14ac:dyDescent="0.35">
      <c r="A782" t="s">
        <v>813</v>
      </c>
      <c r="B782">
        <f>MIN(0.12*Earnings!C782,1800)</f>
        <v>1800</v>
      </c>
      <c r="C782">
        <f>IF(Earnings!G782&lt;=21000,0.0075*Earnings!G782,0)</f>
        <v>0</v>
      </c>
      <c r="D782" s="2">
        <v>200</v>
      </c>
    </row>
    <row r="783" spans="1:4" x14ac:dyDescent="0.35">
      <c r="A783" t="s">
        <v>814</v>
      </c>
      <c r="B783">
        <f>MIN(0.12*Earnings!C783,1800)</f>
        <v>1800</v>
      </c>
      <c r="C783">
        <f>IF(Earnings!G783&lt;=21000,0.0075*Earnings!G783,0)</f>
        <v>0</v>
      </c>
      <c r="D783" s="2">
        <v>200</v>
      </c>
    </row>
    <row r="784" spans="1:4" x14ac:dyDescent="0.35">
      <c r="A784" t="s">
        <v>815</v>
      </c>
      <c r="B784">
        <f>MIN(0.12*Earnings!C784,1800)</f>
        <v>1800</v>
      </c>
      <c r="C784">
        <f>IF(Earnings!G784&lt;=21000,0.0075*Earnings!G784,0)</f>
        <v>0</v>
      </c>
      <c r="D784" s="2">
        <v>200</v>
      </c>
    </row>
    <row r="785" spans="1:4" x14ac:dyDescent="0.35">
      <c r="A785" t="s">
        <v>816</v>
      </c>
      <c r="B785">
        <f>MIN(0.12*Earnings!C785,1800)</f>
        <v>1800</v>
      </c>
      <c r="C785">
        <f>IF(Earnings!G785&lt;=21000,0.0075*Earnings!G785,0)</f>
        <v>0</v>
      </c>
      <c r="D785" s="2">
        <v>200</v>
      </c>
    </row>
    <row r="786" spans="1:4" x14ac:dyDescent="0.35">
      <c r="A786" t="s">
        <v>817</v>
      </c>
      <c r="B786">
        <f>MIN(0.12*Earnings!C786,1800)</f>
        <v>1800</v>
      </c>
      <c r="C786">
        <f>IF(Earnings!G786&lt;=21000,0.0075*Earnings!G786,0)</f>
        <v>0</v>
      </c>
      <c r="D786" s="2">
        <v>200</v>
      </c>
    </row>
    <row r="787" spans="1:4" x14ac:dyDescent="0.35">
      <c r="A787" t="s">
        <v>818</v>
      </c>
      <c r="B787">
        <f>MIN(0.12*Earnings!C787,1800)</f>
        <v>1800</v>
      </c>
      <c r="C787">
        <f>IF(Earnings!G787&lt;=21000,0.0075*Earnings!G787,0)</f>
        <v>0</v>
      </c>
      <c r="D787" s="2">
        <v>200</v>
      </c>
    </row>
    <row r="788" spans="1:4" x14ac:dyDescent="0.35">
      <c r="A788" t="s">
        <v>819</v>
      </c>
      <c r="B788">
        <f>MIN(0.12*Earnings!C788,1800)</f>
        <v>1800</v>
      </c>
      <c r="C788">
        <f>IF(Earnings!G788&lt;=21000,0.0075*Earnings!G788,0)</f>
        <v>0</v>
      </c>
      <c r="D788" s="2">
        <v>200</v>
      </c>
    </row>
    <row r="789" spans="1:4" x14ac:dyDescent="0.35">
      <c r="A789" t="s">
        <v>820</v>
      </c>
      <c r="B789">
        <f>MIN(0.12*Earnings!C789,1800)</f>
        <v>1800</v>
      </c>
      <c r="C789">
        <f>IF(Earnings!G789&lt;=21000,0.0075*Earnings!G789,0)</f>
        <v>0</v>
      </c>
      <c r="D789" s="2">
        <v>200</v>
      </c>
    </row>
    <row r="790" spans="1:4" x14ac:dyDescent="0.35">
      <c r="A790" t="s">
        <v>821</v>
      </c>
      <c r="B790">
        <f>MIN(0.12*Earnings!C790,1800)</f>
        <v>1800</v>
      </c>
      <c r="C790">
        <f>IF(Earnings!G790&lt;=21000,0.0075*Earnings!G790,0)</f>
        <v>0</v>
      </c>
      <c r="D790" s="2">
        <v>200</v>
      </c>
    </row>
    <row r="791" spans="1:4" x14ac:dyDescent="0.35">
      <c r="A791" t="s">
        <v>822</v>
      </c>
      <c r="B791">
        <f>MIN(0.12*Earnings!C791,1800)</f>
        <v>1800</v>
      </c>
      <c r="C791">
        <f>IF(Earnings!G791&lt;=21000,0.0075*Earnings!G791,0)</f>
        <v>0</v>
      </c>
      <c r="D791" s="2">
        <v>200</v>
      </c>
    </row>
    <row r="792" spans="1:4" x14ac:dyDescent="0.35">
      <c r="A792" t="s">
        <v>823</v>
      </c>
      <c r="B792">
        <f>MIN(0.12*Earnings!C792,1800)</f>
        <v>1800</v>
      </c>
      <c r="C792">
        <f>IF(Earnings!G792&lt;=21000,0.0075*Earnings!G792,0)</f>
        <v>0</v>
      </c>
      <c r="D792" s="2">
        <v>200</v>
      </c>
    </row>
    <row r="793" spans="1:4" x14ac:dyDescent="0.35">
      <c r="A793" t="s">
        <v>824</v>
      </c>
      <c r="B793">
        <f>MIN(0.12*Earnings!C793,1800)</f>
        <v>1800</v>
      </c>
      <c r="C793">
        <f>IF(Earnings!G793&lt;=21000,0.0075*Earnings!G793,0)</f>
        <v>0</v>
      </c>
      <c r="D793" s="2">
        <v>200</v>
      </c>
    </row>
    <row r="794" spans="1:4" x14ac:dyDescent="0.35">
      <c r="A794" t="s">
        <v>825</v>
      </c>
      <c r="B794">
        <f>MIN(0.12*Earnings!C794,1800)</f>
        <v>1800</v>
      </c>
      <c r="C794">
        <f>IF(Earnings!G794&lt;=21000,0.0075*Earnings!G794,0)</f>
        <v>0</v>
      </c>
      <c r="D794" s="2">
        <v>200</v>
      </c>
    </row>
    <row r="795" spans="1:4" x14ac:dyDescent="0.35">
      <c r="A795" t="s">
        <v>826</v>
      </c>
      <c r="B795">
        <f>MIN(0.12*Earnings!C795,1800)</f>
        <v>1800</v>
      </c>
      <c r="C795">
        <f>IF(Earnings!G795&lt;=21000,0.0075*Earnings!G795,0)</f>
        <v>0</v>
      </c>
      <c r="D795" s="2">
        <v>200</v>
      </c>
    </row>
    <row r="796" spans="1:4" x14ac:dyDescent="0.35">
      <c r="A796" t="s">
        <v>827</v>
      </c>
      <c r="B796">
        <f>MIN(0.12*Earnings!C796,1800)</f>
        <v>1800</v>
      </c>
      <c r="C796">
        <f>IF(Earnings!G796&lt;=21000,0.0075*Earnings!G796,0)</f>
        <v>0</v>
      </c>
      <c r="D796" s="2">
        <v>200</v>
      </c>
    </row>
    <row r="797" spans="1:4" x14ac:dyDescent="0.35">
      <c r="A797" t="s">
        <v>828</v>
      </c>
      <c r="B797">
        <f>MIN(0.12*Earnings!C797,1800)</f>
        <v>1800</v>
      </c>
      <c r="C797">
        <f>IF(Earnings!G797&lt;=21000,0.0075*Earnings!G797,0)</f>
        <v>0</v>
      </c>
      <c r="D797" s="2">
        <v>200</v>
      </c>
    </row>
    <row r="798" spans="1:4" x14ac:dyDescent="0.35">
      <c r="A798" t="s">
        <v>829</v>
      </c>
      <c r="B798">
        <f>MIN(0.12*Earnings!C798,1800)</f>
        <v>1800</v>
      </c>
      <c r="C798">
        <f>IF(Earnings!G798&lt;=21000,0.0075*Earnings!G798,0)</f>
        <v>0</v>
      </c>
      <c r="D798" s="2">
        <v>200</v>
      </c>
    </row>
    <row r="799" spans="1:4" x14ac:dyDescent="0.35">
      <c r="A799" t="s">
        <v>830</v>
      </c>
      <c r="B799">
        <f>MIN(0.12*Earnings!C799,1800)</f>
        <v>1800</v>
      </c>
      <c r="C799">
        <f>IF(Earnings!G799&lt;=21000,0.0075*Earnings!G799,0)</f>
        <v>0</v>
      </c>
      <c r="D799" s="2">
        <v>200</v>
      </c>
    </row>
    <row r="800" spans="1:4" x14ac:dyDescent="0.35">
      <c r="A800" t="s">
        <v>831</v>
      </c>
      <c r="B800">
        <f>MIN(0.12*Earnings!C800,1800)</f>
        <v>1800</v>
      </c>
      <c r="C800">
        <f>IF(Earnings!G800&lt;=21000,0.0075*Earnings!G800,0)</f>
        <v>0</v>
      </c>
      <c r="D800" s="2">
        <v>200</v>
      </c>
    </row>
    <row r="801" spans="1:4" x14ac:dyDescent="0.35">
      <c r="A801" t="s">
        <v>832</v>
      </c>
      <c r="B801">
        <f>MIN(0.12*Earnings!C801,1800)</f>
        <v>1800</v>
      </c>
      <c r="C801">
        <f>IF(Earnings!G801&lt;=21000,0.0075*Earnings!G801,0)</f>
        <v>0</v>
      </c>
      <c r="D801" s="2">
        <v>200</v>
      </c>
    </row>
    <row r="802" spans="1:4" x14ac:dyDescent="0.35">
      <c r="A802" t="s">
        <v>833</v>
      </c>
      <c r="B802">
        <f>MIN(0.12*Earnings!C802,1800)</f>
        <v>1800</v>
      </c>
      <c r="C802">
        <f>IF(Earnings!G802&lt;=21000,0.0075*Earnings!G802,0)</f>
        <v>0</v>
      </c>
      <c r="D802" s="2">
        <v>200</v>
      </c>
    </row>
    <row r="803" spans="1:4" x14ac:dyDescent="0.35">
      <c r="A803" t="s">
        <v>834</v>
      </c>
      <c r="B803">
        <f>MIN(0.12*Earnings!C803,1800)</f>
        <v>1800</v>
      </c>
      <c r="C803">
        <f>IF(Earnings!G803&lt;=21000,0.0075*Earnings!G803,0)</f>
        <v>0</v>
      </c>
      <c r="D803" s="2">
        <v>200</v>
      </c>
    </row>
    <row r="804" spans="1:4" x14ac:dyDescent="0.35">
      <c r="A804" t="s">
        <v>835</v>
      </c>
      <c r="B804">
        <f>MIN(0.12*Earnings!C804,1800)</f>
        <v>1800</v>
      </c>
      <c r="C804">
        <f>IF(Earnings!G804&lt;=21000,0.0075*Earnings!G804,0)</f>
        <v>0</v>
      </c>
      <c r="D804" s="2">
        <v>200</v>
      </c>
    </row>
    <row r="805" spans="1:4" x14ac:dyDescent="0.35">
      <c r="A805" t="s">
        <v>836</v>
      </c>
      <c r="B805">
        <f>MIN(0.12*Earnings!C805,1800)</f>
        <v>1800</v>
      </c>
      <c r="C805">
        <f>IF(Earnings!G805&lt;=21000,0.0075*Earnings!G805,0)</f>
        <v>0</v>
      </c>
      <c r="D805" s="2">
        <v>200</v>
      </c>
    </row>
    <row r="806" spans="1:4" x14ac:dyDescent="0.35">
      <c r="A806" t="s">
        <v>837</v>
      </c>
      <c r="B806">
        <f>MIN(0.12*Earnings!C806,1800)</f>
        <v>1800</v>
      </c>
      <c r="C806">
        <f>IF(Earnings!G806&lt;=21000,0.0075*Earnings!G806,0)</f>
        <v>0</v>
      </c>
      <c r="D806" s="2">
        <v>200</v>
      </c>
    </row>
    <row r="807" spans="1:4" x14ac:dyDescent="0.35">
      <c r="A807" t="s">
        <v>838</v>
      </c>
      <c r="B807">
        <f>MIN(0.12*Earnings!C807,1800)</f>
        <v>1800</v>
      </c>
      <c r="C807">
        <f>IF(Earnings!G807&lt;=21000,0.0075*Earnings!G807,0)</f>
        <v>0</v>
      </c>
      <c r="D807" s="2">
        <v>200</v>
      </c>
    </row>
    <row r="808" spans="1:4" x14ac:dyDescent="0.35">
      <c r="A808" t="s">
        <v>839</v>
      </c>
      <c r="B808">
        <f>MIN(0.12*Earnings!C808,1800)</f>
        <v>1800</v>
      </c>
      <c r="C808">
        <f>IF(Earnings!G808&lt;=21000,0.0075*Earnings!G808,0)</f>
        <v>0</v>
      </c>
      <c r="D808" s="2">
        <v>200</v>
      </c>
    </row>
    <row r="809" spans="1:4" x14ac:dyDescent="0.35">
      <c r="A809" t="s">
        <v>840</v>
      </c>
      <c r="B809">
        <f>MIN(0.12*Earnings!C809,1800)</f>
        <v>1800</v>
      </c>
      <c r="C809">
        <f>IF(Earnings!G809&lt;=21000,0.0075*Earnings!G809,0)</f>
        <v>0</v>
      </c>
      <c r="D809" s="2">
        <v>200</v>
      </c>
    </row>
    <row r="810" spans="1:4" x14ac:dyDescent="0.35">
      <c r="A810" t="s">
        <v>841</v>
      </c>
      <c r="B810">
        <f>MIN(0.12*Earnings!C810,1800)</f>
        <v>1800</v>
      </c>
      <c r="C810">
        <f>IF(Earnings!G810&lt;=21000,0.0075*Earnings!G810,0)</f>
        <v>0</v>
      </c>
      <c r="D810" s="2">
        <v>200</v>
      </c>
    </row>
    <row r="811" spans="1:4" x14ac:dyDescent="0.35">
      <c r="A811" t="s">
        <v>842</v>
      </c>
      <c r="B811">
        <f>MIN(0.12*Earnings!C811,1800)</f>
        <v>1800</v>
      </c>
      <c r="C811">
        <f>IF(Earnings!G811&lt;=21000,0.0075*Earnings!G811,0)</f>
        <v>0</v>
      </c>
      <c r="D811" s="2">
        <v>200</v>
      </c>
    </row>
    <row r="812" spans="1:4" x14ac:dyDescent="0.35">
      <c r="A812" t="s">
        <v>843</v>
      </c>
      <c r="B812">
        <f>MIN(0.12*Earnings!C812,1800)</f>
        <v>1800</v>
      </c>
      <c r="C812">
        <f>IF(Earnings!G812&lt;=21000,0.0075*Earnings!G812,0)</f>
        <v>0</v>
      </c>
      <c r="D812" s="2">
        <v>200</v>
      </c>
    </row>
    <row r="813" spans="1:4" x14ac:dyDescent="0.35">
      <c r="A813" t="s">
        <v>844</v>
      </c>
      <c r="B813">
        <f>MIN(0.12*Earnings!C813,1800)</f>
        <v>1800</v>
      </c>
      <c r="C813">
        <f>IF(Earnings!G813&lt;=21000,0.0075*Earnings!G813,0)</f>
        <v>0</v>
      </c>
      <c r="D813" s="2">
        <v>200</v>
      </c>
    </row>
    <row r="814" spans="1:4" x14ac:dyDescent="0.35">
      <c r="A814" t="s">
        <v>845</v>
      </c>
      <c r="B814">
        <f>MIN(0.12*Earnings!C814,1800)</f>
        <v>1800</v>
      </c>
      <c r="C814">
        <f>IF(Earnings!G814&lt;=21000,0.0075*Earnings!G814,0)</f>
        <v>0</v>
      </c>
      <c r="D814" s="2">
        <v>200</v>
      </c>
    </row>
    <row r="815" spans="1:4" x14ac:dyDescent="0.35">
      <c r="A815" t="s">
        <v>846</v>
      </c>
      <c r="B815">
        <f>MIN(0.12*Earnings!C815,1800)</f>
        <v>1800</v>
      </c>
      <c r="C815">
        <f>IF(Earnings!G815&lt;=21000,0.0075*Earnings!G815,0)</f>
        <v>0</v>
      </c>
      <c r="D815" s="2">
        <v>200</v>
      </c>
    </row>
    <row r="816" spans="1:4" x14ac:dyDescent="0.35">
      <c r="A816" t="s">
        <v>847</v>
      </c>
      <c r="B816">
        <f>MIN(0.12*Earnings!C816,1800)</f>
        <v>1800</v>
      </c>
      <c r="C816">
        <f>IF(Earnings!G816&lt;=21000,0.0075*Earnings!G816,0)</f>
        <v>0</v>
      </c>
      <c r="D816" s="2">
        <v>200</v>
      </c>
    </row>
    <row r="817" spans="1:4" x14ac:dyDescent="0.35">
      <c r="A817" t="s">
        <v>848</v>
      </c>
      <c r="B817">
        <f>MIN(0.12*Earnings!C817,1800)</f>
        <v>1800</v>
      </c>
      <c r="C817">
        <f>IF(Earnings!G817&lt;=21000,0.0075*Earnings!G817,0)</f>
        <v>0</v>
      </c>
      <c r="D817" s="2">
        <v>200</v>
      </c>
    </row>
    <row r="818" spans="1:4" x14ac:dyDescent="0.35">
      <c r="A818" t="s">
        <v>849</v>
      </c>
      <c r="B818">
        <f>MIN(0.12*Earnings!C818,1800)</f>
        <v>1800</v>
      </c>
      <c r="C818">
        <f>IF(Earnings!G818&lt;=21000,0.0075*Earnings!G818,0)</f>
        <v>0</v>
      </c>
      <c r="D818" s="2">
        <v>200</v>
      </c>
    </row>
    <row r="819" spans="1:4" x14ac:dyDescent="0.35">
      <c r="A819" t="s">
        <v>850</v>
      </c>
      <c r="B819">
        <f>MIN(0.12*Earnings!C819,1800)</f>
        <v>1800</v>
      </c>
      <c r="C819">
        <f>IF(Earnings!G819&lt;=21000,0.0075*Earnings!G819,0)</f>
        <v>0</v>
      </c>
      <c r="D819" s="2">
        <v>200</v>
      </c>
    </row>
    <row r="820" spans="1:4" x14ac:dyDescent="0.35">
      <c r="A820" t="s">
        <v>851</v>
      </c>
      <c r="B820">
        <f>MIN(0.12*Earnings!C820,1800)</f>
        <v>1800</v>
      </c>
      <c r="C820">
        <f>IF(Earnings!G820&lt;=21000,0.0075*Earnings!G820,0)</f>
        <v>0</v>
      </c>
      <c r="D820" s="2">
        <v>200</v>
      </c>
    </row>
    <row r="821" spans="1:4" x14ac:dyDescent="0.35">
      <c r="A821" t="s">
        <v>852</v>
      </c>
      <c r="B821">
        <f>MIN(0.12*Earnings!C821,1800)</f>
        <v>1800</v>
      </c>
      <c r="C821">
        <f>IF(Earnings!G821&lt;=21000,0.0075*Earnings!G821,0)</f>
        <v>0</v>
      </c>
      <c r="D821" s="2">
        <v>200</v>
      </c>
    </row>
    <row r="822" spans="1:4" x14ac:dyDescent="0.35">
      <c r="A822" t="s">
        <v>853</v>
      </c>
      <c r="B822">
        <f>MIN(0.12*Earnings!C822,1800)</f>
        <v>1800</v>
      </c>
      <c r="C822">
        <f>IF(Earnings!G822&lt;=21000,0.0075*Earnings!G822,0)</f>
        <v>0</v>
      </c>
      <c r="D822" s="2">
        <v>200</v>
      </c>
    </row>
    <row r="823" spans="1:4" x14ac:dyDescent="0.35">
      <c r="A823" t="s">
        <v>854</v>
      </c>
      <c r="B823">
        <f>MIN(0.12*Earnings!C823,1800)</f>
        <v>1800</v>
      </c>
      <c r="C823">
        <f>IF(Earnings!G823&lt;=21000,0.0075*Earnings!G823,0)</f>
        <v>0</v>
      </c>
      <c r="D823" s="2">
        <v>200</v>
      </c>
    </row>
    <row r="824" spans="1:4" x14ac:dyDescent="0.35">
      <c r="A824" t="s">
        <v>855</v>
      </c>
      <c r="B824">
        <f>MIN(0.12*Earnings!C824,1800)</f>
        <v>1800</v>
      </c>
      <c r="C824">
        <f>IF(Earnings!G824&lt;=21000,0.0075*Earnings!G824,0)</f>
        <v>0</v>
      </c>
      <c r="D824" s="2">
        <v>200</v>
      </c>
    </row>
    <row r="825" spans="1:4" x14ac:dyDescent="0.35">
      <c r="A825" t="s">
        <v>856</v>
      </c>
      <c r="B825">
        <f>MIN(0.12*Earnings!C825,1800)</f>
        <v>1800</v>
      </c>
      <c r="C825">
        <f>IF(Earnings!G825&lt;=21000,0.0075*Earnings!G825,0)</f>
        <v>0</v>
      </c>
      <c r="D825" s="2">
        <v>200</v>
      </c>
    </row>
    <row r="826" spans="1:4" x14ac:dyDescent="0.35">
      <c r="A826" t="s">
        <v>857</v>
      </c>
      <c r="B826">
        <f>MIN(0.12*Earnings!C826,1800)</f>
        <v>1800</v>
      </c>
      <c r="C826">
        <f>IF(Earnings!G826&lt;=21000,0.0075*Earnings!G826,0)</f>
        <v>0</v>
      </c>
      <c r="D826" s="2">
        <v>200</v>
      </c>
    </row>
    <row r="827" spans="1:4" x14ac:dyDescent="0.35">
      <c r="A827" t="s">
        <v>858</v>
      </c>
      <c r="B827">
        <f>MIN(0.12*Earnings!C827,1800)</f>
        <v>1800</v>
      </c>
      <c r="C827">
        <f>IF(Earnings!G827&lt;=21000,0.0075*Earnings!G827,0)</f>
        <v>0</v>
      </c>
      <c r="D827" s="2">
        <v>200</v>
      </c>
    </row>
    <row r="828" spans="1:4" x14ac:dyDescent="0.35">
      <c r="A828" t="s">
        <v>859</v>
      </c>
      <c r="B828">
        <f>MIN(0.12*Earnings!C828,1800)</f>
        <v>1800</v>
      </c>
      <c r="C828">
        <f>IF(Earnings!G828&lt;=21000,0.0075*Earnings!G828,0)</f>
        <v>0</v>
      </c>
      <c r="D828" s="2">
        <v>200</v>
      </c>
    </row>
    <row r="829" spans="1:4" x14ac:dyDescent="0.35">
      <c r="A829" t="s">
        <v>860</v>
      </c>
      <c r="B829">
        <f>MIN(0.12*Earnings!C829,1800)</f>
        <v>1800</v>
      </c>
      <c r="C829">
        <f>IF(Earnings!G829&lt;=21000,0.0075*Earnings!G829,0)</f>
        <v>0</v>
      </c>
      <c r="D829" s="2">
        <v>200</v>
      </c>
    </row>
    <row r="830" spans="1:4" x14ac:dyDescent="0.35">
      <c r="A830" t="s">
        <v>861</v>
      </c>
      <c r="B830">
        <f>MIN(0.12*Earnings!C830,1800)</f>
        <v>1800</v>
      </c>
      <c r="C830">
        <f>IF(Earnings!G830&lt;=21000,0.0075*Earnings!G830,0)</f>
        <v>0</v>
      </c>
      <c r="D830" s="2">
        <v>200</v>
      </c>
    </row>
    <row r="831" spans="1:4" x14ac:dyDescent="0.35">
      <c r="A831" t="s">
        <v>862</v>
      </c>
      <c r="B831">
        <f>MIN(0.12*Earnings!C831,1800)</f>
        <v>1800</v>
      </c>
      <c r="C831">
        <f>IF(Earnings!G831&lt;=21000,0.0075*Earnings!G831,0)</f>
        <v>0</v>
      </c>
      <c r="D831" s="2">
        <v>200</v>
      </c>
    </row>
    <row r="832" spans="1:4" x14ac:dyDescent="0.35">
      <c r="A832" t="s">
        <v>863</v>
      </c>
      <c r="B832">
        <f>MIN(0.12*Earnings!C832,1800)</f>
        <v>1800</v>
      </c>
      <c r="C832">
        <f>IF(Earnings!G832&lt;=21000,0.0075*Earnings!G832,0)</f>
        <v>0</v>
      </c>
      <c r="D832" s="2">
        <v>200</v>
      </c>
    </row>
    <row r="833" spans="1:4" x14ac:dyDescent="0.35">
      <c r="A833" t="s">
        <v>864</v>
      </c>
      <c r="B833">
        <f>MIN(0.12*Earnings!C833,1800)</f>
        <v>1800</v>
      </c>
      <c r="C833">
        <f>IF(Earnings!G833&lt;=21000,0.0075*Earnings!G833,0)</f>
        <v>0</v>
      </c>
      <c r="D833" s="2">
        <v>200</v>
      </c>
    </row>
    <row r="834" spans="1:4" x14ac:dyDescent="0.35">
      <c r="A834" t="s">
        <v>865</v>
      </c>
      <c r="B834">
        <f>MIN(0.12*Earnings!C834,1800)</f>
        <v>1800</v>
      </c>
      <c r="C834">
        <f>IF(Earnings!G834&lt;=21000,0.0075*Earnings!G834,0)</f>
        <v>0</v>
      </c>
      <c r="D834" s="2">
        <v>200</v>
      </c>
    </row>
    <row r="835" spans="1:4" x14ac:dyDescent="0.35">
      <c r="A835" t="s">
        <v>866</v>
      </c>
      <c r="B835">
        <f>MIN(0.12*Earnings!C835,1800)</f>
        <v>1800</v>
      </c>
      <c r="C835">
        <f>IF(Earnings!G835&lt;=21000,0.0075*Earnings!G835,0)</f>
        <v>0</v>
      </c>
      <c r="D835" s="2">
        <v>200</v>
      </c>
    </row>
    <row r="836" spans="1:4" x14ac:dyDescent="0.35">
      <c r="A836" t="s">
        <v>867</v>
      </c>
      <c r="B836">
        <f>MIN(0.12*Earnings!C836,1800)</f>
        <v>1800</v>
      </c>
      <c r="C836">
        <f>IF(Earnings!G836&lt;=21000,0.0075*Earnings!G836,0)</f>
        <v>0</v>
      </c>
      <c r="D836" s="2">
        <v>200</v>
      </c>
    </row>
    <row r="837" spans="1:4" x14ac:dyDescent="0.35">
      <c r="A837" t="s">
        <v>868</v>
      </c>
      <c r="B837">
        <f>MIN(0.12*Earnings!C837,1800)</f>
        <v>1800</v>
      </c>
      <c r="C837">
        <f>IF(Earnings!G837&lt;=21000,0.0075*Earnings!G837,0)</f>
        <v>0</v>
      </c>
      <c r="D837" s="2">
        <v>200</v>
      </c>
    </row>
    <row r="838" spans="1:4" x14ac:dyDescent="0.35">
      <c r="A838" t="s">
        <v>869</v>
      </c>
      <c r="B838">
        <f>MIN(0.12*Earnings!C838,1800)</f>
        <v>1800</v>
      </c>
      <c r="C838">
        <f>IF(Earnings!G838&lt;=21000,0.0075*Earnings!G838,0)</f>
        <v>0</v>
      </c>
      <c r="D838" s="2">
        <v>200</v>
      </c>
    </row>
    <row r="839" spans="1:4" x14ac:dyDescent="0.35">
      <c r="A839" t="s">
        <v>870</v>
      </c>
      <c r="B839">
        <f>MIN(0.12*Earnings!C839,1800)</f>
        <v>1800</v>
      </c>
      <c r="C839">
        <f>IF(Earnings!G839&lt;=21000,0.0075*Earnings!G839,0)</f>
        <v>0</v>
      </c>
      <c r="D839" s="2">
        <v>200</v>
      </c>
    </row>
    <row r="840" spans="1:4" x14ac:dyDescent="0.35">
      <c r="A840" t="s">
        <v>871</v>
      </c>
      <c r="B840">
        <f>MIN(0.12*Earnings!C840,1800)</f>
        <v>1800</v>
      </c>
      <c r="C840">
        <f>IF(Earnings!G840&lt;=21000,0.0075*Earnings!G840,0)</f>
        <v>0</v>
      </c>
      <c r="D840" s="2">
        <v>200</v>
      </c>
    </row>
    <row r="841" spans="1:4" x14ac:dyDescent="0.35">
      <c r="A841" t="s">
        <v>872</v>
      </c>
      <c r="B841">
        <f>MIN(0.12*Earnings!C841,1800)</f>
        <v>1800</v>
      </c>
      <c r="C841">
        <f>IF(Earnings!G841&lt;=21000,0.0075*Earnings!G841,0)</f>
        <v>0</v>
      </c>
      <c r="D841" s="2">
        <v>200</v>
      </c>
    </row>
    <row r="842" spans="1:4" x14ac:dyDescent="0.35">
      <c r="A842" t="s">
        <v>873</v>
      </c>
      <c r="B842">
        <f>MIN(0.12*Earnings!C842,1800)</f>
        <v>1800</v>
      </c>
      <c r="C842">
        <f>IF(Earnings!G842&lt;=21000,0.0075*Earnings!G842,0)</f>
        <v>0</v>
      </c>
      <c r="D842" s="2">
        <v>200</v>
      </c>
    </row>
    <row r="843" spans="1:4" x14ac:dyDescent="0.35">
      <c r="A843" t="s">
        <v>874</v>
      </c>
      <c r="B843">
        <f>MIN(0.12*Earnings!C843,1800)</f>
        <v>1800</v>
      </c>
      <c r="C843">
        <f>IF(Earnings!G843&lt;=21000,0.0075*Earnings!G843,0)</f>
        <v>0</v>
      </c>
      <c r="D843" s="2">
        <v>200</v>
      </c>
    </row>
    <row r="844" spans="1:4" x14ac:dyDescent="0.35">
      <c r="A844" t="s">
        <v>875</v>
      </c>
      <c r="B844">
        <f>MIN(0.12*Earnings!C844,1800)</f>
        <v>1800</v>
      </c>
      <c r="C844">
        <f>IF(Earnings!G844&lt;=21000,0.0075*Earnings!G844,0)</f>
        <v>0</v>
      </c>
      <c r="D844" s="2">
        <v>200</v>
      </c>
    </row>
    <row r="845" spans="1:4" x14ac:dyDescent="0.35">
      <c r="A845" t="s">
        <v>876</v>
      </c>
      <c r="B845">
        <f>MIN(0.12*Earnings!C845,1800)</f>
        <v>1800</v>
      </c>
      <c r="C845">
        <f>IF(Earnings!G845&lt;=21000,0.0075*Earnings!G845,0)</f>
        <v>0</v>
      </c>
      <c r="D845" s="2">
        <v>200</v>
      </c>
    </row>
    <row r="846" spans="1:4" x14ac:dyDescent="0.35">
      <c r="A846" t="s">
        <v>877</v>
      </c>
      <c r="B846">
        <f>MIN(0.12*Earnings!C846,1800)</f>
        <v>1800</v>
      </c>
      <c r="C846">
        <f>IF(Earnings!G846&lt;=21000,0.0075*Earnings!G846,0)</f>
        <v>0</v>
      </c>
      <c r="D846" s="2">
        <v>200</v>
      </c>
    </row>
    <row r="847" spans="1:4" x14ac:dyDescent="0.35">
      <c r="A847" t="s">
        <v>878</v>
      </c>
      <c r="B847">
        <f>MIN(0.12*Earnings!C847,1800)</f>
        <v>1800</v>
      </c>
      <c r="C847">
        <f>IF(Earnings!G847&lt;=21000,0.0075*Earnings!G847,0)</f>
        <v>0</v>
      </c>
      <c r="D847" s="2">
        <v>200</v>
      </c>
    </row>
    <row r="848" spans="1:4" x14ac:dyDescent="0.35">
      <c r="A848" t="s">
        <v>879</v>
      </c>
      <c r="B848">
        <f>MIN(0.12*Earnings!C848,1800)</f>
        <v>1800</v>
      </c>
      <c r="C848">
        <f>IF(Earnings!G848&lt;=21000,0.0075*Earnings!G848,0)</f>
        <v>0</v>
      </c>
      <c r="D848" s="2">
        <v>200</v>
      </c>
    </row>
    <row r="849" spans="1:4" x14ac:dyDescent="0.35">
      <c r="A849" t="s">
        <v>880</v>
      </c>
      <c r="B849">
        <f>MIN(0.12*Earnings!C849,1800)</f>
        <v>1800</v>
      </c>
      <c r="C849">
        <f>IF(Earnings!G849&lt;=21000,0.0075*Earnings!G849,0)</f>
        <v>0</v>
      </c>
      <c r="D849" s="2">
        <v>200</v>
      </c>
    </row>
    <row r="850" spans="1:4" x14ac:dyDescent="0.35">
      <c r="A850" t="s">
        <v>881</v>
      </c>
      <c r="B850">
        <f>MIN(0.12*Earnings!C850,1800)</f>
        <v>1800</v>
      </c>
      <c r="C850">
        <f>IF(Earnings!G850&lt;=21000,0.0075*Earnings!G850,0)</f>
        <v>0</v>
      </c>
      <c r="D850" s="2">
        <v>200</v>
      </c>
    </row>
    <row r="851" spans="1:4" x14ac:dyDescent="0.35">
      <c r="A851" t="s">
        <v>882</v>
      </c>
      <c r="B851">
        <f>MIN(0.12*Earnings!C851,1800)</f>
        <v>1800</v>
      </c>
      <c r="C851">
        <f>IF(Earnings!G851&lt;=21000,0.0075*Earnings!G851,0)</f>
        <v>0</v>
      </c>
      <c r="D851" s="2">
        <v>200</v>
      </c>
    </row>
    <row r="852" spans="1:4" x14ac:dyDescent="0.35">
      <c r="A852" t="s">
        <v>883</v>
      </c>
      <c r="B852">
        <f>MIN(0.12*Earnings!C852,1800)</f>
        <v>1800</v>
      </c>
      <c r="C852">
        <f>IF(Earnings!G852&lt;=21000,0.0075*Earnings!G852,0)</f>
        <v>0</v>
      </c>
      <c r="D852" s="2">
        <v>200</v>
      </c>
    </row>
    <row r="853" spans="1:4" x14ac:dyDescent="0.35">
      <c r="A853" t="s">
        <v>884</v>
      </c>
      <c r="B853">
        <f>MIN(0.12*Earnings!C853,1800)</f>
        <v>1800</v>
      </c>
      <c r="C853">
        <f>IF(Earnings!G853&lt;=21000,0.0075*Earnings!G853,0)</f>
        <v>0</v>
      </c>
      <c r="D853" s="2">
        <v>200</v>
      </c>
    </row>
    <row r="854" spans="1:4" x14ac:dyDescent="0.35">
      <c r="A854" t="s">
        <v>885</v>
      </c>
      <c r="B854">
        <f>MIN(0.12*Earnings!C854,1800)</f>
        <v>1800</v>
      </c>
      <c r="C854">
        <f>IF(Earnings!G854&lt;=21000,0.0075*Earnings!G854,0)</f>
        <v>0</v>
      </c>
      <c r="D854" s="2">
        <v>200</v>
      </c>
    </row>
    <row r="855" spans="1:4" x14ac:dyDescent="0.35">
      <c r="A855" t="s">
        <v>886</v>
      </c>
      <c r="B855">
        <f>MIN(0.12*Earnings!C855,1800)</f>
        <v>1800</v>
      </c>
      <c r="C855">
        <f>IF(Earnings!G855&lt;=21000,0.0075*Earnings!G855,0)</f>
        <v>0</v>
      </c>
      <c r="D855" s="2">
        <v>200</v>
      </c>
    </row>
    <row r="856" spans="1:4" x14ac:dyDescent="0.35">
      <c r="A856" t="s">
        <v>887</v>
      </c>
      <c r="B856">
        <f>MIN(0.12*Earnings!C856,1800)</f>
        <v>1800</v>
      </c>
      <c r="C856">
        <f>IF(Earnings!G856&lt;=21000,0.0075*Earnings!G856,0)</f>
        <v>0</v>
      </c>
      <c r="D856" s="2">
        <v>200</v>
      </c>
    </row>
    <row r="857" spans="1:4" x14ac:dyDescent="0.35">
      <c r="A857" t="s">
        <v>888</v>
      </c>
      <c r="B857">
        <f>MIN(0.12*Earnings!C857,1800)</f>
        <v>1800</v>
      </c>
      <c r="C857">
        <f>IF(Earnings!G857&lt;=21000,0.0075*Earnings!G857,0)</f>
        <v>0</v>
      </c>
      <c r="D857" s="2">
        <v>200</v>
      </c>
    </row>
    <row r="858" spans="1:4" x14ac:dyDescent="0.35">
      <c r="A858" t="s">
        <v>889</v>
      </c>
      <c r="B858">
        <f>MIN(0.12*Earnings!C858,1800)</f>
        <v>1800</v>
      </c>
      <c r="C858">
        <f>IF(Earnings!G858&lt;=21000,0.0075*Earnings!G858,0)</f>
        <v>0</v>
      </c>
      <c r="D858" s="2">
        <v>200</v>
      </c>
    </row>
    <row r="859" spans="1:4" x14ac:dyDescent="0.35">
      <c r="A859" t="s">
        <v>890</v>
      </c>
      <c r="B859">
        <f>MIN(0.12*Earnings!C859,1800)</f>
        <v>1800</v>
      </c>
      <c r="C859">
        <f>IF(Earnings!G859&lt;=21000,0.0075*Earnings!G859,0)</f>
        <v>0</v>
      </c>
      <c r="D859" s="2">
        <v>200</v>
      </c>
    </row>
    <row r="860" spans="1:4" x14ac:dyDescent="0.35">
      <c r="A860" t="s">
        <v>891</v>
      </c>
      <c r="B860">
        <f>MIN(0.12*Earnings!C860,1800)</f>
        <v>1800</v>
      </c>
      <c r="C860">
        <f>IF(Earnings!G860&lt;=21000,0.0075*Earnings!G860,0)</f>
        <v>0</v>
      </c>
      <c r="D860" s="2">
        <v>200</v>
      </c>
    </row>
    <row r="861" spans="1:4" x14ac:dyDescent="0.35">
      <c r="A861" t="s">
        <v>892</v>
      </c>
      <c r="B861">
        <f>MIN(0.12*Earnings!C861,1800)</f>
        <v>1800</v>
      </c>
      <c r="C861">
        <f>IF(Earnings!G861&lt;=21000,0.0075*Earnings!G861,0)</f>
        <v>0</v>
      </c>
      <c r="D861" s="2">
        <v>200</v>
      </c>
    </row>
    <row r="862" spans="1:4" x14ac:dyDescent="0.35">
      <c r="A862" t="s">
        <v>893</v>
      </c>
      <c r="B862">
        <f>MIN(0.12*Earnings!C862,1800)</f>
        <v>1800</v>
      </c>
      <c r="C862">
        <f>IF(Earnings!G862&lt;=21000,0.0075*Earnings!G862,0)</f>
        <v>0</v>
      </c>
      <c r="D862" s="2">
        <v>200</v>
      </c>
    </row>
    <row r="863" spans="1:4" x14ac:dyDescent="0.35">
      <c r="A863" t="s">
        <v>894</v>
      </c>
      <c r="B863">
        <f>MIN(0.12*Earnings!C863,1800)</f>
        <v>1800</v>
      </c>
      <c r="C863">
        <f>IF(Earnings!G863&lt;=21000,0.0075*Earnings!G863,0)</f>
        <v>0</v>
      </c>
      <c r="D863" s="2">
        <v>200</v>
      </c>
    </row>
    <row r="864" spans="1:4" x14ac:dyDescent="0.35">
      <c r="A864" t="s">
        <v>895</v>
      </c>
      <c r="B864">
        <f>MIN(0.12*Earnings!C864,1800)</f>
        <v>1800</v>
      </c>
      <c r="C864">
        <f>IF(Earnings!G864&lt;=21000,0.0075*Earnings!G864,0)</f>
        <v>0</v>
      </c>
      <c r="D864" s="2">
        <v>200</v>
      </c>
    </row>
    <row r="865" spans="1:4" x14ac:dyDescent="0.35">
      <c r="A865" t="s">
        <v>896</v>
      </c>
      <c r="B865">
        <f>MIN(0.12*Earnings!C865,1800)</f>
        <v>1800</v>
      </c>
      <c r="C865">
        <f>IF(Earnings!G865&lt;=21000,0.0075*Earnings!G865,0)</f>
        <v>0</v>
      </c>
      <c r="D865" s="2">
        <v>200</v>
      </c>
    </row>
    <row r="866" spans="1:4" x14ac:dyDescent="0.35">
      <c r="A866" t="s">
        <v>897</v>
      </c>
      <c r="B866">
        <f>MIN(0.12*Earnings!C866,1800)</f>
        <v>1800</v>
      </c>
      <c r="C866">
        <f>IF(Earnings!G866&lt;=21000,0.0075*Earnings!G866,0)</f>
        <v>0</v>
      </c>
      <c r="D866" s="2">
        <v>200</v>
      </c>
    </row>
    <row r="867" spans="1:4" x14ac:dyDescent="0.35">
      <c r="A867" t="s">
        <v>898</v>
      </c>
      <c r="B867">
        <f>MIN(0.12*Earnings!C867,1800)</f>
        <v>1800</v>
      </c>
      <c r="C867">
        <f>IF(Earnings!G867&lt;=21000,0.0075*Earnings!G867,0)</f>
        <v>0</v>
      </c>
      <c r="D867" s="2">
        <v>200</v>
      </c>
    </row>
    <row r="868" spans="1:4" x14ac:dyDescent="0.35">
      <c r="A868" t="s">
        <v>899</v>
      </c>
      <c r="B868">
        <f>MIN(0.12*Earnings!C868,1800)</f>
        <v>1800</v>
      </c>
      <c r="C868">
        <f>IF(Earnings!G868&lt;=21000,0.0075*Earnings!G868,0)</f>
        <v>0</v>
      </c>
      <c r="D868" s="2">
        <v>200</v>
      </c>
    </row>
    <row r="869" spans="1:4" x14ac:dyDescent="0.35">
      <c r="A869" t="s">
        <v>900</v>
      </c>
      <c r="B869">
        <f>MIN(0.12*Earnings!C869,1800)</f>
        <v>1800</v>
      </c>
      <c r="C869">
        <f>IF(Earnings!G869&lt;=21000,0.0075*Earnings!G869,0)</f>
        <v>0</v>
      </c>
      <c r="D869" s="2">
        <v>200</v>
      </c>
    </row>
    <row r="870" spans="1:4" x14ac:dyDescent="0.35">
      <c r="A870" t="s">
        <v>901</v>
      </c>
      <c r="B870">
        <f>MIN(0.12*Earnings!C870,1800)</f>
        <v>1800</v>
      </c>
      <c r="C870">
        <f>IF(Earnings!G870&lt;=21000,0.0075*Earnings!G870,0)</f>
        <v>0</v>
      </c>
      <c r="D870" s="2">
        <v>200</v>
      </c>
    </row>
    <row r="871" spans="1:4" x14ac:dyDescent="0.35">
      <c r="A871" t="s">
        <v>902</v>
      </c>
      <c r="B871">
        <f>MIN(0.12*Earnings!C871,1800)</f>
        <v>1800</v>
      </c>
      <c r="C871">
        <f>IF(Earnings!G871&lt;=21000,0.0075*Earnings!G871,0)</f>
        <v>0</v>
      </c>
      <c r="D871" s="2">
        <v>200</v>
      </c>
    </row>
    <row r="872" spans="1:4" x14ac:dyDescent="0.35">
      <c r="A872" t="s">
        <v>903</v>
      </c>
      <c r="B872">
        <f>MIN(0.12*Earnings!C872,1800)</f>
        <v>1800</v>
      </c>
      <c r="C872">
        <f>IF(Earnings!G872&lt;=21000,0.0075*Earnings!G872,0)</f>
        <v>0</v>
      </c>
      <c r="D872" s="2">
        <v>200</v>
      </c>
    </row>
    <row r="873" spans="1:4" x14ac:dyDescent="0.35">
      <c r="A873" t="s">
        <v>904</v>
      </c>
      <c r="B873">
        <f>MIN(0.12*Earnings!C873,1800)</f>
        <v>1800</v>
      </c>
      <c r="C873">
        <f>IF(Earnings!G873&lt;=21000,0.0075*Earnings!G873,0)</f>
        <v>0</v>
      </c>
      <c r="D873" s="2">
        <v>200</v>
      </c>
    </row>
    <row r="874" spans="1:4" x14ac:dyDescent="0.35">
      <c r="A874" t="s">
        <v>905</v>
      </c>
      <c r="B874">
        <f>MIN(0.12*Earnings!C874,1800)</f>
        <v>1800</v>
      </c>
      <c r="C874">
        <f>IF(Earnings!G874&lt;=21000,0.0075*Earnings!G874,0)</f>
        <v>0</v>
      </c>
      <c r="D874" s="2">
        <v>200</v>
      </c>
    </row>
    <row r="875" spans="1:4" x14ac:dyDescent="0.35">
      <c r="A875" t="s">
        <v>906</v>
      </c>
      <c r="B875">
        <f>MIN(0.12*Earnings!C875,1800)</f>
        <v>1800</v>
      </c>
      <c r="C875">
        <f>IF(Earnings!G875&lt;=21000,0.0075*Earnings!G875,0)</f>
        <v>0</v>
      </c>
      <c r="D875" s="2">
        <v>200</v>
      </c>
    </row>
    <row r="876" spans="1:4" x14ac:dyDescent="0.35">
      <c r="A876" t="s">
        <v>907</v>
      </c>
      <c r="B876">
        <f>MIN(0.12*Earnings!C876,1800)</f>
        <v>1800</v>
      </c>
      <c r="C876">
        <f>IF(Earnings!G876&lt;=21000,0.0075*Earnings!G876,0)</f>
        <v>0</v>
      </c>
      <c r="D876" s="2">
        <v>200</v>
      </c>
    </row>
    <row r="877" spans="1:4" x14ac:dyDescent="0.35">
      <c r="A877" t="s">
        <v>908</v>
      </c>
      <c r="B877">
        <f>MIN(0.12*Earnings!C877,1800)</f>
        <v>1800</v>
      </c>
      <c r="C877">
        <f>IF(Earnings!G877&lt;=21000,0.0075*Earnings!G877,0)</f>
        <v>0</v>
      </c>
      <c r="D877" s="2">
        <v>200</v>
      </c>
    </row>
    <row r="878" spans="1:4" x14ac:dyDescent="0.35">
      <c r="A878" t="s">
        <v>909</v>
      </c>
      <c r="B878">
        <f>MIN(0.12*Earnings!C878,1800)</f>
        <v>1800</v>
      </c>
      <c r="C878">
        <f>IF(Earnings!G878&lt;=21000,0.0075*Earnings!G878,0)</f>
        <v>0</v>
      </c>
      <c r="D878" s="2">
        <v>200</v>
      </c>
    </row>
    <row r="879" spans="1:4" x14ac:dyDescent="0.35">
      <c r="A879" t="s">
        <v>910</v>
      </c>
      <c r="B879">
        <f>MIN(0.12*Earnings!C879,1800)</f>
        <v>1800</v>
      </c>
      <c r="C879">
        <f>IF(Earnings!G879&lt;=21000,0.0075*Earnings!G879,0)</f>
        <v>0</v>
      </c>
      <c r="D879" s="2">
        <v>200</v>
      </c>
    </row>
    <row r="880" spans="1:4" x14ac:dyDescent="0.35">
      <c r="A880" t="s">
        <v>911</v>
      </c>
      <c r="B880">
        <f>MIN(0.12*Earnings!C880,1800)</f>
        <v>1800</v>
      </c>
      <c r="C880">
        <f>IF(Earnings!G880&lt;=21000,0.0075*Earnings!G880,0)</f>
        <v>0</v>
      </c>
      <c r="D880" s="2">
        <v>200</v>
      </c>
    </row>
    <row r="881" spans="1:4" x14ac:dyDescent="0.35">
      <c r="A881" t="s">
        <v>912</v>
      </c>
      <c r="B881">
        <f>MIN(0.12*Earnings!C881,1800)</f>
        <v>1800</v>
      </c>
      <c r="C881">
        <f>IF(Earnings!G881&lt;=21000,0.0075*Earnings!G881,0)</f>
        <v>0</v>
      </c>
      <c r="D881" s="2">
        <v>200</v>
      </c>
    </row>
    <row r="882" spans="1:4" x14ac:dyDescent="0.35">
      <c r="A882" t="s">
        <v>913</v>
      </c>
      <c r="B882">
        <f>MIN(0.12*Earnings!C882,1800)</f>
        <v>1800</v>
      </c>
      <c r="C882">
        <f>IF(Earnings!G882&lt;=21000,0.0075*Earnings!G882,0)</f>
        <v>0</v>
      </c>
      <c r="D882" s="2">
        <v>200</v>
      </c>
    </row>
    <row r="883" spans="1:4" x14ac:dyDescent="0.35">
      <c r="A883" t="s">
        <v>914</v>
      </c>
      <c r="B883">
        <f>MIN(0.12*Earnings!C883,1800)</f>
        <v>1800</v>
      </c>
      <c r="C883">
        <f>IF(Earnings!G883&lt;=21000,0.0075*Earnings!G883,0)</f>
        <v>0</v>
      </c>
      <c r="D883" s="2">
        <v>200</v>
      </c>
    </row>
    <row r="884" spans="1:4" x14ac:dyDescent="0.35">
      <c r="A884" t="s">
        <v>915</v>
      </c>
      <c r="B884">
        <f>MIN(0.12*Earnings!C884,1800)</f>
        <v>1800</v>
      </c>
      <c r="C884">
        <f>IF(Earnings!G884&lt;=21000,0.0075*Earnings!G884,0)</f>
        <v>0</v>
      </c>
      <c r="D884" s="2">
        <v>200</v>
      </c>
    </row>
    <row r="885" spans="1:4" x14ac:dyDescent="0.35">
      <c r="A885" t="s">
        <v>916</v>
      </c>
      <c r="B885">
        <f>MIN(0.12*Earnings!C885,1800)</f>
        <v>1800</v>
      </c>
      <c r="C885">
        <f>IF(Earnings!G885&lt;=21000,0.0075*Earnings!G885,0)</f>
        <v>0</v>
      </c>
      <c r="D885" s="2">
        <v>200</v>
      </c>
    </row>
    <row r="886" spans="1:4" x14ac:dyDescent="0.35">
      <c r="A886" t="s">
        <v>917</v>
      </c>
      <c r="B886">
        <f>MIN(0.12*Earnings!C886,1800)</f>
        <v>1800</v>
      </c>
      <c r="C886">
        <f>IF(Earnings!G886&lt;=21000,0.0075*Earnings!G886,0)</f>
        <v>0</v>
      </c>
      <c r="D886" s="2">
        <v>200</v>
      </c>
    </row>
    <row r="887" spans="1:4" x14ac:dyDescent="0.35">
      <c r="A887" t="s">
        <v>918</v>
      </c>
      <c r="B887">
        <f>MIN(0.12*Earnings!C887,1800)</f>
        <v>1800</v>
      </c>
      <c r="C887">
        <f>IF(Earnings!G887&lt;=21000,0.0075*Earnings!G887,0)</f>
        <v>0</v>
      </c>
      <c r="D887" s="2">
        <v>200</v>
      </c>
    </row>
    <row r="888" spans="1:4" x14ac:dyDescent="0.35">
      <c r="A888" t="s">
        <v>919</v>
      </c>
      <c r="B888">
        <f>MIN(0.12*Earnings!C888,1800)</f>
        <v>1800</v>
      </c>
      <c r="C888">
        <f>IF(Earnings!G888&lt;=21000,0.0075*Earnings!G888,0)</f>
        <v>0</v>
      </c>
      <c r="D888" s="2">
        <v>200</v>
      </c>
    </row>
    <row r="889" spans="1:4" x14ac:dyDescent="0.35">
      <c r="A889" t="s">
        <v>920</v>
      </c>
      <c r="B889">
        <f>MIN(0.12*Earnings!C889,1800)</f>
        <v>1800</v>
      </c>
      <c r="C889">
        <f>IF(Earnings!G889&lt;=21000,0.0075*Earnings!G889,0)</f>
        <v>0</v>
      </c>
      <c r="D889" s="2">
        <v>200</v>
      </c>
    </row>
    <row r="890" spans="1:4" x14ac:dyDescent="0.35">
      <c r="A890" t="s">
        <v>921</v>
      </c>
      <c r="B890">
        <f>MIN(0.12*Earnings!C890,1800)</f>
        <v>1800</v>
      </c>
      <c r="C890">
        <f>IF(Earnings!G890&lt;=21000,0.0075*Earnings!G890,0)</f>
        <v>0</v>
      </c>
      <c r="D890" s="2">
        <v>200</v>
      </c>
    </row>
    <row r="891" spans="1:4" x14ac:dyDescent="0.35">
      <c r="A891" t="s">
        <v>922</v>
      </c>
      <c r="B891">
        <f>MIN(0.12*Earnings!C891,1800)</f>
        <v>1800</v>
      </c>
      <c r="C891">
        <f>IF(Earnings!G891&lt;=21000,0.0075*Earnings!G891,0)</f>
        <v>0</v>
      </c>
      <c r="D891" s="2">
        <v>200</v>
      </c>
    </row>
    <row r="892" spans="1:4" x14ac:dyDescent="0.35">
      <c r="A892" t="s">
        <v>923</v>
      </c>
      <c r="B892">
        <f>MIN(0.12*Earnings!C892,1800)</f>
        <v>1800</v>
      </c>
      <c r="C892">
        <f>IF(Earnings!G892&lt;=21000,0.0075*Earnings!G892,0)</f>
        <v>0</v>
      </c>
      <c r="D892" s="2">
        <v>200</v>
      </c>
    </row>
    <row r="893" spans="1:4" x14ac:dyDescent="0.35">
      <c r="A893" t="s">
        <v>924</v>
      </c>
      <c r="B893">
        <f>MIN(0.12*Earnings!C893,1800)</f>
        <v>1800</v>
      </c>
      <c r="C893">
        <f>IF(Earnings!G893&lt;=21000,0.0075*Earnings!G893,0)</f>
        <v>0</v>
      </c>
      <c r="D893" s="2">
        <v>200</v>
      </c>
    </row>
    <row r="894" spans="1:4" x14ac:dyDescent="0.35">
      <c r="A894" t="s">
        <v>925</v>
      </c>
      <c r="B894">
        <f>MIN(0.12*Earnings!C894,1800)</f>
        <v>1800</v>
      </c>
      <c r="C894">
        <f>IF(Earnings!G894&lt;=21000,0.0075*Earnings!G894,0)</f>
        <v>0</v>
      </c>
      <c r="D894" s="2">
        <v>200</v>
      </c>
    </row>
    <row r="895" spans="1:4" x14ac:dyDescent="0.35">
      <c r="A895" t="s">
        <v>926</v>
      </c>
      <c r="B895">
        <f>MIN(0.12*Earnings!C895,1800)</f>
        <v>1800</v>
      </c>
      <c r="C895">
        <f>IF(Earnings!G895&lt;=21000,0.0075*Earnings!G895,0)</f>
        <v>0</v>
      </c>
      <c r="D895" s="2">
        <v>200</v>
      </c>
    </row>
    <row r="896" spans="1:4" x14ac:dyDescent="0.35">
      <c r="A896" t="s">
        <v>927</v>
      </c>
      <c r="B896">
        <f>MIN(0.12*Earnings!C896,1800)</f>
        <v>1800</v>
      </c>
      <c r="C896">
        <f>IF(Earnings!G896&lt;=21000,0.0075*Earnings!G896,0)</f>
        <v>0</v>
      </c>
      <c r="D896" s="2">
        <v>200</v>
      </c>
    </row>
    <row r="897" spans="1:4" x14ac:dyDescent="0.35">
      <c r="A897" t="s">
        <v>928</v>
      </c>
      <c r="B897">
        <f>MIN(0.12*Earnings!C897,1800)</f>
        <v>1800</v>
      </c>
      <c r="C897">
        <f>IF(Earnings!G897&lt;=21000,0.0075*Earnings!G897,0)</f>
        <v>0</v>
      </c>
      <c r="D897" s="2">
        <v>200</v>
      </c>
    </row>
    <row r="898" spans="1:4" x14ac:dyDescent="0.35">
      <c r="A898" t="s">
        <v>929</v>
      </c>
      <c r="B898">
        <f>MIN(0.12*Earnings!C898,1800)</f>
        <v>1800</v>
      </c>
      <c r="C898">
        <f>IF(Earnings!G898&lt;=21000,0.0075*Earnings!G898,0)</f>
        <v>0</v>
      </c>
      <c r="D898" s="2">
        <v>200</v>
      </c>
    </row>
    <row r="899" spans="1:4" x14ac:dyDescent="0.35">
      <c r="A899" t="s">
        <v>930</v>
      </c>
      <c r="B899">
        <f>MIN(0.12*Earnings!C899,1800)</f>
        <v>1800</v>
      </c>
      <c r="C899">
        <f>IF(Earnings!G899&lt;=21000,0.0075*Earnings!G899,0)</f>
        <v>0</v>
      </c>
      <c r="D899" s="2">
        <v>200</v>
      </c>
    </row>
    <row r="900" spans="1:4" x14ac:dyDescent="0.35">
      <c r="A900" t="s">
        <v>931</v>
      </c>
      <c r="B900">
        <f>MIN(0.12*Earnings!C900,1800)</f>
        <v>1800</v>
      </c>
      <c r="C900">
        <f>IF(Earnings!G900&lt;=21000,0.0075*Earnings!G900,0)</f>
        <v>0</v>
      </c>
      <c r="D900" s="2">
        <v>200</v>
      </c>
    </row>
    <row r="901" spans="1:4" x14ac:dyDescent="0.35">
      <c r="A901" t="s">
        <v>932</v>
      </c>
      <c r="B901">
        <f>MIN(0.12*Earnings!C901,1800)</f>
        <v>1800</v>
      </c>
      <c r="C901">
        <f>IF(Earnings!G901&lt;=21000,0.0075*Earnings!G901,0)</f>
        <v>0</v>
      </c>
      <c r="D901" s="2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01"/>
  <sheetViews>
    <sheetView workbookViewId="0">
      <selection activeCell="D2" sqref="D2"/>
    </sheetView>
  </sheetViews>
  <sheetFormatPr defaultRowHeight="14.5" x14ac:dyDescent="0.35"/>
  <cols>
    <col min="4" max="4" width="13.26953125" customWidth="1"/>
  </cols>
  <sheetData>
    <row r="1" spans="1:4" x14ac:dyDescent="0.35">
      <c r="A1" t="s">
        <v>0</v>
      </c>
      <c r="B1" t="s">
        <v>947</v>
      </c>
      <c r="C1" t="s">
        <v>948</v>
      </c>
      <c r="D1" t="s">
        <v>949</v>
      </c>
    </row>
    <row r="2" spans="1:4" x14ac:dyDescent="0.35">
      <c r="A2" t="s">
        <v>14</v>
      </c>
      <c r="B2">
        <f>Earnings!B2</f>
        <v>567032</v>
      </c>
      <c r="C2">
        <f t="shared" ref="C2:C65" si="0">IF(B2&lt;=250000,0,IF(B2&lt;=500000,(B2-250000)*0.05,IF(B2&lt;=1000000,12500+(B2-500000)*0.2,112500+(B2-1000000)*0.3)))</f>
        <v>25906.400000000001</v>
      </c>
      <c r="D2">
        <f t="shared" ref="D2:D65" si="1">C2/12</f>
        <v>2158.8666666666668</v>
      </c>
    </row>
    <row r="3" spans="1:4" x14ac:dyDescent="0.35">
      <c r="A3" t="s">
        <v>19</v>
      </c>
      <c r="B3">
        <f>Earnings!B3</f>
        <v>971985.85</v>
      </c>
      <c r="C3">
        <f t="shared" si="0"/>
        <v>106897.17</v>
      </c>
      <c r="D3">
        <f t="shared" si="1"/>
        <v>8908.0974999999999</v>
      </c>
    </row>
    <row r="4" spans="1:4" x14ac:dyDescent="0.35">
      <c r="A4" t="s">
        <v>24</v>
      </c>
      <c r="B4">
        <f>Earnings!B4</f>
        <v>647557</v>
      </c>
      <c r="C4">
        <f t="shared" si="0"/>
        <v>42011.4</v>
      </c>
      <c r="D4">
        <f t="shared" si="1"/>
        <v>3500.9500000000003</v>
      </c>
    </row>
    <row r="5" spans="1:4" x14ac:dyDescent="0.35">
      <c r="A5" t="s">
        <v>26</v>
      </c>
      <c r="B5">
        <f>Earnings!B5</f>
        <v>705914.6</v>
      </c>
      <c r="C5">
        <f t="shared" si="0"/>
        <v>53682.92</v>
      </c>
      <c r="D5">
        <f t="shared" si="1"/>
        <v>4473.5766666666668</v>
      </c>
    </row>
    <row r="6" spans="1:4" x14ac:dyDescent="0.35">
      <c r="A6" t="s">
        <v>29</v>
      </c>
      <c r="B6">
        <f>Earnings!B6</f>
        <v>1000642</v>
      </c>
      <c r="C6">
        <f t="shared" si="0"/>
        <v>112692.6</v>
      </c>
      <c r="D6">
        <f t="shared" si="1"/>
        <v>9391.0500000000011</v>
      </c>
    </row>
    <row r="7" spans="1:4" x14ac:dyDescent="0.35">
      <c r="A7" t="s">
        <v>31</v>
      </c>
      <c r="B7">
        <f>Earnings!B7</f>
        <v>513985.15</v>
      </c>
      <c r="C7">
        <f t="shared" si="0"/>
        <v>15297.030000000004</v>
      </c>
      <c r="D7">
        <f t="shared" si="1"/>
        <v>1274.7525000000003</v>
      </c>
    </row>
    <row r="8" spans="1:4" x14ac:dyDescent="0.35">
      <c r="A8" t="s">
        <v>33</v>
      </c>
      <c r="B8">
        <f>Earnings!B8</f>
        <v>902293.85</v>
      </c>
      <c r="C8">
        <f t="shared" si="0"/>
        <v>92958.77</v>
      </c>
      <c r="D8">
        <f t="shared" si="1"/>
        <v>7746.564166666667</v>
      </c>
    </row>
    <row r="9" spans="1:4" x14ac:dyDescent="0.35">
      <c r="A9" t="s">
        <v>35</v>
      </c>
      <c r="B9">
        <f>Earnings!B9</f>
        <v>1082863</v>
      </c>
      <c r="C9">
        <f t="shared" si="0"/>
        <v>137358.9</v>
      </c>
      <c r="D9">
        <f t="shared" si="1"/>
        <v>11446.574999999999</v>
      </c>
    </row>
    <row r="10" spans="1:4" x14ac:dyDescent="0.35">
      <c r="A10" t="s">
        <v>37</v>
      </c>
      <c r="B10">
        <f>Earnings!B10</f>
        <v>1226309.3999999999</v>
      </c>
      <c r="C10">
        <f t="shared" si="0"/>
        <v>180392.81999999995</v>
      </c>
      <c r="D10">
        <f t="shared" si="1"/>
        <v>15032.734999999995</v>
      </c>
    </row>
    <row r="11" spans="1:4" x14ac:dyDescent="0.35">
      <c r="A11" t="s">
        <v>39</v>
      </c>
      <c r="B11">
        <f>Earnings!B11</f>
        <v>895109</v>
      </c>
      <c r="C11">
        <f t="shared" si="0"/>
        <v>91521.8</v>
      </c>
      <c r="D11">
        <f t="shared" si="1"/>
        <v>7626.8166666666666</v>
      </c>
    </row>
    <row r="12" spans="1:4" x14ac:dyDescent="0.35">
      <c r="A12" t="s">
        <v>40</v>
      </c>
      <c r="B12">
        <f>Earnings!B12</f>
        <v>562117.85</v>
      </c>
      <c r="C12">
        <f t="shared" si="0"/>
        <v>24923.569999999996</v>
      </c>
      <c r="D12">
        <f t="shared" si="1"/>
        <v>2076.9641666666662</v>
      </c>
    </row>
    <row r="13" spans="1:4" x14ac:dyDescent="0.35">
      <c r="A13" t="s">
        <v>41</v>
      </c>
      <c r="B13">
        <f>Earnings!B13</f>
        <v>1001103</v>
      </c>
      <c r="C13">
        <f t="shared" si="0"/>
        <v>112830.9</v>
      </c>
      <c r="D13">
        <f t="shared" si="1"/>
        <v>9402.5749999999989</v>
      </c>
    </row>
    <row r="14" spans="1:4" x14ac:dyDescent="0.35">
      <c r="A14" t="s">
        <v>42</v>
      </c>
      <c r="B14">
        <f>Earnings!B14</f>
        <v>948389</v>
      </c>
      <c r="C14">
        <f t="shared" si="0"/>
        <v>102177.8</v>
      </c>
      <c r="D14">
        <f t="shared" si="1"/>
        <v>8514.8166666666675</v>
      </c>
    </row>
    <row r="15" spans="1:4" x14ac:dyDescent="0.35">
      <c r="A15" t="s">
        <v>43</v>
      </c>
      <c r="B15">
        <f>Earnings!B15</f>
        <v>709628.15</v>
      </c>
      <c r="C15">
        <f t="shared" si="0"/>
        <v>54425.630000000005</v>
      </c>
      <c r="D15">
        <f t="shared" si="1"/>
        <v>4535.4691666666668</v>
      </c>
    </row>
    <row r="16" spans="1:4" x14ac:dyDescent="0.35">
      <c r="A16" t="s">
        <v>46</v>
      </c>
      <c r="B16">
        <f>Earnings!B16</f>
        <v>983356.39999999991</v>
      </c>
      <c r="C16">
        <f t="shared" si="0"/>
        <v>109171.27999999998</v>
      </c>
      <c r="D16">
        <f t="shared" si="1"/>
        <v>9097.6066666666648</v>
      </c>
    </row>
    <row r="17" spans="1:4" x14ac:dyDescent="0.35">
      <c r="A17" t="s">
        <v>47</v>
      </c>
      <c r="B17">
        <f>Earnings!B17</f>
        <v>1107413.1000000001</v>
      </c>
      <c r="C17">
        <f t="shared" si="0"/>
        <v>144723.93000000002</v>
      </c>
      <c r="D17">
        <f t="shared" si="1"/>
        <v>12060.327500000001</v>
      </c>
    </row>
    <row r="18" spans="1:4" x14ac:dyDescent="0.35">
      <c r="A18" t="s">
        <v>48</v>
      </c>
      <c r="B18">
        <f>Earnings!B18</f>
        <v>655557.94999999995</v>
      </c>
      <c r="C18">
        <f t="shared" si="0"/>
        <v>43611.59</v>
      </c>
      <c r="D18">
        <f t="shared" si="1"/>
        <v>3634.2991666666662</v>
      </c>
    </row>
    <row r="19" spans="1:4" x14ac:dyDescent="0.35">
      <c r="A19" t="s">
        <v>49</v>
      </c>
      <c r="B19">
        <f>Earnings!B19</f>
        <v>1072408</v>
      </c>
      <c r="C19">
        <f t="shared" si="0"/>
        <v>134222.39999999999</v>
      </c>
      <c r="D19">
        <f t="shared" si="1"/>
        <v>11185.199999999999</v>
      </c>
    </row>
    <row r="20" spans="1:4" x14ac:dyDescent="0.35">
      <c r="A20" t="s">
        <v>50</v>
      </c>
      <c r="B20">
        <f>Earnings!B20</f>
        <v>736364</v>
      </c>
      <c r="C20">
        <f t="shared" si="0"/>
        <v>59772.800000000003</v>
      </c>
      <c r="D20">
        <f t="shared" si="1"/>
        <v>4981.0666666666666</v>
      </c>
    </row>
    <row r="21" spans="1:4" x14ac:dyDescent="0.35">
      <c r="A21" t="s">
        <v>51</v>
      </c>
      <c r="B21">
        <f>Earnings!B21</f>
        <v>777432</v>
      </c>
      <c r="C21">
        <f t="shared" si="0"/>
        <v>67986.399999999994</v>
      </c>
      <c r="D21">
        <f t="shared" si="1"/>
        <v>5665.5333333333328</v>
      </c>
    </row>
    <row r="22" spans="1:4" x14ac:dyDescent="0.35">
      <c r="A22" t="s">
        <v>52</v>
      </c>
      <c r="B22">
        <f>Earnings!B22</f>
        <v>791056</v>
      </c>
      <c r="C22">
        <f t="shared" si="0"/>
        <v>70711.200000000012</v>
      </c>
      <c r="D22">
        <f t="shared" si="1"/>
        <v>5892.6000000000013</v>
      </c>
    </row>
    <row r="23" spans="1:4" x14ac:dyDescent="0.35">
      <c r="A23" t="s">
        <v>53</v>
      </c>
      <c r="B23">
        <f>Earnings!B23</f>
        <v>873438</v>
      </c>
      <c r="C23">
        <f t="shared" si="0"/>
        <v>87187.6</v>
      </c>
      <c r="D23">
        <f t="shared" si="1"/>
        <v>7265.6333333333341</v>
      </c>
    </row>
    <row r="24" spans="1:4" x14ac:dyDescent="0.35">
      <c r="A24" t="s">
        <v>54</v>
      </c>
      <c r="B24">
        <f>Earnings!B24</f>
        <v>913645</v>
      </c>
      <c r="C24">
        <f t="shared" si="0"/>
        <v>95229</v>
      </c>
      <c r="D24">
        <f t="shared" si="1"/>
        <v>7935.75</v>
      </c>
    </row>
    <row r="25" spans="1:4" x14ac:dyDescent="0.35">
      <c r="A25" t="s">
        <v>55</v>
      </c>
      <c r="B25">
        <f>Earnings!B25</f>
        <v>997430.64999999991</v>
      </c>
      <c r="C25">
        <f t="shared" si="0"/>
        <v>111986.12999999999</v>
      </c>
      <c r="D25">
        <f t="shared" si="1"/>
        <v>9332.1774999999998</v>
      </c>
    </row>
    <row r="26" spans="1:4" x14ac:dyDescent="0.35">
      <c r="A26" t="s">
        <v>56</v>
      </c>
      <c r="B26">
        <f>Earnings!B26</f>
        <v>960193.5</v>
      </c>
      <c r="C26">
        <f t="shared" si="0"/>
        <v>104538.70000000001</v>
      </c>
      <c r="D26">
        <f t="shared" si="1"/>
        <v>8711.5583333333343</v>
      </c>
    </row>
    <row r="27" spans="1:4" x14ac:dyDescent="0.35">
      <c r="A27" t="s">
        <v>57</v>
      </c>
      <c r="B27">
        <f>Earnings!B27</f>
        <v>740750</v>
      </c>
      <c r="C27">
        <f t="shared" si="0"/>
        <v>60650</v>
      </c>
      <c r="D27">
        <f t="shared" si="1"/>
        <v>5054.166666666667</v>
      </c>
    </row>
    <row r="28" spans="1:4" x14ac:dyDescent="0.35">
      <c r="A28" t="s">
        <v>58</v>
      </c>
      <c r="B28">
        <f>Earnings!B28</f>
        <v>453237.4</v>
      </c>
      <c r="C28">
        <f t="shared" si="0"/>
        <v>10161.870000000003</v>
      </c>
      <c r="D28">
        <f t="shared" si="1"/>
        <v>846.82250000000022</v>
      </c>
    </row>
    <row r="29" spans="1:4" x14ac:dyDescent="0.35">
      <c r="A29" t="s">
        <v>59</v>
      </c>
      <c r="B29">
        <f>Earnings!B29</f>
        <v>316075.45</v>
      </c>
      <c r="C29">
        <f t="shared" si="0"/>
        <v>3303.7725000000009</v>
      </c>
      <c r="D29">
        <f t="shared" si="1"/>
        <v>275.3143750000001</v>
      </c>
    </row>
    <row r="30" spans="1:4" x14ac:dyDescent="0.35">
      <c r="A30" t="s">
        <v>60</v>
      </c>
      <c r="B30">
        <f>Earnings!B30</f>
        <v>817349.6</v>
      </c>
      <c r="C30">
        <f t="shared" si="0"/>
        <v>75969.919999999998</v>
      </c>
      <c r="D30">
        <f t="shared" si="1"/>
        <v>6330.8266666666668</v>
      </c>
    </row>
    <row r="31" spans="1:4" x14ac:dyDescent="0.35">
      <c r="A31" t="s">
        <v>61</v>
      </c>
      <c r="B31">
        <f>Earnings!B31</f>
        <v>525708.15</v>
      </c>
      <c r="C31">
        <f t="shared" si="0"/>
        <v>17641.630000000005</v>
      </c>
      <c r="D31">
        <f t="shared" si="1"/>
        <v>1470.1358333333337</v>
      </c>
    </row>
    <row r="32" spans="1:4" x14ac:dyDescent="0.35">
      <c r="A32" t="s">
        <v>62</v>
      </c>
      <c r="B32">
        <f>Earnings!B32</f>
        <v>936101</v>
      </c>
      <c r="C32">
        <f t="shared" si="0"/>
        <v>99720.200000000012</v>
      </c>
      <c r="D32">
        <f t="shared" si="1"/>
        <v>8310.0166666666682</v>
      </c>
    </row>
    <row r="33" spans="1:4" x14ac:dyDescent="0.35">
      <c r="A33" t="s">
        <v>63</v>
      </c>
      <c r="B33">
        <f>Earnings!B33</f>
        <v>678877</v>
      </c>
      <c r="C33">
        <f t="shared" si="0"/>
        <v>48275.4</v>
      </c>
      <c r="D33">
        <f t="shared" si="1"/>
        <v>4022.9500000000003</v>
      </c>
    </row>
    <row r="34" spans="1:4" x14ac:dyDescent="0.35">
      <c r="A34" t="s">
        <v>64</v>
      </c>
      <c r="B34">
        <f>Earnings!B34</f>
        <v>1067330</v>
      </c>
      <c r="C34">
        <f t="shared" si="0"/>
        <v>132699</v>
      </c>
      <c r="D34">
        <f t="shared" si="1"/>
        <v>11058.25</v>
      </c>
    </row>
    <row r="35" spans="1:4" x14ac:dyDescent="0.35">
      <c r="A35" t="s">
        <v>65</v>
      </c>
      <c r="B35">
        <f>Earnings!B35</f>
        <v>803346.6</v>
      </c>
      <c r="C35">
        <f t="shared" si="0"/>
        <v>73169.320000000007</v>
      </c>
      <c r="D35">
        <f t="shared" si="1"/>
        <v>6097.4433333333336</v>
      </c>
    </row>
    <row r="36" spans="1:4" x14ac:dyDescent="0.35">
      <c r="A36" t="s">
        <v>66</v>
      </c>
      <c r="B36">
        <f>Earnings!B36</f>
        <v>515663.8</v>
      </c>
      <c r="C36">
        <f t="shared" si="0"/>
        <v>15632.759999999998</v>
      </c>
      <c r="D36">
        <f t="shared" si="1"/>
        <v>1302.7299999999998</v>
      </c>
    </row>
    <row r="37" spans="1:4" x14ac:dyDescent="0.35">
      <c r="A37" t="s">
        <v>67</v>
      </c>
      <c r="B37">
        <f>Earnings!B37</f>
        <v>799907.6</v>
      </c>
      <c r="C37">
        <f t="shared" si="0"/>
        <v>72481.51999999999</v>
      </c>
      <c r="D37">
        <f t="shared" si="1"/>
        <v>6040.1266666666661</v>
      </c>
    </row>
    <row r="38" spans="1:4" x14ac:dyDescent="0.35">
      <c r="A38" t="s">
        <v>68</v>
      </c>
      <c r="B38">
        <f>Earnings!B38</f>
        <v>626435</v>
      </c>
      <c r="C38">
        <f t="shared" si="0"/>
        <v>37787</v>
      </c>
      <c r="D38">
        <f t="shared" si="1"/>
        <v>3148.9166666666665</v>
      </c>
    </row>
    <row r="39" spans="1:4" x14ac:dyDescent="0.35">
      <c r="A39" t="s">
        <v>69</v>
      </c>
      <c r="B39">
        <f>Earnings!B39</f>
        <v>793420.04999999993</v>
      </c>
      <c r="C39">
        <f t="shared" si="0"/>
        <v>71184.00999999998</v>
      </c>
      <c r="D39">
        <f t="shared" si="1"/>
        <v>5932.0008333333317</v>
      </c>
    </row>
    <row r="40" spans="1:4" x14ac:dyDescent="0.35">
      <c r="A40" t="s">
        <v>70</v>
      </c>
      <c r="B40">
        <f>Earnings!B40</f>
        <v>811459.6</v>
      </c>
      <c r="C40">
        <f t="shared" si="0"/>
        <v>74791.92</v>
      </c>
      <c r="D40">
        <f t="shared" si="1"/>
        <v>6232.66</v>
      </c>
    </row>
    <row r="41" spans="1:4" x14ac:dyDescent="0.35">
      <c r="A41" t="s">
        <v>72</v>
      </c>
      <c r="B41">
        <f>Earnings!B41</f>
        <v>550135</v>
      </c>
      <c r="C41">
        <f t="shared" si="0"/>
        <v>22527</v>
      </c>
      <c r="D41">
        <f t="shared" si="1"/>
        <v>1877.25</v>
      </c>
    </row>
    <row r="42" spans="1:4" x14ac:dyDescent="0.35">
      <c r="A42" t="s">
        <v>73</v>
      </c>
      <c r="B42">
        <f>Earnings!B42</f>
        <v>901852</v>
      </c>
      <c r="C42">
        <f t="shared" si="0"/>
        <v>92870.400000000009</v>
      </c>
      <c r="D42">
        <f t="shared" si="1"/>
        <v>7739.2000000000007</v>
      </c>
    </row>
    <row r="43" spans="1:4" x14ac:dyDescent="0.35">
      <c r="A43" t="s">
        <v>74</v>
      </c>
      <c r="B43">
        <f>Earnings!B43</f>
        <v>989813</v>
      </c>
      <c r="C43">
        <f t="shared" si="0"/>
        <v>110462.6</v>
      </c>
      <c r="D43">
        <f t="shared" si="1"/>
        <v>9205.2166666666672</v>
      </c>
    </row>
    <row r="44" spans="1:4" x14ac:dyDescent="0.35">
      <c r="A44" t="s">
        <v>75</v>
      </c>
      <c r="B44">
        <f>Earnings!B44</f>
        <v>1379544</v>
      </c>
      <c r="C44">
        <f t="shared" si="0"/>
        <v>226363.2</v>
      </c>
      <c r="D44">
        <f t="shared" si="1"/>
        <v>18863.600000000002</v>
      </c>
    </row>
    <row r="45" spans="1:4" x14ac:dyDescent="0.35">
      <c r="A45" t="s">
        <v>76</v>
      </c>
      <c r="B45">
        <f>Earnings!B45</f>
        <v>337354</v>
      </c>
      <c r="C45">
        <f t="shared" si="0"/>
        <v>4367.7</v>
      </c>
      <c r="D45">
        <f t="shared" si="1"/>
        <v>363.97499999999997</v>
      </c>
    </row>
    <row r="46" spans="1:4" x14ac:dyDescent="0.35">
      <c r="A46" t="s">
        <v>77</v>
      </c>
      <c r="B46">
        <f>Earnings!B46</f>
        <v>917263</v>
      </c>
      <c r="C46">
        <f t="shared" si="0"/>
        <v>95952.6</v>
      </c>
      <c r="D46">
        <f t="shared" si="1"/>
        <v>7996.05</v>
      </c>
    </row>
    <row r="47" spans="1:4" x14ac:dyDescent="0.35">
      <c r="A47" t="s">
        <v>78</v>
      </c>
      <c r="B47">
        <f>Earnings!B47</f>
        <v>919159</v>
      </c>
      <c r="C47">
        <f t="shared" si="0"/>
        <v>96331.8</v>
      </c>
      <c r="D47">
        <f t="shared" si="1"/>
        <v>8027.6500000000005</v>
      </c>
    </row>
    <row r="48" spans="1:4" x14ac:dyDescent="0.35">
      <c r="A48" t="s">
        <v>79</v>
      </c>
      <c r="B48">
        <f>Earnings!B48</f>
        <v>891858</v>
      </c>
      <c r="C48">
        <f t="shared" si="0"/>
        <v>90871.6</v>
      </c>
      <c r="D48">
        <f t="shared" si="1"/>
        <v>7572.6333333333341</v>
      </c>
    </row>
    <row r="49" spans="1:4" x14ac:dyDescent="0.35">
      <c r="A49" t="s">
        <v>80</v>
      </c>
      <c r="B49">
        <f>Earnings!B49</f>
        <v>821035</v>
      </c>
      <c r="C49">
        <f t="shared" si="0"/>
        <v>76707</v>
      </c>
      <c r="D49">
        <f t="shared" si="1"/>
        <v>6392.25</v>
      </c>
    </row>
    <row r="50" spans="1:4" x14ac:dyDescent="0.35">
      <c r="A50" t="s">
        <v>81</v>
      </c>
      <c r="B50">
        <f>Earnings!B50</f>
        <v>1199530.8</v>
      </c>
      <c r="C50">
        <f t="shared" si="0"/>
        <v>172359.24000000002</v>
      </c>
      <c r="D50">
        <f t="shared" si="1"/>
        <v>14363.270000000002</v>
      </c>
    </row>
    <row r="51" spans="1:4" x14ac:dyDescent="0.35">
      <c r="A51" t="s">
        <v>82</v>
      </c>
      <c r="B51">
        <f>Earnings!B51</f>
        <v>1532630</v>
      </c>
      <c r="C51">
        <f t="shared" si="0"/>
        <v>272289</v>
      </c>
      <c r="D51">
        <f t="shared" si="1"/>
        <v>22690.75</v>
      </c>
    </row>
    <row r="52" spans="1:4" x14ac:dyDescent="0.35">
      <c r="A52" t="s">
        <v>83</v>
      </c>
      <c r="B52">
        <f>Earnings!B52</f>
        <v>926596</v>
      </c>
      <c r="C52">
        <f t="shared" si="0"/>
        <v>97819.200000000012</v>
      </c>
      <c r="D52">
        <f t="shared" si="1"/>
        <v>8151.6000000000013</v>
      </c>
    </row>
    <row r="53" spans="1:4" x14ac:dyDescent="0.35">
      <c r="A53" t="s">
        <v>84</v>
      </c>
      <c r="B53">
        <f>Earnings!B53</f>
        <v>958572</v>
      </c>
      <c r="C53">
        <f t="shared" si="0"/>
        <v>104214.40000000001</v>
      </c>
      <c r="D53">
        <f t="shared" si="1"/>
        <v>8684.5333333333347</v>
      </c>
    </row>
    <row r="54" spans="1:4" x14ac:dyDescent="0.35">
      <c r="A54" t="s">
        <v>85</v>
      </c>
      <c r="B54">
        <f>Earnings!B54</f>
        <v>805265</v>
      </c>
      <c r="C54">
        <f t="shared" si="0"/>
        <v>73553</v>
      </c>
      <c r="D54">
        <f t="shared" si="1"/>
        <v>6129.416666666667</v>
      </c>
    </row>
    <row r="55" spans="1:4" x14ac:dyDescent="0.35">
      <c r="A55" t="s">
        <v>86</v>
      </c>
      <c r="B55">
        <f>Earnings!B55</f>
        <v>794158</v>
      </c>
      <c r="C55">
        <f t="shared" si="0"/>
        <v>71331.600000000006</v>
      </c>
      <c r="D55">
        <f t="shared" si="1"/>
        <v>5944.3</v>
      </c>
    </row>
    <row r="56" spans="1:4" x14ac:dyDescent="0.35">
      <c r="A56" t="s">
        <v>87</v>
      </c>
      <c r="B56">
        <f>Earnings!B56</f>
        <v>1214153.2</v>
      </c>
      <c r="C56">
        <f t="shared" si="0"/>
        <v>176745.96</v>
      </c>
      <c r="D56">
        <f t="shared" si="1"/>
        <v>14728.83</v>
      </c>
    </row>
    <row r="57" spans="1:4" x14ac:dyDescent="0.35">
      <c r="A57" t="s">
        <v>88</v>
      </c>
      <c r="B57">
        <f>Earnings!B57</f>
        <v>1033034.75</v>
      </c>
      <c r="C57">
        <f t="shared" si="0"/>
        <v>122410.425</v>
      </c>
      <c r="D57">
        <f t="shared" si="1"/>
        <v>10200.86875</v>
      </c>
    </row>
    <row r="58" spans="1:4" x14ac:dyDescent="0.35">
      <c r="A58" t="s">
        <v>89</v>
      </c>
      <c r="B58">
        <f>Earnings!B58</f>
        <v>920683</v>
      </c>
      <c r="C58">
        <f t="shared" si="0"/>
        <v>96636.6</v>
      </c>
      <c r="D58">
        <f t="shared" si="1"/>
        <v>8053.05</v>
      </c>
    </row>
    <row r="59" spans="1:4" x14ac:dyDescent="0.35">
      <c r="A59" t="s">
        <v>90</v>
      </c>
      <c r="B59">
        <f>Earnings!B59</f>
        <v>711929.04999999993</v>
      </c>
      <c r="C59">
        <f t="shared" si="0"/>
        <v>54885.80999999999</v>
      </c>
      <c r="D59">
        <f t="shared" si="1"/>
        <v>4573.8174999999992</v>
      </c>
    </row>
    <row r="60" spans="1:4" x14ac:dyDescent="0.35">
      <c r="A60" t="s">
        <v>91</v>
      </c>
      <c r="B60">
        <f>Earnings!B60</f>
        <v>1037476.95</v>
      </c>
      <c r="C60">
        <f t="shared" si="0"/>
        <v>123743.08499999999</v>
      </c>
      <c r="D60">
        <f t="shared" si="1"/>
        <v>10311.92375</v>
      </c>
    </row>
    <row r="61" spans="1:4" x14ac:dyDescent="0.35">
      <c r="A61" t="s">
        <v>92</v>
      </c>
      <c r="B61">
        <f>Earnings!B61</f>
        <v>417710.25</v>
      </c>
      <c r="C61">
        <f t="shared" si="0"/>
        <v>8385.5125000000007</v>
      </c>
      <c r="D61">
        <f t="shared" si="1"/>
        <v>698.79270833333339</v>
      </c>
    </row>
    <row r="62" spans="1:4" x14ac:dyDescent="0.35">
      <c r="A62" t="s">
        <v>93</v>
      </c>
      <c r="B62">
        <f>Earnings!B62</f>
        <v>471655</v>
      </c>
      <c r="C62">
        <f t="shared" si="0"/>
        <v>11082.75</v>
      </c>
      <c r="D62">
        <f t="shared" si="1"/>
        <v>923.5625</v>
      </c>
    </row>
    <row r="63" spans="1:4" x14ac:dyDescent="0.35">
      <c r="A63" t="s">
        <v>94</v>
      </c>
      <c r="B63">
        <f>Earnings!B63</f>
        <v>1161668.55</v>
      </c>
      <c r="C63">
        <f t="shared" si="0"/>
        <v>161000.565</v>
      </c>
      <c r="D63">
        <f t="shared" si="1"/>
        <v>13416.713750000001</v>
      </c>
    </row>
    <row r="64" spans="1:4" x14ac:dyDescent="0.35">
      <c r="A64" t="s">
        <v>95</v>
      </c>
      <c r="B64">
        <f>Earnings!B64</f>
        <v>606857.15</v>
      </c>
      <c r="C64">
        <f t="shared" si="0"/>
        <v>33871.430000000008</v>
      </c>
      <c r="D64">
        <f t="shared" si="1"/>
        <v>2822.6191666666673</v>
      </c>
    </row>
    <row r="65" spans="1:4" x14ac:dyDescent="0.35">
      <c r="A65" t="s">
        <v>96</v>
      </c>
      <c r="B65">
        <f>Earnings!B65</f>
        <v>630724</v>
      </c>
      <c r="C65">
        <f t="shared" si="0"/>
        <v>38644.800000000003</v>
      </c>
      <c r="D65">
        <f t="shared" si="1"/>
        <v>3220.4</v>
      </c>
    </row>
    <row r="66" spans="1:4" x14ac:dyDescent="0.35">
      <c r="A66" t="s">
        <v>97</v>
      </c>
      <c r="B66">
        <f>Earnings!B66</f>
        <v>1006208</v>
      </c>
      <c r="C66">
        <f t="shared" ref="C66:C129" si="2">IF(B66&lt;=250000,0,IF(B66&lt;=500000,(B66-250000)*0.05,IF(B66&lt;=1000000,12500+(B66-500000)*0.2,112500+(B66-1000000)*0.3)))</f>
        <v>114362.4</v>
      </c>
      <c r="D66">
        <f t="shared" ref="D66:D129" si="3">C66/12</f>
        <v>9530.1999999999989</v>
      </c>
    </row>
    <row r="67" spans="1:4" x14ac:dyDescent="0.35">
      <c r="A67" t="s">
        <v>98</v>
      </c>
      <c r="B67">
        <f>Earnings!B67</f>
        <v>969241</v>
      </c>
      <c r="C67">
        <f t="shared" si="2"/>
        <v>106348.20000000001</v>
      </c>
      <c r="D67">
        <f t="shared" si="3"/>
        <v>8862.35</v>
      </c>
    </row>
    <row r="68" spans="1:4" x14ac:dyDescent="0.35">
      <c r="A68" t="s">
        <v>99</v>
      </c>
      <c r="B68">
        <f>Earnings!B68</f>
        <v>990572</v>
      </c>
      <c r="C68">
        <f t="shared" si="2"/>
        <v>110614.40000000001</v>
      </c>
      <c r="D68">
        <f t="shared" si="3"/>
        <v>9217.8666666666668</v>
      </c>
    </row>
    <row r="69" spans="1:4" x14ac:dyDescent="0.35">
      <c r="A69" t="s">
        <v>100</v>
      </c>
      <c r="B69">
        <f>Earnings!B69</f>
        <v>863150.04999999993</v>
      </c>
      <c r="C69">
        <f t="shared" si="2"/>
        <v>85130.01</v>
      </c>
      <c r="D69">
        <f t="shared" si="3"/>
        <v>7094.1674999999996</v>
      </c>
    </row>
    <row r="70" spans="1:4" x14ac:dyDescent="0.35">
      <c r="A70" t="s">
        <v>101</v>
      </c>
      <c r="B70">
        <f>Earnings!B70</f>
        <v>629820.54999999993</v>
      </c>
      <c r="C70">
        <f t="shared" si="2"/>
        <v>38464.109999999986</v>
      </c>
      <c r="D70">
        <f t="shared" si="3"/>
        <v>3205.3424999999988</v>
      </c>
    </row>
    <row r="71" spans="1:4" x14ac:dyDescent="0.35">
      <c r="A71" t="s">
        <v>102</v>
      </c>
      <c r="B71">
        <f>Earnings!B71</f>
        <v>931405.64999999991</v>
      </c>
      <c r="C71">
        <f t="shared" si="2"/>
        <v>98781.12999999999</v>
      </c>
      <c r="D71">
        <f t="shared" si="3"/>
        <v>8231.7608333333319</v>
      </c>
    </row>
    <row r="72" spans="1:4" x14ac:dyDescent="0.35">
      <c r="A72" t="s">
        <v>103</v>
      </c>
      <c r="B72">
        <f>Earnings!B72</f>
        <v>881388</v>
      </c>
      <c r="C72">
        <f t="shared" si="2"/>
        <v>88777.600000000006</v>
      </c>
      <c r="D72">
        <f t="shared" si="3"/>
        <v>7398.1333333333341</v>
      </c>
    </row>
    <row r="73" spans="1:4" x14ac:dyDescent="0.35">
      <c r="A73" t="s">
        <v>104</v>
      </c>
      <c r="B73">
        <f>Earnings!B73</f>
        <v>1041963.8</v>
      </c>
      <c r="C73">
        <f t="shared" si="2"/>
        <v>125089.14000000001</v>
      </c>
      <c r="D73">
        <f t="shared" si="3"/>
        <v>10424.095000000001</v>
      </c>
    </row>
    <row r="74" spans="1:4" x14ac:dyDescent="0.35">
      <c r="A74" t="s">
        <v>105</v>
      </c>
      <c r="B74">
        <f>Earnings!B74</f>
        <v>904263.2</v>
      </c>
      <c r="C74">
        <f t="shared" si="2"/>
        <v>93352.639999999999</v>
      </c>
      <c r="D74">
        <f t="shared" si="3"/>
        <v>7779.3866666666663</v>
      </c>
    </row>
    <row r="75" spans="1:4" x14ac:dyDescent="0.35">
      <c r="A75" t="s">
        <v>106</v>
      </c>
      <c r="B75">
        <f>Earnings!B75</f>
        <v>563579</v>
      </c>
      <c r="C75">
        <f t="shared" si="2"/>
        <v>25215.800000000003</v>
      </c>
      <c r="D75">
        <f t="shared" si="3"/>
        <v>2101.3166666666671</v>
      </c>
    </row>
    <row r="76" spans="1:4" x14ac:dyDescent="0.35">
      <c r="A76" t="s">
        <v>107</v>
      </c>
      <c r="B76">
        <f>Earnings!B76</f>
        <v>601193.25</v>
      </c>
      <c r="C76">
        <f t="shared" si="2"/>
        <v>32738.65</v>
      </c>
      <c r="D76">
        <f t="shared" si="3"/>
        <v>2728.2208333333333</v>
      </c>
    </row>
    <row r="77" spans="1:4" x14ac:dyDescent="0.35">
      <c r="A77" t="s">
        <v>108</v>
      </c>
      <c r="B77">
        <f>Earnings!B77</f>
        <v>511053</v>
      </c>
      <c r="C77">
        <f t="shared" si="2"/>
        <v>14710.6</v>
      </c>
      <c r="D77">
        <f t="shared" si="3"/>
        <v>1225.8833333333334</v>
      </c>
    </row>
    <row r="78" spans="1:4" x14ac:dyDescent="0.35">
      <c r="A78" t="s">
        <v>109</v>
      </c>
      <c r="B78">
        <f>Earnings!B78</f>
        <v>618725.5</v>
      </c>
      <c r="C78">
        <f t="shared" si="2"/>
        <v>36245.100000000006</v>
      </c>
      <c r="D78">
        <f t="shared" si="3"/>
        <v>3020.4250000000006</v>
      </c>
    </row>
    <row r="79" spans="1:4" x14ac:dyDescent="0.35">
      <c r="A79" t="s">
        <v>110</v>
      </c>
      <c r="B79">
        <f>Earnings!B79</f>
        <v>653503.1</v>
      </c>
      <c r="C79">
        <f t="shared" si="2"/>
        <v>43200.619999999995</v>
      </c>
      <c r="D79">
        <f t="shared" si="3"/>
        <v>3600.0516666666663</v>
      </c>
    </row>
    <row r="80" spans="1:4" x14ac:dyDescent="0.35">
      <c r="A80" t="s">
        <v>111</v>
      </c>
      <c r="B80">
        <f>Earnings!B80</f>
        <v>755778</v>
      </c>
      <c r="C80">
        <f t="shared" si="2"/>
        <v>63655.600000000006</v>
      </c>
      <c r="D80">
        <f t="shared" si="3"/>
        <v>5304.6333333333341</v>
      </c>
    </row>
    <row r="81" spans="1:4" x14ac:dyDescent="0.35">
      <c r="A81" t="s">
        <v>112</v>
      </c>
      <c r="B81">
        <f>Earnings!B81</f>
        <v>1188022</v>
      </c>
      <c r="C81">
        <f t="shared" si="2"/>
        <v>168906.6</v>
      </c>
      <c r="D81">
        <f t="shared" si="3"/>
        <v>14075.550000000001</v>
      </c>
    </row>
    <row r="82" spans="1:4" x14ac:dyDescent="0.35">
      <c r="A82" t="s">
        <v>113</v>
      </c>
      <c r="B82">
        <f>Earnings!B82</f>
        <v>539877.4</v>
      </c>
      <c r="C82">
        <f t="shared" si="2"/>
        <v>20475.480000000003</v>
      </c>
      <c r="D82">
        <f t="shared" si="3"/>
        <v>1706.2900000000002</v>
      </c>
    </row>
    <row r="83" spans="1:4" x14ac:dyDescent="0.35">
      <c r="A83" t="s">
        <v>114</v>
      </c>
      <c r="B83">
        <f>Earnings!B83</f>
        <v>732790.1</v>
      </c>
      <c r="C83">
        <f t="shared" si="2"/>
        <v>59058.02</v>
      </c>
      <c r="D83">
        <f t="shared" si="3"/>
        <v>4921.5016666666661</v>
      </c>
    </row>
    <row r="84" spans="1:4" x14ac:dyDescent="0.35">
      <c r="A84" t="s">
        <v>115</v>
      </c>
      <c r="B84">
        <f>Earnings!B84</f>
        <v>700665</v>
      </c>
      <c r="C84">
        <f t="shared" si="2"/>
        <v>52633</v>
      </c>
      <c r="D84">
        <f t="shared" si="3"/>
        <v>4386.083333333333</v>
      </c>
    </row>
    <row r="85" spans="1:4" x14ac:dyDescent="0.35">
      <c r="A85" t="s">
        <v>116</v>
      </c>
      <c r="B85">
        <f>Earnings!B85</f>
        <v>774163.54999999993</v>
      </c>
      <c r="C85">
        <f t="shared" si="2"/>
        <v>67332.709999999992</v>
      </c>
      <c r="D85">
        <f t="shared" si="3"/>
        <v>5611.059166666666</v>
      </c>
    </row>
    <row r="86" spans="1:4" x14ac:dyDescent="0.35">
      <c r="A86" t="s">
        <v>117</v>
      </c>
      <c r="B86">
        <f>Earnings!B86</f>
        <v>1303954</v>
      </c>
      <c r="C86">
        <f t="shared" si="2"/>
        <v>203686.2</v>
      </c>
      <c r="D86">
        <f t="shared" si="3"/>
        <v>16973.850000000002</v>
      </c>
    </row>
    <row r="87" spans="1:4" x14ac:dyDescent="0.35">
      <c r="A87" t="s">
        <v>118</v>
      </c>
      <c r="B87">
        <f>Earnings!B87</f>
        <v>676120</v>
      </c>
      <c r="C87">
        <f t="shared" si="2"/>
        <v>47724</v>
      </c>
      <c r="D87">
        <f t="shared" si="3"/>
        <v>3977</v>
      </c>
    </row>
    <row r="88" spans="1:4" x14ac:dyDescent="0.35">
      <c r="A88" t="s">
        <v>119</v>
      </c>
      <c r="B88">
        <f>Earnings!B88</f>
        <v>768766</v>
      </c>
      <c r="C88">
        <f t="shared" si="2"/>
        <v>66253.200000000012</v>
      </c>
      <c r="D88">
        <f t="shared" si="3"/>
        <v>5521.1000000000013</v>
      </c>
    </row>
    <row r="89" spans="1:4" x14ac:dyDescent="0.35">
      <c r="A89" t="s">
        <v>120</v>
      </c>
      <c r="B89">
        <f>Earnings!B89</f>
        <v>1092470</v>
      </c>
      <c r="C89">
        <f t="shared" si="2"/>
        <v>140241</v>
      </c>
      <c r="D89">
        <f t="shared" si="3"/>
        <v>11686.75</v>
      </c>
    </row>
    <row r="90" spans="1:4" x14ac:dyDescent="0.35">
      <c r="A90" t="s">
        <v>121</v>
      </c>
      <c r="B90">
        <f>Earnings!B90</f>
        <v>996175</v>
      </c>
      <c r="C90">
        <f t="shared" si="2"/>
        <v>111735</v>
      </c>
      <c r="D90">
        <f t="shared" si="3"/>
        <v>9311.25</v>
      </c>
    </row>
    <row r="91" spans="1:4" x14ac:dyDescent="0.35">
      <c r="A91" t="s">
        <v>122</v>
      </c>
      <c r="B91">
        <f>Earnings!B91</f>
        <v>809432</v>
      </c>
      <c r="C91">
        <f t="shared" si="2"/>
        <v>74386.399999999994</v>
      </c>
      <c r="D91">
        <f t="shared" si="3"/>
        <v>6198.8666666666659</v>
      </c>
    </row>
    <row r="92" spans="1:4" x14ac:dyDescent="0.35">
      <c r="A92" t="s">
        <v>123</v>
      </c>
      <c r="B92">
        <f>Earnings!B92</f>
        <v>1101290</v>
      </c>
      <c r="C92">
        <f t="shared" si="2"/>
        <v>142887</v>
      </c>
      <c r="D92">
        <f t="shared" si="3"/>
        <v>11907.25</v>
      </c>
    </row>
    <row r="93" spans="1:4" x14ac:dyDescent="0.35">
      <c r="A93" t="s">
        <v>124</v>
      </c>
      <c r="B93">
        <f>Earnings!B93</f>
        <v>931327</v>
      </c>
      <c r="C93">
        <f t="shared" si="2"/>
        <v>98765.400000000009</v>
      </c>
      <c r="D93">
        <f t="shared" si="3"/>
        <v>8230.4500000000007</v>
      </c>
    </row>
    <row r="94" spans="1:4" x14ac:dyDescent="0.35">
      <c r="A94" t="s">
        <v>125</v>
      </c>
      <c r="B94">
        <f>Earnings!B94</f>
        <v>1029884.55</v>
      </c>
      <c r="C94">
        <f t="shared" si="2"/>
        <v>121465.36500000002</v>
      </c>
      <c r="D94">
        <f t="shared" si="3"/>
        <v>10122.113750000002</v>
      </c>
    </row>
    <row r="95" spans="1:4" x14ac:dyDescent="0.35">
      <c r="A95" t="s">
        <v>126</v>
      </c>
      <c r="B95">
        <f>Earnings!B95</f>
        <v>806318.2</v>
      </c>
      <c r="C95">
        <f t="shared" si="2"/>
        <v>73763.639999999985</v>
      </c>
      <c r="D95">
        <f t="shared" si="3"/>
        <v>6146.9699999999984</v>
      </c>
    </row>
    <row r="96" spans="1:4" x14ac:dyDescent="0.35">
      <c r="A96" t="s">
        <v>127</v>
      </c>
      <c r="B96">
        <f>Earnings!B96</f>
        <v>1023019</v>
      </c>
      <c r="C96">
        <f t="shared" si="2"/>
        <v>119405.7</v>
      </c>
      <c r="D96">
        <f t="shared" si="3"/>
        <v>9950.4750000000004</v>
      </c>
    </row>
    <row r="97" spans="1:4" x14ac:dyDescent="0.35">
      <c r="A97" t="s">
        <v>128</v>
      </c>
      <c r="B97">
        <f>Earnings!B97</f>
        <v>890389.39999999991</v>
      </c>
      <c r="C97">
        <f t="shared" si="2"/>
        <v>90577.87999999999</v>
      </c>
      <c r="D97">
        <f t="shared" si="3"/>
        <v>7548.1566666666658</v>
      </c>
    </row>
    <row r="98" spans="1:4" x14ac:dyDescent="0.35">
      <c r="A98" t="s">
        <v>129</v>
      </c>
      <c r="B98">
        <f>Earnings!B98</f>
        <v>822814.95</v>
      </c>
      <c r="C98">
        <f t="shared" si="2"/>
        <v>77062.989999999991</v>
      </c>
      <c r="D98">
        <f t="shared" si="3"/>
        <v>6421.9158333333326</v>
      </c>
    </row>
    <row r="99" spans="1:4" x14ac:dyDescent="0.35">
      <c r="A99" t="s">
        <v>130</v>
      </c>
      <c r="B99">
        <f>Earnings!B99</f>
        <v>991252.79999999993</v>
      </c>
      <c r="C99">
        <f t="shared" si="2"/>
        <v>110750.56</v>
      </c>
      <c r="D99">
        <f t="shared" si="3"/>
        <v>9229.2133333333331</v>
      </c>
    </row>
    <row r="100" spans="1:4" x14ac:dyDescent="0.35">
      <c r="A100" t="s">
        <v>131</v>
      </c>
      <c r="B100">
        <f>Earnings!B100</f>
        <v>597249.79999999993</v>
      </c>
      <c r="C100">
        <f t="shared" si="2"/>
        <v>31949.959999999988</v>
      </c>
      <c r="D100">
        <f t="shared" si="3"/>
        <v>2662.4966666666655</v>
      </c>
    </row>
    <row r="101" spans="1:4" x14ac:dyDescent="0.35">
      <c r="A101" t="s">
        <v>132</v>
      </c>
      <c r="B101">
        <f>Earnings!B101</f>
        <v>914168.85</v>
      </c>
      <c r="C101">
        <f t="shared" si="2"/>
        <v>95333.77</v>
      </c>
      <c r="D101">
        <f t="shared" si="3"/>
        <v>7944.480833333334</v>
      </c>
    </row>
    <row r="102" spans="1:4" x14ac:dyDescent="0.35">
      <c r="A102" t="s">
        <v>133</v>
      </c>
      <c r="B102">
        <f>Earnings!B102</f>
        <v>762891.79999999993</v>
      </c>
      <c r="C102">
        <f t="shared" si="2"/>
        <v>65078.359999999986</v>
      </c>
      <c r="D102">
        <f t="shared" si="3"/>
        <v>5423.1966666666658</v>
      </c>
    </row>
    <row r="103" spans="1:4" x14ac:dyDescent="0.35">
      <c r="A103" t="s">
        <v>134</v>
      </c>
      <c r="B103">
        <f>Earnings!B103</f>
        <v>711283</v>
      </c>
      <c r="C103">
        <f t="shared" si="2"/>
        <v>54756.600000000006</v>
      </c>
      <c r="D103">
        <f t="shared" si="3"/>
        <v>4563.05</v>
      </c>
    </row>
    <row r="104" spans="1:4" x14ac:dyDescent="0.35">
      <c r="A104" t="s">
        <v>135</v>
      </c>
      <c r="B104">
        <f>Earnings!B104</f>
        <v>796696</v>
      </c>
      <c r="C104">
        <f t="shared" si="2"/>
        <v>71839.200000000012</v>
      </c>
      <c r="D104">
        <f t="shared" si="3"/>
        <v>5986.6000000000013</v>
      </c>
    </row>
    <row r="105" spans="1:4" x14ac:dyDescent="0.35">
      <c r="A105" t="s">
        <v>136</v>
      </c>
      <c r="B105">
        <f>Earnings!B105</f>
        <v>898193.64999999991</v>
      </c>
      <c r="C105">
        <f t="shared" si="2"/>
        <v>92138.729999999981</v>
      </c>
      <c r="D105">
        <f t="shared" si="3"/>
        <v>7678.2274999999981</v>
      </c>
    </row>
    <row r="106" spans="1:4" x14ac:dyDescent="0.35">
      <c r="A106" t="s">
        <v>137</v>
      </c>
      <c r="B106">
        <f>Earnings!B106</f>
        <v>1509974</v>
      </c>
      <c r="C106">
        <f t="shared" si="2"/>
        <v>265492.19999999995</v>
      </c>
      <c r="D106">
        <f t="shared" si="3"/>
        <v>22124.349999999995</v>
      </c>
    </row>
    <row r="107" spans="1:4" x14ac:dyDescent="0.35">
      <c r="A107" t="s">
        <v>138</v>
      </c>
      <c r="B107">
        <f>Earnings!B107</f>
        <v>609167</v>
      </c>
      <c r="C107">
        <f t="shared" si="2"/>
        <v>34333.4</v>
      </c>
      <c r="D107">
        <f t="shared" si="3"/>
        <v>2861.1166666666668</v>
      </c>
    </row>
    <row r="108" spans="1:4" x14ac:dyDescent="0.35">
      <c r="A108" t="s">
        <v>139</v>
      </c>
      <c r="B108">
        <f>Earnings!B108</f>
        <v>1126046</v>
      </c>
      <c r="C108">
        <f t="shared" si="2"/>
        <v>150313.79999999999</v>
      </c>
      <c r="D108">
        <f t="shared" si="3"/>
        <v>12526.15</v>
      </c>
    </row>
    <row r="109" spans="1:4" x14ac:dyDescent="0.35">
      <c r="A109" t="s">
        <v>140</v>
      </c>
      <c r="B109">
        <f>Earnings!B109</f>
        <v>568230</v>
      </c>
      <c r="C109">
        <f t="shared" si="2"/>
        <v>26146</v>
      </c>
      <c r="D109">
        <f t="shared" si="3"/>
        <v>2178.8333333333335</v>
      </c>
    </row>
    <row r="110" spans="1:4" x14ac:dyDescent="0.35">
      <c r="A110" t="s">
        <v>141</v>
      </c>
      <c r="B110">
        <f>Earnings!B110</f>
        <v>724812.95</v>
      </c>
      <c r="C110">
        <f t="shared" si="2"/>
        <v>57462.59</v>
      </c>
      <c r="D110">
        <f t="shared" si="3"/>
        <v>4788.5491666666667</v>
      </c>
    </row>
    <row r="111" spans="1:4" x14ac:dyDescent="0.35">
      <c r="A111" t="s">
        <v>142</v>
      </c>
      <c r="B111">
        <f>Earnings!B111</f>
        <v>716504</v>
      </c>
      <c r="C111">
        <f t="shared" si="2"/>
        <v>55800.800000000003</v>
      </c>
      <c r="D111">
        <f t="shared" si="3"/>
        <v>4650.0666666666666</v>
      </c>
    </row>
    <row r="112" spans="1:4" x14ac:dyDescent="0.35">
      <c r="A112" t="s">
        <v>143</v>
      </c>
      <c r="B112">
        <f>Earnings!B112</f>
        <v>1028555.5</v>
      </c>
      <c r="C112">
        <f t="shared" si="2"/>
        <v>121066.65</v>
      </c>
      <c r="D112">
        <f t="shared" si="3"/>
        <v>10088.887499999999</v>
      </c>
    </row>
    <row r="113" spans="1:4" x14ac:dyDescent="0.35">
      <c r="A113" t="s">
        <v>144</v>
      </c>
      <c r="B113">
        <f>Earnings!B113</f>
        <v>782619.5</v>
      </c>
      <c r="C113">
        <f t="shared" si="2"/>
        <v>69023.899999999994</v>
      </c>
      <c r="D113">
        <f t="shared" si="3"/>
        <v>5751.9916666666659</v>
      </c>
    </row>
    <row r="114" spans="1:4" x14ac:dyDescent="0.35">
      <c r="A114" t="s">
        <v>145</v>
      </c>
      <c r="B114">
        <f>Earnings!B114</f>
        <v>882919.54999999993</v>
      </c>
      <c r="C114">
        <f t="shared" si="2"/>
        <v>89083.909999999989</v>
      </c>
      <c r="D114">
        <f t="shared" si="3"/>
        <v>7423.6591666666654</v>
      </c>
    </row>
    <row r="115" spans="1:4" x14ac:dyDescent="0.35">
      <c r="A115" t="s">
        <v>146</v>
      </c>
      <c r="B115">
        <f>Earnings!B115</f>
        <v>572258</v>
      </c>
      <c r="C115">
        <f t="shared" si="2"/>
        <v>26951.599999999999</v>
      </c>
      <c r="D115">
        <f t="shared" si="3"/>
        <v>2245.9666666666667</v>
      </c>
    </row>
    <row r="116" spans="1:4" x14ac:dyDescent="0.35">
      <c r="A116" t="s">
        <v>147</v>
      </c>
      <c r="B116">
        <f>Earnings!B116</f>
        <v>1517201</v>
      </c>
      <c r="C116">
        <f t="shared" si="2"/>
        <v>267660.3</v>
      </c>
      <c r="D116">
        <f t="shared" si="3"/>
        <v>22305.024999999998</v>
      </c>
    </row>
    <row r="117" spans="1:4" x14ac:dyDescent="0.35">
      <c r="A117" t="s">
        <v>148</v>
      </c>
      <c r="B117">
        <f>Earnings!B117</f>
        <v>995743</v>
      </c>
      <c r="C117">
        <f t="shared" si="2"/>
        <v>111648.6</v>
      </c>
      <c r="D117">
        <f t="shared" si="3"/>
        <v>9304.0500000000011</v>
      </c>
    </row>
    <row r="118" spans="1:4" x14ac:dyDescent="0.35">
      <c r="A118" t="s">
        <v>149</v>
      </c>
      <c r="B118">
        <f>Earnings!B118</f>
        <v>846346.45</v>
      </c>
      <c r="C118">
        <f t="shared" si="2"/>
        <v>81769.289999999994</v>
      </c>
      <c r="D118">
        <f t="shared" si="3"/>
        <v>6814.1074999999992</v>
      </c>
    </row>
    <row r="119" spans="1:4" x14ac:dyDescent="0.35">
      <c r="A119" t="s">
        <v>150</v>
      </c>
      <c r="B119">
        <f>Earnings!B119</f>
        <v>1047166.95</v>
      </c>
      <c r="C119">
        <f t="shared" si="2"/>
        <v>126650.08499999999</v>
      </c>
      <c r="D119">
        <f t="shared" si="3"/>
        <v>10554.17375</v>
      </c>
    </row>
    <row r="120" spans="1:4" x14ac:dyDescent="0.35">
      <c r="A120" t="s">
        <v>151</v>
      </c>
      <c r="B120">
        <f>Earnings!B120</f>
        <v>818280</v>
      </c>
      <c r="C120">
        <f t="shared" si="2"/>
        <v>76156</v>
      </c>
      <c r="D120">
        <f t="shared" si="3"/>
        <v>6346.333333333333</v>
      </c>
    </row>
    <row r="121" spans="1:4" x14ac:dyDescent="0.35">
      <c r="A121" t="s">
        <v>152</v>
      </c>
      <c r="B121">
        <f>Earnings!B121</f>
        <v>1264523</v>
      </c>
      <c r="C121">
        <f t="shared" si="2"/>
        <v>191856.9</v>
      </c>
      <c r="D121">
        <f t="shared" si="3"/>
        <v>15988.074999999999</v>
      </c>
    </row>
    <row r="122" spans="1:4" x14ac:dyDescent="0.35">
      <c r="A122" t="s">
        <v>153</v>
      </c>
      <c r="B122">
        <f>Earnings!B122</f>
        <v>805927.75</v>
      </c>
      <c r="C122">
        <f t="shared" si="2"/>
        <v>73685.55</v>
      </c>
      <c r="D122">
        <f t="shared" si="3"/>
        <v>6140.4625000000005</v>
      </c>
    </row>
    <row r="123" spans="1:4" x14ac:dyDescent="0.35">
      <c r="A123" t="s">
        <v>154</v>
      </c>
      <c r="B123">
        <f>Earnings!B123</f>
        <v>1015893</v>
      </c>
      <c r="C123">
        <f t="shared" si="2"/>
        <v>117267.9</v>
      </c>
      <c r="D123">
        <f t="shared" si="3"/>
        <v>9772.3249999999989</v>
      </c>
    </row>
    <row r="124" spans="1:4" x14ac:dyDescent="0.35">
      <c r="A124" t="s">
        <v>155</v>
      </c>
      <c r="B124">
        <f>Earnings!B124</f>
        <v>764992.25</v>
      </c>
      <c r="C124">
        <f t="shared" si="2"/>
        <v>65498.450000000004</v>
      </c>
      <c r="D124">
        <f t="shared" si="3"/>
        <v>5458.2041666666673</v>
      </c>
    </row>
    <row r="125" spans="1:4" x14ac:dyDescent="0.35">
      <c r="A125" t="s">
        <v>156</v>
      </c>
      <c r="B125">
        <f>Earnings!B125</f>
        <v>867605.54999999993</v>
      </c>
      <c r="C125">
        <f t="shared" si="2"/>
        <v>86021.109999999986</v>
      </c>
      <c r="D125">
        <f t="shared" si="3"/>
        <v>7168.4258333333319</v>
      </c>
    </row>
    <row r="126" spans="1:4" x14ac:dyDescent="0.35">
      <c r="A126" t="s">
        <v>157</v>
      </c>
      <c r="B126">
        <f>Earnings!B126</f>
        <v>640542.25</v>
      </c>
      <c r="C126">
        <f t="shared" si="2"/>
        <v>40608.449999999997</v>
      </c>
      <c r="D126">
        <f t="shared" si="3"/>
        <v>3384.0374999999999</v>
      </c>
    </row>
    <row r="127" spans="1:4" x14ac:dyDescent="0.35">
      <c r="A127" t="s">
        <v>158</v>
      </c>
      <c r="B127">
        <f>Earnings!B127</f>
        <v>914226</v>
      </c>
      <c r="C127">
        <f t="shared" si="2"/>
        <v>95345.200000000012</v>
      </c>
      <c r="D127">
        <f t="shared" si="3"/>
        <v>7945.4333333333343</v>
      </c>
    </row>
    <row r="128" spans="1:4" x14ac:dyDescent="0.35">
      <c r="A128" t="s">
        <v>159</v>
      </c>
      <c r="B128">
        <f>Earnings!B128</f>
        <v>890974</v>
      </c>
      <c r="C128">
        <f t="shared" si="2"/>
        <v>90694.8</v>
      </c>
      <c r="D128">
        <f t="shared" si="3"/>
        <v>7557.9000000000005</v>
      </c>
    </row>
    <row r="129" spans="1:4" x14ac:dyDescent="0.35">
      <c r="A129" t="s">
        <v>160</v>
      </c>
      <c r="B129">
        <f>Earnings!B129</f>
        <v>422562</v>
      </c>
      <c r="C129">
        <f t="shared" si="2"/>
        <v>8628.1</v>
      </c>
      <c r="D129">
        <f t="shared" si="3"/>
        <v>719.00833333333333</v>
      </c>
    </row>
    <row r="130" spans="1:4" x14ac:dyDescent="0.35">
      <c r="A130" t="s">
        <v>161</v>
      </c>
      <c r="B130">
        <f>Earnings!B130</f>
        <v>766325</v>
      </c>
      <c r="C130">
        <f t="shared" ref="C130:C193" si="4">IF(B130&lt;=250000,0,IF(B130&lt;=500000,(B130-250000)*0.05,IF(B130&lt;=1000000,12500+(B130-500000)*0.2,112500+(B130-1000000)*0.3)))</f>
        <v>65765</v>
      </c>
      <c r="D130">
        <f t="shared" ref="D130:D193" si="5">C130/12</f>
        <v>5480.416666666667</v>
      </c>
    </row>
    <row r="131" spans="1:4" x14ac:dyDescent="0.35">
      <c r="A131" t="s">
        <v>162</v>
      </c>
      <c r="B131">
        <f>Earnings!B131</f>
        <v>794809</v>
      </c>
      <c r="C131">
        <f t="shared" si="4"/>
        <v>71461.8</v>
      </c>
      <c r="D131">
        <f t="shared" si="5"/>
        <v>5955.1500000000005</v>
      </c>
    </row>
    <row r="132" spans="1:4" x14ac:dyDescent="0.35">
      <c r="A132" t="s">
        <v>163</v>
      </c>
      <c r="B132">
        <f>Earnings!B132</f>
        <v>1017723.6</v>
      </c>
      <c r="C132">
        <f t="shared" si="4"/>
        <v>117817.07999999999</v>
      </c>
      <c r="D132">
        <f t="shared" si="5"/>
        <v>9818.0899999999983</v>
      </c>
    </row>
    <row r="133" spans="1:4" x14ac:dyDescent="0.35">
      <c r="A133" t="s">
        <v>164</v>
      </c>
      <c r="B133">
        <f>Earnings!B133</f>
        <v>1199464.3</v>
      </c>
      <c r="C133">
        <f t="shared" si="4"/>
        <v>172339.29</v>
      </c>
      <c r="D133">
        <f t="shared" si="5"/>
        <v>14361.6075</v>
      </c>
    </row>
    <row r="134" spans="1:4" x14ac:dyDescent="0.35">
      <c r="A134" t="s">
        <v>165</v>
      </c>
      <c r="B134">
        <f>Earnings!B134</f>
        <v>426092.1</v>
      </c>
      <c r="C134">
        <f t="shared" si="4"/>
        <v>8804.6049999999996</v>
      </c>
      <c r="D134">
        <f t="shared" si="5"/>
        <v>733.71708333333333</v>
      </c>
    </row>
    <row r="135" spans="1:4" x14ac:dyDescent="0.35">
      <c r="A135" t="s">
        <v>166</v>
      </c>
      <c r="B135">
        <f>Earnings!B135</f>
        <v>855153.89999999991</v>
      </c>
      <c r="C135">
        <f t="shared" si="4"/>
        <v>83530.779999999984</v>
      </c>
      <c r="D135">
        <f t="shared" si="5"/>
        <v>6960.8983333333317</v>
      </c>
    </row>
    <row r="136" spans="1:4" x14ac:dyDescent="0.35">
      <c r="A136" t="s">
        <v>167</v>
      </c>
      <c r="B136">
        <f>Earnings!B136</f>
        <v>819248.64999999991</v>
      </c>
      <c r="C136">
        <f t="shared" si="4"/>
        <v>76349.729999999981</v>
      </c>
      <c r="D136">
        <f t="shared" si="5"/>
        <v>6362.4774999999981</v>
      </c>
    </row>
    <row r="137" spans="1:4" x14ac:dyDescent="0.35">
      <c r="A137" t="s">
        <v>168</v>
      </c>
      <c r="B137">
        <f>Earnings!B137</f>
        <v>700542</v>
      </c>
      <c r="C137">
        <f t="shared" si="4"/>
        <v>52608.4</v>
      </c>
      <c r="D137">
        <f t="shared" si="5"/>
        <v>4384.0333333333338</v>
      </c>
    </row>
    <row r="138" spans="1:4" x14ac:dyDescent="0.35">
      <c r="A138" t="s">
        <v>169</v>
      </c>
      <c r="B138">
        <f>Earnings!B138</f>
        <v>399910.1</v>
      </c>
      <c r="C138">
        <f t="shared" si="4"/>
        <v>7495.5049999999992</v>
      </c>
      <c r="D138">
        <f t="shared" si="5"/>
        <v>624.62541666666664</v>
      </c>
    </row>
    <row r="139" spans="1:4" x14ac:dyDescent="0.35">
      <c r="A139" t="s">
        <v>170</v>
      </c>
      <c r="B139">
        <f>Earnings!B139</f>
        <v>812035</v>
      </c>
      <c r="C139">
        <f t="shared" si="4"/>
        <v>74907</v>
      </c>
      <c r="D139">
        <f t="shared" si="5"/>
        <v>6242.25</v>
      </c>
    </row>
    <row r="140" spans="1:4" x14ac:dyDescent="0.35">
      <c r="A140" t="s">
        <v>171</v>
      </c>
      <c r="B140">
        <f>Earnings!B140</f>
        <v>1020751</v>
      </c>
      <c r="C140">
        <f t="shared" si="4"/>
        <v>118725.3</v>
      </c>
      <c r="D140">
        <f t="shared" si="5"/>
        <v>9893.7749999999996</v>
      </c>
    </row>
    <row r="141" spans="1:4" x14ac:dyDescent="0.35">
      <c r="A141" t="s">
        <v>172</v>
      </c>
      <c r="B141">
        <f>Earnings!B141</f>
        <v>942521</v>
      </c>
      <c r="C141">
        <f t="shared" si="4"/>
        <v>101004.20000000001</v>
      </c>
      <c r="D141">
        <f t="shared" si="5"/>
        <v>8417.0166666666682</v>
      </c>
    </row>
    <row r="142" spans="1:4" x14ac:dyDescent="0.35">
      <c r="A142" t="s">
        <v>173</v>
      </c>
      <c r="B142">
        <f>Earnings!B142</f>
        <v>489680.35</v>
      </c>
      <c r="C142">
        <f t="shared" si="4"/>
        <v>11984.0175</v>
      </c>
      <c r="D142">
        <f t="shared" si="5"/>
        <v>998.66812500000003</v>
      </c>
    </row>
    <row r="143" spans="1:4" x14ac:dyDescent="0.35">
      <c r="A143" t="s">
        <v>174</v>
      </c>
      <c r="B143">
        <f>Earnings!B143</f>
        <v>598477.19999999995</v>
      </c>
      <c r="C143">
        <f t="shared" si="4"/>
        <v>32195.439999999991</v>
      </c>
      <c r="D143">
        <f t="shared" si="5"/>
        <v>2682.9533333333325</v>
      </c>
    </row>
    <row r="144" spans="1:4" x14ac:dyDescent="0.35">
      <c r="A144" t="s">
        <v>175</v>
      </c>
      <c r="B144">
        <f>Earnings!B144</f>
        <v>760833</v>
      </c>
      <c r="C144">
        <f t="shared" si="4"/>
        <v>64666.600000000006</v>
      </c>
      <c r="D144">
        <f t="shared" si="5"/>
        <v>5388.8833333333341</v>
      </c>
    </row>
    <row r="145" spans="1:4" x14ac:dyDescent="0.35">
      <c r="A145" t="s">
        <v>176</v>
      </c>
      <c r="B145">
        <f>Earnings!B145</f>
        <v>649046.65</v>
      </c>
      <c r="C145">
        <f t="shared" si="4"/>
        <v>42309.33</v>
      </c>
      <c r="D145">
        <f t="shared" si="5"/>
        <v>3525.7775000000001</v>
      </c>
    </row>
    <row r="146" spans="1:4" x14ac:dyDescent="0.35">
      <c r="A146" t="s">
        <v>177</v>
      </c>
      <c r="B146">
        <f>Earnings!B146</f>
        <v>845945.54999999993</v>
      </c>
      <c r="C146">
        <f t="shared" si="4"/>
        <v>81689.109999999986</v>
      </c>
      <c r="D146">
        <f t="shared" si="5"/>
        <v>6807.4258333333319</v>
      </c>
    </row>
    <row r="147" spans="1:4" x14ac:dyDescent="0.35">
      <c r="A147" t="s">
        <v>178</v>
      </c>
      <c r="B147">
        <f>Earnings!B147</f>
        <v>933906</v>
      </c>
      <c r="C147">
        <f t="shared" si="4"/>
        <v>99281.200000000012</v>
      </c>
      <c r="D147">
        <f t="shared" si="5"/>
        <v>8273.4333333333343</v>
      </c>
    </row>
    <row r="148" spans="1:4" x14ac:dyDescent="0.35">
      <c r="A148" t="s">
        <v>179</v>
      </c>
      <c r="B148">
        <f>Earnings!B148</f>
        <v>846657.1</v>
      </c>
      <c r="C148">
        <f t="shared" si="4"/>
        <v>81831.42</v>
      </c>
      <c r="D148">
        <f t="shared" si="5"/>
        <v>6819.2849999999999</v>
      </c>
    </row>
    <row r="149" spans="1:4" x14ac:dyDescent="0.35">
      <c r="A149" t="s">
        <v>180</v>
      </c>
      <c r="B149">
        <f>Earnings!B149</f>
        <v>592988</v>
      </c>
      <c r="C149">
        <f t="shared" si="4"/>
        <v>31097.600000000002</v>
      </c>
      <c r="D149">
        <f t="shared" si="5"/>
        <v>2591.4666666666667</v>
      </c>
    </row>
    <row r="150" spans="1:4" x14ac:dyDescent="0.35">
      <c r="A150" t="s">
        <v>181</v>
      </c>
      <c r="B150">
        <f>Earnings!B150</f>
        <v>689370.35</v>
      </c>
      <c r="C150">
        <f t="shared" si="4"/>
        <v>50374.07</v>
      </c>
      <c r="D150">
        <f t="shared" si="5"/>
        <v>4197.8391666666666</v>
      </c>
    </row>
    <row r="151" spans="1:4" x14ac:dyDescent="0.35">
      <c r="A151" t="s">
        <v>182</v>
      </c>
      <c r="B151">
        <f>Earnings!B151</f>
        <v>903299.89999999991</v>
      </c>
      <c r="C151">
        <f t="shared" si="4"/>
        <v>93159.979999999981</v>
      </c>
      <c r="D151">
        <f t="shared" si="5"/>
        <v>7763.3316666666651</v>
      </c>
    </row>
    <row r="152" spans="1:4" x14ac:dyDescent="0.35">
      <c r="A152" t="s">
        <v>183</v>
      </c>
      <c r="B152">
        <f>Earnings!B152</f>
        <v>738918.54999999993</v>
      </c>
      <c r="C152">
        <f t="shared" si="4"/>
        <v>60283.709999999992</v>
      </c>
      <c r="D152">
        <f t="shared" si="5"/>
        <v>5023.642499999999</v>
      </c>
    </row>
    <row r="153" spans="1:4" x14ac:dyDescent="0.35">
      <c r="A153" t="s">
        <v>184</v>
      </c>
      <c r="B153">
        <f>Earnings!B153</f>
        <v>892360</v>
      </c>
      <c r="C153">
        <f t="shared" si="4"/>
        <v>90972</v>
      </c>
      <c r="D153">
        <f t="shared" si="5"/>
        <v>7581</v>
      </c>
    </row>
    <row r="154" spans="1:4" x14ac:dyDescent="0.35">
      <c r="A154" t="s">
        <v>185</v>
      </c>
      <c r="B154">
        <f>Earnings!B154</f>
        <v>1039869</v>
      </c>
      <c r="C154">
        <f t="shared" si="4"/>
        <v>124460.7</v>
      </c>
      <c r="D154">
        <f t="shared" si="5"/>
        <v>10371.725</v>
      </c>
    </row>
    <row r="155" spans="1:4" x14ac:dyDescent="0.35">
      <c r="A155" t="s">
        <v>186</v>
      </c>
      <c r="B155">
        <f>Earnings!B155</f>
        <v>1212607</v>
      </c>
      <c r="C155">
        <f t="shared" si="4"/>
        <v>176282.1</v>
      </c>
      <c r="D155">
        <f t="shared" si="5"/>
        <v>14690.175000000001</v>
      </c>
    </row>
    <row r="156" spans="1:4" x14ac:dyDescent="0.35">
      <c r="A156" t="s">
        <v>187</v>
      </c>
      <c r="B156">
        <f>Earnings!B156</f>
        <v>1032807.7</v>
      </c>
      <c r="C156">
        <f t="shared" si="4"/>
        <v>122342.30999999998</v>
      </c>
      <c r="D156">
        <f t="shared" si="5"/>
        <v>10195.192499999999</v>
      </c>
    </row>
    <row r="157" spans="1:4" x14ac:dyDescent="0.35">
      <c r="A157" t="s">
        <v>188</v>
      </c>
      <c r="B157">
        <f>Earnings!B157</f>
        <v>780871.5</v>
      </c>
      <c r="C157">
        <f t="shared" si="4"/>
        <v>68674.3</v>
      </c>
      <c r="D157">
        <f t="shared" si="5"/>
        <v>5722.8583333333336</v>
      </c>
    </row>
    <row r="158" spans="1:4" x14ac:dyDescent="0.35">
      <c r="A158" t="s">
        <v>189</v>
      </c>
      <c r="B158">
        <f>Earnings!B158</f>
        <v>772783.2</v>
      </c>
      <c r="C158">
        <f t="shared" si="4"/>
        <v>67056.639999999985</v>
      </c>
      <c r="D158">
        <f t="shared" si="5"/>
        <v>5588.0533333333324</v>
      </c>
    </row>
    <row r="159" spans="1:4" x14ac:dyDescent="0.35">
      <c r="A159" t="s">
        <v>190</v>
      </c>
      <c r="B159">
        <f>Earnings!B159</f>
        <v>631276.9</v>
      </c>
      <c r="C159">
        <f t="shared" si="4"/>
        <v>38755.380000000005</v>
      </c>
      <c r="D159">
        <f t="shared" si="5"/>
        <v>3229.6150000000002</v>
      </c>
    </row>
    <row r="160" spans="1:4" x14ac:dyDescent="0.35">
      <c r="A160" t="s">
        <v>191</v>
      </c>
      <c r="B160">
        <f>Earnings!B160</f>
        <v>1138964.5</v>
      </c>
      <c r="C160">
        <f t="shared" si="4"/>
        <v>154189.35</v>
      </c>
      <c r="D160">
        <f t="shared" si="5"/>
        <v>12849.112500000001</v>
      </c>
    </row>
    <row r="161" spans="1:4" x14ac:dyDescent="0.35">
      <c r="A161" t="s">
        <v>192</v>
      </c>
      <c r="B161">
        <f>Earnings!B161</f>
        <v>647839</v>
      </c>
      <c r="C161">
        <f t="shared" si="4"/>
        <v>42067.8</v>
      </c>
      <c r="D161">
        <f t="shared" si="5"/>
        <v>3505.65</v>
      </c>
    </row>
    <row r="162" spans="1:4" x14ac:dyDescent="0.35">
      <c r="A162" t="s">
        <v>193</v>
      </c>
      <c r="B162">
        <f>Earnings!B162</f>
        <v>850202</v>
      </c>
      <c r="C162">
        <f t="shared" si="4"/>
        <v>82540.400000000009</v>
      </c>
      <c r="D162">
        <f t="shared" si="5"/>
        <v>6878.3666666666677</v>
      </c>
    </row>
    <row r="163" spans="1:4" x14ac:dyDescent="0.35">
      <c r="A163" t="s">
        <v>194</v>
      </c>
      <c r="B163">
        <f>Earnings!B163</f>
        <v>664944</v>
      </c>
      <c r="C163">
        <f t="shared" si="4"/>
        <v>45488.800000000003</v>
      </c>
      <c r="D163">
        <f t="shared" si="5"/>
        <v>3790.7333333333336</v>
      </c>
    </row>
    <row r="164" spans="1:4" x14ac:dyDescent="0.35">
      <c r="A164" t="s">
        <v>195</v>
      </c>
      <c r="B164">
        <f>Earnings!B164</f>
        <v>925220.2</v>
      </c>
      <c r="C164">
        <f t="shared" si="4"/>
        <v>97544.04</v>
      </c>
      <c r="D164">
        <f t="shared" si="5"/>
        <v>8128.6699999999992</v>
      </c>
    </row>
    <row r="165" spans="1:4" x14ac:dyDescent="0.35">
      <c r="A165" t="s">
        <v>196</v>
      </c>
      <c r="B165">
        <f>Earnings!B165</f>
        <v>812274</v>
      </c>
      <c r="C165">
        <f t="shared" si="4"/>
        <v>74954.8</v>
      </c>
      <c r="D165">
        <f t="shared" si="5"/>
        <v>6246.2333333333336</v>
      </c>
    </row>
    <row r="166" spans="1:4" x14ac:dyDescent="0.35">
      <c r="A166" t="s">
        <v>197</v>
      </c>
      <c r="B166">
        <f>Earnings!B166</f>
        <v>858688</v>
      </c>
      <c r="C166">
        <f t="shared" si="4"/>
        <v>84237.6</v>
      </c>
      <c r="D166">
        <f t="shared" si="5"/>
        <v>7019.8</v>
      </c>
    </row>
    <row r="167" spans="1:4" x14ac:dyDescent="0.35">
      <c r="A167" t="s">
        <v>198</v>
      </c>
      <c r="B167">
        <f>Earnings!B167</f>
        <v>1249161.6499999999</v>
      </c>
      <c r="C167">
        <f t="shared" si="4"/>
        <v>187248.49499999997</v>
      </c>
      <c r="D167">
        <f t="shared" si="5"/>
        <v>15604.041249999997</v>
      </c>
    </row>
    <row r="168" spans="1:4" x14ac:dyDescent="0.35">
      <c r="A168" t="s">
        <v>199</v>
      </c>
      <c r="B168">
        <f>Earnings!B168</f>
        <v>1050626.8500000001</v>
      </c>
      <c r="C168">
        <f t="shared" si="4"/>
        <v>127688.05500000002</v>
      </c>
      <c r="D168">
        <f t="shared" si="5"/>
        <v>10640.671250000001</v>
      </c>
    </row>
    <row r="169" spans="1:4" x14ac:dyDescent="0.35">
      <c r="A169" t="s">
        <v>200</v>
      </c>
      <c r="B169">
        <f>Earnings!B169</f>
        <v>712659.6</v>
      </c>
      <c r="C169">
        <f t="shared" si="4"/>
        <v>55031.92</v>
      </c>
      <c r="D169">
        <f t="shared" si="5"/>
        <v>4585.9933333333329</v>
      </c>
    </row>
    <row r="170" spans="1:4" x14ac:dyDescent="0.35">
      <c r="A170" t="s">
        <v>201</v>
      </c>
      <c r="B170">
        <f>Earnings!B170</f>
        <v>856003</v>
      </c>
      <c r="C170">
        <f t="shared" si="4"/>
        <v>83700.600000000006</v>
      </c>
      <c r="D170">
        <f t="shared" si="5"/>
        <v>6975.05</v>
      </c>
    </row>
    <row r="171" spans="1:4" x14ac:dyDescent="0.35">
      <c r="A171" t="s">
        <v>202</v>
      </c>
      <c r="B171">
        <f>Earnings!B171</f>
        <v>1145877.6499999999</v>
      </c>
      <c r="C171">
        <f t="shared" si="4"/>
        <v>156263.29499999998</v>
      </c>
      <c r="D171">
        <f t="shared" si="5"/>
        <v>13021.941249999998</v>
      </c>
    </row>
    <row r="172" spans="1:4" x14ac:dyDescent="0.35">
      <c r="A172" t="s">
        <v>203</v>
      </c>
      <c r="B172">
        <f>Earnings!B172</f>
        <v>820600</v>
      </c>
      <c r="C172">
        <f t="shared" si="4"/>
        <v>76620</v>
      </c>
      <c r="D172">
        <f t="shared" si="5"/>
        <v>6385</v>
      </c>
    </row>
    <row r="173" spans="1:4" x14ac:dyDescent="0.35">
      <c r="A173" t="s">
        <v>204</v>
      </c>
      <c r="B173">
        <f>Earnings!B173</f>
        <v>1062846</v>
      </c>
      <c r="C173">
        <f t="shared" si="4"/>
        <v>131353.79999999999</v>
      </c>
      <c r="D173">
        <f t="shared" si="5"/>
        <v>10946.15</v>
      </c>
    </row>
    <row r="174" spans="1:4" x14ac:dyDescent="0.35">
      <c r="A174" t="s">
        <v>205</v>
      </c>
      <c r="B174">
        <f>Earnings!B174</f>
        <v>891816.29999999993</v>
      </c>
      <c r="C174">
        <f t="shared" si="4"/>
        <v>90863.26</v>
      </c>
      <c r="D174">
        <f t="shared" si="5"/>
        <v>7571.9383333333326</v>
      </c>
    </row>
    <row r="175" spans="1:4" x14ac:dyDescent="0.35">
      <c r="A175" t="s">
        <v>206</v>
      </c>
      <c r="B175">
        <f>Earnings!B175</f>
        <v>902073</v>
      </c>
      <c r="C175">
        <f t="shared" si="4"/>
        <v>92914.6</v>
      </c>
      <c r="D175">
        <f t="shared" si="5"/>
        <v>7742.8833333333341</v>
      </c>
    </row>
    <row r="176" spans="1:4" x14ac:dyDescent="0.35">
      <c r="A176" t="s">
        <v>207</v>
      </c>
      <c r="B176">
        <f>Earnings!B176</f>
        <v>776297.25</v>
      </c>
      <c r="C176">
        <f t="shared" si="4"/>
        <v>67759.450000000012</v>
      </c>
      <c r="D176">
        <f t="shared" si="5"/>
        <v>5646.6208333333343</v>
      </c>
    </row>
    <row r="177" spans="1:4" x14ac:dyDescent="0.35">
      <c r="A177" t="s">
        <v>208</v>
      </c>
      <c r="B177">
        <f>Earnings!B177</f>
        <v>703015.2</v>
      </c>
      <c r="C177">
        <f t="shared" si="4"/>
        <v>53103.039999999994</v>
      </c>
      <c r="D177">
        <f t="shared" si="5"/>
        <v>4425.2533333333331</v>
      </c>
    </row>
    <row r="178" spans="1:4" x14ac:dyDescent="0.35">
      <c r="A178" t="s">
        <v>209</v>
      </c>
      <c r="B178">
        <f>Earnings!B178</f>
        <v>1191318</v>
      </c>
      <c r="C178">
        <f t="shared" si="4"/>
        <v>169895.4</v>
      </c>
      <c r="D178">
        <f t="shared" si="5"/>
        <v>14157.949999999999</v>
      </c>
    </row>
    <row r="179" spans="1:4" x14ac:dyDescent="0.35">
      <c r="A179" t="s">
        <v>210</v>
      </c>
      <c r="B179">
        <f>Earnings!B179</f>
        <v>1003679.75</v>
      </c>
      <c r="C179">
        <f t="shared" si="4"/>
        <v>113603.925</v>
      </c>
      <c r="D179">
        <f t="shared" si="5"/>
        <v>9466.9937499999996</v>
      </c>
    </row>
    <row r="180" spans="1:4" x14ac:dyDescent="0.35">
      <c r="A180" t="s">
        <v>211</v>
      </c>
      <c r="B180">
        <f>Earnings!B180</f>
        <v>738690.54999999993</v>
      </c>
      <c r="C180">
        <f t="shared" si="4"/>
        <v>60238.109999999986</v>
      </c>
      <c r="D180">
        <f t="shared" si="5"/>
        <v>5019.8424999999988</v>
      </c>
    </row>
    <row r="181" spans="1:4" x14ac:dyDescent="0.35">
      <c r="A181" t="s">
        <v>212</v>
      </c>
      <c r="B181">
        <f>Earnings!B181</f>
        <v>961130.2</v>
      </c>
      <c r="C181">
        <f t="shared" si="4"/>
        <v>104726.04</v>
      </c>
      <c r="D181">
        <f t="shared" si="5"/>
        <v>8727.17</v>
      </c>
    </row>
    <row r="182" spans="1:4" x14ac:dyDescent="0.35">
      <c r="A182" t="s">
        <v>213</v>
      </c>
      <c r="B182">
        <f>Earnings!B182</f>
        <v>761768.89999999991</v>
      </c>
      <c r="C182">
        <f t="shared" si="4"/>
        <v>64853.779999999984</v>
      </c>
      <c r="D182">
        <f t="shared" si="5"/>
        <v>5404.4816666666657</v>
      </c>
    </row>
    <row r="183" spans="1:4" x14ac:dyDescent="0.35">
      <c r="A183" t="s">
        <v>214</v>
      </c>
      <c r="B183">
        <f>Earnings!B183</f>
        <v>563774</v>
      </c>
      <c r="C183">
        <f t="shared" si="4"/>
        <v>25254.800000000003</v>
      </c>
      <c r="D183">
        <f t="shared" si="5"/>
        <v>2104.5666666666671</v>
      </c>
    </row>
    <row r="184" spans="1:4" x14ac:dyDescent="0.35">
      <c r="A184" t="s">
        <v>215</v>
      </c>
      <c r="B184">
        <f>Earnings!B184</f>
        <v>896330.7</v>
      </c>
      <c r="C184">
        <f t="shared" si="4"/>
        <v>91766.14</v>
      </c>
      <c r="D184">
        <f t="shared" si="5"/>
        <v>7647.1783333333333</v>
      </c>
    </row>
    <row r="185" spans="1:4" x14ac:dyDescent="0.35">
      <c r="A185" t="s">
        <v>216</v>
      </c>
      <c r="B185">
        <f>Earnings!B185</f>
        <v>805572.45</v>
      </c>
      <c r="C185">
        <f t="shared" si="4"/>
        <v>73614.489999999991</v>
      </c>
      <c r="D185">
        <f t="shared" si="5"/>
        <v>6134.5408333333326</v>
      </c>
    </row>
    <row r="186" spans="1:4" x14ac:dyDescent="0.35">
      <c r="A186" t="s">
        <v>217</v>
      </c>
      <c r="B186">
        <f>Earnings!B186</f>
        <v>933176</v>
      </c>
      <c r="C186">
        <f t="shared" si="4"/>
        <v>99135.200000000012</v>
      </c>
      <c r="D186">
        <f t="shared" si="5"/>
        <v>8261.2666666666682</v>
      </c>
    </row>
    <row r="187" spans="1:4" x14ac:dyDescent="0.35">
      <c r="A187" t="s">
        <v>218</v>
      </c>
      <c r="B187">
        <f>Earnings!B187</f>
        <v>856668.2</v>
      </c>
      <c r="C187">
        <f t="shared" si="4"/>
        <v>83833.64</v>
      </c>
      <c r="D187">
        <f t="shared" si="5"/>
        <v>6986.1366666666663</v>
      </c>
    </row>
    <row r="188" spans="1:4" x14ac:dyDescent="0.35">
      <c r="A188" t="s">
        <v>219</v>
      </c>
      <c r="B188">
        <f>Earnings!B188</f>
        <v>843131</v>
      </c>
      <c r="C188">
        <f t="shared" si="4"/>
        <v>81126.2</v>
      </c>
      <c r="D188">
        <f t="shared" si="5"/>
        <v>6760.5166666666664</v>
      </c>
    </row>
    <row r="189" spans="1:4" x14ac:dyDescent="0.35">
      <c r="A189" t="s">
        <v>220</v>
      </c>
      <c r="B189">
        <f>Earnings!B189</f>
        <v>628914.25</v>
      </c>
      <c r="C189">
        <f t="shared" si="4"/>
        <v>38282.850000000006</v>
      </c>
      <c r="D189">
        <f t="shared" si="5"/>
        <v>3190.2375000000006</v>
      </c>
    </row>
    <row r="190" spans="1:4" x14ac:dyDescent="0.35">
      <c r="A190" t="s">
        <v>221</v>
      </c>
      <c r="B190">
        <f>Earnings!B190</f>
        <v>1053498.7</v>
      </c>
      <c r="C190">
        <f t="shared" si="4"/>
        <v>128549.60999999999</v>
      </c>
      <c r="D190">
        <f t="shared" si="5"/>
        <v>10712.467499999999</v>
      </c>
    </row>
    <row r="191" spans="1:4" x14ac:dyDescent="0.35">
      <c r="A191" t="s">
        <v>222</v>
      </c>
      <c r="B191">
        <f>Earnings!B191</f>
        <v>605158.54999999993</v>
      </c>
      <c r="C191">
        <f t="shared" si="4"/>
        <v>33531.709999999992</v>
      </c>
      <c r="D191">
        <f t="shared" si="5"/>
        <v>2794.309166666666</v>
      </c>
    </row>
    <row r="192" spans="1:4" x14ac:dyDescent="0.35">
      <c r="A192" t="s">
        <v>223</v>
      </c>
      <c r="B192">
        <f>Earnings!B192</f>
        <v>748754.85</v>
      </c>
      <c r="C192">
        <f t="shared" si="4"/>
        <v>62250.97</v>
      </c>
      <c r="D192">
        <f t="shared" si="5"/>
        <v>5187.5808333333334</v>
      </c>
    </row>
    <row r="193" spans="1:4" x14ac:dyDescent="0.35">
      <c r="A193" t="s">
        <v>224</v>
      </c>
      <c r="B193">
        <f>Earnings!B193</f>
        <v>550704.54999999993</v>
      </c>
      <c r="C193">
        <f t="shared" si="4"/>
        <v>22640.909999999989</v>
      </c>
      <c r="D193">
        <f t="shared" si="5"/>
        <v>1886.7424999999992</v>
      </c>
    </row>
    <row r="194" spans="1:4" x14ac:dyDescent="0.35">
      <c r="A194" t="s">
        <v>225</v>
      </c>
      <c r="B194">
        <f>Earnings!B194</f>
        <v>966486.29999999993</v>
      </c>
      <c r="C194">
        <f t="shared" ref="C194:C257" si="6">IF(B194&lt;=250000,0,IF(B194&lt;=500000,(B194-250000)*0.05,IF(B194&lt;=1000000,12500+(B194-500000)*0.2,112500+(B194-1000000)*0.3)))</f>
        <v>105797.26</v>
      </c>
      <c r="D194">
        <f t="shared" ref="D194:D257" si="7">C194/12</f>
        <v>8816.4383333333335</v>
      </c>
    </row>
    <row r="195" spans="1:4" x14ac:dyDescent="0.35">
      <c r="A195" t="s">
        <v>226</v>
      </c>
      <c r="B195">
        <f>Earnings!B195</f>
        <v>872234.89999999991</v>
      </c>
      <c r="C195">
        <f t="shared" si="6"/>
        <v>86946.979999999981</v>
      </c>
      <c r="D195">
        <f t="shared" si="7"/>
        <v>7245.5816666666651</v>
      </c>
    </row>
    <row r="196" spans="1:4" x14ac:dyDescent="0.35">
      <c r="A196" t="s">
        <v>227</v>
      </c>
      <c r="B196">
        <f>Earnings!B196</f>
        <v>807318</v>
      </c>
      <c r="C196">
        <f t="shared" si="6"/>
        <v>73963.600000000006</v>
      </c>
      <c r="D196">
        <f t="shared" si="7"/>
        <v>6163.6333333333341</v>
      </c>
    </row>
    <row r="197" spans="1:4" x14ac:dyDescent="0.35">
      <c r="A197" t="s">
        <v>228</v>
      </c>
      <c r="B197">
        <f>Earnings!B197</f>
        <v>491556</v>
      </c>
      <c r="C197">
        <f t="shared" si="6"/>
        <v>12077.800000000001</v>
      </c>
      <c r="D197">
        <f t="shared" si="7"/>
        <v>1006.4833333333335</v>
      </c>
    </row>
    <row r="198" spans="1:4" x14ac:dyDescent="0.35">
      <c r="A198" t="s">
        <v>229</v>
      </c>
      <c r="B198">
        <f>Earnings!B198</f>
        <v>1181120</v>
      </c>
      <c r="C198">
        <f t="shared" si="6"/>
        <v>166836</v>
      </c>
      <c r="D198">
        <f t="shared" si="7"/>
        <v>13903</v>
      </c>
    </row>
    <row r="199" spans="1:4" x14ac:dyDescent="0.35">
      <c r="A199" t="s">
        <v>230</v>
      </c>
      <c r="B199">
        <f>Earnings!B199</f>
        <v>1044933</v>
      </c>
      <c r="C199">
        <f t="shared" si="6"/>
        <v>125979.9</v>
      </c>
      <c r="D199">
        <f t="shared" si="7"/>
        <v>10498.324999999999</v>
      </c>
    </row>
    <row r="200" spans="1:4" x14ac:dyDescent="0.35">
      <c r="A200" t="s">
        <v>231</v>
      </c>
      <c r="B200">
        <f>Earnings!B200</f>
        <v>978627</v>
      </c>
      <c r="C200">
        <f t="shared" si="6"/>
        <v>108225.40000000001</v>
      </c>
      <c r="D200">
        <f t="shared" si="7"/>
        <v>9018.7833333333347</v>
      </c>
    </row>
    <row r="201" spans="1:4" x14ac:dyDescent="0.35">
      <c r="A201" t="s">
        <v>232</v>
      </c>
      <c r="B201">
        <f>Earnings!B201</f>
        <v>954547</v>
      </c>
      <c r="C201">
        <f t="shared" si="6"/>
        <v>103409.40000000001</v>
      </c>
      <c r="D201">
        <f t="shared" si="7"/>
        <v>8617.4500000000007</v>
      </c>
    </row>
    <row r="202" spans="1:4" x14ac:dyDescent="0.35">
      <c r="A202" t="s">
        <v>233</v>
      </c>
      <c r="B202">
        <f>Earnings!B202</f>
        <v>807519.95</v>
      </c>
      <c r="C202">
        <f t="shared" si="6"/>
        <v>74003.989999999991</v>
      </c>
      <c r="D202">
        <f t="shared" si="7"/>
        <v>6166.9991666666656</v>
      </c>
    </row>
    <row r="203" spans="1:4" x14ac:dyDescent="0.35">
      <c r="A203" t="s">
        <v>234</v>
      </c>
      <c r="B203">
        <f>Earnings!B203</f>
        <v>451538.8</v>
      </c>
      <c r="C203">
        <f t="shared" si="6"/>
        <v>10076.94</v>
      </c>
      <c r="D203">
        <f t="shared" si="7"/>
        <v>839.745</v>
      </c>
    </row>
    <row r="204" spans="1:4" x14ac:dyDescent="0.35">
      <c r="A204" t="s">
        <v>235</v>
      </c>
      <c r="B204">
        <f>Earnings!B204</f>
        <v>944256.29999999993</v>
      </c>
      <c r="C204">
        <f t="shared" si="6"/>
        <v>101351.26</v>
      </c>
      <c r="D204">
        <f t="shared" si="7"/>
        <v>8445.9383333333335</v>
      </c>
    </row>
    <row r="205" spans="1:4" x14ac:dyDescent="0.35">
      <c r="A205" t="s">
        <v>236</v>
      </c>
      <c r="B205">
        <f>Earnings!B205</f>
        <v>834854.29999999993</v>
      </c>
      <c r="C205">
        <f t="shared" si="6"/>
        <v>79470.859999999986</v>
      </c>
      <c r="D205">
        <f t="shared" si="7"/>
        <v>6622.5716666666658</v>
      </c>
    </row>
    <row r="206" spans="1:4" x14ac:dyDescent="0.35">
      <c r="A206" t="s">
        <v>237</v>
      </c>
      <c r="B206">
        <f>Earnings!B206</f>
        <v>784337.1</v>
      </c>
      <c r="C206">
        <f t="shared" si="6"/>
        <v>69367.42</v>
      </c>
      <c r="D206">
        <f t="shared" si="7"/>
        <v>5780.6183333333329</v>
      </c>
    </row>
    <row r="207" spans="1:4" x14ac:dyDescent="0.35">
      <c r="A207" t="s">
        <v>238</v>
      </c>
      <c r="B207">
        <f>Earnings!B207</f>
        <v>862129.75</v>
      </c>
      <c r="C207">
        <f t="shared" si="6"/>
        <v>84925.95</v>
      </c>
      <c r="D207">
        <f t="shared" si="7"/>
        <v>7077.1624999999995</v>
      </c>
    </row>
    <row r="208" spans="1:4" x14ac:dyDescent="0.35">
      <c r="A208" t="s">
        <v>239</v>
      </c>
      <c r="B208">
        <f>Earnings!B208</f>
        <v>952647.64999999991</v>
      </c>
      <c r="C208">
        <f t="shared" si="6"/>
        <v>103029.52999999998</v>
      </c>
      <c r="D208">
        <f t="shared" si="7"/>
        <v>8585.7941666666648</v>
      </c>
    </row>
    <row r="209" spans="1:4" x14ac:dyDescent="0.35">
      <c r="A209" t="s">
        <v>240</v>
      </c>
      <c r="B209">
        <f>Earnings!B209</f>
        <v>642112.6</v>
      </c>
      <c r="C209">
        <f t="shared" si="6"/>
        <v>40922.519999999997</v>
      </c>
      <c r="D209">
        <f t="shared" si="7"/>
        <v>3410.2099999999996</v>
      </c>
    </row>
    <row r="210" spans="1:4" x14ac:dyDescent="0.35">
      <c r="A210" t="s">
        <v>241</v>
      </c>
      <c r="B210">
        <f>Earnings!B210</f>
        <v>705767</v>
      </c>
      <c r="C210">
        <f t="shared" si="6"/>
        <v>53653.4</v>
      </c>
      <c r="D210">
        <f t="shared" si="7"/>
        <v>4471.1166666666668</v>
      </c>
    </row>
    <row r="211" spans="1:4" x14ac:dyDescent="0.35">
      <c r="A211" t="s">
        <v>242</v>
      </c>
      <c r="B211">
        <f>Earnings!B211</f>
        <v>827722.64999999991</v>
      </c>
      <c r="C211">
        <f t="shared" si="6"/>
        <v>78044.529999999984</v>
      </c>
      <c r="D211">
        <f t="shared" si="7"/>
        <v>6503.7108333333317</v>
      </c>
    </row>
    <row r="212" spans="1:4" x14ac:dyDescent="0.35">
      <c r="A212" t="s">
        <v>243</v>
      </c>
      <c r="B212">
        <f>Earnings!B212</f>
        <v>826429.7</v>
      </c>
      <c r="C212">
        <f t="shared" si="6"/>
        <v>77785.94</v>
      </c>
      <c r="D212">
        <f t="shared" si="7"/>
        <v>6482.1616666666669</v>
      </c>
    </row>
    <row r="213" spans="1:4" x14ac:dyDescent="0.35">
      <c r="A213" t="s">
        <v>244</v>
      </c>
      <c r="B213">
        <f>Earnings!B213</f>
        <v>622893</v>
      </c>
      <c r="C213">
        <f t="shared" si="6"/>
        <v>37078.600000000006</v>
      </c>
      <c r="D213">
        <f t="shared" si="7"/>
        <v>3089.8833333333337</v>
      </c>
    </row>
    <row r="214" spans="1:4" x14ac:dyDescent="0.35">
      <c r="A214" t="s">
        <v>245</v>
      </c>
      <c r="B214">
        <f>Earnings!B214</f>
        <v>734384</v>
      </c>
      <c r="C214">
        <f t="shared" si="6"/>
        <v>59376.800000000003</v>
      </c>
      <c r="D214">
        <f t="shared" si="7"/>
        <v>4948.0666666666666</v>
      </c>
    </row>
    <row r="215" spans="1:4" x14ac:dyDescent="0.35">
      <c r="A215" t="s">
        <v>246</v>
      </c>
      <c r="B215">
        <f>Earnings!B215</f>
        <v>843794</v>
      </c>
      <c r="C215">
        <f t="shared" si="6"/>
        <v>81258.8</v>
      </c>
      <c r="D215">
        <f t="shared" si="7"/>
        <v>6771.5666666666666</v>
      </c>
    </row>
    <row r="216" spans="1:4" x14ac:dyDescent="0.35">
      <c r="A216" t="s">
        <v>247</v>
      </c>
      <c r="B216">
        <f>Earnings!B216</f>
        <v>734070</v>
      </c>
      <c r="C216">
        <f t="shared" si="6"/>
        <v>59314</v>
      </c>
      <c r="D216">
        <f t="shared" si="7"/>
        <v>4942.833333333333</v>
      </c>
    </row>
    <row r="217" spans="1:4" x14ac:dyDescent="0.35">
      <c r="A217" t="s">
        <v>248</v>
      </c>
      <c r="B217">
        <f>Earnings!B217</f>
        <v>650649.29999999993</v>
      </c>
      <c r="C217">
        <f t="shared" si="6"/>
        <v>42629.859999999986</v>
      </c>
      <c r="D217">
        <f t="shared" si="7"/>
        <v>3552.4883333333323</v>
      </c>
    </row>
    <row r="218" spans="1:4" x14ac:dyDescent="0.35">
      <c r="A218" t="s">
        <v>249</v>
      </c>
      <c r="B218">
        <f>Earnings!B218</f>
        <v>879202</v>
      </c>
      <c r="C218">
        <f t="shared" si="6"/>
        <v>88340.400000000009</v>
      </c>
      <c r="D218">
        <f t="shared" si="7"/>
        <v>7361.7000000000007</v>
      </c>
    </row>
    <row r="219" spans="1:4" x14ac:dyDescent="0.35">
      <c r="A219" t="s">
        <v>250</v>
      </c>
      <c r="B219">
        <f>Earnings!B219</f>
        <v>893114.95</v>
      </c>
      <c r="C219">
        <f t="shared" si="6"/>
        <v>91122.989999999991</v>
      </c>
      <c r="D219">
        <f t="shared" si="7"/>
        <v>7593.5824999999995</v>
      </c>
    </row>
    <row r="220" spans="1:4" x14ac:dyDescent="0.35">
      <c r="A220" t="s">
        <v>251</v>
      </c>
      <c r="B220">
        <f>Earnings!B220</f>
        <v>573761.04999999993</v>
      </c>
      <c r="C220">
        <f t="shared" si="6"/>
        <v>27252.209999999985</v>
      </c>
      <c r="D220">
        <f t="shared" si="7"/>
        <v>2271.0174999999986</v>
      </c>
    </row>
    <row r="221" spans="1:4" x14ac:dyDescent="0.35">
      <c r="A221" t="s">
        <v>252</v>
      </c>
      <c r="B221">
        <f>Earnings!B221</f>
        <v>450998</v>
      </c>
      <c r="C221">
        <f t="shared" si="6"/>
        <v>10049.900000000001</v>
      </c>
      <c r="D221">
        <f t="shared" si="7"/>
        <v>837.49166666666679</v>
      </c>
    </row>
    <row r="222" spans="1:4" x14ac:dyDescent="0.35">
      <c r="A222" t="s">
        <v>253</v>
      </c>
      <c r="B222">
        <f>Earnings!B222</f>
        <v>1446713</v>
      </c>
      <c r="C222">
        <f t="shared" si="6"/>
        <v>246513.9</v>
      </c>
      <c r="D222">
        <f t="shared" si="7"/>
        <v>20542.825000000001</v>
      </c>
    </row>
    <row r="223" spans="1:4" x14ac:dyDescent="0.35">
      <c r="A223" t="s">
        <v>254</v>
      </c>
      <c r="B223">
        <f>Earnings!B223</f>
        <v>914928.85</v>
      </c>
      <c r="C223">
        <f t="shared" si="6"/>
        <v>95485.77</v>
      </c>
      <c r="D223">
        <f t="shared" si="7"/>
        <v>7957.1475</v>
      </c>
    </row>
    <row r="224" spans="1:4" x14ac:dyDescent="0.35">
      <c r="A224" t="s">
        <v>255</v>
      </c>
      <c r="B224">
        <f>Earnings!B224</f>
        <v>892533</v>
      </c>
      <c r="C224">
        <f t="shared" si="6"/>
        <v>91006.6</v>
      </c>
      <c r="D224">
        <f t="shared" si="7"/>
        <v>7583.8833333333341</v>
      </c>
    </row>
    <row r="225" spans="1:4" x14ac:dyDescent="0.35">
      <c r="A225" t="s">
        <v>256</v>
      </c>
      <c r="B225">
        <f>Earnings!B225</f>
        <v>721809</v>
      </c>
      <c r="C225">
        <f t="shared" si="6"/>
        <v>56861.8</v>
      </c>
      <c r="D225">
        <f t="shared" si="7"/>
        <v>4738.4833333333336</v>
      </c>
    </row>
    <row r="226" spans="1:4" x14ac:dyDescent="0.35">
      <c r="A226" t="s">
        <v>257</v>
      </c>
      <c r="B226">
        <f>Earnings!B226</f>
        <v>1106346</v>
      </c>
      <c r="C226">
        <f t="shared" si="6"/>
        <v>144403.79999999999</v>
      </c>
      <c r="D226">
        <f t="shared" si="7"/>
        <v>12033.65</v>
      </c>
    </row>
    <row r="227" spans="1:4" x14ac:dyDescent="0.35">
      <c r="A227" t="s">
        <v>258</v>
      </c>
      <c r="B227">
        <f>Earnings!B227</f>
        <v>824082</v>
      </c>
      <c r="C227">
        <f t="shared" si="6"/>
        <v>77316.399999999994</v>
      </c>
      <c r="D227">
        <f t="shared" si="7"/>
        <v>6443.0333333333328</v>
      </c>
    </row>
    <row r="228" spans="1:4" x14ac:dyDescent="0.35">
      <c r="A228" t="s">
        <v>259</v>
      </c>
      <c r="B228">
        <f>Earnings!B228</f>
        <v>634455.6</v>
      </c>
      <c r="C228">
        <f t="shared" si="6"/>
        <v>39391.119999999995</v>
      </c>
      <c r="D228">
        <f t="shared" si="7"/>
        <v>3282.5933333333328</v>
      </c>
    </row>
    <row r="229" spans="1:4" x14ac:dyDescent="0.35">
      <c r="A229" t="s">
        <v>260</v>
      </c>
      <c r="B229">
        <f>Earnings!B229</f>
        <v>803263</v>
      </c>
      <c r="C229">
        <f t="shared" si="6"/>
        <v>73152.600000000006</v>
      </c>
      <c r="D229">
        <f t="shared" si="7"/>
        <v>6096.05</v>
      </c>
    </row>
    <row r="230" spans="1:4" x14ac:dyDescent="0.35">
      <c r="A230" t="s">
        <v>261</v>
      </c>
      <c r="B230">
        <f>Earnings!B230</f>
        <v>584523</v>
      </c>
      <c r="C230">
        <f t="shared" si="6"/>
        <v>29404.600000000002</v>
      </c>
      <c r="D230">
        <f t="shared" si="7"/>
        <v>2450.3833333333337</v>
      </c>
    </row>
    <row r="231" spans="1:4" x14ac:dyDescent="0.35">
      <c r="A231" t="s">
        <v>262</v>
      </c>
      <c r="B231">
        <f>Earnings!B231</f>
        <v>1064720</v>
      </c>
      <c r="C231">
        <f t="shared" si="6"/>
        <v>131916</v>
      </c>
      <c r="D231">
        <f t="shared" si="7"/>
        <v>10993</v>
      </c>
    </row>
    <row r="232" spans="1:4" x14ac:dyDescent="0.35">
      <c r="A232" t="s">
        <v>263</v>
      </c>
      <c r="B232">
        <f>Earnings!B232</f>
        <v>692113</v>
      </c>
      <c r="C232">
        <f t="shared" si="6"/>
        <v>50922.6</v>
      </c>
      <c r="D232">
        <f t="shared" si="7"/>
        <v>4243.55</v>
      </c>
    </row>
    <row r="233" spans="1:4" x14ac:dyDescent="0.35">
      <c r="A233" t="s">
        <v>264</v>
      </c>
      <c r="B233">
        <f>Earnings!B233</f>
        <v>778652</v>
      </c>
      <c r="C233">
        <f t="shared" si="6"/>
        <v>68230.399999999994</v>
      </c>
      <c r="D233">
        <f t="shared" si="7"/>
        <v>5685.8666666666659</v>
      </c>
    </row>
    <row r="234" spans="1:4" x14ac:dyDescent="0.35">
      <c r="A234" t="s">
        <v>265</v>
      </c>
      <c r="B234">
        <f>Earnings!B234</f>
        <v>1201592</v>
      </c>
      <c r="C234">
        <f t="shared" si="6"/>
        <v>172977.6</v>
      </c>
      <c r="D234">
        <f t="shared" si="7"/>
        <v>14414.800000000001</v>
      </c>
    </row>
    <row r="235" spans="1:4" x14ac:dyDescent="0.35">
      <c r="A235" t="s">
        <v>266</v>
      </c>
      <c r="B235">
        <f>Earnings!B235</f>
        <v>822924.2</v>
      </c>
      <c r="C235">
        <f t="shared" si="6"/>
        <v>77084.84</v>
      </c>
      <c r="D235">
        <f t="shared" si="7"/>
        <v>6423.7366666666667</v>
      </c>
    </row>
    <row r="236" spans="1:4" x14ac:dyDescent="0.35">
      <c r="A236" t="s">
        <v>267</v>
      </c>
      <c r="B236">
        <f>Earnings!B236</f>
        <v>949068</v>
      </c>
      <c r="C236">
        <f t="shared" si="6"/>
        <v>102313.60000000001</v>
      </c>
      <c r="D236">
        <f t="shared" si="7"/>
        <v>8526.1333333333332</v>
      </c>
    </row>
    <row r="237" spans="1:4" x14ac:dyDescent="0.35">
      <c r="A237" t="s">
        <v>268</v>
      </c>
      <c r="B237">
        <f>Earnings!B237</f>
        <v>781203</v>
      </c>
      <c r="C237">
        <f t="shared" si="6"/>
        <v>68740.600000000006</v>
      </c>
      <c r="D237">
        <f t="shared" si="7"/>
        <v>5728.3833333333341</v>
      </c>
    </row>
    <row r="238" spans="1:4" x14ac:dyDescent="0.35">
      <c r="A238" t="s">
        <v>269</v>
      </c>
      <c r="B238">
        <f>Earnings!B238</f>
        <v>591877</v>
      </c>
      <c r="C238">
        <f t="shared" si="6"/>
        <v>30875.4</v>
      </c>
      <c r="D238">
        <f t="shared" si="7"/>
        <v>2572.9500000000003</v>
      </c>
    </row>
    <row r="239" spans="1:4" x14ac:dyDescent="0.35">
      <c r="A239" t="s">
        <v>270</v>
      </c>
      <c r="B239">
        <f>Earnings!B239</f>
        <v>1138550.3</v>
      </c>
      <c r="C239">
        <f t="shared" si="6"/>
        <v>154065.09000000003</v>
      </c>
      <c r="D239">
        <f t="shared" si="7"/>
        <v>12838.757500000002</v>
      </c>
    </row>
    <row r="240" spans="1:4" x14ac:dyDescent="0.35">
      <c r="A240" t="s">
        <v>271</v>
      </c>
      <c r="B240">
        <f>Earnings!B240</f>
        <v>591667.6</v>
      </c>
      <c r="C240">
        <f t="shared" si="6"/>
        <v>30833.519999999997</v>
      </c>
      <c r="D240">
        <f t="shared" si="7"/>
        <v>2569.4599999999996</v>
      </c>
    </row>
    <row r="241" spans="1:4" x14ac:dyDescent="0.35">
      <c r="A241" t="s">
        <v>272</v>
      </c>
      <c r="B241">
        <f>Earnings!B241</f>
        <v>663060.1</v>
      </c>
      <c r="C241">
        <f t="shared" si="6"/>
        <v>45112.02</v>
      </c>
      <c r="D241">
        <f t="shared" si="7"/>
        <v>3759.3349999999996</v>
      </c>
    </row>
    <row r="242" spans="1:4" x14ac:dyDescent="0.35">
      <c r="A242" t="s">
        <v>273</v>
      </c>
      <c r="B242">
        <f>Earnings!B242</f>
        <v>684782.79999999993</v>
      </c>
      <c r="C242">
        <f t="shared" si="6"/>
        <v>49456.55999999999</v>
      </c>
      <c r="D242">
        <f t="shared" si="7"/>
        <v>4121.3799999999992</v>
      </c>
    </row>
    <row r="243" spans="1:4" x14ac:dyDescent="0.35">
      <c r="A243" t="s">
        <v>274</v>
      </c>
      <c r="B243">
        <f>Earnings!B243</f>
        <v>801656.54999999993</v>
      </c>
      <c r="C243">
        <f t="shared" si="6"/>
        <v>72831.31</v>
      </c>
      <c r="D243">
        <f t="shared" si="7"/>
        <v>6069.2758333333331</v>
      </c>
    </row>
    <row r="244" spans="1:4" x14ac:dyDescent="0.35">
      <c r="A244" t="s">
        <v>275</v>
      </c>
      <c r="B244">
        <f>Earnings!B244</f>
        <v>789172</v>
      </c>
      <c r="C244">
        <f t="shared" si="6"/>
        <v>70334.399999999994</v>
      </c>
      <c r="D244">
        <f t="shared" si="7"/>
        <v>5861.2</v>
      </c>
    </row>
    <row r="245" spans="1:4" x14ac:dyDescent="0.35">
      <c r="A245" t="s">
        <v>276</v>
      </c>
      <c r="B245">
        <f>Earnings!B245</f>
        <v>823231.04999999993</v>
      </c>
      <c r="C245">
        <f t="shared" si="6"/>
        <v>77146.209999999992</v>
      </c>
      <c r="D245">
        <f t="shared" si="7"/>
        <v>6428.850833333333</v>
      </c>
    </row>
    <row r="246" spans="1:4" x14ac:dyDescent="0.35">
      <c r="A246" t="s">
        <v>277</v>
      </c>
      <c r="B246">
        <f>Earnings!B246</f>
        <v>869053.35</v>
      </c>
      <c r="C246">
        <f t="shared" si="6"/>
        <v>86310.67</v>
      </c>
      <c r="D246">
        <f t="shared" si="7"/>
        <v>7192.5558333333329</v>
      </c>
    </row>
    <row r="247" spans="1:4" x14ac:dyDescent="0.35">
      <c r="A247" t="s">
        <v>278</v>
      </c>
      <c r="B247">
        <f>Earnings!B247</f>
        <v>670123.35</v>
      </c>
      <c r="C247">
        <f t="shared" si="6"/>
        <v>46524.67</v>
      </c>
      <c r="D247">
        <f t="shared" si="7"/>
        <v>3877.0558333333333</v>
      </c>
    </row>
    <row r="248" spans="1:4" x14ac:dyDescent="0.35">
      <c r="A248" t="s">
        <v>279</v>
      </c>
      <c r="B248">
        <f>Earnings!B248</f>
        <v>417419</v>
      </c>
      <c r="C248">
        <f t="shared" si="6"/>
        <v>8370.9500000000007</v>
      </c>
      <c r="D248">
        <f t="shared" si="7"/>
        <v>697.57916666666677</v>
      </c>
    </row>
    <row r="249" spans="1:4" x14ac:dyDescent="0.35">
      <c r="A249" t="s">
        <v>280</v>
      </c>
      <c r="B249">
        <f>Earnings!B249</f>
        <v>1221766</v>
      </c>
      <c r="C249">
        <f t="shared" si="6"/>
        <v>179029.8</v>
      </c>
      <c r="D249">
        <f t="shared" si="7"/>
        <v>14919.15</v>
      </c>
    </row>
    <row r="250" spans="1:4" x14ac:dyDescent="0.35">
      <c r="A250" t="s">
        <v>281</v>
      </c>
      <c r="B250">
        <f>Earnings!B250</f>
        <v>1089669</v>
      </c>
      <c r="C250">
        <f t="shared" si="6"/>
        <v>139400.70000000001</v>
      </c>
      <c r="D250">
        <f t="shared" si="7"/>
        <v>11616.725</v>
      </c>
    </row>
    <row r="251" spans="1:4" x14ac:dyDescent="0.35">
      <c r="A251" t="s">
        <v>282</v>
      </c>
      <c r="B251">
        <f>Earnings!B251</f>
        <v>823955</v>
      </c>
      <c r="C251">
        <f t="shared" si="6"/>
        <v>77291</v>
      </c>
      <c r="D251">
        <f t="shared" si="7"/>
        <v>6440.916666666667</v>
      </c>
    </row>
    <row r="252" spans="1:4" x14ac:dyDescent="0.35">
      <c r="A252" t="s">
        <v>283</v>
      </c>
      <c r="B252">
        <f>Earnings!B252</f>
        <v>827560</v>
      </c>
      <c r="C252">
        <f t="shared" si="6"/>
        <v>78012</v>
      </c>
      <c r="D252">
        <f t="shared" si="7"/>
        <v>6501</v>
      </c>
    </row>
    <row r="253" spans="1:4" x14ac:dyDescent="0.35">
      <c r="A253" t="s">
        <v>284</v>
      </c>
      <c r="B253">
        <f>Earnings!B253</f>
        <v>971232.5</v>
      </c>
      <c r="C253">
        <f t="shared" si="6"/>
        <v>106746.5</v>
      </c>
      <c r="D253">
        <f t="shared" si="7"/>
        <v>8895.5416666666661</v>
      </c>
    </row>
    <row r="254" spans="1:4" x14ac:dyDescent="0.35">
      <c r="A254" t="s">
        <v>285</v>
      </c>
      <c r="B254">
        <f>Earnings!B254</f>
        <v>316910</v>
      </c>
      <c r="C254">
        <f t="shared" si="6"/>
        <v>3345.5</v>
      </c>
      <c r="D254">
        <f t="shared" si="7"/>
        <v>278.79166666666669</v>
      </c>
    </row>
    <row r="255" spans="1:4" x14ac:dyDescent="0.35">
      <c r="A255" t="s">
        <v>286</v>
      </c>
      <c r="B255">
        <f>Earnings!B255</f>
        <v>717902</v>
      </c>
      <c r="C255">
        <f t="shared" si="6"/>
        <v>56080.4</v>
      </c>
      <c r="D255">
        <f t="shared" si="7"/>
        <v>4673.3666666666668</v>
      </c>
    </row>
    <row r="256" spans="1:4" x14ac:dyDescent="0.35">
      <c r="A256" t="s">
        <v>287</v>
      </c>
      <c r="B256">
        <f>Earnings!B256</f>
        <v>552865</v>
      </c>
      <c r="C256">
        <f t="shared" si="6"/>
        <v>23073</v>
      </c>
      <c r="D256">
        <f t="shared" si="7"/>
        <v>1922.75</v>
      </c>
    </row>
    <row r="257" spans="1:4" x14ac:dyDescent="0.35">
      <c r="A257" t="s">
        <v>288</v>
      </c>
      <c r="B257">
        <f>Earnings!B257</f>
        <v>1238302.2</v>
      </c>
      <c r="C257">
        <f t="shared" si="6"/>
        <v>183990.65999999997</v>
      </c>
      <c r="D257">
        <f t="shared" si="7"/>
        <v>15332.554999999998</v>
      </c>
    </row>
    <row r="258" spans="1:4" x14ac:dyDescent="0.35">
      <c r="A258" t="s">
        <v>289</v>
      </c>
      <c r="B258">
        <f>Earnings!B258</f>
        <v>1511360.7</v>
      </c>
      <c r="C258">
        <f t="shared" ref="C258:C321" si="8">IF(B258&lt;=250000,0,IF(B258&lt;=500000,(B258-250000)*0.05,IF(B258&lt;=1000000,12500+(B258-500000)*0.2,112500+(B258-1000000)*0.3)))</f>
        <v>265908.20999999996</v>
      </c>
      <c r="D258">
        <f t="shared" ref="D258:D321" si="9">C258/12</f>
        <v>22159.017499999998</v>
      </c>
    </row>
    <row r="259" spans="1:4" x14ac:dyDescent="0.35">
      <c r="A259" t="s">
        <v>290</v>
      </c>
      <c r="B259">
        <f>Earnings!B259</f>
        <v>673932.85</v>
      </c>
      <c r="C259">
        <f t="shared" si="8"/>
        <v>47286.57</v>
      </c>
      <c r="D259">
        <f t="shared" si="9"/>
        <v>3940.5475000000001</v>
      </c>
    </row>
    <row r="260" spans="1:4" x14ac:dyDescent="0.35">
      <c r="A260" t="s">
        <v>291</v>
      </c>
      <c r="B260">
        <f>Earnings!B260</f>
        <v>808100.39999999991</v>
      </c>
      <c r="C260">
        <f t="shared" si="8"/>
        <v>74120.079999999987</v>
      </c>
      <c r="D260">
        <f t="shared" si="9"/>
        <v>6176.6733333333323</v>
      </c>
    </row>
    <row r="261" spans="1:4" x14ac:dyDescent="0.35">
      <c r="A261" t="s">
        <v>292</v>
      </c>
      <c r="B261">
        <f>Earnings!B261</f>
        <v>460507</v>
      </c>
      <c r="C261">
        <f t="shared" si="8"/>
        <v>10525.35</v>
      </c>
      <c r="D261">
        <f t="shared" si="9"/>
        <v>877.11250000000007</v>
      </c>
    </row>
    <row r="262" spans="1:4" x14ac:dyDescent="0.35">
      <c r="A262" t="s">
        <v>293</v>
      </c>
      <c r="B262">
        <f>Earnings!B262</f>
        <v>813175.29999999993</v>
      </c>
      <c r="C262">
        <f t="shared" si="8"/>
        <v>75135.06</v>
      </c>
      <c r="D262">
        <f t="shared" si="9"/>
        <v>6261.2550000000001</v>
      </c>
    </row>
    <row r="263" spans="1:4" x14ac:dyDescent="0.35">
      <c r="A263" t="s">
        <v>294</v>
      </c>
      <c r="B263">
        <f>Earnings!B263</f>
        <v>532500</v>
      </c>
      <c r="C263">
        <f t="shared" si="8"/>
        <v>19000</v>
      </c>
      <c r="D263">
        <f t="shared" si="9"/>
        <v>1583.3333333333333</v>
      </c>
    </row>
    <row r="264" spans="1:4" x14ac:dyDescent="0.35">
      <c r="A264" t="s">
        <v>295</v>
      </c>
      <c r="B264">
        <f>Earnings!B264</f>
        <v>751578</v>
      </c>
      <c r="C264">
        <f t="shared" si="8"/>
        <v>62815.600000000006</v>
      </c>
      <c r="D264">
        <f t="shared" si="9"/>
        <v>5234.6333333333341</v>
      </c>
    </row>
    <row r="265" spans="1:4" x14ac:dyDescent="0.35">
      <c r="A265" t="s">
        <v>296</v>
      </c>
      <c r="B265">
        <f>Earnings!B265</f>
        <v>799291</v>
      </c>
      <c r="C265">
        <f t="shared" si="8"/>
        <v>72358.200000000012</v>
      </c>
      <c r="D265">
        <f t="shared" si="9"/>
        <v>6029.8500000000013</v>
      </c>
    </row>
    <row r="266" spans="1:4" x14ac:dyDescent="0.35">
      <c r="A266" t="s">
        <v>297</v>
      </c>
      <c r="B266">
        <f>Earnings!B266</f>
        <v>811915</v>
      </c>
      <c r="C266">
        <f t="shared" si="8"/>
        <v>74883</v>
      </c>
      <c r="D266">
        <f t="shared" si="9"/>
        <v>6240.25</v>
      </c>
    </row>
    <row r="267" spans="1:4" x14ac:dyDescent="0.35">
      <c r="A267" t="s">
        <v>298</v>
      </c>
      <c r="B267">
        <f>Earnings!B267</f>
        <v>806406.54999999993</v>
      </c>
      <c r="C267">
        <f t="shared" si="8"/>
        <v>73781.31</v>
      </c>
      <c r="D267">
        <f t="shared" si="9"/>
        <v>6148.4425000000001</v>
      </c>
    </row>
    <row r="268" spans="1:4" x14ac:dyDescent="0.35">
      <c r="A268" t="s">
        <v>299</v>
      </c>
      <c r="B268">
        <f>Earnings!B268</f>
        <v>856415</v>
      </c>
      <c r="C268">
        <f t="shared" si="8"/>
        <v>83783</v>
      </c>
      <c r="D268">
        <f t="shared" si="9"/>
        <v>6981.916666666667</v>
      </c>
    </row>
    <row r="269" spans="1:4" x14ac:dyDescent="0.35">
      <c r="A269" t="s">
        <v>300</v>
      </c>
      <c r="B269">
        <f>Earnings!B269</f>
        <v>379770.1</v>
      </c>
      <c r="C269">
        <f t="shared" si="8"/>
        <v>6488.5049999999992</v>
      </c>
      <c r="D269">
        <f t="shared" si="9"/>
        <v>540.7087499999999</v>
      </c>
    </row>
    <row r="270" spans="1:4" x14ac:dyDescent="0.35">
      <c r="A270" t="s">
        <v>301</v>
      </c>
      <c r="B270">
        <f>Earnings!B270</f>
        <v>712408.79999999993</v>
      </c>
      <c r="C270">
        <f t="shared" si="8"/>
        <v>54981.759999999987</v>
      </c>
      <c r="D270">
        <f t="shared" si="9"/>
        <v>4581.8133333333326</v>
      </c>
    </row>
    <row r="271" spans="1:4" x14ac:dyDescent="0.35">
      <c r="A271" t="s">
        <v>302</v>
      </c>
      <c r="B271">
        <f>Earnings!B271</f>
        <v>910080.04999999993</v>
      </c>
      <c r="C271">
        <f t="shared" si="8"/>
        <v>94516.01</v>
      </c>
      <c r="D271">
        <f t="shared" si="9"/>
        <v>7876.3341666666665</v>
      </c>
    </row>
    <row r="272" spans="1:4" x14ac:dyDescent="0.35">
      <c r="A272" t="s">
        <v>303</v>
      </c>
      <c r="B272">
        <f>Earnings!B272</f>
        <v>1424843.25</v>
      </c>
      <c r="C272">
        <f t="shared" si="8"/>
        <v>239952.97499999998</v>
      </c>
      <c r="D272">
        <f t="shared" si="9"/>
        <v>19996.081249999999</v>
      </c>
    </row>
    <row r="273" spans="1:4" x14ac:dyDescent="0.35">
      <c r="A273" t="s">
        <v>304</v>
      </c>
      <c r="B273">
        <f>Earnings!B273</f>
        <v>1083743</v>
      </c>
      <c r="C273">
        <f t="shared" si="8"/>
        <v>137622.9</v>
      </c>
      <c r="D273">
        <f t="shared" si="9"/>
        <v>11468.574999999999</v>
      </c>
    </row>
    <row r="274" spans="1:4" x14ac:dyDescent="0.35">
      <c r="A274" t="s">
        <v>305</v>
      </c>
      <c r="B274">
        <f>Earnings!B274</f>
        <v>1040880</v>
      </c>
      <c r="C274">
        <f t="shared" si="8"/>
        <v>124764</v>
      </c>
      <c r="D274">
        <f t="shared" si="9"/>
        <v>10397</v>
      </c>
    </row>
    <row r="275" spans="1:4" x14ac:dyDescent="0.35">
      <c r="A275" t="s">
        <v>306</v>
      </c>
      <c r="B275">
        <f>Earnings!B275</f>
        <v>867653</v>
      </c>
      <c r="C275">
        <f t="shared" si="8"/>
        <v>86030.6</v>
      </c>
      <c r="D275">
        <f t="shared" si="9"/>
        <v>7169.2166666666672</v>
      </c>
    </row>
    <row r="276" spans="1:4" x14ac:dyDescent="0.35">
      <c r="A276" t="s">
        <v>307</v>
      </c>
      <c r="B276">
        <f>Earnings!B276</f>
        <v>607676.04999999993</v>
      </c>
      <c r="C276">
        <f t="shared" si="8"/>
        <v>34035.209999999992</v>
      </c>
      <c r="D276">
        <f t="shared" si="9"/>
        <v>2836.2674999999995</v>
      </c>
    </row>
    <row r="277" spans="1:4" x14ac:dyDescent="0.35">
      <c r="A277" t="s">
        <v>308</v>
      </c>
      <c r="B277">
        <f>Earnings!B277</f>
        <v>671915</v>
      </c>
      <c r="C277">
        <f t="shared" si="8"/>
        <v>46883</v>
      </c>
      <c r="D277">
        <f t="shared" si="9"/>
        <v>3906.9166666666665</v>
      </c>
    </row>
    <row r="278" spans="1:4" x14ac:dyDescent="0.35">
      <c r="A278" t="s">
        <v>309</v>
      </c>
      <c r="B278">
        <f>Earnings!B278</f>
        <v>778879.35</v>
      </c>
      <c r="C278">
        <f t="shared" si="8"/>
        <v>68275.87</v>
      </c>
      <c r="D278">
        <f t="shared" si="9"/>
        <v>5689.6558333333332</v>
      </c>
    </row>
    <row r="279" spans="1:4" x14ac:dyDescent="0.35">
      <c r="A279" t="s">
        <v>310</v>
      </c>
      <c r="B279">
        <f>Earnings!B279</f>
        <v>931605</v>
      </c>
      <c r="C279">
        <f t="shared" si="8"/>
        <v>98821</v>
      </c>
      <c r="D279">
        <f t="shared" si="9"/>
        <v>8235.0833333333339</v>
      </c>
    </row>
    <row r="280" spans="1:4" x14ac:dyDescent="0.35">
      <c r="A280" t="s">
        <v>311</v>
      </c>
      <c r="B280">
        <f>Earnings!B280</f>
        <v>1144213.25</v>
      </c>
      <c r="C280">
        <f t="shared" si="8"/>
        <v>155763.97500000001</v>
      </c>
      <c r="D280">
        <f t="shared" si="9"/>
        <v>12980.331250000001</v>
      </c>
    </row>
    <row r="281" spans="1:4" x14ac:dyDescent="0.35">
      <c r="A281" t="s">
        <v>312</v>
      </c>
      <c r="B281">
        <f>Earnings!B281</f>
        <v>1027209</v>
      </c>
      <c r="C281">
        <f t="shared" si="8"/>
        <v>120662.7</v>
      </c>
      <c r="D281">
        <f t="shared" si="9"/>
        <v>10055.225</v>
      </c>
    </row>
    <row r="282" spans="1:4" x14ac:dyDescent="0.35">
      <c r="A282" t="s">
        <v>313</v>
      </c>
      <c r="B282">
        <f>Earnings!B282</f>
        <v>646559</v>
      </c>
      <c r="C282">
        <f t="shared" si="8"/>
        <v>41811.800000000003</v>
      </c>
      <c r="D282">
        <f t="shared" si="9"/>
        <v>3484.3166666666671</v>
      </c>
    </row>
    <row r="283" spans="1:4" x14ac:dyDescent="0.35">
      <c r="A283" t="s">
        <v>314</v>
      </c>
      <c r="B283">
        <f>Earnings!B283</f>
        <v>1487040.7</v>
      </c>
      <c r="C283">
        <f t="shared" si="8"/>
        <v>258612.21</v>
      </c>
      <c r="D283">
        <f t="shared" si="9"/>
        <v>21551.017499999998</v>
      </c>
    </row>
    <row r="284" spans="1:4" x14ac:dyDescent="0.35">
      <c r="A284" t="s">
        <v>315</v>
      </c>
      <c r="B284">
        <f>Earnings!B284</f>
        <v>865989.6</v>
      </c>
      <c r="C284">
        <f t="shared" si="8"/>
        <v>85697.919999999998</v>
      </c>
      <c r="D284">
        <f t="shared" si="9"/>
        <v>7141.4933333333329</v>
      </c>
    </row>
    <row r="285" spans="1:4" x14ac:dyDescent="0.35">
      <c r="A285" t="s">
        <v>316</v>
      </c>
      <c r="B285">
        <f>Earnings!B285</f>
        <v>994345</v>
      </c>
      <c r="C285">
        <f t="shared" si="8"/>
        <v>111369</v>
      </c>
      <c r="D285">
        <f t="shared" si="9"/>
        <v>9280.75</v>
      </c>
    </row>
    <row r="286" spans="1:4" x14ac:dyDescent="0.35">
      <c r="A286" t="s">
        <v>317</v>
      </c>
      <c r="B286">
        <f>Earnings!B286</f>
        <v>851910.6</v>
      </c>
      <c r="C286">
        <f t="shared" si="8"/>
        <v>82882.12</v>
      </c>
      <c r="D286">
        <f t="shared" si="9"/>
        <v>6906.8433333333332</v>
      </c>
    </row>
    <row r="287" spans="1:4" x14ac:dyDescent="0.35">
      <c r="A287" t="s">
        <v>318</v>
      </c>
      <c r="B287">
        <f>Earnings!B287</f>
        <v>1061708.6000000001</v>
      </c>
      <c r="C287">
        <f t="shared" si="8"/>
        <v>131012.58000000003</v>
      </c>
      <c r="D287">
        <f t="shared" si="9"/>
        <v>10917.715000000002</v>
      </c>
    </row>
    <row r="288" spans="1:4" x14ac:dyDescent="0.35">
      <c r="A288" t="s">
        <v>319</v>
      </c>
      <c r="B288">
        <f>Earnings!B288</f>
        <v>650387.1</v>
      </c>
      <c r="C288">
        <f t="shared" si="8"/>
        <v>42577.42</v>
      </c>
      <c r="D288">
        <f t="shared" si="9"/>
        <v>3548.1183333333333</v>
      </c>
    </row>
    <row r="289" spans="1:4" x14ac:dyDescent="0.35">
      <c r="A289" t="s">
        <v>320</v>
      </c>
      <c r="B289">
        <f>Earnings!B289</f>
        <v>536334</v>
      </c>
      <c r="C289">
        <f t="shared" si="8"/>
        <v>19766.8</v>
      </c>
      <c r="D289">
        <f t="shared" si="9"/>
        <v>1647.2333333333333</v>
      </c>
    </row>
    <row r="290" spans="1:4" x14ac:dyDescent="0.35">
      <c r="A290" t="s">
        <v>321</v>
      </c>
      <c r="B290">
        <f>Earnings!B290</f>
        <v>903849</v>
      </c>
      <c r="C290">
        <f t="shared" si="8"/>
        <v>93269.8</v>
      </c>
      <c r="D290">
        <f t="shared" si="9"/>
        <v>7772.4833333333336</v>
      </c>
    </row>
    <row r="291" spans="1:4" x14ac:dyDescent="0.35">
      <c r="A291" t="s">
        <v>322</v>
      </c>
      <c r="B291">
        <f>Earnings!B291</f>
        <v>841041</v>
      </c>
      <c r="C291">
        <f t="shared" si="8"/>
        <v>80708.2</v>
      </c>
      <c r="D291">
        <f t="shared" si="9"/>
        <v>6725.6833333333334</v>
      </c>
    </row>
    <row r="292" spans="1:4" x14ac:dyDescent="0.35">
      <c r="A292" t="s">
        <v>323</v>
      </c>
      <c r="B292">
        <f>Earnings!B292</f>
        <v>1178005</v>
      </c>
      <c r="C292">
        <f t="shared" si="8"/>
        <v>165901.5</v>
      </c>
      <c r="D292">
        <f t="shared" si="9"/>
        <v>13825.125</v>
      </c>
    </row>
    <row r="293" spans="1:4" x14ac:dyDescent="0.35">
      <c r="A293" t="s">
        <v>324</v>
      </c>
      <c r="B293">
        <f>Earnings!B293</f>
        <v>1244466</v>
      </c>
      <c r="C293">
        <f t="shared" si="8"/>
        <v>185839.8</v>
      </c>
      <c r="D293">
        <f t="shared" si="9"/>
        <v>15486.65</v>
      </c>
    </row>
    <row r="294" spans="1:4" x14ac:dyDescent="0.35">
      <c r="A294" t="s">
        <v>325</v>
      </c>
      <c r="B294">
        <f>Earnings!B294</f>
        <v>797369.2</v>
      </c>
      <c r="C294">
        <f t="shared" si="8"/>
        <v>71973.84</v>
      </c>
      <c r="D294">
        <f t="shared" si="9"/>
        <v>5997.82</v>
      </c>
    </row>
    <row r="295" spans="1:4" x14ac:dyDescent="0.35">
      <c r="A295" t="s">
        <v>326</v>
      </c>
      <c r="B295">
        <f>Earnings!B295</f>
        <v>787531.95</v>
      </c>
      <c r="C295">
        <f t="shared" si="8"/>
        <v>70006.389999999985</v>
      </c>
      <c r="D295">
        <f t="shared" si="9"/>
        <v>5833.8658333333324</v>
      </c>
    </row>
    <row r="296" spans="1:4" x14ac:dyDescent="0.35">
      <c r="A296" t="s">
        <v>327</v>
      </c>
      <c r="B296">
        <f>Earnings!B296</f>
        <v>1111359</v>
      </c>
      <c r="C296">
        <f t="shared" si="8"/>
        <v>145907.70000000001</v>
      </c>
      <c r="D296">
        <f t="shared" si="9"/>
        <v>12158.975</v>
      </c>
    </row>
    <row r="297" spans="1:4" x14ac:dyDescent="0.35">
      <c r="A297" t="s">
        <v>328</v>
      </c>
      <c r="B297">
        <f>Earnings!B297</f>
        <v>934226.2</v>
      </c>
      <c r="C297">
        <f t="shared" si="8"/>
        <v>99345.239999999991</v>
      </c>
      <c r="D297">
        <f t="shared" si="9"/>
        <v>8278.7699999999986</v>
      </c>
    </row>
    <row r="298" spans="1:4" x14ac:dyDescent="0.35">
      <c r="A298" t="s">
        <v>329</v>
      </c>
      <c r="B298">
        <f>Earnings!B298</f>
        <v>693909</v>
      </c>
      <c r="C298">
        <f t="shared" si="8"/>
        <v>51281.8</v>
      </c>
      <c r="D298">
        <f t="shared" si="9"/>
        <v>4273.4833333333336</v>
      </c>
    </row>
    <row r="299" spans="1:4" x14ac:dyDescent="0.35">
      <c r="A299" t="s">
        <v>330</v>
      </c>
      <c r="B299">
        <f>Earnings!B299</f>
        <v>491149.05</v>
      </c>
      <c r="C299">
        <f t="shared" si="8"/>
        <v>12057.452499999999</v>
      </c>
      <c r="D299">
        <f t="shared" si="9"/>
        <v>1004.7877083333333</v>
      </c>
    </row>
    <row r="300" spans="1:4" x14ac:dyDescent="0.35">
      <c r="A300" t="s">
        <v>331</v>
      </c>
      <c r="B300">
        <f>Earnings!B300</f>
        <v>928612</v>
      </c>
      <c r="C300">
        <f t="shared" si="8"/>
        <v>98222.400000000009</v>
      </c>
      <c r="D300">
        <f t="shared" si="9"/>
        <v>8185.2000000000007</v>
      </c>
    </row>
    <row r="301" spans="1:4" x14ac:dyDescent="0.35">
      <c r="A301" t="s">
        <v>332</v>
      </c>
      <c r="B301">
        <f>Earnings!B301</f>
        <v>1245470</v>
      </c>
      <c r="C301">
        <f t="shared" si="8"/>
        <v>186141</v>
      </c>
      <c r="D301">
        <f t="shared" si="9"/>
        <v>15511.75</v>
      </c>
    </row>
    <row r="302" spans="1:4" x14ac:dyDescent="0.35">
      <c r="A302" t="s">
        <v>333</v>
      </c>
      <c r="B302">
        <f>Earnings!B302</f>
        <v>616244</v>
      </c>
      <c r="C302">
        <f t="shared" si="8"/>
        <v>35748.800000000003</v>
      </c>
      <c r="D302">
        <f t="shared" si="9"/>
        <v>2979.0666666666671</v>
      </c>
    </row>
    <row r="303" spans="1:4" x14ac:dyDescent="0.35">
      <c r="A303" t="s">
        <v>334</v>
      </c>
      <c r="B303">
        <f>Earnings!B303</f>
        <v>1113108</v>
      </c>
      <c r="C303">
        <f t="shared" si="8"/>
        <v>146432.4</v>
      </c>
      <c r="D303">
        <f t="shared" si="9"/>
        <v>12202.699999999999</v>
      </c>
    </row>
    <row r="304" spans="1:4" x14ac:dyDescent="0.35">
      <c r="A304" t="s">
        <v>335</v>
      </c>
      <c r="B304">
        <f>Earnings!B304</f>
        <v>833869.14999999991</v>
      </c>
      <c r="C304">
        <f t="shared" si="8"/>
        <v>79273.829999999987</v>
      </c>
      <c r="D304">
        <f t="shared" si="9"/>
        <v>6606.1524999999992</v>
      </c>
    </row>
    <row r="305" spans="1:4" x14ac:dyDescent="0.35">
      <c r="A305" t="s">
        <v>336</v>
      </c>
      <c r="B305">
        <f>Earnings!B305</f>
        <v>1081550.3</v>
      </c>
      <c r="C305">
        <f t="shared" si="8"/>
        <v>136965.09000000003</v>
      </c>
      <c r="D305">
        <f t="shared" si="9"/>
        <v>11413.757500000002</v>
      </c>
    </row>
    <row r="306" spans="1:4" x14ac:dyDescent="0.35">
      <c r="A306" t="s">
        <v>337</v>
      </c>
      <c r="B306">
        <f>Earnings!B306</f>
        <v>627117.79999999993</v>
      </c>
      <c r="C306">
        <f t="shared" si="8"/>
        <v>37923.559999999983</v>
      </c>
      <c r="D306">
        <f t="shared" si="9"/>
        <v>3160.2966666666653</v>
      </c>
    </row>
    <row r="307" spans="1:4" x14ac:dyDescent="0.35">
      <c r="A307" t="s">
        <v>338</v>
      </c>
      <c r="B307">
        <f>Earnings!B307</f>
        <v>1049199</v>
      </c>
      <c r="C307">
        <f t="shared" si="8"/>
        <v>127259.7</v>
      </c>
      <c r="D307">
        <f t="shared" si="9"/>
        <v>10604.975</v>
      </c>
    </row>
    <row r="308" spans="1:4" x14ac:dyDescent="0.35">
      <c r="A308" t="s">
        <v>339</v>
      </c>
      <c r="B308">
        <f>Earnings!B308</f>
        <v>474630</v>
      </c>
      <c r="C308">
        <f t="shared" si="8"/>
        <v>11231.5</v>
      </c>
      <c r="D308">
        <f t="shared" si="9"/>
        <v>935.95833333333337</v>
      </c>
    </row>
    <row r="309" spans="1:4" x14ac:dyDescent="0.35">
      <c r="A309" t="s">
        <v>340</v>
      </c>
      <c r="B309">
        <f>Earnings!B309</f>
        <v>729316.9</v>
      </c>
      <c r="C309">
        <f t="shared" si="8"/>
        <v>58363.380000000005</v>
      </c>
      <c r="D309">
        <f t="shared" si="9"/>
        <v>4863.6150000000007</v>
      </c>
    </row>
    <row r="310" spans="1:4" x14ac:dyDescent="0.35">
      <c r="A310" t="s">
        <v>341</v>
      </c>
      <c r="B310">
        <f>Earnings!B310</f>
        <v>869028.64999999991</v>
      </c>
      <c r="C310">
        <f t="shared" si="8"/>
        <v>86305.729999999981</v>
      </c>
      <c r="D310">
        <f t="shared" si="9"/>
        <v>7192.1441666666651</v>
      </c>
    </row>
    <row r="311" spans="1:4" x14ac:dyDescent="0.35">
      <c r="A311" t="s">
        <v>342</v>
      </c>
      <c r="B311">
        <f>Earnings!B311</f>
        <v>799137.14999999991</v>
      </c>
      <c r="C311">
        <f t="shared" si="8"/>
        <v>72327.429999999993</v>
      </c>
      <c r="D311">
        <f t="shared" si="9"/>
        <v>6027.2858333333324</v>
      </c>
    </row>
    <row r="312" spans="1:4" x14ac:dyDescent="0.35">
      <c r="A312" t="s">
        <v>343</v>
      </c>
      <c r="B312">
        <f>Earnings!B312</f>
        <v>1095852.55</v>
      </c>
      <c r="C312">
        <f t="shared" si="8"/>
        <v>141255.76500000001</v>
      </c>
      <c r="D312">
        <f t="shared" si="9"/>
        <v>11771.313750000001</v>
      </c>
    </row>
    <row r="313" spans="1:4" x14ac:dyDescent="0.35">
      <c r="A313" t="s">
        <v>344</v>
      </c>
      <c r="B313">
        <f>Earnings!B313</f>
        <v>612918.15</v>
      </c>
      <c r="C313">
        <f t="shared" si="8"/>
        <v>35083.630000000005</v>
      </c>
      <c r="D313">
        <f t="shared" si="9"/>
        <v>2923.6358333333337</v>
      </c>
    </row>
    <row r="314" spans="1:4" x14ac:dyDescent="0.35">
      <c r="A314" t="s">
        <v>345</v>
      </c>
      <c r="B314">
        <f>Earnings!B314</f>
        <v>779045.6</v>
      </c>
      <c r="C314">
        <f t="shared" si="8"/>
        <v>68309.119999999995</v>
      </c>
      <c r="D314">
        <f t="shared" si="9"/>
        <v>5692.4266666666663</v>
      </c>
    </row>
    <row r="315" spans="1:4" x14ac:dyDescent="0.35">
      <c r="A315" t="s">
        <v>346</v>
      </c>
      <c r="B315">
        <f>Earnings!B315</f>
        <v>998091.85</v>
      </c>
      <c r="C315">
        <f t="shared" si="8"/>
        <v>112118.37</v>
      </c>
      <c r="D315">
        <f t="shared" si="9"/>
        <v>9343.1975000000002</v>
      </c>
    </row>
    <row r="316" spans="1:4" x14ac:dyDescent="0.35">
      <c r="A316" t="s">
        <v>347</v>
      </c>
      <c r="B316">
        <f>Earnings!B316</f>
        <v>674088</v>
      </c>
      <c r="C316">
        <f t="shared" si="8"/>
        <v>47317.599999999999</v>
      </c>
      <c r="D316">
        <f t="shared" si="9"/>
        <v>3943.1333333333332</v>
      </c>
    </row>
    <row r="317" spans="1:4" x14ac:dyDescent="0.35">
      <c r="A317" t="s">
        <v>348</v>
      </c>
      <c r="B317">
        <f>Earnings!B317</f>
        <v>621616.35</v>
      </c>
      <c r="C317">
        <f t="shared" si="8"/>
        <v>36823.269999999997</v>
      </c>
      <c r="D317">
        <f t="shared" si="9"/>
        <v>3068.6058333333331</v>
      </c>
    </row>
    <row r="318" spans="1:4" x14ac:dyDescent="0.35">
      <c r="A318" t="s">
        <v>349</v>
      </c>
      <c r="B318">
        <f>Earnings!B318</f>
        <v>1043450.55</v>
      </c>
      <c r="C318">
        <f t="shared" si="8"/>
        <v>125535.16500000001</v>
      </c>
      <c r="D318">
        <f t="shared" si="9"/>
        <v>10461.26375</v>
      </c>
    </row>
    <row r="319" spans="1:4" x14ac:dyDescent="0.35">
      <c r="A319" t="s">
        <v>350</v>
      </c>
      <c r="B319">
        <f>Earnings!B319</f>
        <v>871255.45</v>
      </c>
      <c r="C319">
        <f t="shared" si="8"/>
        <v>86751.09</v>
      </c>
      <c r="D319">
        <f t="shared" si="9"/>
        <v>7229.2574999999997</v>
      </c>
    </row>
    <row r="320" spans="1:4" x14ac:dyDescent="0.35">
      <c r="A320" t="s">
        <v>351</v>
      </c>
      <c r="B320">
        <f>Earnings!B320</f>
        <v>938270</v>
      </c>
      <c r="C320">
        <f t="shared" si="8"/>
        <v>100154</v>
      </c>
      <c r="D320">
        <f t="shared" si="9"/>
        <v>8346.1666666666661</v>
      </c>
    </row>
    <row r="321" spans="1:4" x14ac:dyDescent="0.35">
      <c r="A321" t="s">
        <v>352</v>
      </c>
      <c r="B321">
        <f>Earnings!B321</f>
        <v>908518</v>
      </c>
      <c r="C321">
        <f t="shared" si="8"/>
        <v>94203.6</v>
      </c>
      <c r="D321">
        <f t="shared" si="9"/>
        <v>7850.3</v>
      </c>
    </row>
    <row r="322" spans="1:4" x14ac:dyDescent="0.35">
      <c r="A322" t="s">
        <v>353</v>
      </c>
      <c r="B322">
        <f>Earnings!B322</f>
        <v>651470.1</v>
      </c>
      <c r="C322">
        <f t="shared" ref="C322:C385" si="10">IF(B322&lt;=250000,0,IF(B322&lt;=500000,(B322-250000)*0.05,IF(B322&lt;=1000000,12500+(B322-500000)*0.2,112500+(B322-1000000)*0.3)))</f>
        <v>42794.02</v>
      </c>
      <c r="D322">
        <f t="shared" ref="D322:D385" si="11">C322/12</f>
        <v>3566.1683333333331</v>
      </c>
    </row>
    <row r="323" spans="1:4" x14ac:dyDescent="0.35">
      <c r="A323" t="s">
        <v>354</v>
      </c>
      <c r="B323">
        <f>Earnings!B323</f>
        <v>761765.1</v>
      </c>
      <c r="C323">
        <f t="shared" si="10"/>
        <v>64853.02</v>
      </c>
      <c r="D323">
        <f t="shared" si="11"/>
        <v>5404.4183333333331</v>
      </c>
    </row>
    <row r="324" spans="1:4" x14ac:dyDescent="0.35">
      <c r="A324" t="s">
        <v>355</v>
      </c>
      <c r="B324">
        <f>Earnings!B324</f>
        <v>1201643</v>
      </c>
      <c r="C324">
        <f t="shared" si="10"/>
        <v>172992.9</v>
      </c>
      <c r="D324">
        <f t="shared" si="11"/>
        <v>14416.074999999999</v>
      </c>
    </row>
    <row r="325" spans="1:4" x14ac:dyDescent="0.35">
      <c r="A325" t="s">
        <v>356</v>
      </c>
      <c r="B325">
        <f>Earnings!B325</f>
        <v>1083988</v>
      </c>
      <c r="C325">
        <f t="shared" si="10"/>
        <v>137696.4</v>
      </c>
      <c r="D325">
        <f t="shared" si="11"/>
        <v>11474.699999999999</v>
      </c>
    </row>
    <row r="326" spans="1:4" x14ac:dyDescent="0.35">
      <c r="A326" t="s">
        <v>357</v>
      </c>
      <c r="B326">
        <f>Earnings!B326</f>
        <v>709593</v>
      </c>
      <c r="C326">
        <f t="shared" si="10"/>
        <v>54418.600000000006</v>
      </c>
      <c r="D326">
        <f t="shared" si="11"/>
        <v>4534.8833333333341</v>
      </c>
    </row>
    <row r="327" spans="1:4" x14ac:dyDescent="0.35">
      <c r="A327" t="s">
        <v>358</v>
      </c>
      <c r="B327">
        <f>Earnings!B327</f>
        <v>976604.75</v>
      </c>
      <c r="C327">
        <f t="shared" si="10"/>
        <v>107820.95000000001</v>
      </c>
      <c r="D327">
        <f t="shared" si="11"/>
        <v>8985.0791666666682</v>
      </c>
    </row>
    <row r="328" spans="1:4" x14ac:dyDescent="0.35">
      <c r="A328" t="s">
        <v>359</v>
      </c>
      <c r="B328">
        <f>Earnings!B328</f>
        <v>907617.64999999991</v>
      </c>
      <c r="C328">
        <f t="shared" si="10"/>
        <v>94023.529999999984</v>
      </c>
      <c r="D328">
        <f t="shared" si="11"/>
        <v>7835.2941666666657</v>
      </c>
    </row>
    <row r="329" spans="1:4" x14ac:dyDescent="0.35">
      <c r="A329" t="s">
        <v>360</v>
      </c>
      <c r="B329">
        <f>Earnings!B329</f>
        <v>749368.54999999993</v>
      </c>
      <c r="C329">
        <f t="shared" si="10"/>
        <v>62373.709999999992</v>
      </c>
      <c r="D329">
        <f t="shared" si="11"/>
        <v>5197.809166666666</v>
      </c>
    </row>
    <row r="330" spans="1:4" x14ac:dyDescent="0.35">
      <c r="A330" t="s">
        <v>361</v>
      </c>
      <c r="B330">
        <f>Earnings!B330</f>
        <v>1081306.1499999999</v>
      </c>
      <c r="C330">
        <f t="shared" si="10"/>
        <v>136891.84499999997</v>
      </c>
      <c r="D330">
        <f t="shared" si="11"/>
        <v>11407.653749999998</v>
      </c>
    </row>
    <row r="331" spans="1:4" x14ac:dyDescent="0.35">
      <c r="A331" t="s">
        <v>362</v>
      </c>
      <c r="B331">
        <f>Earnings!B331</f>
        <v>1249334</v>
      </c>
      <c r="C331">
        <f t="shared" si="10"/>
        <v>187300.2</v>
      </c>
      <c r="D331">
        <f t="shared" si="11"/>
        <v>15608.35</v>
      </c>
    </row>
    <row r="332" spans="1:4" x14ac:dyDescent="0.35">
      <c r="A332" t="s">
        <v>363</v>
      </c>
      <c r="B332">
        <f>Earnings!B332</f>
        <v>465712.8</v>
      </c>
      <c r="C332">
        <f t="shared" si="10"/>
        <v>10785.64</v>
      </c>
      <c r="D332">
        <f t="shared" si="11"/>
        <v>898.80333333333328</v>
      </c>
    </row>
    <row r="333" spans="1:4" x14ac:dyDescent="0.35">
      <c r="A333" t="s">
        <v>364</v>
      </c>
      <c r="B333">
        <f>Earnings!B333</f>
        <v>593255.04999999993</v>
      </c>
      <c r="C333">
        <f t="shared" si="10"/>
        <v>31151.009999999987</v>
      </c>
      <c r="D333">
        <f t="shared" si="11"/>
        <v>2595.9174999999991</v>
      </c>
    </row>
    <row r="334" spans="1:4" x14ac:dyDescent="0.35">
      <c r="A334" t="s">
        <v>365</v>
      </c>
      <c r="B334">
        <f>Earnings!B334</f>
        <v>692793</v>
      </c>
      <c r="C334">
        <f t="shared" si="10"/>
        <v>51058.6</v>
      </c>
      <c r="D334">
        <f t="shared" si="11"/>
        <v>4254.8833333333332</v>
      </c>
    </row>
    <row r="335" spans="1:4" x14ac:dyDescent="0.35">
      <c r="A335" t="s">
        <v>366</v>
      </c>
      <c r="B335">
        <f>Earnings!B335</f>
        <v>896884</v>
      </c>
      <c r="C335">
        <f t="shared" si="10"/>
        <v>91876.800000000003</v>
      </c>
      <c r="D335">
        <f t="shared" si="11"/>
        <v>7656.4000000000005</v>
      </c>
    </row>
    <row r="336" spans="1:4" x14ac:dyDescent="0.35">
      <c r="A336" t="s">
        <v>367</v>
      </c>
      <c r="B336">
        <f>Earnings!B336</f>
        <v>1097050</v>
      </c>
      <c r="C336">
        <f t="shared" si="10"/>
        <v>141615</v>
      </c>
      <c r="D336">
        <f t="shared" si="11"/>
        <v>11801.25</v>
      </c>
    </row>
    <row r="337" spans="1:4" x14ac:dyDescent="0.35">
      <c r="A337" t="s">
        <v>368</v>
      </c>
      <c r="B337">
        <f>Earnings!B337</f>
        <v>550567</v>
      </c>
      <c r="C337">
        <f t="shared" si="10"/>
        <v>22613.4</v>
      </c>
      <c r="D337">
        <f t="shared" si="11"/>
        <v>1884.45</v>
      </c>
    </row>
    <row r="338" spans="1:4" x14ac:dyDescent="0.35">
      <c r="A338" t="s">
        <v>369</v>
      </c>
      <c r="B338">
        <f>Earnings!B338</f>
        <v>461310.5</v>
      </c>
      <c r="C338">
        <f t="shared" si="10"/>
        <v>10565.525000000001</v>
      </c>
      <c r="D338">
        <f t="shared" si="11"/>
        <v>880.46041666666679</v>
      </c>
    </row>
    <row r="339" spans="1:4" x14ac:dyDescent="0.35">
      <c r="A339" t="s">
        <v>370</v>
      </c>
      <c r="B339">
        <f>Earnings!B339</f>
        <v>803759</v>
      </c>
      <c r="C339">
        <f t="shared" si="10"/>
        <v>73251.8</v>
      </c>
      <c r="D339">
        <f t="shared" si="11"/>
        <v>6104.3166666666666</v>
      </c>
    </row>
    <row r="340" spans="1:4" x14ac:dyDescent="0.35">
      <c r="A340" t="s">
        <v>371</v>
      </c>
      <c r="B340">
        <f>Earnings!B340</f>
        <v>1301949.3500000001</v>
      </c>
      <c r="C340">
        <f t="shared" si="10"/>
        <v>203084.80500000002</v>
      </c>
      <c r="D340">
        <f t="shared" si="11"/>
        <v>16923.733750000003</v>
      </c>
    </row>
    <row r="341" spans="1:4" x14ac:dyDescent="0.35">
      <c r="A341" t="s">
        <v>372</v>
      </c>
      <c r="B341">
        <f>Earnings!B341</f>
        <v>764528.64999999991</v>
      </c>
      <c r="C341">
        <f t="shared" si="10"/>
        <v>65405.729999999981</v>
      </c>
      <c r="D341">
        <f t="shared" si="11"/>
        <v>5450.4774999999981</v>
      </c>
    </row>
    <row r="342" spans="1:4" x14ac:dyDescent="0.35">
      <c r="A342" t="s">
        <v>373</v>
      </c>
      <c r="B342">
        <f>Earnings!B342</f>
        <v>568834</v>
      </c>
      <c r="C342">
        <f t="shared" si="10"/>
        <v>26266.800000000003</v>
      </c>
      <c r="D342">
        <f t="shared" si="11"/>
        <v>2188.9</v>
      </c>
    </row>
    <row r="343" spans="1:4" x14ac:dyDescent="0.35">
      <c r="A343" t="s">
        <v>374</v>
      </c>
      <c r="B343">
        <f>Earnings!B343</f>
        <v>715951.35</v>
      </c>
      <c r="C343">
        <f t="shared" si="10"/>
        <v>55690.27</v>
      </c>
      <c r="D343">
        <f t="shared" si="11"/>
        <v>4640.8558333333331</v>
      </c>
    </row>
    <row r="344" spans="1:4" x14ac:dyDescent="0.35">
      <c r="A344" t="s">
        <v>375</v>
      </c>
      <c r="B344">
        <f>Earnings!B344</f>
        <v>667672</v>
      </c>
      <c r="C344">
        <f t="shared" si="10"/>
        <v>46034.400000000001</v>
      </c>
      <c r="D344">
        <f t="shared" si="11"/>
        <v>3836.2000000000003</v>
      </c>
    </row>
    <row r="345" spans="1:4" x14ac:dyDescent="0.35">
      <c r="A345" t="s">
        <v>376</v>
      </c>
      <c r="B345">
        <f>Earnings!B345</f>
        <v>798554.79999999993</v>
      </c>
      <c r="C345">
        <f t="shared" si="10"/>
        <v>72210.959999999992</v>
      </c>
      <c r="D345">
        <f t="shared" si="11"/>
        <v>6017.579999999999</v>
      </c>
    </row>
    <row r="346" spans="1:4" x14ac:dyDescent="0.35">
      <c r="A346" t="s">
        <v>377</v>
      </c>
      <c r="B346">
        <f>Earnings!B346</f>
        <v>979214.39999999991</v>
      </c>
      <c r="C346">
        <f t="shared" si="10"/>
        <v>108342.87999999999</v>
      </c>
      <c r="D346">
        <f t="shared" si="11"/>
        <v>9028.5733333333319</v>
      </c>
    </row>
    <row r="347" spans="1:4" x14ac:dyDescent="0.35">
      <c r="A347" t="s">
        <v>378</v>
      </c>
      <c r="B347">
        <f>Earnings!B347</f>
        <v>721404</v>
      </c>
      <c r="C347">
        <f t="shared" si="10"/>
        <v>56780.800000000003</v>
      </c>
      <c r="D347">
        <f t="shared" si="11"/>
        <v>4731.7333333333336</v>
      </c>
    </row>
    <row r="348" spans="1:4" x14ac:dyDescent="0.35">
      <c r="A348" t="s">
        <v>379</v>
      </c>
      <c r="B348">
        <f>Earnings!B348</f>
        <v>610284</v>
      </c>
      <c r="C348">
        <f t="shared" si="10"/>
        <v>34556.800000000003</v>
      </c>
      <c r="D348">
        <f t="shared" si="11"/>
        <v>2879.7333333333336</v>
      </c>
    </row>
    <row r="349" spans="1:4" x14ac:dyDescent="0.35">
      <c r="A349" t="s">
        <v>380</v>
      </c>
      <c r="B349">
        <f>Earnings!B349</f>
        <v>706882.65</v>
      </c>
      <c r="C349">
        <f t="shared" si="10"/>
        <v>53876.530000000006</v>
      </c>
      <c r="D349">
        <f t="shared" si="11"/>
        <v>4489.7108333333335</v>
      </c>
    </row>
    <row r="350" spans="1:4" x14ac:dyDescent="0.35">
      <c r="A350" t="s">
        <v>381</v>
      </c>
      <c r="B350">
        <f>Earnings!B350</f>
        <v>760557.64999999991</v>
      </c>
      <c r="C350">
        <f t="shared" si="10"/>
        <v>64611.529999999984</v>
      </c>
      <c r="D350">
        <f t="shared" si="11"/>
        <v>5384.2941666666657</v>
      </c>
    </row>
    <row r="351" spans="1:4" x14ac:dyDescent="0.35">
      <c r="A351" t="s">
        <v>382</v>
      </c>
      <c r="B351">
        <f>Earnings!B351</f>
        <v>1141124.8</v>
      </c>
      <c r="C351">
        <f t="shared" si="10"/>
        <v>154837.44</v>
      </c>
      <c r="D351">
        <f t="shared" si="11"/>
        <v>12903.12</v>
      </c>
    </row>
    <row r="352" spans="1:4" x14ac:dyDescent="0.35">
      <c r="A352" t="s">
        <v>383</v>
      </c>
      <c r="B352">
        <f>Earnings!B352</f>
        <v>868614</v>
      </c>
      <c r="C352">
        <f t="shared" si="10"/>
        <v>86222.8</v>
      </c>
      <c r="D352">
        <f t="shared" si="11"/>
        <v>7185.2333333333336</v>
      </c>
    </row>
    <row r="353" spans="1:4" x14ac:dyDescent="0.35">
      <c r="A353" t="s">
        <v>384</v>
      </c>
      <c r="B353">
        <f>Earnings!B353</f>
        <v>952161</v>
      </c>
      <c r="C353">
        <f t="shared" si="10"/>
        <v>102932.20000000001</v>
      </c>
      <c r="D353">
        <f t="shared" si="11"/>
        <v>8577.6833333333343</v>
      </c>
    </row>
    <row r="354" spans="1:4" x14ac:dyDescent="0.35">
      <c r="A354" t="s">
        <v>385</v>
      </c>
      <c r="B354">
        <f>Earnings!B354</f>
        <v>1148627.8999999999</v>
      </c>
      <c r="C354">
        <f t="shared" si="10"/>
        <v>157088.36999999997</v>
      </c>
      <c r="D354">
        <f t="shared" si="11"/>
        <v>13090.697499999997</v>
      </c>
    </row>
    <row r="355" spans="1:4" x14ac:dyDescent="0.35">
      <c r="A355" t="s">
        <v>386</v>
      </c>
      <c r="B355">
        <f>Earnings!B355</f>
        <v>994730</v>
      </c>
      <c r="C355">
        <f t="shared" si="10"/>
        <v>111446</v>
      </c>
      <c r="D355">
        <f t="shared" si="11"/>
        <v>9287.1666666666661</v>
      </c>
    </row>
    <row r="356" spans="1:4" x14ac:dyDescent="0.35">
      <c r="A356" t="s">
        <v>387</v>
      </c>
      <c r="B356">
        <f>Earnings!B356</f>
        <v>622310.79999999993</v>
      </c>
      <c r="C356">
        <f t="shared" si="10"/>
        <v>36962.159999999989</v>
      </c>
      <c r="D356">
        <f t="shared" si="11"/>
        <v>3080.1799999999989</v>
      </c>
    </row>
    <row r="357" spans="1:4" x14ac:dyDescent="0.35">
      <c r="A357" t="s">
        <v>388</v>
      </c>
      <c r="B357">
        <f>Earnings!B357</f>
        <v>678454.85</v>
      </c>
      <c r="C357">
        <f t="shared" si="10"/>
        <v>48190.969999999994</v>
      </c>
      <c r="D357">
        <f t="shared" si="11"/>
        <v>4015.914166666666</v>
      </c>
    </row>
    <row r="358" spans="1:4" x14ac:dyDescent="0.35">
      <c r="A358" t="s">
        <v>389</v>
      </c>
      <c r="B358">
        <f>Earnings!B358</f>
        <v>467942.45</v>
      </c>
      <c r="C358">
        <f t="shared" si="10"/>
        <v>10897.122500000001</v>
      </c>
      <c r="D358">
        <f t="shared" si="11"/>
        <v>908.09354166666674</v>
      </c>
    </row>
    <row r="359" spans="1:4" x14ac:dyDescent="0.35">
      <c r="A359" t="s">
        <v>390</v>
      </c>
      <c r="B359">
        <f>Earnings!B359</f>
        <v>842838</v>
      </c>
      <c r="C359">
        <f t="shared" si="10"/>
        <v>81067.600000000006</v>
      </c>
      <c r="D359">
        <f t="shared" si="11"/>
        <v>6755.6333333333341</v>
      </c>
    </row>
    <row r="360" spans="1:4" x14ac:dyDescent="0.35">
      <c r="A360" t="s">
        <v>391</v>
      </c>
      <c r="B360">
        <f>Earnings!B360</f>
        <v>790676</v>
      </c>
      <c r="C360">
        <f t="shared" si="10"/>
        <v>70635.200000000012</v>
      </c>
      <c r="D360">
        <f t="shared" si="11"/>
        <v>5886.2666666666673</v>
      </c>
    </row>
    <row r="361" spans="1:4" x14ac:dyDescent="0.35">
      <c r="A361" t="s">
        <v>392</v>
      </c>
      <c r="B361">
        <f>Earnings!B361</f>
        <v>1305269.6000000001</v>
      </c>
      <c r="C361">
        <f t="shared" si="10"/>
        <v>204080.88</v>
      </c>
      <c r="D361">
        <f t="shared" si="11"/>
        <v>17006.740000000002</v>
      </c>
    </row>
    <row r="362" spans="1:4" x14ac:dyDescent="0.35">
      <c r="A362" t="s">
        <v>393</v>
      </c>
      <c r="B362">
        <f>Earnings!B362</f>
        <v>598165.6</v>
      </c>
      <c r="C362">
        <f t="shared" si="10"/>
        <v>32133.119999999995</v>
      </c>
      <c r="D362">
        <f t="shared" si="11"/>
        <v>2677.7599999999998</v>
      </c>
    </row>
    <row r="363" spans="1:4" x14ac:dyDescent="0.35">
      <c r="A363" t="s">
        <v>394</v>
      </c>
      <c r="B363">
        <f>Earnings!B363</f>
        <v>1130882</v>
      </c>
      <c r="C363">
        <f t="shared" si="10"/>
        <v>151764.6</v>
      </c>
      <c r="D363">
        <f t="shared" si="11"/>
        <v>12647.050000000001</v>
      </c>
    </row>
    <row r="364" spans="1:4" x14ac:dyDescent="0.35">
      <c r="A364" t="s">
        <v>395</v>
      </c>
      <c r="B364">
        <f>Earnings!B364</f>
        <v>1501241</v>
      </c>
      <c r="C364">
        <f t="shared" si="10"/>
        <v>262872.3</v>
      </c>
      <c r="D364">
        <f t="shared" si="11"/>
        <v>21906.024999999998</v>
      </c>
    </row>
    <row r="365" spans="1:4" x14ac:dyDescent="0.35">
      <c r="A365" t="s">
        <v>396</v>
      </c>
      <c r="B365">
        <f>Earnings!B365</f>
        <v>1108802</v>
      </c>
      <c r="C365">
        <f t="shared" si="10"/>
        <v>145140.6</v>
      </c>
      <c r="D365">
        <f t="shared" si="11"/>
        <v>12095.050000000001</v>
      </c>
    </row>
    <row r="366" spans="1:4" x14ac:dyDescent="0.35">
      <c r="A366" t="s">
        <v>397</v>
      </c>
      <c r="B366">
        <f>Earnings!B366</f>
        <v>923731.54999999993</v>
      </c>
      <c r="C366">
        <f t="shared" si="10"/>
        <v>97246.31</v>
      </c>
      <c r="D366">
        <f t="shared" si="11"/>
        <v>8103.8591666666662</v>
      </c>
    </row>
    <row r="367" spans="1:4" x14ac:dyDescent="0.35">
      <c r="A367" t="s">
        <v>398</v>
      </c>
      <c r="B367">
        <f>Earnings!B367</f>
        <v>1015502</v>
      </c>
      <c r="C367">
        <f t="shared" si="10"/>
        <v>117150.6</v>
      </c>
      <c r="D367">
        <f t="shared" si="11"/>
        <v>9762.5500000000011</v>
      </c>
    </row>
    <row r="368" spans="1:4" x14ac:dyDescent="0.35">
      <c r="A368" t="s">
        <v>399</v>
      </c>
      <c r="B368">
        <f>Earnings!B368</f>
        <v>808841.39999999991</v>
      </c>
      <c r="C368">
        <f t="shared" si="10"/>
        <v>74268.279999999984</v>
      </c>
      <c r="D368">
        <f t="shared" si="11"/>
        <v>6189.0233333333317</v>
      </c>
    </row>
    <row r="369" spans="1:4" x14ac:dyDescent="0.35">
      <c r="A369" t="s">
        <v>400</v>
      </c>
      <c r="B369">
        <f>Earnings!B369</f>
        <v>350759.95</v>
      </c>
      <c r="C369">
        <f t="shared" si="10"/>
        <v>5037.9975000000013</v>
      </c>
      <c r="D369">
        <f t="shared" si="11"/>
        <v>419.83312500000011</v>
      </c>
    </row>
    <row r="370" spans="1:4" x14ac:dyDescent="0.35">
      <c r="A370" t="s">
        <v>401</v>
      </c>
      <c r="B370">
        <f>Earnings!B370</f>
        <v>712745.1</v>
      </c>
      <c r="C370">
        <f t="shared" si="10"/>
        <v>55049.02</v>
      </c>
      <c r="D370">
        <f t="shared" si="11"/>
        <v>4587.4183333333331</v>
      </c>
    </row>
    <row r="371" spans="1:4" x14ac:dyDescent="0.35">
      <c r="A371" t="s">
        <v>402</v>
      </c>
      <c r="B371">
        <f>Earnings!B371</f>
        <v>1052585.75</v>
      </c>
      <c r="C371">
        <f t="shared" si="10"/>
        <v>128275.72500000001</v>
      </c>
      <c r="D371">
        <f t="shared" si="11"/>
        <v>10689.643750000001</v>
      </c>
    </row>
    <row r="372" spans="1:4" x14ac:dyDescent="0.35">
      <c r="A372" t="s">
        <v>403</v>
      </c>
      <c r="B372">
        <f>Earnings!B372</f>
        <v>516270</v>
      </c>
      <c r="C372">
        <f t="shared" si="10"/>
        <v>15754</v>
      </c>
      <c r="D372">
        <f t="shared" si="11"/>
        <v>1312.8333333333333</v>
      </c>
    </row>
    <row r="373" spans="1:4" x14ac:dyDescent="0.35">
      <c r="A373" t="s">
        <v>404</v>
      </c>
      <c r="B373">
        <f>Earnings!B373</f>
        <v>810033</v>
      </c>
      <c r="C373">
        <f t="shared" si="10"/>
        <v>74506.600000000006</v>
      </c>
      <c r="D373">
        <f t="shared" si="11"/>
        <v>6208.8833333333341</v>
      </c>
    </row>
    <row r="374" spans="1:4" x14ac:dyDescent="0.35">
      <c r="A374" t="s">
        <v>405</v>
      </c>
      <c r="B374">
        <f>Earnings!B374</f>
        <v>986765.95</v>
      </c>
      <c r="C374">
        <f t="shared" si="10"/>
        <v>109853.19</v>
      </c>
      <c r="D374">
        <f t="shared" si="11"/>
        <v>9154.4325000000008</v>
      </c>
    </row>
    <row r="375" spans="1:4" x14ac:dyDescent="0.35">
      <c r="A375" t="s">
        <v>406</v>
      </c>
      <c r="B375">
        <f>Earnings!B375</f>
        <v>1468767.45</v>
      </c>
      <c r="C375">
        <f t="shared" si="10"/>
        <v>253130.23499999999</v>
      </c>
      <c r="D375">
        <f t="shared" si="11"/>
        <v>21094.186249999999</v>
      </c>
    </row>
    <row r="376" spans="1:4" x14ac:dyDescent="0.35">
      <c r="A376" t="s">
        <v>407</v>
      </c>
      <c r="B376">
        <f>Earnings!B376</f>
        <v>732309.4</v>
      </c>
      <c r="C376">
        <f t="shared" si="10"/>
        <v>58961.880000000005</v>
      </c>
      <c r="D376">
        <f t="shared" si="11"/>
        <v>4913.4900000000007</v>
      </c>
    </row>
    <row r="377" spans="1:4" x14ac:dyDescent="0.35">
      <c r="A377" t="s">
        <v>408</v>
      </c>
      <c r="B377">
        <f>Earnings!B377</f>
        <v>762522.25</v>
      </c>
      <c r="C377">
        <f t="shared" si="10"/>
        <v>65004.450000000004</v>
      </c>
      <c r="D377">
        <f t="shared" si="11"/>
        <v>5417.0375000000004</v>
      </c>
    </row>
    <row r="378" spans="1:4" x14ac:dyDescent="0.35">
      <c r="A378" t="s">
        <v>409</v>
      </c>
      <c r="B378">
        <f>Earnings!B378</f>
        <v>627532</v>
      </c>
      <c r="C378">
        <f t="shared" si="10"/>
        <v>38006.400000000001</v>
      </c>
      <c r="D378">
        <f t="shared" si="11"/>
        <v>3167.2000000000003</v>
      </c>
    </row>
    <row r="379" spans="1:4" x14ac:dyDescent="0.35">
      <c r="A379" t="s">
        <v>410</v>
      </c>
      <c r="B379">
        <f>Earnings!B379</f>
        <v>651468.19999999995</v>
      </c>
      <c r="C379">
        <f t="shared" si="10"/>
        <v>42793.639999999992</v>
      </c>
      <c r="D379">
        <f t="shared" si="11"/>
        <v>3566.1366666666659</v>
      </c>
    </row>
    <row r="380" spans="1:4" x14ac:dyDescent="0.35">
      <c r="A380" t="s">
        <v>411</v>
      </c>
      <c r="B380">
        <f>Earnings!B380</f>
        <v>814050.25</v>
      </c>
      <c r="C380">
        <f t="shared" si="10"/>
        <v>75310.05</v>
      </c>
      <c r="D380">
        <f t="shared" si="11"/>
        <v>6275.8375000000005</v>
      </c>
    </row>
    <row r="381" spans="1:4" x14ac:dyDescent="0.35">
      <c r="A381" t="s">
        <v>412</v>
      </c>
      <c r="B381">
        <f>Earnings!B381</f>
        <v>693250.15</v>
      </c>
      <c r="C381">
        <f t="shared" si="10"/>
        <v>51150.030000000006</v>
      </c>
      <c r="D381">
        <f t="shared" si="11"/>
        <v>4262.5025000000005</v>
      </c>
    </row>
    <row r="382" spans="1:4" x14ac:dyDescent="0.35">
      <c r="A382" t="s">
        <v>413</v>
      </c>
      <c r="B382">
        <f>Earnings!B382</f>
        <v>1004415</v>
      </c>
      <c r="C382">
        <f t="shared" si="10"/>
        <v>113824.5</v>
      </c>
      <c r="D382">
        <f t="shared" si="11"/>
        <v>9485.375</v>
      </c>
    </row>
    <row r="383" spans="1:4" x14ac:dyDescent="0.35">
      <c r="A383" t="s">
        <v>414</v>
      </c>
      <c r="B383">
        <f>Earnings!B383</f>
        <v>594538</v>
      </c>
      <c r="C383">
        <f t="shared" si="10"/>
        <v>31407.600000000002</v>
      </c>
      <c r="D383">
        <f t="shared" si="11"/>
        <v>2617.3000000000002</v>
      </c>
    </row>
    <row r="384" spans="1:4" x14ac:dyDescent="0.35">
      <c r="A384" t="s">
        <v>415</v>
      </c>
      <c r="B384">
        <f>Earnings!B384</f>
        <v>978843</v>
      </c>
      <c r="C384">
        <f t="shared" si="10"/>
        <v>108268.6</v>
      </c>
      <c r="D384">
        <f t="shared" si="11"/>
        <v>9022.3833333333332</v>
      </c>
    </row>
    <row r="385" spans="1:4" x14ac:dyDescent="0.35">
      <c r="A385" t="s">
        <v>416</v>
      </c>
      <c r="B385">
        <f>Earnings!B385</f>
        <v>547013</v>
      </c>
      <c r="C385">
        <f t="shared" si="10"/>
        <v>21902.6</v>
      </c>
      <c r="D385">
        <f t="shared" si="11"/>
        <v>1825.2166666666665</v>
      </c>
    </row>
    <row r="386" spans="1:4" x14ac:dyDescent="0.35">
      <c r="A386" t="s">
        <v>417</v>
      </c>
      <c r="B386">
        <f>Earnings!B386</f>
        <v>960701.75</v>
      </c>
      <c r="C386">
        <f t="shared" ref="C386:C449" si="12">IF(B386&lt;=250000,0,IF(B386&lt;=500000,(B386-250000)*0.05,IF(B386&lt;=1000000,12500+(B386-500000)*0.2,112500+(B386-1000000)*0.3)))</f>
        <v>104640.35</v>
      </c>
      <c r="D386">
        <f t="shared" ref="D386:D449" si="13">C386/12</f>
        <v>8720.0291666666672</v>
      </c>
    </row>
    <row r="387" spans="1:4" x14ac:dyDescent="0.35">
      <c r="A387" t="s">
        <v>418</v>
      </c>
      <c r="B387">
        <f>Earnings!B387</f>
        <v>1298636.7</v>
      </c>
      <c r="C387">
        <f t="shared" si="12"/>
        <v>202091.00999999998</v>
      </c>
      <c r="D387">
        <f t="shared" si="13"/>
        <v>16840.9175</v>
      </c>
    </row>
    <row r="388" spans="1:4" x14ac:dyDescent="0.35">
      <c r="A388" t="s">
        <v>419</v>
      </c>
      <c r="B388">
        <f>Earnings!B388</f>
        <v>691842.25</v>
      </c>
      <c r="C388">
        <f t="shared" si="12"/>
        <v>50868.450000000004</v>
      </c>
      <c r="D388">
        <f t="shared" si="13"/>
        <v>4239.0375000000004</v>
      </c>
    </row>
    <row r="389" spans="1:4" x14ac:dyDescent="0.35">
      <c r="A389" t="s">
        <v>420</v>
      </c>
      <c r="B389">
        <f>Earnings!B389</f>
        <v>876380.7</v>
      </c>
      <c r="C389">
        <f t="shared" si="12"/>
        <v>87776.14</v>
      </c>
      <c r="D389">
        <f t="shared" si="13"/>
        <v>7314.6783333333333</v>
      </c>
    </row>
    <row r="390" spans="1:4" x14ac:dyDescent="0.35">
      <c r="A390" t="s">
        <v>421</v>
      </c>
      <c r="B390">
        <f>Earnings!B390</f>
        <v>1324351</v>
      </c>
      <c r="C390">
        <f t="shared" si="12"/>
        <v>209805.3</v>
      </c>
      <c r="D390">
        <f t="shared" si="13"/>
        <v>17483.774999999998</v>
      </c>
    </row>
    <row r="391" spans="1:4" x14ac:dyDescent="0.35">
      <c r="A391" t="s">
        <v>422</v>
      </c>
      <c r="B391">
        <f>Earnings!B391</f>
        <v>1428884.55</v>
      </c>
      <c r="C391">
        <f t="shared" si="12"/>
        <v>241165.36499999999</v>
      </c>
      <c r="D391">
        <f t="shared" si="13"/>
        <v>20097.11375</v>
      </c>
    </row>
    <row r="392" spans="1:4" x14ac:dyDescent="0.35">
      <c r="A392" t="s">
        <v>423</v>
      </c>
      <c r="B392">
        <f>Earnings!B392</f>
        <v>894227.39999999991</v>
      </c>
      <c r="C392">
        <f t="shared" si="12"/>
        <v>91345.479999999981</v>
      </c>
      <c r="D392">
        <f t="shared" si="13"/>
        <v>7612.1233333333321</v>
      </c>
    </row>
    <row r="393" spans="1:4" x14ac:dyDescent="0.35">
      <c r="A393" t="s">
        <v>424</v>
      </c>
      <c r="B393">
        <f>Earnings!B393</f>
        <v>1031684</v>
      </c>
      <c r="C393">
        <f t="shared" si="12"/>
        <v>122005.2</v>
      </c>
      <c r="D393">
        <f t="shared" si="13"/>
        <v>10167.1</v>
      </c>
    </row>
    <row r="394" spans="1:4" x14ac:dyDescent="0.35">
      <c r="A394" t="s">
        <v>425</v>
      </c>
      <c r="B394">
        <f>Earnings!B394</f>
        <v>1041567.65</v>
      </c>
      <c r="C394">
        <f t="shared" si="12"/>
        <v>124970.29500000001</v>
      </c>
      <c r="D394">
        <f t="shared" si="13"/>
        <v>10414.191250000002</v>
      </c>
    </row>
    <row r="395" spans="1:4" x14ac:dyDescent="0.35">
      <c r="A395" t="s">
        <v>426</v>
      </c>
      <c r="B395">
        <f>Earnings!B395</f>
        <v>663706.1</v>
      </c>
      <c r="C395">
        <f t="shared" si="12"/>
        <v>45241.22</v>
      </c>
      <c r="D395">
        <f t="shared" si="13"/>
        <v>3770.1016666666669</v>
      </c>
    </row>
    <row r="396" spans="1:4" x14ac:dyDescent="0.35">
      <c r="A396" t="s">
        <v>427</v>
      </c>
      <c r="B396">
        <f>Earnings!B396</f>
        <v>659025</v>
      </c>
      <c r="C396">
        <f t="shared" si="12"/>
        <v>44305</v>
      </c>
      <c r="D396">
        <f t="shared" si="13"/>
        <v>3692.0833333333335</v>
      </c>
    </row>
    <row r="397" spans="1:4" x14ac:dyDescent="0.35">
      <c r="A397" t="s">
        <v>428</v>
      </c>
      <c r="B397">
        <f>Earnings!B397</f>
        <v>953512.14999999991</v>
      </c>
      <c r="C397">
        <f t="shared" si="12"/>
        <v>103202.43</v>
      </c>
      <c r="D397">
        <f t="shared" si="13"/>
        <v>8600.2024999999994</v>
      </c>
    </row>
    <row r="398" spans="1:4" x14ac:dyDescent="0.35">
      <c r="A398" t="s">
        <v>429</v>
      </c>
      <c r="B398">
        <f>Earnings!B398</f>
        <v>1257618</v>
      </c>
      <c r="C398">
        <f t="shared" si="12"/>
        <v>189785.4</v>
      </c>
      <c r="D398">
        <f t="shared" si="13"/>
        <v>15815.449999999999</v>
      </c>
    </row>
    <row r="399" spans="1:4" x14ac:dyDescent="0.35">
      <c r="A399" t="s">
        <v>430</v>
      </c>
      <c r="B399">
        <f>Earnings!B399</f>
        <v>923094.1</v>
      </c>
      <c r="C399">
        <f t="shared" si="12"/>
        <v>97118.82</v>
      </c>
      <c r="D399">
        <f t="shared" si="13"/>
        <v>8093.2350000000006</v>
      </c>
    </row>
    <row r="400" spans="1:4" x14ac:dyDescent="0.35">
      <c r="A400" t="s">
        <v>431</v>
      </c>
      <c r="B400">
        <f>Earnings!B400</f>
        <v>1427096.65</v>
      </c>
      <c r="C400">
        <f t="shared" si="12"/>
        <v>240628.99499999997</v>
      </c>
      <c r="D400">
        <f t="shared" si="13"/>
        <v>20052.416249999998</v>
      </c>
    </row>
    <row r="401" spans="1:4" x14ac:dyDescent="0.35">
      <c r="A401" t="s">
        <v>432</v>
      </c>
      <c r="B401">
        <f>Earnings!B401</f>
        <v>954144.85</v>
      </c>
      <c r="C401">
        <f t="shared" si="12"/>
        <v>103328.97</v>
      </c>
      <c r="D401">
        <f t="shared" si="13"/>
        <v>8610.7474999999995</v>
      </c>
    </row>
    <row r="402" spans="1:4" x14ac:dyDescent="0.35">
      <c r="A402" t="s">
        <v>433</v>
      </c>
      <c r="B402">
        <f>Earnings!B402</f>
        <v>829644.5</v>
      </c>
      <c r="C402">
        <f t="shared" si="12"/>
        <v>78428.900000000009</v>
      </c>
      <c r="D402">
        <f t="shared" si="13"/>
        <v>6535.7416666666677</v>
      </c>
    </row>
    <row r="403" spans="1:4" x14ac:dyDescent="0.35">
      <c r="A403" t="s">
        <v>434</v>
      </c>
      <c r="B403">
        <f>Earnings!B403</f>
        <v>902588.35</v>
      </c>
      <c r="C403">
        <f t="shared" si="12"/>
        <v>93017.67</v>
      </c>
      <c r="D403">
        <f t="shared" si="13"/>
        <v>7751.4724999999999</v>
      </c>
    </row>
    <row r="404" spans="1:4" x14ac:dyDescent="0.35">
      <c r="A404" t="s">
        <v>435</v>
      </c>
      <c r="B404">
        <f>Earnings!B404</f>
        <v>737430</v>
      </c>
      <c r="C404">
        <f t="shared" si="12"/>
        <v>59986</v>
      </c>
      <c r="D404">
        <f t="shared" si="13"/>
        <v>4998.833333333333</v>
      </c>
    </row>
    <row r="405" spans="1:4" x14ac:dyDescent="0.35">
      <c r="A405" t="s">
        <v>436</v>
      </c>
      <c r="B405">
        <f>Earnings!B405</f>
        <v>750648</v>
      </c>
      <c r="C405">
        <f t="shared" si="12"/>
        <v>62629.600000000006</v>
      </c>
      <c r="D405">
        <f t="shared" si="13"/>
        <v>5219.1333333333341</v>
      </c>
    </row>
    <row r="406" spans="1:4" x14ac:dyDescent="0.35">
      <c r="A406" t="s">
        <v>437</v>
      </c>
      <c r="B406">
        <f>Earnings!B406</f>
        <v>759275</v>
      </c>
      <c r="C406">
        <f t="shared" si="12"/>
        <v>64355</v>
      </c>
      <c r="D406">
        <f t="shared" si="13"/>
        <v>5362.916666666667</v>
      </c>
    </row>
    <row r="407" spans="1:4" x14ac:dyDescent="0.35">
      <c r="A407" t="s">
        <v>438</v>
      </c>
      <c r="B407">
        <f>Earnings!B407</f>
        <v>707820.29999999993</v>
      </c>
      <c r="C407">
        <f t="shared" si="12"/>
        <v>54064.05999999999</v>
      </c>
      <c r="D407">
        <f t="shared" si="13"/>
        <v>4505.3383333333322</v>
      </c>
    </row>
    <row r="408" spans="1:4" x14ac:dyDescent="0.35">
      <c r="A408" t="s">
        <v>439</v>
      </c>
      <c r="B408">
        <f>Earnings!B408</f>
        <v>1217981</v>
      </c>
      <c r="C408">
        <f t="shared" si="12"/>
        <v>177894.3</v>
      </c>
      <c r="D408">
        <f t="shared" si="13"/>
        <v>14824.525</v>
      </c>
    </row>
    <row r="409" spans="1:4" x14ac:dyDescent="0.35">
      <c r="A409" t="s">
        <v>440</v>
      </c>
      <c r="B409">
        <f>Earnings!B409</f>
        <v>796367</v>
      </c>
      <c r="C409">
        <f t="shared" si="12"/>
        <v>71773.399999999994</v>
      </c>
      <c r="D409">
        <f t="shared" si="13"/>
        <v>5981.1166666666659</v>
      </c>
    </row>
    <row r="410" spans="1:4" x14ac:dyDescent="0.35">
      <c r="A410" t="s">
        <v>441</v>
      </c>
      <c r="B410">
        <f>Earnings!B410</f>
        <v>848604</v>
      </c>
      <c r="C410">
        <f t="shared" si="12"/>
        <v>82220.800000000003</v>
      </c>
      <c r="D410">
        <f t="shared" si="13"/>
        <v>6851.7333333333336</v>
      </c>
    </row>
    <row r="411" spans="1:4" x14ac:dyDescent="0.35">
      <c r="A411" t="s">
        <v>442</v>
      </c>
      <c r="B411">
        <f>Earnings!B411</f>
        <v>974300.04999999993</v>
      </c>
      <c r="C411">
        <f t="shared" si="12"/>
        <v>107360.01</v>
      </c>
      <c r="D411">
        <f t="shared" si="13"/>
        <v>8946.6674999999996</v>
      </c>
    </row>
    <row r="412" spans="1:4" x14ac:dyDescent="0.35">
      <c r="A412" t="s">
        <v>443</v>
      </c>
      <c r="B412">
        <f>Earnings!B412</f>
        <v>615795.69999999995</v>
      </c>
      <c r="C412">
        <f t="shared" si="12"/>
        <v>35659.139999999992</v>
      </c>
      <c r="D412">
        <f t="shared" si="13"/>
        <v>2971.5949999999993</v>
      </c>
    </row>
    <row r="413" spans="1:4" x14ac:dyDescent="0.35">
      <c r="A413" t="s">
        <v>444</v>
      </c>
      <c r="B413">
        <f>Earnings!B413</f>
        <v>1248401</v>
      </c>
      <c r="C413">
        <f t="shared" si="12"/>
        <v>187020.3</v>
      </c>
      <c r="D413">
        <f t="shared" si="13"/>
        <v>15585.025</v>
      </c>
    </row>
    <row r="414" spans="1:4" x14ac:dyDescent="0.35">
      <c r="A414" t="s">
        <v>445</v>
      </c>
      <c r="B414">
        <f>Earnings!B414</f>
        <v>815084</v>
      </c>
      <c r="C414">
        <f t="shared" si="12"/>
        <v>75516.800000000003</v>
      </c>
      <c r="D414">
        <f t="shared" si="13"/>
        <v>6293.0666666666666</v>
      </c>
    </row>
    <row r="415" spans="1:4" x14ac:dyDescent="0.35">
      <c r="A415" t="s">
        <v>446</v>
      </c>
      <c r="B415">
        <f>Earnings!B415</f>
        <v>922017</v>
      </c>
      <c r="C415">
        <f t="shared" si="12"/>
        <v>96903.400000000009</v>
      </c>
      <c r="D415">
        <f t="shared" si="13"/>
        <v>8075.2833333333338</v>
      </c>
    </row>
    <row r="416" spans="1:4" x14ac:dyDescent="0.35">
      <c r="A416" t="s">
        <v>447</v>
      </c>
      <c r="B416">
        <f>Earnings!B416</f>
        <v>794185.75</v>
      </c>
      <c r="C416">
        <f t="shared" si="12"/>
        <v>71337.149999999994</v>
      </c>
      <c r="D416">
        <f t="shared" si="13"/>
        <v>5944.7624999999998</v>
      </c>
    </row>
    <row r="417" spans="1:4" x14ac:dyDescent="0.35">
      <c r="A417" t="s">
        <v>448</v>
      </c>
      <c r="B417">
        <f>Earnings!B417</f>
        <v>1015454.05</v>
      </c>
      <c r="C417">
        <f t="shared" si="12"/>
        <v>117136.21500000001</v>
      </c>
      <c r="D417">
        <f t="shared" si="13"/>
        <v>9761.3512500000015</v>
      </c>
    </row>
    <row r="418" spans="1:4" x14ac:dyDescent="0.35">
      <c r="A418" t="s">
        <v>449</v>
      </c>
      <c r="B418">
        <f>Earnings!B418</f>
        <v>812676</v>
      </c>
      <c r="C418">
        <f t="shared" si="12"/>
        <v>75035.200000000012</v>
      </c>
      <c r="D418">
        <f t="shared" si="13"/>
        <v>6252.9333333333343</v>
      </c>
    </row>
    <row r="419" spans="1:4" x14ac:dyDescent="0.35">
      <c r="A419" t="s">
        <v>450</v>
      </c>
      <c r="B419">
        <f>Earnings!B419</f>
        <v>563274</v>
      </c>
      <c r="C419">
        <f t="shared" si="12"/>
        <v>25154.800000000003</v>
      </c>
      <c r="D419">
        <f t="shared" si="13"/>
        <v>2096.2333333333336</v>
      </c>
    </row>
    <row r="420" spans="1:4" x14ac:dyDescent="0.35">
      <c r="A420" t="s">
        <v>451</v>
      </c>
      <c r="B420">
        <f>Earnings!B420</f>
        <v>1326722</v>
      </c>
      <c r="C420">
        <f t="shared" si="12"/>
        <v>210516.59999999998</v>
      </c>
      <c r="D420">
        <f t="shared" si="13"/>
        <v>17543.05</v>
      </c>
    </row>
    <row r="421" spans="1:4" x14ac:dyDescent="0.35">
      <c r="A421" t="s">
        <v>452</v>
      </c>
      <c r="B421">
        <f>Earnings!B421</f>
        <v>713552.6</v>
      </c>
      <c r="C421">
        <f t="shared" si="12"/>
        <v>55210.52</v>
      </c>
      <c r="D421">
        <f t="shared" si="13"/>
        <v>4600.8766666666661</v>
      </c>
    </row>
    <row r="422" spans="1:4" x14ac:dyDescent="0.35">
      <c r="A422" t="s">
        <v>453</v>
      </c>
      <c r="B422">
        <f>Earnings!B422</f>
        <v>848067</v>
      </c>
      <c r="C422">
        <f t="shared" si="12"/>
        <v>82113.400000000009</v>
      </c>
      <c r="D422">
        <f t="shared" si="13"/>
        <v>6842.7833333333338</v>
      </c>
    </row>
    <row r="423" spans="1:4" x14ac:dyDescent="0.35">
      <c r="A423" t="s">
        <v>454</v>
      </c>
      <c r="B423">
        <f>Earnings!B423</f>
        <v>756671.2</v>
      </c>
      <c r="C423">
        <f t="shared" si="12"/>
        <v>63834.239999999991</v>
      </c>
      <c r="D423">
        <f t="shared" si="13"/>
        <v>5319.5199999999995</v>
      </c>
    </row>
    <row r="424" spans="1:4" x14ac:dyDescent="0.35">
      <c r="A424" t="s">
        <v>455</v>
      </c>
      <c r="B424">
        <f>Earnings!B424</f>
        <v>1213063.55</v>
      </c>
      <c r="C424">
        <f t="shared" si="12"/>
        <v>176419.065</v>
      </c>
      <c r="D424">
        <f t="shared" si="13"/>
        <v>14701.588750000001</v>
      </c>
    </row>
    <row r="425" spans="1:4" x14ac:dyDescent="0.35">
      <c r="A425" t="s">
        <v>456</v>
      </c>
      <c r="B425">
        <f>Earnings!B425</f>
        <v>340206.4</v>
      </c>
      <c r="C425">
        <f t="shared" si="12"/>
        <v>4510.3200000000015</v>
      </c>
      <c r="D425">
        <f t="shared" si="13"/>
        <v>375.86000000000013</v>
      </c>
    </row>
    <row r="426" spans="1:4" x14ac:dyDescent="0.35">
      <c r="A426" t="s">
        <v>457</v>
      </c>
      <c r="B426">
        <f>Earnings!B426</f>
        <v>1334200.8999999999</v>
      </c>
      <c r="C426">
        <f t="shared" si="12"/>
        <v>212760.26999999996</v>
      </c>
      <c r="D426">
        <f t="shared" si="13"/>
        <v>17730.022499999995</v>
      </c>
    </row>
    <row r="427" spans="1:4" x14ac:dyDescent="0.35">
      <c r="A427" t="s">
        <v>458</v>
      </c>
      <c r="B427">
        <f>Earnings!B427</f>
        <v>778466.1</v>
      </c>
      <c r="C427">
        <f t="shared" si="12"/>
        <v>68193.22</v>
      </c>
      <c r="D427">
        <f t="shared" si="13"/>
        <v>5682.7683333333334</v>
      </c>
    </row>
    <row r="428" spans="1:4" x14ac:dyDescent="0.35">
      <c r="A428" t="s">
        <v>459</v>
      </c>
      <c r="B428">
        <f>Earnings!B428</f>
        <v>869651.85</v>
      </c>
      <c r="C428">
        <f t="shared" si="12"/>
        <v>86430.37</v>
      </c>
      <c r="D428">
        <f t="shared" si="13"/>
        <v>7202.5308333333332</v>
      </c>
    </row>
    <row r="429" spans="1:4" x14ac:dyDescent="0.35">
      <c r="A429" t="s">
        <v>460</v>
      </c>
      <c r="B429">
        <f>Earnings!B429</f>
        <v>766678</v>
      </c>
      <c r="C429">
        <f t="shared" si="12"/>
        <v>65835.600000000006</v>
      </c>
      <c r="D429">
        <f t="shared" si="13"/>
        <v>5486.3</v>
      </c>
    </row>
    <row r="430" spans="1:4" x14ac:dyDescent="0.35">
      <c r="A430" t="s">
        <v>461</v>
      </c>
      <c r="B430">
        <f>Earnings!B430</f>
        <v>817518.7</v>
      </c>
      <c r="C430">
        <f t="shared" si="12"/>
        <v>76003.739999999991</v>
      </c>
      <c r="D430">
        <f t="shared" si="13"/>
        <v>6333.6449999999995</v>
      </c>
    </row>
    <row r="431" spans="1:4" x14ac:dyDescent="0.35">
      <c r="A431" t="s">
        <v>462</v>
      </c>
      <c r="B431">
        <f>Earnings!B431</f>
        <v>753625.5</v>
      </c>
      <c r="C431">
        <f t="shared" si="12"/>
        <v>63225.100000000006</v>
      </c>
      <c r="D431">
        <f t="shared" si="13"/>
        <v>5268.7583333333341</v>
      </c>
    </row>
    <row r="432" spans="1:4" x14ac:dyDescent="0.35">
      <c r="A432" t="s">
        <v>463</v>
      </c>
      <c r="B432">
        <f>Earnings!B432</f>
        <v>386768.75</v>
      </c>
      <c r="C432">
        <f t="shared" si="12"/>
        <v>6838.4375</v>
      </c>
      <c r="D432">
        <f t="shared" si="13"/>
        <v>569.86979166666663</v>
      </c>
    </row>
    <row r="433" spans="1:4" x14ac:dyDescent="0.35">
      <c r="A433" t="s">
        <v>464</v>
      </c>
      <c r="B433">
        <f>Earnings!B433</f>
        <v>926744</v>
      </c>
      <c r="C433">
        <f t="shared" si="12"/>
        <v>97848.8</v>
      </c>
      <c r="D433">
        <f t="shared" si="13"/>
        <v>8154.0666666666666</v>
      </c>
    </row>
    <row r="434" spans="1:4" x14ac:dyDescent="0.35">
      <c r="A434" t="s">
        <v>465</v>
      </c>
      <c r="B434">
        <f>Earnings!B434</f>
        <v>865854</v>
      </c>
      <c r="C434">
        <f t="shared" si="12"/>
        <v>85670.8</v>
      </c>
      <c r="D434">
        <f t="shared" si="13"/>
        <v>7139.2333333333336</v>
      </c>
    </row>
    <row r="435" spans="1:4" x14ac:dyDescent="0.35">
      <c r="A435" t="s">
        <v>466</v>
      </c>
      <c r="B435">
        <f>Earnings!B435</f>
        <v>895022.54999999993</v>
      </c>
      <c r="C435">
        <f t="shared" si="12"/>
        <v>91504.51</v>
      </c>
      <c r="D435">
        <f t="shared" si="13"/>
        <v>7625.3758333333326</v>
      </c>
    </row>
    <row r="436" spans="1:4" x14ac:dyDescent="0.35">
      <c r="A436" t="s">
        <v>467</v>
      </c>
      <c r="B436">
        <f>Earnings!B436</f>
        <v>952669</v>
      </c>
      <c r="C436">
        <f t="shared" si="12"/>
        <v>103033.8</v>
      </c>
      <c r="D436">
        <f t="shared" si="13"/>
        <v>8586.15</v>
      </c>
    </row>
    <row r="437" spans="1:4" x14ac:dyDescent="0.35">
      <c r="A437" t="s">
        <v>468</v>
      </c>
      <c r="B437">
        <f>Earnings!B437</f>
        <v>770262</v>
      </c>
      <c r="C437">
        <f t="shared" si="12"/>
        <v>66552.399999999994</v>
      </c>
      <c r="D437">
        <f t="shared" si="13"/>
        <v>5546.0333333333328</v>
      </c>
    </row>
    <row r="438" spans="1:4" x14ac:dyDescent="0.35">
      <c r="A438" t="s">
        <v>469</v>
      </c>
      <c r="B438">
        <f>Earnings!B438</f>
        <v>535122</v>
      </c>
      <c r="C438">
        <f t="shared" si="12"/>
        <v>19524.400000000001</v>
      </c>
      <c r="D438">
        <f t="shared" si="13"/>
        <v>1627.0333333333335</v>
      </c>
    </row>
    <row r="439" spans="1:4" x14ac:dyDescent="0.35">
      <c r="A439" t="s">
        <v>470</v>
      </c>
      <c r="B439">
        <f>Earnings!B439</f>
        <v>1027681.5</v>
      </c>
      <c r="C439">
        <f t="shared" si="12"/>
        <v>120804.45</v>
      </c>
      <c r="D439">
        <f t="shared" si="13"/>
        <v>10067.0375</v>
      </c>
    </row>
    <row r="440" spans="1:4" x14ac:dyDescent="0.35">
      <c r="A440" t="s">
        <v>471</v>
      </c>
      <c r="B440">
        <f>Earnings!B440</f>
        <v>712995.9</v>
      </c>
      <c r="C440">
        <f t="shared" si="12"/>
        <v>55099.180000000008</v>
      </c>
      <c r="D440">
        <f t="shared" si="13"/>
        <v>4591.5983333333343</v>
      </c>
    </row>
    <row r="441" spans="1:4" x14ac:dyDescent="0.35">
      <c r="A441" t="s">
        <v>472</v>
      </c>
      <c r="B441">
        <f>Earnings!B441</f>
        <v>628484</v>
      </c>
      <c r="C441">
        <f t="shared" si="12"/>
        <v>38196.800000000003</v>
      </c>
      <c r="D441">
        <f t="shared" si="13"/>
        <v>3183.0666666666671</v>
      </c>
    </row>
    <row r="442" spans="1:4" x14ac:dyDescent="0.35">
      <c r="A442" t="s">
        <v>473</v>
      </c>
      <c r="B442">
        <f>Earnings!B442</f>
        <v>502832</v>
      </c>
      <c r="C442">
        <f t="shared" si="12"/>
        <v>13066.4</v>
      </c>
      <c r="D442">
        <f t="shared" si="13"/>
        <v>1088.8666666666666</v>
      </c>
    </row>
    <row r="443" spans="1:4" x14ac:dyDescent="0.35">
      <c r="A443" t="s">
        <v>474</v>
      </c>
      <c r="B443">
        <f>Earnings!B443</f>
        <v>1300004</v>
      </c>
      <c r="C443">
        <f t="shared" si="12"/>
        <v>202501.2</v>
      </c>
      <c r="D443">
        <f t="shared" si="13"/>
        <v>16875.100000000002</v>
      </c>
    </row>
    <row r="444" spans="1:4" x14ac:dyDescent="0.35">
      <c r="A444" t="s">
        <v>475</v>
      </c>
      <c r="B444">
        <f>Earnings!B444</f>
        <v>1347680</v>
      </c>
      <c r="C444">
        <f t="shared" si="12"/>
        <v>216804</v>
      </c>
      <c r="D444">
        <f t="shared" si="13"/>
        <v>18067</v>
      </c>
    </row>
    <row r="445" spans="1:4" x14ac:dyDescent="0.35">
      <c r="A445" t="s">
        <v>476</v>
      </c>
      <c r="B445">
        <f>Earnings!B445</f>
        <v>788908.5</v>
      </c>
      <c r="C445">
        <f t="shared" si="12"/>
        <v>70281.700000000012</v>
      </c>
      <c r="D445">
        <f t="shared" si="13"/>
        <v>5856.8083333333343</v>
      </c>
    </row>
    <row r="446" spans="1:4" x14ac:dyDescent="0.35">
      <c r="A446" t="s">
        <v>477</v>
      </c>
      <c r="B446">
        <f>Earnings!B446</f>
        <v>966449.25</v>
      </c>
      <c r="C446">
        <f t="shared" si="12"/>
        <v>105789.85</v>
      </c>
      <c r="D446">
        <f t="shared" si="13"/>
        <v>8815.8208333333332</v>
      </c>
    </row>
    <row r="447" spans="1:4" x14ac:dyDescent="0.35">
      <c r="A447" t="s">
        <v>478</v>
      </c>
      <c r="B447">
        <f>Earnings!B447</f>
        <v>1284990.8999999999</v>
      </c>
      <c r="C447">
        <f t="shared" si="12"/>
        <v>197997.26999999996</v>
      </c>
      <c r="D447">
        <f t="shared" si="13"/>
        <v>16499.772499999995</v>
      </c>
    </row>
    <row r="448" spans="1:4" x14ac:dyDescent="0.35">
      <c r="A448" t="s">
        <v>479</v>
      </c>
      <c r="B448">
        <f>Earnings!B448</f>
        <v>891085.75</v>
      </c>
      <c r="C448">
        <f t="shared" si="12"/>
        <v>90717.150000000009</v>
      </c>
      <c r="D448">
        <f t="shared" si="13"/>
        <v>7559.7625000000007</v>
      </c>
    </row>
    <row r="449" spans="1:4" x14ac:dyDescent="0.35">
      <c r="A449" t="s">
        <v>480</v>
      </c>
      <c r="B449">
        <f>Earnings!B449</f>
        <v>1177257</v>
      </c>
      <c r="C449">
        <f t="shared" si="12"/>
        <v>165677.1</v>
      </c>
      <c r="D449">
        <f t="shared" si="13"/>
        <v>13806.425000000001</v>
      </c>
    </row>
    <row r="450" spans="1:4" x14ac:dyDescent="0.35">
      <c r="A450" t="s">
        <v>481</v>
      </c>
      <c r="B450">
        <f>Earnings!B450</f>
        <v>802493</v>
      </c>
      <c r="C450">
        <f t="shared" ref="C450:C513" si="14">IF(B450&lt;=250000,0,IF(B450&lt;=500000,(B450-250000)*0.05,IF(B450&lt;=1000000,12500+(B450-500000)*0.2,112500+(B450-1000000)*0.3)))</f>
        <v>72998.600000000006</v>
      </c>
      <c r="D450">
        <f t="shared" ref="D450:D513" si="15">C450/12</f>
        <v>6083.2166666666672</v>
      </c>
    </row>
    <row r="451" spans="1:4" x14ac:dyDescent="0.35">
      <c r="A451" t="s">
        <v>482</v>
      </c>
      <c r="B451">
        <f>Earnings!B451</f>
        <v>597699.15</v>
      </c>
      <c r="C451">
        <f t="shared" si="14"/>
        <v>32039.830000000005</v>
      </c>
      <c r="D451">
        <f t="shared" si="15"/>
        <v>2669.9858333333336</v>
      </c>
    </row>
    <row r="452" spans="1:4" x14ac:dyDescent="0.35">
      <c r="A452" t="s">
        <v>483</v>
      </c>
      <c r="B452">
        <f>Earnings!B452</f>
        <v>1041219</v>
      </c>
      <c r="C452">
        <f t="shared" si="14"/>
        <v>124865.7</v>
      </c>
      <c r="D452">
        <f t="shared" si="15"/>
        <v>10405.475</v>
      </c>
    </row>
    <row r="453" spans="1:4" x14ac:dyDescent="0.35">
      <c r="A453" t="s">
        <v>484</v>
      </c>
      <c r="B453">
        <f>Earnings!B453</f>
        <v>1524351</v>
      </c>
      <c r="C453">
        <f t="shared" si="14"/>
        <v>269805.3</v>
      </c>
      <c r="D453">
        <f t="shared" si="15"/>
        <v>22483.774999999998</v>
      </c>
    </row>
    <row r="454" spans="1:4" x14ac:dyDescent="0.35">
      <c r="A454" t="s">
        <v>485</v>
      </c>
      <c r="B454">
        <f>Earnings!B454</f>
        <v>977984.14999999991</v>
      </c>
      <c r="C454">
        <f t="shared" si="14"/>
        <v>108096.82999999999</v>
      </c>
      <c r="D454">
        <f t="shared" si="15"/>
        <v>9008.0691666666662</v>
      </c>
    </row>
    <row r="455" spans="1:4" x14ac:dyDescent="0.35">
      <c r="A455" t="s">
        <v>486</v>
      </c>
      <c r="B455">
        <f>Earnings!B455</f>
        <v>615320.69999999995</v>
      </c>
      <c r="C455">
        <f t="shared" si="14"/>
        <v>35564.139999999992</v>
      </c>
      <c r="D455">
        <f t="shared" si="15"/>
        <v>2963.6783333333328</v>
      </c>
    </row>
    <row r="456" spans="1:4" x14ac:dyDescent="0.35">
      <c r="A456" t="s">
        <v>487</v>
      </c>
      <c r="B456">
        <f>Earnings!B456</f>
        <v>299763</v>
      </c>
      <c r="C456">
        <f t="shared" si="14"/>
        <v>2488.15</v>
      </c>
      <c r="D456">
        <f t="shared" si="15"/>
        <v>207.34583333333333</v>
      </c>
    </row>
    <row r="457" spans="1:4" x14ac:dyDescent="0.35">
      <c r="A457" t="s">
        <v>488</v>
      </c>
      <c r="B457">
        <f>Earnings!B457</f>
        <v>668114</v>
      </c>
      <c r="C457">
        <f t="shared" si="14"/>
        <v>46122.8</v>
      </c>
      <c r="D457">
        <f t="shared" si="15"/>
        <v>3843.5666666666671</v>
      </c>
    </row>
    <row r="458" spans="1:4" x14ac:dyDescent="0.35">
      <c r="A458" t="s">
        <v>489</v>
      </c>
      <c r="B458">
        <f>Earnings!B458</f>
        <v>877008.64999999991</v>
      </c>
      <c r="C458">
        <f t="shared" si="14"/>
        <v>87901.729999999981</v>
      </c>
      <c r="D458">
        <f t="shared" si="15"/>
        <v>7325.1441666666651</v>
      </c>
    </row>
    <row r="459" spans="1:4" x14ac:dyDescent="0.35">
      <c r="A459" t="s">
        <v>490</v>
      </c>
      <c r="B459">
        <f>Earnings!B459</f>
        <v>455674</v>
      </c>
      <c r="C459">
        <f t="shared" si="14"/>
        <v>10283.700000000001</v>
      </c>
      <c r="D459">
        <f t="shared" si="15"/>
        <v>856.97500000000002</v>
      </c>
    </row>
    <row r="460" spans="1:4" x14ac:dyDescent="0.35">
      <c r="A460" t="s">
        <v>491</v>
      </c>
      <c r="B460">
        <f>Earnings!B460</f>
        <v>614133</v>
      </c>
      <c r="C460">
        <f t="shared" si="14"/>
        <v>35326.600000000006</v>
      </c>
      <c r="D460">
        <f t="shared" si="15"/>
        <v>2943.8833333333337</v>
      </c>
    </row>
    <row r="461" spans="1:4" x14ac:dyDescent="0.35">
      <c r="A461" t="s">
        <v>492</v>
      </c>
      <c r="B461">
        <f>Earnings!B461</f>
        <v>837101.04999999993</v>
      </c>
      <c r="C461">
        <f t="shared" si="14"/>
        <v>79920.209999999992</v>
      </c>
      <c r="D461">
        <f t="shared" si="15"/>
        <v>6660.017499999999</v>
      </c>
    </row>
    <row r="462" spans="1:4" x14ac:dyDescent="0.35">
      <c r="A462" t="s">
        <v>493</v>
      </c>
      <c r="B462">
        <f>Earnings!B462</f>
        <v>496593.5</v>
      </c>
      <c r="C462">
        <f t="shared" si="14"/>
        <v>12329.675000000001</v>
      </c>
      <c r="D462">
        <f t="shared" si="15"/>
        <v>1027.4729166666668</v>
      </c>
    </row>
    <row r="463" spans="1:4" x14ac:dyDescent="0.35">
      <c r="A463" t="s">
        <v>494</v>
      </c>
      <c r="B463">
        <f>Earnings!B463</f>
        <v>988685.89999999991</v>
      </c>
      <c r="C463">
        <f t="shared" si="14"/>
        <v>110237.18</v>
      </c>
      <c r="D463">
        <f t="shared" si="15"/>
        <v>9186.4316666666655</v>
      </c>
    </row>
    <row r="464" spans="1:4" x14ac:dyDescent="0.35">
      <c r="A464" t="s">
        <v>495</v>
      </c>
      <c r="B464">
        <f>Earnings!B464</f>
        <v>1318553.45</v>
      </c>
      <c r="C464">
        <f t="shared" si="14"/>
        <v>208066.03499999997</v>
      </c>
      <c r="D464">
        <f t="shared" si="15"/>
        <v>17338.836249999997</v>
      </c>
    </row>
    <row r="465" spans="1:4" x14ac:dyDescent="0.35">
      <c r="A465" t="s">
        <v>496</v>
      </c>
      <c r="B465">
        <f>Earnings!B465</f>
        <v>896525.45</v>
      </c>
      <c r="C465">
        <f t="shared" si="14"/>
        <v>91805.09</v>
      </c>
      <c r="D465">
        <f t="shared" si="15"/>
        <v>7650.4241666666667</v>
      </c>
    </row>
    <row r="466" spans="1:4" x14ac:dyDescent="0.35">
      <c r="A466" t="s">
        <v>497</v>
      </c>
      <c r="B466">
        <f>Earnings!B466</f>
        <v>793025</v>
      </c>
      <c r="C466">
        <f t="shared" si="14"/>
        <v>71105</v>
      </c>
      <c r="D466">
        <f t="shared" si="15"/>
        <v>5925.416666666667</v>
      </c>
    </row>
    <row r="467" spans="1:4" x14ac:dyDescent="0.35">
      <c r="A467" t="s">
        <v>498</v>
      </c>
      <c r="B467">
        <f>Earnings!B467</f>
        <v>1098124.95</v>
      </c>
      <c r="C467">
        <f t="shared" si="14"/>
        <v>141937.48499999999</v>
      </c>
      <c r="D467">
        <f t="shared" si="15"/>
        <v>11828.123749999999</v>
      </c>
    </row>
    <row r="468" spans="1:4" x14ac:dyDescent="0.35">
      <c r="A468" t="s">
        <v>499</v>
      </c>
      <c r="B468">
        <f>Earnings!B468</f>
        <v>904098.85</v>
      </c>
      <c r="C468">
        <f t="shared" si="14"/>
        <v>93319.77</v>
      </c>
      <c r="D468">
        <f t="shared" si="15"/>
        <v>7776.6475</v>
      </c>
    </row>
    <row r="469" spans="1:4" x14ac:dyDescent="0.35">
      <c r="A469" t="s">
        <v>500</v>
      </c>
      <c r="B469">
        <f>Earnings!B469</f>
        <v>1104975</v>
      </c>
      <c r="C469">
        <f t="shared" si="14"/>
        <v>143992.5</v>
      </c>
      <c r="D469">
        <f t="shared" si="15"/>
        <v>11999.375</v>
      </c>
    </row>
    <row r="470" spans="1:4" x14ac:dyDescent="0.35">
      <c r="A470" t="s">
        <v>501</v>
      </c>
      <c r="B470">
        <f>Earnings!B470</f>
        <v>773175.54999999993</v>
      </c>
      <c r="C470">
        <f t="shared" si="14"/>
        <v>67135.109999999986</v>
      </c>
      <c r="D470">
        <f t="shared" si="15"/>
        <v>5594.5924999999988</v>
      </c>
    </row>
    <row r="471" spans="1:4" x14ac:dyDescent="0.35">
      <c r="A471" t="s">
        <v>502</v>
      </c>
      <c r="B471">
        <f>Earnings!B471</f>
        <v>756323.5</v>
      </c>
      <c r="C471">
        <f t="shared" si="14"/>
        <v>63764.700000000004</v>
      </c>
      <c r="D471">
        <f t="shared" si="15"/>
        <v>5313.7250000000004</v>
      </c>
    </row>
    <row r="472" spans="1:4" x14ac:dyDescent="0.35">
      <c r="A472" t="s">
        <v>503</v>
      </c>
      <c r="B472">
        <f>Earnings!B472</f>
        <v>388297.3</v>
      </c>
      <c r="C472">
        <f t="shared" si="14"/>
        <v>6914.8649999999998</v>
      </c>
      <c r="D472">
        <f t="shared" si="15"/>
        <v>576.23874999999998</v>
      </c>
    </row>
    <row r="473" spans="1:4" x14ac:dyDescent="0.35">
      <c r="A473" t="s">
        <v>504</v>
      </c>
      <c r="B473">
        <f>Earnings!B473</f>
        <v>711433</v>
      </c>
      <c r="C473">
        <f t="shared" si="14"/>
        <v>54786.600000000006</v>
      </c>
      <c r="D473">
        <f t="shared" si="15"/>
        <v>4565.55</v>
      </c>
    </row>
    <row r="474" spans="1:4" x14ac:dyDescent="0.35">
      <c r="A474" t="s">
        <v>505</v>
      </c>
      <c r="B474">
        <f>Earnings!B474</f>
        <v>1294175</v>
      </c>
      <c r="C474">
        <f t="shared" si="14"/>
        <v>200752.5</v>
      </c>
      <c r="D474">
        <f t="shared" si="15"/>
        <v>16729.375</v>
      </c>
    </row>
    <row r="475" spans="1:4" x14ac:dyDescent="0.35">
      <c r="A475" t="s">
        <v>506</v>
      </c>
      <c r="B475">
        <f>Earnings!B475</f>
        <v>903616</v>
      </c>
      <c r="C475">
        <f t="shared" si="14"/>
        <v>93223.200000000012</v>
      </c>
      <c r="D475">
        <f t="shared" si="15"/>
        <v>7768.6000000000013</v>
      </c>
    </row>
    <row r="476" spans="1:4" x14ac:dyDescent="0.35">
      <c r="A476" t="s">
        <v>507</v>
      </c>
      <c r="B476">
        <f>Earnings!B476</f>
        <v>1180294.25</v>
      </c>
      <c r="C476">
        <f t="shared" si="14"/>
        <v>166588.27499999999</v>
      </c>
      <c r="D476">
        <f t="shared" si="15"/>
        <v>13882.356249999999</v>
      </c>
    </row>
    <row r="477" spans="1:4" x14ac:dyDescent="0.35">
      <c r="A477" t="s">
        <v>508</v>
      </c>
      <c r="B477">
        <f>Earnings!B477</f>
        <v>1110718</v>
      </c>
      <c r="C477">
        <f t="shared" si="14"/>
        <v>145715.4</v>
      </c>
      <c r="D477">
        <f t="shared" si="15"/>
        <v>12142.949999999999</v>
      </c>
    </row>
    <row r="478" spans="1:4" x14ac:dyDescent="0.35">
      <c r="A478" t="s">
        <v>509</v>
      </c>
      <c r="B478">
        <f>Earnings!B478</f>
        <v>573739.19999999995</v>
      </c>
      <c r="C478">
        <f t="shared" si="14"/>
        <v>27247.839999999989</v>
      </c>
      <c r="D478">
        <f t="shared" si="15"/>
        <v>2270.6533333333323</v>
      </c>
    </row>
    <row r="479" spans="1:4" x14ac:dyDescent="0.35">
      <c r="A479" t="s">
        <v>510</v>
      </c>
      <c r="B479">
        <f>Earnings!B479</f>
        <v>995582.89999999991</v>
      </c>
      <c r="C479">
        <f t="shared" si="14"/>
        <v>111616.57999999999</v>
      </c>
      <c r="D479">
        <f t="shared" si="15"/>
        <v>9301.3816666666662</v>
      </c>
    </row>
    <row r="480" spans="1:4" x14ac:dyDescent="0.35">
      <c r="A480" t="s">
        <v>511</v>
      </c>
      <c r="B480">
        <f>Earnings!B480</f>
        <v>821821.25</v>
      </c>
      <c r="C480">
        <f t="shared" si="14"/>
        <v>76864.25</v>
      </c>
      <c r="D480">
        <f t="shared" si="15"/>
        <v>6405.354166666667</v>
      </c>
    </row>
    <row r="481" spans="1:4" x14ac:dyDescent="0.35">
      <c r="A481" t="s">
        <v>512</v>
      </c>
      <c r="B481">
        <f>Earnings!B481</f>
        <v>946644</v>
      </c>
      <c r="C481">
        <f t="shared" si="14"/>
        <v>101828.8</v>
      </c>
      <c r="D481">
        <f t="shared" si="15"/>
        <v>8485.7333333333336</v>
      </c>
    </row>
    <row r="482" spans="1:4" x14ac:dyDescent="0.35">
      <c r="A482" t="s">
        <v>513</v>
      </c>
      <c r="B482">
        <f>Earnings!B482</f>
        <v>538034.4</v>
      </c>
      <c r="C482">
        <f t="shared" si="14"/>
        <v>20106.880000000005</v>
      </c>
      <c r="D482">
        <f t="shared" si="15"/>
        <v>1675.5733333333337</v>
      </c>
    </row>
    <row r="483" spans="1:4" x14ac:dyDescent="0.35">
      <c r="A483" t="s">
        <v>514</v>
      </c>
      <c r="B483">
        <f>Earnings!B483</f>
        <v>1253862</v>
      </c>
      <c r="C483">
        <f t="shared" si="14"/>
        <v>188658.59999999998</v>
      </c>
      <c r="D483">
        <f t="shared" si="15"/>
        <v>15721.549999999997</v>
      </c>
    </row>
    <row r="484" spans="1:4" x14ac:dyDescent="0.35">
      <c r="A484" t="s">
        <v>515</v>
      </c>
      <c r="B484">
        <f>Earnings!B484</f>
        <v>1184330.8</v>
      </c>
      <c r="C484">
        <f t="shared" si="14"/>
        <v>167799.24000000002</v>
      </c>
      <c r="D484">
        <f t="shared" si="15"/>
        <v>13983.270000000002</v>
      </c>
    </row>
    <row r="485" spans="1:4" x14ac:dyDescent="0.35">
      <c r="A485" t="s">
        <v>516</v>
      </c>
      <c r="B485">
        <f>Earnings!B485</f>
        <v>532790.4</v>
      </c>
      <c r="C485">
        <f t="shared" si="14"/>
        <v>19058.080000000005</v>
      </c>
      <c r="D485">
        <f t="shared" si="15"/>
        <v>1588.1733333333339</v>
      </c>
    </row>
    <row r="486" spans="1:4" x14ac:dyDescent="0.35">
      <c r="A486" t="s">
        <v>517</v>
      </c>
      <c r="B486">
        <f>Earnings!B486</f>
        <v>1093196</v>
      </c>
      <c r="C486">
        <f t="shared" si="14"/>
        <v>140458.79999999999</v>
      </c>
      <c r="D486">
        <f t="shared" si="15"/>
        <v>11704.9</v>
      </c>
    </row>
    <row r="487" spans="1:4" x14ac:dyDescent="0.35">
      <c r="A487" t="s">
        <v>518</v>
      </c>
      <c r="B487">
        <f>Earnings!B487</f>
        <v>1410597.05</v>
      </c>
      <c r="C487">
        <f t="shared" si="14"/>
        <v>235679.11499999999</v>
      </c>
      <c r="D487">
        <f t="shared" si="15"/>
        <v>19639.92625</v>
      </c>
    </row>
    <row r="488" spans="1:4" x14ac:dyDescent="0.35">
      <c r="A488" t="s">
        <v>519</v>
      </c>
      <c r="B488">
        <f>Earnings!B488</f>
        <v>349352</v>
      </c>
      <c r="C488">
        <f t="shared" si="14"/>
        <v>4967.6000000000004</v>
      </c>
      <c r="D488">
        <f t="shared" si="15"/>
        <v>413.9666666666667</v>
      </c>
    </row>
    <row r="489" spans="1:4" x14ac:dyDescent="0.35">
      <c r="A489" t="s">
        <v>520</v>
      </c>
      <c r="B489">
        <f>Earnings!B489</f>
        <v>809392.39999999991</v>
      </c>
      <c r="C489">
        <f t="shared" si="14"/>
        <v>74378.479999999981</v>
      </c>
      <c r="D489">
        <f t="shared" si="15"/>
        <v>6198.2066666666651</v>
      </c>
    </row>
    <row r="490" spans="1:4" x14ac:dyDescent="0.35">
      <c r="A490" t="s">
        <v>521</v>
      </c>
      <c r="B490">
        <f>Earnings!B490</f>
        <v>575366.54999999993</v>
      </c>
      <c r="C490">
        <f t="shared" si="14"/>
        <v>27573.309999999987</v>
      </c>
      <c r="D490">
        <f t="shared" si="15"/>
        <v>2297.7758333333322</v>
      </c>
    </row>
    <row r="491" spans="1:4" x14ac:dyDescent="0.35">
      <c r="A491" t="s">
        <v>522</v>
      </c>
      <c r="B491">
        <f>Earnings!B491</f>
        <v>871584</v>
      </c>
      <c r="C491">
        <f t="shared" si="14"/>
        <v>86816.8</v>
      </c>
      <c r="D491">
        <f t="shared" si="15"/>
        <v>7234.7333333333336</v>
      </c>
    </row>
    <row r="492" spans="1:4" x14ac:dyDescent="0.35">
      <c r="A492" t="s">
        <v>523</v>
      </c>
      <c r="B492">
        <f>Earnings!B492</f>
        <v>1073565.55</v>
      </c>
      <c r="C492">
        <f t="shared" si="14"/>
        <v>134569.66500000001</v>
      </c>
      <c r="D492">
        <f t="shared" si="15"/>
        <v>11214.13875</v>
      </c>
    </row>
    <row r="493" spans="1:4" x14ac:dyDescent="0.35">
      <c r="A493" t="s">
        <v>524</v>
      </c>
      <c r="B493">
        <f>Earnings!B493</f>
        <v>887109</v>
      </c>
      <c r="C493">
        <f t="shared" si="14"/>
        <v>89921.8</v>
      </c>
      <c r="D493">
        <f t="shared" si="15"/>
        <v>7493.4833333333336</v>
      </c>
    </row>
    <row r="494" spans="1:4" x14ac:dyDescent="0.35">
      <c r="A494" t="s">
        <v>525</v>
      </c>
      <c r="B494">
        <f>Earnings!B494</f>
        <v>1020430.15</v>
      </c>
      <c r="C494">
        <f t="shared" si="14"/>
        <v>118629.04500000001</v>
      </c>
      <c r="D494">
        <f t="shared" si="15"/>
        <v>9885.7537500000017</v>
      </c>
    </row>
    <row r="495" spans="1:4" x14ac:dyDescent="0.35">
      <c r="A495" t="s">
        <v>526</v>
      </c>
      <c r="B495">
        <f>Earnings!B495</f>
        <v>612566</v>
      </c>
      <c r="C495">
        <f t="shared" si="14"/>
        <v>35013.199999999997</v>
      </c>
      <c r="D495">
        <f t="shared" si="15"/>
        <v>2917.7666666666664</v>
      </c>
    </row>
    <row r="496" spans="1:4" x14ac:dyDescent="0.35">
      <c r="A496" t="s">
        <v>527</v>
      </c>
      <c r="B496">
        <f>Earnings!B496</f>
        <v>722247.95</v>
      </c>
      <c r="C496">
        <f t="shared" si="14"/>
        <v>56949.59</v>
      </c>
      <c r="D496">
        <f t="shared" si="15"/>
        <v>4745.7991666666667</v>
      </c>
    </row>
    <row r="497" spans="1:4" x14ac:dyDescent="0.35">
      <c r="A497" t="s">
        <v>528</v>
      </c>
      <c r="B497">
        <f>Earnings!B497</f>
        <v>874695.39999999991</v>
      </c>
      <c r="C497">
        <f t="shared" si="14"/>
        <v>87439.079999999987</v>
      </c>
      <c r="D497">
        <f t="shared" si="15"/>
        <v>7286.5899999999992</v>
      </c>
    </row>
    <row r="498" spans="1:4" x14ac:dyDescent="0.35">
      <c r="A498" t="s">
        <v>529</v>
      </c>
      <c r="B498">
        <f>Earnings!B498</f>
        <v>932745</v>
      </c>
      <c r="C498">
        <f t="shared" si="14"/>
        <v>99049</v>
      </c>
      <c r="D498">
        <f t="shared" si="15"/>
        <v>8254.0833333333339</v>
      </c>
    </row>
    <row r="499" spans="1:4" x14ac:dyDescent="0.35">
      <c r="A499" t="s">
        <v>530</v>
      </c>
      <c r="B499">
        <f>Earnings!B499</f>
        <v>1108062.8999999999</v>
      </c>
      <c r="C499">
        <f t="shared" si="14"/>
        <v>144918.86999999997</v>
      </c>
      <c r="D499">
        <f t="shared" si="15"/>
        <v>12076.572499999997</v>
      </c>
    </row>
    <row r="500" spans="1:4" x14ac:dyDescent="0.35">
      <c r="A500" t="s">
        <v>531</v>
      </c>
      <c r="B500">
        <f>Earnings!B500</f>
        <v>969732</v>
      </c>
      <c r="C500">
        <f t="shared" si="14"/>
        <v>106446.40000000001</v>
      </c>
      <c r="D500">
        <f t="shared" si="15"/>
        <v>8870.5333333333347</v>
      </c>
    </row>
    <row r="501" spans="1:4" x14ac:dyDescent="0.35">
      <c r="A501" t="s">
        <v>532</v>
      </c>
      <c r="B501">
        <f>Earnings!B501</f>
        <v>1040258</v>
      </c>
      <c r="C501">
        <f t="shared" si="14"/>
        <v>124577.4</v>
      </c>
      <c r="D501">
        <f t="shared" si="15"/>
        <v>10381.449999999999</v>
      </c>
    </row>
    <row r="502" spans="1:4" x14ac:dyDescent="0.35">
      <c r="A502" t="s">
        <v>533</v>
      </c>
      <c r="B502">
        <f>Earnings!B502</f>
        <v>602289.54999999993</v>
      </c>
      <c r="C502">
        <f t="shared" si="14"/>
        <v>32957.909999999989</v>
      </c>
      <c r="D502">
        <f t="shared" si="15"/>
        <v>2746.4924999999989</v>
      </c>
    </row>
    <row r="503" spans="1:4" x14ac:dyDescent="0.35">
      <c r="A503" t="s">
        <v>534</v>
      </c>
      <c r="B503">
        <f>Earnings!B503</f>
        <v>401695.15</v>
      </c>
      <c r="C503">
        <f t="shared" si="14"/>
        <v>7584.7575000000015</v>
      </c>
      <c r="D503">
        <f t="shared" si="15"/>
        <v>632.06312500000013</v>
      </c>
    </row>
    <row r="504" spans="1:4" x14ac:dyDescent="0.35">
      <c r="A504" t="s">
        <v>535</v>
      </c>
      <c r="B504">
        <f>Earnings!B504</f>
        <v>511262</v>
      </c>
      <c r="C504">
        <f t="shared" si="14"/>
        <v>14752.4</v>
      </c>
      <c r="D504">
        <f t="shared" si="15"/>
        <v>1229.3666666666666</v>
      </c>
    </row>
    <row r="505" spans="1:4" x14ac:dyDescent="0.35">
      <c r="A505" t="s">
        <v>536</v>
      </c>
      <c r="B505">
        <f>Earnings!B505</f>
        <v>846180.2</v>
      </c>
      <c r="C505">
        <f t="shared" si="14"/>
        <v>81736.039999999994</v>
      </c>
      <c r="D505">
        <f t="shared" si="15"/>
        <v>6811.3366666666661</v>
      </c>
    </row>
    <row r="506" spans="1:4" x14ac:dyDescent="0.35">
      <c r="A506" t="s">
        <v>537</v>
      </c>
      <c r="B506">
        <f>Earnings!B506</f>
        <v>959117</v>
      </c>
      <c r="C506">
        <f t="shared" si="14"/>
        <v>104323.40000000001</v>
      </c>
      <c r="D506">
        <f t="shared" si="15"/>
        <v>8693.6166666666668</v>
      </c>
    </row>
    <row r="507" spans="1:4" x14ac:dyDescent="0.35">
      <c r="A507" t="s">
        <v>538</v>
      </c>
      <c r="B507">
        <f>Earnings!B507</f>
        <v>828214.75</v>
      </c>
      <c r="C507">
        <f t="shared" si="14"/>
        <v>78142.95</v>
      </c>
      <c r="D507">
        <f t="shared" si="15"/>
        <v>6511.9124999999995</v>
      </c>
    </row>
    <row r="508" spans="1:4" x14ac:dyDescent="0.35">
      <c r="A508" t="s">
        <v>539</v>
      </c>
      <c r="B508">
        <f>Earnings!B508</f>
        <v>865754</v>
      </c>
      <c r="C508">
        <f t="shared" si="14"/>
        <v>85650.8</v>
      </c>
      <c r="D508">
        <f t="shared" si="15"/>
        <v>7137.5666666666666</v>
      </c>
    </row>
    <row r="509" spans="1:4" x14ac:dyDescent="0.35">
      <c r="A509" t="s">
        <v>540</v>
      </c>
      <c r="B509">
        <f>Earnings!B509</f>
        <v>1031083.45</v>
      </c>
      <c r="C509">
        <f t="shared" si="14"/>
        <v>121825.03499999999</v>
      </c>
      <c r="D509">
        <f t="shared" si="15"/>
        <v>10152.086249999998</v>
      </c>
    </row>
    <row r="510" spans="1:4" x14ac:dyDescent="0.35">
      <c r="A510" t="s">
        <v>541</v>
      </c>
      <c r="B510">
        <f>Earnings!B510</f>
        <v>574649</v>
      </c>
      <c r="C510">
        <f t="shared" si="14"/>
        <v>27429.800000000003</v>
      </c>
      <c r="D510">
        <f t="shared" si="15"/>
        <v>2285.8166666666671</v>
      </c>
    </row>
    <row r="511" spans="1:4" x14ac:dyDescent="0.35">
      <c r="A511" t="s">
        <v>542</v>
      </c>
      <c r="B511">
        <f>Earnings!B511</f>
        <v>526858</v>
      </c>
      <c r="C511">
        <f t="shared" si="14"/>
        <v>17871.599999999999</v>
      </c>
      <c r="D511">
        <f t="shared" si="15"/>
        <v>1489.3</v>
      </c>
    </row>
    <row r="512" spans="1:4" x14ac:dyDescent="0.35">
      <c r="A512" t="s">
        <v>543</v>
      </c>
      <c r="B512">
        <f>Earnings!B512</f>
        <v>769951.25</v>
      </c>
      <c r="C512">
        <f t="shared" si="14"/>
        <v>66490.25</v>
      </c>
      <c r="D512">
        <f t="shared" si="15"/>
        <v>5540.854166666667</v>
      </c>
    </row>
    <row r="513" spans="1:4" x14ac:dyDescent="0.35">
      <c r="A513" t="s">
        <v>544</v>
      </c>
      <c r="B513">
        <f>Earnings!B513</f>
        <v>580863</v>
      </c>
      <c r="C513">
        <f t="shared" si="14"/>
        <v>28672.6</v>
      </c>
      <c r="D513">
        <f t="shared" si="15"/>
        <v>2389.3833333333332</v>
      </c>
    </row>
    <row r="514" spans="1:4" x14ac:dyDescent="0.35">
      <c r="A514" t="s">
        <v>545</v>
      </c>
      <c r="B514">
        <f>Earnings!B514</f>
        <v>921338.5</v>
      </c>
      <c r="C514">
        <f t="shared" ref="C514:C577" si="16">IF(B514&lt;=250000,0,IF(B514&lt;=500000,(B514-250000)*0.05,IF(B514&lt;=1000000,12500+(B514-500000)*0.2,112500+(B514-1000000)*0.3)))</f>
        <v>96767.700000000012</v>
      </c>
      <c r="D514">
        <f t="shared" ref="D514:D577" si="17">C514/12</f>
        <v>8063.9750000000013</v>
      </c>
    </row>
    <row r="515" spans="1:4" x14ac:dyDescent="0.35">
      <c r="A515" t="s">
        <v>546</v>
      </c>
      <c r="B515">
        <f>Earnings!B515</f>
        <v>811237.29999999993</v>
      </c>
      <c r="C515">
        <f t="shared" si="16"/>
        <v>74747.459999999992</v>
      </c>
      <c r="D515">
        <f t="shared" si="17"/>
        <v>6228.954999999999</v>
      </c>
    </row>
    <row r="516" spans="1:4" x14ac:dyDescent="0.35">
      <c r="A516" t="s">
        <v>547</v>
      </c>
      <c r="B516">
        <f>Earnings!B516</f>
        <v>1027705</v>
      </c>
      <c r="C516">
        <f t="shared" si="16"/>
        <v>120811.5</v>
      </c>
      <c r="D516">
        <f t="shared" si="17"/>
        <v>10067.625</v>
      </c>
    </row>
    <row r="517" spans="1:4" x14ac:dyDescent="0.35">
      <c r="A517" t="s">
        <v>548</v>
      </c>
      <c r="B517">
        <f>Earnings!B517</f>
        <v>877249.95</v>
      </c>
      <c r="C517">
        <f t="shared" si="16"/>
        <v>87949.989999999991</v>
      </c>
      <c r="D517">
        <f t="shared" si="17"/>
        <v>7329.1658333333326</v>
      </c>
    </row>
    <row r="518" spans="1:4" x14ac:dyDescent="0.35">
      <c r="A518" t="s">
        <v>549</v>
      </c>
      <c r="B518">
        <f>Earnings!B518</f>
        <v>1451188</v>
      </c>
      <c r="C518">
        <f t="shared" si="16"/>
        <v>247856.4</v>
      </c>
      <c r="D518">
        <f t="shared" si="17"/>
        <v>20654.7</v>
      </c>
    </row>
    <row r="519" spans="1:4" x14ac:dyDescent="0.35">
      <c r="A519" t="s">
        <v>550</v>
      </c>
      <c r="B519">
        <f>Earnings!B519</f>
        <v>1238555</v>
      </c>
      <c r="C519">
        <f t="shared" si="16"/>
        <v>184066.5</v>
      </c>
      <c r="D519">
        <f t="shared" si="17"/>
        <v>15338.875</v>
      </c>
    </row>
    <row r="520" spans="1:4" x14ac:dyDescent="0.35">
      <c r="A520" t="s">
        <v>551</v>
      </c>
      <c r="B520">
        <f>Earnings!B520</f>
        <v>825272.6</v>
      </c>
      <c r="C520">
        <f t="shared" si="16"/>
        <v>77554.51999999999</v>
      </c>
      <c r="D520">
        <f t="shared" si="17"/>
        <v>6462.8766666666661</v>
      </c>
    </row>
    <row r="521" spans="1:4" x14ac:dyDescent="0.35">
      <c r="A521" t="s">
        <v>552</v>
      </c>
      <c r="B521">
        <f>Earnings!B521</f>
        <v>1084431.6499999999</v>
      </c>
      <c r="C521">
        <f t="shared" si="16"/>
        <v>137829.49499999997</v>
      </c>
      <c r="D521">
        <f t="shared" si="17"/>
        <v>11485.791249999997</v>
      </c>
    </row>
    <row r="522" spans="1:4" x14ac:dyDescent="0.35">
      <c r="A522" t="s">
        <v>553</v>
      </c>
      <c r="B522">
        <f>Earnings!B522</f>
        <v>886440.25</v>
      </c>
      <c r="C522">
        <f t="shared" si="16"/>
        <v>89788.05</v>
      </c>
      <c r="D522">
        <f t="shared" si="17"/>
        <v>7482.3375000000005</v>
      </c>
    </row>
    <row r="523" spans="1:4" x14ac:dyDescent="0.35">
      <c r="A523" t="s">
        <v>554</v>
      </c>
      <c r="B523">
        <f>Earnings!B523</f>
        <v>624289</v>
      </c>
      <c r="C523">
        <f t="shared" si="16"/>
        <v>37357.800000000003</v>
      </c>
      <c r="D523">
        <f t="shared" si="17"/>
        <v>3113.15</v>
      </c>
    </row>
    <row r="524" spans="1:4" x14ac:dyDescent="0.35">
      <c r="A524" t="s">
        <v>555</v>
      </c>
      <c r="B524">
        <f>Earnings!B524</f>
        <v>970699</v>
      </c>
      <c r="C524">
        <f t="shared" si="16"/>
        <v>106639.8</v>
      </c>
      <c r="D524">
        <f t="shared" si="17"/>
        <v>8886.65</v>
      </c>
    </row>
    <row r="525" spans="1:4" x14ac:dyDescent="0.35">
      <c r="A525" t="s">
        <v>556</v>
      </c>
      <c r="B525">
        <f>Earnings!B525</f>
        <v>683630</v>
      </c>
      <c r="C525">
        <f t="shared" si="16"/>
        <v>49226</v>
      </c>
      <c r="D525">
        <f t="shared" si="17"/>
        <v>4102.166666666667</v>
      </c>
    </row>
    <row r="526" spans="1:4" x14ac:dyDescent="0.35">
      <c r="A526" t="s">
        <v>557</v>
      </c>
      <c r="B526">
        <f>Earnings!B526</f>
        <v>754875.7</v>
      </c>
      <c r="C526">
        <f t="shared" si="16"/>
        <v>63475.139999999992</v>
      </c>
      <c r="D526">
        <f t="shared" si="17"/>
        <v>5289.5949999999993</v>
      </c>
    </row>
    <row r="527" spans="1:4" x14ac:dyDescent="0.35">
      <c r="A527" t="s">
        <v>558</v>
      </c>
      <c r="B527">
        <f>Earnings!B527</f>
        <v>364757.25</v>
      </c>
      <c r="C527">
        <f t="shared" si="16"/>
        <v>5737.8625000000002</v>
      </c>
      <c r="D527">
        <f t="shared" si="17"/>
        <v>478.15520833333335</v>
      </c>
    </row>
    <row r="528" spans="1:4" x14ac:dyDescent="0.35">
      <c r="A528" t="s">
        <v>559</v>
      </c>
      <c r="B528">
        <f>Earnings!B528</f>
        <v>646165.29999999993</v>
      </c>
      <c r="C528">
        <f t="shared" si="16"/>
        <v>41733.059999999983</v>
      </c>
      <c r="D528">
        <f t="shared" si="17"/>
        <v>3477.7549999999987</v>
      </c>
    </row>
    <row r="529" spans="1:4" x14ac:dyDescent="0.35">
      <c r="A529" t="s">
        <v>560</v>
      </c>
      <c r="B529">
        <f>Earnings!B529</f>
        <v>1170799</v>
      </c>
      <c r="C529">
        <f t="shared" si="16"/>
        <v>163739.70000000001</v>
      </c>
      <c r="D529">
        <f t="shared" si="17"/>
        <v>13644.975</v>
      </c>
    </row>
    <row r="530" spans="1:4" x14ac:dyDescent="0.35">
      <c r="A530" t="s">
        <v>561</v>
      </c>
      <c r="B530">
        <f>Earnings!B530</f>
        <v>664667</v>
      </c>
      <c r="C530">
        <f t="shared" si="16"/>
        <v>45433.4</v>
      </c>
      <c r="D530">
        <f t="shared" si="17"/>
        <v>3786.1166666666668</v>
      </c>
    </row>
    <row r="531" spans="1:4" x14ac:dyDescent="0.35">
      <c r="A531" t="s">
        <v>562</v>
      </c>
      <c r="B531">
        <f>Earnings!B531</f>
        <v>1042389</v>
      </c>
      <c r="C531">
        <f t="shared" si="16"/>
        <v>125216.7</v>
      </c>
      <c r="D531">
        <f t="shared" si="17"/>
        <v>10434.725</v>
      </c>
    </row>
    <row r="532" spans="1:4" x14ac:dyDescent="0.35">
      <c r="A532" t="s">
        <v>563</v>
      </c>
      <c r="B532">
        <f>Earnings!B532</f>
        <v>829512.45</v>
      </c>
      <c r="C532">
        <f t="shared" si="16"/>
        <v>78402.489999999991</v>
      </c>
      <c r="D532">
        <f t="shared" si="17"/>
        <v>6533.5408333333326</v>
      </c>
    </row>
    <row r="533" spans="1:4" x14ac:dyDescent="0.35">
      <c r="A533" t="s">
        <v>564</v>
      </c>
      <c r="B533">
        <f>Earnings!B533</f>
        <v>677561</v>
      </c>
      <c r="C533">
        <f t="shared" si="16"/>
        <v>48012.200000000004</v>
      </c>
      <c r="D533">
        <f t="shared" si="17"/>
        <v>4001.0166666666669</v>
      </c>
    </row>
    <row r="534" spans="1:4" x14ac:dyDescent="0.35">
      <c r="A534" t="s">
        <v>565</v>
      </c>
      <c r="B534">
        <f>Earnings!B534</f>
        <v>835841</v>
      </c>
      <c r="C534">
        <f t="shared" si="16"/>
        <v>79668.2</v>
      </c>
      <c r="D534">
        <f t="shared" si="17"/>
        <v>6639.0166666666664</v>
      </c>
    </row>
    <row r="535" spans="1:4" x14ac:dyDescent="0.35">
      <c r="A535" t="s">
        <v>566</v>
      </c>
      <c r="B535">
        <f>Earnings!B535</f>
        <v>990324.64999999991</v>
      </c>
      <c r="C535">
        <f t="shared" si="16"/>
        <v>110564.93</v>
      </c>
      <c r="D535">
        <f t="shared" si="17"/>
        <v>9213.7441666666655</v>
      </c>
    </row>
    <row r="536" spans="1:4" x14ac:dyDescent="0.35">
      <c r="A536" t="s">
        <v>567</v>
      </c>
      <c r="B536">
        <f>Earnings!B536</f>
        <v>758514.2</v>
      </c>
      <c r="C536">
        <f t="shared" si="16"/>
        <v>64202.84</v>
      </c>
      <c r="D536">
        <f t="shared" si="17"/>
        <v>5350.2366666666667</v>
      </c>
    </row>
    <row r="537" spans="1:4" x14ac:dyDescent="0.35">
      <c r="A537" t="s">
        <v>568</v>
      </c>
      <c r="B537">
        <f>Earnings!B537</f>
        <v>835967.7</v>
      </c>
      <c r="C537">
        <f t="shared" si="16"/>
        <v>79693.539999999994</v>
      </c>
      <c r="D537">
        <f t="shared" si="17"/>
        <v>6641.1283333333331</v>
      </c>
    </row>
    <row r="538" spans="1:4" x14ac:dyDescent="0.35">
      <c r="A538" t="s">
        <v>569</v>
      </c>
      <c r="B538">
        <f>Earnings!B538</f>
        <v>1093872</v>
      </c>
      <c r="C538">
        <f t="shared" si="16"/>
        <v>140661.6</v>
      </c>
      <c r="D538">
        <f t="shared" si="17"/>
        <v>11721.800000000001</v>
      </c>
    </row>
    <row r="539" spans="1:4" x14ac:dyDescent="0.35">
      <c r="A539" t="s">
        <v>570</v>
      </c>
      <c r="B539">
        <f>Earnings!B539</f>
        <v>1116014</v>
      </c>
      <c r="C539">
        <f t="shared" si="16"/>
        <v>147304.20000000001</v>
      </c>
      <c r="D539">
        <f t="shared" si="17"/>
        <v>12275.35</v>
      </c>
    </row>
    <row r="540" spans="1:4" x14ac:dyDescent="0.35">
      <c r="A540" t="s">
        <v>571</v>
      </c>
      <c r="B540">
        <f>Earnings!B540</f>
        <v>1268619.55</v>
      </c>
      <c r="C540">
        <f t="shared" si="16"/>
        <v>193085.86499999999</v>
      </c>
      <c r="D540">
        <f t="shared" si="17"/>
        <v>16090.488749999999</v>
      </c>
    </row>
    <row r="541" spans="1:4" x14ac:dyDescent="0.35">
      <c r="A541" t="s">
        <v>572</v>
      </c>
      <c r="B541">
        <f>Earnings!B541</f>
        <v>791183.75</v>
      </c>
      <c r="C541">
        <f t="shared" si="16"/>
        <v>70736.75</v>
      </c>
      <c r="D541">
        <f t="shared" si="17"/>
        <v>5894.729166666667</v>
      </c>
    </row>
    <row r="542" spans="1:4" x14ac:dyDescent="0.35">
      <c r="A542" t="s">
        <v>573</v>
      </c>
      <c r="B542">
        <f>Earnings!B542</f>
        <v>439008.3</v>
      </c>
      <c r="C542">
        <f t="shared" si="16"/>
        <v>9450.4149999999991</v>
      </c>
      <c r="D542">
        <f t="shared" si="17"/>
        <v>787.53458333333322</v>
      </c>
    </row>
    <row r="543" spans="1:4" x14ac:dyDescent="0.35">
      <c r="A543" t="s">
        <v>574</v>
      </c>
      <c r="B543">
        <f>Earnings!B543</f>
        <v>1395211.8</v>
      </c>
      <c r="C543">
        <f t="shared" si="16"/>
        <v>231063.54</v>
      </c>
      <c r="D543">
        <f t="shared" si="17"/>
        <v>19255.295000000002</v>
      </c>
    </row>
    <row r="544" spans="1:4" x14ac:dyDescent="0.35">
      <c r="A544" t="s">
        <v>575</v>
      </c>
      <c r="B544">
        <f>Earnings!B544</f>
        <v>812707.89999999991</v>
      </c>
      <c r="C544">
        <f t="shared" si="16"/>
        <v>75041.579999999987</v>
      </c>
      <c r="D544">
        <f t="shared" si="17"/>
        <v>6253.4649999999992</v>
      </c>
    </row>
    <row r="545" spans="1:4" x14ac:dyDescent="0.35">
      <c r="A545" t="s">
        <v>576</v>
      </c>
      <c r="B545">
        <f>Earnings!B545</f>
        <v>966668.7</v>
      </c>
      <c r="C545">
        <f t="shared" si="16"/>
        <v>105833.73999999999</v>
      </c>
      <c r="D545">
        <f t="shared" si="17"/>
        <v>8819.4783333333326</v>
      </c>
    </row>
    <row r="546" spans="1:4" x14ac:dyDescent="0.35">
      <c r="A546" t="s">
        <v>577</v>
      </c>
      <c r="B546">
        <f>Earnings!B546</f>
        <v>831205</v>
      </c>
      <c r="C546">
        <f t="shared" si="16"/>
        <v>78741</v>
      </c>
      <c r="D546">
        <f t="shared" si="17"/>
        <v>6561.75</v>
      </c>
    </row>
    <row r="547" spans="1:4" x14ac:dyDescent="0.35">
      <c r="A547" t="s">
        <v>578</v>
      </c>
      <c r="B547">
        <f>Earnings!B547</f>
        <v>728730</v>
      </c>
      <c r="C547">
        <f t="shared" si="16"/>
        <v>58246</v>
      </c>
      <c r="D547">
        <f t="shared" si="17"/>
        <v>4853.833333333333</v>
      </c>
    </row>
    <row r="548" spans="1:4" x14ac:dyDescent="0.35">
      <c r="A548" t="s">
        <v>579</v>
      </c>
      <c r="B548">
        <f>Earnings!B548</f>
        <v>1142866</v>
      </c>
      <c r="C548">
        <f t="shared" si="16"/>
        <v>155359.79999999999</v>
      </c>
      <c r="D548">
        <f t="shared" si="17"/>
        <v>12946.65</v>
      </c>
    </row>
    <row r="549" spans="1:4" x14ac:dyDescent="0.35">
      <c r="A549" t="s">
        <v>580</v>
      </c>
      <c r="B549">
        <f>Earnings!B549</f>
        <v>889431</v>
      </c>
      <c r="C549">
        <f t="shared" si="16"/>
        <v>90386.2</v>
      </c>
      <c r="D549">
        <f t="shared" si="17"/>
        <v>7532.1833333333334</v>
      </c>
    </row>
    <row r="550" spans="1:4" x14ac:dyDescent="0.35">
      <c r="A550" t="s">
        <v>581</v>
      </c>
      <c r="B550">
        <f>Earnings!B550</f>
        <v>654981</v>
      </c>
      <c r="C550">
        <f t="shared" si="16"/>
        <v>43496.2</v>
      </c>
      <c r="D550">
        <f t="shared" si="17"/>
        <v>3624.6833333333329</v>
      </c>
    </row>
    <row r="551" spans="1:4" x14ac:dyDescent="0.35">
      <c r="A551" t="s">
        <v>582</v>
      </c>
      <c r="B551">
        <f>Earnings!B551</f>
        <v>865992</v>
      </c>
      <c r="C551">
        <f t="shared" si="16"/>
        <v>85698.400000000009</v>
      </c>
      <c r="D551">
        <f t="shared" si="17"/>
        <v>7141.5333333333338</v>
      </c>
    </row>
    <row r="552" spans="1:4" x14ac:dyDescent="0.35">
      <c r="A552" t="s">
        <v>583</v>
      </c>
      <c r="B552">
        <f>Earnings!B552</f>
        <v>809171.04999999993</v>
      </c>
      <c r="C552">
        <f t="shared" si="16"/>
        <v>74334.209999999992</v>
      </c>
      <c r="D552">
        <f t="shared" si="17"/>
        <v>6194.517499999999</v>
      </c>
    </row>
    <row r="553" spans="1:4" x14ac:dyDescent="0.35">
      <c r="A553" t="s">
        <v>584</v>
      </c>
      <c r="B553">
        <f>Earnings!B553</f>
        <v>848906</v>
      </c>
      <c r="C553">
        <f t="shared" si="16"/>
        <v>82281.2</v>
      </c>
      <c r="D553">
        <f t="shared" si="17"/>
        <v>6856.7666666666664</v>
      </c>
    </row>
    <row r="554" spans="1:4" x14ac:dyDescent="0.35">
      <c r="A554" t="s">
        <v>585</v>
      </c>
      <c r="B554">
        <f>Earnings!B554</f>
        <v>551758</v>
      </c>
      <c r="C554">
        <f t="shared" si="16"/>
        <v>22851.599999999999</v>
      </c>
      <c r="D554">
        <f t="shared" si="17"/>
        <v>1904.3</v>
      </c>
    </row>
    <row r="555" spans="1:4" x14ac:dyDescent="0.35">
      <c r="A555" t="s">
        <v>586</v>
      </c>
      <c r="B555">
        <f>Earnings!B555</f>
        <v>805129.75</v>
      </c>
      <c r="C555">
        <f t="shared" si="16"/>
        <v>73525.950000000012</v>
      </c>
      <c r="D555">
        <f t="shared" si="17"/>
        <v>6127.1625000000013</v>
      </c>
    </row>
    <row r="556" spans="1:4" x14ac:dyDescent="0.35">
      <c r="A556" t="s">
        <v>587</v>
      </c>
      <c r="B556">
        <f>Earnings!B556</f>
        <v>1026566</v>
      </c>
      <c r="C556">
        <f t="shared" si="16"/>
        <v>120469.8</v>
      </c>
      <c r="D556">
        <f t="shared" si="17"/>
        <v>10039.15</v>
      </c>
    </row>
    <row r="557" spans="1:4" x14ac:dyDescent="0.35">
      <c r="A557" t="s">
        <v>588</v>
      </c>
      <c r="B557">
        <f>Earnings!B557</f>
        <v>716643</v>
      </c>
      <c r="C557">
        <f t="shared" si="16"/>
        <v>55828.600000000006</v>
      </c>
      <c r="D557">
        <f t="shared" si="17"/>
        <v>4652.3833333333341</v>
      </c>
    </row>
    <row r="558" spans="1:4" x14ac:dyDescent="0.35">
      <c r="A558" t="s">
        <v>589</v>
      </c>
      <c r="B558">
        <f>Earnings!B558</f>
        <v>902220</v>
      </c>
      <c r="C558">
        <f t="shared" si="16"/>
        <v>92944</v>
      </c>
      <c r="D558">
        <f t="shared" si="17"/>
        <v>7745.333333333333</v>
      </c>
    </row>
    <row r="559" spans="1:4" x14ac:dyDescent="0.35">
      <c r="A559" t="s">
        <v>590</v>
      </c>
      <c r="B559">
        <f>Earnings!B559</f>
        <v>727216.45</v>
      </c>
      <c r="C559">
        <f t="shared" si="16"/>
        <v>57943.289999999994</v>
      </c>
      <c r="D559">
        <f t="shared" si="17"/>
        <v>4828.6074999999992</v>
      </c>
    </row>
    <row r="560" spans="1:4" x14ac:dyDescent="0.35">
      <c r="A560" t="s">
        <v>591</v>
      </c>
      <c r="B560">
        <f>Earnings!B560</f>
        <v>1260778</v>
      </c>
      <c r="C560">
        <f t="shared" si="16"/>
        <v>190733.4</v>
      </c>
      <c r="D560">
        <f t="shared" si="17"/>
        <v>15894.449999999999</v>
      </c>
    </row>
    <row r="561" spans="1:4" x14ac:dyDescent="0.35">
      <c r="A561" t="s">
        <v>592</v>
      </c>
      <c r="B561">
        <f>Earnings!B561</f>
        <v>919042</v>
      </c>
      <c r="C561">
        <f t="shared" si="16"/>
        <v>96308.400000000009</v>
      </c>
      <c r="D561">
        <f t="shared" si="17"/>
        <v>8025.7000000000007</v>
      </c>
    </row>
    <row r="562" spans="1:4" x14ac:dyDescent="0.35">
      <c r="A562" t="s">
        <v>593</v>
      </c>
      <c r="B562">
        <f>Earnings!B562</f>
        <v>931386</v>
      </c>
      <c r="C562">
        <f t="shared" si="16"/>
        <v>98777.200000000012</v>
      </c>
      <c r="D562">
        <f t="shared" si="17"/>
        <v>8231.4333333333343</v>
      </c>
    </row>
    <row r="563" spans="1:4" x14ac:dyDescent="0.35">
      <c r="A563" t="s">
        <v>594</v>
      </c>
      <c r="B563">
        <f>Earnings!B563</f>
        <v>890245.95</v>
      </c>
      <c r="C563">
        <f t="shared" si="16"/>
        <v>90549.189999999988</v>
      </c>
      <c r="D563">
        <f t="shared" si="17"/>
        <v>7545.765833333332</v>
      </c>
    </row>
    <row r="564" spans="1:4" x14ac:dyDescent="0.35">
      <c r="A564" t="s">
        <v>595</v>
      </c>
      <c r="B564">
        <f>Earnings!B564</f>
        <v>398946</v>
      </c>
      <c r="C564">
        <f t="shared" si="16"/>
        <v>7447.3</v>
      </c>
      <c r="D564">
        <f t="shared" si="17"/>
        <v>620.60833333333335</v>
      </c>
    </row>
    <row r="565" spans="1:4" x14ac:dyDescent="0.35">
      <c r="A565" t="s">
        <v>596</v>
      </c>
      <c r="B565">
        <f>Earnings!B565</f>
        <v>572680</v>
      </c>
      <c r="C565">
        <f t="shared" si="16"/>
        <v>27036</v>
      </c>
      <c r="D565">
        <f t="shared" si="17"/>
        <v>2253</v>
      </c>
    </row>
    <row r="566" spans="1:4" x14ac:dyDescent="0.35">
      <c r="A566" t="s">
        <v>597</v>
      </c>
      <c r="B566">
        <f>Earnings!B566</f>
        <v>950794.2</v>
      </c>
      <c r="C566">
        <f t="shared" si="16"/>
        <v>102658.84</v>
      </c>
      <c r="D566">
        <f t="shared" si="17"/>
        <v>8554.9033333333336</v>
      </c>
    </row>
    <row r="567" spans="1:4" x14ac:dyDescent="0.35">
      <c r="A567" t="s">
        <v>598</v>
      </c>
      <c r="B567">
        <f>Earnings!B567</f>
        <v>1043834</v>
      </c>
      <c r="C567">
        <f t="shared" si="16"/>
        <v>125650.2</v>
      </c>
      <c r="D567">
        <f t="shared" si="17"/>
        <v>10470.85</v>
      </c>
    </row>
    <row r="568" spans="1:4" x14ac:dyDescent="0.35">
      <c r="A568" t="s">
        <v>599</v>
      </c>
      <c r="B568">
        <f>Earnings!B568</f>
        <v>789554</v>
      </c>
      <c r="C568">
        <f t="shared" si="16"/>
        <v>70410.8</v>
      </c>
      <c r="D568">
        <f t="shared" si="17"/>
        <v>5867.5666666666666</v>
      </c>
    </row>
    <row r="569" spans="1:4" x14ac:dyDescent="0.35">
      <c r="A569" t="s">
        <v>600</v>
      </c>
      <c r="B569">
        <f>Earnings!B569</f>
        <v>1216919</v>
      </c>
      <c r="C569">
        <f t="shared" si="16"/>
        <v>177575.7</v>
      </c>
      <c r="D569">
        <f t="shared" si="17"/>
        <v>14797.975</v>
      </c>
    </row>
    <row r="570" spans="1:4" x14ac:dyDescent="0.35">
      <c r="A570" t="s">
        <v>601</v>
      </c>
      <c r="B570">
        <f>Earnings!B570</f>
        <v>1281941.3999999999</v>
      </c>
      <c r="C570">
        <f t="shared" si="16"/>
        <v>197082.41999999998</v>
      </c>
      <c r="D570">
        <f t="shared" si="17"/>
        <v>16423.535</v>
      </c>
    </row>
    <row r="571" spans="1:4" x14ac:dyDescent="0.35">
      <c r="A571" t="s">
        <v>602</v>
      </c>
      <c r="B571">
        <f>Earnings!B571</f>
        <v>1347065.8</v>
      </c>
      <c r="C571">
        <f t="shared" si="16"/>
        <v>216619.74</v>
      </c>
      <c r="D571">
        <f t="shared" si="17"/>
        <v>18051.645</v>
      </c>
    </row>
    <row r="572" spans="1:4" x14ac:dyDescent="0.35">
      <c r="A572" t="s">
        <v>603</v>
      </c>
      <c r="B572">
        <f>Earnings!B572</f>
        <v>670872.9</v>
      </c>
      <c r="C572">
        <f t="shared" si="16"/>
        <v>46674.580000000009</v>
      </c>
      <c r="D572">
        <f t="shared" si="17"/>
        <v>3889.5483333333341</v>
      </c>
    </row>
    <row r="573" spans="1:4" x14ac:dyDescent="0.35">
      <c r="A573" t="s">
        <v>604</v>
      </c>
      <c r="B573">
        <f>Earnings!B573</f>
        <v>642471</v>
      </c>
      <c r="C573">
        <f t="shared" si="16"/>
        <v>40994.199999999997</v>
      </c>
      <c r="D573">
        <f t="shared" si="17"/>
        <v>3416.1833333333329</v>
      </c>
    </row>
    <row r="574" spans="1:4" x14ac:dyDescent="0.35">
      <c r="A574" t="s">
        <v>605</v>
      </c>
      <c r="B574">
        <f>Earnings!B574</f>
        <v>450433</v>
      </c>
      <c r="C574">
        <f t="shared" si="16"/>
        <v>10021.650000000001</v>
      </c>
      <c r="D574">
        <f t="shared" si="17"/>
        <v>835.13750000000016</v>
      </c>
    </row>
    <row r="575" spans="1:4" x14ac:dyDescent="0.35">
      <c r="A575" t="s">
        <v>606</v>
      </c>
      <c r="B575">
        <f>Earnings!B575</f>
        <v>874332</v>
      </c>
      <c r="C575">
        <f t="shared" si="16"/>
        <v>87366.400000000009</v>
      </c>
      <c r="D575">
        <f t="shared" si="17"/>
        <v>7280.5333333333338</v>
      </c>
    </row>
    <row r="576" spans="1:4" x14ac:dyDescent="0.35">
      <c r="A576" t="s">
        <v>607</v>
      </c>
      <c r="B576">
        <f>Earnings!B576</f>
        <v>831084</v>
      </c>
      <c r="C576">
        <f t="shared" si="16"/>
        <v>78716.800000000003</v>
      </c>
      <c r="D576">
        <f t="shared" si="17"/>
        <v>6559.7333333333336</v>
      </c>
    </row>
    <row r="577" spans="1:4" x14ac:dyDescent="0.35">
      <c r="A577" t="s">
        <v>608</v>
      </c>
      <c r="B577">
        <f>Earnings!B577</f>
        <v>1052256.1000000001</v>
      </c>
      <c r="C577">
        <f t="shared" si="16"/>
        <v>128176.83000000003</v>
      </c>
      <c r="D577">
        <f t="shared" si="17"/>
        <v>10681.402500000002</v>
      </c>
    </row>
    <row r="578" spans="1:4" x14ac:dyDescent="0.35">
      <c r="A578" t="s">
        <v>609</v>
      </c>
      <c r="B578">
        <f>Earnings!B578</f>
        <v>513014</v>
      </c>
      <c r="C578">
        <f t="shared" ref="C578:C641" si="18">IF(B578&lt;=250000,0,IF(B578&lt;=500000,(B578-250000)*0.05,IF(B578&lt;=1000000,12500+(B578-500000)*0.2,112500+(B578-1000000)*0.3)))</f>
        <v>15102.8</v>
      </c>
      <c r="D578">
        <f t="shared" ref="D578:D641" si="19">C578/12</f>
        <v>1258.5666666666666</v>
      </c>
    </row>
    <row r="579" spans="1:4" x14ac:dyDescent="0.35">
      <c r="A579" t="s">
        <v>610</v>
      </c>
      <c r="B579">
        <f>Earnings!B579</f>
        <v>733002.9</v>
      </c>
      <c r="C579">
        <f t="shared" si="18"/>
        <v>59100.580000000009</v>
      </c>
      <c r="D579">
        <f t="shared" si="19"/>
        <v>4925.0483333333341</v>
      </c>
    </row>
    <row r="580" spans="1:4" x14ac:dyDescent="0.35">
      <c r="A580" t="s">
        <v>611</v>
      </c>
      <c r="B580">
        <f>Earnings!B580</f>
        <v>619608.04999999993</v>
      </c>
      <c r="C580">
        <f t="shared" si="18"/>
        <v>36421.609999999986</v>
      </c>
      <c r="D580">
        <f t="shared" si="19"/>
        <v>3035.1341666666654</v>
      </c>
    </row>
    <row r="581" spans="1:4" x14ac:dyDescent="0.35">
      <c r="A581" t="s">
        <v>612</v>
      </c>
      <c r="B581">
        <f>Earnings!B581</f>
        <v>937014</v>
      </c>
      <c r="C581">
        <f t="shared" si="18"/>
        <v>99902.8</v>
      </c>
      <c r="D581">
        <f t="shared" si="19"/>
        <v>8325.2333333333336</v>
      </c>
    </row>
    <row r="582" spans="1:4" x14ac:dyDescent="0.35">
      <c r="A582" t="s">
        <v>613</v>
      </c>
      <c r="B582">
        <f>Earnings!B582</f>
        <v>1166345.3999999999</v>
      </c>
      <c r="C582">
        <f t="shared" si="18"/>
        <v>162403.61999999997</v>
      </c>
      <c r="D582">
        <f t="shared" si="19"/>
        <v>13533.634999999997</v>
      </c>
    </row>
    <row r="583" spans="1:4" x14ac:dyDescent="0.35">
      <c r="A583" t="s">
        <v>614</v>
      </c>
      <c r="B583">
        <f>Earnings!B583</f>
        <v>779317</v>
      </c>
      <c r="C583">
        <f t="shared" si="18"/>
        <v>68363.399999999994</v>
      </c>
      <c r="D583">
        <f t="shared" si="19"/>
        <v>5696.95</v>
      </c>
    </row>
    <row r="584" spans="1:4" x14ac:dyDescent="0.35">
      <c r="A584" t="s">
        <v>615</v>
      </c>
      <c r="B584">
        <f>Earnings!B584</f>
        <v>924075</v>
      </c>
      <c r="C584">
        <f t="shared" si="18"/>
        <v>97315</v>
      </c>
      <c r="D584">
        <f t="shared" si="19"/>
        <v>8109.583333333333</v>
      </c>
    </row>
    <row r="585" spans="1:4" x14ac:dyDescent="0.35">
      <c r="A585" t="s">
        <v>616</v>
      </c>
      <c r="B585">
        <f>Earnings!B585</f>
        <v>704008</v>
      </c>
      <c r="C585">
        <f t="shared" si="18"/>
        <v>53301.600000000006</v>
      </c>
      <c r="D585">
        <f t="shared" si="19"/>
        <v>4441.8</v>
      </c>
    </row>
    <row r="586" spans="1:4" x14ac:dyDescent="0.35">
      <c r="A586" t="s">
        <v>617</v>
      </c>
      <c r="B586">
        <f>Earnings!B586</f>
        <v>783770</v>
      </c>
      <c r="C586">
        <f t="shared" si="18"/>
        <v>69254</v>
      </c>
      <c r="D586">
        <f t="shared" si="19"/>
        <v>5771.166666666667</v>
      </c>
    </row>
    <row r="587" spans="1:4" x14ac:dyDescent="0.35">
      <c r="A587" t="s">
        <v>618</v>
      </c>
      <c r="B587">
        <f>Earnings!B587</f>
        <v>949756</v>
      </c>
      <c r="C587">
        <f t="shared" si="18"/>
        <v>102451.20000000001</v>
      </c>
      <c r="D587">
        <f t="shared" si="19"/>
        <v>8537.6</v>
      </c>
    </row>
    <row r="588" spans="1:4" x14ac:dyDescent="0.35">
      <c r="A588" t="s">
        <v>619</v>
      </c>
      <c r="B588">
        <f>Earnings!B588</f>
        <v>655514.25</v>
      </c>
      <c r="C588">
        <f t="shared" si="18"/>
        <v>43602.850000000006</v>
      </c>
      <c r="D588">
        <f t="shared" si="19"/>
        <v>3633.5708333333337</v>
      </c>
    </row>
    <row r="589" spans="1:4" x14ac:dyDescent="0.35">
      <c r="A589" t="s">
        <v>620</v>
      </c>
      <c r="B589">
        <f>Earnings!B589</f>
        <v>495180</v>
      </c>
      <c r="C589">
        <f t="shared" si="18"/>
        <v>12259</v>
      </c>
      <c r="D589">
        <f t="shared" si="19"/>
        <v>1021.5833333333334</v>
      </c>
    </row>
    <row r="590" spans="1:4" x14ac:dyDescent="0.35">
      <c r="A590" t="s">
        <v>621</v>
      </c>
      <c r="B590">
        <f>Earnings!B590</f>
        <v>1144302.55</v>
      </c>
      <c r="C590">
        <f t="shared" si="18"/>
        <v>155790.76500000001</v>
      </c>
      <c r="D590">
        <f t="shared" si="19"/>
        <v>12982.563750000001</v>
      </c>
    </row>
    <row r="591" spans="1:4" x14ac:dyDescent="0.35">
      <c r="A591" t="s">
        <v>622</v>
      </c>
      <c r="B591">
        <f>Earnings!B591</f>
        <v>570676</v>
      </c>
      <c r="C591">
        <f t="shared" si="18"/>
        <v>26635.200000000001</v>
      </c>
      <c r="D591">
        <f t="shared" si="19"/>
        <v>2219.6</v>
      </c>
    </row>
    <row r="592" spans="1:4" x14ac:dyDescent="0.35">
      <c r="A592" t="s">
        <v>623</v>
      </c>
      <c r="B592">
        <f>Earnings!B592</f>
        <v>619750</v>
      </c>
      <c r="C592">
        <f t="shared" si="18"/>
        <v>36450</v>
      </c>
      <c r="D592">
        <f t="shared" si="19"/>
        <v>3037.5</v>
      </c>
    </row>
    <row r="593" spans="1:4" x14ac:dyDescent="0.35">
      <c r="A593" t="s">
        <v>624</v>
      </c>
      <c r="B593">
        <f>Earnings!B593</f>
        <v>1189129</v>
      </c>
      <c r="C593">
        <f t="shared" si="18"/>
        <v>169238.7</v>
      </c>
      <c r="D593">
        <f t="shared" si="19"/>
        <v>14103.225</v>
      </c>
    </row>
    <row r="594" spans="1:4" x14ac:dyDescent="0.35">
      <c r="A594" t="s">
        <v>625</v>
      </c>
      <c r="B594">
        <f>Earnings!B594</f>
        <v>1262501.55</v>
      </c>
      <c r="C594">
        <f t="shared" si="18"/>
        <v>191250.46500000003</v>
      </c>
      <c r="D594">
        <f t="shared" si="19"/>
        <v>15937.538750000002</v>
      </c>
    </row>
    <row r="595" spans="1:4" x14ac:dyDescent="0.35">
      <c r="A595" t="s">
        <v>626</v>
      </c>
      <c r="B595">
        <f>Earnings!B595</f>
        <v>595814.35</v>
      </c>
      <c r="C595">
        <f t="shared" si="18"/>
        <v>31662.869999999995</v>
      </c>
      <c r="D595">
        <f t="shared" si="19"/>
        <v>2638.5724999999998</v>
      </c>
    </row>
    <row r="596" spans="1:4" x14ac:dyDescent="0.35">
      <c r="A596" t="s">
        <v>627</v>
      </c>
      <c r="B596">
        <f>Earnings!B596</f>
        <v>519034.4</v>
      </c>
      <c r="C596">
        <f t="shared" si="18"/>
        <v>16306.880000000005</v>
      </c>
      <c r="D596">
        <f t="shared" si="19"/>
        <v>1358.906666666667</v>
      </c>
    </row>
    <row r="597" spans="1:4" x14ac:dyDescent="0.35">
      <c r="A597" t="s">
        <v>628</v>
      </c>
      <c r="B597">
        <f>Earnings!B597</f>
        <v>819862.35</v>
      </c>
      <c r="C597">
        <f t="shared" si="18"/>
        <v>76472.47</v>
      </c>
      <c r="D597">
        <f t="shared" si="19"/>
        <v>6372.7058333333334</v>
      </c>
    </row>
    <row r="598" spans="1:4" x14ac:dyDescent="0.35">
      <c r="A598" t="s">
        <v>629</v>
      </c>
      <c r="B598">
        <f>Earnings!B598</f>
        <v>910098.1</v>
      </c>
      <c r="C598">
        <f t="shared" si="18"/>
        <v>94519.62</v>
      </c>
      <c r="D598">
        <f t="shared" si="19"/>
        <v>7876.6349999999993</v>
      </c>
    </row>
    <row r="599" spans="1:4" x14ac:dyDescent="0.35">
      <c r="A599" t="s">
        <v>630</v>
      </c>
      <c r="B599">
        <f>Earnings!B599</f>
        <v>522542.75</v>
      </c>
      <c r="C599">
        <f t="shared" si="18"/>
        <v>17008.55</v>
      </c>
      <c r="D599">
        <f t="shared" si="19"/>
        <v>1417.3791666666666</v>
      </c>
    </row>
    <row r="600" spans="1:4" x14ac:dyDescent="0.35">
      <c r="A600" t="s">
        <v>631</v>
      </c>
      <c r="B600">
        <f>Earnings!B600</f>
        <v>941279</v>
      </c>
      <c r="C600">
        <f t="shared" si="18"/>
        <v>100755.8</v>
      </c>
      <c r="D600">
        <f t="shared" si="19"/>
        <v>8396.3166666666675</v>
      </c>
    </row>
    <row r="601" spans="1:4" x14ac:dyDescent="0.35">
      <c r="A601" t="s">
        <v>632</v>
      </c>
      <c r="B601">
        <f>Earnings!B601</f>
        <v>577542.04999999993</v>
      </c>
      <c r="C601">
        <f t="shared" si="18"/>
        <v>28008.409999999989</v>
      </c>
      <c r="D601">
        <f t="shared" si="19"/>
        <v>2334.0341666666659</v>
      </c>
    </row>
    <row r="602" spans="1:4" x14ac:dyDescent="0.35">
      <c r="A602" t="s">
        <v>633</v>
      </c>
      <c r="B602">
        <f>Earnings!B602</f>
        <v>662849</v>
      </c>
      <c r="C602">
        <f t="shared" si="18"/>
        <v>45069.8</v>
      </c>
      <c r="D602">
        <f t="shared" si="19"/>
        <v>3755.8166666666671</v>
      </c>
    </row>
    <row r="603" spans="1:4" x14ac:dyDescent="0.35">
      <c r="A603" t="s">
        <v>634</v>
      </c>
      <c r="B603">
        <f>Earnings!B603</f>
        <v>779038</v>
      </c>
      <c r="C603">
        <f t="shared" si="18"/>
        <v>68307.600000000006</v>
      </c>
      <c r="D603">
        <f t="shared" si="19"/>
        <v>5692.3</v>
      </c>
    </row>
    <row r="604" spans="1:4" x14ac:dyDescent="0.35">
      <c r="A604" t="s">
        <v>635</v>
      </c>
      <c r="B604">
        <f>Earnings!B604</f>
        <v>901590.85</v>
      </c>
      <c r="C604">
        <f t="shared" si="18"/>
        <v>92818.17</v>
      </c>
      <c r="D604">
        <f t="shared" si="19"/>
        <v>7734.8474999999999</v>
      </c>
    </row>
    <row r="605" spans="1:4" x14ac:dyDescent="0.35">
      <c r="A605" t="s">
        <v>636</v>
      </c>
      <c r="B605">
        <f>Earnings!B605</f>
        <v>820889.29999999993</v>
      </c>
      <c r="C605">
        <f t="shared" si="18"/>
        <v>76677.859999999986</v>
      </c>
      <c r="D605">
        <f t="shared" si="19"/>
        <v>6389.8216666666658</v>
      </c>
    </row>
    <row r="606" spans="1:4" x14ac:dyDescent="0.35">
      <c r="A606" t="s">
        <v>637</v>
      </c>
      <c r="B606">
        <f>Earnings!B606</f>
        <v>1314211</v>
      </c>
      <c r="C606">
        <f t="shared" si="18"/>
        <v>206763.3</v>
      </c>
      <c r="D606">
        <f t="shared" si="19"/>
        <v>17230.274999999998</v>
      </c>
    </row>
    <row r="607" spans="1:4" x14ac:dyDescent="0.35">
      <c r="A607" t="s">
        <v>638</v>
      </c>
      <c r="B607">
        <f>Earnings!B607</f>
        <v>1067099.8500000001</v>
      </c>
      <c r="C607">
        <f t="shared" si="18"/>
        <v>132629.95500000002</v>
      </c>
      <c r="D607">
        <f t="shared" si="19"/>
        <v>11052.496250000002</v>
      </c>
    </row>
    <row r="608" spans="1:4" x14ac:dyDescent="0.35">
      <c r="A608" t="s">
        <v>639</v>
      </c>
      <c r="B608">
        <f>Earnings!B608</f>
        <v>962916</v>
      </c>
      <c r="C608">
        <f t="shared" si="18"/>
        <v>105083.20000000001</v>
      </c>
      <c r="D608">
        <f t="shared" si="19"/>
        <v>8756.9333333333343</v>
      </c>
    </row>
    <row r="609" spans="1:4" x14ac:dyDescent="0.35">
      <c r="A609" t="s">
        <v>640</v>
      </c>
      <c r="B609">
        <f>Earnings!B609</f>
        <v>681618</v>
      </c>
      <c r="C609">
        <f t="shared" si="18"/>
        <v>48823.6</v>
      </c>
      <c r="D609">
        <f t="shared" si="19"/>
        <v>4068.6333333333332</v>
      </c>
    </row>
    <row r="610" spans="1:4" x14ac:dyDescent="0.35">
      <c r="A610" t="s">
        <v>641</v>
      </c>
      <c r="B610">
        <f>Earnings!B610</f>
        <v>767728.25</v>
      </c>
      <c r="C610">
        <f t="shared" si="18"/>
        <v>66045.649999999994</v>
      </c>
      <c r="D610">
        <f t="shared" si="19"/>
        <v>5503.8041666666659</v>
      </c>
    </row>
    <row r="611" spans="1:4" x14ac:dyDescent="0.35">
      <c r="A611" t="s">
        <v>642</v>
      </c>
      <c r="B611">
        <f>Earnings!B611</f>
        <v>1033220</v>
      </c>
      <c r="C611">
        <f t="shared" si="18"/>
        <v>122466</v>
      </c>
      <c r="D611">
        <f t="shared" si="19"/>
        <v>10205.5</v>
      </c>
    </row>
    <row r="612" spans="1:4" x14ac:dyDescent="0.35">
      <c r="A612" t="s">
        <v>643</v>
      </c>
      <c r="B612">
        <f>Earnings!B612</f>
        <v>415711.45</v>
      </c>
      <c r="C612">
        <f t="shared" si="18"/>
        <v>8285.5725000000002</v>
      </c>
      <c r="D612">
        <f t="shared" si="19"/>
        <v>690.46437500000002</v>
      </c>
    </row>
    <row r="613" spans="1:4" x14ac:dyDescent="0.35">
      <c r="A613" t="s">
        <v>644</v>
      </c>
      <c r="B613">
        <f>Earnings!B613</f>
        <v>1066064</v>
      </c>
      <c r="C613">
        <f t="shared" si="18"/>
        <v>132319.20000000001</v>
      </c>
      <c r="D613">
        <f t="shared" si="19"/>
        <v>11026.6</v>
      </c>
    </row>
    <row r="614" spans="1:4" x14ac:dyDescent="0.35">
      <c r="A614" t="s">
        <v>645</v>
      </c>
      <c r="B614">
        <f>Earnings!B614</f>
        <v>705342.7</v>
      </c>
      <c r="C614">
        <f t="shared" si="18"/>
        <v>53568.539999999994</v>
      </c>
      <c r="D614">
        <f t="shared" si="19"/>
        <v>4464.0449999999992</v>
      </c>
    </row>
    <row r="615" spans="1:4" x14ac:dyDescent="0.35">
      <c r="A615" t="s">
        <v>646</v>
      </c>
      <c r="B615">
        <f>Earnings!B615</f>
        <v>1030888.7</v>
      </c>
      <c r="C615">
        <f t="shared" si="18"/>
        <v>121766.60999999999</v>
      </c>
      <c r="D615">
        <f t="shared" si="19"/>
        <v>10147.217499999999</v>
      </c>
    </row>
    <row r="616" spans="1:4" x14ac:dyDescent="0.35">
      <c r="A616" t="s">
        <v>647</v>
      </c>
      <c r="B616">
        <f>Earnings!B616</f>
        <v>570929.1</v>
      </c>
      <c r="C616">
        <f t="shared" si="18"/>
        <v>26685.819999999996</v>
      </c>
      <c r="D616">
        <f t="shared" si="19"/>
        <v>2223.8183333333332</v>
      </c>
    </row>
    <row r="617" spans="1:4" x14ac:dyDescent="0.35">
      <c r="A617" t="s">
        <v>648</v>
      </c>
      <c r="B617">
        <f>Earnings!B617</f>
        <v>1239959</v>
      </c>
      <c r="C617">
        <f t="shared" si="18"/>
        <v>184487.7</v>
      </c>
      <c r="D617">
        <f t="shared" si="19"/>
        <v>15373.975</v>
      </c>
    </row>
    <row r="618" spans="1:4" x14ac:dyDescent="0.35">
      <c r="A618" t="s">
        <v>649</v>
      </c>
      <c r="B618">
        <f>Earnings!B618</f>
        <v>604903.94999999995</v>
      </c>
      <c r="C618">
        <f t="shared" si="18"/>
        <v>33480.789999999994</v>
      </c>
      <c r="D618">
        <f t="shared" si="19"/>
        <v>2790.0658333333326</v>
      </c>
    </row>
    <row r="619" spans="1:4" x14ac:dyDescent="0.35">
      <c r="A619" t="s">
        <v>650</v>
      </c>
      <c r="B619">
        <f>Earnings!B619</f>
        <v>831699</v>
      </c>
      <c r="C619">
        <f t="shared" si="18"/>
        <v>78839.8</v>
      </c>
      <c r="D619">
        <f t="shared" si="19"/>
        <v>6569.9833333333336</v>
      </c>
    </row>
    <row r="620" spans="1:4" x14ac:dyDescent="0.35">
      <c r="A620" t="s">
        <v>651</v>
      </c>
      <c r="B620">
        <f>Earnings!B620</f>
        <v>504154.55</v>
      </c>
      <c r="C620">
        <f t="shared" si="18"/>
        <v>13330.909999999998</v>
      </c>
      <c r="D620">
        <f t="shared" si="19"/>
        <v>1110.9091666666666</v>
      </c>
    </row>
    <row r="621" spans="1:4" x14ac:dyDescent="0.35">
      <c r="A621" t="s">
        <v>652</v>
      </c>
      <c r="B621">
        <f>Earnings!B621</f>
        <v>999953</v>
      </c>
      <c r="C621">
        <f t="shared" si="18"/>
        <v>112490.6</v>
      </c>
      <c r="D621">
        <f t="shared" si="19"/>
        <v>9374.2166666666672</v>
      </c>
    </row>
    <row r="622" spans="1:4" x14ac:dyDescent="0.35">
      <c r="A622" t="s">
        <v>653</v>
      </c>
      <c r="B622">
        <f>Earnings!B622</f>
        <v>872719.39999999991</v>
      </c>
      <c r="C622">
        <f t="shared" si="18"/>
        <v>87043.87999999999</v>
      </c>
      <c r="D622">
        <f t="shared" si="19"/>
        <v>7253.6566666666658</v>
      </c>
    </row>
    <row r="623" spans="1:4" x14ac:dyDescent="0.35">
      <c r="A623" t="s">
        <v>654</v>
      </c>
      <c r="B623">
        <f>Earnings!B623</f>
        <v>1060831</v>
      </c>
      <c r="C623">
        <f t="shared" si="18"/>
        <v>130749.3</v>
      </c>
      <c r="D623">
        <f t="shared" si="19"/>
        <v>10895.775</v>
      </c>
    </row>
    <row r="624" spans="1:4" x14ac:dyDescent="0.35">
      <c r="A624" t="s">
        <v>655</v>
      </c>
      <c r="B624">
        <f>Earnings!B624</f>
        <v>541364.15</v>
      </c>
      <c r="C624">
        <f t="shared" si="18"/>
        <v>20772.830000000005</v>
      </c>
      <c r="D624">
        <f t="shared" si="19"/>
        <v>1731.0691666666671</v>
      </c>
    </row>
    <row r="625" spans="1:4" x14ac:dyDescent="0.35">
      <c r="A625" t="s">
        <v>656</v>
      </c>
      <c r="B625">
        <f>Earnings!B625</f>
        <v>1210151</v>
      </c>
      <c r="C625">
        <f t="shared" si="18"/>
        <v>175545.3</v>
      </c>
      <c r="D625">
        <f t="shared" si="19"/>
        <v>14628.775</v>
      </c>
    </row>
    <row r="626" spans="1:4" x14ac:dyDescent="0.35">
      <c r="A626" t="s">
        <v>657</v>
      </c>
      <c r="B626">
        <f>Earnings!B626</f>
        <v>1041935</v>
      </c>
      <c r="C626">
        <f t="shared" si="18"/>
        <v>125080.5</v>
      </c>
      <c r="D626">
        <f t="shared" si="19"/>
        <v>10423.375</v>
      </c>
    </row>
    <row r="627" spans="1:4" x14ac:dyDescent="0.35">
      <c r="A627" t="s">
        <v>658</v>
      </c>
      <c r="B627">
        <f>Earnings!B627</f>
        <v>1135536</v>
      </c>
      <c r="C627">
        <f t="shared" si="18"/>
        <v>153160.79999999999</v>
      </c>
      <c r="D627">
        <f t="shared" si="19"/>
        <v>12763.4</v>
      </c>
    </row>
    <row r="628" spans="1:4" x14ac:dyDescent="0.35">
      <c r="A628" t="s">
        <v>659</v>
      </c>
      <c r="B628">
        <f>Earnings!B628</f>
        <v>1355052</v>
      </c>
      <c r="C628">
        <f t="shared" si="18"/>
        <v>219015.59999999998</v>
      </c>
      <c r="D628">
        <f t="shared" si="19"/>
        <v>18251.3</v>
      </c>
    </row>
    <row r="629" spans="1:4" x14ac:dyDescent="0.35">
      <c r="A629" t="s">
        <v>660</v>
      </c>
      <c r="B629">
        <f>Earnings!B629</f>
        <v>1441341</v>
      </c>
      <c r="C629">
        <f t="shared" si="18"/>
        <v>244902.3</v>
      </c>
      <c r="D629">
        <f t="shared" si="19"/>
        <v>20408.524999999998</v>
      </c>
    </row>
    <row r="630" spans="1:4" x14ac:dyDescent="0.35">
      <c r="A630" t="s">
        <v>661</v>
      </c>
      <c r="B630">
        <f>Earnings!B630</f>
        <v>953285.1</v>
      </c>
      <c r="C630">
        <f t="shared" si="18"/>
        <v>103157.02</v>
      </c>
      <c r="D630">
        <f t="shared" si="19"/>
        <v>8596.4183333333331</v>
      </c>
    </row>
    <row r="631" spans="1:4" x14ac:dyDescent="0.35">
      <c r="A631" t="s">
        <v>662</v>
      </c>
      <c r="B631">
        <f>Earnings!B631</f>
        <v>979703</v>
      </c>
      <c r="C631">
        <f t="shared" si="18"/>
        <v>108440.6</v>
      </c>
      <c r="D631">
        <f t="shared" si="19"/>
        <v>9036.7166666666672</v>
      </c>
    </row>
    <row r="632" spans="1:4" x14ac:dyDescent="0.35">
      <c r="A632" t="s">
        <v>663</v>
      </c>
      <c r="B632">
        <f>Earnings!B632</f>
        <v>729168</v>
      </c>
      <c r="C632">
        <f t="shared" si="18"/>
        <v>58333.600000000006</v>
      </c>
      <c r="D632">
        <f t="shared" si="19"/>
        <v>4861.1333333333341</v>
      </c>
    </row>
    <row r="633" spans="1:4" x14ac:dyDescent="0.35">
      <c r="A633" t="s">
        <v>664</v>
      </c>
      <c r="B633">
        <f>Earnings!B633</f>
        <v>382412.05</v>
      </c>
      <c r="C633">
        <f t="shared" si="18"/>
        <v>6620.6025</v>
      </c>
      <c r="D633">
        <f t="shared" si="19"/>
        <v>551.71687499999996</v>
      </c>
    </row>
    <row r="634" spans="1:4" x14ac:dyDescent="0.35">
      <c r="A634" t="s">
        <v>665</v>
      </c>
      <c r="B634">
        <f>Earnings!B634</f>
        <v>602663.85</v>
      </c>
      <c r="C634">
        <f t="shared" si="18"/>
        <v>33032.769999999997</v>
      </c>
      <c r="D634">
        <f t="shared" si="19"/>
        <v>2752.7308333333331</v>
      </c>
    </row>
    <row r="635" spans="1:4" x14ac:dyDescent="0.35">
      <c r="A635" t="s">
        <v>666</v>
      </c>
      <c r="B635">
        <f>Earnings!B635</f>
        <v>1083039</v>
      </c>
      <c r="C635">
        <f t="shared" si="18"/>
        <v>137411.70000000001</v>
      </c>
      <c r="D635">
        <f t="shared" si="19"/>
        <v>11450.975</v>
      </c>
    </row>
    <row r="636" spans="1:4" x14ac:dyDescent="0.35">
      <c r="A636" t="s">
        <v>667</v>
      </c>
      <c r="B636">
        <f>Earnings!B636</f>
        <v>803781</v>
      </c>
      <c r="C636">
        <f t="shared" si="18"/>
        <v>73256.200000000012</v>
      </c>
      <c r="D636">
        <f t="shared" si="19"/>
        <v>6104.6833333333343</v>
      </c>
    </row>
    <row r="637" spans="1:4" x14ac:dyDescent="0.35">
      <c r="A637" t="s">
        <v>668</v>
      </c>
      <c r="B637">
        <f>Earnings!B637</f>
        <v>582597.94999999995</v>
      </c>
      <c r="C637">
        <f t="shared" si="18"/>
        <v>29019.589999999993</v>
      </c>
      <c r="D637">
        <f t="shared" si="19"/>
        <v>2418.2991666666662</v>
      </c>
    </row>
    <row r="638" spans="1:4" x14ac:dyDescent="0.35">
      <c r="A638" t="s">
        <v>669</v>
      </c>
      <c r="B638">
        <f>Earnings!B638</f>
        <v>505736.3</v>
      </c>
      <c r="C638">
        <f t="shared" si="18"/>
        <v>13647.259999999998</v>
      </c>
      <c r="D638">
        <f t="shared" si="19"/>
        <v>1137.2716666666665</v>
      </c>
    </row>
    <row r="639" spans="1:4" x14ac:dyDescent="0.35">
      <c r="A639" t="s">
        <v>670</v>
      </c>
      <c r="B639">
        <f>Earnings!B639</f>
        <v>780970.29999999993</v>
      </c>
      <c r="C639">
        <f t="shared" si="18"/>
        <v>68694.06</v>
      </c>
      <c r="D639">
        <f t="shared" si="19"/>
        <v>5724.5050000000001</v>
      </c>
    </row>
    <row r="640" spans="1:4" x14ac:dyDescent="0.35">
      <c r="A640" t="s">
        <v>671</v>
      </c>
      <c r="B640">
        <f>Earnings!B640</f>
        <v>623347.25</v>
      </c>
      <c r="C640">
        <f t="shared" si="18"/>
        <v>37169.449999999997</v>
      </c>
      <c r="D640">
        <f t="shared" si="19"/>
        <v>3097.4541666666664</v>
      </c>
    </row>
    <row r="641" spans="1:4" x14ac:dyDescent="0.35">
      <c r="A641" t="s">
        <v>672</v>
      </c>
      <c r="B641">
        <f>Earnings!B641</f>
        <v>635865.4</v>
      </c>
      <c r="C641">
        <f t="shared" si="18"/>
        <v>39673.08</v>
      </c>
      <c r="D641">
        <f t="shared" si="19"/>
        <v>3306.09</v>
      </c>
    </row>
    <row r="642" spans="1:4" x14ac:dyDescent="0.35">
      <c r="A642" t="s">
        <v>673</v>
      </c>
      <c r="B642">
        <f>Earnings!B642</f>
        <v>1177093</v>
      </c>
      <c r="C642">
        <f t="shared" ref="C642:C705" si="20">IF(B642&lt;=250000,0,IF(B642&lt;=500000,(B642-250000)*0.05,IF(B642&lt;=1000000,12500+(B642-500000)*0.2,112500+(B642-1000000)*0.3)))</f>
        <v>165627.9</v>
      </c>
      <c r="D642">
        <f t="shared" ref="D642:D705" si="21">C642/12</f>
        <v>13802.324999999999</v>
      </c>
    </row>
    <row r="643" spans="1:4" x14ac:dyDescent="0.35">
      <c r="A643" t="s">
        <v>674</v>
      </c>
      <c r="B643">
        <f>Earnings!B643</f>
        <v>1367252.35</v>
      </c>
      <c r="C643">
        <f t="shared" si="20"/>
        <v>222675.70500000002</v>
      </c>
      <c r="D643">
        <f t="shared" si="21"/>
        <v>18556.30875</v>
      </c>
    </row>
    <row r="644" spans="1:4" x14ac:dyDescent="0.35">
      <c r="A644" t="s">
        <v>675</v>
      </c>
      <c r="B644">
        <f>Earnings!B644</f>
        <v>895089.04999999993</v>
      </c>
      <c r="C644">
        <f t="shared" si="20"/>
        <v>91517.81</v>
      </c>
      <c r="D644">
        <f t="shared" si="21"/>
        <v>7626.4841666666662</v>
      </c>
    </row>
    <row r="645" spans="1:4" x14ac:dyDescent="0.35">
      <c r="A645" t="s">
        <v>676</v>
      </c>
      <c r="B645">
        <f>Earnings!B645</f>
        <v>716699</v>
      </c>
      <c r="C645">
        <f t="shared" si="20"/>
        <v>55839.8</v>
      </c>
      <c r="D645">
        <f t="shared" si="21"/>
        <v>4653.3166666666666</v>
      </c>
    </row>
    <row r="646" spans="1:4" x14ac:dyDescent="0.35">
      <c r="A646" t="s">
        <v>677</v>
      </c>
      <c r="B646">
        <f>Earnings!B646</f>
        <v>1145935</v>
      </c>
      <c r="C646">
        <f t="shared" si="20"/>
        <v>156280.5</v>
      </c>
      <c r="D646">
        <f t="shared" si="21"/>
        <v>13023.375</v>
      </c>
    </row>
    <row r="647" spans="1:4" x14ac:dyDescent="0.35">
      <c r="A647" t="s">
        <v>678</v>
      </c>
      <c r="B647">
        <f>Earnings!B647</f>
        <v>958465.45</v>
      </c>
      <c r="C647">
        <f t="shared" si="20"/>
        <v>104193.09</v>
      </c>
      <c r="D647">
        <f t="shared" si="21"/>
        <v>8682.7574999999997</v>
      </c>
    </row>
    <row r="648" spans="1:4" x14ac:dyDescent="0.35">
      <c r="A648" t="s">
        <v>679</v>
      </c>
      <c r="B648">
        <f>Earnings!B648</f>
        <v>1257493</v>
      </c>
      <c r="C648">
        <f t="shared" si="20"/>
        <v>189747.9</v>
      </c>
      <c r="D648">
        <f t="shared" si="21"/>
        <v>15812.324999999999</v>
      </c>
    </row>
    <row r="649" spans="1:4" x14ac:dyDescent="0.35">
      <c r="A649" t="s">
        <v>680</v>
      </c>
      <c r="B649">
        <f>Earnings!B649</f>
        <v>1395978</v>
      </c>
      <c r="C649">
        <f t="shared" si="20"/>
        <v>231293.4</v>
      </c>
      <c r="D649">
        <f t="shared" si="21"/>
        <v>19274.45</v>
      </c>
    </row>
    <row r="650" spans="1:4" x14ac:dyDescent="0.35">
      <c r="A650" t="s">
        <v>681</v>
      </c>
      <c r="B650">
        <f>Earnings!B650</f>
        <v>1083545</v>
      </c>
      <c r="C650">
        <f t="shared" si="20"/>
        <v>137563.5</v>
      </c>
      <c r="D650">
        <f t="shared" si="21"/>
        <v>11463.625</v>
      </c>
    </row>
    <row r="651" spans="1:4" x14ac:dyDescent="0.35">
      <c r="A651" t="s">
        <v>682</v>
      </c>
      <c r="B651">
        <f>Earnings!B651</f>
        <v>1416496.55</v>
      </c>
      <c r="C651">
        <f t="shared" si="20"/>
        <v>237448.96500000003</v>
      </c>
      <c r="D651">
        <f t="shared" si="21"/>
        <v>19787.413750000003</v>
      </c>
    </row>
    <row r="652" spans="1:4" x14ac:dyDescent="0.35">
      <c r="A652" t="s">
        <v>683</v>
      </c>
      <c r="B652">
        <f>Earnings!B652</f>
        <v>1598649</v>
      </c>
      <c r="C652">
        <f t="shared" si="20"/>
        <v>292094.69999999995</v>
      </c>
      <c r="D652">
        <f t="shared" si="21"/>
        <v>24341.224999999995</v>
      </c>
    </row>
    <row r="653" spans="1:4" x14ac:dyDescent="0.35">
      <c r="A653" t="s">
        <v>684</v>
      </c>
      <c r="B653">
        <f>Earnings!B653</f>
        <v>1286842.45</v>
      </c>
      <c r="C653">
        <f t="shared" si="20"/>
        <v>198552.73499999999</v>
      </c>
      <c r="D653">
        <f t="shared" si="21"/>
        <v>16546.061249999999</v>
      </c>
    </row>
    <row r="654" spans="1:4" x14ac:dyDescent="0.35">
      <c r="A654" t="s">
        <v>685</v>
      </c>
      <c r="B654">
        <f>Earnings!B654</f>
        <v>830839</v>
      </c>
      <c r="C654">
        <f t="shared" si="20"/>
        <v>78667.8</v>
      </c>
      <c r="D654">
        <f t="shared" si="21"/>
        <v>6555.6500000000005</v>
      </c>
    </row>
    <row r="655" spans="1:4" x14ac:dyDescent="0.35">
      <c r="A655" t="s">
        <v>686</v>
      </c>
      <c r="B655">
        <f>Earnings!B655</f>
        <v>659743.65</v>
      </c>
      <c r="C655">
        <f t="shared" si="20"/>
        <v>44448.73000000001</v>
      </c>
      <c r="D655">
        <f t="shared" si="21"/>
        <v>3704.0608333333344</v>
      </c>
    </row>
    <row r="656" spans="1:4" x14ac:dyDescent="0.35">
      <c r="A656" t="s">
        <v>687</v>
      </c>
      <c r="B656">
        <f>Earnings!B656</f>
        <v>1143724.95</v>
      </c>
      <c r="C656">
        <f t="shared" si="20"/>
        <v>155617.48499999999</v>
      </c>
      <c r="D656">
        <f t="shared" si="21"/>
        <v>12968.123749999999</v>
      </c>
    </row>
    <row r="657" spans="1:4" x14ac:dyDescent="0.35">
      <c r="A657" t="s">
        <v>688</v>
      </c>
      <c r="B657">
        <f>Earnings!B657</f>
        <v>973909</v>
      </c>
      <c r="C657">
        <f t="shared" si="20"/>
        <v>107281.8</v>
      </c>
      <c r="D657">
        <f t="shared" si="21"/>
        <v>8940.15</v>
      </c>
    </row>
    <row r="658" spans="1:4" x14ac:dyDescent="0.35">
      <c r="A658" t="s">
        <v>689</v>
      </c>
      <c r="B658">
        <f>Earnings!B658</f>
        <v>986580.7</v>
      </c>
      <c r="C658">
        <f t="shared" si="20"/>
        <v>109816.14</v>
      </c>
      <c r="D658">
        <f t="shared" si="21"/>
        <v>9151.3449999999993</v>
      </c>
    </row>
    <row r="659" spans="1:4" x14ac:dyDescent="0.35">
      <c r="A659" t="s">
        <v>690</v>
      </c>
      <c r="B659">
        <f>Earnings!B659</f>
        <v>812634.75</v>
      </c>
      <c r="C659">
        <f t="shared" si="20"/>
        <v>75026.950000000012</v>
      </c>
      <c r="D659">
        <f t="shared" si="21"/>
        <v>6252.2458333333343</v>
      </c>
    </row>
    <row r="660" spans="1:4" x14ac:dyDescent="0.35">
      <c r="A660" t="s">
        <v>691</v>
      </c>
      <c r="B660">
        <f>Earnings!B660</f>
        <v>1379049</v>
      </c>
      <c r="C660">
        <f t="shared" si="20"/>
        <v>226214.7</v>
      </c>
      <c r="D660">
        <f t="shared" si="21"/>
        <v>18851.225000000002</v>
      </c>
    </row>
    <row r="661" spans="1:4" x14ac:dyDescent="0.35">
      <c r="A661" t="s">
        <v>692</v>
      </c>
      <c r="B661">
        <f>Earnings!B661</f>
        <v>586591.75</v>
      </c>
      <c r="C661">
        <f t="shared" si="20"/>
        <v>29818.350000000002</v>
      </c>
      <c r="D661">
        <f t="shared" si="21"/>
        <v>2484.8625000000002</v>
      </c>
    </row>
    <row r="662" spans="1:4" x14ac:dyDescent="0.35">
      <c r="A662" t="s">
        <v>693</v>
      </c>
      <c r="B662">
        <f>Earnings!B662</f>
        <v>1180980.1499999999</v>
      </c>
      <c r="C662">
        <f t="shared" si="20"/>
        <v>166794.04499999998</v>
      </c>
      <c r="D662">
        <f t="shared" si="21"/>
        <v>13899.503749999998</v>
      </c>
    </row>
    <row r="663" spans="1:4" x14ac:dyDescent="0.35">
      <c r="A663" t="s">
        <v>694</v>
      </c>
      <c r="B663">
        <f>Earnings!B663</f>
        <v>1222184</v>
      </c>
      <c r="C663">
        <f t="shared" si="20"/>
        <v>179155.20000000001</v>
      </c>
      <c r="D663">
        <f t="shared" si="21"/>
        <v>14929.6</v>
      </c>
    </row>
    <row r="664" spans="1:4" x14ac:dyDescent="0.35">
      <c r="A664" t="s">
        <v>695</v>
      </c>
      <c r="B664">
        <f>Earnings!B664</f>
        <v>698940.65</v>
      </c>
      <c r="C664">
        <f t="shared" si="20"/>
        <v>52288.130000000005</v>
      </c>
      <c r="D664">
        <f t="shared" si="21"/>
        <v>4357.3441666666668</v>
      </c>
    </row>
    <row r="665" spans="1:4" x14ac:dyDescent="0.35">
      <c r="A665" t="s">
        <v>696</v>
      </c>
      <c r="B665">
        <f>Earnings!B665</f>
        <v>844467</v>
      </c>
      <c r="C665">
        <f t="shared" si="20"/>
        <v>81393.400000000009</v>
      </c>
      <c r="D665">
        <f t="shared" si="21"/>
        <v>6782.7833333333338</v>
      </c>
    </row>
    <row r="666" spans="1:4" x14ac:dyDescent="0.35">
      <c r="A666" t="s">
        <v>697</v>
      </c>
      <c r="B666">
        <f>Earnings!B666</f>
        <v>341826.15</v>
      </c>
      <c r="C666">
        <f t="shared" si="20"/>
        <v>4591.3075000000017</v>
      </c>
      <c r="D666">
        <f t="shared" si="21"/>
        <v>382.60895833333348</v>
      </c>
    </row>
    <row r="667" spans="1:4" x14ac:dyDescent="0.35">
      <c r="A667" t="s">
        <v>698</v>
      </c>
      <c r="B667">
        <f>Earnings!B667</f>
        <v>744749</v>
      </c>
      <c r="C667">
        <f t="shared" si="20"/>
        <v>61449.8</v>
      </c>
      <c r="D667">
        <f t="shared" si="21"/>
        <v>5120.8166666666666</v>
      </c>
    </row>
    <row r="668" spans="1:4" x14ac:dyDescent="0.35">
      <c r="A668" t="s">
        <v>699</v>
      </c>
      <c r="B668">
        <f>Earnings!B668</f>
        <v>1270182.3</v>
      </c>
      <c r="C668">
        <f t="shared" si="20"/>
        <v>193554.69</v>
      </c>
      <c r="D668">
        <f t="shared" si="21"/>
        <v>16129.557500000001</v>
      </c>
    </row>
    <row r="669" spans="1:4" x14ac:dyDescent="0.35">
      <c r="A669" t="s">
        <v>700</v>
      </c>
      <c r="B669">
        <f>Earnings!B669</f>
        <v>697537.5</v>
      </c>
      <c r="C669">
        <f t="shared" si="20"/>
        <v>52007.5</v>
      </c>
      <c r="D669">
        <f t="shared" si="21"/>
        <v>4333.958333333333</v>
      </c>
    </row>
    <row r="670" spans="1:4" x14ac:dyDescent="0.35">
      <c r="A670" t="s">
        <v>701</v>
      </c>
      <c r="B670">
        <f>Earnings!B670</f>
        <v>786022</v>
      </c>
      <c r="C670">
        <f t="shared" si="20"/>
        <v>69704.399999999994</v>
      </c>
      <c r="D670">
        <f t="shared" si="21"/>
        <v>5808.7</v>
      </c>
    </row>
    <row r="671" spans="1:4" x14ac:dyDescent="0.35">
      <c r="A671" t="s">
        <v>702</v>
      </c>
      <c r="B671">
        <f>Earnings!B671</f>
        <v>725035.25</v>
      </c>
      <c r="C671">
        <f t="shared" si="20"/>
        <v>57507.05</v>
      </c>
      <c r="D671">
        <f t="shared" si="21"/>
        <v>4792.2541666666666</v>
      </c>
    </row>
    <row r="672" spans="1:4" x14ac:dyDescent="0.35">
      <c r="A672" t="s">
        <v>703</v>
      </c>
      <c r="B672">
        <f>Earnings!B672</f>
        <v>741420</v>
      </c>
      <c r="C672">
        <f t="shared" si="20"/>
        <v>60784</v>
      </c>
      <c r="D672">
        <f t="shared" si="21"/>
        <v>5065.333333333333</v>
      </c>
    </row>
    <row r="673" spans="1:4" x14ac:dyDescent="0.35">
      <c r="A673" t="s">
        <v>704</v>
      </c>
      <c r="B673">
        <f>Earnings!B673</f>
        <v>642920.1</v>
      </c>
      <c r="C673">
        <f t="shared" si="20"/>
        <v>41084.019999999997</v>
      </c>
      <c r="D673">
        <f t="shared" si="21"/>
        <v>3423.6683333333331</v>
      </c>
    </row>
    <row r="674" spans="1:4" x14ac:dyDescent="0.35">
      <c r="A674" t="s">
        <v>705</v>
      </c>
      <c r="B674">
        <f>Earnings!B674</f>
        <v>915118.85</v>
      </c>
      <c r="C674">
        <f t="shared" si="20"/>
        <v>95523.77</v>
      </c>
      <c r="D674">
        <f t="shared" si="21"/>
        <v>7960.314166666667</v>
      </c>
    </row>
    <row r="675" spans="1:4" x14ac:dyDescent="0.35">
      <c r="A675" t="s">
        <v>706</v>
      </c>
      <c r="B675">
        <f>Earnings!B675</f>
        <v>467533</v>
      </c>
      <c r="C675">
        <f t="shared" si="20"/>
        <v>10876.650000000001</v>
      </c>
      <c r="D675">
        <f t="shared" si="21"/>
        <v>906.38750000000016</v>
      </c>
    </row>
    <row r="676" spans="1:4" x14ac:dyDescent="0.35">
      <c r="A676" t="s">
        <v>707</v>
      </c>
      <c r="B676">
        <f>Earnings!B676</f>
        <v>568421</v>
      </c>
      <c r="C676">
        <f t="shared" si="20"/>
        <v>26184.2</v>
      </c>
      <c r="D676">
        <f t="shared" si="21"/>
        <v>2182.0166666666669</v>
      </c>
    </row>
    <row r="677" spans="1:4" x14ac:dyDescent="0.35">
      <c r="A677" t="s">
        <v>708</v>
      </c>
      <c r="B677">
        <f>Earnings!B677</f>
        <v>931162</v>
      </c>
      <c r="C677">
        <f t="shared" si="20"/>
        <v>98732.400000000009</v>
      </c>
      <c r="D677">
        <f t="shared" si="21"/>
        <v>8227.7000000000007</v>
      </c>
    </row>
    <row r="678" spans="1:4" x14ac:dyDescent="0.35">
      <c r="A678" t="s">
        <v>709</v>
      </c>
      <c r="B678">
        <f>Earnings!B678</f>
        <v>601992</v>
      </c>
      <c r="C678">
        <f t="shared" si="20"/>
        <v>32898.400000000001</v>
      </c>
      <c r="D678">
        <f t="shared" si="21"/>
        <v>2741.5333333333333</v>
      </c>
    </row>
    <row r="679" spans="1:4" x14ac:dyDescent="0.35">
      <c r="A679" t="s">
        <v>710</v>
      </c>
      <c r="B679">
        <f>Earnings!B679</f>
        <v>703079.79999999993</v>
      </c>
      <c r="C679">
        <f t="shared" si="20"/>
        <v>53115.959999999992</v>
      </c>
      <c r="D679">
        <f t="shared" si="21"/>
        <v>4426.329999999999</v>
      </c>
    </row>
    <row r="680" spans="1:4" x14ac:dyDescent="0.35">
      <c r="A680" t="s">
        <v>711</v>
      </c>
      <c r="B680">
        <f>Earnings!B680</f>
        <v>599333</v>
      </c>
      <c r="C680">
        <f t="shared" si="20"/>
        <v>32366.600000000002</v>
      </c>
      <c r="D680">
        <f t="shared" si="21"/>
        <v>2697.2166666666667</v>
      </c>
    </row>
    <row r="681" spans="1:4" x14ac:dyDescent="0.35">
      <c r="A681" t="s">
        <v>712</v>
      </c>
      <c r="B681">
        <f>Earnings!B681</f>
        <v>567759</v>
      </c>
      <c r="C681">
        <f t="shared" si="20"/>
        <v>26051.800000000003</v>
      </c>
      <c r="D681">
        <f t="shared" si="21"/>
        <v>2170.9833333333336</v>
      </c>
    </row>
    <row r="682" spans="1:4" x14ac:dyDescent="0.35">
      <c r="A682" t="s">
        <v>713</v>
      </c>
      <c r="B682">
        <f>Earnings!B682</f>
        <v>757095</v>
      </c>
      <c r="C682">
        <f t="shared" si="20"/>
        <v>63919</v>
      </c>
      <c r="D682">
        <f t="shared" si="21"/>
        <v>5326.583333333333</v>
      </c>
    </row>
    <row r="683" spans="1:4" x14ac:dyDescent="0.35">
      <c r="A683" t="s">
        <v>714</v>
      </c>
      <c r="B683">
        <f>Earnings!B683</f>
        <v>782330.7</v>
      </c>
      <c r="C683">
        <f t="shared" si="20"/>
        <v>68966.139999999985</v>
      </c>
      <c r="D683">
        <f t="shared" si="21"/>
        <v>5747.1783333333324</v>
      </c>
    </row>
    <row r="684" spans="1:4" x14ac:dyDescent="0.35">
      <c r="A684" t="s">
        <v>715</v>
      </c>
      <c r="B684">
        <f>Earnings!B684</f>
        <v>704144.75</v>
      </c>
      <c r="C684">
        <f t="shared" si="20"/>
        <v>53328.950000000004</v>
      </c>
      <c r="D684">
        <f t="shared" si="21"/>
        <v>4444.0791666666673</v>
      </c>
    </row>
    <row r="685" spans="1:4" x14ac:dyDescent="0.35">
      <c r="A685" t="s">
        <v>716</v>
      </c>
      <c r="B685">
        <f>Earnings!B685</f>
        <v>827365</v>
      </c>
      <c r="C685">
        <f t="shared" si="20"/>
        <v>77973</v>
      </c>
      <c r="D685">
        <f t="shared" si="21"/>
        <v>6497.75</v>
      </c>
    </row>
    <row r="686" spans="1:4" x14ac:dyDescent="0.35">
      <c r="A686" t="s">
        <v>717</v>
      </c>
      <c r="B686">
        <f>Earnings!B686</f>
        <v>1034637.4</v>
      </c>
      <c r="C686">
        <f t="shared" si="20"/>
        <v>122891.22</v>
      </c>
      <c r="D686">
        <f t="shared" si="21"/>
        <v>10240.934999999999</v>
      </c>
    </row>
    <row r="687" spans="1:4" x14ac:dyDescent="0.35">
      <c r="A687" t="s">
        <v>718</v>
      </c>
      <c r="B687">
        <f>Earnings!B687</f>
        <v>696603.65</v>
      </c>
      <c r="C687">
        <f t="shared" si="20"/>
        <v>51820.73000000001</v>
      </c>
      <c r="D687">
        <f t="shared" si="21"/>
        <v>4318.3941666666678</v>
      </c>
    </row>
    <row r="688" spans="1:4" x14ac:dyDescent="0.35">
      <c r="A688" t="s">
        <v>719</v>
      </c>
      <c r="B688">
        <f>Earnings!B688</f>
        <v>757797</v>
      </c>
      <c r="C688">
        <f t="shared" si="20"/>
        <v>64059.4</v>
      </c>
      <c r="D688">
        <f t="shared" si="21"/>
        <v>5338.2833333333338</v>
      </c>
    </row>
    <row r="689" spans="1:4" x14ac:dyDescent="0.35">
      <c r="A689" t="s">
        <v>720</v>
      </c>
      <c r="B689">
        <f>Earnings!B689</f>
        <v>760056</v>
      </c>
      <c r="C689">
        <f t="shared" si="20"/>
        <v>64511.200000000004</v>
      </c>
      <c r="D689">
        <f t="shared" si="21"/>
        <v>5375.9333333333334</v>
      </c>
    </row>
    <row r="690" spans="1:4" x14ac:dyDescent="0.35">
      <c r="A690" t="s">
        <v>721</v>
      </c>
      <c r="B690">
        <f>Earnings!B690</f>
        <v>421762.95</v>
      </c>
      <c r="C690">
        <f t="shared" si="20"/>
        <v>8588.1475000000009</v>
      </c>
      <c r="D690">
        <f t="shared" si="21"/>
        <v>715.67895833333341</v>
      </c>
    </row>
    <row r="691" spans="1:4" x14ac:dyDescent="0.35">
      <c r="A691" t="s">
        <v>722</v>
      </c>
      <c r="B691">
        <f>Earnings!B691</f>
        <v>796143.7</v>
      </c>
      <c r="C691">
        <f t="shared" si="20"/>
        <v>71728.739999999991</v>
      </c>
      <c r="D691">
        <f t="shared" si="21"/>
        <v>5977.3949999999995</v>
      </c>
    </row>
    <row r="692" spans="1:4" x14ac:dyDescent="0.35">
      <c r="A692" t="s">
        <v>723</v>
      </c>
      <c r="B692">
        <f>Earnings!B692</f>
        <v>391629.9</v>
      </c>
      <c r="C692">
        <f t="shared" si="20"/>
        <v>7081.4950000000017</v>
      </c>
      <c r="D692">
        <f t="shared" si="21"/>
        <v>590.12458333333348</v>
      </c>
    </row>
    <row r="693" spans="1:4" x14ac:dyDescent="0.35">
      <c r="A693" t="s">
        <v>724</v>
      </c>
      <c r="B693">
        <f>Earnings!B693</f>
        <v>573209.1</v>
      </c>
      <c r="C693">
        <f t="shared" si="20"/>
        <v>27141.819999999996</v>
      </c>
      <c r="D693">
        <f t="shared" si="21"/>
        <v>2261.8183333333332</v>
      </c>
    </row>
    <row r="694" spans="1:4" x14ac:dyDescent="0.35">
      <c r="A694" t="s">
        <v>725</v>
      </c>
      <c r="B694">
        <f>Earnings!B694</f>
        <v>417224</v>
      </c>
      <c r="C694">
        <f t="shared" si="20"/>
        <v>8361.2000000000007</v>
      </c>
      <c r="D694">
        <f t="shared" si="21"/>
        <v>696.76666666666677</v>
      </c>
    </row>
    <row r="695" spans="1:4" x14ac:dyDescent="0.35">
      <c r="A695" t="s">
        <v>726</v>
      </c>
      <c r="B695">
        <f>Earnings!B695</f>
        <v>1121352</v>
      </c>
      <c r="C695">
        <f t="shared" si="20"/>
        <v>148905.60000000001</v>
      </c>
      <c r="D695">
        <f t="shared" si="21"/>
        <v>12408.800000000001</v>
      </c>
    </row>
    <row r="696" spans="1:4" x14ac:dyDescent="0.35">
      <c r="A696" t="s">
        <v>727</v>
      </c>
      <c r="B696">
        <f>Earnings!B696</f>
        <v>1104937</v>
      </c>
      <c r="C696">
        <f t="shared" si="20"/>
        <v>143981.1</v>
      </c>
      <c r="D696">
        <f t="shared" si="21"/>
        <v>11998.425000000001</v>
      </c>
    </row>
    <row r="697" spans="1:4" x14ac:dyDescent="0.35">
      <c r="A697" t="s">
        <v>728</v>
      </c>
      <c r="B697">
        <f>Earnings!B697</f>
        <v>647901</v>
      </c>
      <c r="C697">
        <f t="shared" si="20"/>
        <v>42080.2</v>
      </c>
      <c r="D697">
        <f t="shared" si="21"/>
        <v>3506.6833333333329</v>
      </c>
    </row>
    <row r="698" spans="1:4" x14ac:dyDescent="0.35">
      <c r="A698" t="s">
        <v>729</v>
      </c>
      <c r="B698">
        <f>Earnings!B698</f>
        <v>816584</v>
      </c>
      <c r="C698">
        <f t="shared" si="20"/>
        <v>75816.800000000003</v>
      </c>
      <c r="D698">
        <f t="shared" si="21"/>
        <v>6318.0666666666666</v>
      </c>
    </row>
    <row r="699" spans="1:4" x14ac:dyDescent="0.35">
      <c r="A699" t="s">
        <v>730</v>
      </c>
      <c r="B699">
        <f>Earnings!B699</f>
        <v>564900.4</v>
      </c>
      <c r="C699">
        <f t="shared" si="20"/>
        <v>25480.080000000005</v>
      </c>
      <c r="D699">
        <f t="shared" si="21"/>
        <v>2123.3400000000006</v>
      </c>
    </row>
    <row r="700" spans="1:4" x14ac:dyDescent="0.35">
      <c r="A700" t="s">
        <v>731</v>
      </c>
      <c r="B700">
        <f>Earnings!B700</f>
        <v>911957.25</v>
      </c>
      <c r="C700">
        <f t="shared" si="20"/>
        <v>94891.450000000012</v>
      </c>
      <c r="D700">
        <f t="shared" si="21"/>
        <v>7907.6208333333343</v>
      </c>
    </row>
    <row r="701" spans="1:4" x14ac:dyDescent="0.35">
      <c r="A701" t="s">
        <v>732</v>
      </c>
      <c r="B701">
        <f>Earnings!B701</f>
        <v>832456</v>
      </c>
      <c r="C701">
        <f t="shared" si="20"/>
        <v>78991.199999999997</v>
      </c>
      <c r="D701">
        <f t="shared" si="21"/>
        <v>6582.5999999999995</v>
      </c>
    </row>
    <row r="702" spans="1:4" x14ac:dyDescent="0.35">
      <c r="A702" t="s">
        <v>733</v>
      </c>
      <c r="B702">
        <f>Earnings!B702</f>
        <v>708641</v>
      </c>
      <c r="C702">
        <f t="shared" si="20"/>
        <v>54228.200000000004</v>
      </c>
      <c r="D702">
        <f t="shared" si="21"/>
        <v>4519.0166666666673</v>
      </c>
    </row>
    <row r="703" spans="1:4" x14ac:dyDescent="0.35">
      <c r="A703" t="s">
        <v>734</v>
      </c>
      <c r="B703">
        <f>Earnings!B703</f>
        <v>921479.1</v>
      </c>
      <c r="C703">
        <f t="shared" si="20"/>
        <v>96795.82</v>
      </c>
      <c r="D703">
        <f t="shared" si="21"/>
        <v>8066.3183333333336</v>
      </c>
    </row>
    <row r="704" spans="1:4" x14ac:dyDescent="0.35">
      <c r="A704" t="s">
        <v>735</v>
      </c>
      <c r="B704">
        <f>Earnings!B704</f>
        <v>1064080.75</v>
      </c>
      <c r="C704">
        <f t="shared" si="20"/>
        <v>131724.22500000001</v>
      </c>
      <c r="D704">
        <f t="shared" si="21"/>
        <v>10977.018750000001</v>
      </c>
    </row>
    <row r="705" spans="1:4" x14ac:dyDescent="0.35">
      <c r="A705" t="s">
        <v>736</v>
      </c>
      <c r="B705">
        <f>Earnings!B705</f>
        <v>624153</v>
      </c>
      <c r="C705">
        <f t="shared" si="20"/>
        <v>37330.600000000006</v>
      </c>
      <c r="D705">
        <f t="shared" si="21"/>
        <v>3110.8833333333337</v>
      </c>
    </row>
    <row r="706" spans="1:4" x14ac:dyDescent="0.35">
      <c r="A706" t="s">
        <v>737</v>
      </c>
      <c r="B706">
        <f>Earnings!B706</f>
        <v>524417</v>
      </c>
      <c r="C706">
        <f t="shared" ref="C706:C769" si="22">IF(B706&lt;=250000,0,IF(B706&lt;=500000,(B706-250000)*0.05,IF(B706&lt;=1000000,12500+(B706-500000)*0.2,112500+(B706-1000000)*0.3)))</f>
        <v>17383.400000000001</v>
      </c>
      <c r="D706">
        <f t="shared" ref="D706:D769" si="23">C706/12</f>
        <v>1448.6166666666668</v>
      </c>
    </row>
    <row r="707" spans="1:4" x14ac:dyDescent="0.35">
      <c r="A707" t="s">
        <v>738</v>
      </c>
      <c r="B707">
        <f>Earnings!B707</f>
        <v>864734</v>
      </c>
      <c r="C707">
        <f t="shared" si="22"/>
        <v>85446.8</v>
      </c>
      <c r="D707">
        <f t="shared" si="23"/>
        <v>7120.5666666666666</v>
      </c>
    </row>
    <row r="708" spans="1:4" x14ac:dyDescent="0.35">
      <c r="A708" t="s">
        <v>739</v>
      </c>
      <c r="B708">
        <f>Earnings!B708</f>
        <v>533899</v>
      </c>
      <c r="C708">
        <f t="shared" si="22"/>
        <v>19279.8</v>
      </c>
      <c r="D708">
        <f t="shared" si="23"/>
        <v>1606.6499999999999</v>
      </c>
    </row>
    <row r="709" spans="1:4" x14ac:dyDescent="0.35">
      <c r="A709" t="s">
        <v>740</v>
      </c>
      <c r="B709">
        <f>Earnings!B709</f>
        <v>609348</v>
      </c>
      <c r="C709">
        <f t="shared" si="22"/>
        <v>34369.600000000006</v>
      </c>
      <c r="D709">
        <f t="shared" si="23"/>
        <v>2864.1333333333337</v>
      </c>
    </row>
    <row r="710" spans="1:4" x14ac:dyDescent="0.35">
      <c r="A710" t="s">
        <v>741</v>
      </c>
      <c r="B710">
        <f>Earnings!B710</f>
        <v>1407446</v>
      </c>
      <c r="C710">
        <f t="shared" si="22"/>
        <v>234733.8</v>
      </c>
      <c r="D710">
        <f t="shared" si="23"/>
        <v>19561.149999999998</v>
      </c>
    </row>
    <row r="711" spans="1:4" x14ac:dyDescent="0.35">
      <c r="A711" t="s">
        <v>742</v>
      </c>
      <c r="B711">
        <f>Earnings!B711</f>
        <v>762301</v>
      </c>
      <c r="C711">
        <f t="shared" si="22"/>
        <v>64960.200000000004</v>
      </c>
      <c r="D711">
        <f t="shared" si="23"/>
        <v>5413.35</v>
      </c>
    </row>
    <row r="712" spans="1:4" x14ac:dyDescent="0.35">
      <c r="A712" t="s">
        <v>743</v>
      </c>
      <c r="B712">
        <f>Earnings!B712</f>
        <v>975198</v>
      </c>
      <c r="C712">
        <f t="shared" si="22"/>
        <v>107539.6</v>
      </c>
      <c r="D712">
        <f t="shared" si="23"/>
        <v>8961.6333333333332</v>
      </c>
    </row>
    <row r="713" spans="1:4" x14ac:dyDescent="0.35">
      <c r="A713" t="s">
        <v>744</v>
      </c>
      <c r="B713">
        <f>Earnings!B713</f>
        <v>941202</v>
      </c>
      <c r="C713">
        <f t="shared" si="22"/>
        <v>100740.40000000001</v>
      </c>
      <c r="D713">
        <f t="shared" si="23"/>
        <v>8395.0333333333347</v>
      </c>
    </row>
    <row r="714" spans="1:4" x14ac:dyDescent="0.35">
      <c r="A714" t="s">
        <v>745</v>
      </c>
      <c r="B714">
        <f>Earnings!B714</f>
        <v>737010</v>
      </c>
      <c r="C714">
        <f t="shared" si="22"/>
        <v>59902</v>
      </c>
      <c r="D714">
        <f t="shared" si="23"/>
        <v>4991.833333333333</v>
      </c>
    </row>
    <row r="715" spans="1:4" x14ac:dyDescent="0.35">
      <c r="A715" t="s">
        <v>746</v>
      </c>
      <c r="B715">
        <f>Earnings!B715</f>
        <v>689869</v>
      </c>
      <c r="C715">
        <f t="shared" si="22"/>
        <v>50473.8</v>
      </c>
      <c r="D715">
        <f t="shared" si="23"/>
        <v>4206.1500000000005</v>
      </c>
    </row>
    <row r="716" spans="1:4" x14ac:dyDescent="0.35">
      <c r="A716" t="s">
        <v>747</v>
      </c>
      <c r="B716">
        <f>Earnings!B716</f>
        <v>664001</v>
      </c>
      <c r="C716">
        <f t="shared" si="22"/>
        <v>45300.200000000004</v>
      </c>
      <c r="D716">
        <f t="shared" si="23"/>
        <v>3775.0166666666669</v>
      </c>
    </row>
    <row r="717" spans="1:4" x14ac:dyDescent="0.35">
      <c r="A717" t="s">
        <v>748</v>
      </c>
      <c r="B717">
        <f>Earnings!B717</f>
        <v>931372.39999999991</v>
      </c>
      <c r="C717">
        <f t="shared" si="22"/>
        <v>98774.479999999981</v>
      </c>
      <c r="D717">
        <f t="shared" si="23"/>
        <v>8231.2066666666651</v>
      </c>
    </row>
    <row r="718" spans="1:4" x14ac:dyDescent="0.35">
      <c r="A718" t="s">
        <v>749</v>
      </c>
      <c r="B718">
        <f>Earnings!B718</f>
        <v>998264.75</v>
      </c>
      <c r="C718">
        <f t="shared" si="22"/>
        <v>112152.95000000001</v>
      </c>
      <c r="D718">
        <f t="shared" si="23"/>
        <v>9346.0791666666682</v>
      </c>
    </row>
    <row r="719" spans="1:4" x14ac:dyDescent="0.35">
      <c r="A719" t="s">
        <v>750</v>
      </c>
      <c r="B719">
        <f>Earnings!B719</f>
        <v>903054</v>
      </c>
      <c r="C719">
        <f t="shared" si="22"/>
        <v>93110.8</v>
      </c>
      <c r="D719">
        <f t="shared" si="23"/>
        <v>7759.2333333333336</v>
      </c>
    </row>
    <row r="720" spans="1:4" x14ac:dyDescent="0.35">
      <c r="A720" t="s">
        <v>751</v>
      </c>
      <c r="B720">
        <f>Earnings!B720</f>
        <v>740061</v>
      </c>
      <c r="C720">
        <f t="shared" si="22"/>
        <v>60512.200000000004</v>
      </c>
      <c r="D720">
        <f t="shared" si="23"/>
        <v>5042.6833333333334</v>
      </c>
    </row>
    <row r="721" spans="1:4" x14ac:dyDescent="0.35">
      <c r="A721" t="s">
        <v>752</v>
      </c>
      <c r="B721">
        <f>Earnings!B721</f>
        <v>976814</v>
      </c>
      <c r="C721">
        <f t="shared" si="22"/>
        <v>107862.8</v>
      </c>
      <c r="D721">
        <f t="shared" si="23"/>
        <v>8988.5666666666675</v>
      </c>
    </row>
    <row r="722" spans="1:4" x14ac:dyDescent="0.35">
      <c r="A722" t="s">
        <v>753</v>
      </c>
      <c r="B722">
        <f>Earnings!B722</f>
        <v>1304784</v>
      </c>
      <c r="C722">
        <f t="shared" si="22"/>
        <v>203935.2</v>
      </c>
      <c r="D722">
        <f t="shared" si="23"/>
        <v>16994.600000000002</v>
      </c>
    </row>
    <row r="723" spans="1:4" x14ac:dyDescent="0.35">
      <c r="A723" t="s">
        <v>754</v>
      </c>
      <c r="B723">
        <f>Earnings!B723</f>
        <v>554965</v>
      </c>
      <c r="C723">
        <f t="shared" si="22"/>
        <v>23493</v>
      </c>
      <c r="D723">
        <f t="shared" si="23"/>
        <v>1957.75</v>
      </c>
    </row>
    <row r="724" spans="1:4" x14ac:dyDescent="0.35">
      <c r="A724" t="s">
        <v>755</v>
      </c>
      <c r="B724">
        <f>Earnings!B724</f>
        <v>982272</v>
      </c>
      <c r="C724">
        <f t="shared" si="22"/>
        <v>108954.40000000001</v>
      </c>
      <c r="D724">
        <f t="shared" si="23"/>
        <v>9079.5333333333347</v>
      </c>
    </row>
    <row r="725" spans="1:4" x14ac:dyDescent="0.35">
      <c r="A725" t="s">
        <v>756</v>
      </c>
      <c r="B725">
        <f>Earnings!B725</f>
        <v>1108608</v>
      </c>
      <c r="C725">
        <f t="shared" si="22"/>
        <v>145082.4</v>
      </c>
      <c r="D725">
        <f t="shared" si="23"/>
        <v>12090.199999999999</v>
      </c>
    </row>
    <row r="726" spans="1:4" x14ac:dyDescent="0.35">
      <c r="A726" t="s">
        <v>757</v>
      </c>
      <c r="B726">
        <f>Earnings!B726</f>
        <v>777481.89999999991</v>
      </c>
      <c r="C726">
        <f t="shared" si="22"/>
        <v>67996.379999999976</v>
      </c>
      <c r="D726">
        <f t="shared" si="23"/>
        <v>5666.364999999998</v>
      </c>
    </row>
    <row r="727" spans="1:4" x14ac:dyDescent="0.35">
      <c r="A727" t="s">
        <v>758</v>
      </c>
      <c r="B727">
        <f>Earnings!B727</f>
        <v>1210973.55</v>
      </c>
      <c r="C727">
        <f t="shared" si="22"/>
        <v>175792.065</v>
      </c>
      <c r="D727">
        <f t="shared" si="23"/>
        <v>14649.338750000001</v>
      </c>
    </row>
    <row r="728" spans="1:4" x14ac:dyDescent="0.35">
      <c r="A728" t="s">
        <v>759</v>
      </c>
      <c r="B728">
        <f>Earnings!B728</f>
        <v>1137641</v>
      </c>
      <c r="C728">
        <f t="shared" si="22"/>
        <v>153792.29999999999</v>
      </c>
      <c r="D728">
        <f t="shared" si="23"/>
        <v>12816.025</v>
      </c>
    </row>
    <row r="729" spans="1:4" x14ac:dyDescent="0.35">
      <c r="A729" t="s">
        <v>760</v>
      </c>
      <c r="B729">
        <f>Earnings!B729</f>
        <v>1115480.5</v>
      </c>
      <c r="C729">
        <f t="shared" si="22"/>
        <v>147144.15</v>
      </c>
      <c r="D729">
        <f t="shared" si="23"/>
        <v>12262.012499999999</v>
      </c>
    </row>
    <row r="730" spans="1:4" x14ac:dyDescent="0.35">
      <c r="A730" t="s">
        <v>761</v>
      </c>
      <c r="B730">
        <f>Earnings!B730</f>
        <v>1025472.75</v>
      </c>
      <c r="C730">
        <f t="shared" si="22"/>
        <v>120141.825</v>
      </c>
      <c r="D730">
        <f t="shared" si="23"/>
        <v>10011.81875</v>
      </c>
    </row>
    <row r="731" spans="1:4" x14ac:dyDescent="0.35">
      <c r="A731" t="s">
        <v>762</v>
      </c>
      <c r="B731">
        <f>Earnings!B731</f>
        <v>481370</v>
      </c>
      <c r="C731">
        <f t="shared" si="22"/>
        <v>11568.5</v>
      </c>
      <c r="D731">
        <f t="shared" si="23"/>
        <v>964.04166666666663</v>
      </c>
    </row>
    <row r="732" spans="1:4" x14ac:dyDescent="0.35">
      <c r="A732" t="s">
        <v>763</v>
      </c>
      <c r="B732">
        <f>Earnings!B732</f>
        <v>900660</v>
      </c>
      <c r="C732">
        <f t="shared" si="22"/>
        <v>92632</v>
      </c>
      <c r="D732">
        <f t="shared" si="23"/>
        <v>7719.333333333333</v>
      </c>
    </row>
    <row r="733" spans="1:4" x14ac:dyDescent="0.35">
      <c r="A733" t="s">
        <v>764</v>
      </c>
      <c r="B733">
        <f>Earnings!B733</f>
        <v>589076</v>
      </c>
      <c r="C733">
        <f t="shared" si="22"/>
        <v>30315.200000000001</v>
      </c>
      <c r="D733">
        <f t="shared" si="23"/>
        <v>2526.2666666666669</v>
      </c>
    </row>
    <row r="734" spans="1:4" x14ac:dyDescent="0.35">
      <c r="A734" t="s">
        <v>765</v>
      </c>
      <c r="B734">
        <f>Earnings!B734</f>
        <v>446536</v>
      </c>
      <c r="C734">
        <f t="shared" si="22"/>
        <v>9826.8000000000011</v>
      </c>
      <c r="D734">
        <f t="shared" si="23"/>
        <v>818.90000000000009</v>
      </c>
    </row>
    <row r="735" spans="1:4" x14ac:dyDescent="0.35">
      <c r="A735" t="s">
        <v>766</v>
      </c>
      <c r="B735">
        <f>Earnings!B735</f>
        <v>814200.35</v>
      </c>
      <c r="C735">
        <f t="shared" si="22"/>
        <v>75340.070000000007</v>
      </c>
      <c r="D735">
        <f t="shared" si="23"/>
        <v>6278.3391666666676</v>
      </c>
    </row>
    <row r="736" spans="1:4" x14ac:dyDescent="0.35">
      <c r="A736" t="s">
        <v>767</v>
      </c>
      <c r="B736">
        <f>Earnings!B736</f>
        <v>1043609</v>
      </c>
      <c r="C736">
        <f t="shared" si="22"/>
        <v>125582.7</v>
      </c>
      <c r="D736">
        <f t="shared" si="23"/>
        <v>10465.225</v>
      </c>
    </row>
    <row r="737" spans="1:4" x14ac:dyDescent="0.35">
      <c r="A737" t="s">
        <v>768</v>
      </c>
      <c r="B737">
        <f>Earnings!B737</f>
        <v>334489</v>
      </c>
      <c r="C737">
        <f t="shared" si="22"/>
        <v>4224.45</v>
      </c>
      <c r="D737">
        <f t="shared" si="23"/>
        <v>352.03749999999997</v>
      </c>
    </row>
    <row r="738" spans="1:4" x14ac:dyDescent="0.35">
      <c r="A738" t="s">
        <v>769</v>
      </c>
      <c r="B738">
        <f>Earnings!B738</f>
        <v>1213132</v>
      </c>
      <c r="C738">
        <f t="shared" si="22"/>
        <v>176439.6</v>
      </c>
      <c r="D738">
        <f t="shared" si="23"/>
        <v>14703.300000000001</v>
      </c>
    </row>
    <row r="739" spans="1:4" x14ac:dyDescent="0.35">
      <c r="A739" t="s">
        <v>770</v>
      </c>
      <c r="B739">
        <f>Earnings!B739</f>
        <v>1341435.1499999999</v>
      </c>
      <c r="C739">
        <f t="shared" si="22"/>
        <v>214930.54499999998</v>
      </c>
      <c r="D739">
        <f t="shared" si="23"/>
        <v>17910.87875</v>
      </c>
    </row>
    <row r="740" spans="1:4" x14ac:dyDescent="0.35">
      <c r="A740" t="s">
        <v>771</v>
      </c>
      <c r="B740">
        <f>Earnings!B740</f>
        <v>959098</v>
      </c>
      <c r="C740">
        <f t="shared" si="22"/>
        <v>104319.6</v>
      </c>
      <c r="D740">
        <f t="shared" si="23"/>
        <v>8693.3000000000011</v>
      </c>
    </row>
    <row r="741" spans="1:4" x14ac:dyDescent="0.35">
      <c r="A741" t="s">
        <v>772</v>
      </c>
      <c r="B741">
        <f>Earnings!B741</f>
        <v>786860</v>
      </c>
      <c r="C741">
        <f t="shared" si="22"/>
        <v>69872</v>
      </c>
      <c r="D741">
        <f t="shared" si="23"/>
        <v>5822.666666666667</v>
      </c>
    </row>
    <row r="742" spans="1:4" x14ac:dyDescent="0.35">
      <c r="A742" t="s">
        <v>773</v>
      </c>
      <c r="B742">
        <f>Earnings!B742</f>
        <v>973726.25</v>
      </c>
      <c r="C742">
        <f t="shared" si="22"/>
        <v>107245.25</v>
      </c>
      <c r="D742">
        <f t="shared" si="23"/>
        <v>8937.1041666666661</v>
      </c>
    </row>
    <row r="743" spans="1:4" x14ac:dyDescent="0.35">
      <c r="A743" t="s">
        <v>774</v>
      </c>
      <c r="B743">
        <f>Earnings!B743</f>
        <v>827774</v>
      </c>
      <c r="C743">
        <f t="shared" si="22"/>
        <v>78054.8</v>
      </c>
      <c r="D743">
        <f t="shared" si="23"/>
        <v>6504.5666666666666</v>
      </c>
    </row>
    <row r="744" spans="1:4" x14ac:dyDescent="0.35">
      <c r="A744" t="s">
        <v>775</v>
      </c>
      <c r="B744">
        <f>Earnings!B744</f>
        <v>1205099.7</v>
      </c>
      <c r="C744">
        <f t="shared" si="22"/>
        <v>174029.90999999997</v>
      </c>
      <c r="D744">
        <f t="shared" si="23"/>
        <v>14502.492499999998</v>
      </c>
    </row>
    <row r="745" spans="1:4" x14ac:dyDescent="0.35">
      <c r="A745" t="s">
        <v>776</v>
      </c>
      <c r="B745">
        <f>Earnings!B745</f>
        <v>1029269.9</v>
      </c>
      <c r="C745">
        <f t="shared" si="22"/>
        <v>121280.97</v>
      </c>
      <c r="D745">
        <f t="shared" si="23"/>
        <v>10106.747499999999</v>
      </c>
    </row>
    <row r="746" spans="1:4" x14ac:dyDescent="0.35">
      <c r="A746" t="s">
        <v>777</v>
      </c>
      <c r="B746">
        <f>Earnings!B746</f>
        <v>545617</v>
      </c>
      <c r="C746">
        <f t="shared" si="22"/>
        <v>21623.4</v>
      </c>
      <c r="D746">
        <f t="shared" si="23"/>
        <v>1801.95</v>
      </c>
    </row>
    <row r="747" spans="1:4" x14ac:dyDescent="0.35">
      <c r="A747" t="s">
        <v>778</v>
      </c>
      <c r="B747">
        <f>Earnings!B747</f>
        <v>1296290</v>
      </c>
      <c r="C747">
        <f t="shared" si="22"/>
        <v>201387</v>
      </c>
      <c r="D747">
        <f t="shared" si="23"/>
        <v>16782.25</v>
      </c>
    </row>
    <row r="748" spans="1:4" x14ac:dyDescent="0.35">
      <c r="A748" t="s">
        <v>779</v>
      </c>
      <c r="B748">
        <f>Earnings!B748</f>
        <v>1224985.1000000001</v>
      </c>
      <c r="C748">
        <f t="shared" si="22"/>
        <v>179995.53000000003</v>
      </c>
      <c r="D748">
        <f t="shared" si="23"/>
        <v>14999.627500000002</v>
      </c>
    </row>
    <row r="749" spans="1:4" x14ac:dyDescent="0.35">
      <c r="A749" t="s">
        <v>780</v>
      </c>
      <c r="B749">
        <f>Earnings!B749</f>
        <v>975174.04999999993</v>
      </c>
      <c r="C749">
        <f t="shared" si="22"/>
        <v>107534.81</v>
      </c>
      <c r="D749">
        <f t="shared" si="23"/>
        <v>8961.2341666666671</v>
      </c>
    </row>
    <row r="750" spans="1:4" x14ac:dyDescent="0.35">
      <c r="A750" t="s">
        <v>781</v>
      </c>
      <c r="B750">
        <f>Earnings!B750</f>
        <v>545633</v>
      </c>
      <c r="C750">
        <f t="shared" si="22"/>
        <v>21626.6</v>
      </c>
      <c r="D750">
        <f t="shared" si="23"/>
        <v>1802.2166666666665</v>
      </c>
    </row>
    <row r="751" spans="1:4" x14ac:dyDescent="0.35">
      <c r="A751" t="s">
        <v>782</v>
      </c>
      <c r="B751">
        <f>Earnings!B751</f>
        <v>1099028.3999999999</v>
      </c>
      <c r="C751">
        <f t="shared" si="22"/>
        <v>142208.51999999996</v>
      </c>
      <c r="D751">
        <f t="shared" si="23"/>
        <v>11850.709999999997</v>
      </c>
    </row>
    <row r="752" spans="1:4" x14ac:dyDescent="0.35">
      <c r="A752" t="s">
        <v>783</v>
      </c>
      <c r="B752">
        <f>Earnings!B752</f>
        <v>604893.5</v>
      </c>
      <c r="C752">
        <f t="shared" si="22"/>
        <v>33478.699999999997</v>
      </c>
      <c r="D752">
        <f t="shared" si="23"/>
        <v>2789.8916666666664</v>
      </c>
    </row>
    <row r="753" spans="1:4" x14ac:dyDescent="0.35">
      <c r="A753" t="s">
        <v>784</v>
      </c>
      <c r="B753">
        <f>Earnings!B753</f>
        <v>477069</v>
      </c>
      <c r="C753">
        <f t="shared" si="22"/>
        <v>11353.45</v>
      </c>
      <c r="D753">
        <f t="shared" si="23"/>
        <v>946.12083333333339</v>
      </c>
    </row>
    <row r="754" spans="1:4" x14ac:dyDescent="0.35">
      <c r="A754" t="s">
        <v>785</v>
      </c>
      <c r="B754">
        <f>Earnings!B754</f>
        <v>763344</v>
      </c>
      <c r="C754">
        <f t="shared" si="22"/>
        <v>65168.800000000003</v>
      </c>
      <c r="D754">
        <f t="shared" si="23"/>
        <v>5430.7333333333336</v>
      </c>
    </row>
    <row r="755" spans="1:4" x14ac:dyDescent="0.35">
      <c r="A755" t="s">
        <v>786</v>
      </c>
      <c r="B755">
        <f>Earnings!B755</f>
        <v>1167418.8999999999</v>
      </c>
      <c r="C755">
        <f t="shared" si="22"/>
        <v>162725.66999999998</v>
      </c>
      <c r="D755">
        <f t="shared" si="23"/>
        <v>13560.472499999998</v>
      </c>
    </row>
    <row r="756" spans="1:4" x14ac:dyDescent="0.35">
      <c r="A756" t="s">
        <v>787</v>
      </c>
      <c r="B756">
        <f>Earnings!B756</f>
        <v>1048719.25</v>
      </c>
      <c r="C756">
        <f t="shared" si="22"/>
        <v>127115.77499999999</v>
      </c>
      <c r="D756">
        <f t="shared" si="23"/>
        <v>10592.981249999999</v>
      </c>
    </row>
    <row r="757" spans="1:4" x14ac:dyDescent="0.35">
      <c r="A757" t="s">
        <v>788</v>
      </c>
      <c r="B757">
        <f>Earnings!B757</f>
        <v>565231</v>
      </c>
      <c r="C757">
        <f t="shared" si="22"/>
        <v>25546.2</v>
      </c>
      <c r="D757">
        <f t="shared" si="23"/>
        <v>2128.85</v>
      </c>
    </row>
    <row r="758" spans="1:4" x14ac:dyDescent="0.35">
      <c r="A758" t="s">
        <v>789</v>
      </c>
      <c r="B758">
        <f>Earnings!B758</f>
        <v>1081389</v>
      </c>
      <c r="C758">
        <f t="shared" si="22"/>
        <v>136916.70000000001</v>
      </c>
      <c r="D758">
        <f t="shared" si="23"/>
        <v>11409.725</v>
      </c>
    </row>
    <row r="759" spans="1:4" x14ac:dyDescent="0.35">
      <c r="A759" t="s">
        <v>790</v>
      </c>
      <c r="B759">
        <f>Earnings!B759</f>
        <v>796164.6</v>
      </c>
      <c r="C759">
        <f t="shared" si="22"/>
        <v>71732.92</v>
      </c>
      <c r="D759">
        <f t="shared" si="23"/>
        <v>5977.7433333333329</v>
      </c>
    </row>
    <row r="760" spans="1:4" x14ac:dyDescent="0.35">
      <c r="A760" t="s">
        <v>791</v>
      </c>
      <c r="B760">
        <f>Earnings!B760</f>
        <v>871386</v>
      </c>
      <c r="C760">
        <f t="shared" si="22"/>
        <v>86777.2</v>
      </c>
      <c r="D760">
        <f t="shared" si="23"/>
        <v>7231.4333333333334</v>
      </c>
    </row>
    <row r="761" spans="1:4" x14ac:dyDescent="0.35">
      <c r="A761" t="s">
        <v>792</v>
      </c>
      <c r="B761">
        <f>Earnings!B761</f>
        <v>670487.19999999995</v>
      </c>
      <c r="C761">
        <f t="shared" si="22"/>
        <v>46597.439999999995</v>
      </c>
      <c r="D761">
        <f t="shared" si="23"/>
        <v>3883.1199999999994</v>
      </c>
    </row>
    <row r="762" spans="1:4" x14ac:dyDescent="0.35">
      <c r="A762" t="s">
        <v>793</v>
      </c>
      <c r="B762">
        <f>Earnings!B762</f>
        <v>916450.75</v>
      </c>
      <c r="C762">
        <f t="shared" si="22"/>
        <v>95790.150000000009</v>
      </c>
      <c r="D762">
        <f t="shared" si="23"/>
        <v>7982.5125000000007</v>
      </c>
    </row>
    <row r="763" spans="1:4" x14ac:dyDescent="0.35">
      <c r="A763" t="s">
        <v>794</v>
      </c>
      <c r="B763">
        <f>Earnings!B763</f>
        <v>989739</v>
      </c>
      <c r="C763">
        <f t="shared" si="22"/>
        <v>110447.8</v>
      </c>
      <c r="D763">
        <f t="shared" si="23"/>
        <v>9203.9833333333336</v>
      </c>
    </row>
    <row r="764" spans="1:4" x14ac:dyDescent="0.35">
      <c r="A764" t="s">
        <v>795</v>
      </c>
      <c r="B764">
        <f>Earnings!B764</f>
        <v>709168.35</v>
      </c>
      <c r="C764">
        <f t="shared" si="22"/>
        <v>54333.67</v>
      </c>
      <c r="D764">
        <f t="shared" si="23"/>
        <v>4527.8058333333329</v>
      </c>
    </row>
    <row r="765" spans="1:4" x14ac:dyDescent="0.35">
      <c r="A765" t="s">
        <v>796</v>
      </c>
      <c r="B765">
        <f>Earnings!B765</f>
        <v>863834.04999999993</v>
      </c>
      <c r="C765">
        <f t="shared" si="22"/>
        <v>85266.809999999983</v>
      </c>
      <c r="D765">
        <f t="shared" si="23"/>
        <v>7105.5674999999983</v>
      </c>
    </row>
    <row r="766" spans="1:4" x14ac:dyDescent="0.35">
      <c r="A766" t="s">
        <v>797</v>
      </c>
      <c r="B766">
        <f>Earnings!B766</f>
        <v>774461.85</v>
      </c>
      <c r="C766">
        <f t="shared" si="22"/>
        <v>67392.37</v>
      </c>
      <c r="D766">
        <f t="shared" si="23"/>
        <v>5616.0308333333332</v>
      </c>
    </row>
    <row r="767" spans="1:4" x14ac:dyDescent="0.35">
      <c r="A767" t="s">
        <v>798</v>
      </c>
      <c r="B767">
        <f>Earnings!B767</f>
        <v>767079</v>
      </c>
      <c r="C767">
        <f t="shared" si="22"/>
        <v>65915.8</v>
      </c>
      <c r="D767">
        <f t="shared" si="23"/>
        <v>5492.9833333333336</v>
      </c>
    </row>
    <row r="768" spans="1:4" x14ac:dyDescent="0.35">
      <c r="A768" t="s">
        <v>799</v>
      </c>
      <c r="B768">
        <f>Earnings!B768</f>
        <v>783773</v>
      </c>
      <c r="C768">
        <f t="shared" si="22"/>
        <v>69254.600000000006</v>
      </c>
      <c r="D768">
        <f t="shared" si="23"/>
        <v>5771.2166666666672</v>
      </c>
    </row>
    <row r="769" spans="1:4" x14ac:dyDescent="0.35">
      <c r="A769" t="s">
        <v>800</v>
      </c>
      <c r="B769">
        <f>Earnings!B769</f>
        <v>584626</v>
      </c>
      <c r="C769">
        <f t="shared" si="22"/>
        <v>29425.200000000001</v>
      </c>
      <c r="D769">
        <f t="shared" si="23"/>
        <v>2452.1</v>
      </c>
    </row>
    <row r="770" spans="1:4" x14ac:dyDescent="0.35">
      <c r="A770" t="s">
        <v>801</v>
      </c>
      <c r="B770">
        <f>Earnings!B770</f>
        <v>980372.45</v>
      </c>
      <c r="C770">
        <f t="shared" ref="C770:C833" si="24">IF(B770&lt;=250000,0,IF(B770&lt;=500000,(B770-250000)*0.05,IF(B770&lt;=1000000,12500+(B770-500000)*0.2,112500+(B770-1000000)*0.3)))</f>
        <v>108574.48999999999</v>
      </c>
      <c r="D770">
        <f t="shared" ref="D770:D833" si="25">C770/12</f>
        <v>9047.8741666666665</v>
      </c>
    </row>
    <row r="771" spans="1:4" x14ac:dyDescent="0.35">
      <c r="A771" t="s">
        <v>802</v>
      </c>
      <c r="B771">
        <f>Earnings!B771</f>
        <v>429282</v>
      </c>
      <c r="C771">
        <f t="shared" si="24"/>
        <v>8964.1</v>
      </c>
      <c r="D771">
        <f t="shared" si="25"/>
        <v>747.00833333333333</v>
      </c>
    </row>
    <row r="772" spans="1:4" x14ac:dyDescent="0.35">
      <c r="A772" t="s">
        <v>803</v>
      </c>
      <c r="B772">
        <f>Earnings!B772</f>
        <v>854842.29999999993</v>
      </c>
      <c r="C772">
        <f t="shared" si="24"/>
        <v>83468.459999999992</v>
      </c>
      <c r="D772">
        <f t="shared" si="25"/>
        <v>6955.704999999999</v>
      </c>
    </row>
    <row r="773" spans="1:4" x14ac:dyDescent="0.35">
      <c r="A773" t="s">
        <v>804</v>
      </c>
      <c r="B773">
        <f>Earnings!B773</f>
        <v>833579</v>
      </c>
      <c r="C773">
        <f t="shared" si="24"/>
        <v>79215.8</v>
      </c>
      <c r="D773">
        <f t="shared" si="25"/>
        <v>6601.3166666666666</v>
      </c>
    </row>
    <row r="774" spans="1:4" x14ac:dyDescent="0.35">
      <c r="A774" t="s">
        <v>805</v>
      </c>
      <c r="B774">
        <f>Earnings!B774</f>
        <v>820115.04999999993</v>
      </c>
      <c r="C774">
        <f t="shared" si="24"/>
        <v>76523.00999999998</v>
      </c>
      <c r="D774">
        <f t="shared" si="25"/>
        <v>6376.9174999999987</v>
      </c>
    </row>
    <row r="775" spans="1:4" x14ac:dyDescent="0.35">
      <c r="A775" t="s">
        <v>806</v>
      </c>
      <c r="B775">
        <f>Earnings!B775</f>
        <v>1145493.8500000001</v>
      </c>
      <c r="C775">
        <f t="shared" si="24"/>
        <v>156148.15500000003</v>
      </c>
      <c r="D775">
        <f t="shared" si="25"/>
        <v>13012.346250000002</v>
      </c>
    </row>
    <row r="776" spans="1:4" x14ac:dyDescent="0.35">
      <c r="A776" t="s">
        <v>807</v>
      </c>
      <c r="B776">
        <f>Earnings!B776</f>
        <v>627018</v>
      </c>
      <c r="C776">
        <f t="shared" si="24"/>
        <v>37903.600000000006</v>
      </c>
      <c r="D776">
        <f t="shared" si="25"/>
        <v>3158.6333333333337</v>
      </c>
    </row>
    <row r="777" spans="1:4" x14ac:dyDescent="0.35">
      <c r="A777" t="s">
        <v>808</v>
      </c>
      <c r="B777">
        <f>Earnings!B777</f>
        <v>891945.5</v>
      </c>
      <c r="C777">
        <f t="shared" si="24"/>
        <v>90889.1</v>
      </c>
      <c r="D777">
        <f t="shared" si="25"/>
        <v>7574.0916666666672</v>
      </c>
    </row>
    <row r="778" spans="1:4" x14ac:dyDescent="0.35">
      <c r="A778" t="s">
        <v>809</v>
      </c>
      <c r="B778">
        <f>Earnings!B778</f>
        <v>1364701</v>
      </c>
      <c r="C778">
        <f t="shared" si="24"/>
        <v>221910.3</v>
      </c>
      <c r="D778">
        <f t="shared" si="25"/>
        <v>18492.524999999998</v>
      </c>
    </row>
    <row r="779" spans="1:4" x14ac:dyDescent="0.35">
      <c r="A779" t="s">
        <v>810</v>
      </c>
      <c r="B779">
        <f>Earnings!B779</f>
        <v>495312</v>
      </c>
      <c r="C779">
        <f t="shared" si="24"/>
        <v>12265.6</v>
      </c>
      <c r="D779">
        <f t="shared" si="25"/>
        <v>1022.1333333333333</v>
      </c>
    </row>
    <row r="780" spans="1:4" x14ac:dyDescent="0.35">
      <c r="A780" t="s">
        <v>811</v>
      </c>
      <c r="B780">
        <f>Earnings!B780</f>
        <v>792866.2</v>
      </c>
      <c r="C780">
        <f t="shared" si="24"/>
        <v>71073.239999999991</v>
      </c>
      <c r="D780">
        <f t="shared" si="25"/>
        <v>5922.7699999999995</v>
      </c>
    </row>
    <row r="781" spans="1:4" x14ac:dyDescent="0.35">
      <c r="A781" t="s">
        <v>812</v>
      </c>
      <c r="B781">
        <f>Earnings!B781</f>
        <v>435308</v>
      </c>
      <c r="C781">
        <f t="shared" si="24"/>
        <v>9265.4</v>
      </c>
      <c r="D781">
        <f t="shared" si="25"/>
        <v>772.11666666666667</v>
      </c>
    </row>
    <row r="782" spans="1:4" x14ac:dyDescent="0.35">
      <c r="A782" t="s">
        <v>813</v>
      </c>
      <c r="B782">
        <f>Earnings!B782</f>
        <v>955554</v>
      </c>
      <c r="C782">
        <f t="shared" si="24"/>
        <v>103610.8</v>
      </c>
      <c r="D782">
        <f t="shared" si="25"/>
        <v>8634.2333333333336</v>
      </c>
    </row>
    <row r="783" spans="1:4" x14ac:dyDescent="0.35">
      <c r="A783" t="s">
        <v>814</v>
      </c>
      <c r="B783">
        <f>Earnings!B783</f>
        <v>1016488.6</v>
      </c>
      <c r="C783">
        <f t="shared" si="24"/>
        <v>117446.57999999999</v>
      </c>
      <c r="D783">
        <f t="shared" si="25"/>
        <v>9787.2149999999983</v>
      </c>
    </row>
    <row r="784" spans="1:4" x14ac:dyDescent="0.35">
      <c r="A784" t="s">
        <v>815</v>
      </c>
      <c r="B784">
        <f>Earnings!B784</f>
        <v>710215</v>
      </c>
      <c r="C784">
        <f t="shared" si="24"/>
        <v>54543</v>
      </c>
      <c r="D784">
        <f t="shared" si="25"/>
        <v>4545.25</v>
      </c>
    </row>
    <row r="785" spans="1:4" x14ac:dyDescent="0.35">
      <c r="A785" t="s">
        <v>816</v>
      </c>
      <c r="B785">
        <f>Earnings!B785</f>
        <v>834232</v>
      </c>
      <c r="C785">
        <f t="shared" si="24"/>
        <v>79346.400000000009</v>
      </c>
      <c r="D785">
        <f t="shared" si="25"/>
        <v>6612.2000000000007</v>
      </c>
    </row>
    <row r="786" spans="1:4" x14ac:dyDescent="0.35">
      <c r="A786" t="s">
        <v>817</v>
      </c>
      <c r="B786">
        <f>Earnings!B786</f>
        <v>619994.69999999995</v>
      </c>
      <c r="C786">
        <f t="shared" si="24"/>
        <v>36498.939999999988</v>
      </c>
      <c r="D786">
        <f t="shared" si="25"/>
        <v>3041.5783333333325</v>
      </c>
    </row>
    <row r="787" spans="1:4" x14ac:dyDescent="0.35">
      <c r="A787" t="s">
        <v>818</v>
      </c>
      <c r="B787">
        <f>Earnings!B787</f>
        <v>983304.14999999991</v>
      </c>
      <c r="C787">
        <f t="shared" si="24"/>
        <v>109160.82999999999</v>
      </c>
      <c r="D787">
        <f t="shared" si="25"/>
        <v>9096.7358333333323</v>
      </c>
    </row>
    <row r="788" spans="1:4" x14ac:dyDescent="0.35">
      <c r="A788" t="s">
        <v>819</v>
      </c>
      <c r="B788">
        <f>Earnings!B788</f>
        <v>543201.44999999995</v>
      </c>
      <c r="C788">
        <f t="shared" si="24"/>
        <v>21140.289999999994</v>
      </c>
      <c r="D788">
        <f t="shared" si="25"/>
        <v>1761.6908333333329</v>
      </c>
    </row>
    <row r="789" spans="1:4" x14ac:dyDescent="0.35">
      <c r="A789" t="s">
        <v>820</v>
      </c>
      <c r="B789">
        <f>Earnings!B789</f>
        <v>1117461.25</v>
      </c>
      <c r="C789">
        <f t="shared" si="24"/>
        <v>147738.375</v>
      </c>
      <c r="D789">
        <f t="shared" si="25"/>
        <v>12311.53125</v>
      </c>
    </row>
    <row r="790" spans="1:4" x14ac:dyDescent="0.35">
      <c r="A790" t="s">
        <v>821</v>
      </c>
      <c r="B790">
        <f>Earnings!B790</f>
        <v>473605.4</v>
      </c>
      <c r="C790">
        <f t="shared" si="24"/>
        <v>11180.270000000002</v>
      </c>
      <c r="D790">
        <f t="shared" si="25"/>
        <v>931.68916666666689</v>
      </c>
    </row>
    <row r="791" spans="1:4" x14ac:dyDescent="0.35">
      <c r="A791" t="s">
        <v>822</v>
      </c>
      <c r="B791">
        <f>Earnings!B791</f>
        <v>758614.89999999991</v>
      </c>
      <c r="C791">
        <f t="shared" si="24"/>
        <v>64222.979999999981</v>
      </c>
      <c r="D791">
        <f t="shared" si="25"/>
        <v>5351.9149999999981</v>
      </c>
    </row>
    <row r="792" spans="1:4" x14ac:dyDescent="0.35">
      <c r="A792" t="s">
        <v>823</v>
      </c>
      <c r="B792">
        <f>Earnings!B792</f>
        <v>811228.75</v>
      </c>
      <c r="C792">
        <f t="shared" si="24"/>
        <v>74745.75</v>
      </c>
      <c r="D792">
        <f t="shared" si="25"/>
        <v>6228.8125</v>
      </c>
    </row>
    <row r="793" spans="1:4" x14ac:dyDescent="0.35">
      <c r="A793" t="s">
        <v>824</v>
      </c>
      <c r="B793">
        <f>Earnings!B793</f>
        <v>1448937.15</v>
      </c>
      <c r="C793">
        <f t="shared" si="24"/>
        <v>247181.14499999996</v>
      </c>
      <c r="D793">
        <f t="shared" si="25"/>
        <v>20598.428749999995</v>
      </c>
    </row>
    <row r="794" spans="1:4" x14ac:dyDescent="0.35">
      <c r="A794" t="s">
        <v>825</v>
      </c>
      <c r="B794">
        <f>Earnings!B794</f>
        <v>698266.15</v>
      </c>
      <c r="C794">
        <f t="shared" si="24"/>
        <v>52153.23000000001</v>
      </c>
      <c r="D794">
        <f t="shared" si="25"/>
        <v>4346.1025000000009</v>
      </c>
    </row>
    <row r="795" spans="1:4" x14ac:dyDescent="0.35">
      <c r="A795" t="s">
        <v>826</v>
      </c>
      <c r="B795">
        <f>Earnings!B795</f>
        <v>589938.6</v>
      </c>
      <c r="C795">
        <f t="shared" si="24"/>
        <v>30487.719999999998</v>
      </c>
      <c r="D795">
        <f t="shared" si="25"/>
        <v>2540.643333333333</v>
      </c>
    </row>
    <row r="796" spans="1:4" x14ac:dyDescent="0.35">
      <c r="A796" t="s">
        <v>827</v>
      </c>
      <c r="B796">
        <f>Earnings!B796</f>
        <v>837172.29999999993</v>
      </c>
      <c r="C796">
        <f t="shared" si="24"/>
        <v>79934.459999999992</v>
      </c>
      <c r="D796">
        <f t="shared" si="25"/>
        <v>6661.204999999999</v>
      </c>
    </row>
    <row r="797" spans="1:4" x14ac:dyDescent="0.35">
      <c r="A797" t="s">
        <v>828</v>
      </c>
      <c r="B797">
        <f>Earnings!B797</f>
        <v>518355.15</v>
      </c>
      <c r="C797">
        <f t="shared" si="24"/>
        <v>16171.030000000004</v>
      </c>
      <c r="D797">
        <f t="shared" si="25"/>
        <v>1347.5858333333338</v>
      </c>
    </row>
    <row r="798" spans="1:4" x14ac:dyDescent="0.35">
      <c r="A798" t="s">
        <v>829</v>
      </c>
      <c r="B798">
        <f>Earnings!B798</f>
        <v>1054851</v>
      </c>
      <c r="C798">
        <f t="shared" si="24"/>
        <v>128955.3</v>
      </c>
      <c r="D798">
        <f t="shared" si="25"/>
        <v>10746.275</v>
      </c>
    </row>
    <row r="799" spans="1:4" x14ac:dyDescent="0.35">
      <c r="A799" t="s">
        <v>830</v>
      </c>
      <c r="B799">
        <f>Earnings!B799</f>
        <v>915611.89999999991</v>
      </c>
      <c r="C799">
        <f t="shared" si="24"/>
        <v>95622.37999999999</v>
      </c>
      <c r="D799">
        <f t="shared" si="25"/>
        <v>7968.5316666666658</v>
      </c>
    </row>
    <row r="800" spans="1:4" x14ac:dyDescent="0.35">
      <c r="A800" t="s">
        <v>831</v>
      </c>
      <c r="B800">
        <f>Earnings!B800</f>
        <v>989494</v>
      </c>
      <c r="C800">
        <f t="shared" si="24"/>
        <v>110398.8</v>
      </c>
      <c r="D800">
        <f t="shared" si="25"/>
        <v>9199.9</v>
      </c>
    </row>
    <row r="801" spans="1:4" x14ac:dyDescent="0.35">
      <c r="A801" t="s">
        <v>832</v>
      </c>
      <c r="B801">
        <f>Earnings!B801</f>
        <v>1161378</v>
      </c>
      <c r="C801">
        <f t="shared" si="24"/>
        <v>160913.4</v>
      </c>
      <c r="D801">
        <f t="shared" si="25"/>
        <v>13409.449999999999</v>
      </c>
    </row>
    <row r="802" spans="1:4" x14ac:dyDescent="0.35">
      <c r="A802" t="s">
        <v>833</v>
      </c>
      <c r="B802">
        <f>Earnings!B802</f>
        <v>644530.35</v>
      </c>
      <c r="C802">
        <f t="shared" si="24"/>
        <v>41406.069999999992</v>
      </c>
      <c r="D802">
        <f t="shared" si="25"/>
        <v>3450.5058333333327</v>
      </c>
    </row>
    <row r="803" spans="1:4" x14ac:dyDescent="0.35">
      <c r="A803" t="s">
        <v>834</v>
      </c>
      <c r="B803">
        <f>Earnings!B803</f>
        <v>1029309</v>
      </c>
      <c r="C803">
        <f t="shared" si="24"/>
        <v>121292.7</v>
      </c>
      <c r="D803">
        <f t="shared" si="25"/>
        <v>10107.725</v>
      </c>
    </row>
    <row r="804" spans="1:4" x14ac:dyDescent="0.35">
      <c r="A804" t="s">
        <v>835</v>
      </c>
      <c r="B804">
        <f>Earnings!B804</f>
        <v>821953.29999999993</v>
      </c>
      <c r="C804">
        <f t="shared" si="24"/>
        <v>76890.659999999989</v>
      </c>
      <c r="D804">
        <f t="shared" si="25"/>
        <v>6407.5549999999994</v>
      </c>
    </row>
    <row r="805" spans="1:4" x14ac:dyDescent="0.35">
      <c r="A805" t="s">
        <v>836</v>
      </c>
      <c r="B805">
        <f>Earnings!B805</f>
        <v>643186.1</v>
      </c>
      <c r="C805">
        <f t="shared" si="24"/>
        <v>41137.22</v>
      </c>
      <c r="D805">
        <f t="shared" si="25"/>
        <v>3428.1016666666669</v>
      </c>
    </row>
    <row r="806" spans="1:4" x14ac:dyDescent="0.35">
      <c r="A806" t="s">
        <v>837</v>
      </c>
      <c r="B806">
        <f>Earnings!B806</f>
        <v>492700.4</v>
      </c>
      <c r="C806">
        <f t="shared" si="24"/>
        <v>12135.020000000002</v>
      </c>
      <c r="D806">
        <f t="shared" si="25"/>
        <v>1011.2516666666669</v>
      </c>
    </row>
    <row r="807" spans="1:4" x14ac:dyDescent="0.35">
      <c r="A807" t="s">
        <v>838</v>
      </c>
      <c r="B807">
        <f>Earnings!B807</f>
        <v>936339.95</v>
      </c>
      <c r="C807">
        <f t="shared" si="24"/>
        <v>99767.989999999991</v>
      </c>
      <c r="D807">
        <f t="shared" si="25"/>
        <v>8313.9991666666665</v>
      </c>
    </row>
    <row r="808" spans="1:4" x14ac:dyDescent="0.35">
      <c r="A808" t="s">
        <v>839</v>
      </c>
      <c r="B808">
        <f>Earnings!B808</f>
        <v>618266.65</v>
      </c>
      <c r="C808">
        <f t="shared" si="24"/>
        <v>36153.33</v>
      </c>
      <c r="D808">
        <f t="shared" si="25"/>
        <v>3012.7775000000001</v>
      </c>
    </row>
    <row r="809" spans="1:4" x14ac:dyDescent="0.35">
      <c r="A809" t="s">
        <v>840</v>
      </c>
      <c r="B809">
        <f>Earnings!B809</f>
        <v>571920</v>
      </c>
      <c r="C809">
        <f t="shared" si="24"/>
        <v>26884</v>
      </c>
      <c r="D809">
        <f t="shared" si="25"/>
        <v>2240.3333333333335</v>
      </c>
    </row>
    <row r="810" spans="1:4" x14ac:dyDescent="0.35">
      <c r="A810" t="s">
        <v>841</v>
      </c>
      <c r="B810">
        <f>Earnings!B810</f>
        <v>725871</v>
      </c>
      <c r="C810">
        <f t="shared" si="24"/>
        <v>57674.200000000004</v>
      </c>
      <c r="D810">
        <f t="shared" si="25"/>
        <v>4806.1833333333334</v>
      </c>
    </row>
    <row r="811" spans="1:4" x14ac:dyDescent="0.35">
      <c r="A811" t="s">
        <v>842</v>
      </c>
      <c r="B811">
        <f>Earnings!B811</f>
        <v>641000</v>
      </c>
      <c r="C811">
        <f t="shared" si="24"/>
        <v>40700</v>
      </c>
      <c r="D811">
        <f t="shared" si="25"/>
        <v>3391.6666666666665</v>
      </c>
    </row>
    <row r="812" spans="1:4" x14ac:dyDescent="0.35">
      <c r="A812" t="s">
        <v>843</v>
      </c>
      <c r="B812">
        <f>Earnings!B812</f>
        <v>828470</v>
      </c>
      <c r="C812">
        <f t="shared" si="24"/>
        <v>78194</v>
      </c>
      <c r="D812">
        <f t="shared" si="25"/>
        <v>6516.166666666667</v>
      </c>
    </row>
    <row r="813" spans="1:4" x14ac:dyDescent="0.35">
      <c r="A813" t="s">
        <v>844</v>
      </c>
      <c r="B813">
        <f>Earnings!B813</f>
        <v>1206549.3999999999</v>
      </c>
      <c r="C813">
        <f t="shared" si="24"/>
        <v>174464.81999999998</v>
      </c>
      <c r="D813">
        <f t="shared" si="25"/>
        <v>14538.734999999999</v>
      </c>
    </row>
    <row r="814" spans="1:4" x14ac:dyDescent="0.35">
      <c r="A814" t="s">
        <v>845</v>
      </c>
      <c r="B814">
        <f>Earnings!B814</f>
        <v>653492</v>
      </c>
      <c r="C814">
        <f t="shared" si="24"/>
        <v>43198.400000000001</v>
      </c>
      <c r="D814">
        <f t="shared" si="25"/>
        <v>3599.8666666666668</v>
      </c>
    </row>
    <row r="815" spans="1:4" x14ac:dyDescent="0.35">
      <c r="A815" t="s">
        <v>846</v>
      </c>
      <c r="B815">
        <f>Earnings!B815</f>
        <v>1121664.05</v>
      </c>
      <c r="C815">
        <f t="shared" si="24"/>
        <v>148999.21500000003</v>
      </c>
      <c r="D815">
        <f t="shared" si="25"/>
        <v>12416.601250000002</v>
      </c>
    </row>
    <row r="816" spans="1:4" x14ac:dyDescent="0.35">
      <c r="A816" t="s">
        <v>847</v>
      </c>
      <c r="B816">
        <f>Earnings!B816</f>
        <v>474650.4</v>
      </c>
      <c r="C816">
        <f t="shared" si="24"/>
        <v>11232.520000000002</v>
      </c>
      <c r="D816">
        <f t="shared" si="25"/>
        <v>936.04333333333352</v>
      </c>
    </row>
    <row r="817" spans="1:4" x14ac:dyDescent="0.35">
      <c r="A817" t="s">
        <v>848</v>
      </c>
      <c r="B817">
        <f>Earnings!B817</f>
        <v>761026</v>
      </c>
      <c r="C817">
        <f t="shared" si="24"/>
        <v>64705.200000000004</v>
      </c>
      <c r="D817">
        <f t="shared" si="25"/>
        <v>5392.1</v>
      </c>
    </row>
    <row r="818" spans="1:4" x14ac:dyDescent="0.35">
      <c r="A818" t="s">
        <v>849</v>
      </c>
      <c r="B818">
        <f>Earnings!B818</f>
        <v>1456731</v>
      </c>
      <c r="C818">
        <f t="shared" si="24"/>
        <v>249519.3</v>
      </c>
      <c r="D818">
        <f t="shared" si="25"/>
        <v>20793.274999999998</v>
      </c>
    </row>
    <row r="819" spans="1:4" x14ac:dyDescent="0.35">
      <c r="A819" t="s">
        <v>850</v>
      </c>
      <c r="B819">
        <f>Earnings!B819</f>
        <v>723689</v>
      </c>
      <c r="C819">
        <f t="shared" si="24"/>
        <v>57237.8</v>
      </c>
      <c r="D819">
        <f t="shared" si="25"/>
        <v>4769.8166666666666</v>
      </c>
    </row>
    <row r="820" spans="1:4" x14ac:dyDescent="0.35">
      <c r="A820" t="s">
        <v>851</v>
      </c>
      <c r="B820">
        <f>Earnings!B820</f>
        <v>1022871</v>
      </c>
      <c r="C820">
        <f t="shared" si="24"/>
        <v>119361.3</v>
      </c>
      <c r="D820">
        <f t="shared" si="25"/>
        <v>9946.7749999999996</v>
      </c>
    </row>
    <row r="821" spans="1:4" x14ac:dyDescent="0.35">
      <c r="A821" t="s">
        <v>852</v>
      </c>
      <c r="B821">
        <f>Earnings!B821</f>
        <v>844273.54999999993</v>
      </c>
      <c r="C821">
        <f t="shared" si="24"/>
        <v>81354.709999999992</v>
      </c>
      <c r="D821">
        <f t="shared" si="25"/>
        <v>6779.559166666666</v>
      </c>
    </row>
    <row r="822" spans="1:4" x14ac:dyDescent="0.35">
      <c r="A822" t="s">
        <v>853</v>
      </c>
      <c r="B822">
        <f>Earnings!B822</f>
        <v>920617</v>
      </c>
      <c r="C822">
        <f t="shared" si="24"/>
        <v>96623.400000000009</v>
      </c>
      <c r="D822">
        <f t="shared" si="25"/>
        <v>8051.9500000000007</v>
      </c>
    </row>
    <row r="823" spans="1:4" x14ac:dyDescent="0.35">
      <c r="A823" t="s">
        <v>854</v>
      </c>
      <c r="B823">
        <f>Earnings!B823</f>
        <v>954187</v>
      </c>
      <c r="C823">
        <f t="shared" si="24"/>
        <v>103337.40000000001</v>
      </c>
      <c r="D823">
        <f t="shared" si="25"/>
        <v>8611.4500000000007</v>
      </c>
    </row>
    <row r="824" spans="1:4" x14ac:dyDescent="0.35">
      <c r="A824" t="s">
        <v>855</v>
      </c>
      <c r="B824">
        <f>Earnings!B824</f>
        <v>757629.75</v>
      </c>
      <c r="C824">
        <f t="shared" si="24"/>
        <v>64025.950000000004</v>
      </c>
      <c r="D824">
        <f t="shared" si="25"/>
        <v>5335.4958333333334</v>
      </c>
    </row>
    <row r="825" spans="1:4" x14ac:dyDescent="0.35">
      <c r="A825" t="s">
        <v>856</v>
      </c>
      <c r="B825">
        <f>Earnings!B825</f>
        <v>821480.2</v>
      </c>
      <c r="C825">
        <f t="shared" si="24"/>
        <v>76796.039999999994</v>
      </c>
      <c r="D825">
        <f t="shared" si="25"/>
        <v>6399.6699999999992</v>
      </c>
    </row>
    <row r="826" spans="1:4" x14ac:dyDescent="0.35">
      <c r="A826" t="s">
        <v>857</v>
      </c>
      <c r="B826">
        <f>Earnings!B826</f>
        <v>1433369.5</v>
      </c>
      <c r="C826">
        <f t="shared" si="24"/>
        <v>242510.84999999998</v>
      </c>
      <c r="D826">
        <f t="shared" si="25"/>
        <v>20209.237499999999</v>
      </c>
    </row>
    <row r="827" spans="1:4" x14ac:dyDescent="0.35">
      <c r="A827" t="s">
        <v>858</v>
      </c>
      <c r="B827">
        <f>Earnings!B827</f>
        <v>912770.45</v>
      </c>
      <c r="C827">
        <f t="shared" si="24"/>
        <v>95054.09</v>
      </c>
      <c r="D827">
        <f t="shared" si="25"/>
        <v>7921.1741666666667</v>
      </c>
    </row>
    <row r="828" spans="1:4" x14ac:dyDescent="0.35">
      <c r="A828" t="s">
        <v>859</v>
      </c>
      <c r="B828">
        <f>Earnings!B828</f>
        <v>1276970</v>
      </c>
      <c r="C828">
        <f t="shared" si="24"/>
        <v>195591</v>
      </c>
      <c r="D828">
        <f t="shared" si="25"/>
        <v>16299.25</v>
      </c>
    </row>
    <row r="829" spans="1:4" x14ac:dyDescent="0.35">
      <c r="A829" t="s">
        <v>860</v>
      </c>
      <c r="B829">
        <f>Earnings!B829</f>
        <v>866451.29999999993</v>
      </c>
      <c r="C829">
        <f t="shared" si="24"/>
        <v>85790.26</v>
      </c>
      <c r="D829">
        <f t="shared" si="25"/>
        <v>7149.1883333333326</v>
      </c>
    </row>
    <row r="830" spans="1:4" x14ac:dyDescent="0.35">
      <c r="A830" t="s">
        <v>861</v>
      </c>
      <c r="B830">
        <f>Earnings!B830</f>
        <v>949506.95</v>
      </c>
      <c r="C830">
        <f t="shared" si="24"/>
        <v>102401.39</v>
      </c>
      <c r="D830">
        <f t="shared" si="25"/>
        <v>8533.4491666666672</v>
      </c>
    </row>
    <row r="831" spans="1:4" x14ac:dyDescent="0.35">
      <c r="A831" t="s">
        <v>862</v>
      </c>
      <c r="B831">
        <f>Earnings!B831</f>
        <v>648913.65</v>
      </c>
      <c r="C831">
        <f t="shared" si="24"/>
        <v>42282.73000000001</v>
      </c>
      <c r="D831">
        <f t="shared" si="25"/>
        <v>3523.5608333333344</v>
      </c>
    </row>
    <row r="832" spans="1:4" x14ac:dyDescent="0.35">
      <c r="A832" t="s">
        <v>863</v>
      </c>
      <c r="B832">
        <f>Earnings!B832</f>
        <v>777879.95</v>
      </c>
      <c r="C832">
        <f t="shared" si="24"/>
        <v>68075.989999999991</v>
      </c>
      <c r="D832">
        <f t="shared" si="25"/>
        <v>5672.9991666666656</v>
      </c>
    </row>
    <row r="833" spans="1:4" x14ac:dyDescent="0.35">
      <c r="A833" t="s">
        <v>864</v>
      </c>
      <c r="B833">
        <f>Earnings!B833</f>
        <v>720126.6</v>
      </c>
      <c r="C833">
        <f t="shared" si="24"/>
        <v>56525.32</v>
      </c>
      <c r="D833">
        <f t="shared" si="25"/>
        <v>4710.4433333333336</v>
      </c>
    </row>
    <row r="834" spans="1:4" x14ac:dyDescent="0.35">
      <c r="A834" t="s">
        <v>865</v>
      </c>
      <c r="B834">
        <f>Earnings!B834</f>
        <v>1127511</v>
      </c>
      <c r="C834">
        <f t="shared" ref="C834:C897" si="26">IF(B834&lt;=250000,0,IF(B834&lt;=500000,(B834-250000)*0.05,IF(B834&lt;=1000000,12500+(B834-500000)*0.2,112500+(B834-1000000)*0.3)))</f>
        <v>150753.29999999999</v>
      </c>
      <c r="D834">
        <f t="shared" ref="D834:D897" si="27">C834/12</f>
        <v>12562.775</v>
      </c>
    </row>
    <row r="835" spans="1:4" x14ac:dyDescent="0.35">
      <c r="A835" t="s">
        <v>866</v>
      </c>
      <c r="B835">
        <f>Earnings!B835</f>
        <v>719447.35</v>
      </c>
      <c r="C835">
        <f t="shared" si="26"/>
        <v>56389.47</v>
      </c>
      <c r="D835">
        <f t="shared" si="27"/>
        <v>4699.1225000000004</v>
      </c>
    </row>
    <row r="836" spans="1:4" x14ac:dyDescent="0.35">
      <c r="A836" t="s">
        <v>867</v>
      </c>
      <c r="B836">
        <f>Earnings!B836</f>
        <v>1251574</v>
      </c>
      <c r="C836">
        <f t="shared" si="26"/>
        <v>187972.2</v>
      </c>
      <c r="D836">
        <f t="shared" si="27"/>
        <v>15664.35</v>
      </c>
    </row>
    <row r="837" spans="1:4" x14ac:dyDescent="0.35">
      <c r="A837" t="s">
        <v>868</v>
      </c>
      <c r="B837">
        <f>Earnings!B837</f>
        <v>724659.04999999993</v>
      </c>
      <c r="C837">
        <f t="shared" si="26"/>
        <v>57431.80999999999</v>
      </c>
      <c r="D837">
        <f t="shared" si="27"/>
        <v>4785.9841666666662</v>
      </c>
    </row>
    <row r="838" spans="1:4" x14ac:dyDescent="0.35">
      <c r="A838" t="s">
        <v>869</v>
      </c>
      <c r="B838">
        <f>Earnings!B838</f>
        <v>640109</v>
      </c>
      <c r="C838">
        <f t="shared" si="26"/>
        <v>40521.800000000003</v>
      </c>
      <c r="D838">
        <f t="shared" si="27"/>
        <v>3376.8166666666671</v>
      </c>
    </row>
    <row r="839" spans="1:4" x14ac:dyDescent="0.35">
      <c r="A839" t="s">
        <v>870</v>
      </c>
      <c r="B839">
        <f>Earnings!B839</f>
        <v>901454</v>
      </c>
      <c r="C839">
        <f t="shared" si="26"/>
        <v>92790.8</v>
      </c>
      <c r="D839">
        <f t="shared" si="27"/>
        <v>7732.5666666666666</v>
      </c>
    </row>
    <row r="840" spans="1:4" x14ac:dyDescent="0.35">
      <c r="A840" t="s">
        <v>871</v>
      </c>
      <c r="B840">
        <f>Earnings!B840</f>
        <v>1085617</v>
      </c>
      <c r="C840">
        <f t="shared" si="26"/>
        <v>138185.1</v>
      </c>
      <c r="D840">
        <f t="shared" si="27"/>
        <v>11515.425000000001</v>
      </c>
    </row>
    <row r="841" spans="1:4" x14ac:dyDescent="0.35">
      <c r="A841" t="s">
        <v>872</v>
      </c>
      <c r="B841">
        <f>Earnings!B841</f>
        <v>743674</v>
      </c>
      <c r="C841">
        <f t="shared" si="26"/>
        <v>61234.8</v>
      </c>
      <c r="D841">
        <f t="shared" si="27"/>
        <v>5102.9000000000005</v>
      </c>
    </row>
    <row r="842" spans="1:4" x14ac:dyDescent="0.35">
      <c r="A842" t="s">
        <v>873</v>
      </c>
      <c r="B842">
        <f>Earnings!B842</f>
        <v>992754.75</v>
      </c>
      <c r="C842">
        <f t="shared" si="26"/>
        <v>111050.95000000001</v>
      </c>
      <c r="D842">
        <f t="shared" si="27"/>
        <v>9254.2458333333343</v>
      </c>
    </row>
    <row r="843" spans="1:4" x14ac:dyDescent="0.35">
      <c r="A843" t="s">
        <v>874</v>
      </c>
      <c r="B843">
        <f>Earnings!B843</f>
        <v>1055906</v>
      </c>
      <c r="C843">
        <f t="shared" si="26"/>
        <v>129271.8</v>
      </c>
      <c r="D843">
        <f t="shared" si="27"/>
        <v>10772.65</v>
      </c>
    </row>
    <row r="844" spans="1:4" x14ac:dyDescent="0.35">
      <c r="A844" t="s">
        <v>875</v>
      </c>
      <c r="B844">
        <f>Earnings!B844</f>
        <v>674236</v>
      </c>
      <c r="C844">
        <f t="shared" si="26"/>
        <v>47347.200000000004</v>
      </c>
      <c r="D844">
        <f t="shared" si="27"/>
        <v>3945.6000000000004</v>
      </c>
    </row>
    <row r="845" spans="1:4" x14ac:dyDescent="0.35">
      <c r="A845" t="s">
        <v>876</v>
      </c>
      <c r="B845">
        <f>Earnings!B845</f>
        <v>501823.25</v>
      </c>
      <c r="C845">
        <f t="shared" si="26"/>
        <v>12864.65</v>
      </c>
      <c r="D845">
        <f t="shared" si="27"/>
        <v>1072.0541666666666</v>
      </c>
    </row>
    <row r="846" spans="1:4" x14ac:dyDescent="0.35">
      <c r="A846" t="s">
        <v>877</v>
      </c>
      <c r="B846">
        <f>Earnings!B846</f>
        <v>613525.19999999995</v>
      </c>
      <c r="C846">
        <f t="shared" si="26"/>
        <v>35205.039999999994</v>
      </c>
      <c r="D846">
        <f t="shared" si="27"/>
        <v>2933.7533333333326</v>
      </c>
    </row>
    <row r="847" spans="1:4" x14ac:dyDescent="0.35">
      <c r="A847" t="s">
        <v>878</v>
      </c>
      <c r="B847">
        <f>Earnings!B847</f>
        <v>929259</v>
      </c>
      <c r="C847">
        <f t="shared" si="26"/>
        <v>98351.8</v>
      </c>
      <c r="D847">
        <f t="shared" si="27"/>
        <v>8195.9833333333336</v>
      </c>
    </row>
    <row r="848" spans="1:4" x14ac:dyDescent="0.35">
      <c r="A848" t="s">
        <v>879</v>
      </c>
      <c r="B848">
        <f>Earnings!B848</f>
        <v>736714.54999999993</v>
      </c>
      <c r="C848">
        <f t="shared" si="26"/>
        <v>59842.909999999989</v>
      </c>
      <c r="D848">
        <f t="shared" si="27"/>
        <v>4986.9091666666654</v>
      </c>
    </row>
    <row r="849" spans="1:4" x14ac:dyDescent="0.35">
      <c r="A849" t="s">
        <v>880</v>
      </c>
      <c r="B849">
        <f>Earnings!B849</f>
        <v>523607.7</v>
      </c>
      <c r="C849">
        <f t="shared" si="26"/>
        <v>17221.54</v>
      </c>
      <c r="D849">
        <f t="shared" si="27"/>
        <v>1435.1283333333333</v>
      </c>
    </row>
    <row r="850" spans="1:4" x14ac:dyDescent="0.35">
      <c r="A850" t="s">
        <v>881</v>
      </c>
      <c r="B850">
        <f>Earnings!B850</f>
        <v>873371.1</v>
      </c>
      <c r="C850">
        <f t="shared" si="26"/>
        <v>87174.22</v>
      </c>
      <c r="D850">
        <f t="shared" si="27"/>
        <v>7264.5183333333334</v>
      </c>
    </row>
    <row r="851" spans="1:4" x14ac:dyDescent="0.35">
      <c r="A851" t="s">
        <v>882</v>
      </c>
      <c r="B851">
        <f>Earnings!B851</f>
        <v>1135206.3</v>
      </c>
      <c r="C851">
        <f t="shared" si="26"/>
        <v>153061.89000000001</v>
      </c>
      <c r="D851">
        <f t="shared" si="27"/>
        <v>12755.157500000001</v>
      </c>
    </row>
    <row r="852" spans="1:4" x14ac:dyDescent="0.35">
      <c r="A852" t="s">
        <v>883</v>
      </c>
      <c r="B852">
        <f>Earnings!B852</f>
        <v>659326</v>
      </c>
      <c r="C852">
        <f t="shared" si="26"/>
        <v>44365.2</v>
      </c>
      <c r="D852">
        <f t="shared" si="27"/>
        <v>3697.1</v>
      </c>
    </row>
    <row r="853" spans="1:4" x14ac:dyDescent="0.35">
      <c r="A853" t="s">
        <v>884</v>
      </c>
      <c r="B853">
        <f>Earnings!B853</f>
        <v>1164231.6499999999</v>
      </c>
      <c r="C853">
        <f t="shared" si="26"/>
        <v>161769.49499999997</v>
      </c>
      <c r="D853">
        <f t="shared" si="27"/>
        <v>13480.791249999997</v>
      </c>
    </row>
    <row r="854" spans="1:4" x14ac:dyDescent="0.35">
      <c r="A854" t="s">
        <v>885</v>
      </c>
      <c r="B854">
        <f>Earnings!B854</f>
        <v>918356</v>
      </c>
      <c r="C854">
        <f t="shared" si="26"/>
        <v>96171.200000000012</v>
      </c>
      <c r="D854">
        <f t="shared" si="27"/>
        <v>8014.2666666666673</v>
      </c>
    </row>
    <row r="855" spans="1:4" x14ac:dyDescent="0.35">
      <c r="A855" t="s">
        <v>886</v>
      </c>
      <c r="B855">
        <f>Earnings!B855</f>
        <v>1152754.7</v>
      </c>
      <c r="C855">
        <f t="shared" si="26"/>
        <v>158326.40999999997</v>
      </c>
      <c r="D855">
        <f t="shared" si="27"/>
        <v>13193.867499999998</v>
      </c>
    </row>
    <row r="856" spans="1:4" x14ac:dyDescent="0.35">
      <c r="A856" t="s">
        <v>887</v>
      </c>
      <c r="B856">
        <f>Earnings!B856</f>
        <v>1040559.7</v>
      </c>
      <c r="C856">
        <f t="shared" si="26"/>
        <v>124667.90999999999</v>
      </c>
      <c r="D856">
        <f t="shared" si="27"/>
        <v>10388.992499999998</v>
      </c>
    </row>
    <row r="857" spans="1:4" x14ac:dyDescent="0.35">
      <c r="A857" t="s">
        <v>888</v>
      </c>
      <c r="B857">
        <f>Earnings!B857</f>
        <v>1281992.7</v>
      </c>
      <c r="C857">
        <f t="shared" si="26"/>
        <v>197097.81</v>
      </c>
      <c r="D857">
        <f t="shared" si="27"/>
        <v>16424.817500000001</v>
      </c>
    </row>
    <row r="858" spans="1:4" x14ac:dyDescent="0.35">
      <c r="A858" t="s">
        <v>889</v>
      </c>
      <c r="B858">
        <f>Earnings!B858</f>
        <v>764597</v>
      </c>
      <c r="C858">
        <f t="shared" si="26"/>
        <v>65419.4</v>
      </c>
      <c r="D858">
        <f t="shared" si="27"/>
        <v>5451.6166666666668</v>
      </c>
    </row>
    <row r="859" spans="1:4" x14ac:dyDescent="0.35">
      <c r="A859" t="s">
        <v>890</v>
      </c>
      <c r="B859">
        <f>Earnings!B859</f>
        <v>737762</v>
      </c>
      <c r="C859">
        <f t="shared" si="26"/>
        <v>60052.4</v>
      </c>
      <c r="D859">
        <f t="shared" si="27"/>
        <v>5004.3666666666668</v>
      </c>
    </row>
    <row r="860" spans="1:4" x14ac:dyDescent="0.35">
      <c r="A860" t="s">
        <v>891</v>
      </c>
      <c r="B860">
        <f>Earnings!B860</f>
        <v>573406.69999999995</v>
      </c>
      <c r="C860">
        <f t="shared" si="26"/>
        <v>27181.339999999989</v>
      </c>
      <c r="D860">
        <f t="shared" si="27"/>
        <v>2265.1116666666658</v>
      </c>
    </row>
    <row r="861" spans="1:4" x14ac:dyDescent="0.35">
      <c r="A861" t="s">
        <v>892</v>
      </c>
      <c r="B861">
        <f>Earnings!B861</f>
        <v>738601</v>
      </c>
      <c r="C861">
        <f t="shared" si="26"/>
        <v>60220.200000000004</v>
      </c>
      <c r="D861">
        <f t="shared" si="27"/>
        <v>5018.3500000000004</v>
      </c>
    </row>
    <row r="862" spans="1:4" x14ac:dyDescent="0.35">
      <c r="A862" t="s">
        <v>893</v>
      </c>
      <c r="B862">
        <f>Earnings!B862</f>
        <v>838173</v>
      </c>
      <c r="C862">
        <f t="shared" si="26"/>
        <v>80134.600000000006</v>
      </c>
      <c r="D862">
        <f t="shared" si="27"/>
        <v>6677.8833333333341</v>
      </c>
    </row>
    <row r="863" spans="1:4" x14ac:dyDescent="0.35">
      <c r="A863" t="s">
        <v>894</v>
      </c>
      <c r="B863">
        <f>Earnings!B863</f>
        <v>1181089.3999999999</v>
      </c>
      <c r="C863">
        <f t="shared" si="26"/>
        <v>166826.81999999998</v>
      </c>
      <c r="D863">
        <f t="shared" si="27"/>
        <v>13902.234999999999</v>
      </c>
    </row>
    <row r="864" spans="1:4" x14ac:dyDescent="0.35">
      <c r="A864" t="s">
        <v>895</v>
      </c>
      <c r="B864">
        <f>Earnings!B864</f>
        <v>1180211</v>
      </c>
      <c r="C864">
        <f t="shared" si="26"/>
        <v>166563.29999999999</v>
      </c>
      <c r="D864">
        <f t="shared" si="27"/>
        <v>13880.275</v>
      </c>
    </row>
    <row r="865" spans="1:4" x14ac:dyDescent="0.35">
      <c r="A865" t="s">
        <v>896</v>
      </c>
      <c r="B865">
        <f>Earnings!B865</f>
        <v>791393.7</v>
      </c>
      <c r="C865">
        <f t="shared" si="26"/>
        <v>70778.739999999991</v>
      </c>
      <c r="D865">
        <f t="shared" si="27"/>
        <v>5898.2283333333326</v>
      </c>
    </row>
    <row r="866" spans="1:4" x14ac:dyDescent="0.35">
      <c r="A866" t="s">
        <v>897</v>
      </c>
      <c r="B866">
        <f>Earnings!B866</f>
        <v>1404433</v>
      </c>
      <c r="C866">
        <f t="shared" si="26"/>
        <v>233829.9</v>
      </c>
      <c r="D866">
        <f t="shared" si="27"/>
        <v>19485.825000000001</v>
      </c>
    </row>
    <row r="867" spans="1:4" x14ac:dyDescent="0.35">
      <c r="A867" t="s">
        <v>898</v>
      </c>
      <c r="B867">
        <f>Earnings!B867</f>
        <v>859494</v>
      </c>
      <c r="C867">
        <f t="shared" si="26"/>
        <v>84398.8</v>
      </c>
      <c r="D867">
        <f t="shared" si="27"/>
        <v>7033.2333333333336</v>
      </c>
    </row>
    <row r="868" spans="1:4" x14ac:dyDescent="0.35">
      <c r="A868" t="s">
        <v>899</v>
      </c>
      <c r="B868">
        <f>Earnings!B868</f>
        <v>847035</v>
      </c>
      <c r="C868">
        <f t="shared" si="26"/>
        <v>81907</v>
      </c>
      <c r="D868">
        <f t="shared" si="27"/>
        <v>6825.583333333333</v>
      </c>
    </row>
    <row r="869" spans="1:4" x14ac:dyDescent="0.35">
      <c r="A869" t="s">
        <v>900</v>
      </c>
      <c r="B869">
        <f>Earnings!B869</f>
        <v>960693</v>
      </c>
      <c r="C869">
        <f t="shared" si="26"/>
        <v>104638.6</v>
      </c>
      <c r="D869">
        <f t="shared" si="27"/>
        <v>8719.8833333333332</v>
      </c>
    </row>
    <row r="870" spans="1:4" x14ac:dyDescent="0.35">
      <c r="A870" t="s">
        <v>901</v>
      </c>
      <c r="B870">
        <f>Earnings!B870</f>
        <v>1059698</v>
      </c>
      <c r="C870">
        <f t="shared" si="26"/>
        <v>130409.4</v>
      </c>
      <c r="D870">
        <f t="shared" si="27"/>
        <v>10867.449999999999</v>
      </c>
    </row>
    <row r="871" spans="1:4" x14ac:dyDescent="0.35">
      <c r="A871" t="s">
        <v>902</v>
      </c>
      <c r="B871">
        <f>Earnings!B871</f>
        <v>793041</v>
      </c>
      <c r="C871">
        <f t="shared" si="26"/>
        <v>71108.200000000012</v>
      </c>
      <c r="D871">
        <f t="shared" si="27"/>
        <v>5925.6833333333343</v>
      </c>
    </row>
    <row r="872" spans="1:4" x14ac:dyDescent="0.35">
      <c r="A872" t="s">
        <v>903</v>
      </c>
      <c r="B872">
        <f>Earnings!B872</f>
        <v>1023585</v>
      </c>
      <c r="C872">
        <f t="shared" si="26"/>
        <v>119575.5</v>
      </c>
      <c r="D872">
        <f t="shared" si="27"/>
        <v>9964.625</v>
      </c>
    </row>
    <row r="873" spans="1:4" x14ac:dyDescent="0.35">
      <c r="A873" t="s">
        <v>904</v>
      </c>
      <c r="B873">
        <f>Earnings!B873</f>
        <v>824537</v>
      </c>
      <c r="C873">
        <f t="shared" si="26"/>
        <v>77407.399999999994</v>
      </c>
      <c r="D873">
        <f t="shared" si="27"/>
        <v>6450.6166666666659</v>
      </c>
    </row>
    <row r="874" spans="1:4" x14ac:dyDescent="0.35">
      <c r="A874" t="s">
        <v>905</v>
      </c>
      <c r="B874">
        <f>Earnings!B874</f>
        <v>695924.4</v>
      </c>
      <c r="C874">
        <f t="shared" si="26"/>
        <v>51684.880000000005</v>
      </c>
      <c r="D874">
        <f t="shared" si="27"/>
        <v>4307.0733333333337</v>
      </c>
    </row>
    <row r="875" spans="1:4" x14ac:dyDescent="0.35">
      <c r="A875" t="s">
        <v>906</v>
      </c>
      <c r="B875">
        <f>Earnings!B875</f>
        <v>754710.39999999991</v>
      </c>
      <c r="C875">
        <f t="shared" si="26"/>
        <v>63442.079999999987</v>
      </c>
      <c r="D875">
        <f t="shared" si="27"/>
        <v>5286.8399999999992</v>
      </c>
    </row>
    <row r="876" spans="1:4" x14ac:dyDescent="0.35">
      <c r="A876" t="s">
        <v>907</v>
      </c>
      <c r="B876">
        <f>Earnings!B876</f>
        <v>953783.85</v>
      </c>
      <c r="C876">
        <f t="shared" si="26"/>
        <v>103256.77</v>
      </c>
      <c r="D876">
        <f t="shared" si="27"/>
        <v>8604.7308333333331</v>
      </c>
    </row>
    <row r="877" spans="1:4" x14ac:dyDescent="0.35">
      <c r="A877" t="s">
        <v>908</v>
      </c>
      <c r="B877">
        <f>Earnings!B877</f>
        <v>886370.89999999991</v>
      </c>
      <c r="C877">
        <f t="shared" si="26"/>
        <v>89774.179999999978</v>
      </c>
      <c r="D877">
        <f t="shared" si="27"/>
        <v>7481.1816666666646</v>
      </c>
    </row>
    <row r="878" spans="1:4" x14ac:dyDescent="0.35">
      <c r="A878" t="s">
        <v>909</v>
      </c>
      <c r="B878">
        <f>Earnings!B878</f>
        <v>1235850</v>
      </c>
      <c r="C878">
        <f t="shared" si="26"/>
        <v>183255</v>
      </c>
      <c r="D878">
        <f t="shared" si="27"/>
        <v>15271.25</v>
      </c>
    </row>
    <row r="879" spans="1:4" x14ac:dyDescent="0.35">
      <c r="A879" t="s">
        <v>910</v>
      </c>
      <c r="B879">
        <f>Earnings!B879</f>
        <v>1017162</v>
      </c>
      <c r="C879">
        <f t="shared" si="26"/>
        <v>117648.6</v>
      </c>
      <c r="D879">
        <f t="shared" si="27"/>
        <v>9804.0500000000011</v>
      </c>
    </row>
    <row r="880" spans="1:4" x14ac:dyDescent="0.35">
      <c r="A880" t="s">
        <v>911</v>
      </c>
      <c r="B880">
        <f>Earnings!B880</f>
        <v>898179</v>
      </c>
      <c r="C880">
        <f t="shared" si="26"/>
        <v>92135.8</v>
      </c>
      <c r="D880">
        <f t="shared" si="27"/>
        <v>7677.9833333333336</v>
      </c>
    </row>
    <row r="881" spans="1:4" x14ac:dyDescent="0.35">
      <c r="A881" t="s">
        <v>912</v>
      </c>
      <c r="B881">
        <f>Earnings!B881</f>
        <v>650181.9</v>
      </c>
      <c r="C881">
        <f t="shared" si="26"/>
        <v>42536.380000000005</v>
      </c>
      <c r="D881">
        <f t="shared" si="27"/>
        <v>3544.6983333333337</v>
      </c>
    </row>
    <row r="882" spans="1:4" x14ac:dyDescent="0.35">
      <c r="A882" t="s">
        <v>913</v>
      </c>
      <c r="B882">
        <f>Earnings!B882</f>
        <v>563987</v>
      </c>
      <c r="C882">
        <f t="shared" si="26"/>
        <v>25297.4</v>
      </c>
      <c r="D882">
        <f t="shared" si="27"/>
        <v>2108.1166666666668</v>
      </c>
    </row>
    <row r="883" spans="1:4" x14ac:dyDescent="0.35">
      <c r="A883" t="s">
        <v>914</v>
      </c>
      <c r="B883">
        <f>Earnings!B883</f>
        <v>1115154.6499999999</v>
      </c>
      <c r="C883">
        <f t="shared" si="26"/>
        <v>147046.39499999996</v>
      </c>
      <c r="D883">
        <f t="shared" si="27"/>
        <v>12253.866249999997</v>
      </c>
    </row>
    <row r="884" spans="1:4" x14ac:dyDescent="0.35">
      <c r="A884" t="s">
        <v>915</v>
      </c>
      <c r="B884">
        <f>Earnings!B884</f>
        <v>667092.85</v>
      </c>
      <c r="C884">
        <f t="shared" si="26"/>
        <v>45918.57</v>
      </c>
      <c r="D884">
        <f t="shared" si="27"/>
        <v>3826.5475000000001</v>
      </c>
    </row>
    <row r="885" spans="1:4" x14ac:dyDescent="0.35">
      <c r="A885" t="s">
        <v>916</v>
      </c>
      <c r="B885">
        <f>Earnings!B885</f>
        <v>1294524.1499999999</v>
      </c>
      <c r="C885">
        <f t="shared" si="26"/>
        <v>200857.24499999997</v>
      </c>
      <c r="D885">
        <f t="shared" si="27"/>
        <v>16738.103749999998</v>
      </c>
    </row>
    <row r="886" spans="1:4" x14ac:dyDescent="0.35">
      <c r="A886" t="s">
        <v>917</v>
      </c>
      <c r="B886">
        <f>Earnings!B886</f>
        <v>886654.95</v>
      </c>
      <c r="C886">
        <f t="shared" si="26"/>
        <v>89830.989999999991</v>
      </c>
      <c r="D886">
        <f t="shared" si="27"/>
        <v>7485.9158333333326</v>
      </c>
    </row>
    <row r="887" spans="1:4" x14ac:dyDescent="0.35">
      <c r="A887" t="s">
        <v>918</v>
      </c>
      <c r="B887">
        <f>Earnings!B887</f>
        <v>618215</v>
      </c>
      <c r="C887">
        <f t="shared" si="26"/>
        <v>36143</v>
      </c>
      <c r="D887">
        <f t="shared" si="27"/>
        <v>3011.9166666666665</v>
      </c>
    </row>
    <row r="888" spans="1:4" x14ac:dyDescent="0.35">
      <c r="A888" t="s">
        <v>919</v>
      </c>
      <c r="B888">
        <f>Earnings!B888</f>
        <v>846803.39999999991</v>
      </c>
      <c r="C888">
        <f t="shared" si="26"/>
        <v>81860.679999999978</v>
      </c>
      <c r="D888">
        <f t="shared" si="27"/>
        <v>6821.7233333333315</v>
      </c>
    </row>
    <row r="889" spans="1:4" x14ac:dyDescent="0.35">
      <c r="A889" t="s">
        <v>920</v>
      </c>
      <c r="B889">
        <f>Earnings!B889</f>
        <v>563703.4</v>
      </c>
      <c r="C889">
        <f t="shared" si="26"/>
        <v>25240.680000000008</v>
      </c>
      <c r="D889">
        <f t="shared" si="27"/>
        <v>2103.3900000000008</v>
      </c>
    </row>
    <row r="890" spans="1:4" x14ac:dyDescent="0.35">
      <c r="A890" t="s">
        <v>921</v>
      </c>
      <c r="B890">
        <f>Earnings!B890</f>
        <v>526647.69999999995</v>
      </c>
      <c r="C890">
        <f t="shared" si="26"/>
        <v>17829.53999999999</v>
      </c>
      <c r="D890">
        <f t="shared" si="27"/>
        <v>1485.7949999999992</v>
      </c>
    </row>
    <row r="891" spans="1:4" x14ac:dyDescent="0.35">
      <c r="A891" t="s">
        <v>922</v>
      </c>
      <c r="B891">
        <f>Earnings!B891</f>
        <v>861061</v>
      </c>
      <c r="C891">
        <f t="shared" si="26"/>
        <v>84712.2</v>
      </c>
      <c r="D891">
        <f t="shared" si="27"/>
        <v>7059.3499999999995</v>
      </c>
    </row>
    <row r="892" spans="1:4" x14ac:dyDescent="0.35">
      <c r="A892" t="s">
        <v>923</v>
      </c>
      <c r="B892">
        <f>Earnings!B892</f>
        <v>779968</v>
      </c>
      <c r="C892">
        <f t="shared" si="26"/>
        <v>68493.600000000006</v>
      </c>
      <c r="D892">
        <f t="shared" si="27"/>
        <v>5707.8</v>
      </c>
    </row>
    <row r="893" spans="1:4" x14ac:dyDescent="0.35">
      <c r="A893" t="s">
        <v>924</v>
      </c>
      <c r="B893">
        <f>Earnings!B893</f>
        <v>689086.29999999993</v>
      </c>
      <c r="C893">
        <f t="shared" si="26"/>
        <v>50317.259999999987</v>
      </c>
      <c r="D893">
        <f t="shared" si="27"/>
        <v>4193.1049999999987</v>
      </c>
    </row>
    <row r="894" spans="1:4" x14ac:dyDescent="0.35">
      <c r="A894" t="s">
        <v>925</v>
      </c>
      <c r="B894">
        <f>Earnings!B894</f>
        <v>868256</v>
      </c>
      <c r="C894">
        <f t="shared" si="26"/>
        <v>86151.2</v>
      </c>
      <c r="D894">
        <f t="shared" si="27"/>
        <v>7179.2666666666664</v>
      </c>
    </row>
    <row r="895" spans="1:4" x14ac:dyDescent="0.35">
      <c r="A895" t="s">
        <v>926</v>
      </c>
      <c r="B895">
        <f>Earnings!B895</f>
        <v>1191332</v>
      </c>
      <c r="C895">
        <f t="shared" si="26"/>
        <v>169899.6</v>
      </c>
      <c r="D895">
        <f t="shared" si="27"/>
        <v>14158.300000000001</v>
      </c>
    </row>
    <row r="896" spans="1:4" x14ac:dyDescent="0.35">
      <c r="A896" t="s">
        <v>927</v>
      </c>
      <c r="B896">
        <f>Earnings!B896</f>
        <v>540642</v>
      </c>
      <c r="C896">
        <f t="shared" si="26"/>
        <v>20628.400000000001</v>
      </c>
      <c r="D896">
        <f t="shared" si="27"/>
        <v>1719.0333333333335</v>
      </c>
    </row>
    <row r="897" spans="1:4" x14ac:dyDescent="0.35">
      <c r="A897" t="s">
        <v>928</v>
      </c>
      <c r="B897">
        <f>Earnings!B897</f>
        <v>773704.7</v>
      </c>
      <c r="C897">
        <f t="shared" si="26"/>
        <v>67240.94</v>
      </c>
      <c r="D897">
        <f t="shared" si="27"/>
        <v>5603.4116666666669</v>
      </c>
    </row>
    <row r="898" spans="1:4" x14ac:dyDescent="0.35">
      <c r="A898" t="s">
        <v>929</v>
      </c>
      <c r="B898">
        <f>Earnings!B898</f>
        <v>520401.45</v>
      </c>
      <c r="C898">
        <f t="shared" ref="C898:C961" si="28">IF(B898&lt;=250000,0,IF(B898&lt;=500000,(B898-250000)*0.05,IF(B898&lt;=1000000,12500+(B898-500000)*0.2,112500+(B898-1000000)*0.3)))</f>
        <v>16580.29</v>
      </c>
      <c r="D898">
        <f t="shared" ref="D898:D961" si="29">C898/12</f>
        <v>1381.6908333333333</v>
      </c>
    </row>
    <row r="899" spans="1:4" x14ac:dyDescent="0.35">
      <c r="A899" t="s">
        <v>930</v>
      </c>
      <c r="B899">
        <f>Earnings!B899</f>
        <v>797585</v>
      </c>
      <c r="C899">
        <f t="shared" si="28"/>
        <v>72017</v>
      </c>
      <c r="D899">
        <f t="shared" si="29"/>
        <v>6001.416666666667</v>
      </c>
    </row>
    <row r="900" spans="1:4" x14ac:dyDescent="0.35">
      <c r="A900" t="s">
        <v>931</v>
      </c>
      <c r="B900">
        <f>Earnings!B900</f>
        <v>542079.5</v>
      </c>
      <c r="C900">
        <f t="shared" si="28"/>
        <v>20915.900000000001</v>
      </c>
      <c r="D900">
        <f t="shared" si="29"/>
        <v>1742.9916666666668</v>
      </c>
    </row>
    <row r="901" spans="1:4" x14ac:dyDescent="0.35">
      <c r="A901" t="s">
        <v>932</v>
      </c>
      <c r="B901">
        <f>Earnings!B901</f>
        <v>920367.6</v>
      </c>
      <c r="C901">
        <f t="shared" si="28"/>
        <v>96573.52</v>
      </c>
      <c r="D901">
        <f t="shared" si="29"/>
        <v>8047.793333333334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01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989</v>
      </c>
      <c r="C1" t="s">
        <v>990</v>
      </c>
      <c r="D1" t="s">
        <v>991</v>
      </c>
    </row>
    <row r="2" spans="1:4" x14ac:dyDescent="0.35">
      <c r="A2" t="s">
        <v>14</v>
      </c>
      <c r="B2">
        <v>0</v>
      </c>
      <c r="C2">
        <f>Earnings!C2/160</f>
        <v>1417.58</v>
      </c>
      <c r="D2">
        <f t="shared" ref="D2:D65" si="0">B2*C2*2</f>
        <v>0</v>
      </c>
    </row>
    <row r="3" spans="1:4" x14ac:dyDescent="0.35">
      <c r="A3" t="s">
        <v>19</v>
      </c>
      <c r="B3">
        <v>30</v>
      </c>
      <c r="C3">
        <f>Earnings!C3/160</f>
        <v>2429.9646250000001</v>
      </c>
      <c r="D3">
        <f t="shared" si="0"/>
        <v>145797.8775</v>
      </c>
    </row>
    <row r="4" spans="1:4" x14ac:dyDescent="0.35">
      <c r="A4" t="s">
        <v>24</v>
      </c>
      <c r="B4">
        <v>6</v>
      </c>
      <c r="C4">
        <f>Earnings!C4/160</f>
        <v>1618.8924999999999</v>
      </c>
      <c r="D4">
        <f t="shared" si="0"/>
        <v>19426.71</v>
      </c>
    </row>
    <row r="5" spans="1:4" x14ac:dyDescent="0.35">
      <c r="A5" t="s">
        <v>26</v>
      </c>
      <c r="B5">
        <v>0</v>
      </c>
      <c r="C5">
        <f>Earnings!C5/160</f>
        <v>1764.7865000000002</v>
      </c>
      <c r="D5">
        <f t="shared" si="0"/>
        <v>0</v>
      </c>
    </row>
    <row r="6" spans="1:4" x14ac:dyDescent="0.35">
      <c r="A6" t="s">
        <v>29</v>
      </c>
      <c r="B6">
        <v>11</v>
      </c>
      <c r="C6">
        <f>Earnings!C6/160</f>
        <v>2501.605</v>
      </c>
      <c r="D6">
        <f t="shared" si="0"/>
        <v>55035.31</v>
      </c>
    </row>
    <row r="7" spans="1:4" x14ac:dyDescent="0.35">
      <c r="A7" t="s">
        <v>31</v>
      </c>
      <c r="B7">
        <v>0</v>
      </c>
      <c r="C7">
        <f>Earnings!C7/160</f>
        <v>1284.9628749999999</v>
      </c>
      <c r="D7">
        <f t="shared" si="0"/>
        <v>0</v>
      </c>
    </row>
    <row r="8" spans="1:4" x14ac:dyDescent="0.35">
      <c r="A8" t="s">
        <v>33</v>
      </c>
      <c r="B8">
        <v>0</v>
      </c>
      <c r="C8">
        <f>Earnings!C8/160</f>
        <v>2255.7346250000001</v>
      </c>
      <c r="D8">
        <f t="shared" si="0"/>
        <v>0</v>
      </c>
    </row>
    <row r="9" spans="1:4" x14ac:dyDescent="0.35">
      <c r="A9" t="s">
        <v>35</v>
      </c>
      <c r="B9">
        <v>18</v>
      </c>
      <c r="C9">
        <f>Earnings!C9/160</f>
        <v>2707.1575000000003</v>
      </c>
      <c r="D9">
        <f t="shared" si="0"/>
        <v>97457.670000000013</v>
      </c>
    </row>
    <row r="10" spans="1:4" x14ac:dyDescent="0.35">
      <c r="A10" t="s">
        <v>37</v>
      </c>
      <c r="B10">
        <v>0</v>
      </c>
      <c r="C10">
        <f>Earnings!C10/160</f>
        <v>3065.7735000000002</v>
      </c>
      <c r="D10">
        <f t="shared" si="0"/>
        <v>0</v>
      </c>
    </row>
    <row r="11" spans="1:4" x14ac:dyDescent="0.35">
      <c r="A11" t="s">
        <v>39</v>
      </c>
      <c r="B11">
        <v>27</v>
      </c>
      <c r="C11">
        <f>Earnings!C11/160</f>
        <v>2237.7725</v>
      </c>
      <c r="D11">
        <f t="shared" si="0"/>
        <v>120839.715</v>
      </c>
    </row>
    <row r="12" spans="1:4" x14ac:dyDescent="0.35">
      <c r="A12" t="s">
        <v>40</v>
      </c>
      <c r="B12">
        <v>0</v>
      </c>
      <c r="C12">
        <f>Earnings!C12/160</f>
        <v>1405.294625</v>
      </c>
      <c r="D12">
        <f t="shared" si="0"/>
        <v>0</v>
      </c>
    </row>
    <row r="13" spans="1:4" x14ac:dyDescent="0.35">
      <c r="A13" t="s">
        <v>41</v>
      </c>
      <c r="B13">
        <v>12</v>
      </c>
      <c r="C13">
        <f>Earnings!C13/160</f>
        <v>2502.7575000000002</v>
      </c>
      <c r="D13">
        <f t="shared" si="0"/>
        <v>60066.180000000008</v>
      </c>
    </row>
    <row r="14" spans="1:4" x14ac:dyDescent="0.35">
      <c r="A14" t="s">
        <v>42</v>
      </c>
      <c r="B14">
        <v>0</v>
      </c>
      <c r="C14">
        <f>Earnings!C14/160</f>
        <v>2370.9724999999999</v>
      </c>
      <c r="D14">
        <f t="shared" si="0"/>
        <v>0</v>
      </c>
    </row>
    <row r="15" spans="1:4" x14ac:dyDescent="0.35">
      <c r="A15" t="s">
        <v>43</v>
      </c>
      <c r="B15">
        <v>0</v>
      </c>
      <c r="C15">
        <f>Earnings!C15/160</f>
        <v>1774.070375</v>
      </c>
      <c r="D15">
        <f t="shared" si="0"/>
        <v>0</v>
      </c>
    </row>
    <row r="16" spans="1:4" x14ac:dyDescent="0.35">
      <c r="A16" t="s">
        <v>46</v>
      </c>
      <c r="B16">
        <v>0</v>
      </c>
      <c r="C16">
        <f>Earnings!C16/160</f>
        <v>2458.3910000000001</v>
      </c>
      <c r="D16">
        <f t="shared" si="0"/>
        <v>0</v>
      </c>
    </row>
    <row r="17" spans="1:4" x14ac:dyDescent="0.35">
      <c r="A17" t="s">
        <v>47</v>
      </c>
      <c r="B17">
        <v>28</v>
      </c>
      <c r="C17">
        <f>Earnings!C17/160</f>
        <v>2768.5327499999999</v>
      </c>
      <c r="D17">
        <f t="shared" si="0"/>
        <v>155037.834</v>
      </c>
    </row>
    <row r="18" spans="1:4" x14ac:dyDescent="0.35">
      <c r="A18" t="s">
        <v>48</v>
      </c>
      <c r="B18">
        <v>24</v>
      </c>
      <c r="C18">
        <f>Earnings!C18/160</f>
        <v>1638.894875</v>
      </c>
      <c r="D18">
        <f t="shared" si="0"/>
        <v>78666.953999999998</v>
      </c>
    </row>
    <row r="19" spans="1:4" x14ac:dyDescent="0.35">
      <c r="A19" t="s">
        <v>49</v>
      </c>
      <c r="B19">
        <v>10</v>
      </c>
      <c r="C19">
        <f>Earnings!C19/160</f>
        <v>2681.02</v>
      </c>
      <c r="D19">
        <f t="shared" si="0"/>
        <v>53620.4</v>
      </c>
    </row>
    <row r="20" spans="1:4" x14ac:dyDescent="0.35">
      <c r="A20" t="s">
        <v>50</v>
      </c>
      <c r="B20">
        <v>0</v>
      </c>
      <c r="C20">
        <f>Earnings!C20/160</f>
        <v>1840.9099999999999</v>
      </c>
      <c r="D20">
        <f t="shared" si="0"/>
        <v>0</v>
      </c>
    </row>
    <row r="21" spans="1:4" x14ac:dyDescent="0.35">
      <c r="A21" t="s">
        <v>51</v>
      </c>
      <c r="B21">
        <v>30</v>
      </c>
      <c r="C21">
        <f>Earnings!C21/160</f>
        <v>1943.58</v>
      </c>
      <c r="D21">
        <f t="shared" si="0"/>
        <v>116614.79999999999</v>
      </c>
    </row>
    <row r="22" spans="1:4" x14ac:dyDescent="0.35">
      <c r="A22" t="s">
        <v>52</v>
      </c>
      <c r="B22">
        <v>0</v>
      </c>
      <c r="C22">
        <f>Earnings!C22/160</f>
        <v>1977.64</v>
      </c>
      <c r="D22">
        <f t="shared" si="0"/>
        <v>0</v>
      </c>
    </row>
    <row r="23" spans="1:4" x14ac:dyDescent="0.35">
      <c r="A23" t="s">
        <v>53</v>
      </c>
      <c r="B23">
        <v>0</v>
      </c>
      <c r="C23">
        <f>Earnings!C23/160</f>
        <v>2183.5950000000003</v>
      </c>
      <c r="D23">
        <f t="shared" si="0"/>
        <v>0</v>
      </c>
    </row>
    <row r="24" spans="1:4" x14ac:dyDescent="0.35">
      <c r="A24" t="s">
        <v>54</v>
      </c>
      <c r="B24">
        <v>15</v>
      </c>
      <c r="C24">
        <f>Earnings!C24/160</f>
        <v>2284.1125000000002</v>
      </c>
      <c r="D24">
        <f t="shared" si="0"/>
        <v>68523.375</v>
      </c>
    </row>
    <row r="25" spans="1:4" x14ac:dyDescent="0.35">
      <c r="A25" t="s">
        <v>55</v>
      </c>
      <c r="B25">
        <v>0</v>
      </c>
      <c r="C25">
        <f>Earnings!C25/160</f>
        <v>2493.5766250000001</v>
      </c>
      <c r="D25">
        <f t="shared" si="0"/>
        <v>0</v>
      </c>
    </row>
    <row r="26" spans="1:4" x14ac:dyDescent="0.35">
      <c r="A26" t="s">
        <v>56</v>
      </c>
      <c r="B26">
        <v>5</v>
      </c>
      <c r="C26">
        <f>Earnings!C26/160</f>
        <v>2400.4837500000003</v>
      </c>
      <c r="D26">
        <f t="shared" si="0"/>
        <v>24004.837500000001</v>
      </c>
    </row>
    <row r="27" spans="1:4" x14ac:dyDescent="0.35">
      <c r="A27" t="s">
        <v>57</v>
      </c>
      <c r="B27">
        <v>0</v>
      </c>
      <c r="C27">
        <f>Earnings!C27/160</f>
        <v>1851.875</v>
      </c>
      <c r="D27">
        <f t="shared" si="0"/>
        <v>0</v>
      </c>
    </row>
    <row r="28" spans="1:4" x14ac:dyDescent="0.35">
      <c r="A28" t="s">
        <v>58</v>
      </c>
      <c r="B28">
        <v>0</v>
      </c>
      <c r="C28">
        <f>Earnings!C28/160</f>
        <v>1133.0934999999999</v>
      </c>
      <c r="D28">
        <f t="shared" si="0"/>
        <v>0</v>
      </c>
    </row>
    <row r="29" spans="1:4" x14ac:dyDescent="0.35">
      <c r="A29" t="s">
        <v>59</v>
      </c>
      <c r="B29">
        <v>0</v>
      </c>
      <c r="C29">
        <f>Earnings!C29/160</f>
        <v>790.188625</v>
      </c>
      <c r="D29">
        <f t="shared" si="0"/>
        <v>0</v>
      </c>
    </row>
    <row r="30" spans="1:4" x14ac:dyDescent="0.35">
      <c r="A30" t="s">
        <v>60</v>
      </c>
      <c r="B30">
        <v>0</v>
      </c>
      <c r="C30">
        <f>Earnings!C30/160</f>
        <v>2043.3740000000003</v>
      </c>
      <c r="D30">
        <f t="shared" si="0"/>
        <v>0</v>
      </c>
    </row>
    <row r="31" spans="1:4" x14ac:dyDescent="0.35">
      <c r="A31" t="s">
        <v>61</v>
      </c>
      <c r="B31">
        <v>0</v>
      </c>
      <c r="C31">
        <f>Earnings!C31/160</f>
        <v>1314.2703750000001</v>
      </c>
      <c r="D31">
        <f t="shared" si="0"/>
        <v>0</v>
      </c>
    </row>
    <row r="32" spans="1:4" x14ac:dyDescent="0.35">
      <c r="A32" t="s">
        <v>62</v>
      </c>
      <c r="B32">
        <v>9</v>
      </c>
      <c r="C32">
        <f>Earnings!C32/160</f>
        <v>2340.2525000000001</v>
      </c>
      <c r="D32">
        <f t="shared" si="0"/>
        <v>42124.544999999998</v>
      </c>
    </row>
    <row r="33" spans="1:4" x14ac:dyDescent="0.35">
      <c r="A33" t="s">
        <v>63</v>
      </c>
      <c r="B33">
        <v>0</v>
      </c>
      <c r="C33">
        <f>Earnings!C33/160</f>
        <v>1697.1924999999999</v>
      </c>
      <c r="D33">
        <f t="shared" si="0"/>
        <v>0</v>
      </c>
    </row>
    <row r="34" spans="1:4" x14ac:dyDescent="0.35">
      <c r="A34" t="s">
        <v>64</v>
      </c>
      <c r="B34">
        <v>13</v>
      </c>
      <c r="C34">
        <f>Earnings!C34/160</f>
        <v>2668.3249999999998</v>
      </c>
      <c r="D34">
        <f t="shared" si="0"/>
        <v>69376.45</v>
      </c>
    </row>
    <row r="35" spans="1:4" x14ac:dyDescent="0.35">
      <c r="A35" t="s">
        <v>65</v>
      </c>
      <c r="B35">
        <v>12</v>
      </c>
      <c r="C35">
        <f>Earnings!C35/160</f>
        <v>2008.3665000000001</v>
      </c>
      <c r="D35">
        <f t="shared" si="0"/>
        <v>48200.796000000002</v>
      </c>
    </row>
    <row r="36" spans="1:4" x14ac:dyDescent="0.35">
      <c r="A36" t="s">
        <v>66</v>
      </c>
      <c r="B36">
        <v>0</v>
      </c>
      <c r="C36">
        <f>Earnings!C36/160</f>
        <v>1289.1595</v>
      </c>
      <c r="D36">
        <f t="shared" si="0"/>
        <v>0</v>
      </c>
    </row>
    <row r="37" spans="1:4" x14ac:dyDescent="0.35">
      <c r="A37" t="s">
        <v>67</v>
      </c>
      <c r="B37">
        <v>6</v>
      </c>
      <c r="C37">
        <f>Earnings!C37/160</f>
        <v>1999.7689999999998</v>
      </c>
      <c r="D37">
        <f t="shared" si="0"/>
        <v>23997.227999999996</v>
      </c>
    </row>
    <row r="38" spans="1:4" x14ac:dyDescent="0.35">
      <c r="A38" t="s">
        <v>68</v>
      </c>
      <c r="B38">
        <v>13</v>
      </c>
      <c r="C38">
        <f>Earnings!C38/160</f>
        <v>1566.0875000000001</v>
      </c>
      <c r="D38">
        <f t="shared" si="0"/>
        <v>40718.275000000001</v>
      </c>
    </row>
    <row r="39" spans="1:4" x14ac:dyDescent="0.35">
      <c r="A39" t="s">
        <v>69</v>
      </c>
      <c r="B39">
        <v>5</v>
      </c>
      <c r="C39">
        <f>Earnings!C39/160</f>
        <v>1983.5501250000002</v>
      </c>
      <c r="D39">
        <f t="shared" si="0"/>
        <v>19835.501250000001</v>
      </c>
    </row>
    <row r="40" spans="1:4" x14ac:dyDescent="0.35">
      <c r="A40" t="s">
        <v>70</v>
      </c>
      <c r="B40">
        <v>0</v>
      </c>
      <c r="C40">
        <f>Earnings!C40/160</f>
        <v>2028.6490000000001</v>
      </c>
      <c r="D40">
        <f t="shared" si="0"/>
        <v>0</v>
      </c>
    </row>
    <row r="41" spans="1:4" x14ac:dyDescent="0.35">
      <c r="A41" t="s">
        <v>72</v>
      </c>
      <c r="B41">
        <v>17</v>
      </c>
      <c r="C41">
        <f>Earnings!C41/160</f>
        <v>1375.3375000000001</v>
      </c>
      <c r="D41">
        <f t="shared" si="0"/>
        <v>46761.475000000006</v>
      </c>
    </row>
    <row r="42" spans="1:4" x14ac:dyDescent="0.35">
      <c r="A42" t="s">
        <v>73</v>
      </c>
      <c r="B42">
        <v>5</v>
      </c>
      <c r="C42">
        <f>Earnings!C42/160</f>
        <v>2254.63</v>
      </c>
      <c r="D42">
        <f t="shared" si="0"/>
        <v>22546.300000000003</v>
      </c>
    </row>
    <row r="43" spans="1:4" x14ac:dyDescent="0.35">
      <c r="A43" t="s">
        <v>74</v>
      </c>
      <c r="B43">
        <v>0</v>
      </c>
      <c r="C43">
        <f>Earnings!C43/160</f>
        <v>2474.5325000000003</v>
      </c>
      <c r="D43">
        <f t="shared" si="0"/>
        <v>0</v>
      </c>
    </row>
    <row r="44" spans="1:4" x14ac:dyDescent="0.35">
      <c r="A44" t="s">
        <v>75</v>
      </c>
      <c r="B44">
        <v>30</v>
      </c>
      <c r="C44">
        <f>Earnings!C44/160</f>
        <v>3448.8599999999997</v>
      </c>
      <c r="D44">
        <f t="shared" si="0"/>
        <v>206931.59999999998</v>
      </c>
    </row>
    <row r="45" spans="1:4" x14ac:dyDescent="0.35">
      <c r="A45" t="s">
        <v>76</v>
      </c>
      <c r="B45">
        <v>0</v>
      </c>
      <c r="C45">
        <f>Earnings!C45/160</f>
        <v>843.38499999999999</v>
      </c>
      <c r="D45">
        <f t="shared" si="0"/>
        <v>0</v>
      </c>
    </row>
    <row r="46" spans="1:4" x14ac:dyDescent="0.35">
      <c r="A46" t="s">
        <v>77</v>
      </c>
      <c r="B46">
        <v>28</v>
      </c>
      <c r="C46">
        <f>Earnings!C46/160</f>
        <v>2293.1575000000003</v>
      </c>
      <c r="D46">
        <f t="shared" si="0"/>
        <v>128416.82</v>
      </c>
    </row>
    <row r="47" spans="1:4" x14ac:dyDescent="0.35">
      <c r="A47" t="s">
        <v>78</v>
      </c>
      <c r="B47">
        <v>0</v>
      </c>
      <c r="C47">
        <f>Earnings!C47/160</f>
        <v>2297.8975</v>
      </c>
      <c r="D47">
        <f t="shared" si="0"/>
        <v>0</v>
      </c>
    </row>
    <row r="48" spans="1:4" x14ac:dyDescent="0.35">
      <c r="A48" t="s">
        <v>79</v>
      </c>
      <c r="B48">
        <v>30</v>
      </c>
      <c r="C48">
        <f>Earnings!C48/160</f>
        <v>2229.645</v>
      </c>
      <c r="D48">
        <f t="shared" si="0"/>
        <v>133778.70000000001</v>
      </c>
    </row>
    <row r="49" spans="1:4" x14ac:dyDescent="0.35">
      <c r="A49" t="s">
        <v>80</v>
      </c>
      <c r="B49">
        <v>20</v>
      </c>
      <c r="C49">
        <f>Earnings!C49/160</f>
        <v>2052.5875000000001</v>
      </c>
      <c r="D49">
        <f t="shared" si="0"/>
        <v>82103.5</v>
      </c>
    </row>
    <row r="50" spans="1:4" x14ac:dyDescent="0.35">
      <c r="A50" t="s">
        <v>81</v>
      </c>
      <c r="B50">
        <v>25</v>
      </c>
      <c r="C50">
        <f>Earnings!C50/160</f>
        <v>2998.8270000000007</v>
      </c>
      <c r="D50">
        <f t="shared" si="0"/>
        <v>149941.35000000003</v>
      </c>
    </row>
    <row r="51" spans="1:4" x14ac:dyDescent="0.35">
      <c r="A51" t="s">
        <v>82</v>
      </c>
      <c r="B51">
        <v>0</v>
      </c>
      <c r="C51">
        <f>Earnings!C51/160</f>
        <v>3831.5749999999998</v>
      </c>
      <c r="D51">
        <f t="shared" si="0"/>
        <v>0</v>
      </c>
    </row>
    <row r="52" spans="1:4" x14ac:dyDescent="0.35">
      <c r="A52" t="s">
        <v>83</v>
      </c>
      <c r="B52">
        <v>0</v>
      </c>
      <c r="C52">
        <f>Earnings!C52/160</f>
        <v>2316.4900000000002</v>
      </c>
      <c r="D52">
        <f t="shared" si="0"/>
        <v>0</v>
      </c>
    </row>
    <row r="53" spans="1:4" x14ac:dyDescent="0.35">
      <c r="A53" t="s">
        <v>84</v>
      </c>
      <c r="B53">
        <v>30</v>
      </c>
      <c r="C53">
        <f>Earnings!C53/160</f>
        <v>2396.4299999999998</v>
      </c>
      <c r="D53">
        <f t="shared" si="0"/>
        <v>143785.79999999999</v>
      </c>
    </row>
    <row r="54" spans="1:4" x14ac:dyDescent="0.35">
      <c r="A54" t="s">
        <v>85</v>
      </c>
      <c r="B54">
        <v>15</v>
      </c>
      <c r="C54">
        <f>Earnings!C54/160</f>
        <v>2013.1624999999999</v>
      </c>
      <c r="D54">
        <f t="shared" si="0"/>
        <v>60394.875</v>
      </c>
    </row>
    <row r="55" spans="1:4" x14ac:dyDescent="0.35">
      <c r="A55" t="s">
        <v>86</v>
      </c>
      <c r="B55">
        <v>28</v>
      </c>
      <c r="C55">
        <f>Earnings!C55/160</f>
        <v>1985.395</v>
      </c>
      <c r="D55">
        <f t="shared" si="0"/>
        <v>111182.12</v>
      </c>
    </row>
    <row r="56" spans="1:4" x14ac:dyDescent="0.35">
      <c r="A56" t="s">
        <v>87</v>
      </c>
      <c r="B56">
        <v>22</v>
      </c>
      <c r="C56">
        <f>Earnings!C56/160</f>
        <v>3035.3830000000003</v>
      </c>
      <c r="D56">
        <f t="shared" si="0"/>
        <v>133556.85200000001</v>
      </c>
    </row>
    <row r="57" spans="1:4" x14ac:dyDescent="0.35">
      <c r="A57" t="s">
        <v>88</v>
      </c>
      <c r="B57">
        <v>0</v>
      </c>
      <c r="C57">
        <f>Earnings!C57/160</f>
        <v>2582.586875</v>
      </c>
      <c r="D57">
        <f t="shared" si="0"/>
        <v>0</v>
      </c>
    </row>
    <row r="58" spans="1:4" x14ac:dyDescent="0.35">
      <c r="A58" t="s">
        <v>89</v>
      </c>
      <c r="B58">
        <v>0</v>
      </c>
      <c r="C58">
        <f>Earnings!C58/160</f>
        <v>2301.7075</v>
      </c>
      <c r="D58">
        <f t="shared" si="0"/>
        <v>0</v>
      </c>
    </row>
    <row r="59" spans="1:4" x14ac:dyDescent="0.35">
      <c r="A59" t="s">
        <v>90</v>
      </c>
      <c r="B59">
        <v>0</v>
      </c>
      <c r="C59">
        <f>Earnings!C59/160</f>
        <v>1779.822625</v>
      </c>
      <c r="D59">
        <f t="shared" si="0"/>
        <v>0</v>
      </c>
    </row>
    <row r="60" spans="1:4" x14ac:dyDescent="0.35">
      <c r="A60" t="s">
        <v>91</v>
      </c>
      <c r="B60">
        <v>0</v>
      </c>
      <c r="C60">
        <f>Earnings!C60/160</f>
        <v>2593.6923750000001</v>
      </c>
      <c r="D60">
        <f t="shared" si="0"/>
        <v>0</v>
      </c>
    </row>
    <row r="61" spans="1:4" x14ac:dyDescent="0.35">
      <c r="A61" t="s">
        <v>92</v>
      </c>
      <c r="B61">
        <v>0</v>
      </c>
      <c r="C61">
        <f>Earnings!C61/160</f>
        <v>1044.275625</v>
      </c>
      <c r="D61">
        <f t="shared" si="0"/>
        <v>0</v>
      </c>
    </row>
    <row r="62" spans="1:4" x14ac:dyDescent="0.35">
      <c r="A62" t="s">
        <v>93</v>
      </c>
      <c r="B62">
        <v>30</v>
      </c>
      <c r="C62">
        <f>Earnings!C62/160</f>
        <v>1179.1375</v>
      </c>
      <c r="D62">
        <f t="shared" si="0"/>
        <v>70748.25</v>
      </c>
    </row>
    <row r="63" spans="1:4" x14ac:dyDescent="0.35">
      <c r="A63" t="s">
        <v>94</v>
      </c>
      <c r="B63">
        <v>29</v>
      </c>
      <c r="C63">
        <f>Earnings!C63/160</f>
        <v>2904.1713749999999</v>
      </c>
      <c r="D63">
        <f t="shared" si="0"/>
        <v>168441.93974999999</v>
      </c>
    </row>
    <row r="64" spans="1:4" x14ac:dyDescent="0.35">
      <c r="A64" t="s">
        <v>95</v>
      </c>
      <c r="B64">
        <v>0</v>
      </c>
      <c r="C64">
        <f>Earnings!C64/160</f>
        <v>1517.142875</v>
      </c>
      <c r="D64">
        <f t="shared" si="0"/>
        <v>0</v>
      </c>
    </row>
    <row r="65" spans="1:4" x14ac:dyDescent="0.35">
      <c r="A65" t="s">
        <v>96</v>
      </c>
      <c r="B65">
        <v>0</v>
      </c>
      <c r="C65">
        <f>Earnings!C65/160</f>
        <v>1576.81</v>
      </c>
      <c r="D65">
        <f t="shared" si="0"/>
        <v>0</v>
      </c>
    </row>
    <row r="66" spans="1:4" x14ac:dyDescent="0.35">
      <c r="A66" t="s">
        <v>97</v>
      </c>
      <c r="B66">
        <v>0</v>
      </c>
      <c r="C66">
        <f>Earnings!C66/160</f>
        <v>2515.52</v>
      </c>
      <c r="D66">
        <f t="shared" ref="D66:D129" si="1">B66*C66*2</f>
        <v>0</v>
      </c>
    </row>
    <row r="67" spans="1:4" x14ac:dyDescent="0.35">
      <c r="A67" t="s">
        <v>98</v>
      </c>
      <c r="B67">
        <v>0</v>
      </c>
      <c r="C67">
        <f>Earnings!C67/160</f>
        <v>2423.1025</v>
      </c>
      <c r="D67">
        <f t="shared" si="1"/>
        <v>0</v>
      </c>
    </row>
    <row r="68" spans="1:4" x14ac:dyDescent="0.35">
      <c r="A68" t="s">
        <v>99</v>
      </c>
      <c r="B68">
        <v>27</v>
      </c>
      <c r="C68">
        <f>Earnings!C68/160</f>
        <v>2476.4299999999998</v>
      </c>
      <c r="D68">
        <f t="shared" si="1"/>
        <v>133727.22</v>
      </c>
    </row>
    <row r="69" spans="1:4" x14ac:dyDescent="0.35">
      <c r="A69" t="s">
        <v>100</v>
      </c>
      <c r="B69">
        <v>19</v>
      </c>
      <c r="C69">
        <f>Earnings!C69/160</f>
        <v>2157.875125</v>
      </c>
      <c r="D69">
        <f t="shared" si="1"/>
        <v>81999.254750000007</v>
      </c>
    </row>
    <row r="70" spans="1:4" x14ac:dyDescent="0.35">
      <c r="A70" t="s">
        <v>101</v>
      </c>
      <c r="B70">
        <v>0</v>
      </c>
      <c r="C70">
        <f>Earnings!C70/160</f>
        <v>1574.551375</v>
      </c>
      <c r="D70">
        <f t="shared" si="1"/>
        <v>0</v>
      </c>
    </row>
    <row r="71" spans="1:4" x14ac:dyDescent="0.35">
      <c r="A71" t="s">
        <v>102</v>
      </c>
      <c r="B71">
        <v>26</v>
      </c>
      <c r="C71">
        <f>Earnings!C71/160</f>
        <v>2328.5141250000001</v>
      </c>
      <c r="D71">
        <f t="shared" si="1"/>
        <v>121082.73450000001</v>
      </c>
    </row>
    <row r="72" spans="1:4" x14ac:dyDescent="0.35">
      <c r="A72" t="s">
        <v>103</v>
      </c>
      <c r="B72">
        <v>14</v>
      </c>
      <c r="C72">
        <f>Earnings!C72/160</f>
        <v>2203.4700000000003</v>
      </c>
      <c r="D72">
        <f t="shared" si="1"/>
        <v>61697.16</v>
      </c>
    </row>
    <row r="73" spans="1:4" x14ac:dyDescent="0.35">
      <c r="A73" t="s">
        <v>104</v>
      </c>
      <c r="B73">
        <v>0</v>
      </c>
      <c r="C73">
        <f>Earnings!C73/160</f>
        <v>2604.9095000000002</v>
      </c>
      <c r="D73">
        <f t="shared" si="1"/>
        <v>0</v>
      </c>
    </row>
    <row r="74" spans="1:4" x14ac:dyDescent="0.35">
      <c r="A74" t="s">
        <v>105</v>
      </c>
      <c r="B74">
        <v>0</v>
      </c>
      <c r="C74">
        <f>Earnings!C74/160</f>
        <v>2260.6580000000004</v>
      </c>
      <c r="D74">
        <f t="shared" si="1"/>
        <v>0</v>
      </c>
    </row>
    <row r="75" spans="1:4" x14ac:dyDescent="0.35">
      <c r="A75" t="s">
        <v>106</v>
      </c>
      <c r="B75">
        <v>0</v>
      </c>
      <c r="C75">
        <f>Earnings!C75/160</f>
        <v>1408.9475</v>
      </c>
      <c r="D75">
        <f t="shared" si="1"/>
        <v>0</v>
      </c>
    </row>
    <row r="76" spans="1:4" x14ac:dyDescent="0.35">
      <c r="A76" t="s">
        <v>107</v>
      </c>
      <c r="B76">
        <v>18</v>
      </c>
      <c r="C76">
        <f>Earnings!C76/160</f>
        <v>1502.983125</v>
      </c>
      <c r="D76">
        <f t="shared" si="1"/>
        <v>54107.392500000002</v>
      </c>
    </row>
    <row r="77" spans="1:4" x14ac:dyDescent="0.35">
      <c r="A77" t="s">
        <v>108</v>
      </c>
      <c r="B77">
        <v>24</v>
      </c>
      <c r="C77">
        <f>Earnings!C77/160</f>
        <v>1277.6325000000002</v>
      </c>
      <c r="D77">
        <f t="shared" si="1"/>
        <v>61326.360000000008</v>
      </c>
    </row>
    <row r="78" spans="1:4" x14ac:dyDescent="0.35">
      <c r="A78" t="s">
        <v>109</v>
      </c>
      <c r="B78">
        <v>8</v>
      </c>
      <c r="C78">
        <f>Earnings!C78/160</f>
        <v>1546.81375</v>
      </c>
      <c r="D78">
        <f t="shared" si="1"/>
        <v>24749.02</v>
      </c>
    </row>
    <row r="79" spans="1:4" x14ac:dyDescent="0.35">
      <c r="A79" t="s">
        <v>110</v>
      </c>
      <c r="B79">
        <v>0</v>
      </c>
      <c r="C79">
        <f>Earnings!C79/160</f>
        <v>1633.75775</v>
      </c>
      <c r="D79">
        <f t="shared" si="1"/>
        <v>0</v>
      </c>
    </row>
    <row r="80" spans="1:4" x14ac:dyDescent="0.35">
      <c r="A80" t="s">
        <v>111</v>
      </c>
      <c r="B80">
        <v>30</v>
      </c>
      <c r="C80">
        <f>Earnings!C80/160</f>
        <v>1889.4450000000002</v>
      </c>
      <c r="D80">
        <f t="shared" si="1"/>
        <v>113366.70000000001</v>
      </c>
    </row>
    <row r="81" spans="1:4" x14ac:dyDescent="0.35">
      <c r="A81" t="s">
        <v>112</v>
      </c>
      <c r="B81">
        <v>15</v>
      </c>
      <c r="C81">
        <f>Earnings!C81/160</f>
        <v>2970.0549999999998</v>
      </c>
      <c r="D81">
        <f t="shared" si="1"/>
        <v>89101.65</v>
      </c>
    </row>
    <row r="82" spans="1:4" x14ac:dyDescent="0.35">
      <c r="A82" t="s">
        <v>113</v>
      </c>
      <c r="B82">
        <v>5</v>
      </c>
      <c r="C82">
        <f>Earnings!C82/160</f>
        <v>1349.6934999999999</v>
      </c>
      <c r="D82">
        <f t="shared" si="1"/>
        <v>13496.934999999998</v>
      </c>
    </row>
    <row r="83" spans="1:4" x14ac:dyDescent="0.35">
      <c r="A83" t="s">
        <v>114</v>
      </c>
      <c r="B83">
        <v>0</v>
      </c>
      <c r="C83">
        <f>Earnings!C83/160</f>
        <v>1831.97525</v>
      </c>
      <c r="D83">
        <f t="shared" si="1"/>
        <v>0</v>
      </c>
    </row>
    <row r="84" spans="1:4" x14ac:dyDescent="0.35">
      <c r="A84" t="s">
        <v>115</v>
      </c>
      <c r="B84">
        <v>0</v>
      </c>
      <c r="C84">
        <f>Earnings!C84/160</f>
        <v>1751.6624999999999</v>
      </c>
      <c r="D84">
        <f t="shared" si="1"/>
        <v>0</v>
      </c>
    </row>
    <row r="85" spans="1:4" x14ac:dyDescent="0.35">
      <c r="A85" t="s">
        <v>116</v>
      </c>
      <c r="B85">
        <v>13</v>
      </c>
      <c r="C85">
        <f>Earnings!C85/160</f>
        <v>1935.4088749999999</v>
      </c>
      <c r="D85">
        <f t="shared" si="1"/>
        <v>50320.630749999997</v>
      </c>
    </row>
    <row r="86" spans="1:4" x14ac:dyDescent="0.35">
      <c r="A86" t="s">
        <v>117</v>
      </c>
      <c r="B86">
        <v>6</v>
      </c>
      <c r="C86">
        <f>Earnings!C86/160</f>
        <v>3259.8849999999998</v>
      </c>
      <c r="D86">
        <f t="shared" si="1"/>
        <v>39118.619999999995</v>
      </c>
    </row>
    <row r="87" spans="1:4" x14ac:dyDescent="0.35">
      <c r="A87" t="s">
        <v>118</v>
      </c>
      <c r="B87">
        <v>0</v>
      </c>
      <c r="C87">
        <f>Earnings!C87/160</f>
        <v>1690.3</v>
      </c>
      <c r="D87">
        <f t="shared" si="1"/>
        <v>0</v>
      </c>
    </row>
    <row r="88" spans="1:4" x14ac:dyDescent="0.35">
      <c r="A88" t="s">
        <v>119</v>
      </c>
      <c r="B88">
        <v>28</v>
      </c>
      <c r="C88">
        <f>Earnings!C88/160</f>
        <v>1921.9150000000002</v>
      </c>
      <c r="D88">
        <f t="shared" si="1"/>
        <v>107627.24</v>
      </c>
    </row>
    <row r="89" spans="1:4" x14ac:dyDescent="0.35">
      <c r="A89" t="s">
        <v>120</v>
      </c>
      <c r="B89">
        <v>0</v>
      </c>
      <c r="C89">
        <f>Earnings!C89/160</f>
        <v>2731.1750000000002</v>
      </c>
      <c r="D89">
        <f t="shared" si="1"/>
        <v>0</v>
      </c>
    </row>
    <row r="90" spans="1:4" x14ac:dyDescent="0.35">
      <c r="A90" t="s">
        <v>121</v>
      </c>
      <c r="B90">
        <v>0</v>
      </c>
      <c r="C90">
        <f>Earnings!C90/160</f>
        <v>2490.4375</v>
      </c>
      <c r="D90">
        <f t="shared" si="1"/>
        <v>0</v>
      </c>
    </row>
    <row r="91" spans="1:4" x14ac:dyDescent="0.35">
      <c r="A91" t="s">
        <v>122</v>
      </c>
      <c r="B91">
        <v>8</v>
      </c>
      <c r="C91">
        <f>Earnings!C91/160</f>
        <v>2023.58</v>
      </c>
      <c r="D91">
        <f t="shared" si="1"/>
        <v>32377.279999999999</v>
      </c>
    </row>
    <row r="92" spans="1:4" x14ac:dyDescent="0.35">
      <c r="A92" t="s">
        <v>123</v>
      </c>
      <c r="B92">
        <v>18</v>
      </c>
      <c r="C92">
        <f>Earnings!C92/160</f>
        <v>2753.2249999999999</v>
      </c>
      <c r="D92">
        <f t="shared" si="1"/>
        <v>99116.099999999991</v>
      </c>
    </row>
    <row r="93" spans="1:4" x14ac:dyDescent="0.35">
      <c r="A93" t="s">
        <v>124</v>
      </c>
      <c r="B93">
        <v>0</v>
      </c>
      <c r="C93">
        <f>Earnings!C93/160</f>
        <v>2328.3175000000001</v>
      </c>
      <c r="D93">
        <f t="shared" si="1"/>
        <v>0</v>
      </c>
    </row>
    <row r="94" spans="1:4" x14ac:dyDescent="0.35">
      <c r="A94" t="s">
        <v>125</v>
      </c>
      <c r="B94">
        <v>6</v>
      </c>
      <c r="C94">
        <f>Earnings!C94/160</f>
        <v>2574.7113750000008</v>
      </c>
      <c r="D94">
        <f t="shared" si="1"/>
        <v>30896.536500000009</v>
      </c>
    </row>
    <row r="95" spans="1:4" x14ac:dyDescent="0.35">
      <c r="A95" t="s">
        <v>126</v>
      </c>
      <c r="B95">
        <v>12</v>
      </c>
      <c r="C95">
        <f>Earnings!C95/160</f>
        <v>2015.7955000000002</v>
      </c>
      <c r="D95">
        <f t="shared" si="1"/>
        <v>48379.092000000004</v>
      </c>
    </row>
    <row r="96" spans="1:4" x14ac:dyDescent="0.35">
      <c r="A96" t="s">
        <v>127</v>
      </c>
      <c r="B96">
        <v>0</v>
      </c>
      <c r="C96">
        <f>Earnings!C96/160</f>
        <v>2557.5474999999997</v>
      </c>
      <c r="D96">
        <f t="shared" si="1"/>
        <v>0</v>
      </c>
    </row>
    <row r="97" spans="1:4" x14ac:dyDescent="0.35">
      <c r="A97" t="s">
        <v>128</v>
      </c>
      <c r="B97">
        <v>11</v>
      </c>
      <c r="C97">
        <f>Earnings!C97/160</f>
        <v>2225.9735000000001</v>
      </c>
      <c r="D97">
        <f t="shared" si="1"/>
        <v>48971.417000000001</v>
      </c>
    </row>
    <row r="98" spans="1:4" x14ac:dyDescent="0.35">
      <c r="A98" t="s">
        <v>129</v>
      </c>
      <c r="B98">
        <v>17</v>
      </c>
      <c r="C98">
        <f>Earnings!C98/160</f>
        <v>2057.0373749999999</v>
      </c>
      <c r="D98">
        <f t="shared" si="1"/>
        <v>69939.270749999996</v>
      </c>
    </row>
    <row r="99" spans="1:4" x14ac:dyDescent="0.35">
      <c r="A99" t="s">
        <v>130</v>
      </c>
      <c r="B99">
        <v>22</v>
      </c>
      <c r="C99">
        <f>Earnings!C99/160</f>
        <v>2478.1320000000001</v>
      </c>
      <c r="D99">
        <f t="shared" si="1"/>
        <v>109037.808</v>
      </c>
    </row>
    <row r="100" spans="1:4" x14ac:dyDescent="0.35">
      <c r="A100" t="s">
        <v>131</v>
      </c>
      <c r="B100">
        <v>0</v>
      </c>
      <c r="C100">
        <f>Earnings!C100/160</f>
        <v>1493.1245000000001</v>
      </c>
      <c r="D100">
        <f t="shared" si="1"/>
        <v>0</v>
      </c>
    </row>
    <row r="101" spans="1:4" x14ac:dyDescent="0.35">
      <c r="A101" t="s">
        <v>132</v>
      </c>
      <c r="B101">
        <v>27</v>
      </c>
      <c r="C101">
        <f>Earnings!C101/160</f>
        <v>2285.4221250000001</v>
      </c>
      <c r="D101">
        <f t="shared" si="1"/>
        <v>123412.79475</v>
      </c>
    </row>
    <row r="102" spans="1:4" x14ac:dyDescent="0.35">
      <c r="A102" t="s">
        <v>133</v>
      </c>
      <c r="B102">
        <v>0</v>
      </c>
      <c r="C102">
        <f>Earnings!C102/160</f>
        <v>1907.2294999999999</v>
      </c>
      <c r="D102">
        <f t="shared" si="1"/>
        <v>0</v>
      </c>
    </row>
    <row r="103" spans="1:4" x14ac:dyDescent="0.35">
      <c r="A103" t="s">
        <v>134</v>
      </c>
      <c r="B103">
        <v>15</v>
      </c>
      <c r="C103">
        <f>Earnings!C103/160</f>
        <v>1778.2075</v>
      </c>
      <c r="D103">
        <f t="shared" si="1"/>
        <v>53346.224999999999</v>
      </c>
    </row>
    <row r="104" spans="1:4" x14ac:dyDescent="0.35">
      <c r="A104" t="s">
        <v>135</v>
      </c>
      <c r="B104">
        <v>0</v>
      </c>
      <c r="C104">
        <f>Earnings!C104/160</f>
        <v>1991.7400000000002</v>
      </c>
      <c r="D104">
        <f t="shared" si="1"/>
        <v>0</v>
      </c>
    </row>
    <row r="105" spans="1:4" x14ac:dyDescent="0.35">
      <c r="A105" t="s">
        <v>136</v>
      </c>
      <c r="B105">
        <v>0</v>
      </c>
      <c r="C105">
        <f>Earnings!C105/160</f>
        <v>2245.4841249999999</v>
      </c>
      <c r="D105">
        <f t="shared" si="1"/>
        <v>0</v>
      </c>
    </row>
    <row r="106" spans="1:4" x14ac:dyDescent="0.35">
      <c r="A106" t="s">
        <v>137</v>
      </c>
      <c r="B106">
        <v>19</v>
      </c>
      <c r="C106">
        <f>Earnings!C106/160</f>
        <v>3774.9349999999999</v>
      </c>
      <c r="D106">
        <f t="shared" si="1"/>
        <v>143447.53</v>
      </c>
    </row>
    <row r="107" spans="1:4" x14ac:dyDescent="0.35">
      <c r="A107" t="s">
        <v>138</v>
      </c>
      <c r="B107">
        <v>0</v>
      </c>
      <c r="C107">
        <f>Earnings!C107/160</f>
        <v>1522.9175</v>
      </c>
      <c r="D107">
        <f t="shared" si="1"/>
        <v>0</v>
      </c>
    </row>
    <row r="108" spans="1:4" x14ac:dyDescent="0.35">
      <c r="A108" t="s">
        <v>139</v>
      </c>
      <c r="B108">
        <v>28</v>
      </c>
      <c r="C108">
        <f>Earnings!C108/160</f>
        <v>2815.1150000000002</v>
      </c>
      <c r="D108">
        <f t="shared" si="1"/>
        <v>157646.44</v>
      </c>
    </row>
    <row r="109" spans="1:4" x14ac:dyDescent="0.35">
      <c r="A109" t="s">
        <v>140</v>
      </c>
      <c r="B109">
        <v>18</v>
      </c>
      <c r="C109">
        <f>Earnings!C109/160</f>
        <v>1420.575</v>
      </c>
      <c r="D109">
        <f t="shared" si="1"/>
        <v>51140.700000000004</v>
      </c>
    </row>
    <row r="110" spans="1:4" x14ac:dyDescent="0.35">
      <c r="A110" t="s">
        <v>141</v>
      </c>
      <c r="B110">
        <v>9</v>
      </c>
      <c r="C110">
        <f>Earnings!C110/160</f>
        <v>1812.032375</v>
      </c>
      <c r="D110">
        <f t="shared" si="1"/>
        <v>32616.582750000001</v>
      </c>
    </row>
    <row r="111" spans="1:4" x14ac:dyDescent="0.35">
      <c r="A111" t="s">
        <v>142</v>
      </c>
      <c r="B111">
        <v>28</v>
      </c>
      <c r="C111">
        <f>Earnings!C111/160</f>
        <v>1791.2599999999998</v>
      </c>
      <c r="D111">
        <f t="shared" si="1"/>
        <v>100310.55999999998</v>
      </c>
    </row>
    <row r="112" spans="1:4" x14ac:dyDescent="0.35">
      <c r="A112" t="s">
        <v>143</v>
      </c>
      <c r="B112">
        <v>12</v>
      </c>
      <c r="C112">
        <f>Earnings!C112/160</f>
        <v>2571.3887500000001</v>
      </c>
      <c r="D112">
        <f t="shared" si="1"/>
        <v>61713.33</v>
      </c>
    </row>
    <row r="113" spans="1:4" x14ac:dyDescent="0.35">
      <c r="A113" t="s">
        <v>144</v>
      </c>
      <c r="B113">
        <v>30</v>
      </c>
      <c r="C113">
        <f>Earnings!C113/160</f>
        <v>1956.5487499999999</v>
      </c>
      <c r="D113">
        <f t="shared" si="1"/>
        <v>117392.92499999999</v>
      </c>
    </row>
    <row r="114" spans="1:4" x14ac:dyDescent="0.35">
      <c r="A114" t="s">
        <v>145</v>
      </c>
      <c r="B114">
        <v>30</v>
      </c>
      <c r="C114">
        <f>Earnings!C114/160</f>
        <v>2207.298875</v>
      </c>
      <c r="D114">
        <f t="shared" si="1"/>
        <v>132437.9325</v>
      </c>
    </row>
    <row r="115" spans="1:4" x14ac:dyDescent="0.35">
      <c r="A115" t="s">
        <v>146</v>
      </c>
      <c r="B115">
        <v>11</v>
      </c>
      <c r="C115">
        <f>Earnings!C115/160</f>
        <v>1430.645</v>
      </c>
      <c r="D115">
        <f t="shared" si="1"/>
        <v>31474.19</v>
      </c>
    </row>
    <row r="116" spans="1:4" x14ac:dyDescent="0.35">
      <c r="A116" t="s">
        <v>147</v>
      </c>
      <c r="B116">
        <v>0</v>
      </c>
      <c r="C116">
        <f>Earnings!C116/160</f>
        <v>3793.0025000000001</v>
      </c>
      <c r="D116">
        <f t="shared" si="1"/>
        <v>0</v>
      </c>
    </row>
    <row r="117" spans="1:4" x14ac:dyDescent="0.35">
      <c r="A117" t="s">
        <v>148</v>
      </c>
      <c r="B117">
        <v>8</v>
      </c>
      <c r="C117">
        <f>Earnings!C117/160</f>
        <v>2489.3575000000001</v>
      </c>
      <c r="D117">
        <f t="shared" si="1"/>
        <v>39829.72</v>
      </c>
    </row>
    <row r="118" spans="1:4" x14ac:dyDescent="0.35">
      <c r="A118" t="s">
        <v>149</v>
      </c>
      <c r="B118">
        <v>13</v>
      </c>
      <c r="C118">
        <f>Earnings!C118/160</f>
        <v>2115.866125</v>
      </c>
      <c r="D118">
        <f t="shared" si="1"/>
        <v>55012.519249999998</v>
      </c>
    </row>
    <row r="119" spans="1:4" x14ac:dyDescent="0.35">
      <c r="A119" t="s">
        <v>150</v>
      </c>
      <c r="B119">
        <v>8</v>
      </c>
      <c r="C119">
        <f>Earnings!C119/160</f>
        <v>2617.917375</v>
      </c>
      <c r="D119">
        <f t="shared" si="1"/>
        <v>41886.678</v>
      </c>
    </row>
    <row r="120" spans="1:4" x14ac:dyDescent="0.35">
      <c r="A120" t="s">
        <v>151</v>
      </c>
      <c r="B120">
        <v>0</v>
      </c>
      <c r="C120">
        <f>Earnings!C120/160</f>
        <v>2045.7</v>
      </c>
      <c r="D120">
        <f t="shared" si="1"/>
        <v>0</v>
      </c>
    </row>
    <row r="121" spans="1:4" x14ac:dyDescent="0.35">
      <c r="A121" t="s">
        <v>152</v>
      </c>
      <c r="B121">
        <v>0</v>
      </c>
      <c r="C121">
        <f>Earnings!C121/160</f>
        <v>3161.3074999999999</v>
      </c>
      <c r="D121">
        <f t="shared" si="1"/>
        <v>0</v>
      </c>
    </row>
    <row r="122" spans="1:4" x14ac:dyDescent="0.35">
      <c r="A122" t="s">
        <v>153</v>
      </c>
      <c r="B122">
        <v>30</v>
      </c>
      <c r="C122">
        <f>Earnings!C122/160</f>
        <v>2014.8193749999998</v>
      </c>
      <c r="D122">
        <f t="shared" si="1"/>
        <v>120889.16249999999</v>
      </c>
    </row>
    <row r="123" spans="1:4" x14ac:dyDescent="0.35">
      <c r="A123" t="s">
        <v>154</v>
      </c>
      <c r="B123">
        <v>0</v>
      </c>
      <c r="C123">
        <f>Earnings!C123/160</f>
        <v>2539.7325000000001</v>
      </c>
      <c r="D123">
        <f t="shared" si="1"/>
        <v>0</v>
      </c>
    </row>
    <row r="124" spans="1:4" x14ac:dyDescent="0.35">
      <c r="A124" t="s">
        <v>155</v>
      </c>
      <c r="B124">
        <v>9</v>
      </c>
      <c r="C124">
        <f>Earnings!C124/160</f>
        <v>1912.4806250000001</v>
      </c>
      <c r="D124">
        <f t="shared" si="1"/>
        <v>34424.651250000003</v>
      </c>
    </row>
    <row r="125" spans="1:4" x14ac:dyDescent="0.35">
      <c r="A125" t="s">
        <v>156</v>
      </c>
      <c r="B125">
        <v>29</v>
      </c>
      <c r="C125">
        <f>Earnings!C125/160</f>
        <v>2169.0138749999996</v>
      </c>
      <c r="D125">
        <f t="shared" si="1"/>
        <v>125802.80474999998</v>
      </c>
    </row>
    <row r="126" spans="1:4" x14ac:dyDescent="0.35">
      <c r="A126" t="s">
        <v>157</v>
      </c>
      <c r="B126">
        <v>27</v>
      </c>
      <c r="C126">
        <f>Earnings!C126/160</f>
        <v>1601.3556249999999</v>
      </c>
      <c r="D126">
        <f t="shared" si="1"/>
        <v>86473.203750000001</v>
      </c>
    </row>
    <row r="127" spans="1:4" x14ac:dyDescent="0.35">
      <c r="A127" t="s">
        <v>158</v>
      </c>
      <c r="B127">
        <v>26</v>
      </c>
      <c r="C127">
        <f>Earnings!C127/160</f>
        <v>2285.5650000000001</v>
      </c>
      <c r="D127">
        <f t="shared" si="1"/>
        <v>118849.38</v>
      </c>
    </row>
    <row r="128" spans="1:4" x14ac:dyDescent="0.35">
      <c r="A128" t="s">
        <v>159</v>
      </c>
      <c r="B128">
        <v>10</v>
      </c>
      <c r="C128">
        <f>Earnings!C128/160</f>
        <v>2227.4349999999999</v>
      </c>
      <c r="D128">
        <f t="shared" si="1"/>
        <v>44548.7</v>
      </c>
    </row>
    <row r="129" spans="1:4" x14ac:dyDescent="0.35">
      <c r="A129" t="s">
        <v>160</v>
      </c>
      <c r="B129">
        <v>0</v>
      </c>
      <c r="C129">
        <f>Earnings!C129/160</f>
        <v>1056.405</v>
      </c>
      <c r="D129">
        <f t="shared" si="1"/>
        <v>0</v>
      </c>
    </row>
    <row r="130" spans="1:4" x14ac:dyDescent="0.35">
      <c r="A130" t="s">
        <v>161</v>
      </c>
      <c r="B130">
        <v>7</v>
      </c>
      <c r="C130">
        <f>Earnings!C130/160</f>
        <v>1915.8125</v>
      </c>
      <c r="D130">
        <f t="shared" ref="D130:D193" si="2">B130*C130*2</f>
        <v>26821.375</v>
      </c>
    </row>
    <row r="131" spans="1:4" x14ac:dyDescent="0.35">
      <c r="A131" t="s">
        <v>162</v>
      </c>
      <c r="B131">
        <v>0</v>
      </c>
      <c r="C131">
        <f>Earnings!C131/160</f>
        <v>1987.0224999999998</v>
      </c>
      <c r="D131">
        <f t="shared" si="2"/>
        <v>0</v>
      </c>
    </row>
    <row r="132" spans="1:4" x14ac:dyDescent="0.35">
      <c r="A132" t="s">
        <v>163</v>
      </c>
      <c r="B132">
        <v>15</v>
      </c>
      <c r="C132">
        <f>Earnings!C132/160</f>
        <v>2544.3090000000002</v>
      </c>
      <c r="D132">
        <f t="shared" si="2"/>
        <v>76329.27</v>
      </c>
    </row>
    <row r="133" spans="1:4" x14ac:dyDescent="0.35">
      <c r="A133" t="s">
        <v>164</v>
      </c>
      <c r="B133">
        <v>27</v>
      </c>
      <c r="C133">
        <f>Earnings!C133/160</f>
        <v>2998.66075</v>
      </c>
      <c r="D133">
        <f t="shared" si="2"/>
        <v>161927.68049999999</v>
      </c>
    </row>
    <row r="134" spans="1:4" x14ac:dyDescent="0.35">
      <c r="A134" t="s">
        <v>165</v>
      </c>
      <c r="B134">
        <v>7</v>
      </c>
      <c r="C134">
        <f>Earnings!C134/160</f>
        <v>1065.2302500000001</v>
      </c>
      <c r="D134">
        <f t="shared" si="2"/>
        <v>14913.2235</v>
      </c>
    </row>
    <row r="135" spans="1:4" x14ac:dyDescent="0.35">
      <c r="A135" t="s">
        <v>166</v>
      </c>
      <c r="B135">
        <v>29</v>
      </c>
      <c r="C135">
        <f>Earnings!C135/160</f>
        <v>2137.8847500000002</v>
      </c>
      <c r="D135">
        <f t="shared" si="2"/>
        <v>123997.31550000001</v>
      </c>
    </row>
    <row r="136" spans="1:4" x14ac:dyDescent="0.35">
      <c r="A136" t="s">
        <v>167</v>
      </c>
      <c r="B136">
        <v>28</v>
      </c>
      <c r="C136">
        <f>Earnings!C136/160</f>
        <v>2048.1216250000002</v>
      </c>
      <c r="D136">
        <f t="shared" si="2"/>
        <v>114694.81100000002</v>
      </c>
    </row>
    <row r="137" spans="1:4" x14ac:dyDescent="0.35">
      <c r="A137" t="s">
        <v>168</v>
      </c>
      <c r="B137">
        <v>0</v>
      </c>
      <c r="C137">
        <f>Earnings!C137/160</f>
        <v>1751.355</v>
      </c>
      <c r="D137">
        <f t="shared" si="2"/>
        <v>0</v>
      </c>
    </row>
    <row r="138" spans="1:4" x14ac:dyDescent="0.35">
      <c r="A138" t="s">
        <v>169</v>
      </c>
      <c r="B138">
        <v>0</v>
      </c>
      <c r="C138">
        <f>Earnings!C138/160</f>
        <v>999.77525000000003</v>
      </c>
      <c r="D138">
        <f t="shared" si="2"/>
        <v>0</v>
      </c>
    </row>
    <row r="139" spans="1:4" x14ac:dyDescent="0.35">
      <c r="A139" t="s">
        <v>170</v>
      </c>
      <c r="B139">
        <v>24</v>
      </c>
      <c r="C139">
        <f>Earnings!C139/160</f>
        <v>2030.0875000000001</v>
      </c>
      <c r="D139">
        <f t="shared" si="2"/>
        <v>97444.200000000012</v>
      </c>
    </row>
    <row r="140" spans="1:4" x14ac:dyDescent="0.35">
      <c r="A140" t="s">
        <v>171</v>
      </c>
      <c r="B140">
        <v>0</v>
      </c>
      <c r="C140">
        <f>Earnings!C140/160</f>
        <v>2551.8775000000001</v>
      </c>
      <c r="D140">
        <f t="shared" si="2"/>
        <v>0</v>
      </c>
    </row>
    <row r="141" spans="1:4" x14ac:dyDescent="0.35">
      <c r="A141" t="s">
        <v>172</v>
      </c>
      <c r="B141">
        <v>0</v>
      </c>
      <c r="C141">
        <f>Earnings!C141/160</f>
        <v>2356.3025000000002</v>
      </c>
      <c r="D141">
        <f t="shared" si="2"/>
        <v>0</v>
      </c>
    </row>
    <row r="142" spans="1:4" x14ac:dyDescent="0.35">
      <c r="A142" t="s">
        <v>173</v>
      </c>
      <c r="B142">
        <v>0</v>
      </c>
      <c r="C142">
        <f>Earnings!C142/160</f>
        <v>1224.200875</v>
      </c>
      <c r="D142">
        <f t="shared" si="2"/>
        <v>0</v>
      </c>
    </row>
    <row r="143" spans="1:4" x14ac:dyDescent="0.35">
      <c r="A143" t="s">
        <v>174</v>
      </c>
      <c r="B143">
        <v>12</v>
      </c>
      <c r="C143">
        <f>Earnings!C143/160</f>
        <v>1496.193</v>
      </c>
      <c r="D143">
        <f t="shared" si="2"/>
        <v>35908.631999999998</v>
      </c>
    </row>
    <row r="144" spans="1:4" x14ac:dyDescent="0.35">
      <c r="A144" t="s">
        <v>175</v>
      </c>
      <c r="B144">
        <v>0</v>
      </c>
      <c r="C144">
        <f>Earnings!C144/160</f>
        <v>1902.0825</v>
      </c>
      <c r="D144">
        <f t="shared" si="2"/>
        <v>0</v>
      </c>
    </row>
    <row r="145" spans="1:4" x14ac:dyDescent="0.35">
      <c r="A145" t="s">
        <v>176</v>
      </c>
      <c r="B145">
        <v>0</v>
      </c>
      <c r="C145">
        <f>Earnings!C145/160</f>
        <v>1622.6166250000001</v>
      </c>
      <c r="D145">
        <f t="shared" si="2"/>
        <v>0</v>
      </c>
    </row>
    <row r="146" spans="1:4" x14ac:dyDescent="0.35">
      <c r="A146" t="s">
        <v>177</v>
      </c>
      <c r="B146">
        <v>0</v>
      </c>
      <c r="C146">
        <f>Earnings!C146/160</f>
        <v>2114.863875</v>
      </c>
      <c r="D146">
        <f t="shared" si="2"/>
        <v>0</v>
      </c>
    </row>
    <row r="147" spans="1:4" x14ac:dyDescent="0.35">
      <c r="A147" t="s">
        <v>178</v>
      </c>
      <c r="B147">
        <v>21</v>
      </c>
      <c r="C147">
        <f>Earnings!C147/160</f>
        <v>2334.7650000000003</v>
      </c>
      <c r="D147">
        <f t="shared" si="2"/>
        <v>98060.130000000019</v>
      </c>
    </row>
    <row r="148" spans="1:4" x14ac:dyDescent="0.35">
      <c r="A148" t="s">
        <v>179</v>
      </c>
      <c r="B148">
        <v>0</v>
      </c>
      <c r="C148">
        <f>Earnings!C148/160</f>
        <v>2116.64275</v>
      </c>
      <c r="D148">
        <f t="shared" si="2"/>
        <v>0</v>
      </c>
    </row>
    <row r="149" spans="1:4" x14ac:dyDescent="0.35">
      <c r="A149" t="s">
        <v>180</v>
      </c>
      <c r="B149">
        <v>0</v>
      </c>
      <c r="C149">
        <f>Earnings!C149/160</f>
        <v>1482.47</v>
      </c>
      <c r="D149">
        <f t="shared" si="2"/>
        <v>0</v>
      </c>
    </row>
    <row r="150" spans="1:4" x14ac:dyDescent="0.35">
      <c r="A150" t="s">
        <v>181</v>
      </c>
      <c r="B150">
        <v>0</v>
      </c>
      <c r="C150">
        <f>Earnings!C150/160</f>
        <v>1723.4258750000001</v>
      </c>
      <c r="D150">
        <f t="shared" si="2"/>
        <v>0</v>
      </c>
    </row>
    <row r="151" spans="1:4" x14ac:dyDescent="0.35">
      <c r="A151" t="s">
        <v>182</v>
      </c>
      <c r="B151">
        <v>0</v>
      </c>
      <c r="C151">
        <f>Earnings!C151/160</f>
        <v>2258.2497499999999</v>
      </c>
      <c r="D151">
        <f t="shared" si="2"/>
        <v>0</v>
      </c>
    </row>
    <row r="152" spans="1:4" x14ac:dyDescent="0.35">
      <c r="A152" t="s">
        <v>183</v>
      </c>
      <c r="B152">
        <v>0</v>
      </c>
      <c r="C152">
        <f>Earnings!C152/160</f>
        <v>1847.2963749999999</v>
      </c>
      <c r="D152">
        <f t="shared" si="2"/>
        <v>0</v>
      </c>
    </row>
    <row r="153" spans="1:4" x14ac:dyDescent="0.35">
      <c r="A153" t="s">
        <v>184</v>
      </c>
      <c r="B153">
        <v>15</v>
      </c>
      <c r="C153">
        <f>Earnings!C153/160</f>
        <v>2230.9</v>
      </c>
      <c r="D153">
        <f t="shared" si="2"/>
        <v>66927</v>
      </c>
    </row>
    <row r="154" spans="1:4" x14ac:dyDescent="0.35">
      <c r="A154" t="s">
        <v>185</v>
      </c>
      <c r="B154">
        <v>28</v>
      </c>
      <c r="C154">
        <f>Earnings!C154/160</f>
        <v>2599.6724999999997</v>
      </c>
      <c r="D154">
        <f t="shared" si="2"/>
        <v>145581.65999999997</v>
      </c>
    </row>
    <row r="155" spans="1:4" x14ac:dyDescent="0.35">
      <c r="A155" t="s">
        <v>186</v>
      </c>
      <c r="B155">
        <v>24</v>
      </c>
      <c r="C155">
        <f>Earnings!C155/160</f>
        <v>3031.5174999999999</v>
      </c>
      <c r="D155">
        <f t="shared" si="2"/>
        <v>145512.84</v>
      </c>
    </row>
    <row r="156" spans="1:4" x14ac:dyDescent="0.35">
      <c r="A156" t="s">
        <v>187</v>
      </c>
      <c r="B156">
        <v>22</v>
      </c>
      <c r="C156">
        <f>Earnings!C156/160</f>
        <v>2582.0192500000003</v>
      </c>
      <c r="D156">
        <f t="shared" si="2"/>
        <v>113608.84700000001</v>
      </c>
    </row>
    <row r="157" spans="1:4" x14ac:dyDescent="0.35">
      <c r="A157" t="s">
        <v>188</v>
      </c>
      <c r="B157">
        <v>18</v>
      </c>
      <c r="C157">
        <f>Earnings!C157/160</f>
        <v>1952.1787499999998</v>
      </c>
      <c r="D157">
        <f t="shared" si="2"/>
        <v>70278.434999999998</v>
      </c>
    </row>
    <row r="158" spans="1:4" x14ac:dyDescent="0.35">
      <c r="A158" t="s">
        <v>189</v>
      </c>
      <c r="B158">
        <v>18</v>
      </c>
      <c r="C158">
        <f>Earnings!C158/160</f>
        <v>1931.9580000000001</v>
      </c>
      <c r="D158">
        <f t="shared" si="2"/>
        <v>69550.487999999998</v>
      </c>
    </row>
    <row r="159" spans="1:4" x14ac:dyDescent="0.35">
      <c r="A159" t="s">
        <v>190</v>
      </c>
      <c r="B159">
        <v>27</v>
      </c>
      <c r="C159">
        <f>Earnings!C159/160</f>
        <v>1578.1922500000001</v>
      </c>
      <c r="D159">
        <f t="shared" si="2"/>
        <v>85222.381500000003</v>
      </c>
    </row>
    <row r="160" spans="1:4" x14ac:dyDescent="0.35">
      <c r="A160" t="s">
        <v>191</v>
      </c>
      <c r="B160">
        <v>0</v>
      </c>
      <c r="C160">
        <f>Earnings!C160/160</f>
        <v>2847.4112500000001</v>
      </c>
      <c r="D160">
        <f t="shared" si="2"/>
        <v>0</v>
      </c>
    </row>
    <row r="161" spans="1:4" x14ac:dyDescent="0.35">
      <c r="A161" t="s">
        <v>192</v>
      </c>
      <c r="B161">
        <v>0</v>
      </c>
      <c r="C161">
        <f>Earnings!C161/160</f>
        <v>1619.5975000000001</v>
      </c>
      <c r="D161">
        <f t="shared" si="2"/>
        <v>0</v>
      </c>
    </row>
    <row r="162" spans="1:4" x14ac:dyDescent="0.35">
      <c r="A162" t="s">
        <v>193</v>
      </c>
      <c r="B162">
        <v>0</v>
      </c>
      <c r="C162">
        <f>Earnings!C162/160</f>
        <v>2125.5050000000001</v>
      </c>
      <c r="D162">
        <f t="shared" si="2"/>
        <v>0</v>
      </c>
    </row>
    <row r="163" spans="1:4" x14ac:dyDescent="0.35">
      <c r="A163" t="s">
        <v>194</v>
      </c>
      <c r="B163">
        <v>22</v>
      </c>
      <c r="C163">
        <f>Earnings!C163/160</f>
        <v>1662.36</v>
      </c>
      <c r="D163">
        <f t="shared" si="2"/>
        <v>73143.839999999997</v>
      </c>
    </row>
    <row r="164" spans="1:4" x14ac:dyDescent="0.35">
      <c r="A164" t="s">
        <v>195</v>
      </c>
      <c r="B164">
        <v>0</v>
      </c>
      <c r="C164">
        <f>Earnings!C164/160</f>
        <v>2313.0505000000003</v>
      </c>
      <c r="D164">
        <f t="shared" si="2"/>
        <v>0</v>
      </c>
    </row>
    <row r="165" spans="1:4" x14ac:dyDescent="0.35">
      <c r="A165" t="s">
        <v>196</v>
      </c>
      <c r="B165">
        <v>0</v>
      </c>
      <c r="C165">
        <f>Earnings!C165/160</f>
        <v>2030.6849999999999</v>
      </c>
      <c r="D165">
        <f t="shared" si="2"/>
        <v>0</v>
      </c>
    </row>
    <row r="166" spans="1:4" x14ac:dyDescent="0.35">
      <c r="A166" t="s">
        <v>197</v>
      </c>
      <c r="B166">
        <v>0</v>
      </c>
      <c r="C166">
        <f>Earnings!C166/160</f>
        <v>2146.7200000000003</v>
      </c>
      <c r="D166">
        <f t="shared" si="2"/>
        <v>0</v>
      </c>
    </row>
    <row r="167" spans="1:4" x14ac:dyDescent="0.35">
      <c r="A167" t="s">
        <v>198</v>
      </c>
      <c r="B167">
        <v>0</v>
      </c>
      <c r="C167">
        <f>Earnings!C167/160</f>
        <v>3122.904125</v>
      </c>
      <c r="D167">
        <f t="shared" si="2"/>
        <v>0</v>
      </c>
    </row>
    <row r="168" spans="1:4" x14ac:dyDescent="0.35">
      <c r="A168" t="s">
        <v>199</v>
      </c>
      <c r="B168">
        <v>0</v>
      </c>
      <c r="C168">
        <f>Earnings!C168/160</f>
        <v>2626.567125</v>
      </c>
      <c r="D168">
        <f t="shared" si="2"/>
        <v>0</v>
      </c>
    </row>
    <row r="169" spans="1:4" x14ac:dyDescent="0.35">
      <c r="A169" t="s">
        <v>200</v>
      </c>
      <c r="B169">
        <v>8</v>
      </c>
      <c r="C169">
        <f>Earnings!C169/160</f>
        <v>1781.6490000000001</v>
      </c>
      <c r="D169">
        <f t="shared" si="2"/>
        <v>28506.384000000002</v>
      </c>
    </row>
    <row r="170" spans="1:4" x14ac:dyDescent="0.35">
      <c r="A170" t="s">
        <v>201</v>
      </c>
      <c r="B170">
        <v>8</v>
      </c>
      <c r="C170">
        <f>Earnings!C170/160</f>
        <v>2140.0075000000002</v>
      </c>
      <c r="D170">
        <f t="shared" si="2"/>
        <v>34240.120000000003</v>
      </c>
    </row>
    <row r="171" spans="1:4" x14ac:dyDescent="0.35">
      <c r="A171" t="s">
        <v>202</v>
      </c>
      <c r="B171">
        <v>7</v>
      </c>
      <c r="C171">
        <f>Earnings!C171/160</f>
        <v>2864.694125</v>
      </c>
      <c r="D171">
        <f t="shared" si="2"/>
        <v>40105.717749999996</v>
      </c>
    </row>
    <row r="172" spans="1:4" x14ac:dyDescent="0.35">
      <c r="A172" t="s">
        <v>203</v>
      </c>
      <c r="B172">
        <v>0</v>
      </c>
      <c r="C172">
        <f>Earnings!C172/160</f>
        <v>2051.5</v>
      </c>
      <c r="D172">
        <f t="shared" si="2"/>
        <v>0</v>
      </c>
    </row>
    <row r="173" spans="1:4" x14ac:dyDescent="0.35">
      <c r="A173" t="s">
        <v>204</v>
      </c>
      <c r="B173">
        <v>0</v>
      </c>
      <c r="C173">
        <f>Earnings!C173/160</f>
        <v>2657.1150000000002</v>
      </c>
      <c r="D173">
        <f t="shared" si="2"/>
        <v>0</v>
      </c>
    </row>
    <row r="174" spans="1:4" x14ac:dyDescent="0.35">
      <c r="A174" t="s">
        <v>205</v>
      </c>
      <c r="B174">
        <v>13</v>
      </c>
      <c r="C174">
        <f>Earnings!C174/160</f>
        <v>2229.5407500000001</v>
      </c>
      <c r="D174">
        <f t="shared" si="2"/>
        <v>57968.059500000003</v>
      </c>
    </row>
    <row r="175" spans="1:4" x14ac:dyDescent="0.35">
      <c r="A175" t="s">
        <v>206</v>
      </c>
      <c r="B175">
        <v>0</v>
      </c>
      <c r="C175">
        <f>Earnings!C175/160</f>
        <v>2255.1824999999999</v>
      </c>
      <c r="D175">
        <f t="shared" si="2"/>
        <v>0</v>
      </c>
    </row>
    <row r="176" spans="1:4" x14ac:dyDescent="0.35">
      <c r="A176" t="s">
        <v>207</v>
      </c>
      <c r="B176">
        <v>7</v>
      </c>
      <c r="C176">
        <f>Earnings!C176/160</f>
        <v>1940.7431250000002</v>
      </c>
      <c r="D176">
        <f t="shared" si="2"/>
        <v>27170.403750000001</v>
      </c>
    </row>
    <row r="177" spans="1:4" x14ac:dyDescent="0.35">
      <c r="A177" t="s">
        <v>208</v>
      </c>
      <c r="B177">
        <v>0</v>
      </c>
      <c r="C177">
        <f>Earnings!C177/160</f>
        <v>1757.538</v>
      </c>
      <c r="D177">
        <f t="shared" si="2"/>
        <v>0</v>
      </c>
    </row>
    <row r="178" spans="1:4" x14ac:dyDescent="0.35">
      <c r="A178" t="s">
        <v>209</v>
      </c>
      <c r="B178">
        <v>14</v>
      </c>
      <c r="C178">
        <f>Earnings!C178/160</f>
        <v>2978.2950000000001</v>
      </c>
      <c r="D178">
        <f t="shared" si="2"/>
        <v>83392.260000000009</v>
      </c>
    </row>
    <row r="179" spans="1:4" x14ac:dyDescent="0.35">
      <c r="A179" t="s">
        <v>210</v>
      </c>
      <c r="B179">
        <v>19</v>
      </c>
      <c r="C179">
        <f>Earnings!C179/160</f>
        <v>2509.1993750000001</v>
      </c>
      <c r="D179">
        <f t="shared" si="2"/>
        <v>95349.576250000013</v>
      </c>
    </row>
    <row r="180" spans="1:4" x14ac:dyDescent="0.35">
      <c r="A180" t="s">
        <v>211</v>
      </c>
      <c r="B180">
        <v>11</v>
      </c>
      <c r="C180">
        <f>Earnings!C180/160</f>
        <v>1846.7263749999997</v>
      </c>
      <c r="D180">
        <f t="shared" si="2"/>
        <v>40627.980249999993</v>
      </c>
    </row>
    <row r="181" spans="1:4" x14ac:dyDescent="0.35">
      <c r="A181" t="s">
        <v>212</v>
      </c>
      <c r="B181">
        <v>0</v>
      </c>
      <c r="C181">
        <f>Earnings!C181/160</f>
        <v>2402.8254999999999</v>
      </c>
      <c r="D181">
        <f t="shared" si="2"/>
        <v>0</v>
      </c>
    </row>
    <row r="182" spans="1:4" x14ac:dyDescent="0.35">
      <c r="A182" t="s">
        <v>213</v>
      </c>
      <c r="B182">
        <v>26</v>
      </c>
      <c r="C182">
        <f>Earnings!C182/160</f>
        <v>1904.4222500000001</v>
      </c>
      <c r="D182">
        <f t="shared" si="2"/>
        <v>99029.957000000009</v>
      </c>
    </row>
    <row r="183" spans="1:4" x14ac:dyDescent="0.35">
      <c r="A183" t="s">
        <v>214</v>
      </c>
      <c r="B183">
        <v>28</v>
      </c>
      <c r="C183">
        <f>Earnings!C183/160</f>
        <v>1409.4349999999999</v>
      </c>
      <c r="D183">
        <f t="shared" si="2"/>
        <v>78928.36</v>
      </c>
    </row>
    <row r="184" spans="1:4" x14ac:dyDescent="0.35">
      <c r="A184" t="s">
        <v>215</v>
      </c>
      <c r="B184">
        <v>0</v>
      </c>
      <c r="C184">
        <f>Earnings!C184/160</f>
        <v>2240.8267500000002</v>
      </c>
      <c r="D184">
        <f t="shared" si="2"/>
        <v>0</v>
      </c>
    </row>
    <row r="185" spans="1:4" x14ac:dyDescent="0.35">
      <c r="A185" t="s">
        <v>216</v>
      </c>
      <c r="B185">
        <v>0</v>
      </c>
      <c r="C185">
        <f>Earnings!C185/160</f>
        <v>2013.9311249999998</v>
      </c>
      <c r="D185">
        <f t="shared" si="2"/>
        <v>0</v>
      </c>
    </row>
    <row r="186" spans="1:4" x14ac:dyDescent="0.35">
      <c r="A186" t="s">
        <v>217</v>
      </c>
      <c r="B186">
        <v>11</v>
      </c>
      <c r="C186">
        <f>Earnings!C186/160</f>
        <v>2332.94</v>
      </c>
      <c r="D186">
        <f t="shared" si="2"/>
        <v>51324.68</v>
      </c>
    </row>
    <row r="187" spans="1:4" x14ac:dyDescent="0.35">
      <c r="A187" t="s">
        <v>218</v>
      </c>
      <c r="B187">
        <v>24</v>
      </c>
      <c r="C187">
        <f>Earnings!C187/160</f>
        <v>2141.6705000000002</v>
      </c>
      <c r="D187">
        <f t="shared" si="2"/>
        <v>102800.18400000001</v>
      </c>
    </row>
    <row r="188" spans="1:4" x14ac:dyDescent="0.35">
      <c r="A188" t="s">
        <v>219</v>
      </c>
      <c r="B188">
        <v>0</v>
      </c>
      <c r="C188">
        <f>Earnings!C188/160</f>
        <v>2107.8275000000003</v>
      </c>
      <c r="D188">
        <f t="shared" si="2"/>
        <v>0</v>
      </c>
    </row>
    <row r="189" spans="1:4" x14ac:dyDescent="0.35">
      <c r="A189" t="s">
        <v>220</v>
      </c>
      <c r="B189">
        <v>9</v>
      </c>
      <c r="C189">
        <f>Earnings!C189/160</f>
        <v>1572.285625</v>
      </c>
      <c r="D189">
        <f t="shared" si="2"/>
        <v>28301.141250000001</v>
      </c>
    </row>
    <row r="190" spans="1:4" x14ac:dyDescent="0.35">
      <c r="A190" t="s">
        <v>221</v>
      </c>
      <c r="B190">
        <v>0</v>
      </c>
      <c r="C190">
        <f>Earnings!C190/160</f>
        <v>2633.7467499999998</v>
      </c>
      <c r="D190">
        <f t="shared" si="2"/>
        <v>0</v>
      </c>
    </row>
    <row r="191" spans="1:4" x14ac:dyDescent="0.35">
      <c r="A191" t="s">
        <v>222</v>
      </c>
      <c r="B191">
        <v>6</v>
      </c>
      <c r="C191">
        <f>Earnings!C191/160</f>
        <v>1512.896375</v>
      </c>
      <c r="D191">
        <f t="shared" si="2"/>
        <v>18154.7565</v>
      </c>
    </row>
    <row r="192" spans="1:4" x14ac:dyDescent="0.35">
      <c r="A192" t="s">
        <v>223</v>
      </c>
      <c r="B192">
        <v>27</v>
      </c>
      <c r="C192">
        <f>Earnings!C192/160</f>
        <v>1871.887125</v>
      </c>
      <c r="D192">
        <f t="shared" si="2"/>
        <v>101081.90475</v>
      </c>
    </row>
    <row r="193" spans="1:4" x14ac:dyDescent="0.35">
      <c r="A193" t="s">
        <v>224</v>
      </c>
      <c r="B193">
        <v>0</v>
      </c>
      <c r="C193">
        <f>Earnings!C193/160</f>
        <v>1376.761375</v>
      </c>
      <c r="D193">
        <f t="shared" si="2"/>
        <v>0</v>
      </c>
    </row>
    <row r="194" spans="1:4" x14ac:dyDescent="0.35">
      <c r="A194" t="s">
        <v>225</v>
      </c>
      <c r="B194">
        <v>0</v>
      </c>
      <c r="C194">
        <f>Earnings!C194/160</f>
        <v>2416.2157500000003</v>
      </c>
      <c r="D194">
        <f t="shared" ref="D194:D257" si="3">B194*C194*2</f>
        <v>0</v>
      </c>
    </row>
    <row r="195" spans="1:4" x14ac:dyDescent="0.35">
      <c r="A195" t="s">
        <v>226</v>
      </c>
      <c r="B195">
        <v>0</v>
      </c>
      <c r="C195">
        <f>Earnings!C195/160</f>
        <v>2180.58725</v>
      </c>
      <c r="D195">
        <f t="shared" si="3"/>
        <v>0</v>
      </c>
    </row>
    <row r="196" spans="1:4" x14ac:dyDescent="0.35">
      <c r="A196" t="s">
        <v>227</v>
      </c>
      <c r="B196">
        <v>25</v>
      </c>
      <c r="C196">
        <f>Earnings!C196/160</f>
        <v>2018.2950000000001</v>
      </c>
      <c r="D196">
        <f t="shared" si="3"/>
        <v>100914.75</v>
      </c>
    </row>
    <row r="197" spans="1:4" x14ac:dyDescent="0.35">
      <c r="A197" t="s">
        <v>228</v>
      </c>
      <c r="B197">
        <v>0</v>
      </c>
      <c r="C197">
        <f>Earnings!C197/160</f>
        <v>1228.8899999999999</v>
      </c>
      <c r="D197">
        <f t="shared" si="3"/>
        <v>0</v>
      </c>
    </row>
    <row r="198" spans="1:4" x14ac:dyDescent="0.35">
      <c r="A198" t="s">
        <v>229</v>
      </c>
      <c r="B198">
        <v>24</v>
      </c>
      <c r="C198">
        <f>Earnings!C198/160</f>
        <v>2952.8</v>
      </c>
      <c r="D198">
        <f t="shared" si="3"/>
        <v>141734.40000000002</v>
      </c>
    </row>
    <row r="199" spans="1:4" x14ac:dyDescent="0.35">
      <c r="A199" t="s">
        <v>230</v>
      </c>
      <c r="B199">
        <v>0</v>
      </c>
      <c r="C199">
        <f>Earnings!C199/160</f>
        <v>2612.3325</v>
      </c>
      <c r="D199">
        <f t="shared" si="3"/>
        <v>0</v>
      </c>
    </row>
    <row r="200" spans="1:4" x14ac:dyDescent="0.35">
      <c r="A200" t="s">
        <v>231</v>
      </c>
      <c r="B200">
        <v>0</v>
      </c>
      <c r="C200">
        <f>Earnings!C200/160</f>
        <v>2446.5675000000001</v>
      </c>
      <c r="D200">
        <f t="shared" si="3"/>
        <v>0</v>
      </c>
    </row>
    <row r="201" spans="1:4" x14ac:dyDescent="0.35">
      <c r="A201" t="s">
        <v>232</v>
      </c>
      <c r="B201">
        <v>26</v>
      </c>
      <c r="C201">
        <f>Earnings!C201/160</f>
        <v>2386.3674999999998</v>
      </c>
      <c r="D201">
        <f t="shared" si="3"/>
        <v>124091.10999999999</v>
      </c>
    </row>
    <row r="202" spans="1:4" x14ac:dyDescent="0.35">
      <c r="A202" t="s">
        <v>233</v>
      </c>
      <c r="B202">
        <v>0</v>
      </c>
      <c r="C202">
        <f>Earnings!C202/160</f>
        <v>2018.7998749999999</v>
      </c>
      <c r="D202">
        <f t="shared" si="3"/>
        <v>0</v>
      </c>
    </row>
    <row r="203" spans="1:4" x14ac:dyDescent="0.35">
      <c r="A203" t="s">
        <v>234</v>
      </c>
      <c r="B203">
        <v>23</v>
      </c>
      <c r="C203">
        <f>Earnings!C203/160</f>
        <v>1128.847</v>
      </c>
      <c r="D203">
        <f t="shared" si="3"/>
        <v>51926.962</v>
      </c>
    </row>
    <row r="204" spans="1:4" x14ac:dyDescent="0.35">
      <c r="A204" t="s">
        <v>235</v>
      </c>
      <c r="B204">
        <v>0</v>
      </c>
      <c r="C204">
        <f>Earnings!C204/160</f>
        <v>2360.64075</v>
      </c>
      <c r="D204">
        <f t="shared" si="3"/>
        <v>0</v>
      </c>
    </row>
    <row r="205" spans="1:4" x14ac:dyDescent="0.35">
      <c r="A205" t="s">
        <v>236</v>
      </c>
      <c r="B205">
        <v>24</v>
      </c>
      <c r="C205">
        <f>Earnings!C205/160</f>
        <v>2087.1357499999999</v>
      </c>
      <c r="D205">
        <f t="shared" si="3"/>
        <v>100182.516</v>
      </c>
    </row>
    <row r="206" spans="1:4" x14ac:dyDescent="0.35">
      <c r="A206" t="s">
        <v>237</v>
      </c>
      <c r="B206">
        <v>0</v>
      </c>
      <c r="C206">
        <f>Earnings!C206/160</f>
        <v>1960.8427500000003</v>
      </c>
      <c r="D206">
        <f t="shared" si="3"/>
        <v>0</v>
      </c>
    </row>
    <row r="207" spans="1:4" x14ac:dyDescent="0.35">
      <c r="A207" t="s">
        <v>238</v>
      </c>
      <c r="B207">
        <v>0</v>
      </c>
      <c r="C207">
        <f>Earnings!C207/160</f>
        <v>2155.3243750000001</v>
      </c>
      <c r="D207">
        <f t="shared" si="3"/>
        <v>0</v>
      </c>
    </row>
    <row r="208" spans="1:4" x14ac:dyDescent="0.35">
      <c r="A208" t="s">
        <v>239</v>
      </c>
      <c r="B208">
        <v>0</v>
      </c>
      <c r="C208">
        <f>Earnings!C208/160</f>
        <v>2381.6191250000002</v>
      </c>
      <c r="D208">
        <f t="shared" si="3"/>
        <v>0</v>
      </c>
    </row>
    <row r="209" spans="1:4" x14ac:dyDescent="0.35">
      <c r="A209" t="s">
        <v>240</v>
      </c>
      <c r="B209">
        <v>24</v>
      </c>
      <c r="C209">
        <f>Earnings!C209/160</f>
        <v>1605.2815000000001</v>
      </c>
      <c r="D209">
        <f t="shared" si="3"/>
        <v>77053.512000000002</v>
      </c>
    </row>
    <row r="210" spans="1:4" x14ac:dyDescent="0.35">
      <c r="A210" t="s">
        <v>241</v>
      </c>
      <c r="B210">
        <v>0</v>
      </c>
      <c r="C210">
        <f>Earnings!C210/160</f>
        <v>1764.4175</v>
      </c>
      <c r="D210">
        <f t="shared" si="3"/>
        <v>0</v>
      </c>
    </row>
    <row r="211" spans="1:4" x14ac:dyDescent="0.35">
      <c r="A211" t="s">
        <v>242</v>
      </c>
      <c r="B211">
        <v>0</v>
      </c>
      <c r="C211">
        <f>Earnings!C211/160</f>
        <v>2069.3066250000002</v>
      </c>
      <c r="D211">
        <f t="shared" si="3"/>
        <v>0</v>
      </c>
    </row>
    <row r="212" spans="1:4" x14ac:dyDescent="0.35">
      <c r="A212" t="s">
        <v>243</v>
      </c>
      <c r="B212">
        <v>23</v>
      </c>
      <c r="C212">
        <f>Earnings!C212/160</f>
        <v>2066.0742500000001</v>
      </c>
      <c r="D212">
        <f t="shared" si="3"/>
        <v>95039.415500000003</v>
      </c>
    </row>
    <row r="213" spans="1:4" x14ac:dyDescent="0.35">
      <c r="A213" t="s">
        <v>244</v>
      </c>
      <c r="B213">
        <v>24</v>
      </c>
      <c r="C213">
        <f>Earnings!C213/160</f>
        <v>1557.2325000000001</v>
      </c>
      <c r="D213">
        <f t="shared" si="3"/>
        <v>74747.16</v>
      </c>
    </row>
    <row r="214" spans="1:4" x14ac:dyDescent="0.35">
      <c r="A214" t="s">
        <v>245</v>
      </c>
      <c r="B214">
        <v>0</v>
      </c>
      <c r="C214">
        <f>Earnings!C214/160</f>
        <v>1835.9599999999998</v>
      </c>
      <c r="D214">
        <f t="shared" si="3"/>
        <v>0</v>
      </c>
    </row>
    <row r="215" spans="1:4" x14ac:dyDescent="0.35">
      <c r="A215" t="s">
        <v>246</v>
      </c>
      <c r="B215">
        <v>0</v>
      </c>
      <c r="C215">
        <f>Earnings!C215/160</f>
        <v>2109.4849999999997</v>
      </c>
      <c r="D215">
        <f t="shared" si="3"/>
        <v>0</v>
      </c>
    </row>
    <row r="216" spans="1:4" x14ac:dyDescent="0.35">
      <c r="A216" t="s">
        <v>247</v>
      </c>
      <c r="B216">
        <v>17</v>
      </c>
      <c r="C216">
        <f>Earnings!C216/160</f>
        <v>1835.175</v>
      </c>
      <c r="D216">
        <f t="shared" si="3"/>
        <v>62395.95</v>
      </c>
    </row>
    <row r="217" spans="1:4" x14ac:dyDescent="0.35">
      <c r="A217" t="s">
        <v>248</v>
      </c>
      <c r="B217">
        <v>0</v>
      </c>
      <c r="C217">
        <f>Earnings!C217/160</f>
        <v>1626.6232500000001</v>
      </c>
      <c r="D217">
        <f t="shared" si="3"/>
        <v>0</v>
      </c>
    </row>
    <row r="218" spans="1:4" x14ac:dyDescent="0.35">
      <c r="A218" t="s">
        <v>249</v>
      </c>
      <c r="B218">
        <v>0</v>
      </c>
      <c r="C218">
        <f>Earnings!C218/160</f>
        <v>2198.0050000000001</v>
      </c>
      <c r="D218">
        <f t="shared" si="3"/>
        <v>0</v>
      </c>
    </row>
    <row r="219" spans="1:4" x14ac:dyDescent="0.35">
      <c r="A219" t="s">
        <v>250</v>
      </c>
      <c r="B219">
        <v>0</v>
      </c>
      <c r="C219">
        <f>Earnings!C219/160</f>
        <v>2232.7873749999999</v>
      </c>
      <c r="D219">
        <f t="shared" si="3"/>
        <v>0</v>
      </c>
    </row>
    <row r="220" spans="1:4" x14ac:dyDescent="0.35">
      <c r="A220" t="s">
        <v>251</v>
      </c>
      <c r="B220">
        <v>0</v>
      </c>
      <c r="C220">
        <f>Earnings!C220/160</f>
        <v>1434.4026250000002</v>
      </c>
      <c r="D220">
        <f t="shared" si="3"/>
        <v>0</v>
      </c>
    </row>
    <row r="221" spans="1:4" x14ac:dyDescent="0.35">
      <c r="A221" t="s">
        <v>252</v>
      </c>
      <c r="B221">
        <v>0</v>
      </c>
      <c r="C221">
        <f>Earnings!C221/160</f>
        <v>1127.4950000000001</v>
      </c>
      <c r="D221">
        <f t="shared" si="3"/>
        <v>0</v>
      </c>
    </row>
    <row r="222" spans="1:4" x14ac:dyDescent="0.35">
      <c r="A222" t="s">
        <v>253</v>
      </c>
      <c r="B222">
        <v>0</v>
      </c>
      <c r="C222">
        <f>Earnings!C222/160</f>
        <v>3616.7825000000003</v>
      </c>
      <c r="D222">
        <f t="shared" si="3"/>
        <v>0</v>
      </c>
    </row>
    <row r="223" spans="1:4" x14ac:dyDescent="0.35">
      <c r="A223" t="s">
        <v>254</v>
      </c>
      <c r="B223">
        <v>0</v>
      </c>
      <c r="C223">
        <f>Earnings!C223/160</f>
        <v>2287.3221249999997</v>
      </c>
      <c r="D223">
        <f t="shared" si="3"/>
        <v>0</v>
      </c>
    </row>
    <row r="224" spans="1:4" x14ac:dyDescent="0.35">
      <c r="A224" t="s">
        <v>255</v>
      </c>
      <c r="B224">
        <v>18</v>
      </c>
      <c r="C224">
        <f>Earnings!C224/160</f>
        <v>2231.3325</v>
      </c>
      <c r="D224">
        <f t="shared" si="3"/>
        <v>80327.97</v>
      </c>
    </row>
    <row r="225" spans="1:4" x14ac:dyDescent="0.35">
      <c r="A225" t="s">
        <v>256</v>
      </c>
      <c r="B225">
        <v>8</v>
      </c>
      <c r="C225">
        <f>Earnings!C225/160</f>
        <v>1804.5224999999998</v>
      </c>
      <c r="D225">
        <f t="shared" si="3"/>
        <v>28872.359999999997</v>
      </c>
    </row>
    <row r="226" spans="1:4" x14ac:dyDescent="0.35">
      <c r="A226" t="s">
        <v>257</v>
      </c>
      <c r="B226">
        <v>0</v>
      </c>
      <c r="C226">
        <f>Earnings!C226/160</f>
        <v>2765.8650000000002</v>
      </c>
      <c r="D226">
        <f t="shared" si="3"/>
        <v>0</v>
      </c>
    </row>
    <row r="227" spans="1:4" x14ac:dyDescent="0.35">
      <c r="A227" t="s">
        <v>258</v>
      </c>
      <c r="B227">
        <v>28</v>
      </c>
      <c r="C227">
        <f>Earnings!C227/160</f>
        <v>2060.2049999999999</v>
      </c>
      <c r="D227">
        <f t="shared" si="3"/>
        <v>115371.48</v>
      </c>
    </row>
    <row r="228" spans="1:4" x14ac:dyDescent="0.35">
      <c r="A228" t="s">
        <v>259</v>
      </c>
      <c r="B228">
        <v>12</v>
      </c>
      <c r="C228">
        <f>Earnings!C228/160</f>
        <v>1586.1389999999999</v>
      </c>
      <c r="D228">
        <f t="shared" si="3"/>
        <v>38067.335999999996</v>
      </c>
    </row>
    <row r="229" spans="1:4" x14ac:dyDescent="0.35">
      <c r="A229" t="s">
        <v>260</v>
      </c>
      <c r="B229">
        <v>17</v>
      </c>
      <c r="C229">
        <f>Earnings!C229/160</f>
        <v>2008.1575</v>
      </c>
      <c r="D229">
        <f t="shared" si="3"/>
        <v>68277.354999999996</v>
      </c>
    </row>
    <row r="230" spans="1:4" x14ac:dyDescent="0.35">
      <c r="A230" t="s">
        <v>261</v>
      </c>
      <c r="B230">
        <v>14</v>
      </c>
      <c r="C230">
        <f>Earnings!C230/160</f>
        <v>1461.3075000000001</v>
      </c>
      <c r="D230">
        <f t="shared" si="3"/>
        <v>40916.61</v>
      </c>
    </row>
    <row r="231" spans="1:4" x14ac:dyDescent="0.35">
      <c r="A231" t="s">
        <v>262</v>
      </c>
      <c r="B231">
        <v>0</v>
      </c>
      <c r="C231">
        <f>Earnings!C231/160</f>
        <v>2661.8</v>
      </c>
      <c r="D231">
        <f t="shared" si="3"/>
        <v>0</v>
      </c>
    </row>
    <row r="232" spans="1:4" x14ac:dyDescent="0.35">
      <c r="A232" t="s">
        <v>263</v>
      </c>
      <c r="B232">
        <v>26</v>
      </c>
      <c r="C232">
        <f>Earnings!C232/160</f>
        <v>1730.2825</v>
      </c>
      <c r="D232">
        <f t="shared" si="3"/>
        <v>89974.69</v>
      </c>
    </row>
    <row r="233" spans="1:4" x14ac:dyDescent="0.35">
      <c r="A233" t="s">
        <v>264</v>
      </c>
      <c r="B233">
        <v>5</v>
      </c>
      <c r="C233">
        <f>Earnings!C233/160</f>
        <v>1946.6299999999999</v>
      </c>
      <c r="D233">
        <f t="shared" si="3"/>
        <v>19466.3</v>
      </c>
    </row>
    <row r="234" spans="1:4" x14ac:dyDescent="0.35">
      <c r="A234" t="s">
        <v>265</v>
      </c>
      <c r="B234">
        <v>23</v>
      </c>
      <c r="C234">
        <f>Earnings!C234/160</f>
        <v>3003.98</v>
      </c>
      <c r="D234">
        <f t="shared" si="3"/>
        <v>138183.07999999999</v>
      </c>
    </row>
    <row r="235" spans="1:4" x14ac:dyDescent="0.35">
      <c r="A235" t="s">
        <v>266</v>
      </c>
      <c r="B235">
        <v>0</v>
      </c>
      <c r="C235">
        <f>Earnings!C235/160</f>
        <v>2057.3105</v>
      </c>
      <c r="D235">
        <f t="shared" si="3"/>
        <v>0</v>
      </c>
    </row>
    <row r="236" spans="1:4" x14ac:dyDescent="0.35">
      <c r="A236" t="s">
        <v>267</v>
      </c>
      <c r="B236">
        <v>7</v>
      </c>
      <c r="C236">
        <f>Earnings!C236/160</f>
        <v>2372.67</v>
      </c>
      <c r="D236">
        <f t="shared" si="3"/>
        <v>33217.380000000005</v>
      </c>
    </row>
    <row r="237" spans="1:4" x14ac:dyDescent="0.35">
      <c r="A237" t="s">
        <v>268</v>
      </c>
      <c r="B237">
        <v>13</v>
      </c>
      <c r="C237">
        <f>Earnings!C237/160</f>
        <v>1953.0075000000002</v>
      </c>
      <c r="D237">
        <f t="shared" si="3"/>
        <v>50778.195000000007</v>
      </c>
    </row>
    <row r="238" spans="1:4" x14ac:dyDescent="0.35">
      <c r="A238" t="s">
        <v>269</v>
      </c>
      <c r="B238">
        <v>0</v>
      </c>
      <c r="C238">
        <f>Earnings!C238/160</f>
        <v>1479.6924999999999</v>
      </c>
      <c r="D238">
        <f t="shared" si="3"/>
        <v>0</v>
      </c>
    </row>
    <row r="239" spans="1:4" x14ac:dyDescent="0.35">
      <c r="A239" t="s">
        <v>270</v>
      </c>
      <c r="B239">
        <v>0</v>
      </c>
      <c r="C239">
        <f>Earnings!C239/160</f>
        <v>2846.3757500000006</v>
      </c>
      <c r="D239">
        <f t="shared" si="3"/>
        <v>0</v>
      </c>
    </row>
    <row r="240" spans="1:4" x14ac:dyDescent="0.35">
      <c r="A240" t="s">
        <v>271</v>
      </c>
      <c r="B240">
        <v>0</v>
      </c>
      <c r="C240">
        <f>Earnings!C240/160</f>
        <v>1479.1690000000001</v>
      </c>
      <c r="D240">
        <f t="shared" si="3"/>
        <v>0</v>
      </c>
    </row>
    <row r="241" spans="1:4" x14ac:dyDescent="0.35">
      <c r="A241" t="s">
        <v>272</v>
      </c>
      <c r="B241">
        <v>0</v>
      </c>
      <c r="C241">
        <f>Earnings!C241/160</f>
        <v>1657.6502499999999</v>
      </c>
      <c r="D241">
        <f t="shared" si="3"/>
        <v>0</v>
      </c>
    </row>
    <row r="242" spans="1:4" x14ac:dyDescent="0.35">
      <c r="A242" t="s">
        <v>273</v>
      </c>
      <c r="B242">
        <v>0</v>
      </c>
      <c r="C242">
        <f>Earnings!C242/160</f>
        <v>1711.9569999999999</v>
      </c>
      <c r="D242">
        <f t="shared" si="3"/>
        <v>0</v>
      </c>
    </row>
    <row r="243" spans="1:4" x14ac:dyDescent="0.35">
      <c r="A243" t="s">
        <v>274</v>
      </c>
      <c r="B243">
        <v>7</v>
      </c>
      <c r="C243">
        <f>Earnings!C243/160</f>
        <v>2004.1413749999999</v>
      </c>
      <c r="D243">
        <f t="shared" si="3"/>
        <v>28057.97925</v>
      </c>
    </row>
    <row r="244" spans="1:4" x14ac:dyDescent="0.35">
      <c r="A244" t="s">
        <v>275</v>
      </c>
      <c r="B244">
        <v>0</v>
      </c>
      <c r="C244">
        <f>Earnings!C244/160</f>
        <v>1972.9299999999998</v>
      </c>
      <c r="D244">
        <f t="shared" si="3"/>
        <v>0</v>
      </c>
    </row>
    <row r="245" spans="1:4" x14ac:dyDescent="0.35">
      <c r="A245" t="s">
        <v>276</v>
      </c>
      <c r="B245">
        <v>0</v>
      </c>
      <c r="C245">
        <f>Earnings!C245/160</f>
        <v>2058.0776249999999</v>
      </c>
      <c r="D245">
        <f t="shared" si="3"/>
        <v>0</v>
      </c>
    </row>
    <row r="246" spans="1:4" x14ac:dyDescent="0.35">
      <c r="A246" t="s">
        <v>277</v>
      </c>
      <c r="B246">
        <v>11</v>
      </c>
      <c r="C246">
        <f>Earnings!C246/160</f>
        <v>2172.6333750000003</v>
      </c>
      <c r="D246">
        <f t="shared" si="3"/>
        <v>47797.934250000006</v>
      </c>
    </row>
    <row r="247" spans="1:4" x14ac:dyDescent="0.35">
      <c r="A247" t="s">
        <v>278</v>
      </c>
      <c r="B247">
        <v>19</v>
      </c>
      <c r="C247">
        <f>Earnings!C247/160</f>
        <v>1675.3083750000001</v>
      </c>
      <c r="D247">
        <f t="shared" si="3"/>
        <v>63661.718250000005</v>
      </c>
    </row>
    <row r="248" spans="1:4" x14ac:dyDescent="0.35">
      <c r="A248" t="s">
        <v>279</v>
      </c>
      <c r="B248">
        <v>0</v>
      </c>
      <c r="C248">
        <f>Earnings!C248/160</f>
        <v>1043.5475000000001</v>
      </c>
      <c r="D248">
        <f t="shared" si="3"/>
        <v>0</v>
      </c>
    </row>
    <row r="249" spans="1:4" x14ac:dyDescent="0.35">
      <c r="A249" t="s">
        <v>280</v>
      </c>
      <c r="B249">
        <v>21</v>
      </c>
      <c r="C249">
        <f>Earnings!C249/160</f>
        <v>3054.415</v>
      </c>
      <c r="D249">
        <f t="shared" si="3"/>
        <v>128285.43</v>
      </c>
    </row>
    <row r="250" spans="1:4" x14ac:dyDescent="0.35">
      <c r="A250" t="s">
        <v>281</v>
      </c>
      <c r="B250">
        <v>16</v>
      </c>
      <c r="C250">
        <f>Earnings!C250/160</f>
        <v>2724.1724999999997</v>
      </c>
      <c r="D250">
        <f t="shared" si="3"/>
        <v>87173.51999999999</v>
      </c>
    </row>
    <row r="251" spans="1:4" x14ac:dyDescent="0.35">
      <c r="A251" t="s">
        <v>282</v>
      </c>
      <c r="B251">
        <v>15</v>
      </c>
      <c r="C251">
        <f>Earnings!C251/160</f>
        <v>2059.8874999999998</v>
      </c>
      <c r="D251">
        <f t="shared" si="3"/>
        <v>61796.624999999993</v>
      </c>
    </row>
    <row r="252" spans="1:4" x14ac:dyDescent="0.35">
      <c r="A252" t="s">
        <v>283</v>
      </c>
      <c r="B252">
        <v>0</v>
      </c>
      <c r="C252">
        <f>Earnings!C252/160</f>
        <v>2068.9</v>
      </c>
      <c r="D252">
        <f t="shared" si="3"/>
        <v>0</v>
      </c>
    </row>
    <row r="253" spans="1:4" x14ac:dyDescent="0.35">
      <c r="A253" t="s">
        <v>284</v>
      </c>
      <c r="B253">
        <v>22</v>
      </c>
      <c r="C253">
        <f>Earnings!C253/160</f>
        <v>2428.0812500000002</v>
      </c>
      <c r="D253">
        <f t="shared" si="3"/>
        <v>106835.57500000001</v>
      </c>
    </row>
    <row r="254" spans="1:4" x14ac:dyDescent="0.35">
      <c r="A254" t="s">
        <v>285</v>
      </c>
      <c r="B254">
        <v>0</v>
      </c>
      <c r="C254">
        <f>Earnings!C254/160</f>
        <v>792.27499999999998</v>
      </c>
      <c r="D254">
        <f t="shared" si="3"/>
        <v>0</v>
      </c>
    </row>
    <row r="255" spans="1:4" x14ac:dyDescent="0.35">
      <c r="A255" t="s">
        <v>286</v>
      </c>
      <c r="B255">
        <v>0</v>
      </c>
      <c r="C255">
        <f>Earnings!C255/160</f>
        <v>1794.7549999999999</v>
      </c>
      <c r="D255">
        <f t="shared" si="3"/>
        <v>0</v>
      </c>
    </row>
    <row r="256" spans="1:4" x14ac:dyDescent="0.35">
      <c r="A256" t="s">
        <v>287</v>
      </c>
      <c r="B256">
        <v>22</v>
      </c>
      <c r="C256">
        <f>Earnings!C256/160</f>
        <v>1382.1624999999999</v>
      </c>
      <c r="D256">
        <f t="shared" si="3"/>
        <v>60815.149999999994</v>
      </c>
    </row>
    <row r="257" spans="1:4" x14ac:dyDescent="0.35">
      <c r="A257" t="s">
        <v>288</v>
      </c>
      <c r="B257">
        <v>20</v>
      </c>
      <c r="C257">
        <f>Earnings!C257/160</f>
        <v>3095.7555000000002</v>
      </c>
      <c r="D257">
        <f t="shared" si="3"/>
        <v>123830.22</v>
      </c>
    </row>
    <row r="258" spans="1:4" x14ac:dyDescent="0.35">
      <c r="A258" t="s">
        <v>289</v>
      </c>
      <c r="B258">
        <v>0</v>
      </c>
      <c r="C258">
        <f>Earnings!C258/160</f>
        <v>3778.40175</v>
      </c>
      <c r="D258">
        <f t="shared" ref="D258:D321" si="4">B258*C258*2</f>
        <v>0</v>
      </c>
    </row>
    <row r="259" spans="1:4" x14ac:dyDescent="0.35">
      <c r="A259" t="s">
        <v>290</v>
      </c>
      <c r="B259">
        <v>0</v>
      </c>
      <c r="C259">
        <f>Earnings!C259/160</f>
        <v>1684.8321250000001</v>
      </c>
      <c r="D259">
        <f t="shared" si="4"/>
        <v>0</v>
      </c>
    </row>
    <row r="260" spans="1:4" x14ac:dyDescent="0.35">
      <c r="A260" t="s">
        <v>291</v>
      </c>
      <c r="B260">
        <v>0</v>
      </c>
      <c r="C260">
        <f>Earnings!C260/160</f>
        <v>2020.2509999999997</v>
      </c>
      <c r="D260">
        <f t="shared" si="4"/>
        <v>0</v>
      </c>
    </row>
    <row r="261" spans="1:4" x14ac:dyDescent="0.35">
      <c r="A261" t="s">
        <v>292</v>
      </c>
      <c r="B261">
        <v>0</v>
      </c>
      <c r="C261">
        <f>Earnings!C261/160</f>
        <v>1151.2674999999999</v>
      </c>
      <c r="D261">
        <f t="shared" si="4"/>
        <v>0</v>
      </c>
    </row>
    <row r="262" spans="1:4" x14ac:dyDescent="0.35">
      <c r="A262" t="s">
        <v>293</v>
      </c>
      <c r="B262">
        <v>0</v>
      </c>
      <c r="C262">
        <f>Earnings!C262/160</f>
        <v>2032.9382499999999</v>
      </c>
      <c r="D262">
        <f t="shared" si="4"/>
        <v>0</v>
      </c>
    </row>
    <row r="263" spans="1:4" x14ac:dyDescent="0.35">
      <c r="A263" t="s">
        <v>294</v>
      </c>
      <c r="B263">
        <v>0</v>
      </c>
      <c r="C263">
        <f>Earnings!C263/160</f>
        <v>1331.25</v>
      </c>
      <c r="D263">
        <f t="shared" si="4"/>
        <v>0</v>
      </c>
    </row>
    <row r="264" spans="1:4" x14ac:dyDescent="0.35">
      <c r="A264" t="s">
        <v>295</v>
      </c>
      <c r="B264">
        <v>20</v>
      </c>
      <c r="C264">
        <f>Earnings!C264/160</f>
        <v>1878.9450000000002</v>
      </c>
      <c r="D264">
        <f t="shared" si="4"/>
        <v>75157.8</v>
      </c>
    </row>
    <row r="265" spans="1:4" x14ac:dyDescent="0.35">
      <c r="A265" t="s">
        <v>296</v>
      </c>
      <c r="B265">
        <v>15</v>
      </c>
      <c r="C265">
        <f>Earnings!C265/160</f>
        <v>1998.2275000000002</v>
      </c>
      <c r="D265">
        <f t="shared" si="4"/>
        <v>59946.825000000004</v>
      </c>
    </row>
    <row r="266" spans="1:4" x14ac:dyDescent="0.35">
      <c r="A266" t="s">
        <v>297</v>
      </c>
      <c r="B266">
        <v>0</v>
      </c>
      <c r="C266">
        <f>Earnings!C266/160</f>
        <v>2029.7874999999999</v>
      </c>
      <c r="D266">
        <f t="shared" si="4"/>
        <v>0</v>
      </c>
    </row>
    <row r="267" spans="1:4" x14ac:dyDescent="0.35">
      <c r="A267" t="s">
        <v>298</v>
      </c>
      <c r="B267">
        <v>0</v>
      </c>
      <c r="C267">
        <f>Earnings!C267/160</f>
        <v>2016.0163749999999</v>
      </c>
      <c r="D267">
        <f t="shared" si="4"/>
        <v>0</v>
      </c>
    </row>
    <row r="268" spans="1:4" x14ac:dyDescent="0.35">
      <c r="A268" t="s">
        <v>299</v>
      </c>
      <c r="B268">
        <v>0</v>
      </c>
      <c r="C268">
        <f>Earnings!C268/160</f>
        <v>2141.0374999999999</v>
      </c>
      <c r="D268">
        <f t="shared" si="4"/>
        <v>0</v>
      </c>
    </row>
    <row r="269" spans="1:4" x14ac:dyDescent="0.35">
      <c r="A269" t="s">
        <v>300</v>
      </c>
      <c r="B269">
        <v>5</v>
      </c>
      <c r="C269">
        <f>Earnings!C269/160</f>
        <v>949.42525000000001</v>
      </c>
      <c r="D269">
        <f t="shared" si="4"/>
        <v>9494.2525000000005</v>
      </c>
    </row>
    <row r="270" spans="1:4" x14ac:dyDescent="0.35">
      <c r="A270" t="s">
        <v>301</v>
      </c>
      <c r="B270">
        <v>0</v>
      </c>
      <c r="C270">
        <f>Earnings!C270/160</f>
        <v>1781.0220000000002</v>
      </c>
      <c r="D270">
        <f t="shared" si="4"/>
        <v>0</v>
      </c>
    </row>
    <row r="271" spans="1:4" x14ac:dyDescent="0.35">
      <c r="A271" t="s">
        <v>302</v>
      </c>
      <c r="B271">
        <v>16</v>
      </c>
      <c r="C271">
        <f>Earnings!C271/160</f>
        <v>2275.2001250000003</v>
      </c>
      <c r="D271">
        <f t="shared" si="4"/>
        <v>72806.40400000001</v>
      </c>
    </row>
    <row r="272" spans="1:4" x14ac:dyDescent="0.35">
      <c r="A272" t="s">
        <v>303</v>
      </c>
      <c r="B272">
        <v>0</v>
      </c>
      <c r="C272">
        <f>Earnings!C272/160</f>
        <v>3562.1081250000002</v>
      </c>
      <c r="D272">
        <f t="shared" si="4"/>
        <v>0</v>
      </c>
    </row>
    <row r="273" spans="1:4" x14ac:dyDescent="0.35">
      <c r="A273" t="s">
        <v>304</v>
      </c>
      <c r="B273">
        <v>0</v>
      </c>
      <c r="C273">
        <f>Earnings!C273/160</f>
        <v>2709.3575000000001</v>
      </c>
      <c r="D273">
        <f t="shared" si="4"/>
        <v>0</v>
      </c>
    </row>
    <row r="274" spans="1:4" x14ac:dyDescent="0.35">
      <c r="A274" t="s">
        <v>305</v>
      </c>
      <c r="B274">
        <v>20</v>
      </c>
      <c r="C274">
        <f>Earnings!C274/160</f>
        <v>2602.1999999999998</v>
      </c>
      <c r="D274">
        <f t="shared" si="4"/>
        <v>104088</v>
      </c>
    </row>
    <row r="275" spans="1:4" x14ac:dyDescent="0.35">
      <c r="A275" t="s">
        <v>306</v>
      </c>
      <c r="B275">
        <v>0</v>
      </c>
      <c r="C275">
        <f>Earnings!C275/160</f>
        <v>2169.1325000000002</v>
      </c>
      <c r="D275">
        <f t="shared" si="4"/>
        <v>0</v>
      </c>
    </row>
    <row r="276" spans="1:4" x14ac:dyDescent="0.35">
      <c r="A276" t="s">
        <v>307</v>
      </c>
      <c r="B276">
        <v>9</v>
      </c>
      <c r="C276">
        <f>Earnings!C276/160</f>
        <v>1519.1901250000001</v>
      </c>
      <c r="D276">
        <f t="shared" si="4"/>
        <v>27345.422250000003</v>
      </c>
    </row>
    <row r="277" spans="1:4" x14ac:dyDescent="0.35">
      <c r="A277" t="s">
        <v>308</v>
      </c>
      <c r="B277">
        <v>0</v>
      </c>
      <c r="C277">
        <f>Earnings!C277/160</f>
        <v>1679.7874999999999</v>
      </c>
      <c r="D277">
        <f t="shared" si="4"/>
        <v>0</v>
      </c>
    </row>
    <row r="278" spans="1:4" x14ac:dyDescent="0.35">
      <c r="A278" t="s">
        <v>309</v>
      </c>
      <c r="B278">
        <v>0</v>
      </c>
      <c r="C278">
        <f>Earnings!C278/160</f>
        <v>1947.1983749999999</v>
      </c>
      <c r="D278">
        <f t="shared" si="4"/>
        <v>0</v>
      </c>
    </row>
    <row r="279" spans="1:4" x14ac:dyDescent="0.35">
      <c r="A279" t="s">
        <v>310</v>
      </c>
      <c r="B279">
        <v>26</v>
      </c>
      <c r="C279">
        <f>Earnings!C279/160</f>
        <v>2329.0124999999998</v>
      </c>
      <c r="D279">
        <f t="shared" si="4"/>
        <v>121108.65</v>
      </c>
    </row>
    <row r="280" spans="1:4" x14ac:dyDescent="0.35">
      <c r="A280" t="s">
        <v>311</v>
      </c>
      <c r="B280">
        <v>0</v>
      </c>
      <c r="C280">
        <f>Earnings!C280/160</f>
        <v>2860.5331249999999</v>
      </c>
      <c r="D280">
        <f t="shared" si="4"/>
        <v>0</v>
      </c>
    </row>
    <row r="281" spans="1:4" x14ac:dyDescent="0.35">
      <c r="A281" t="s">
        <v>312</v>
      </c>
      <c r="B281">
        <v>0</v>
      </c>
      <c r="C281">
        <f>Earnings!C281/160</f>
        <v>2568.0225</v>
      </c>
      <c r="D281">
        <f t="shared" si="4"/>
        <v>0</v>
      </c>
    </row>
    <row r="282" spans="1:4" x14ac:dyDescent="0.35">
      <c r="A282" t="s">
        <v>313</v>
      </c>
      <c r="B282">
        <v>0</v>
      </c>
      <c r="C282">
        <f>Earnings!C282/160</f>
        <v>1616.3975</v>
      </c>
      <c r="D282">
        <f t="shared" si="4"/>
        <v>0</v>
      </c>
    </row>
    <row r="283" spans="1:4" x14ac:dyDescent="0.35">
      <c r="A283" t="s">
        <v>314</v>
      </c>
      <c r="B283">
        <v>0</v>
      </c>
      <c r="C283">
        <f>Earnings!C283/160</f>
        <v>3717.6017500000003</v>
      </c>
      <c r="D283">
        <f t="shared" si="4"/>
        <v>0</v>
      </c>
    </row>
    <row r="284" spans="1:4" x14ac:dyDescent="0.35">
      <c r="A284" t="s">
        <v>315</v>
      </c>
      <c r="B284">
        <v>0</v>
      </c>
      <c r="C284">
        <f>Earnings!C284/160</f>
        <v>2164.9740000000002</v>
      </c>
      <c r="D284">
        <f t="shared" si="4"/>
        <v>0</v>
      </c>
    </row>
    <row r="285" spans="1:4" x14ac:dyDescent="0.35">
      <c r="A285" t="s">
        <v>316</v>
      </c>
      <c r="B285">
        <v>0</v>
      </c>
      <c r="C285">
        <f>Earnings!C285/160</f>
        <v>2485.8625000000002</v>
      </c>
      <c r="D285">
        <f t="shared" si="4"/>
        <v>0</v>
      </c>
    </row>
    <row r="286" spans="1:4" x14ac:dyDescent="0.35">
      <c r="A286" t="s">
        <v>317</v>
      </c>
      <c r="B286">
        <v>0</v>
      </c>
      <c r="C286">
        <f>Earnings!C286/160</f>
        <v>2129.7764999999999</v>
      </c>
      <c r="D286">
        <f t="shared" si="4"/>
        <v>0</v>
      </c>
    </row>
    <row r="287" spans="1:4" x14ac:dyDescent="0.35">
      <c r="A287" t="s">
        <v>318</v>
      </c>
      <c r="B287">
        <v>9</v>
      </c>
      <c r="C287">
        <f>Earnings!C287/160</f>
        <v>2654.2715000000007</v>
      </c>
      <c r="D287">
        <f t="shared" si="4"/>
        <v>47776.887000000017</v>
      </c>
    </row>
    <row r="288" spans="1:4" x14ac:dyDescent="0.35">
      <c r="A288" t="s">
        <v>319</v>
      </c>
      <c r="B288">
        <v>13</v>
      </c>
      <c r="C288">
        <f>Earnings!C288/160</f>
        <v>1625.96775</v>
      </c>
      <c r="D288">
        <f t="shared" si="4"/>
        <v>42275.161500000002</v>
      </c>
    </row>
    <row r="289" spans="1:4" x14ac:dyDescent="0.35">
      <c r="A289" t="s">
        <v>320</v>
      </c>
      <c r="B289">
        <v>28</v>
      </c>
      <c r="C289">
        <f>Earnings!C289/160</f>
        <v>1340.835</v>
      </c>
      <c r="D289">
        <f t="shared" si="4"/>
        <v>75086.760000000009</v>
      </c>
    </row>
    <row r="290" spans="1:4" x14ac:dyDescent="0.35">
      <c r="A290" t="s">
        <v>321</v>
      </c>
      <c r="B290">
        <v>0</v>
      </c>
      <c r="C290">
        <f>Earnings!C290/160</f>
        <v>2259.6224999999999</v>
      </c>
      <c r="D290">
        <f t="shared" si="4"/>
        <v>0</v>
      </c>
    </row>
    <row r="291" spans="1:4" x14ac:dyDescent="0.35">
      <c r="A291" t="s">
        <v>322</v>
      </c>
      <c r="B291">
        <v>0</v>
      </c>
      <c r="C291">
        <f>Earnings!C291/160</f>
        <v>2102.6025</v>
      </c>
      <c r="D291">
        <f t="shared" si="4"/>
        <v>0</v>
      </c>
    </row>
    <row r="292" spans="1:4" x14ac:dyDescent="0.35">
      <c r="A292" t="s">
        <v>323</v>
      </c>
      <c r="B292">
        <v>0</v>
      </c>
      <c r="C292">
        <f>Earnings!C292/160</f>
        <v>2945.0124999999998</v>
      </c>
      <c r="D292">
        <f t="shared" si="4"/>
        <v>0</v>
      </c>
    </row>
    <row r="293" spans="1:4" x14ac:dyDescent="0.35">
      <c r="A293" t="s">
        <v>324</v>
      </c>
      <c r="B293">
        <v>0</v>
      </c>
      <c r="C293">
        <f>Earnings!C293/160</f>
        <v>3111.165</v>
      </c>
      <c r="D293">
        <f t="shared" si="4"/>
        <v>0</v>
      </c>
    </row>
    <row r="294" spans="1:4" x14ac:dyDescent="0.35">
      <c r="A294" t="s">
        <v>325</v>
      </c>
      <c r="B294">
        <v>0</v>
      </c>
      <c r="C294">
        <f>Earnings!C294/160</f>
        <v>1993.423</v>
      </c>
      <c r="D294">
        <f t="shared" si="4"/>
        <v>0</v>
      </c>
    </row>
    <row r="295" spans="1:4" x14ac:dyDescent="0.35">
      <c r="A295" t="s">
        <v>326</v>
      </c>
      <c r="B295">
        <v>16</v>
      </c>
      <c r="C295">
        <f>Earnings!C295/160</f>
        <v>1968.8298750000001</v>
      </c>
      <c r="D295">
        <f t="shared" si="4"/>
        <v>63002.556000000004</v>
      </c>
    </row>
    <row r="296" spans="1:4" x14ac:dyDescent="0.35">
      <c r="A296" t="s">
        <v>327</v>
      </c>
      <c r="B296">
        <v>0</v>
      </c>
      <c r="C296">
        <f>Earnings!C296/160</f>
        <v>2778.3975</v>
      </c>
      <c r="D296">
        <f t="shared" si="4"/>
        <v>0</v>
      </c>
    </row>
    <row r="297" spans="1:4" x14ac:dyDescent="0.35">
      <c r="A297" t="s">
        <v>328</v>
      </c>
      <c r="B297">
        <v>0</v>
      </c>
      <c r="C297">
        <f>Earnings!C297/160</f>
        <v>2335.5654999999997</v>
      </c>
      <c r="D297">
        <f t="shared" si="4"/>
        <v>0</v>
      </c>
    </row>
    <row r="298" spans="1:4" x14ac:dyDescent="0.35">
      <c r="A298" t="s">
        <v>329</v>
      </c>
      <c r="B298">
        <v>28</v>
      </c>
      <c r="C298">
        <f>Earnings!C298/160</f>
        <v>1734.7724999999998</v>
      </c>
      <c r="D298">
        <f t="shared" si="4"/>
        <v>97147.26</v>
      </c>
    </row>
    <row r="299" spans="1:4" x14ac:dyDescent="0.35">
      <c r="A299" t="s">
        <v>330</v>
      </c>
      <c r="B299">
        <v>0</v>
      </c>
      <c r="C299">
        <f>Earnings!C299/160</f>
        <v>1227.872625</v>
      </c>
      <c r="D299">
        <f t="shared" si="4"/>
        <v>0</v>
      </c>
    </row>
    <row r="300" spans="1:4" x14ac:dyDescent="0.35">
      <c r="A300" t="s">
        <v>331</v>
      </c>
      <c r="B300">
        <v>19</v>
      </c>
      <c r="C300">
        <f>Earnings!C300/160</f>
        <v>2321.5299999999997</v>
      </c>
      <c r="D300">
        <f t="shared" si="4"/>
        <v>88218.139999999985</v>
      </c>
    </row>
    <row r="301" spans="1:4" x14ac:dyDescent="0.35">
      <c r="A301" t="s">
        <v>332</v>
      </c>
      <c r="B301">
        <v>0</v>
      </c>
      <c r="C301">
        <f>Earnings!C301/160</f>
        <v>3113.6750000000002</v>
      </c>
      <c r="D301">
        <f t="shared" si="4"/>
        <v>0</v>
      </c>
    </row>
    <row r="302" spans="1:4" x14ac:dyDescent="0.35">
      <c r="A302" t="s">
        <v>333</v>
      </c>
      <c r="B302">
        <v>0</v>
      </c>
      <c r="C302">
        <f>Earnings!C302/160</f>
        <v>1540.6100000000001</v>
      </c>
      <c r="D302">
        <f t="shared" si="4"/>
        <v>0</v>
      </c>
    </row>
    <row r="303" spans="1:4" x14ac:dyDescent="0.35">
      <c r="A303" t="s">
        <v>334</v>
      </c>
      <c r="B303">
        <v>11</v>
      </c>
      <c r="C303">
        <f>Earnings!C303/160</f>
        <v>2782.77</v>
      </c>
      <c r="D303">
        <f t="shared" si="4"/>
        <v>61220.94</v>
      </c>
    </row>
    <row r="304" spans="1:4" x14ac:dyDescent="0.35">
      <c r="A304" t="s">
        <v>335</v>
      </c>
      <c r="B304">
        <v>0</v>
      </c>
      <c r="C304">
        <f>Earnings!C304/160</f>
        <v>2084.6728749999997</v>
      </c>
      <c r="D304">
        <f t="shared" si="4"/>
        <v>0</v>
      </c>
    </row>
    <row r="305" spans="1:4" x14ac:dyDescent="0.35">
      <c r="A305" t="s">
        <v>336</v>
      </c>
      <c r="B305">
        <v>11</v>
      </c>
      <c r="C305">
        <f>Earnings!C305/160</f>
        <v>2703.8757500000006</v>
      </c>
      <c r="D305">
        <f t="shared" si="4"/>
        <v>59485.266500000012</v>
      </c>
    </row>
    <row r="306" spans="1:4" x14ac:dyDescent="0.35">
      <c r="A306" t="s">
        <v>337</v>
      </c>
      <c r="B306">
        <v>0</v>
      </c>
      <c r="C306">
        <f>Earnings!C306/160</f>
        <v>1567.7945</v>
      </c>
      <c r="D306">
        <f t="shared" si="4"/>
        <v>0</v>
      </c>
    </row>
    <row r="307" spans="1:4" x14ac:dyDescent="0.35">
      <c r="A307" t="s">
        <v>338</v>
      </c>
      <c r="B307">
        <v>0</v>
      </c>
      <c r="C307">
        <f>Earnings!C307/160</f>
        <v>2622.9974999999999</v>
      </c>
      <c r="D307">
        <f t="shared" si="4"/>
        <v>0</v>
      </c>
    </row>
    <row r="308" spans="1:4" x14ac:dyDescent="0.35">
      <c r="A308" t="s">
        <v>339</v>
      </c>
      <c r="B308">
        <v>0</v>
      </c>
      <c r="C308">
        <f>Earnings!C308/160</f>
        <v>1186.575</v>
      </c>
      <c r="D308">
        <f t="shared" si="4"/>
        <v>0</v>
      </c>
    </row>
    <row r="309" spans="1:4" x14ac:dyDescent="0.35">
      <c r="A309" t="s">
        <v>340</v>
      </c>
      <c r="B309">
        <v>0</v>
      </c>
      <c r="C309">
        <f>Earnings!C309/160</f>
        <v>1823.29225</v>
      </c>
      <c r="D309">
        <f t="shared" si="4"/>
        <v>0</v>
      </c>
    </row>
    <row r="310" spans="1:4" x14ac:dyDescent="0.35">
      <c r="A310" t="s">
        <v>341</v>
      </c>
      <c r="B310">
        <v>0</v>
      </c>
      <c r="C310">
        <f>Earnings!C310/160</f>
        <v>2172.571625</v>
      </c>
      <c r="D310">
        <f t="shared" si="4"/>
        <v>0</v>
      </c>
    </row>
    <row r="311" spans="1:4" x14ac:dyDescent="0.35">
      <c r="A311" t="s">
        <v>342</v>
      </c>
      <c r="B311">
        <v>30</v>
      </c>
      <c r="C311">
        <f>Earnings!C311/160</f>
        <v>1997.8428749999998</v>
      </c>
      <c r="D311">
        <f t="shared" si="4"/>
        <v>119870.57249999999</v>
      </c>
    </row>
    <row r="312" spans="1:4" x14ac:dyDescent="0.35">
      <c r="A312" t="s">
        <v>343</v>
      </c>
      <c r="B312">
        <v>0</v>
      </c>
      <c r="C312">
        <f>Earnings!C312/160</f>
        <v>2739.6313749999999</v>
      </c>
      <c r="D312">
        <f t="shared" si="4"/>
        <v>0</v>
      </c>
    </row>
    <row r="313" spans="1:4" x14ac:dyDescent="0.35">
      <c r="A313" t="s">
        <v>344</v>
      </c>
      <c r="B313">
        <v>11</v>
      </c>
      <c r="C313">
        <f>Earnings!C313/160</f>
        <v>1532.2953750000001</v>
      </c>
      <c r="D313">
        <f t="shared" si="4"/>
        <v>33710.498250000004</v>
      </c>
    </row>
    <row r="314" spans="1:4" x14ac:dyDescent="0.35">
      <c r="A314" t="s">
        <v>345</v>
      </c>
      <c r="B314">
        <v>0</v>
      </c>
      <c r="C314">
        <f>Earnings!C314/160</f>
        <v>1947.614</v>
      </c>
      <c r="D314">
        <f t="shared" si="4"/>
        <v>0</v>
      </c>
    </row>
    <row r="315" spans="1:4" x14ac:dyDescent="0.35">
      <c r="A315" t="s">
        <v>346</v>
      </c>
      <c r="B315">
        <v>0</v>
      </c>
      <c r="C315">
        <f>Earnings!C315/160</f>
        <v>2495.2296249999999</v>
      </c>
      <c r="D315">
        <f t="shared" si="4"/>
        <v>0</v>
      </c>
    </row>
    <row r="316" spans="1:4" x14ac:dyDescent="0.35">
      <c r="A316" t="s">
        <v>347</v>
      </c>
      <c r="B316">
        <v>17</v>
      </c>
      <c r="C316">
        <f>Earnings!C316/160</f>
        <v>1685.22</v>
      </c>
      <c r="D316">
        <f t="shared" si="4"/>
        <v>57297.48</v>
      </c>
    </row>
    <row r="317" spans="1:4" x14ac:dyDescent="0.35">
      <c r="A317" t="s">
        <v>348</v>
      </c>
      <c r="B317">
        <v>0</v>
      </c>
      <c r="C317">
        <f>Earnings!C317/160</f>
        <v>1554.0408750000001</v>
      </c>
      <c r="D317">
        <f t="shared" si="4"/>
        <v>0</v>
      </c>
    </row>
    <row r="318" spans="1:4" x14ac:dyDescent="0.35">
      <c r="A318" t="s">
        <v>349</v>
      </c>
      <c r="B318">
        <v>13</v>
      </c>
      <c r="C318">
        <f>Earnings!C318/160</f>
        <v>2608.6263749999998</v>
      </c>
      <c r="D318">
        <f t="shared" si="4"/>
        <v>67824.285749999995</v>
      </c>
    </row>
    <row r="319" spans="1:4" x14ac:dyDescent="0.35">
      <c r="A319" t="s">
        <v>350</v>
      </c>
      <c r="B319">
        <v>25</v>
      </c>
      <c r="C319">
        <f>Earnings!C319/160</f>
        <v>2178.138625</v>
      </c>
      <c r="D319">
        <f t="shared" si="4"/>
        <v>108906.93125000001</v>
      </c>
    </row>
    <row r="320" spans="1:4" x14ac:dyDescent="0.35">
      <c r="A320" t="s">
        <v>351</v>
      </c>
      <c r="B320">
        <v>0</v>
      </c>
      <c r="C320">
        <f>Earnings!C320/160</f>
        <v>2345.6750000000002</v>
      </c>
      <c r="D320">
        <f t="shared" si="4"/>
        <v>0</v>
      </c>
    </row>
    <row r="321" spans="1:4" x14ac:dyDescent="0.35">
      <c r="A321" t="s">
        <v>352</v>
      </c>
      <c r="B321">
        <v>7</v>
      </c>
      <c r="C321">
        <f>Earnings!C321/160</f>
        <v>2271.2950000000001</v>
      </c>
      <c r="D321">
        <f t="shared" si="4"/>
        <v>31798.13</v>
      </c>
    </row>
    <row r="322" spans="1:4" x14ac:dyDescent="0.35">
      <c r="A322" t="s">
        <v>353</v>
      </c>
      <c r="B322">
        <v>19</v>
      </c>
      <c r="C322">
        <f>Earnings!C322/160</f>
        <v>1628.67525</v>
      </c>
      <c r="D322">
        <f t="shared" ref="D322:D385" si="5">B322*C322*2</f>
        <v>61889.659500000002</v>
      </c>
    </row>
    <row r="323" spans="1:4" x14ac:dyDescent="0.35">
      <c r="A323" t="s">
        <v>354</v>
      </c>
      <c r="B323">
        <v>0</v>
      </c>
      <c r="C323">
        <f>Earnings!C323/160</f>
        <v>1904.41275</v>
      </c>
      <c r="D323">
        <f t="shared" si="5"/>
        <v>0</v>
      </c>
    </row>
    <row r="324" spans="1:4" x14ac:dyDescent="0.35">
      <c r="A324" t="s">
        <v>355</v>
      </c>
      <c r="B324">
        <v>0</v>
      </c>
      <c r="C324">
        <f>Earnings!C324/160</f>
        <v>3004.1075000000001</v>
      </c>
      <c r="D324">
        <f t="shared" si="5"/>
        <v>0</v>
      </c>
    </row>
    <row r="325" spans="1:4" x14ac:dyDescent="0.35">
      <c r="A325" t="s">
        <v>356</v>
      </c>
      <c r="B325">
        <v>0</v>
      </c>
      <c r="C325">
        <f>Earnings!C325/160</f>
        <v>2709.9700000000003</v>
      </c>
      <c r="D325">
        <f t="shared" si="5"/>
        <v>0</v>
      </c>
    </row>
    <row r="326" spans="1:4" x14ac:dyDescent="0.35">
      <c r="A326" t="s">
        <v>357</v>
      </c>
      <c r="B326">
        <v>0</v>
      </c>
      <c r="C326">
        <f>Earnings!C326/160</f>
        <v>1773.9825000000001</v>
      </c>
      <c r="D326">
        <f t="shared" si="5"/>
        <v>0</v>
      </c>
    </row>
    <row r="327" spans="1:4" x14ac:dyDescent="0.35">
      <c r="A327" t="s">
        <v>358</v>
      </c>
      <c r="B327">
        <v>0</v>
      </c>
      <c r="C327">
        <f>Earnings!C327/160</f>
        <v>2441.5118750000001</v>
      </c>
      <c r="D327">
        <f t="shared" si="5"/>
        <v>0</v>
      </c>
    </row>
    <row r="328" spans="1:4" x14ac:dyDescent="0.35">
      <c r="A328" t="s">
        <v>359</v>
      </c>
      <c r="B328">
        <v>20</v>
      </c>
      <c r="C328">
        <f>Earnings!C328/160</f>
        <v>2269.0441249999999</v>
      </c>
      <c r="D328">
        <f t="shared" si="5"/>
        <v>90761.764999999999</v>
      </c>
    </row>
    <row r="329" spans="1:4" x14ac:dyDescent="0.35">
      <c r="A329" t="s">
        <v>360</v>
      </c>
      <c r="B329">
        <v>0</v>
      </c>
      <c r="C329">
        <f>Earnings!C329/160</f>
        <v>1873.4213749999999</v>
      </c>
      <c r="D329">
        <f t="shared" si="5"/>
        <v>0</v>
      </c>
    </row>
    <row r="330" spans="1:4" x14ac:dyDescent="0.35">
      <c r="A330" t="s">
        <v>361</v>
      </c>
      <c r="B330">
        <v>8</v>
      </c>
      <c r="C330">
        <f>Earnings!C330/160</f>
        <v>2703.2653749999999</v>
      </c>
      <c r="D330">
        <f t="shared" si="5"/>
        <v>43252.245999999999</v>
      </c>
    </row>
    <row r="331" spans="1:4" x14ac:dyDescent="0.35">
      <c r="A331" t="s">
        <v>362</v>
      </c>
      <c r="B331">
        <v>0</v>
      </c>
      <c r="C331">
        <f>Earnings!C331/160</f>
        <v>3123.335</v>
      </c>
      <c r="D331">
        <f t="shared" si="5"/>
        <v>0</v>
      </c>
    </row>
    <row r="332" spans="1:4" x14ac:dyDescent="0.35">
      <c r="A332" t="s">
        <v>363</v>
      </c>
      <c r="B332">
        <v>28</v>
      </c>
      <c r="C332">
        <f>Earnings!C332/160</f>
        <v>1164.2819999999999</v>
      </c>
      <c r="D332">
        <f t="shared" si="5"/>
        <v>65199.791999999994</v>
      </c>
    </row>
    <row r="333" spans="1:4" x14ac:dyDescent="0.35">
      <c r="A333" t="s">
        <v>364</v>
      </c>
      <c r="B333">
        <v>0</v>
      </c>
      <c r="C333">
        <f>Earnings!C333/160</f>
        <v>1483.1376249999998</v>
      </c>
      <c r="D333">
        <f t="shared" si="5"/>
        <v>0</v>
      </c>
    </row>
    <row r="334" spans="1:4" x14ac:dyDescent="0.35">
      <c r="A334" t="s">
        <v>365</v>
      </c>
      <c r="B334">
        <v>0</v>
      </c>
      <c r="C334">
        <f>Earnings!C334/160</f>
        <v>1731.9825000000001</v>
      </c>
      <c r="D334">
        <f t="shared" si="5"/>
        <v>0</v>
      </c>
    </row>
    <row r="335" spans="1:4" x14ac:dyDescent="0.35">
      <c r="A335" t="s">
        <v>366</v>
      </c>
      <c r="B335">
        <v>0</v>
      </c>
      <c r="C335">
        <f>Earnings!C335/160</f>
        <v>2242.21</v>
      </c>
      <c r="D335">
        <f t="shared" si="5"/>
        <v>0</v>
      </c>
    </row>
    <row r="336" spans="1:4" x14ac:dyDescent="0.35">
      <c r="A336" t="s">
        <v>367</v>
      </c>
      <c r="B336">
        <v>15</v>
      </c>
      <c r="C336">
        <f>Earnings!C336/160</f>
        <v>2742.625</v>
      </c>
      <c r="D336">
        <f t="shared" si="5"/>
        <v>82278.75</v>
      </c>
    </row>
    <row r="337" spans="1:4" x14ac:dyDescent="0.35">
      <c r="A337" t="s">
        <v>368</v>
      </c>
      <c r="B337">
        <v>0</v>
      </c>
      <c r="C337">
        <f>Earnings!C337/160</f>
        <v>1376.4175</v>
      </c>
      <c r="D337">
        <f t="shared" si="5"/>
        <v>0</v>
      </c>
    </row>
    <row r="338" spans="1:4" x14ac:dyDescent="0.35">
      <c r="A338" t="s">
        <v>369</v>
      </c>
      <c r="B338">
        <v>30</v>
      </c>
      <c r="C338">
        <f>Earnings!C338/160</f>
        <v>1153.2762500000001</v>
      </c>
      <c r="D338">
        <f t="shared" si="5"/>
        <v>69196.575000000012</v>
      </c>
    </row>
    <row r="339" spans="1:4" x14ac:dyDescent="0.35">
      <c r="A339" t="s">
        <v>370</v>
      </c>
      <c r="B339">
        <v>0</v>
      </c>
      <c r="C339">
        <f>Earnings!C339/160</f>
        <v>2009.3974999999998</v>
      </c>
      <c r="D339">
        <f t="shared" si="5"/>
        <v>0</v>
      </c>
    </row>
    <row r="340" spans="1:4" x14ac:dyDescent="0.35">
      <c r="A340" t="s">
        <v>371</v>
      </c>
      <c r="B340">
        <v>16</v>
      </c>
      <c r="C340">
        <f>Earnings!C340/160</f>
        <v>3254.8733750000001</v>
      </c>
      <c r="D340">
        <f t="shared" si="5"/>
        <v>104155.948</v>
      </c>
    </row>
    <row r="341" spans="1:4" x14ac:dyDescent="0.35">
      <c r="A341" t="s">
        <v>372</v>
      </c>
      <c r="B341">
        <v>26</v>
      </c>
      <c r="C341">
        <f>Earnings!C341/160</f>
        <v>1911.321625</v>
      </c>
      <c r="D341">
        <f t="shared" si="5"/>
        <v>99388.724499999997</v>
      </c>
    </row>
    <row r="342" spans="1:4" x14ac:dyDescent="0.35">
      <c r="A342" t="s">
        <v>373</v>
      </c>
      <c r="B342">
        <v>0</v>
      </c>
      <c r="C342">
        <f>Earnings!C342/160</f>
        <v>1422.085</v>
      </c>
      <c r="D342">
        <f t="shared" si="5"/>
        <v>0</v>
      </c>
    </row>
    <row r="343" spans="1:4" x14ac:dyDescent="0.35">
      <c r="A343" t="s">
        <v>374</v>
      </c>
      <c r="B343">
        <v>0</v>
      </c>
      <c r="C343">
        <f>Earnings!C343/160</f>
        <v>1789.8783749999998</v>
      </c>
      <c r="D343">
        <f t="shared" si="5"/>
        <v>0</v>
      </c>
    </row>
    <row r="344" spans="1:4" x14ac:dyDescent="0.35">
      <c r="A344" t="s">
        <v>375</v>
      </c>
      <c r="B344">
        <v>0</v>
      </c>
      <c r="C344">
        <f>Earnings!C344/160</f>
        <v>1669.1799999999998</v>
      </c>
      <c r="D344">
        <f t="shared" si="5"/>
        <v>0</v>
      </c>
    </row>
    <row r="345" spans="1:4" x14ac:dyDescent="0.35">
      <c r="A345" t="s">
        <v>376</v>
      </c>
      <c r="B345">
        <v>24</v>
      </c>
      <c r="C345">
        <f>Earnings!C345/160</f>
        <v>1996.3869999999999</v>
      </c>
      <c r="D345">
        <f t="shared" si="5"/>
        <v>95826.576000000001</v>
      </c>
    </row>
    <row r="346" spans="1:4" x14ac:dyDescent="0.35">
      <c r="A346" t="s">
        <v>377</v>
      </c>
      <c r="B346">
        <v>0</v>
      </c>
      <c r="C346">
        <f>Earnings!C346/160</f>
        <v>2448.0360000000001</v>
      </c>
      <c r="D346">
        <f t="shared" si="5"/>
        <v>0</v>
      </c>
    </row>
    <row r="347" spans="1:4" x14ac:dyDescent="0.35">
      <c r="A347" t="s">
        <v>378</v>
      </c>
      <c r="B347">
        <v>28</v>
      </c>
      <c r="C347">
        <f>Earnings!C347/160</f>
        <v>1803.5099999999998</v>
      </c>
      <c r="D347">
        <f t="shared" si="5"/>
        <v>100996.55999999998</v>
      </c>
    </row>
    <row r="348" spans="1:4" x14ac:dyDescent="0.35">
      <c r="A348" t="s">
        <v>379</v>
      </c>
      <c r="B348">
        <v>20</v>
      </c>
      <c r="C348">
        <f>Earnings!C348/160</f>
        <v>1525.71</v>
      </c>
      <c r="D348">
        <f t="shared" si="5"/>
        <v>61028.4</v>
      </c>
    </row>
    <row r="349" spans="1:4" x14ac:dyDescent="0.35">
      <c r="A349" t="s">
        <v>380</v>
      </c>
      <c r="B349">
        <v>5</v>
      </c>
      <c r="C349">
        <f>Earnings!C349/160</f>
        <v>1767.206625</v>
      </c>
      <c r="D349">
        <f t="shared" si="5"/>
        <v>17672.06625</v>
      </c>
    </row>
    <row r="350" spans="1:4" x14ac:dyDescent="0.35">
      <c r="A350" t="s">
        <v>381</v>
      </c>
      <c r="B350">
        <v>0</v>
      </c>
      <c r="C350">
        <f>Earnings!C350/160</f>
        <v>1901.394125</v>
      </c>
      <c r="D350">
        <f t="shared" si="5"/>
        <v>0</v>
      </c>
    </row>
    <row r="351" spans="1:4" x14ac:dyDescent="0.35">
      <c r="A351" t="s">
        <v>382</v>
      </c>
      <c r="B351">
        <v>0</v>
      </c>
      <c r="C351">
        <f>Earnings!C351/160</f>
        <v>2852.8119999999999</v>
      </c>
      <c r="D351">
        <f t="shared" si="5"/>
        <v>0</v>
      </c>
    </row>
    <row r="352" spans="1:4" x14ac:dyDescent="0.35">
      <c r="A352" t="s">
        <v>383</v>
      </c>
      <c r="B352">
        <v>0</v>
      </c>
      <c r="C352">
        <f>Earnings!C352/160</f>
        <v>2171.5349999999999</v>
      </c>
      <c r="D352">
        <f t="shared" si="5"/>
        <v>0</v>
      </c>
    </row>
    <row r="353" spans="1:4" x14ac:dyDescent="0.35">
      <c r="A353" t="s">
        <v>384</v>
      </c>
      <c r="B353">
        <v>9</v>
      </c>
      <c r="C353">
        <f>Earnings!C353/160</f>
        <v>2380.4025000000001</v>
      </c>
      <c r="D353">
        <f t="shared" si="5"/>
        <v>42847.245000000003</v>
      </c>
    </row>
    <row r="354" spans="1:4" x14ac:dyDescent="0.35">
      <c r="A354" t="s">
        <v>385</v>
      </c>
      <c r="B354">
        <v>0</v>
      </c>
      <c r="C354">
        <f>Earnings!C354/160</f>
        <v>2871.5697499999997</v>
      </c>
      <c r="D354">
        <f t="shared" si="5"/>
        <v>0</v>
      </c>
    </row>
    <row r="355" spans="1:4" x14ac:dyDescent="0.35">
      <c r="A355" t="s">
        <v>386</v>
      </c>
      <c r="B355">
        <v>0</v>
      </c>
      <c r="C355">
        <f>Earnings!C355/160</f>
        <v>2486.8249999999998</v>
      </c>
      <c r="D355">
        <f t="shared" si="5"/>
        <v>0</v>
      </c>
    </row>
    <row r="356" spans="1:4" x14ac:dyDescent="0.35">
      <c r="A356" t="s">
        <v>387</v>
      </c>
      <c r="B356">
        <v>0</v>
      </c>
      <c r="C356">
        <f>Earnings!C356/160</f>
        <v>1555.777</v>
      </c>
      <c r="D356">
        <f t="shared" si="5"/>
        <v>0</v>
      </c>
    </row>
    <row r="357" spans="1:4" x14ac:dyDescent="0.35">
      <c r="A357" t="s">
        <v>388</v>
      </c>
      <c r="B357">
        <v>0</v>
      </c>
      <c r="C357">
        <f>Earnings!C357/160</f>
        <v>1696.137125</v>
      </c>
      <c r="D357">
        <f t="shared" si="5"/>
        <v>0</v>
      </c>
    </row>
    <row r="358" spans="1:4" x14ac:dyDescent="0.35">
      <c r="A358" t="s">
        <v>389</v>
      </c>
      <c r="B358">
        <v>5</v>
      </c>
      <c r="C358">
        <f>Earnings!C358/160</f>
        <v>1169.856125</v>
      </c>
      <c r="D358">
        <f t="shared" si="5"/>
        <v>11698.561250000001</v>
      </c>
    </row>
    <row r="359" spans="1:4" x14ac:dyDescent="0.35">
      <c r="A359" t="s">
        <v>390</v>
      </c>
      <c r="B359">
        <v>0</v>
      </c>
      <c r="C359">
        <f>Earnings!C359/160</f>
        <v>2107.0950000000003</v>
      </c>
      <c r="D359">
        <f t="shared" si="5"/>
        <v>0</v>
      </c>
    </row>
    <row r="360" spans="1:4" x14ac:dyDescent="0.35">
      <c r="A360" t="s">
        <v>391</v>
      </c>
      <c r="B360">
        <v>0</v>
      </c>
      <c r="C360">
        <f>Earnings!C360/160</f>
        <v>1976.69</v>
      </c>
      <c r="D360">
        <f t="shared" si="5"/>
        <v>0</v>
      </c>
    </row>
    <row r="361" spans="1:4" x14ac:dyDescent="0.35">
      <c r="A361" t="s">
        <v>392</v>
      </c>
      <c r="B361">
        <v>0</v>
      </c>
      <c r="C361">
        <f>Earnings!C361/160</f>
        <v>3263.1740000000004</v>
      </c>
      <c r="D361">
        <f t="shared" si="5"/>
        <v>0</v>
      </c>
    </row>
    <row r="362" spans="1:4" x14ac:dyDescent="0.35">
      <c r="A362" t="s">
        <v>393</v>
      </c>
      <c r="B362">
        <v>10</v>
      </c>
      <c r="C362">
        <f>Earnings!C362/160</f>
        <v>1495.414</v>
      </c>
      <c r="D362">
        <f t="shared" si="5"/>
        <v>29908.28</v>
      </c>
    </row>
    <row r="363" spans="1:4" x14ac:dyDescent="0.35">
      <c r="A363" t="s">
        <v>394</v>
      </c>
      <c r="B363">
        <v>0</v>
      </c>
      <c r="C363">
        <f>Earnings!C363/160</f>
        <v>2827.2049999999999</v>
      </c>
      <c r="D363">
        <f t="shared" si="5"/>
        <v>0</v>
      </c>
    </row>
    <row r="364" spans="1:4" x14ac:dyDescent="0.35">
      <c r="A364" t="s">
        <v>395</v>
      </c>
      <c r="B364">
        <v>23</v>
      </c>
      <c r="C364">
        <f>Earnings!C364/160</f>
        <v>3753.1025</v>
      </c>
      <c r="D364">
        <f t="shared" si="5"/>
        <v>172642.715</v>
      </c>
    </row>
    <row r="365" spans="1:4" x14ac:dyDescent="0.35">
      <c r="A365" t="s">
        <v>396</v>
      </c>
      <c r="B365">
        <v>0</v>
      </c>
      <c r="C365">
        <f>Earnings!C365/160</f>
        <v>2772.0050000000001</v>
      </c>
      <c r="D365">
        <f t="shared" si="5"/>
        <v>0</v>
      </c>
    </row>
    <row r="366" spans="1:4" x14ac:dyDescent="0.35">
      <c r="A366" t="s">
        <v>397</v>
      </c>
      <c r="B366">
        <v>0</v>
      </c>
      <c r="C366">
        <f>Earnings!C366/160</f>
        <v>2309.3288750000002</v>
      </c>
      <c r="D366">
        <f t="shared" si="5"/>
        <v>0</v>
      </c>
    </row>
    <row r="367" spans="1:4" x14ac:dyDescent="0.35">
      <c r="A367" t="s">
        <v>398</v>
      </c>
      <c r="B367">
        <v>0</v>
      </c>
      <c r="C367">
        <f>Earnings!C367/160</f>
        <v>2538.7550000000001</v>
      </c>
      <c r="D367">
        <f t="shared" si="5"/>
        <v>0</v>
      </c>
    </row>
    <row r="368" spans="1:4" x14ac:dyDescent="0.35">
      <c r="A368" t="s">
        <v>399</v>
      </c>
      <c r="B368">
        <v>29</v>
      </c>
      <c r="C368">
        <f>Earnings!C368/160</f>
        <v>2022.1034999999999</v>
      </c>
      <c r="D368">
        <f t="shared" si="5"/>
        <v>117282.003</v>
      </c>
    </row>
    <row r="369" spans="1:4" x14ac:dyDescent="0.35">
      <c r="A369" t="s">
        <v>400</v>
      </c>
      <c r="B369">
        <v>0</v>
      </c>
      <c r="C369">
        <f>Earnings!C369/160</f>
        <v>876.89987500000007</v>
      </c>
      <c r="D369">
        <f t="shared" si="5"/>
        <v>0</v>
      </c>
    </row>
    <row r="370" spans="1:4" x14ac:dyDescent="0.35">
      <c r="A370" t="s">
        <v>401</v>
      </c>
      <c r="B370">
        <v>0</v>
      </c>
      <c r="C370">
        <f>Earnings!C370/160</f>
        <v>1781.8627499999998</v>
      </c>
      <c r="D370">
        <f t="shared" si="5"/>
        <v>0</v>
      </c>
    </row>
    <row r="371" spans="1:4" x14ac:dyDescent="0.35">
      <c r="A371" t="s">
        <v>402</v>
      </c>
      <c r="B371">
        <v>0</v>
      </c>
      <c r="C371">
        <f>Earnings!C371/160</f>
        <v>2631.464375</v>
      </c>
      <c r="D371">
        <f t="shared" si="5"/>
        <v>0</v>
      </c>
    </row>
    <row r="372" spans="1:4" x14ac:dyDescent="0.35">
      <c r="A372" t="s">
        <v>403</v>
      </c>
      <c r="B372">
        <v>0</v>
      </c>
      <c r="C372">
        <f>Earnings!C372/160</f>
        <v>1290.675</v>
      </c>
      <c r="D372">
        <f t="shared" si="5"/>
        <v>0</v>
      </c>
    </row>
    <row r="373" spans="1:4" x14ac:dyDescent="0.35">
      <c r="A373" t="s">
        <v>404</v>
      </c>
      <c r="B373">
        <v>0</v>
      </c>
      <c r="C373">
        <f>Earnings!C373/160</f>
        <v>2025.0825</v>
      </c>
      <c r="D373">
        <f t="shared" si="5"/>
        <v>0</v>
      </c>
    </row>
    <row r="374" spans="1:4" x14ac:dyDescent="0.35">
      <c r="A374" t="s">
        <v>405</v>
      </c>
      <c r="B374">
        <v>26</v>
      </c>
      <c r="C374">
        <f>Earnings!C374/160</f>
        <v>2466.9148749999999</v>
      </c>
      <c r="D374">
        <f t="shared" si="5"/>
        <v>128279.5735</v>
      </c>
    </row>
    <row r="375" spans="1:4" x14ac:dyDescent="0.35">
      <c r="A375" t="s">
        <v>406</v>
      </c>
      <c r="B375">
        <v>0</v>
      </c>
      <c r="C375">
        <f>Earnings!C375/160</f>
        <v>3671.9186249999998</v>
      </c>
      <c r="D375">
        <f t="shared" si="5"/>
        <v>0</v>
      </c>
    </row>
    <row r="376" spans="1:4" x14ac:dyDescent="0.35">
      <c r="A376" t="s">
        <v>407</v>
      </c>
      <c r="B376">
        <v>29</v>
      </c>
      <c r="C376">
        <f>Earnings!C376/160</f>
        <v>1830.7735</v>
      </c>
      <c r="D376">
        <f t="shared" si="5"/>
        <v>106184.863</v>
      </c>
    </row>
    <row r="377" spans="1:4" x14ac:dyDescent="0.35">
      <c r="A377" t="s">
        <v>408</v>
      </c>
      <c r="B377">
        <v>25</v>
      </c>
      <c r="C377">
        <f>Earnings!C377/160</f>
        <v>1906.3056250000002</v>
      </c>
      <c r="D377">
        <f t="shared" si="5"/>
        <v>95315.281250000015</v>
      </c>
    </row>
    <row r="378" spans="1:4" x14ac:dyDescent="0.35">
      <c r="A378" t="s">
        <v>409</v>
      </c>
      <c r="B378">
        <v>6</v>
      </c>
      <c r="C378">
        <f>Earnings!C378/160</f>
        <v>1568.83</v>
      </c>
      <c r="D378">
        <f t="shared" si="5"/>
        <v>18825.96</v>
      </c>
    </row>
    <row r="379" spans="1:4" x14ac:dyDescent="0.35">
      <c r="A379" t="s">
        <v>410</v>
      </c>
      <c r="B379">
        <v>14</v>
      </c>
      <c r="C379">
        <f>Earnings!C379/160</f>
        <v>1628.6704999999999</v>
      </c>
      <c r="D379">
        <f t="shared" si="5"/>
        <v>45602.773999999998</v>
      </c>
    </row>
    <row r="380" spans="1:4" x14ac:dyDescent="0.35">
      <c r="A380" t="s">
        <v>411</v>
      </c>
      <c r="B380">
        <v>0</v>
      </c>
      <c r="C380">
        <f>Earnings!C380/160</f>
        <v>2035.1256249999999</v>
      </c>
      <c r="D380">
        <f t="shared" si="5"/>
        <v>0</v>
      </c>
    </row>
    <row r="381" spans="1:4" x14ac:dyDescent="0.35">
      <c r="A381" t="s">
        <v>412</v>
      </c>
      <c r="B381">
        <v>6</v>
      </c>
      <c r="C381">
        <f>Earnings!C381/160</f>
        <v>1733.1253750000001</v>
      </c>
      <c r="D381">
        <f t="shared" si="5"/>
        <v>20797.504500000003</v>
      </c>
    </row>
    <row r="382" spans="1:4" x14ac:dyDescent="0.35">
      <c r="A382" t="s">
        <v>413</v>
      </c>
      <c r="B382">
        <v>0</v>
      </c>
      <c r="C382">
        <f>Earnings!C382/160</f>
        <v>2511.0374999999999</v>
      </c>
      <c r="D382">
        <f t="shared" si="5"/>
        <v>0</v>
      </c>
    </row>
    <row r="383" spans="1:4" x14ac:dyDescent="0.35">
      <c r="A383" t="s">
        <v>414</v>
      </c>
      <c r="B383">
        <v>0</v>
      </c>
      <c r="C383">
        <f>Earnings!C383/160</f>
        <v>1486.345</v>
      </c>
      <c r="D383">
        <f t="shared" si="5"/>
        <v>0</v>
      </c>
    </row>
    <row r="384" spans="1:4" x14ac:dyDescent="0.35">
      <c r="A384" t="s">
        <v>415</v>
      </c>
      <c r="B384">
        <v>22</v>
      </c>
      <c r="C384">
        <f>Earnings!C384/160</f>
        <v>2447.1075000000001</v>
      </c>
      <c r="D384">
        <f t="shared" si="5"/>
        <v>107672.73000000001</v>
      </c>
    </row>
    <row r="385" spans="1:4" x14ac:dyDescent="0.35">
      <c r="A385" t="s">
        <v>416</v>
      </c>
      <c r="B385">
        <v>0</v>
      </c>
      <c r="C385">
        <f>Earnings!C385/160</f>
        <v>1367.5325</v>
      </c>
      <c r="D385">
        <f t="shared" si="5"/>
        <v>0</v>
      </c>
    </row>
    <row r="386" spans="1:4" x14ac:dyDescent="0.35">
      <c r="A386" t="s">
        <v>417</v>
      </c>
      <c r="B386">
        <v>19</v>
      </c>
      <c r="C386">
        <f>Earnings!C386/160</f>
        <v>2401.754375</v>
      </c>
      <c r="D386">
        <f t="shared" ref="D386:D449" si="6">B386*C386*2</f>
        <v>91266.666249999995</v>
      </c>
    </row>
    <row r="387" spans="1:4" x14ac:dyDescent="0.35">
      <c r="A387" t="s">
        <v>418</v>
      </c>
      <c r="B387">
        <v>10</v>
      </c>
      <c r="C387">
        <f>Earnings!C387/160</f>
        <v>3246.59175</v>
      </c>
      <c r="D387">
        <f t="shared" si="6"/>
        <v>64931.834999999999</v>
      </c>
    </row>
    <row r="388" spans="1:4" x14ac:dyDescent="0.35">
      <c r="A388" t="s">
        <v>419</v>
      </c>
      <c r="B388">
        <v>7</v>
      </c>
      <c r="C388">
        <f>Earnings!C388/160</f>
        <v>1729.6056250000001</v>
      </c>
      <c r="D388">
        <f t="shared" si="6"/>
        <v>24214.478750000002</v>
      </c>
    </row>
    <row r="389" spans="1:4" x14ac:dyDescent="0.35">
      <c r="A389" t="s">
        <v>420</v>
      </c>
      <c r="B389">
        <v>0</v>
      </c>
      <c r="C389">
        <f>Earnings!C389/160</f>
        <v>2190.9517500000002</v>
      </c>
      <c r="D389">
        <f t="shared" si="6"/>
        <v>0</v>
      </c>
    </row>
    <row r="390" spans="1:4" x14ac:dyDescent="0.35">
      <c r="A390" t="s">
        <v>421</v>
      </c>
      <c r="B390">
        <v>27</v>
      </c>
      <c r="C390">
        <f>Earnings!C390/160</f>
        <v>3310.8775000000001</v>
      </c>
      <c r="D390">
        <f t="shared" si="6"/>
        <v>178787.38500000001</v>
      </c>
    </row>
    <row r="391" spans="1:4" x14ac:dyDescent="0.35">
      <c r="A391" t="s">
        <v>422</v>
      </c>
      <c r="B391">
        <v>29</v>
      </c>
      <c r="C391">
        <f>Earnings!C391/160</f>
        <v>3572.2113750000003</v>
      </c>
      <c r="D391">
        <f t="shared" si="6"/>
        <v>207188.25975000003</v>
      </c>
    </row>
    <row r="392" spans="1:4" x14ac:dyDescent="0.35">
      <c r="A392" t="s">
        <v>423</v>
      </c>
      <c r="B392">
        <v>0</v>
      </c>
      <c r="C392">
        <f>Earnings!C392/160</f>
        <v>2235.5685000000003</v>
      </c>
      <c r="D392">
        <f t="shared" si="6"/>
        <v>0</v>
      </c>
    </row>
    <row r="393" spans="1:4" x14ac:dyDescent="0.35">
      <c r="A393" t="s">
        <v>424</v>
      </c>
      <c r="B393">
        <v>17</v>
      </c>
      <c r="C393">
        <f>Earnings!C393/160</f>
        <v>2579.21</v>
      </c>
      <c r="D393">
        <f t="shared" si="6"/>
        <v>87693.14</v>
      </c>
    </row>
    <row r="394" spans="1:4" x14ac:dyDescent="0.35">
      <c r="A394" t="s">
        <v>425</v>
      </c>
      <c r="B394">
        <v>0</v>
      </c>
      <c r="C394">
        <f>Earnings!C394/160</f>
        <v>2603.9191250000008</v>
      </c>
      <c r="D394">
        <f t="shared" si="6"/>
        <v>0</v>
      </c>
    </row>
    <row r="395" spans="1:4" x14ac:dyDescent="0.35">
      <c r="A395" t="s">
        <v>426</v>
      </c>
      <c r="B395">
        <v>7</v>
      </c>
      <c r="C395">
        <f>Earnings!C395/160</f>
        <v>1659.2652499999999</v>
      </c>
      <c r="D395">
        <f t="shared" si="6"/>
        <v>23229.713499999998</v>
      </c>
    </row>
    <row r="396" spans="1:4" x14ac:dyDescent="0.35">
      <c r="A396" t="s">
        <v>427</v>
      </c>
      <c r="B396">
        <v>0</v>
      </c>
      <c r="C396">
        <f>Earnings!C396/160</f>
        <v>1647.5625</v>
      </c>
      <c r="D396">
        <f t="shared" si="6"/>
        <v>0</v>
      </c>
    </row>
    <row r="397" spans="1:4" x14ac:dyDescent="0.35">
      <c r="A397" t="s">
        <v>428</v>
      </c>
      <c r="B397">
        <v>28</v>
      </c>
      <c r="C397">
        <f>Earnings!C397/160</f>
        <v>2383.7803749999998</v>
      </c>
      <c r="D397">
        <f t="shared" si="6"/>
        <v>133491.701</v>
      </c>
    </row>
    <row r="398" spans="1:4" x14ac:dyDescent="0.35">
      <c r="A398" t="s">
        <v>429</v>
      </c>
      <c r="B398">
        <v>0</v>
      </c>
      <c r="C398">
        <f>Earnings!C398/160</f>
        <v>3144.0450000000001</v>
      </c>
      <c r="D398">
        <f t="shared" si="6"/>
        <v>0</v>
      </c>
    </row>
    <row r="399" spans="1:4" x14ac:dyDescent="0.35">
      <c r="A399" t="s">
        <v>430</v>
      </c>
      <c r="B399">
        <v>22</v>
      </c>
      <c r="C399">
        <f>Earnings!C399/160</f>
        <v>2307.7352500000002</v>
      </c>
      <c r="D399">
        <f t="shared" si="6"/>
        <v>101540.35100000001</v>
      </c>
    </row>
    <row r="400" spans="1:4" x14ac:dyDescent="0.35">
      <c r="A400" t="s">
        <v>431</v>
      </c>
      <c r="B400">
        <v>17</v>
      </c>
      <c r="C400">
        <f>Earnings!C400/160</f>
        <v>3567.7416250000001</v>
      </c>
      <c r="D400">
        <f t="shared" si="6"/>
        <v>121303.21525000001</v>
      </c>
    </row>
    <row r="401" spans="1:4" x14ac:dyDescent="0.35">
      <c r="A401" t="s">
        <v>432</v>
      </c>
      <c r="B401">
        <v>15</v>
      </c>
      <c r="C401">
        <f>Earnings!C401/160</f>
        <v>2385.3621250000001</v>
      </c>
      <c r="D401">
        <f t="shared" si="6"/>
        <v>71560.863750000004</v>
      </c>
    </row>
    <row r="402" spans="1:4" x14ac:dyDescent="0.35">
      <c r="A402" t="s">
        <v>433</v>
      </c>
      <c r="B402">
        <v>0</v>
      </c>
      <c r="C402">
        <f>Earnings!C402/160</f>
        <v>2074.1112499999999</v>
      </c>
      <c r="D402">
        <f t="shared" si="6"/>
        <v>0</v>
      </c>
    </row>
    <row r="403" spans="1:4" x14ac:dyDescent="0.35">
      <c r="A403" t="s">
        <v>434</v>
      </c>
      <c r="B403">
        <v>13</v>
      </c>
      <c r="C403">
        <f>Earnings!C403/160</f>
        <v>2256.470875</v>
      </c>
      <c r="D403">
        <f t="shared" si="6"/>
        <v>58668.242749999998</v>
      </c>
    </row>
    <row r="404" spans="1:4" x14ac:dyDescent="0.35">
      <c r="A404" t="s">
        <v>435</v>
      </c>
      <c r="B404">
        <v>6</v>
      </c>
      <c r="C404">
        <f>Earnings!C404/160</f>
        <v>1843.575</v>
      </c>
      <c r="D404">
        <f t="shared" si="6"/>
        <v>22122.9</v>
      </c>
    </row>
    <row r="405" spans="1:4" x14ac:dyDescent="0.35">
      <c r="A405" t="s">
        <v>436</v>
      </c>
      <c r="B405">
        <v>0</v>
      </c>
      <c r="C405">
        <f>Earnings!C405/160</f>
        <v>1876.6200000000001</v>
      </c>
      <c r="D405">
        <f t="shared" si="6"/>
        <v>0</v>
      </c>
    </row>
    <row r="406" spans="1:4" x14ac:dyDescent="0.35">
      <c r="A406" t="s">
        <v>437</v>
      </c>
      <c r="B406">
        <v>20</v>
      </c>
      <c r="C406">
        <f>Earnings!C406/160</f>
        <v>1898.1875</v>
      </c>
      <c r="D406">
        <f t="shared" si="6"/>
        <v>75927.5</v>
      </c>
    </row>
    <row r="407" spans="1:4" x14ac:dyDescent="0.35">
      <c r="A407" t="s">
        <v>438</v>
      </c>
      <c r="B407">
        <v>22</v>
      </c>
      <c r="C407">
        <f>Earnings!C407/160</f>
        <v>1769.5507499999999</v>
      </c>
      <c r="D407">
        <f t="shared" si="6"/>
        <v>77860.232999999993</v>
      </c>
    </row>
    <row r="408" spans="1:4" x14ac:dyDescent="0.35">
      <c r="A408" t="s">
        <v>439</v>
      </c>
      <c r="B408">
        <v>5</v>
      </c>
      <c r="C408">
        <f>Earnings!C408/160</f>
        <v>3044.9525000000003</v>
      </c>
      <c r="D408">
        <f t="shared" si="6"/>
        <v>30449.525000000001</v>
      </c>
    </row>
    <row r="409" spans="1:4" x14ac:dyDescent="0.35">
      <c r="A409" t="s">
        <v>440</v>
      </c>
      <c r="B409">
        <v>10</v>
      </c>
      <c r="C409">
        <f>Earnings!C409/160</f>
        <v>1990.9175</v>
      </c>
      <c r="D409">
        <f t="shared" si="6"/>
        <v>39818.35</v>
      </c>
    </row>
    <row r="410" spans="1:4" x14ac:dyDescent="0.35">
      <c r="A410" t="s">
        <v>441</v>
      </c>
      <c r="B410">
        <v>0</v>
      </c>
      <c r="C410">
        <f>Earnings!C410/160</f>
        <v>2121.5099999999998</v>
      </c>
      <c r="D410">
        <f t="shared" si="6"/>
        <v>0</v>
      </c>
    </row>
    <row r="411" spans="1:4" x14ac:dyDescent="0.35">
      <c r="A411" t="s">
        <v>442</v>
      </c>
      <c r="B411">
        <v>0</v>
      </c>
      <c r="C411">
        <f>Earnings!C411/160</f>
        <v>2435.750125</v>
      </c>
      <c r="D411">
        <f t="shared" si="6"/>
        <v>0</v>
      </c>
    </row>
    <row r="412" spans="1:4" x14ac:dyDescent="0.35">
      <c r="A412" t="s">
        <v>443</v>
      </c>
      <c r="B412">
        <v>0</v>
      </c>
      <c r="C412">
        <f>Earnings!C412/160</f>
        <v>1539.4892500000001</v>
      </c>
      <c r="D412">
        <f t="shared" si="6"/>
        <v>0</v>
      </c>
    </row>
    <row r="413" spans="1:4" x14ac:dyDescent="0.35">
      <c r="A413" t="s">
        <v>444</v>
      </c>
      <c r="B413">
        <v>0</v>
      </c>
      <c r="C413">
        <f>Earnings!C413/160</f>
        <v>3121.0025000000001</v>
      </c>
      <c r="D413">
        <f t="shared" si="6"/>
        <v>0</v>
      </c>
    </row>
    <row r="414" spans="1:4" x14ac:dyDescent="0.35">
      <c r="A414" t="s">
        <v>445</v>
      </c>
      <c r="B414">
        <v>23</v>
      </c>
      <c r="C414">
        <f>Earnings!C414/160</f>
        <v>2037.7099999999998</v>
      </c>
      <c r="D414">
        <f t="shared" si="6"/>
        <v>93734.659999999989</v>
      </c>
    </row>
    <row r="415" spans="1:4" x14ac:dyDescent="0.35">
      <c r="A415" t="s">
        <v>446</v>
      </c>
      <c r="B415">
        <v>0</v>
      </c>
      <c r="C415">
        <f>Earnings!C415/160</f>
        <v>2305.0425</v>
      </c>
      <c r="D415">
        <f t="shared" si="6"/>
        <v>0</v>
      </c>
    </row>
    <row r="416" spans="1:4" x14ac:dyDescent="0.35">
      <c r="A416" t="s">
        <v>447</v>
      </c>
      <c r="B416">
        <v>25</v>
      </c>
      <c r="C416">
        <f>Earnings!C416/160</f>
        <v>1985.464375</v>
      </c>
      <c r="D416">
        <f t="shared" si="6"/>
        <v>99273.21875</v>
      </c>
    </row>
    <row r="417" spans="1:4" x14ac:dyDescent="0.35">
      <c r="A417" t="s">
        <v>448</v>
      </c>
      <c r="B417">
        <v>26</v>
      </c>
      <c r="C417">
        <f>Earnings!C417/160</f>
        <v>2538.6351250000007</v>
      </c>
      <c r="D417">
        <f t="shared" si="6"/>
        <v>132009.02650000004</v>
      </c>
    </row>
    <row r="418" spans="1:4" x14ac:dyDescent="0.35">
      <c r="A418" t="s">
        <v>449</v>
      </c>
      <c r="B418">
        <v>0</v>
      </c>
      <c r="C418">
        <f>Earnings!C418/160</f>
        <v>2031.69</v>
      </c>
      <c r="D418">
        <f t="shared" si="6"/>
        <v>0</v>
      </c>
    </row>
    <row r="419" spans="1:4" x14ac:dyDescent="0.35">
      <c r="A419" t="s">
        <v>450</v>
      </c>
      <c r="B419">
        <v>0</v>
      </c>
      <c r="C419">
        <f>Earnings!C419/160</f>
        <v>1408.1849999999999</v>
      </c>
      <c r="D419">
        <f t="shared" si="6"/>
        <v>0</v>
      </c>
    </row>
    <row r="420" spans="1:4" x14ac:dyDescent="0.35">
      <c r="A420" t="s">
        <v>451</v>
      </c>
      <c r="B420">
        <v>15</v>
      </c>
      <c r="C420">
        <f>Earnings!C420/160</f>
        <v>3316.8050000000003</v>
      </c>
      <c r="D420">
        <f t="shared" si="6"/>
        <v>99504.150000000009</v>
      </c>
    </row>
    <row r="421" spans="1:4" x14ac:dyDescent="0.35">
      <c r="A421" t="s">
        <v>452</v>
      </c>
      <c r="B421">
        <v>18</v>
      </c>
      <c r="C421">
        <f>Earnings!C421/160</f>
        <v>1783.8815</v>
      </c>
      <c r="D421">
        <f t="shared" si="6"/>
        <v>64219.733999999997</v>
      </c>
    </row>
    <row r="422" spans="1:4" x14ac:dyDescent="0.35">
      <c r="A422" t="s">
        <v>453</v>
      </c>
      <c r="B422">
        <v>24</v>
      </c>
      <c r="C422">
        <f>Earnings!C422/160</f>
        <v>2120.1675</v>
      </c>
      <c r="D422">
        <f t="shared" si="6"/>
        <v>101768.04000000001</v>
      </c>
    </row>
    <row r="423" spans="1:4" x14ac:dyDescent="0.35">
      <c r="A423" t="s">
        <v>454</v>
      </c>
      <c r="B423">
        <v>8</v>
      </c>
      <c r="C423">
        <f>Earnings!C423/160</f>
        <v>1891.6779999999999</v>
      </c>
      <c r="D423">
        <f t="shared" si="6"/>
        <v>30266.847999999998</v>
      </c>
    </row>
    <row r="424" spans="1:4" x14ac:dyDescent="0.35">
      <c r="A424" t="s">
        <v>455</v>
      </c>
      <c r="B424">
        <v>0</v>
      </c>
      <c r="C424">
        <f>Earnings!C424/160</f>
        <v>3032.6588750000001</v>
      </c>
      <c r="D424">
        <f t="shared" si="6"/>
        <v>0</v>
      </c>
    </row>
    <row r="425" spans="1:4" x14ac:dyDescent="0.35">
      <c r="A425" t="s">
        <v>456</v>
      </c>
      <c r="B425">
        <v>0</v>
      </c>
      <c r="C425">
        <f>Earnings!C425/160</f>
        <v>850.51599999999996</v>
      </c>
      <c r="D425">
        <f t="shared" si="6"/>
        <v>0</v>
      </c>
    </row>
    <row r="426" spans="1:4" x14ac:dyDescent="0.35">
      <c r="A426" t="s">
        <v>457</v>
      </c>
      <c r="B426">
        <v>0</v>
      </c>
      <c r="C426">
        <f>Earnings!C426/160</f>
        <v>3335.50225</v>
      </c>
      <c r="D426">
        <f t="shared" si="6"/>
        <v>0</v>
      </c>
    </row>
    <row r="427" spans="1:4" x14ac:dyDescent="0.35">
      <c r="A427" t="s">
        <v>458</v>
      </c>
      <c r="B427">
        <v>30</v>
      </c>
      <c r="C427">
        <f>Earnings!C427/160</f>
        <v>1946.16525</v>
      </c>
      <c r="D427">
        <f t="shared" si="6"/>
        <v>116769.91500000001</v>
      </c>
    </row>
    <row r="428" spans="1:4" x14ac:dyDescent="0.35">
      <c r="A428" t="s">
        <v>459</v>
      </c>
      <c r="B428">
        <v>0</v>
      </c>
      <c r="C428">
        <f>Earnings!C428/160</f>
        <v>2174.129625</v>
      </c>
      <c r="D428">
        <f t="shared" si="6"/>
        <v>0</v>
      </c>
    </row>
    <row r="429" spans="1:4" x14ac:dyDescent="0.35">
      <c r="A429" t="s">
        <v>460</v>
      </c>
      <c r="B429">
        <v>23</v>
      </c>
      <c r="C429">
        <f>Earnings!C429/160</f>
        <v>1916.6950000000002</v>
      </c>
      <c r="D429">
        <f t="shared" si="6"/>
        <v>88167.97</v>
      </c>
    </row>
    <row r="430" spans="1:4" x14ac:dyDescent="0.35">
      <c r="A430" t="s">
        <v>461</v>
      </c>
      <c r="B430">
        <v>0</v>
      </c>
      <c r="C430">
        <f>Earnings!C430/160</f>
        <v>2043.79675</v>
      </c>
      <c r="D430">
        <f t="shared" si="6"/>
        <v>0</v>
      </c>
    </row>
    <row r="431" spans="1:4" x14ac:dyDescent="0.35">
      <c r="A431" t="s">
        <v>462</v>
      </c>
      <c r="B431">
        <v>0</v>
      </c>
      <c r="C431">
        <f>Earnings!C431/160</f>
        <v>1884.06375</v>
      </c>
      <c r="D431">
        <f t="shared" si="6"/>
        <v>0</v>
      </c>
    </row>
    <row r="432" spans="1:4" x14ac:dyDescent="0.35">
      <c r="A432" t="s">
        <v>463</v>
      </c>
      <c r="B432">
        <v>0</v>
      </c>
      <c r="C432">
        <f>Earnings!C432/160</f>
        <v>966.921875</v>
      </c>
      <c r="D432">
        <f t="shared" si="6"/>
        <v>0</v>
      </c>
    </row>
    <row r="433" spans="1:4" x14ac:dyDescent="0.35">
      <c r="A433" t="s">
        <v>464</v>
      </c>
      <c r="B433">
        <v>0</v>
      </c>
      <c r="C433">
        <f>Earnings!C433/160</f>
        <v>2316.8599999999997</v>
      </c>
      <c r="D433">
        <f t="shared" si="6"/>
        <v>0</v>
      </c>
    </row>
    <row r="434" spans="1:4" x14ac:dyDescent="0.35">
      <c r="A434" t="s">
        <v>465</v>
      </c>
      <c r="B434">
        <v>0</v>
      </c>
      <c r="C434">
        <f>Earnings!C434/160</f>
        <v>2164.6349999999998</v>
      </c>
      <c r="D434">
        <f t="shared" si="6"/>
        <v>0</v>
      </c>
    </row>
    <row r="435" spans="1:4" x14ac:dyDescent="0.35">
      <c r="A435" t="s">
        <v>466</v>
      </c>
      <c r="B435">
        <v>0</v>
      </c>
      <c r="C435">
        <f>Earnings!C435/160</f>
        <v>2237.5563750000001</v>
      </c>
      <c r="D435">
        <f t="shared" si="6"/>
        <v>0</v>
      </c>
    </row>
    <row r="436" spans="1:4" x14ac:dyDescent="0.35">
      <c r="A436" t="s">
        <v>467</v>
      </c>
      <c r="B436">
        <v>0</v>
      </c>
      <c r="C436">
        <f>Earnings!C436/160</f>
        <v>2381.6724999999997</v>
      </c>
      <c r="D436">
        <f t="shared" si="6"/>
        <v>0</v>
      </c>
    </row>
    <row r="437" spans="1:4" x14ac:dyDescent="0.35">
      <c r="A437" t="s">
        <v>468</v>
      </c>
      <c r="B437">
        <v>0</v>
      </c>
      <c r="C437">
        <f>Earnings!C437/160</f>
        <v>1925.655</v>
      </c>
      <c r="D437">
        <f t="shared" si="6"/>
        <v>0</v>
      </c>
    </row>
    <row r="438" spans="1:4" x14ac:dyDescent="0.35">
      <c r="A438" t="s">
        <v>469</v>
      </c>
      <c r="B438">
        <v>0</v>
      </c>
      <c r="C438">
        <f>Earnings!C438/160</f>
        <v>1337.8049999999998</v>
      </c>
      <c r="D438">
        <f t="shared" si="6"/>
        <v>0</v>
      </c>
    </row>
    <row r="439" spans="1:4" x14ac:dyDescent="0.35">
      <c r="A439" t="s">
        <v>470</v>
      </c>
      <c r="B439">
        <v>0</v>
      </c>
      <c r="C439">
        <f>Earnings!C439/160</f>
        <v>2569.2037499999997</v>
      </c>
      <c r="D439">
        <f t="shared" si="6"/>
        <v>0</v>
      </c>
    </row>
    <row r="440" spans="1:4" x14ac:dyDescent="0.35">
      <c r="A440" t="s">
        <v>471</v>
      </c>
      <c r="B440">
        <v>25</v>
      </c>
      <c r="C440">
        <f>Earnings!C440/160</f>
        <v>1782.48975</v>
      </c>
      <c r="D440">
        <f t="shared" si="6"/>
        <v>89124.487500000003</v>
      </c>
    </row>
    <row r="441" spans="1:4" x14ac:dyDescent="0.35">
      <c r="A441" t="s">
        <v>472</v>
      </c>
      <c r="B441">
        <v>0</v>
      </c>
      <c r="C441">
        <f>Earnings!C441/160</f>
        <v>1571.21</v>
      </c>
      <c r="D441">
        <f t="shared" si="6"/>
        <v>0</v>
      </c>
    </row>
    <row r="442" spans="1:4" x14ac:dyDescent="0.35">
      <c r="A442" t="s">
        <v>473</v>
      </c>
      <c r="B442">
        <v>0</v>
      </c>
      <c r="C442">
        <f>Earnings!C442/160</f>
        <v>1257.08</v>
      </c>
      <c r="D442">
        <f t="shared" si="6"/>
        <v>0</v>
      </c>
    </row>
    <row r="443" spans="1:4" x14ac:dyDescent="0.35">
      <c r="A443" t="s">
        <v>474</v>
      </c>
      <c r="B443">
        <v>0</v>
      </c>
      <c r="C443">
        <f>Earnings!C443/160</f>
        <v>3250.0099999999998</v>
      </c>
      <c r="D443">
        <f t="shared" si="6"/>
        <v>0</v>
      </c>
    </row>
    <row r="444" spans="1:4" x14ac:dyDescent="0.35">
      <c r="A444" t="s">
        <v>475</v>
      </c>
      <c r="B444">
        <v>0</v>
      </c>
      <c r="C444">
        <f>Earnings!C444/160</f>
        <v>3369.2</v>
      </c>
      <c r="D444">
        <f t="shared" si="6"/>
        <v>0</v>
      </c>
    </row>
    <row r="445" spans="1:4" x14ac:dyDescent="0.35">
      <c r="A445" t="s">
        <v>476</v>
      </c>
      <c r="B445">
        <v>0</v>
      </c>
      <c r="C445">
        <f>Earnings!C445/160</f>
        <v>1972.2712500000002</v>
      </c>
      <c r="D445">
        <f t="shared" si="6"/>
        <v>0</v>
      </c>
    </row>
    <row r="446" spans="1:4" x14ac:dyDescent="0.35">
      <c r="A446" t="s">
        <v>477</v>
      </c>
      <c r="B446">
        <v>0</v>
      </c>
      <c r="C446">
        <f>Earnings!C446/160</f>
        <v>2416.1231250000001</v>
      </c>
      <c r="D446">
        <f t="shared" si="6"/>
        <v>0</v>
      </c>
    </row>
    <row r="447" spans="1:4" x14ac:dyDescent="0.35">
      <c r="A447" t="s">
        <v>478</v>
      </c>
      <c r="B447">
        <v>11</v>
      </c>
      <c r="C447">
        <f>Earnings!C447/160</f>
        <v>3212.4772499999999</v>
      </c>
      <c r="D447">
        <f t="shared" si="6"/>
        <v>70674.499500000005</v>
      </c>
    </row>
    <row r="448" spans="1:4" x14ac:dyDescent="0.35">
      <c r="A448" t="s">
        <v>479</v>
      </c>
      <c r="B448">
        <v>0</v>
      </c>
      <c r="C448">
        <f>Earnings!C448/160</f>
        <v>2227.714375</v>
      </c>
      <c r="D448">
        <f t="shared" si="6"/>
        <v>0</v>
      </c>
    </row>
    <row r="449" spans="1:4" x14ac:dyDescent="0.35">
      <c r="A449" t="s">
        <v>480</v>
      </c>
      <c r="B449">
        <v>0</v>
      </c>
      <c r="C449">
        <f>Earnings!C449/160</f>
        <v>2943.1424999999999</v>
      </c>
      <c r="D449">
        <f t="shared" si="6"/>
        <v>0</v>
      </c>
    </row>
    <row r="450" spans="1:4" x14ac:dyDescent="0.35">
      <c r="A450" t="s">
        <v>481</v>
      </c>
      <c r="B450">
        <v>30</v>
      </c>
      <c r="C450">
        <f>Earnings!C450/160</f>
        <v>2006.2325000000001</v>
      </c>
      <c r="D450">
        <f t="shared" ref="D450:D513" si="7">B450*C450*2</f>
        <v>120373.95000000001</v>
      </c>
    </row>
    <row r="451" spans="1:4" x14ac:dyDescent="0.35">
      <c r="A451" t="s">
        <v>482</v>
      </c>
      <c r="B451">
        <v>0</v>
      </c>
      <c r="C451">
        <f>Earnings!C451/160</f>
        <v>1494.247875</v>
      </c>
      <c r="D451">
        <f t="shared" si="7"/>
        <v>0</v>
      </c>
    </row>
    <row r="452" spans="1:4" x14ac:dyDescent="0.35">
      <c r="A452" t="s">
        <v>483</v>
      </c>
      <c r="B452">
        <v>14</v>
      </c>
      <c r="C452">
        <f>Earnings!C452/160</f>
        <v>2603.0474999999997</v>
      </c>
      <c r="D452">
        <f t="shared" si="7"/>
        <v>72885.329999999987</v>
      </c>
    </row>
    <row r="453" spans="1:4" x14ac:dyDescent="0.35">
      <c r="A453" t="s">
        <v>484</v>
      </c>
      <c r="B453">
        <v>0</v>
      </c>
      <c r="C453">
        <f>Earnings!C453/160</f>
        <v>3810.8775000000001</v>
      </c>
      <c r="D453">
        <f t="shared" si="7"/>
        <v>0</v>
      </c>
    </row>
    <row r="454" spans="1:4" x14ac:dyDescent="0.35">
      <c r="A454" t="s">
        <v>485</v>
      </c>
      <c r="B454">
        <v>30</v>
      </c>
      <c r="C454">
        <f>Earnings!C454/160</f>
        <v>2444.9603749999997</v>
      </c>
      <c r="D454">
        <f t="shared" si="7"/>
        <v>146697.62249999997</v>
      </c>
    </row>
    <row r="455" spans="1:4" x14ac:dyDescent="0.35">
      <c r="A455" t="s">
        <v>486</v>
      </c>
      <c r="B455">
        <v>22</v>
      </c>
      <c r="C455">
        <f>Earnings!C455/160</f>
        <v>1538.3017500000001</v>
      </c>
      <c r="D455">
        <f t="shared" si="7"/>
        <v>67685.277000000002</v>
      </c>
    </row>
    <row r="456" spans="1:4" x14ac:dyDescent="0.35">
      <c r="A456" t="s">
        <v>487</v>
      </c>
      <c r="B456">
        <v>5</v>
      </c>
      <c r="C456">
        <f>Earnings!C456/160</f>
        <v>749.40750000000003</v>
      </c>
      <c r="D456">
        <f t="shared" si="7"/>
        <v>7494.0750000000007</v>
      </c>
    </row>
    <row r="457" spans="1:4" x14ac:dyDescent="0.35">
      <c r="A457" t="s">
        <v>488</v>
      </c>
      <c r="B457">
        <v>25</v>
      </c>
      <c r="C457">
        <f>Earnings!C457/160</f>
        <v>1670.2849999999999</v>
      </c>
      <c r="D457">
        <f t="shared" si="7"/>
        <v>83514.25</v>
      </c>
    </row>
    <row r="458" spans="1:4" x14ac:dyDescent="0.35">
      <c r="A458" t="s">
        <v>489</v>
      </c>
      <c r="B458">
        <v>9</v>
      </c>
      <c r="C458">
        <f>Earnings!C458/160</f>
        <v>2192.5216250000003</v>
      </c>
      <c r="D458">
        <f t="shared" si="7"/>
        <v>39465.389250000007</v>
      </c>
    </row>
    <row r="459" spans="1:4" x14ac:dyDescent="0.35">
      <c r="A459" t="s">
        <v>490</v>
      </c>
      <c r="B459">
        <v>13</v>
      </c>
      <c r="C459">
        <f>Earnings!C459/160</f>
        <v>1139.1849999999999</v>
      </c>
      <c r="D459">
        <f t="shared" si="7"/>
        <v>29618.809999999998</v>
      </c>
    </row>
    <row r="460" spans="1:4" x14ac:dyDescent="0.35">
      <c r="A460" t="s">
        <v>491</v>
      </c>
      <c r="B460">
        <v>0</v>
      </c>
      <c r="C460">
        <f>Earnings!C460/160</f>
        <v>1535.3325</v>
      </c>
      <c r="D460">
        <f t="shared" si="7"/>
        <v>0</v>
      </c>
    </row>
    <row r="461" spans="1:4" x14ac:dyDescent="0.35">
      <c r="A461" t="s">
        <v>492</v>
      </c>
      <c r="B461">
        <v>25</v>
      </c>
      <c r="C461">
        <f>Earnings!C461/160</f>
        <v>2092.7526250000001</v>
      </c>
      <c r="D461">
        <f t="shared" si="7"/>
        <v>104637.63125000001</v>
      </c>
    </row>
    <row r="462" spans="1:4" x14ac:dyDescent="0.35">
      <c r="A462" t="s">
        <v>493</v>
      </c>
      <c r="B462">
        <v>23</v>
      </c>
      <c r="C462">
        <f>Earnings!C462/160</f>
        <v>1241.4837499999999</v>
      </c>
      <c r="D462">
        <f t="shared" si="7"/>
        <v>57108.252499999995</v>
      </c>
    </row>
    <row r="463" spans="1:4" x14ac:dyDescent="0.35">
      <c r="A463" t="s">
        <v>494</v>
      </c>
      <c r="B463">
        <v>20</v>
      </c>
      <c r="C463">
        <f>Earnings!C463/160</f>
        <v>2471.7147500000001</v>
      </c>
      <c r="D463">
        <f t="shared" si="7"/>
        <v>98868.59</v>
      </c>
    </row>
    <row r="464" spans="1:4" x14ac:dyDescent="0.35">
      <c r="A464" t="s">
        <v>495</v>
      </c>
      <c r="B464">
        <v>23</v>
      </c>
      <c r="C464">
        <f>Earnings!C464/160</f>
        <v>3296.3836249999999</v>
      </c>
      <c r="D464">
        <f t="shared" si="7"/>
        <v>151633.64674999999</v>
      </c>
    </row>
    <row r="465" spans="1:4" x14ac:dyDescent="0.35">
      <c r="A465" t="s">
        <v>496</v>
      </c>
      <c r="B465">
        <v>0</v>
      </c>
      <c r="C465">
        <f>Earnings!C465/160</f>
        <v>2241.3136249999998</v>
      </c>
      <c r="D465">
        <f t="shared" si="7"/>
        <v>0</v>
      </c>
    </row>
    <row r="466" spans="1:4" x14ac:dyDescent="0.35">
      <c r="A466" t="s">
        <v>497</v>
      </c>
      <c r="B466">
        <v>0</v>
      </c>
      <c r="C466">
        <f>Earnings!C466/160</f>
        <v>1982.5625</v>
      </c>
      <c r="D466">
        <f t="shared" si="7"/>
        <v>0</v>
      </c>
    </row>
    <row r="467" spans="1:4" x14ac:dyDescent="0.35">
      <c r="A467" t="s">
        <v>498</v>
      </c>
      <c r="B467">
        <v>5</v>
      </c>
      <c r="C467">
        <f>Earnings!C467/160</f>
        <v>2745.312375</v>
      </c>
      <c r="D467">
        <f t="shared" si="7"/>
        <v>27453.123749999999</v>
      </c>
    </row>
    <row r="468" spans="1:4" x14ac:dyDescent="0.35">
      <c r="A468" t="s">
        <v>499</v>
      </c>
      <c r="B468">
        <v>5</v>
      </c>
      <c r="C468">
        <f>Earnings!C468/160</f>
        <v>2260.2471249999999</v>
      </c>
      <c r="D468">
        <f t="shared" si="7"/>
        <v>22602.471249999999</v>
      </c>
    </row>
    <row r="469" spans="1:4" x14ac:dyDescent="0.35">
      <c r="A469" t="s">
        <v>500</v>
      </c>
      <c r="B469">
        <v>0</v>
      </c>
      <c r="C469">
        <f>Earnings!C469/160</f>
        <v>2762.4375</v>
      </c>
      <c r="D469">
        <f t="shared" si="7"/>
        <v>0</v>
      </c>
    </row>
    <row r="470" spans="1:4" x14ac:dyDescent="0.35">
      <c r="A470" t="s">
        <v>501</v>
      </c>
      <c r="B470">
        <v>0</v>
      </c>
      <c r="C470">
        <f>Earnings!C470/160</f>
        <v>1932.9388749999998</v>
      </c>
      <c r="D470">
        <f t="shared" si="7"/>
        <v>0</v>
      </c>
    </row>
    <row r="471" spans="1:4" x14ac:dyDescent="0.35">
      <c r="A471" t="s">
        <v>502</v>
      </c>
      <c r="B471">
        <v>17</v>
      </c>
      <c r="C471">
        <f>Earnings!C471/160</f>
        <v>1890.8087500000001</v>
      </c>
      <c r="D471">
        <f t="shared" si="7"/>
        <v>64287.497500000005</v>
      </c>
    </row>
    <row r="472" spans="1:4" x14ac:dyDescent="0.35">
      <c r="A472" t="s">
        <v>503</v>
      </c>
      <c r="B472">
        <v>0</v>
      </c>
      <c r="C472">
        <f>Earnings!C472/160</f>
        <v>970.7432500000001</v>
      </c>
      <c r="D472">
        <f t="shared" si="7"/>
        <v>0</v>
      </c>
    </row>
    <row r="473" spans="1:4" x14ac:dyDescent="0.35">
      <c r="A473" t="s">
        <v>504</v>
      </c>
      <c r="B473">
        <v>0</v>
      </c>
      <c r="C473">
        <f>Earnings!C473/160</f>
        <v>1778.5825</v>
      </c>
      <c r="D473">
        <f t="shared" si="7"/>
        <v>0</v>
      </c>
    </row>
    <row r="474" spans="1:4" x14ac:dyDescent="0.35">
      <c r="A474" t="s">
        <v>505</v>
      </c>
      <c r="B474">
        <v>10</v>
      </c>
      <c r="C474">
        <f>Earnings!C474/160</f>
        <v>3235.4375</v>
      </c>
      <c r="D474">
        <f t="shared" si="7"/>
        <v>64708.75</v>
      </c>
    </row>
    <row r="475" spans="1:4" x14ac:dyDescent="0.35">
      <c r="A475" t="s">
        <v>506</v>
      </c>
      <c r="B475">
        <v>19</v>
      </c>
      <c r="C475">
        <f>Earnings!C475/160</f>
        <v>2259.04</v>
      </c>
      <c r="D475">
        <f t="shared" si="7"/>
        <v>85843.520000000004</v>
      </c>
    </row>
    <row r="476" spans="1:4" x14ac:dyDescent="0.35">
      <c r="A476" t="s">
        <v>507</v>
      </c>
      <c r="B476">
        <v>6</v>
      </c>
      <c r="C476">
        <f>Earnings!C476/160</f>
        <v>2950.7356250000003</v>
      </c>
      <c r="D476">
        <f t="shared" si="7"/>
        <v>35408.827499999999</v>
      </c>
    </row>
    <row r="477" spans="1:4" x14ac:dyDescent="0.35">
      <c r="A477" t="s">
        <v>508</v>
      </c>
      <c r="B477">
        <v>0</v>
      </c>
      <c r="C477">
        <f>Earnings!C477/160</f>
        <v>2776.7950000000001</v>
      </c>
      <c r="D477">
        <f t="shared" si="7"/>
        <v>0</v>
      </c>
    </row>
    <row r="478" spans="1:4" x14ac:dyDescent="0.35">
      <c r="A478" t="s">
        <v>509</v>
      </c>
      <c r="B478">
        <v>0</v>
      </c>
      <c r="C478">
        <f>Earnings!C478/160</f>
        <v>1434.348</v>
      </c>
      <c r="D478">
        <f t="shared" si="7"/>
        <v>0</v>
      </c>
    </row>
    <row r="479" spans="1:4" x14ac:dyDescent="0.35">
      <c r="A479" t="s">
        <v>510</v>
      </c>
      <c r="B479">
        <v>0</v>
      </c>
      <c r="C479">
        <f>Earnings!C479/160</f>
        <v>2488.9572499999999</v>
      </c>
      <c r="D479">
        <f t="shared" si="7"/>
        <v>0</v>
      </c>
    </row>
    <row r="480" spans="1:4" x14ac:dyDescent="0.35">
      <c r="A480" t="s">
        <v>511</v>
      </c>
      <c r="B480">
        <v>0</v>
      </c>
      <c r="C480">
        <f>Earnings!C480/160</f>
        <v>2054.5531249999999</v>
      </c>
      <c r="D480">
        <f t="shared" si="7"/>
        <v>0</v>
      </c>
    </row>
    <row r="481" spans="1:4" x14ac:dyDescent="0.35">
      <c r="A481" t="s">
        <v>512</v>
      </c>
      <c r="B481">
        <v>26</v>
      </c>
      <c r="C481">
        <f>Earnings!C481/160</f>
        <v>2366.6099999999997</v>
      </c>
      <c r="D481">
        <f t="shared" si="7"/>
        <v>123063.71999999999</v>
      </c>
    </row>
    <row r="482" spans="1:4" x14ac:dyDescent="0.35">
      <c r="A482" t="s">
        <v>513</v>
      </c>
      <c r="B482">
        <v>0</v>
      </c>
      <c r="C482">
        <f>Earnings!C482/160</f>
        <v>1345.086</v>
      </c>
      <c r="D482">
        <f t="shared" si="7"/>
        <v>0</v>
      </c>
    </row>
    <row r="483" spans="1:4" x14ac:dyDescent="0.35">
      <c r="A483" t="s">
        <v>514</v>
      </c>
      <c r="B483">
        <v>8</v>
      </c>
      <c r="C483">
        <f>Earnings!C483/160</f>
        <v>3134.6549999999997</v>
      </c>
      <c r="D483">
        <f t="shared" si="7"/>
        <v>50154.479999999996</v>
      </c>
    </row>
    <row r="484" spans="1:4" x14ac:dyDescent="0.35">
      <c r="A484" t="s">
        <v>515</v>
      </c>
      <c r="B484">
        <v>0</v>
      </c>
      <c r="C484">
        <f>Earnings!C484/160</f>
        <v>2960.8270000000007</v>
      </c>
      <c r="D484">
        <f t="shared" si="7"/>
        <v>0</v>
      </c>
    </row>
    <row r="485" spans="1:4" x14ac:dyDescent="0.35">
      <c r="A485" t="s">
        <v>516</v>
      </c>
      <c r="B485">
        <v>18</v>
      </c>
      <c r="C485">
        <f>Earnings!C485/160</f>
        <v>1331.9760000000001</v>
      </c>
      <c r="D485">
        <f t="shared" si="7"/>
        <v>47951.136000000006</v>
      </c>
    </row>
    <row r="486" spans="1:4" x14ac:dyDescent="0.35">
      <c r="A486" t="s">
        <v>517</v>
      </c>
      <c r="B486">
        <v>12</v>
      </c>
      <c r="C486">
        <f>Earnings!C486/160</f>
        <v>2732.9900000000002</v>
      </c>
      <c r="D486">
        <f t="shared" si="7"/>
        <v>65591.760000000009</v>
      </c>
    </row>
    <row r="487" spans="1:4" x14ac:dyDescent="0.35">
      <c r="A487" t="s">
        <v>518</v>
      </c>
      <c r="B487">
        <v>30</v>
      </c>
      <c r="C487">
        <f>Earnings!C487/160</f>
        <v>3526.4926250000003</v>
      </c>
      <c r="D487">
        <f t="shared" si="7"/>
        <v>211589.55750000002</v>
      </c>
    </row>
    <row r="488" spans="1:4" x14ac:dyDescent="0.35">
      <c r="A488" t="s">
        <v>519</v>
      </c>
      <c r="B488">
        <v>24</v>
      </c>
      <c r="C488">
        <f>Earnings!C488/160</f>
        <v>873.37999999999988</v>
      </c>
      <c r="D488">
        <f t="shared" si="7"/>
        <v>41922.239999999991</v>
      </c>
    </row>
    <row r="489" spans="1:4" x14ac:dyDescent="0.35">
      <c r="A489" t="s">
        <v>520</v>
      </c>
      <c r="B489">
        <v>28</v>
      </c>
      <c r="C489">
        <f>Earnings!C489/160</f>
        <v>2023.4810000000002</v>
      </c>
      <c r="D489">
        <f t="shared" si="7"/>
        <v>113314.93600000002</v>
      </c>
    </row>
    <row r="490" spans="1:4" x14ac:dyDescent="0.35">
      <c r="A490" t="s">
        <v>521</v>
      </c>
      <c r="B490">
        <v>6</v>
      </c>
      <c r="C490">
        <f>Earnings!C490/160</f>
        <v>1438.416375</v>
      </c>
      <c r="D490">
        <f t="shared" si="7"/>
        <v>17260.996500000001</v>
      </c>
    </row>
    <row r="491" spans="1:4" x14ac:dyDescent="0.35">
      <c r="A491" t="s">
        <v>522</v>
      </c>
      <c r="B491">
        <v>0</v>
      </c>
      <c r="C491">
        <f>Earnings!C491/160</f>
        <v>2178.96</v>
      </c>
      <c r="D491">
        <f t="shared" si="7"/>
        <v>0</v>
      </c>
    </row>
    <row r="492" spans="1:4" x14ac:dyDescent="0.35">
      <c r="A492" t="s">
        <v>523</v>
      </c>
      <c r="B492">
        <v>14</v>
      </c>
      <c r="C492">
        <f>Earnings!C492/160</f>
        <v>2683.9138749999997</v>
      </c>
      <c r="D492">
        <f t="shared" si="7"/>
        <v>75149.588499999998</v>
      </c>
    </row>
    <row r="493" spans="1:4" x14ac:dyDescent="0.35">
      <c r="A493" t="s">
        <v>524</v>
      </c>
      <c r="B493">
        <v>12</v>
      </c>
      <c r="C493">
        <f>Earnings!C493/160</f>
        <v>2217.7725</v>
      </c>
      <c r="D493">
        <f t="shared" si="7"/>
        <v>53226.54</v>
      </c>
    </row>
    <row r="494" spans="1:4" x14ac:dyDescent="0.35">
      <c r="A494" t="s">
        <v>525</v>
      </c>
      <c r="B494">
        <v>24</v>
      </c>
      <c r="C494">
        <f>Earnings!C494/160</f>
        <v>2551.0753750000008</v>
      </c>
      <c r="D494">
        <f t="shared" si="7"/>
        <v>122451.61800000005</v>
      </c>
    </row>
    <row r="495" spans="1:4" x14ac:dyDescent="0.35">
      <c r="A495" t="s">
        <v>526</v>
      </c>
      <c r="B495">
        <v>0</v>
      </c>
      <c r="C495">
        <f>Earnings!C495/160</f>
        <v>1531.415</v>
      </c>
      <c r="D495">
        <f t="shared" si="7"/>
        <v>0</v>
      </c>
    </row>
    <row r="496" spans="1:4" x14ac:dyDescent="0.35">
      <c r="A496" t="s">
        <v>527</v>
      </c>
      <c r="B496">
        <v>0</v>
      </c>
      <c r="C496">
        <f>Earnings!C496/160</f>
        <v>1805.6198749999999</v>
      </c>
      <c r="D496">
        <f t="shared" si="7"/>
        <v>0</v>
      </c>
    </row>
    <row r="497" spans="1:4" x14ac:dyDescent="0.35">
      <c r="A497" t="s">
        <v>528</v>
      </c>
      <c r="B497">
        <v>0</v>
      </c>
      <c r="C497">
        <f>Earnings!C497/160</f>
        <v>2186.7384999999999</v>
      </c>
      <c r="D497">
        <f t="shared" si="7"/>
        <v>0</v>
      </c>
    </row>
    <row r="498" spans="1:4" x14ac:dyDescent="0.35">
      <c r="A498" t="s">
        <v>529</v>
      </c>
      <c r="B498">
        <v>29</v>
      </c>
      <c r="C498">
        <f>Earnings!C498/160</f>
        <v>2331.8625000000002</v>
      </c>
      <c r="D498">
        <f t="shared" si="7"/>
        <v>135248.02500000002</v>
      </c>
    </row>
    <row r="499" spans="1:4" x14ac:dyDescent="0.35">
      <c r="A499" t="s">
        <v>530</v>
      </c>
      <c r="B499">
        <v>0</v>
      </c>
      <c r="C499">
        <f>Earnings!C499/160</f>
        <v>2770.1572499999997</v>
      </c>
      <c r="D499">
        <f t="shared" si="7"/>
        <v>0</v>
      </c>
    </row>
    <row r="500" spans="1:4" x14ac:dyDescent="0.35">
      <c r="A500" t="s">
        <v>531</v>
      </c>
      <c r="B500">
        <v>11</v>
      </c>
      <c r="C500">
        <f>Earnings!C500/160</f>
        <v>2424.33</v>
      </c>
      <c r="D500">
        <f t="shared" si="7"/>
        <v>53335.259999999995</v>
      </c>
    </row>
    <row r="501" spans="1:4" x14ac:dyDescent="0.35">
      <c r="A501" t="s">
        <v>532</v>
      </c>
      <c r="B501">
        <v>0</v>
      </c>
      <c r="C501">
        <f>Earnings!C501/160</f>
        <v>2600.645</v>
      </c>
      <c r="D501">
        <f t="shared" si="7"/>
        <v>0</v>
      </c>
    </row>
    <row r="502" spans="1:4" x14ac:dyDescent="0.35">
      <c r="A502" t="s">
        <v>533</v>
      </c>
      <c r="B502">
        <v>8</v>
      </c>
      <c r="C502">
        <f>Earnings!C502/160</f>
        <v>1505.7238750000001</v>
      </c>
      <c r="D502">
        <f t="shared" si="7"/>
        <v>24091.582000000002</v>
      </c>
    </row>
    <row r="503" spans="1:4" x14ac:dyDescent="0.35">
      <c r="A503" t="s">
        <v>534</v>
      </c>
      <c r="B503">
        <v>18</v>
      </c>
      <c r="C503">
        <f>Earnings!C503/160</f>
        <v>1004.237875</v>
      </c>
      <c r="D503">
        <f t="shared" si="7"/>
        <v>36152.563500000004</v>
      </c>
    </row>
    <row r="504" spans="1:4" x14ac:dyDescent="0.35">
      <c r="A504" t="s">
        <v>535</v>
      </c>
      <c r="B504">
        <v>9</v>
      </c>
      <c r="C504">
        <f>Earnings!C504/160</f>
        <v>1278.155</v>
      </c>
      <c r="D504">
        <f t="shared" si="7"/>
        <v>23006.79</v>
      </c>
    </row>
    <row r="505" spans="1:4" x14ac:dyDescent="0.35">
      <c r="A505" t="s">
        <v>536</v>
      </c>
      <c r="B505">
        <v>0</v>
      </c>
      <c r="C505">
        <f>Earnings!C505/160</f>
        <v>2115.4504999999999</v>
      </c>
      <c r="D505">
        <f t="shared" si="7"/>
        <v>0</v>
      </c>
    </row>
    <row r="506" spans="1:4" x14ac:dyDescent="0.35">
      <c r="A506" t="s">
        <v>537</v>
      </c>
      <c r="B506">
        <v>29</v>
      </c>
      <c r="C506">
        <f>Earnings!C506/160</f>
        <v>2397.7925</v>
      </c>
      <c r="D506">
        <f t="shared" si="7"/>
        <v>139071.965</v>
      </c>
    </row>
    <row r="507" spans="1:4" x14ac:dyDescent="0.35">
      <c r="A507" t="s">
        <v>538</v>
      </c>
      <c r="B507">
        <v>0</v>
      </c>
      <c r="C507">
        <f>Earnings!C507/160</f>
        <v>2070.5368750000002</v>
      </c>
      <c r="D507">
        <f t="shared" si="7"/>
        <v>0</v>
      </c>
    </row>
    <row r="508" spans="1:4" x14ac:dyDescent="0.35">
      <c r="A508" t="s">
        <v>539</v>
      </c>
      <c r="B508">
        <v>8</v>
      </c>
      <c r="C508">
        <f>Earnings!C508/160</f>
        <v>2164.3849999999998</v>
      </c>
      <c r="D508">
        <f t="shared" si="7"/>
        <v>34630.159999999996</v>
      </c>
    </row>
    <row r="509" spans="1:4" x14ac:dyDescent="0.35">
      <c r="A509" t="s">
        <v>540</v>
      </c>
      <c r="B509">
        <v>21</v>
      </c>
      <c r="C509">
        <f>Earnings!C509/160</f>
        <v>2577.7086250000002</v>
      </c>
      <c r="D509">
        <f t="shared" si="7"/>
        <v>108263.76225000001</v>
      </c>
    </row>
    <row r="510" spans="1:4" x14ac:dyDescent="0.35">
      <c r="A510" t="s">
        <v>541</v>
      </c>
      <c r="B510">
        <v>0</v>
      </c>
      <c r="C510">
        <f>Earnings!C510/160</f>
        <v>1436.6224999999999</v>
      </c>
      <c r="D510">
        <f t="shared" si="7"/>
        <v>0</v>
      </c>
    </row>
    <row r="511" spans="1:4" x14ac:dyDescent="0.35">
      <c r="A511" t="s">
        <v>542</v>
      </c>
      <c r="B511">
        <v>15</v>
      </c>
      <c r="C511">
        <f>Earnings!C511/160</f>
        <v>1317.145</v>
      </c>
      <c r="D511">
        <f t="shared" si="7"/>
        <v>39514.35</v>
      </c>
    </row>
    <row r="512" spans="1:4" x14ac:dyDescent="0.35">
      <c r="A512" t="s">
        <v>543</v>
      </c>
      <c r="B512">
        <v>0</v>
      </c>
      <c r="C512">
        <f>Earnings!C512/160</f>
        <v>1924.878125</v>
      </c>
      <c r="D512">
        <f t="shared" si="7"/>
        <v>0</v>
      </c>
    </row>
    <row r="513" spans="1:4" x14ac:dyDescent="0.35">
      <c r="A513" t="s">
        <v>544</v>
      </c>
      <c r="B513">
        <v>16</v>
      </c>
      <c r="C513">
        <f>Earnings!C513/160</f>
        <v>1452.1575</v>
      </c>
      <c r="D513">
        <f t="shared" si="7"/>
        <v>46469.04</v>
      </c>
    </row>
    <row r="514" spans="1:4" x14ac:dyDescent="0.35">
      <c r="A514" t="s">
        <v>545</v>
      </c>
      <c r="B514">
        <v>0</v>
      </c>
      <c r="C514">
        <f>Earnings!C514/160</f>
        <v>2303.3462500000001</v>
      </c>
      <c r="D514">
        <f t="shared" ref="D514:D577" si="8">B514*C514*2</f>
        <v>0</v>
      </c>
    </row>
    <row r="515" spans="1:4" x14ac:dyDescent="0.35">
      <c r="A515" t="s">
        <v>546</v>
      </c>
      <c r="B515">
        <v>30</v>
      </c>
      <c r="C515">
        <f>Earnings!C515/160</f>
        <v>2028.0932499999999</v>
      </c>
      <c r="D515">
        <f t="shared" si="8"/>
        <v>121685.595</v>
      </c>
    </row>
    <row r="516" spans="1:4" x14ac:dyDescent="0.35">
      <c r="A516" t="s">
        <v>547</v>
      </c>
      <c r="B516">
        <v>7</v>
      </c>
      <c r="C516">
        <f>Earnings!C516/160</f>
        <v>2569.2624999999998</v>
      </c>
      <c r="D516">
        <f t="shared" si="8"/>
        <v>35969.674999999996</v>
      </c>
    </row>
    <row r="517" spans="1:4" x14ac:dyDescent="0.35">
      <c r="A517" t="s">
        <v>548</v>
      </c>
      <c r="B517">
        <v>0</v>
      </c>
      <c r="C517">
        <f>Earnings!C517/160</f>
        <v>2193.124875</v>
      </c>
      <c r="D517">
        <f t="shared" si="8"/>
        <v>0</v>
      </c>
    </row>
    <row r="518" spans="1:4" x14ac:dyDescent="0.35">
      <c r="A518" t="s">
        <v>549</v>
      </c>
      <c r="B518">
        <v>0</v>
      </c>
      <c r="C518">
        <f>Earnings!C518/160</f>
        <v>3627.9700000000003</v>
      </c>
      <c r="D518">
        <f t="shared" si="8"/>
        <v>0</v>
      </c>
    </row>
    <row r="519" spans="1:4" x14ac:dyDescent="0.35">
      <c r="A519" t="s">
        <v>550</v>
      </c>
      <c r="B519">
        <v>0</v>
      </c>
      <c r="C519">
        <f>Earnings!C519/160</f>
        <v>3096.3874999999998</v>
      </c>
      <c r="D519">
        <f t="shared" si="8"/>
        <v>0</v>
      </c>
    </row>
    <row r="520" spans="1:4" x14ac:dyDescent="0.35">
      <c r="A520" t="s">
        <v>551</v>
      </c>
      <c r="B520">
        <v>0</v>
      </c>
      <c r="C520">
        <f>Earnings!C520/160</f>
        <v>2063.1814999999997</v>
      </c>
      <c r="D520">
        <f t="shared" si="8"/>
        <v>0</v>
      </c>
    </row>
    <row r="521" spans="1:4" x14ac:dyDescent="0.35">
      <c r="A521" t="s">
        <v>552</v>
      </c>
      <c r="B521">
        <v>0</v>
      </c>
      <c r="C521">
        <f>Earnings!C521/160</f>
        <v>2711.0791249999997</v>
      </c>
      <c r="D521">
        <f t="shared" si="8"/>
        <v>0</v>
      </c>
    </row>
    <row r="522" spans="1:4" x14ac:dyDescent="0.35">
      <c r="A522" t="s">
        <v>553</v>
      </c>
      <c r="B522">
        <v>17</v>
      </c>
      <c r="C522">
        <f>Earnings!C522/160</f>
        <v>2216.100625</v>
      </c>
      <c r="D522">
        <f t="shared" si="8"/>
        <v>75347.421249999999</v>
      </c>
    </row>
    <row r="523" spans="1:4" x14ac:dyDescent="0.35">
      <c r="A523" t="s">
        <v>554</v>
      </c>
      <c r="B523">
        <v>0</v>
      </c>
      <c r="C523">
        <f>Earnings!C523/160</f>
        <v>1560.7225000000001</v>
      </c>
      <c r="D523">
        <f t="shared" si="8"/>
        <v>0</v>
      </c>
    </row>
    <row r="524" spans="1:4" x14ac:dyDescent="0.35">
      <c r="A524" t="s">
        <v>555</v>
      </c>
      <c r="B524">
        <v>0</v>
      </c>
      <c r="C524">
        <f>Earnings!C524/160</f>
        <v>2426.7474999999999</v>
      </c>
      <c r="D524">
        <f t="shared" si="8"/>
        <v>0</v>
      </c>
    </row>
    <row r="525" spans="1:4" x14ac:dyDescent="0.35">
      <c r="A525" t="s">
        <v>556</v>
      </c>
      <c r="B525">
        <v>0</v>
      </c>
      <c r="C525">
        <f>Earnings!C525/160</f>
        <v>1709.075</v>
      </c>
      <c r="D525">
        <f t="shared" si="8"/>
        <v>0</v>
      </c>
    </row>
    <row r="526" spans="1:4" x14ac:dyDescent="0.35">
      <c r="A526" t="s">
        <v>557</v>
      </c>
      <c r="B526">
        <v>0</v>
      </c>
      <c r="C526">
        <f>Earnings!C526/160</f>
        <v>1887.1892500000001</v>
      </c>
      <c r="D526">
        <f t="shared" si="8"/>
        <v>0</v>
      </c>
    </row>
    <row r="527" spans="1:4" x14ac:dyDescent="0.35">
      <c r="A527" t="s">
        <v>558</v>
      </c>
      <c r="B527">
        <v>0</v>
      </c>
      <c r="C527">
        <f>Earnings!C527/160</f>
        <v>911.89312499999994</v>
      </c>
      <c r="D527">
        <f t="shared" si="8"/>
        <v>0</v>
      </c>
    </row>
    <row r="528" spans="1:4" x14ac:dyDescent="0.35">
      <c r="A528" t="s">
        <v>559</v>
      </c>
      <c r="B528">
        <v>0</v>
      </c>
      <c r="C528">
        <f>Earnings!C528/160</f>
        <v>1615.4132500000001</v>
      </c>
      <c r="D528">
        <f t="shared" si="8"/>
        <v>0</v>
      </c>
    </row>
    <row r="529" spans="1:4" x14ac:dyDescent="0.35">
      <c r="A529" t="s">
        <v>560</v>
      </c>
      <c r="B529">
        <v>5</v>
      </c>
      <c r="C529">
        <f>Earnings!C529/160</f>
        <v>2926.9974999999999</v>
      </c>
      <c r="D529">
        <f t="shared" si="8"/>
        <v>29269.974999999999</v>
      </c>
    </row>
    <row r="530" spans="1:4" x14ac:dyDescent="0.35">
      <c r="A530" t="s">
        <v>561</v>
      </c>
      <c r="B530">
        <v>19</v>
      </c>
      <c r="C530">
        <f>Earnings!C530/160</f>
        <v>1661.6675</v>
      </c>
      <c r="D530">
        <f t="shared" si="8"/>
        <v>63143.364999999998</v>
      </c>
    </row>
    <row r="531" spans="1:4" x14ac:dyDescent="0.35">
      <c r="A531" t="s">
        <v>562</v>
      </c>
      <c r="B531">
        <v>0</v>
      </c>
      <c r="C531">
        <f>Earnings!C531/160</f>
        <v>2605.9724999999999</v>
      </c>
      <c r="D531">
        <f t="shared" si="8"/>
        <v>0</v>
      </c>
    </row>
    <row r="532" spans="1:4" x14ac:dyDescent="0.35">
      <c r="A532" t="s">
        <v>563</v>
      </c>
      <c r="B532">
        <v>15</v>
      </c>
      <c r="C532">
        <f>Earnings!C532/160</f>
        <v>2073.781125</v>
      </c>
      <c r="D532">
        <f t="shared" si="8"/>
        <v>62213.433749999997</v>
      </c>
    </row>
    <row r="533" spans="1:4" x14ac:dyDescent="0.35">
      <c r="A533" t="s">
        <v>564</v>
      </c>
      <c r="B533">
        <v>28</v>
      </c>
      <c r="C533">
        <f>Earnings!C533/160</f>
        <v>1693.9025000000001</v>
      </c>
      <c r="D533">
        <f t="shared" si="8"/>
        <v>94858.540000000008</v>
      </c>
    </row>
    <row r="534" spans="1:4" x14ac:dyDescent="0.35">
      <c r="A534" t="s">
        <v>565</v>
      </c>
      <c r="B534">
        <v>25</v>
      </c>
      <c r="C534">
        <f>Earnings!C534/160</f>
        <v>2089.6025</v>
      </c>
      <c r="D534">
        <f t="shared" si="8"/>
        <v>104480.125</v>
      </c>
    </row>
    <row r="535" spans="1:4" x14ac:dyDescent="0.35">
      <c r="A535" t="s">
        <v>566</v>
      </c>
      <c r="B535">
        <v>0</v>
      </c>
      <c r="C535">
        <f>Earnings!C535/160</f>
        <v>2475.8116249999998</v>
      </c>
      <c r="D535">
        <f t="shared" si="8"/>
        <v>0</v>
      </c>
    </row>
    <row r="536" spans="1:4" x14ac:dyDescent="0.35">
      <c r="A536" t="s">
        <v>567</v>
      </c>
      <c r="B536">
        <v>30</v>
      </c>
      <c r="C536">
        <f>Earnings!C536/160</f>
        <v>1896.2855</v>
      </c>
      <c r="D536">
        <f t="shared" si="8"/>
        <v>113777.13</v>
      </c>
    </row>
    <row r="537" spans="1:4" x14ac:dyDescent="0.35">
      <c r="A537" t="s">
        <v>568</v>
      </c>
      <c r="B537">
        <v>28</v>
      </c>
      <c r="C537">
        <f>Earnings!C537/160</f>
        <v>2089.9192499999999</v>
      </c>
      <c r="D537">
        <f t="shared" si="8"/>
        <v>117035.478</v>
      </c>
    </row>
    <row r="538" spans="1:4" x14ac:dyDescent="0.35">
      <c r="A538" t="s">
        <v>569</v>
      </c>
      <c r="B538">
        <v>15</v>
      </c>
      <c r="C538">
        <f>Earnings!C538/160</f>
        <v>2734.68</v>
      </c>
      <c r="D538">
        <f t="shared" si="8"/>
        <v>82040.399999999994</v>
      </c>
    </row>
    <row r="539" spans="1:4" x14ac:dyDescent="0.35">
      <c r="A539" t="s">
        <v>570</v>
      </c>
      <c r="B539">
        <v>0</v>
      </c>
      <c r="C539">
        <f>Earnings!C539/160</f>
        <v>2790.0349999999999</v>
      </c>
      <c r="D539">
        <f t="shared" si="8"/>
        <v>0</v>
      </c>
    </row>
    <row r="540" spans="1:4" x14ac:dyDescent="0.35">
      <c r="A540" t="s">
        <v>571</v>
      </c>
      <c r="B540">
        <v>10</v>
      </c>
      <c r="C540">
        <f>Earnings!C540/160</f>
        <v>3171.5488750000009</v>
      </c>
      <c r="D540">
        <f t="shared" si="8"/>
        <v>63430.977500000015</v>
      </c>
    </row>
    <row r="541" spans="1:4" x14ac:dyDescent="0.35">
      <c r="A541" t="s">
        <v>572</v>
      </c>
      <c r="B541">
        <v>29</v>
      </c>
      <c r="C541">
        <f>Earnings!C541/160</f>
        <v>1977.9593749999999</v>
      </c>
      <c r="D541">
        <f t="shared" si="8"/>
        <v>114721.64374999999</v>
      </c>
    </row>
    <row r="542" spans="1:4" x14ac:dyDescent="0.35">
      <c r="A542" t="s">
        <v>573</v>
      </c>
      <c r="B542">
        <v>0</v>
      </c>
      <c r="C542">
        <f>Earnings!C542/160</f>
        <v>1097.5207500000001</v>
      </c>
      <c r="D542">
        <f t="shared" si="8"/>
        <v>0</v>
      </c>
    </row>
    <row r="543" spans="1:4" x14ac:dyDescent="0.35">
      <c r="A543" t="s">
        <v>574</v>
      </c>
      <c r="B543">
        <v>13</v>
      </c>
      <c r="C543">
        <f>Earnings!C543/160</f>
        <v>3488.0295000000006</v>
      </c>
      <c r="D543">
        <f t="shared" si="8"/>
        <v>90688.767000000022</v>
      </c>
    </row>
    <row r="544" spans="1:4" x14ac:dyDescent="0.35">
      <c r="A544" t="s">
        <v>575</v>
      </c>
      <c r="B544">
        <v>0</v>
      </c>
      <c r="C544">
        <f>Earnings!C544/160</f>
        <v>2031.7697499999999</v>
      </c>
      <c r="D544">
        <f t="shared" si="8"/>
        <v>0</v>
      </c>
    </row>
    <row r="545" spans="1:4" x14ac:dyDescent="0.35">
      <c r="A545" t="s">
        <v>576</v>
      </c>
      <c r="B545">
        <v>0</v>
      </c>
      <c r="C545">
        <f>Earnings!C545/160</f>
        <v>2416.67175</v>
      </c>
      <c r="D545">
        <f t="shared" si="8"/>
        <v>0</v>
      </c>
    </row>
    <row r="546" spans="1:4" x14ac:dyDescent="0.35">
      <c r="A546" t="s">
        <v>577</v>
      </c>
      <c r="B546">
        <v>8</v>
      </c>
      <c r="C546">
        <f>Earnings!C546/160</f>
        <v>2078.0124999999998</v>
      </c>
      <c r="D546">
        <f t="shared" si="8"/>
        <v>33248.199999999997</v>
      </c>
    </row>
    <row r="547" spans="1:4" x14ac:dyDescent="0.35">
      <c r="A547" t="s">
        <v>578</v>
      </c>
      <c r="B547">
        <v>0</v>
      </c>
      <c r="C547">
        <f>Earnings!C547/160</f>
        <v>1821.825</v>
      </c>
      <c r="D547">
        <f t="shared" si="8"/>
        <v>0</v>
      </c>
    </row>
    <row r="548" spans="1:4" x14ac:dyDescent="0.35">
      <c r="A548" t="s">
        <v>579</v>
      </c>
      <c r="B548">
        <v>15</v>
      </c>
      <c r="C548">
        <f>Earnings!C548/160</f>
        <v>2857.165</v>
      </c>
      <c r="D548">
        <f t="shared" si="8"/>
        <v>85714.95</v>
      </c>
    </row>
    <row r="549" spans="1:4" x14ac:dyDescent="0.35">
      <c r="A549" t="s">
        <v>580</v>
      </c>
      <c r="B549">
        <v>13</v>
      </c>
      <c r="C549">
        <f>Earnings!C549/160</f>
        <v>2223.5775000000003</v>
      </c>
      <c r="D549">
        <f t="shared" si="8"/>
        <v>57813.015000000007</v>
      </c>
    </row>
    <row r="550" spans="1:4" x14ac:dyDescent="0.35">
      <c r="A550" t="s">
        <v>581</v>
      </c>
      <c r="B550">
        <v>0</v>
      </c>
      <c r="C550">
        <f>Earnings!C550/160</f>
        <v>1637.4524999999999</v>
      </c>
      <c r="D550">
        <f t="shared" si="8"/>
        <v>0</v>
      </c>
    </row>
    <row r="551" spans="1:4" x14ac:dyDescent="0.35">
      <c r="A551" t="s">
        <v>582</v>
      </c>
      <c r="B551">
        <v>0</v>
      </c>
      <c r="C551">
        <f>Earnings!C551/160</f>
        <v>2164.98</v>
      </c>
      <c r="D551">
        <f t="shared" si="8"/>
        <v>0</v>
      </c>
    </row>
    <row r="552" spans="1:4" x14ac:dyDescent="0.35">
      <c r="A552" t="s">
        <v>583</v>
      </c>
      <c r="B552">
        <v>0</v>
      </c>
      <c r="C552">
        <f>Earnings!C552/160</f>
        <v>2022.9276249999998</v>
      </c>
      <c r="D552">
        <f t="shared" si="8"/>
        <v>0</v>
      </c>
    </row>
    <row r="553" spans="1:4" x14ac:dyDescent="0.35">
      <c r="A553" t="s">
        <v>584</v>
      </c>
      <c r="B553">
        <v>0</v>
      </c>
      <c r="C553">
        <f>Earnings!C553/160</f>
        <v>2122.2650000000003</v>
      </c>
      <c r="D553">
        <f t="shared" si="8"/>
        <v>0</v>
      </c>
    </row>
    <row r="554" spans="1:4" x14ac:dyDescent="0.35">
      <c r="A554" t="s">
        <v>585</v>
      </c>
      <c r="B554">
        <v>10</v>
      </c>
      <c r="C554">
        <f>Earnings!C554/160</f>
        <v>1379.395</v>
      </c>
      <c r="D554">
        <f t="shared" si="8"/>
        <v>27587.9</v>
      </c>
    </row>
    <row r="555" spans="1:4" x14ac:dyDescent="0.35">
      <c r="A555" t="s">
        <v>586</v>
      </c>
      <c r="B555">
        <v>0</v>
      </c>
      <c r="C555">
        <f>Earnings!C555/160</f>
        <v>2012.8243750000001</v>
      </c>
      <c r="D555">
        <f t="shared" si="8"/>
        <v>0</v>
      </c>
    </row>
    <row r="556" spans="1:4" x14ac:dyDescent="0.35">
      <c r="A556" t="s">
        <v>587</v>
      </c>
      <c r="B556">
        <v>26</v>
      </c>
      <c r="C556">
        <f>Earnings!C556/160</f>
        <v>2566.415</v>
      </c>
      <c r="D556">
        <f t="shared" si="8"/>
        <v>133453.57999999999</v>
      </c>
    </row>
    <row r="557" spans="1:4" x14ac:dyDescent="0.35">
      <c r="A557" t="s">
        <v>588</v>
      </c>
      <c r="B557">
        <v>0</v>
      </c>
      <c r="C557">
        <f>Earnings!C557/160</f>
        <v>1791.6075000000001</v>
      </c>
      <c r="D557">
        <f t="shared" si="8"/>
        <v>0</v>
      </c>
    </row>
    <row r="558" spans="1:4" x14ac:dyDescent="0.35">
      <c r="A558" t="s">
        <v>589</v>
      </c>
      <c r="B558">
        <v>0</v>
      </c>
      <c r="C558">
        <f>Earnings!C558/160</f>
        <v>2255.5500000000002</v>
      </c>
      <c r="D558">
        <f t="shared" si="8"/>
        <v>0</v>
      </c>
    </row>
    <row r="559" spans="1:4" x14ac:dyDescent="0.35">
      <c r="A559" t="s">
        <v>590</v>
      </c>
      <c r="B559">
        <v>0</v>
      </c>
      <c r="C559">
        <f>Earnings!C559/160</f>
        <v>1818.0411250000002</v>
      </c>
      <c r="D559">
        <f t="shared" si="8"/>
        <v>0</v>
      </c>
    </row>
    <row r="560" spans="1:4" x14ac:dyDescent="0.35">
      <c r="A560" t="s">
        <v>591</v>
      </c>
      <c r="B560">
        <v>0</v>
      </c>
      <c r="C560">
        <f>Earnings!C560/160</f>
        <v>3151.9450000000002</v>
      </c>
      <c r="D560">
        <f t="shared" si="8"/>
        <v>0</v>
      </c>
    </row>
    <row r="561" spans="1:4" x14ac:dyDescent="0.35">
      <c r="A561" t="s">
        <v>592</v>
      </c>
      <c r="B561">
        <v>0</v>
      </c>
      <c r="C561">
        <f>Earnings!C561/160</f>
        <v>2297.605</v>
      </c>
      <c r="D561">
        <f t="shared" si="8"/>
        <v>0</v>
      </c>
    </row>
    <row r="562" spans="1:4" x14ac:dyDescent="0.35">
      <c r="A562" t="s">
        <v>593</v>
      </c>
      <c r="B562">
        <v>19</v>
      </c>
      <c r="C562">
        <f>Earnings!C562/160</f>
        <v>2328.4650000000001</v>
      </c>
      <c r="D562">
        <f t="shared" si="8"/>
        <v>88481.670000000013</v>
      </c>
    </row>
    <row r="563" spans="1:4" x14ac:dyDescent="0.35">
      <c r="A563" t="s">
        <v>594</v>
      </c>
      <c r="B563">
        <v>0</v>
      </c>
      <c r="C563">
        <f>Earnings!C563/160</f>
        <v>2225.6148750000002</v>
      </c>
      <c r="D563">
        <f t="shared" si="8"/>
        <v>0</v>
      </c>
    </row>
    <row r="564" spans="1:4" x14ac:dyDescent="0.35">
      <c r="A564" t="s">
        <v>595</v>
      </c>
      <c r="B564">
        <v>0</v>
      </c>
      <c r="C564">
        <f>Earnings!C564/160</f>
        <v>997.36500000000001</v>
      </c>
      <c r="D564">
        <f t="shared" si="8"/>
        <v>0</v>
      </c>
    </row>
    <row r="565" spans="1:4" x14ac:dyDescent="0.35">
      <c r="A565" t="s">
        <v>596</v>
      </c>
      <c r="B565">
        <v>0</v>
      </c>
      <c r="C565">
        <f>Earnings!C565/160</f>
        <v>1431.7</v>
      </c>
      <c r="D565">
        <f t="shared" si="8"/>
        <v>0</v>
      </c>
    </row>
    <row r="566" spans="1:4" x14ac:dyDescent="0.35">
      <c r="A566" t="s">
        <v>597</v>
      </c>
      <c r="B566">
        <v>8</v>
      </c>
      <c r="C566">
        <f>Earnings!C566/160</f>
        <v>2376.9854999999998</v>
      </c>
      <c r="D566">
        <f t="shared" si="8"/>
        <v>38031.767999999996</v>
      </c>
    </row>
    <row r="567" spans="1:4" x14ac:dyDescent="0.35">
      <c r="A567" t="s">
        <v>598</v>
      </c>
      <c r="B567">
        <v>0</v>
      </c>
      <c r="C567">
        <f>Earnings!C567/160</f>
        <v>2609.585</v>
      </c>
      <c r="D567">
        <f t="shared" si="8"/>
        <v>0</v>
      </c>
    </row>
    <row r="568" spans="1:4" x14ac:dyDescent="0.35">
      <c r="A568" t="s">
        <v>599</v>
      </c>
      <c r="B568">
        <v>22</v>
      </c>
      <c r="C568">
        <f>Earnings!C568/160</f>
        <v>1973.8849999999998</v>
      </c>
      <c r="D568">
        <f t="shared" si="8"/>
        <v>86850.939999999988</v>
      </c>
    </row>
    <row r="569" spans="1:4" x14ac:dyDescent="0.35">
      <c r="A569" t="s">
        <v>600</v>
      </c>
      <c r="B569">
        <v>14</v>
      </c>
      <c r="C569">
        <f>Earnings!C569/160</f>
        <v>3042.2974999999997</v>
      </c>
      <c r="D569">
        <f t="shared" si="8"/>
        <v>85184.329999999987</v>
      </c>
    </row>
    <row r="570" spans="1:4" x14ac:dyDescent="0.35">
      <c r="A570" t="s">
        <v>601</v>
      </c>
      <c r="B570">
        <v>8</v>
      </c>
      <c r="C570">
        <f>Earnings!C570/160</f>
        <v>3204.8535000000002</v>
      </c>
      <c r="D570">
        <f t="shared" si="8"/>
        <v>51277.656000000003</v>
      </c>
    </row>
    <row r="571" spans="1:4" x14ac:dyDescent="0.35">
      <c r="A571" t="s">
        <v>602</v>
      </c>
      <c r="B571">
        <v>28</v>
      </c>
      <c r="C571">
        <f>Earnings!C571/160</f>
        <v>3367.6645000000003</v>
      </c>
      <c r="D571">
        <f t="shared" si="8"/>
        <v>188589.21200000003</v>
      </c>
    </row>
    <row r="572" spans="1:4" x14ac:dyDescent="0.35">
      <c r="A572" t="s">
        <v>603</v>
      </c>
      <c r="B572">
        <v>28</v>
      </c>
      <c r="C572">
        <f>Earnings!C572/160</f>
        <v>1677.1822499999998</v>
      </c>
      <c r="D572">
        <f t="shared" si="8"/>
        <v>93922.205999999991</v>
      </c>
    </row>
    <row r="573" spans="1:4" x14ac:dyDescent="0.35">
      <c r="A573" t="s">
        <v>604</v>
      </c>
      <c r="B573">
        <v>18</v>
      </c>
      <c r="C573">
        <f>Earnings!C573/160</f>
        <v>1606.1775</v>
      </c>
      <c r="D573">
        <f t="shared" si="8"/>
        <v>57822.39</v>
      </c>
    </row>
    <row r="574" spans="1:4" x14ac:dyDescent="0.35">
      <c r="A574" t="s">
        <v>605</v>
      </c>
      <c r="B574">
        <v>29</v>
      </c>
      <c r="C574">
        <f>Earnings!C574/160</f>
        <v>1126.0825</v>
      </c>
      <c r="D574">
        <f t="shared" si="8"/>
        <v>65312.784999999996</v>
      </c>
    </row>
    <row r="575" spans="1:4" x14ac:dyDescent="0.35">
      <c r="A575" t="s">
        <v>606</v>
      </c>
      <c r="B575">
        <v>29</v>
      </c>
      <c r="C575">
        <f>Earnings!C575/160</f>
        <v>2185.83</v>
      </c>
      <c r="D575">
        <f t="shared" si="8"/>
        <v>126778.14</v>
      </c>
    </row>
    <row r="576" spans="1:4" x14ac:dyDescent="0.35">
      <c r="A576" t="s">
        <v>607</v>
      </c>
      <c r="B576">
        <v>6</v>
      </c>
      <c r="C576">
        <f>Earnings!C576/160</f>
        <v>2077.71</v>
      </c>
      <c r="D576">
        <f t="shared" si="8"/>
        <v>24932.52</v>
      </c>
    </row>
    <row r="577" spans="1:4" x14ac:dyDescent="0.35">
      <c r="A577" t="s">
        <v>608</v>
      </c>
      <c r="B577">
        <v>0</v>
      </c>
      <c r="C577">
        <f>Earnings!C577/160</f>
        <v>2630.6402500000008</v>
      </c>
      <c r="D577">
        <f t="shared" si="8"/>
        <v>0</v>
      </c>
    </row>
    <row r="578" spans="1:4" x14ac:dyDescent="0.35">
      <c r="A578" t="s">
        <v>609</v>
      </c>
      <c r="B578">
        <v>26</v>
      </c>
      <c r="C578">
        <f>Earnings!C578/160</f>
        <v>1282.5350000000001</v>
      </c>
      <c r="D578">
        <f t="shared" ref="D578:D641" si="9">B578*C578*2</f>
        <v>66691.820000000007</v>
      </c>
    </row>
    <row r="579" spans="1:4" x14ac:dyDescent="0.35">
      <c r="A579" t="s">
        <v>610</v>
      </c>
      <c r="B579">
        <v>21</v>
      </c>
      <c r="C579">
        <f>Earnings!C579/160</f>
        <v>1832.5072499999999</v>
      </c>
      <c r="D579">
        <f t="shared" si="9"/>
        <v>76965.304499999998</v>
      </c>
    </row>
    <row r="580" spans="1:4" x14ac:dyDescent="0.35">
      <c r="A580" t="s">
        <v>611</v>
      </c>
      <c r="B580">
        <v>0</v>
      </c>
      <c r="C580">
        <f>Earnings!C580/160</f>
        <v>1549.020125</v>
      </c>
      <c r="D580">
        <f t="shared" si="9"/>
        <v>0</v>
      </c>
    </row>
    <row r="581" spans="1:4" x14ac:dyDescent="0.35">
      <c r="A581" t="s">
        <v>612</v>
      </c>
      <c r="B581">
        <v>26</v>
      </c>
      <c r="C581">
        <f>Earnings!C581/160</f>
        <v>2342.5349999999999</v>
      </c>
      <c r="D581">
        <f t="shared" si="9"/>
        <v>121811.81999999999</v>
      </c>
    </row>
    <row r="582" spans="1:4" x14ac:dyDescent="0.35">
      <c r="A582" t="s">
        <v>613</v>
      </c>
      <c r="B582">
        <v>13</v>
      </c>
      <c r="C582">
        <f>Earnings!C582/160</f>
        <v>2915.8634999999999</v>
      </c>
      <c r="D582">
        <f t="shared" si="9"/>
        <v>75812.451000000001</v>
      </c>
    </row>
    <row r="583" spans="1:4" x14ac:dyDescent="0.35">
      <c r="A583" t="s">
        <v>614</v>
      </c>
      <c r="B583">
        <v>6</v>
      </c>
      <c r="C583">
        <f>Earnings!C583/160</f>
        <v>1948.2925</v>
      </c>
      <c r="D583">
        <f t="shared" si="9"/>
        <v>23379.510000000002</v>
      </c>
    </row>
    <row r="584" spans="1:4" x14ac:dyDescent="0.35">
      <c r="A584" t="s">
        <v>615</v>
      </c>
      <c r="B584">
        <v>0</v>
      </c>
      <c r="C584">
        <f>Earnings!C584/160</f>
        <v>2310.1875</v>
      </c>
      <c r="D584">
        <f t="shared" si="9"/>
        <v>0</v>
      </c>
    </row>
    <row r="585" spans="1:4" x14ac:dyDescent="0.35">
      <c r="A585" t="s">
        <v>616</v>
      </c>
      <c r="B585">
        <v>0</v>
      </c>
      <c r="C585">
        <f>Earnings!C585/160</f>
        <v>1760.02</v>
      </c>
      <c r="D585">
        <f t="shared" si="9"/>
        <v>0</v>
      </c>
    </row>
    <row r="586" spans="1:4" x14ac:dyDescent="0.35">
      <c r="A586" t="s">
        <v>617</v>
      </c>
      <c r="B586">
        <v>0</v>
      </c>
      <c r="C586">
        <f>Earnings!C586/160</f>
        <v>1959.425</v>
      </c>
      <c r="D586">
        <f t="shared" si="9"/>
        <v>0</v>
      </c>
    </row>
    <row r="587" spans="1:4" x14ac:dyDescent="0.35">
      <c r="A587" t="s">
        <v>618</v>
      </c>
      <c r="B587">
        <v>0</v>
      </c>
      <c r="C587">
        <f>Earnings!C587/160</f>
        <v>2374.3900000000003</v>
      </c>
      <c r="D587">
        <f t="shared" si="9"/>
        <v>0</v>
      </c>
    </row>
    <row r="588" spans="1:4" x14ac:dyDescent="0.35">
      <c r="A588" t="s">
        <v>619</v>
      </c>
      <c r="B588">
        <v>5</v>
      </c>
      <c r="C588">
        <f>Earnings!C588/160</f>
        <v>1638.785625</v>
      </c>
      <c r="D588">
        <f t="shared" si="9"/>
        <v>16387.856250000001</v>
      </c>
    </row>
    <row r="589" spans="1:4" x14ac:dyDescent="0.35">
      <c r="A589" t="s">
        <v>620</v>
      </c>
      <c r="B589">
        <v>13</v>
      </c>
      <c r="C589">
        <f>Earnings!C589/160</f>
        <v>1237.95</v>
      </c>
      <c r="D589">
        <f t="shared" si="9"/>
        <v>32186.7</v>
      </c>
    </row>
    <row r="590" spans="1:4" x14ac:dyDescent="0.35">
      <c r="A590" t="s">
        <v>621</v>
      </c>
      <c r="B590">
        <v>11</v>
      </c>
      <c r="C590">
        <f>Earnings!C590/160</f>
        <v>2860.7563749999999</v>
      </c>
      <c r="D590">
        <f t="shared" si="9"/>
        <v>62936.640249999997</v>
      </c>
    </row>
    <row r="591" spans="1:4" x14ac:dyDescent="0.35">
      <c r="A591" t="s">
        <v>622</v>
      </c>
      <c r="B591">
        <v>17</v>
      </c>
      <c r="C591">
        <f>Earnings!C591/160</f>
        <v>1426.69</v>
      </c>
      <c r="D591">
        <f t="shared" si="9"/>
        <v>48507.46</v>
      </c>
    </row>
    <row r="592" spans="1:4" x14ac:dyDescent="0.35">
      <c r="A592" t="s">
        <v>623</v>
      </c>
      <c r="B592">
        <v>16</v>
      </c>
      <c r="C592">
        <f>Earnings!C592/160</f>
        <v>1549.375</v>
      </c>
      <c r="D592">
        <f t="shared" si="9"/>
        <v>49580</v>
      </c>
    </row>
    <row r="593" spans="1:4" x14ac:dyDescent="0.35">
      <c r="A593" t="s">
        <v>624</v>
      </c>
      <c r="B593">
        <v>0</v>
      </c>
      <c r="C593">
        <f>Earnings!C593/160</f>
        <v>2972.8224999999998</v>
      </c>
      <c r="D593">
        <f t="shared" si="9"/>
        <v>0</v>
      </c>
    </row>
    <row r="594" spans="1:4" x14ac:dyDescent="0.35">
      <c r="A594" t="s">
        <v>625</v>
      </c>
      <c r="B594">
        <v>30</v>
      </c>
      <c r="C594">
        <f>Earnings!C594/160</f>
        <v>3156.2538750000008</v>
      </c>
      <c r="D594">
        <f t="shared" si="9"/>
        <v>189375.23250000004</v>
      </c>
    </row>
    <row r="595" spans="1:4" x14ac:dyDescent="0.35">
      <c r="A595" t="s">
        <v>626</v>
      </c>
      <c r="B595">
        <v>0</v>
      </c>
      <c r="C595">
        <f>Earnings!C595/160</f>
        <v>1489.535875</v>
      </c>
      <c r="D595">
        <f t="shared" si="9"/>
        <v>0</v>
      </c>
    </row>
    <row r="596" spans="1:4" x14ac:dyDescent="0.35">
      <c r="A596" t="s">
        <v>627</v>
      </c>
      <c r="B596">
        <v>25</v>
      </c>
      <c r="C596">
        <f>Earnings!C596/160</f>
        <v>1297.586</v>
      </c>
      <c r="D596">
        <f t="shared" si="9"/>
        <v>64879.3</v>
      </c>
    </row>
    <row r="597" spans="1:4" x14ac:dyDescent="0.35">
      <c r="A597" t="s">
        <v>628</v>
      </c>
      <c r="B597">
        <v>23</v>
      </c>
      <c r="C597">
        <f>Earnings!C597/160</f>
        <v>2049.6558749999999</v>
      </c>
      <c r="D597">
        <f t="shared" si="9"/>
        <v>94284.170249999996</v>
      </c>
    </row>
    <row r="598" spans="1:4" x14ac:dyDescent="0.35">
      <c r="A598" t="s">
        <v>629</v>
      </c>
      <c r="B598">
        <v>20</v>
      </c>
      <c r="C598">
        <f>Earnings!C598/160</f>
        <v>2275.2452499999999</v>
      </c>
      <c r="D598">
        <f t="shared" si="9"/>
        <v>91009.81</v>
      </c>
    </row>
    <row r="599" spans="1:4" x14ac:dyDescent="0.35">
      <c r="A599" t="s">
        <v>630</v>
      </c>
      <c r="B599">
        <v>5</v>
      </c>
      <c r="C599">
        <f>Earnings!C599/160</f>
        <v>1306.3568749999999</v>
      </c>
      <c r="D599">
        <f t="shared" si="9"/>
        <v>13063.568749999999</v>
      </c>
    </row>
    <row r="600" spans="1:4" x14ac:dyDescent="0.35">
      <c r="A600" t="s">
        <v>631</v>
      </c>
      <c r="B600">
        <v>0</v>
      </c>
      <c r="C600">
        <f>Earnings!C600/160</f>
        <v>2353.1974999999998</v>
      </c>
      <c r="D600">
        <f t="shared" si="9"/>
        <v>0</v>
      </c>
    </row>
    <row r="601" spans="1:4" x14ac:dyDescent="0.35">
      <c r="A601" t="s">
        <v>632</v>
      </c>
      <c r="B601">
        <v>0</v>
      </c>
      <c r="C601">
        <f>Earnings!C601/160</f>
        <v>1443.855125</v>
      </c>
      <c r="D601">
        <f t="shared" si="9"/>
        <v>0</v>
      </c>
    </row>
    <row r="602" spans="1:4" x14ac:dyDescent="0.35">
      <c r="A602" t="s">
        <v>633</v>
      </c>
      <c r="B602">
        <v>15</v>
      </c>
      <c r="C602">
        <f>Earnings!C602/160</f>
        <v>1657.1224999999999</v>
      </c>
      <c r="D602">
        <f t="shared" si="9"/>
        <v>49713.674999999996</v>
      </c>
    </row>
    <row r="603" spans="1:4" x14ac:dyDescent="0.35">
      <c r="A603" t="s">
        <v>634</v>
      </c>
      <c r="B603">
        <v>15</v>
      </c>
      <c r="C603">
        <f>Earnings!C603/160</f>
        <v>1947.595</v>
      </c>
      <c r="D603">
        <f t="shared" si="9"/>
        <v>58427.85</v>
      </c>
    </row>
    <row r="604" spans="1:4" x14ac:dyDescent="0.35">
      <c r="A604" t="s">
        <v>635</v>
      </c>
      <c r="B604">
        <v>0</v>
      </c>
      <c r="C604">
        <f>Earnings!C604/160</f>
        <v>2253.9771250000003</v>
      </c>
      <c r="D604">
        <f t="shared" si="9"/>
        <v>0</v>
      </c>
    </row>
    <row r="605" spans="1:4" x14ac:dyDescent="0.35">
      <c r="A605" t="s">
        <v>636</v>
      </c>
      <c r="B605">
        <v>26</v>
      </c>
      <c r="C605">
        <f>Earnings!C605/160</f>
        <v>2052.22325</v>
      </c>
      <c r="D605">
        <f t="shared" si="9"/>
        <v>106715.609</v>
      </c>
    </row>
    <row r="606" spans="1:4" x14ac:dyDescent="0.35">
      <c r="A606" t="s">
        <v>637</v>
      </c>
      <c r="B606">
        <v>0</v>
      </c>
      <c r="C606">
        <f>Earnings!C606/160</f>
        <v>3285.5275000000001</v>
      </c>
      <c r="D606">
        <f t="shared" si="9"/>
        <v>0</v>
      </c>
    </row>
    <row r="607" spans="1:4" x14ac:dyDescent="0.35">
      <c r="A607" t="s">
        <v>638</v>
      </c>
      <c r="B607">
        <v>22</v>
      </c>
      <c r="C607">
        <f>Earnings!C607/160</f>
        <v>2667.7496250000008</v>
      </c>
      <c r="D607">
        <f t="shared" si="9"/>
        <v>117380.98350000003</v>
      </c>
    </row>
    <row r="608" spans="1:4" x14ac:dyDescent="0.35">
      <c r="A608" t="s">
        <v>639</v>
      </c>
      <c r="B608">
        <v>13</v>
      </c>
      <c r="C608">
        <f>Earnings!C608/160</f>
        <v>2407.29</v>
      </c>
      <c r="D608">
        <f t="shared" si="9"/>
        <v>62589.54</v>
      </c>
    </row>
    <row r="609" spans="1:4" x14ac:dyDescent="0.35">
      <c r="A609" t="s">
        <v>640</v>
      </c>
      <c r="B609">
        <v>11</v>
      </c>
      <c r="C609">
        <f>Earnings!C609/160</f>
        <v>1704.0450000000001</v>
      </c>
      <c r="D609">
        <f t="shared" si="9"/>
        <v>37488.990000000005</v>
      </c>
    </row>
    <row r="610" spans="1:4" x14ac:dyDescent="0.35">
      <c r="A610" t="s">
        <v>641</v>
      </c>
      <c r="B610">
        <v>10</v>
      </c>
      <c r="C610">
        <f>Earnings!C610/160</f>
        <v>1919.3206249999998</v>
      </c>
      <c r="D610">
        <f t="shared" si="9"/>
        <v>38386.412499999999</v>
      </c>
    </row>
    <row r="611" spans="1:4" x14ac:dyDescent="0.35">
      <c r="A611" t="s">
        <v>642</v>
      </c>
      <c r="B611">
        <v>0</v>
      </c>
      <c r="C611">
        <f>Earnings!C611/160</f>
        <v>2583.0500000000002</v>
      </c>
      <c r="D611">
        <f t="shared" si="9"/>
        <v>0</v>
      </c>
    </row>
    <row r="612" spans="1:4" x14ac:dyDescent="0.35">
      <c r="A612" t="s">
        <v>643</v>
      </c>
      <c r="B612">
        <v>0</v>
      </c>
      <c r="C612">
        <f>Earnings!C612/160</f>
        <v>1039.2786249999999</v>
      </c>
      <c r="D612">
        <f t="shared" si="9"/>
        <v>0</v>
      </c>
    </row>
    <row r="613" spans="1:4" x14ac:dyDescent="0.35">
      <c r="A613" t="s">
        <v>644</v>
      </c>
      <c r="B613">
        <v>0</v>
      </c>
      <c r="C613">
        <f>Earnings!C613/160</f>
        <v>2665.16</v>
      </c>
      <c r="D613">
        <f t="shared" si="9"/>
        <v>0</v>
      </c>
    </row>
    <row r="614" spans="1:4" x14ac:dyDescent="0.35">
      <c r="A614" t="s">
        <v>645</v>
      </c>
      <c r="B614">
        <v>12</v>
      </c>
      <c r="C614">
        <f>Earnings!C614/160</f>
        <v>1763.3567500000001</v>
      </c>
      <c r="D614">
        <f t="shared" si="9"/>
        <v>42320.562000000005</v>
      </c>
    </row>
    <row r="615" spans="1:4" x14ac:dyDescent="0.35">
      <c r="A615" t="s">
        <v>646</v>
      </c>
      <c r="B615">
        <v>0</v>
      </c>
      <c r="C615">
        <f>Earnings!C615/160</f>
        <v>2577.2217499999997</v>
      </c>
      <c r="D615">
        <f t="shared" si="9"/>
        <v>0</v>
      </c>
    </row>
    <row r="616" spans="1:4" x14ac:dyDescent="0.35">
      <c r="A616" t="s">
        <v>647</v>
      </c>
      <c r="B616">
        <v>0</v>
      </c>
      <c r="C616">
        <f>Earnings!C616/160</f>
        <v>1427.32275</v>
      </c>
      <c r="D616">
        <f t="shared" si="9"/>
        <v>0</v>
      </c>
    </row>
    <row r="617" spans="1:4" x14ac:dyDescent="0.35">
      <c r="A617" t="s">
        <v>648</v>
      </c>
      <c r="B617">
        <v>7</v>
      </c>
      <c r="C617">
        <f>Earnings!C617/160</f>
        <v>3099.8975</v>
      </c>
      <c r="D617">
        <f t="shared" si="9"/>
        <v>43398.565000000002</v>
      </c>
    </row>
    <row r="618" spans="1:4" x14ac:dyDescent="0.35">
      <c r="A618" t="s">
        <v>649</v>
      </c>
      <c r="B618">
        <v>13</v>
      </c>
      <c r="C618">
        <f>Earnings!C618/160</f>
        <v>1512.259875</v>
      </c>
      <c r="D618">
        <f t="shared" si="9"/>
        <v>39318.75675</v>
      </c>
    </row>
    <row r="619" spans="1:4" x14ac:dyDescent="0.35">
      <c r="A619" t="s">
        <v>650</v>
      </c>
      <c r="B619">
        <v>24</v>
      </c>
      <c r="C619">
        <f>Earnings!C619/160</f>
        <v>2079.2474999999999</v>
      </c>
      <c r="D619">
        <f t="shared" si="9"/>
        <v>99803.88</v>
      </c>
    </row>
    <row r="620" spans="1:4" x14ac:dyDescent="0.35">
      <c r="A620" t="s">
        <v>651</v>
      </c>
      <c r="B620">
        <v>0</v>
      </c>
      <c r="C620">
        <f>Earnings!C620/160</f>
        <v>1260.386375</v>
      </c>
      <c r="D620">
        <f t="shared" si="9"/>
        <v>0</v>
      </c>
    </row>
    <row r="621" spans="1:4" x14ac:dyDescent="0.35">
      <c r="A621" t="s">
        <v>652</v>
      </c>
      <c r="B621">
        <v>20</v>
      </c>
      <c r="C621">
        <f>Earnings!C621/160</f>
        <v>2499.8825000000002</v>
      </c>
      <c r="D621">
        <f t="shared" si="9"/>
        <v>99995.3</v>
      </c>
    </row>
    <row r="622" spans="1:4" x14ac:dyDescent="0.35">
      <c r="A622" t="s">
        <v>653</v>
      </c>
      <c r="B622">
        <v>23</v>
      </c>
      <c r="C622">
        <f>Earnings!C622/160</f>
        <v>2181.7984999999999</v>
      </c>
      <c r="D622">
        <f t="shared" si="9"/>
        <v>100362.731</v>
      </c>
    </row>
    <row r="623" spans="1:4" x14ac:dyDescent="0.35">
      <c r="A623" t="s">
        <v>654</v>
      </c>
      <c r="B623">
        <v>0</v>
      </c>
      <c r="C623">
        <f>Earnings!C623/160</f>
        <v>2652.0775000000003</v>
      </c>
      <c r="D623">
        <f t="shared" si="9"/>
        <v>0</v>
      </c>
    </row>
    <row r="624" spans="1:4" x14ac:dyDescent="0.35">
      <c r="A624" t="s">
        <v>655</v>
      </c>
      <c r="B624">
        <v>22</v>
      </c>
      <c r="C624">
        <f>Earnings!C624/160</f>
        <v>1353.4103749999999</v>
      </c>
      <c r="D624">
        <f t="shared" si="9"/>
        <v>59550.056499999999</v>
      </c>
    </row>
    <row r="625" spans="1:4" x14ac:dyDescent="0.35">
      <c r="A625" t="s">
        <v>656</v>
      </c>
      <c r="B625">
        <v>0</v>
      </c>
      <c r="C625">
        <f>Earnings!C625/160</f>
        <v>3025.3775000000001</v>
      </c>
      <c r="D625">
        <f t="shared" si="9"/>
        <v>0</v>
      </c>
    </row>
    <row r="626" spans="1:4" x14ac:dyDescent="0.35">
      <c r="A626" t="s">
        <v>657</v>
      </c>
      <c r="B626">
        <v>28</v>
      </c>
      <c r="C626">
        <f>Earnings!C626/160</f>
        <v>2604.8375000000001</v>
      </c>
      <c r="D626">
        <f t="shared" si="9"/>
        <v>145870.9</v>
      </c>
    </row>
    <row r="627" spans="1:4" x14ac:dyDescent="0.35">
      <c r="A627" t="s">
        <v>658</v>
      </c>
      <c r="B627">
        <v>0</v>
      </c>
      <c r="C627">
        <f>Earnings!C627/160</f>
        <v>2838.84</v>
      </c>
      <c r="D627">
        <f t="shared" si="9"/>
        <v>0</v>
      </c>
    </row>
    <row r="628" spans="1:4" x14ac:dyDescent="0.35">
      <c r="A628" t="s">
        <v>659</v>
      </c>
      <c r="B628">
        <v>28</v>
      </c>
      <c r="C628">
        <f>Earnings!C628/160</f>
        <v>3387.63</v>
      </c>
      <c r="D628">
        <f t="shared" si="9"/>
        <v>189707.28</v>
      </c>
    </row>
    <row r="629" spans="1:4" x14ac:dyDescent="0.35">
      <c r="A629" t="s">
        <v>660</v>
      </c>
      <c r="B629">
        <v>0</v>
      </c>
      <c r="C629">
        <f>Earnings!C629/160</f>
        <v>3603.3525</v>
      </c>
      <c r="D629">
        <f t="shared" si="9"/>
        <v>0</v>
      </c>
    </row>
    <row r="630" spans="1:4" x14ac:dyDescent="0.35">
      <c r="A630" t="s">
        <v>661</v>
      </c>
      <c r="B630">
        <v>30</v>
      </c>
      <c r="C630">
        <f>Earnings!C630/160</f>
        <v>2383.2127499999997</v>
      </c>
      <c r="D630">
        <f t="shared" si="9"/>
        <v>142992.76499999998</v>
      </c>
    </row>
    <row r="631" spans="1:4" x14ac:dyDescent="0.35">
      <c r="A631" t="s">
        <v>662</v>
      </c>
      <c r="B631">
        <v>15</v>
      </c>
      <c r="C631">
        <f>Earnings!C631/160</f>
        <v>2449.2575000000002</v>
      </c>
      <c r="D631">
        <f t="shared" si="9"/>
        <v>73477.725000000006</v>
      </c>
    </row>
    <row r="632" spans="1:4" x14ac:dyDescent="0.35">
      <c r="A632" t="s">
        <v>663</v>
      </c>
      <c r="B632">
        <v>0</v>
      </c>
      <c r="C632">
        <f>Earnings!C632/160</f>
        <v>1822.92</v>
      </c>
      <c r="D632">
        <f t="shared" si="9"/>
        <v>0</v>
      </c>
    </row>
    <row r="633" spans="1:4" x14ac:dyDescent="0.35">
      <c r="A633" t="s">
        <v>664</v>
      </c>
      <c r="B633">
        <v>15</v>
      </c>
      <c r="C633">
        <f>Earnings!C633/160</f>
        <v>956.030125</v>
      </c>
      <c r="D633">
        <f t="shared" si="9"/>
        <v>28680.903750000001</v>
      </c>
    </row>
    <row r="634" spans="1:4" x14ac:dyDescent="0.35">
      <c r="A634" t="s">
        <v>665</v>
      </c>
      <c r="B634">
        <v>0</v>
      </c>
      <c r="C634">
        <f>Earnings!C634/160</f>
        <v>1506.659625</v>
      </c>
      <c r="D634">
        <f t="shared" si="9"/>
        <v>0</v>
      </c>
    </row>
    <row r="635" spans="1:4" x14ac:dyDescent="0.35">
      <c r="A635" t="s">
        <v>666</v>
      </c>
      <c r="B635">
        <v>0</v>
      </c>
      <c r="C635">
        <f>Earnings!C635/160</f>
        <v>2707.5974999999999</v>
      </c>
      <c r="D635">
        <f t="shared" si="9"/>
        <v>0</v>
      </c>
    </row>
    <row r="636" spans="1:4" x14ac:dyDescent="0.35">
      <c r="A636" t="s">
        <v>667</v>
      </c>
      <c r="B636">
        <v>25</v>
      </c>
      <c r="C636">
        <f>Earnings!C636/160</f>
        <v>2009.4525000000001</v>
      </c>
      <c r="D636">
        <f t="shared" si="9"/>
        <v>100472.625</v>
      </c>
    </row>
    <row r="637" spans="1:4" x14ac:dyDescent="0.35">
      <c r="A637" t="s">
        <v>668</v>
      </c>
      <c r="B637">
        <v>0</v>
      </c>
      <c r="C637">
        <f>Earnings!C637/160</f>
        <v>1456.4948749999999</v>
      </c>
      <c r="D637">
        <f t="shared" si="9"/>
        <v>0</v>
      </c>
    </row>
    <row r="638" spans="1:4" x14ac:dyDescent="0.35">
      <c r="A638" t="s">
        <v>669</v>
      </c>
      <c r="B638">
        <v>25</v>
      </c>
      <c r="C638">
        <f>Earnings!C638/160</f>
        <v>1264.3407499999998</v>
      </c>
      <c r="D638">
        <f t="shared" si="9"/>
        <v>63217.037499999991</v>
      </c>
    </row>
    <row r="639" spans="1:4" x14ac:dyDescent="0.35">
      <c r="A639" t="s">
        <v>670</v>
      </c>
      <c r="B639">
        <v>11</v>
      </c>
      <c r="C639">
        <f>Earnings!C639/160</f>
        <v>1952.4257499999999</v>
      </c>
      <c r="D639">
        <f t="shared" si="9"/>
        <v>42953.366499999996</v>
      </c>
    </row>
    <row r="640" spans="1:4" x14ac:dyDescent="0.35">
      <c r="A640" t="s">
        <v>671</v>
      </c>
      <c r="B640">
        <v>0</v>
      </c>
      <c r="C640">
        <f>Earnings!C640/160</f>
        <v>1558.368125</v>
      </c>
      <c r="D640">
        <f t="shared" si="9"/>
        <v>0</v>
      </c>
    </row>
    <row r="641" spans="1:4" x14ac:dyDescent="0.35">
      <c r="A641" t="s">
        <v>672</v>
      </c>
      <c r="B641">
        <v>22</v>
      </c>
      <c r="C641">
        <f>Earnings!C641/160</f>
        <v>1589.6635000000001</v>
      </c>
      <c r="D641">
        <f t="shared" si="9"/>
        <v>69945.194000000003</v>
      </c>
    </row>
    <row r="642" spans="1:4" x14ac:dyDescent="0.35">
      <c r="A642" t="s">
        <v>673</v>
      </c>
      <c r="B642">
        <v>12</v>
      </c>
      <c r="C642">
        <f>Earnings!C642/160</f>
        <v>2942.7325000000001</v>
      </c>
      <c r="D642">
        <f t="shared" ref="D642:D705" si="10">B642*C642*2</f>
        <v>70625.58</v>
      </c>
    </row>
    <row r="643" spans="1:4" x14ac:dyDescent="0.35">
      <c r="A643" t="s">
        <v>674</v>
      </c>
      <c r="B643">
        <v>0</v>
      </c>
      <c r="C643">
        <f>Earnings!C643/160</f>
        <v>3418.1308750000003</v>
      </c>
      <c r="D643">
        <f t="shared" si="10"/>
        <v>0</v>
      </c>
    </row>
    <row r="644" spans="1:4" x14ac:dyDescent="0.35">
      <c r="A644" t="s">
        <v>675</v>
      </c>
      <c r="B644">
        <v>0</v>
      </c>
      <c r="C644">
        <f>Earnings!C644/160</f>
        <v>2237.7226249999999</v>
      </c>
      <c r="D644">
        <f t="shared" si="10"/>
        <v>0</v>
      </c>
    </row>
    <row r="645" spans="1:4" x14ac:dyDescent="0.35">
      <c r="A645" t="s">
        <v>676</v>
      </c>
      <c r="B645">
        <v>0</v>
      </c>
      <c r="C645">
        <f>Earnings!C645/160</f>
        <v>1791.7474999999999</v>
      </c>
      <c r="D645">
        <f t="shared" si="10"/>
        <v>0</v>
      </c>
    </row>
    <row r="646" spans="1:4" x14ac:dyDescent="0.35">
      <c r="A646" t="s">
        <v>677</v>
      </c>
      <c r="B646">
        <v>0</v>
      </c>
      <c r="C646">
        <f>Earnings!C646/160</f>
        <v>2864.8375000000001</v>
      </c>
      <c r="D646">
        <f t="shared" si="10"/>
        <v>0</v>
      </c>
    </row>
    <row r="647" spans="1:4" x14ac:dyDescent="0.35">
      <c r="A647" t="s">
        <v>678</v>
      </c>
      <c r="B647">
        <v>0</v>
      </c>
      <c r="C647">
        <f>Earnings!C647/160</f>
        <v>2396.1636250000001</v>
      </c>
      <c r="D647">
        <f t="shared" si="10"/>
        <v>0</v>
      </c>
    </row>
    <row r="648" spans="1:4" x14ac:dyDescent="0.35">
      <c r="A648" t="s">
        <v>679</v>
      </c>
      <c r="B648">
        <v>0</v>
      </c>
      <c r="C648">
        <f>Earnings!C648/160</f>
        <v>3143.7325000000001</v>
      </c>
      <c r="D648">
        <f t="shared" si="10"/>
        <v>0</v>
      </c>
    </row>
    <row r="649" spans="1:4" x14ac:dyDescent="0.35">
      <c r="A649" t="s">
        <v>680</v>
      </c>
      <c r="B649">
        <v>22</v>
      </c>
      <c r="C649">
        <f>Earnings!C649/160</f>
        <v>3489.9450000000006</v>
      </c>
      <c r="D649">
        <f t="shared" si="10"/>
        <v>153557.58000000002</v>
      </c>
    </row>
    <row r="650" spans="1:4" x14ac:dyDescent="0.35">
      <c r="A650" t="s">
        <v>681</v>
      </c>
      <c r="B650">
        <v>29</v>
      </c>
      <c r="C650">
        <f>Earnings!C650/160</f>
        <v>2708.8625000000002</v>
      </c>
      <c r="D650">
        <f t="shared" si="10"/>
        <v>157114.02500000002</v>
      </c>
    </row>
    <row r="651" spans="1:4" x14ac:dyDescent="0.35">
      <c r="A651" t="s">
        <v>682</v>
      </c>
      <c r="B651">
        <v>0</v>
      </c>
      <c r="C651">
        <f>Earnings!C651/160</f>
        <v>3541.2413750000001</v>
      </c>
      <c r="D651">
        <f t="shared" si="10"/>
        <v>0</v>
      </c>
    </row>
    <row r="652" spans="1:4" x14ac:dyDescent="0.35">
      <c r="A652" t="s">
        <v>683</v>
      </c>
      <c r="B652">
        <v>9</v>
      </c>
      <c r="C652">
        <f>Earnings!C652/160</f>
        <v>3996.6225000000004</v>
      </c>
      <c r="D652">
        <f t="shared" si="10"/>
        <v>71939.205000000002</v>
      </c>
    </row>
    <row r="653" spans="1:4" x14ac:dyDescent="0.35">
      <c r="A653" t="s">
        <v>684</v>
      </c>
      <c r="B653">
        <v>0</v>
      </c>
      <c r="C653">
        <f>Earnings!C653/160</f>
        <v>3217.1061249999998</v>
      </c>
      <c r="D653">
        <f t="shared" si="10"/>
        <v>0</v>
      </c>
    </row>
    <row r="654" spans="1:4" x14ac:dyDescent="0.35">
      <c r="A654" t="s">
        <v>685</v>
      </c>
      <c r="B654">
        <v>8</v>
      </c>
      <c r="C654">
        <f>Earnings!C654/160</f>
        <v>2077.0974999999999</v>
      </c>
      <c r="D654">
        <f t="shared" si="10"/>
        <v>33233.56</v>
      </c>
    </row>
    <row r="655" spans="1:4" x14ac:dyDescent="0.35">
      <c r="A655" t="s">
        <v>686</v>
      </c>
      <c r="B655">
        <v>5</v>
      </c>
      <c r="C655">
        <f>Earnings!C655/160</f>
        <v>1649.3591250000002</v>
      </c>
      <c r="D655">
        <f t="shared" si="10"/>
        <v>16493.591250000001</v>
      </c>
    </row>
    <row r="656" spans="1:4" x14ac:dyDescent="0.35">
      <c r="A656" t="s">
        <v>687</v>
      </c>
      <c r="B656">
        <v>0</v>
      </c>
      <c r="C656">
        <f>Earnings!C656/160</f>
        <v>2859.312375</v>
      </c>
      <c r="D656">
        <f t="shared" si="10"/>
        <v>0</v>
      </c>
    </row>
    <row r="657" spans="1:4" x14ac:dyDescent="0.35">
      <c r="A657" t="s">
        <v>688</v>
      </c>
      <c r="B657">
        <v>11</v>
      </c>
      <c r="C657">
        <f>Earnings!C657/160</f>
        <v>2434.7725</v>
      </c>
      <c r="D657">
        <f t="shared" si="10"/>
        <v>53564.995000000003</v>
      </c>
    </row>
    <row r="658" spans="1:4" x14ac:dyDescent="0.35">
      <c r="A658" t="s">
        <v>689</v>
      </c>
      <c r="B658">
        <v>17</v>
      </c>
      <c r="C658">
        <f>Earnings!C658/160</f>
        <v>2466.4517500000002</v>
      </c>
      <c r="D658">
        <f t="shared" si="10"/>
        <v>83859.359500000006</v>
      </c>
    </row>
    <row r="659" spans="1:4" x14ac:dyDescent="0.35">
      <c r="A659" t="s">
        <v>690</v>
      </c>
      <c r="B659">
        <v>0</v>
      </c>
      <c r="C659">
        <f>Earnings!C659/160</f>
        <v>2031.5868750000002</v>
      </c>
      <c r="D659">
        <f t="shared" si="10"/>
        <v>0</v>
      </c>
    </row>
    <row r="660" spans="1:4" x14ac:dyDescent="0.35">
      <c r="A660" t="s">
        <v>691</v>
      </c>
      <c r="B660">
        <v>24</v>
      </c>
      <c r="C660">
        <f>Earnings!C660/160</f>
        <v>3447.6224999999999</v>
      </c>
      <c r="D660">
        <f t="shared" si="10"/>
        <v>165485.88</v>
      </c>
    </row>
    <row r="661" spans="1:4" x14ac:dyDescent="0.35">
      <c r="A661" t="s">
        <v>692</v>
      </c>
      <c r="B661">
        <v>0</v>
      </c>
      <c r="C661">
        <f>Earnings!C661/160</f>
        <v>1466.4793750000001</v>
      </c>
      <c r="D661">
        <f t="shared" si="10"/>
        <v>0</v>
      </c>
    </row>
    <row r="662" spans="1:4" x14ac:dyDescent="0.35">
      <c r="A662" t="s">
        <v>693</v>
      </c>
      <c r="B662">
        <v>0</v>
      </c>
      <c r="C662">
        <f>Earnings!C662/160</f>
        <v>2952.4503749999999</v>
      </c>
      <c r="D662">
        <f t="shared" si="10"/>
        <v>0</v>
      </c>
    </row>
    <row r="663" spans="1:4" x14ac:dyDescent="0.35">
      <c r="A663" t="s">
        <v>694</v>
      </c>
      <c r="B663">
        <v>0</v>
      </c>
      <c r="C663">
        <f>Earnings!C663/160</f>
        <v>3055.46</v>
      </c>
      <c r="D663">
        <f t="shared" si="10"/>
        <v>0</v>
      </c>
    </row>
    <row r="664" spans="1:4" x14ac:dyDescent="0.35">
      <c r="A664" t="s">
        <v>695</v>
      </c>
      <c r="B664">
        <v>0</v>
      </c>
      <c r="C664">
        <f>Earnings!C664/160</f>
        <v>1747.351625</v>
      </c>
      <c r="D664">
        <f t="shared" si="10"/>
        <v>0</v>
      </c>
    </row>
    <row r="665" spans="1:4" x14ac:dyDescent="0.35">
      <c r="A665" t="s">
        <v>696</v>
      </c>
      <c r="B665">
        <v>16</v>
      </c>
      <c r="C665">
        <f>Earnings!C665/160</f>
        <v>2111.1675</v>
      </c>
      <c r="D665">
        <f t="shared" si="10"/>
        <v>67557.36</v>
      </c>
    </row>
    <row r="666" spans="1:4" x14ac:dyDescent="0.35">
      <c r="A666" t="s">
        <v>697</v>
      </c>
      <c r="B666">
        <v>0</v>
      </c>
      <c r="C666">
        <f>Earnings!C666/160</f>
        <v>854.5653749999999</v>
      </c>
      <c r="D666">
        <f t="shared" si="10"/>
        <v>0</v>
      </c>
    </row>
    <row r="667" spans="1:4" x14ac:dyDescent="0.35">
      <c r="A667" t="s">
        <v>698</v>
      </c>
      <c r="B667">
        <v>6</v>
      </c>
      <c r="C667">
        <f>Earnings!C667/160</f>
        <v>1861.8724999999999</v>
      </c>
      <c r="D667">
        <f t="shared" si="10"/>
        <v>22342.47</v>
      </c>
    </row>
    <row r="668" spans="1:4" x14ac:dyDescent="0.35">
      <c r="A668" t="s">
        <v>699</v>
      </c>
      <c r="B668">
        <v>8</v>
      </c>
      <c r="C668">
        <f>Earnings!C668/160</f>
        <v>3175.4557500000001</v>
      </c>
      <c r="D668">
        <f t="shared" si="10"/>
        <v>50807.292000000001</v>
      </c>
    </row>
    <row r="669" spans="1:4" x14ac:dyDescent="0.35">
      <c r="A669" t="s">
        <v>700</v>
      </c>
      <c r="B669">
        <v>11</v>
      </c>
      <c r="C669">
        <f>Earnings!C669/160</f>
        <v>1743.84375</v>
      </c>
      <c r="D669">
        <f t="shared" si="10"/>
        <v>38364.5625</v>
      </c>
    </row>
    <row r="670" spans="1:4" x14ac:dyDescent="0.35">
      <c r="A670" t="s">
        <v>701</v>
      </c>
      <c r="B670">
        <v>23</v>
      </c>
      <c r="C670">
        <f>Earnings!C670/160</f>
        <v>1965.0549999999998</v>
      </c>
      <c r="D670">
        <f t="shared" si="10"/>
        <v>90392.53</v>
      </c>
    </row>
    <row r="671" spans="1:4" x14ac:dyDescent="0.35">
      <c r="A671" t="s">
        <v>702</v>
      </c>
      <c r="B671">
        <v>0</v>
      </c>
      <c r="C671">
        <f>Earnings!C671/160</f>
        <v>1812.5881249999998</v>
      </c>
      <c r="D671">
        <f t="shared" si="10"/>
        <v>0</v>
      </c>
    </row>
    <row r="672" spans="1:4" x14ac:dyDescent="0.35">
      <c r="A672" t="s">
        <v>703</v>
      </c>
      <c r="B672">
        <v>0</v>
      </c>
      <c r="C672">
        <f>Earnings!C672/160</f>
        <v>1853.55</v>
      </c>
      <c r="D672">
        <f t="shared" si="10"/>
        <v>0</v>
      </c>
    </row>
    <row r="673" spans="1:4" x14ac:dyDescent="0.35">
      <c r="A673" t="s">
        <v>704</v>
      </c>
      <c r="B673">
        <v>0</v>
      </c>
      <c r="C673">
        <f>Earnings!C673/160</f>
        <v>1607.30025</v>
      </c>
      <c r="D673">
        <f t="shared" si="10"/>
        <v>0</v>
      </c>
    </row>
    <row r="674" spans="1:4" x14ac:dyDescent="0.35">
      <c r="A674" t="s">
        <v>705</v>
      </c>
      <c r="B674">
        <v>7</v>
      </c>
      <c r="C674">
        <f>Earnings!C674/160</f>
        <v>2287.7971250000001</v>
      </c>
      <c r="D674">
        <f t="shared" si="10"/>
        <v>32029.159749999999</v>
      </c>
    </row>
    <row r="675" spans="1:4" x14ac:dyDescent="0.35">
      <c r="A675" t="s">
        <v>706</v>
      </c>
      <c r="B675">
        <v>0</v>
      </c>
      <c r="C675">
        <f>Earnings!C675/160</f>
        <v>1168.8325</v>
      </c>
      <c r="D675">
        <f t="shared" si="10"/>
        <v>0</v>
      </c>
    </row>
    <row r="676" spans="1:4" x14ac:dyDescent="0.35">
      <c r="A676" t="s">
        <v>707</v>
      </c>
      <c r="B676">
        <v>8</v>
      </c>
      <c r="C676">
        <f>Earnings!C676/160</f>
        <v>1421.0525</v>
      </c>
      <c r="D676">
        <f t="shared" si="10"/>
        <v>22736.84</v>
      </c>
    </row>
    <row r="677" spans="1:4" x14ac:dyDescent="0.35">
      <c r="A677" t="s">
        <v>708</v>
      </c>
      <c r="B677">
        <v>8</v>
      </c>
      <c r="C677">
        <f>Earnings!C677/160</f>
        <v>2327.9049999999997</v>
      </c>
      <c r="D677">
        <f t="shared" si="10"/>
        <v>37246.479999999996</v>
      </c>
    </row>
    <row r="678" spans="1:4" x14ac:dyDescent="0.35">
      <c r="A678" t="s">
        <v>709</v>
      </c>
      <c r="B678">
        <v>27</v>
      </c>
      <c r="C678">
        <f>Earnings!C678/160</f>
        <v>1504.98</v>
      </c>
      <c r="D678">
        <f t="shared" si="10"/>
        <v>81268.92</v>
      </c>
    </row>
    <row r="679" spans="1:4" x14ac:dyDescent="0.35">
      <c r="A679" t="s">
        <v>710</v>
      </c>
      <c r="B679">
        <v>24</v>
      </c>
      <c r="C679">
        <f>Earnings!C679/160</f>
        <v>1757.6994999999999</v>
      </c>
      <c r="D679">
        <f t="shared" si="10"/>
        <v>84369.576000000001</v>
      </c>
    </row>
    <row r="680" spans="1:4" x14ac:dyDescent="0.35">
      <c r="A680" t="s">
        <v>711</v>
      </c>
      <c r="B680">
        <v>25</v>
      </c>
      <c r="C680">
        <f>Earnings!C680/160</f>
        <v>1498.3325</v>
      </c>
      <c r="D680">
        <f t="shared" si="10"/>
        <v>74916.625</v>
      </c>
    </row>
    <row r="681" spans="1:4" x14ac:dyDescent="0.35">
      <c r="A681" t="s">
        <v>712</v>
      </c>
      <c r="B681">
        <v>22</v>
      </c>
      <c r="C681">
        <f>Earnings!C681/160</f>
        <v>1419.3975</v>
      </c>
      <c r="D681">
        <f t="shared" si="10"/>
        <v>62453.490000000005</v>
      </c>
    </row>
    <row r="682" spans="1:4" x14ac:dyDescent="0.35">
      <c r="A682" t="s">
        <v>713</v>
      </c>
      <c r="B682">
        <v>0</v>
      </c>
      <c r="C682">
        <f>Earnings!C682/160</f>
        <v>1892.7375</v>
      </c>
      <c r="D682">
        <f t="shared" si="10"/>
        <v>0</v>
      </c>
    </row>
    <row r="683" spans="1:4" x14ac:dyDescent="0.35">
      <c r="A683" t="s">
        <v>714</v>
      </c>
      <c r="B683">
        <v>0</v>
      </c>
      <c r="C683">
        <f>Earnings!C683/160</f>
        <v>1955.8267500000002</v>
      </c>
      <c r="D683">
        <f t="shared" si="10"/>
        <v>0</v>
      </c>
    </row>
    <row r="684" spans="1:4" x14ac:dyDescent="0.35">
      <c r="A684" t="s">
        <v>715</v>
      </c>
      <c r="B684">
        <v>0</v>
      </c>
      <c r="C684">
        <f>Earnings!C684/160</f>
        <v>1760.3618750000001</v>
      </c>
      <c r="D684">
        <f t="shared" si="10"/>
        <v>0</v>
      </c>
    </row>
    <row r="685" spans="1:4" x14ac:dyDescent="0.35">
      <c r="A685" t="s">
        <v>716</v>
      </c>
      <c r="B685">
        <v>0</v>
      </c>
      <c r="C685">
        <f>Earnings!C685/160</f>
        <v>2068.4124999999999</v>
      </c>
      <c r="D685">
        <f t="shared" si="10"/>
        <v>0</v>
      </c>
    </row>
    <row r="686" spans="1:4" x14ac:dyDescent="0.35">
      <c r="A686" t="s">
        <v>717</v>
      </c>
      <c r="B686">
        <v>10</v>
      </c>
      <c r="C686">
        <f>Earnings!C686/160</f>
        <v>2586.5934999999999</v>
      </c>
      <c r="D686">
        <f t="shared" si="10"/>
        <v>51731.869999999995</v>
      </c>
    </row>
    <row r="687" spans="1:4" x14ac:dyDescent="0.35">
      <c r="A687" t="s">
        <v>718</v>
      </c>
      <c r="B687">
        <v>0</v>
      </c>
      <c r="C687">
        <f>Earnings!C687/160</f>
        <v>1741.509125</v>
      </c>
      <c r="D687">
        <f t="shared" si="10"/>
        <v>0</v>
      </c>
    </row>
    <row r="688" spans="1:4" x14ac:dyDescent="0.35">
      <c r="A688" t="s">
        <v>719</v>
      </c>
      <c r="B688">
        <v>0</v>
      </c>
      <c r="C688">
        <f>Earnings!C688/160</f>
        <v>1894.4924999999998</v>
      </c>
      <c r="D688">
        <f t="shared" si="10"/>
        <v>0</v>
      </c>
    </row>
    <row r="689" spans="1:4" x14ac:dyDescent="0.35">
      <c r="A689" t="s">
        <v>720</v>
      </c>
      <c r="B689">
        <v>0</v>
      </c>
      <c r="C689">
        <f>Earnings!C689/160</f>
        <v>1900.14</v>
      </c>
      <c r="D689">
        <f t="shared" si="10"/>
        <v>0</v>
      </c>
    </row>
    <row r="690" spans="1:4" x14ac:dyDescent="0.35">
      <c r="A690" t="s">
        <v>721</v>
      </c>
      <c r="B690">
        <v>0</v>
      </c>
      <c r="C690">
        <f>Earnings!C690/160</f>
        <v>1054.407375</v>
      </c>
      <c r="D690">
        <f t="shared" si="10"/>
        <v>0</v>
      </c>
    </row>
    <row r="691" spans="1:4" x14ac:dyDescent="0.35">
      <c r="A691" t="s">
        <v>722</v>
      </c>
      <c r="B691">
        <v>0</v>
      </c>
      <c r="C691">
        <f>Earnings!C691/160</f>
        <v>1990.35925</v>
      </c>
      <c r="D691">
        <f t="shared" si="10"/>
        <v>0</v>
      </c>
    </row>
    <row r="692" spans="1:4" x14ac:dyDescent="0.35">
      <c r="A692" t="s">
        <v>723</v>
      </c>
      <c r="B692">
        <v>0</v>
      </c>
      <c r="C692">
        <f>Earnings!C692/160</f>
        <v>979.07474999999999</v>
      </c>
      <c r="D692">
        <f t="shared" si="10"/>
        <v>0</v>
      </c>
    </row>
    <row r="693" spans="1:4" x14ac:dyDescent="0.35">
      <c r="A693" t="s">
        <v>724</v>
      </c>
      <c r="B693">
        <v>0</v>
      </c>
      <c r="C693">
        <f>Earnings!C693/160</f>
        <v>1433.0227500000001</v>
      </c>
      <c r="D693">
        <f t="shared" si="10"/>
        <v>0</v>
      </c>
    </row>
    <row r="694" spans="1:4" x14ac:dyDescent="0.35">
      <c r="A694" t="s">
        <v>725</v>
      </c>
      <c r="B694">
        <v>0</v>
      </c>
      <c r="C694">
        <f>Earnings!C694/160</f>
        <v>1043.06</v>
      </c>
      <c r="D694">
        <f t="shared" si="10"/>
        <v>0</v>
      </c>
    </row>
    <row r="695" spans="1:4" x14ac:dyDescent="0.35">
      <c r="A695" t="s">
        <v>726</v>
      </c>
      <c r="B695">
        <v>26</v>
      </c>
      <c r="C695">
        <f>Earnings!C695/160</f>
        <v>2803.38</v>
      </c>
      <c r="D695">
        <f t="shared" si="10"/>
        <v>145775.76</v>
      </c>
    </row>
    <row r="696" spans="1:4" x14ac:dyDescent="0.35">
      <c r="A696" t="s">
        <v>727</v>
      </c>
      <c r="B696">
        <v>0</v>
      </c>
      <c r="C696">
        <f>Earnings!C696/160</f>
        <v>2762.3424999999997</v>
      </c>
      <c r="D696">
        <f t="shared" si="10"/>
        <v>0</v>
      </c>
    </row>
    <row r="697" spans="1:4" x14ac:dyDescent="0.35">
      <c r="A697" t="s">
        <v>728</v>
      </c>
      <c r="B697">
        <v>11</v>
      </c>
      <c r="C697">
        <f>Earnings!C697/160</f>
        <v>1619.7525000000001</v>
      </c>
      <c r="D697">
        <f t="shared" si="10"/>
        <v>35634.555</v>
      </c>
    </row>
    <row r="698" spans="1:4" x14ac:dyDescent="0.35">
      <c r="A698" t="s">
        <v>729</v>
      </c>
      <c r="B698">
        <v>28</v>
      </c>
      <c r="C698">
        <f>Earnings!C698/160</f>
        <v>2041.4599999999998</v>
      </c>
      <c r="D698">
        <f t="shared" si="10"/>
        <v>114321.76</v>
      </c>
    </row>
    <row r="699" spans="1:4" x14ac:dyDescent="0.35">
      <c r="A699" t="s">
        <v>730</v>
      </c>
      <c r="B699">
        <v>19</v>
      </c>
      <c r="C699">
        <f>Earnings!C699/160</f>
        <v>1412.251</v>
      </c>
      <c r="D699">
        <f t="shared" si="10"/>
        <v>53665.538</v>
      </c>
    </row>
    <row r="700" spans="1:4" x14ac:dyDescent="0.35">
      <c r="A700" t="s">
        <v>731</v>
      </c>
      <c r="B700">
        <v>0</v>
      </c>
      <c r="C700">
        <f>Earnings!C700/160</f>
        <v>2279.8931250000001</v>
      </c>
      <c r="D700">
        <f t="shared" si="10"/>
        <v>0</v>
      </c>
    </row>
    <row r="701" spans="1:4" x14ac:dyDescent="0.35">
      <c r="A701" t="s">
        <v>732</v>
      </c>
      <c r="B701">
        <v>26</v>
      </c>
      <c r="C701">
        <f>Earnings!C701/160</f>
        <v>2081.1400000000003</v>
      </c>
      <c r="D701">
        <f t="shared" si="10"/>
        <v>108219.28000000001</v>
      </c>
    </row>
    <row r="702" spans="1:4" x14ac:dyDescent="0.35">
      <c r="A702" t="s">
        <v>733</v>
      </c>
      <c r="B702">
        <v>22</v>
      </c>
      <c r="C702">
        <f>Earnings!C702/160</f>
        <v>1771.6025000000002</v>
      </c>
      <c r="D702">
        <f t="shared" si="10"/>
        <v>77950.510000000009</v>
      </c>
    </row>
    <row r="703" spans="1:4" x14ac:dyDescent="0.35">
      <c r="A703" t="s">
        <v>734</v>
      </c>
      <c r="B703">
        <v>0</v>
      </c>
      <c r="C703">
        <f>Earnings!C703/160</f>
        <v>2303.6977500000003</v>
      </c>
      <c r="D703">
        <f t="shared" si="10"/>
        <v>0</v>
      </c>
    </row>
    <row r="704" spans="1:4" x14ac:dyDescent="0.35">
      <c r="A704" t="s">
        <v>735</v>
      </c>
      <c r="B704">
        <v>10</v>
      </c>
      <c r="C704">
        <f>Earnings!C704/160</f>
        <v>2660.2018749999997</v>
      </c>
      <c r="D704">
        <f t="shared" si="10"/>
        <v>53204.037499999991</v>
      </c>
    </row>
    <row r="705" spans="1:4" x14ac:dyDescent="0.35">
      <c r="A705" t="s">
        <v>736</v>
      </c>
      <c r="B705">
        <v>29</v>
      </c>
      <c r="C705">
        <f>Earnings!C705/160</f>
        <v>1560.3825000000002</v>
      </c>
      <c r="D705">
        <f t="shared" si="10"/>
        <v>90502.185000000012</v>
      </c>
    </row>
    <row r="706" spans="1:4" x14ac:dyDescent="0.35">
      <c r="A706" t="s">
        <v>737</v>
      </c>
      <c r="B706">
        <v>0</v>
      </c>
      <c r="C706">
        <f>Earnings!C706/160</f>
        <v>1311.0425</v>
      </c>
      <c r="D706">
        <f t="shared" ref="D706:D769" si="11">B706*C706*2</f>
        <v>0</v>
      </c>
    </row>
    <row r="707" spans="1:4" x14ac:dyDescent="0.35">
      <c r="A707" t="s">
        <v>738</v>
      </c>
      <c r="B707">
        <v>30</v>
      </c>
      <c r="C707">
        <f>Earnings!C707/160</f>
        <v>2161.835</v>
      </c>
      <c r="D707">
        <f t="shared" si="11"/>
        <v>129710.1</v>
      </c>
    </row>
    <row r="708" spans="1:4" x14ac:dyDescent="0.35">
      <c r="A708" t="s">
        <v>739</v>
      </c>
      <c r="B708">
        <v>18</v>
      </c>
      <c r="C708">
        <f>Earnings!C708/160</f>
        <v>1334.7474999999999</v>
      </c>
      <c r="D708">
        <f t="shared" si="11"/>
        <v>48050.909999999996</v>
      </c>
    </row>
    <row r="709" spans="1:4" x14ac:dyDescent="0.35">
      <c r="A709" t="s">
        <v>740</v>
      </c>
      <c r="B709">
        <v>17</v>
      </c>
      <c r="C709">
        <f>Earnings!C709/160</f>
        <v>1523.3700000000001</v>
      </c>
      <c r="D709">
        <f t="shared" si="11"/>
        <v>51794.58</v>
      </c>
    </row>
    <row r="710" spans="1:4" x14ac:dyDescent="0.35">
      <c r="A710" t="s">
        <v>741</v>
      </c>
      <c r="B710">
        <v>6</v>
      </c>
      <c r="C710">
        <f>Earnings!C710/160</f>
        <v>3518.6150000000002</v>
      </c>
      <c r="D710">
        <f t="shared" si="11"/>
        <v>42223.380000000005</v>
      </c>
    </row>
    <row r="711" spans="1:4" x14ac:dyDescent="0.35">
      <c r="A711" t="s">
        <v>742</v>
      </c>
      <c r="B711">
        <v>0</v>
      </c>
      <c r="C711">
        <f>Earnings!C711/160</f>
        <v>1905.7525000000001</v>
      </c>
      <c r="D711">
        <f t="shared" si="11"/>
        <v>0</v>
      </c>
    </row>
    <row r="712" spans="1:4" x14ac:dyDescent="0.35">
      <c r="A712" t="s">
        <v>743</v>
      </c>
      <c r="B712">
        <v>0</v>
      </c>
      <c r="C712">
        <f>Earnings!C712/160</f>
        <v>2437.9949999999999</v>
      </c>
      <c r="D712">
        <f t="shared" si="11"/>
        <v>0</v>
      </c>
    </row>
    <row r="713" spans="1:4" x14ac:dyDescent="0.35">
      <c r="A713" t="s">
        <v>744</v>
      </c>
      <c r="B713">
        <v>0</v>
      </c>
      <c r="C713">
        <f>Earnings!C713/160</f>
        <v>2353.0050000000001</v>
      </c>
      <c r="D713">
        <f t="shared" si="11"/>
        <v>0</v>
      </c>
    </row>
    <row r="714" spans="1:4" x14ac:dyDescent="0.35">
      <c r="A714" t="s">
        <v>745</v>
      </c>
      <c r="B714">
        <v>0</v>
      </c>
      <c r="C714">
        <f>Earnings!C714/160</f>
        <v>1842.5250000000001</v>
      </c>
      <c r="D714">
        <f t="shared" si="11"/>
        <v>0</v>
      </c>
    </row>
    <row r="715" spans="1:4" x14ac:dyDescent="0.35">
      <c r="A715" t="s">
        <v>746</v>
      </c>
      <c r="B715">
        <v>25</v>
      </c>
      <c r="C715">
        <f>Earnings!C715/160</f>
        <v>1724.6724999999999</v>
      </c>
      <c r="D715">
        <f t="shared" si="11"/>
        <v>86233.625</v>
      </c>
    </row>
    <row r="716" spans="1:4" x14ac:dyDescent="0.35">
      <c r="A716" t="s">
        <v>747</v>
      </c>
      <c r="B716">
        <v>15</v>
      </c>
      <c r="C716">
        <f>Earnings!C716/160</f>
        <v>1660.0025000000001</v>
      </c>
      <c r="D716">
        <f t="shared" si="11"/>
        <v>49800.075000000004</v>
      </c>
    </row>
    <row r="717" spans="1:4" x14ac:dyDescent="0.35">
      <c r="A717" t="s">
        <v>748</v>
      </c>
      <c r="B717">
        <v>10</v>
      </c>
      <c r="C717">
        <f>Earnings!C717/160</f>
        <v>2328.431</v>
      </c>
      <c r="D717">
        <f t="shared" si="11"/>
        <v>46568.62</v>
      </c>
    </row>
    <row r="718" spans="1:4" x14ac:dyDescent="0.35">
      <c r="A718" t="s">
        <v>749</v>
      </c>
      <c r="B718">
        <v>0</v>
      </c>
      <c r="C718">
        <f>Earnings!C718/160</f>
        <v>2495.6618750000002</v>
      </c>
      <c r="D718">
        <f t="shared" si="11"/>
        <v>0</v>
      </c>
    </row>
    <row r="719" spans="1:4" x14ac:dyDescent="0.35">
      <c r="A719" t="s">
        <v>750</v>
      </c>
      <c r="B719">
        <v>0</v>
      </c>
      <c r="C719">
        <f>Earnings!C719/160</f>
        <v>2257.6349999999998</v>
      </c>
      <c r="D719">
        <f t="shared" si="11"/>
        <v>0</v>
      </c>
    </row>
    <row r="720" spans="1:4" x14ac:dyDescent="0.35">
      <c r="A720" t="s">
        <v>751</v>
      </c>
      <c r="B720">
        <v>0</v>
      </c>
      <c r="C720">
        <f>Earnings!C720/160</f>
        <v>1850.1525000000001</v>
      </c>
      <c r="D720">
        <f t="shared" si="11"/>
        <v>0</v>
      </c>
    </row>
    <row r="721" spans="1:4" x14ac:dyDescent="0.35">
      <c r="A721" t="s">
        <v>752</v>
      </c>
      <c r="B721">
        <v>15</v>
      </c>
      <c r="C721">
        <f>Earnings!C721/160</f>
        <v>2442.0349999999999</v>
      </c>
      <c r="D721">
        <f t="shared" si="11"/>
        <v>73261.049999999988</v>
      </c>
    </row>
    <row r="722" spans="1:4" x14ac:dyDescent="0.35">
      <c r="A722" t="s">
        <v>753</v>
      </c>
      <c r="B722">
        <v>0</v>
      </c>
      <c r="C722">
        <f>Earnings!C722/160</f>
        <v>3261.96</v>
      </c>
      <c r="D722">
        <f t="shared" si="11"/>
        <v>0</v>
      </c>
    </row>
    <row r="723" spans="1:4" x14ac:dyDescent="0.35">
      <c r="A723" t="s">
        <v>754</v>
      </c>
      <c r="B723">
        <v>0</v>
      </c>
      <c r="C723">
        <f>Earnings!C723/160</f>
        <v>1387.4124999999999</v>
      </c>
      <c r="D723">
        <f t="shared" si="11"/>
        <v>0</v>
      </c>
    </row>
    <row r="724" spans="1:4" x14ac:dyDescent="0.35">
      <c r="A724" t="s">
        <v>755</v>
      </c>
      <c r="B724">
        <v>0</v>
      </c>
      <c r="C724">
        <f>Earnings!C724/160</f>
        <v>2455.6799999999998</v>
      </c>
      <c r="D724">
        <f t="shared" si="11"/>
        <v>0</v>
      </c>
    </row>
    <row r="725" spans="1:4" x14ac:dyDescent="0.35">
      <c r="A725" t="s">
        <v>756</v>
      </c>
      <c r="B725">
        <v>0</v>
      </c>
      <c r="C725">
        <f>Earnings!C725/160</f>
        <v>2771.52</v>
      </c>
      <c r="D725">
        <f t="shared" si="11"/>
        <v>0</v>
      </c>
    </row>
    <row r="726" spans="1:4" x14ac:dyDescent="0.35">
      <c r="A726" t="s">
        <v>757</v>
      </c>
      <c r="B726">
        <v>0</v>
      </c>
      <c r="C726">
        <f>Earnings!C726/160</f>
        <v>1943.7047500000001</v>
      </c>
      <c r="D726">
        <f t="shared" si="11"/>
        <v>0</v>
      </c>
    </row>
    <row r="727" spans="1:4" x14ac:dyDescent="0.35">
      <c r="A727" t="s">
        <v>758</v>
      </c>
      <c r="B727">
        <v>0</v>
      </c>
      <c r="C727">
        <f>Earnings!C727/160</f>
        <v>3027.4338749999997</v>
      </c>
      <c r="D727">
        <f t="shared" si="11"/>
        <v>0</v>
      </c>
    </row>
    <row r="728" spans="1:4" x14ac:dyDescent="0.35">
      <c r="A728" t="s">
        <v>759</v>
      </c>
      <c r="B728">
        <v>9</v>
      </c>
      <c r="C728">
        <f>Earnings!C728/160</f>
        <v>2844.1025</v>
      </c>
      <c r="D728">
        <f t="shared" si="11"/>
        <v>51193.845000000001</v>
      </c>
    </row>
    <row r="729" spans="1:4" x14ac:dyDescent="0.35">
      <c r="A729" t="s">
        <v>760</v>
      </c>
      <c r="B729">
        <v>0</v>
      </c>
      <c r="C729">
        <f>Earnings!C729/160</f>
        <v>2788.7012500000001</v>
      </c>
      <c r="D729">
        <f t="shared" si="11"/>
        <v>0</v>
      </c>
    </row>
    <row r="730" spans="1:4" x14ac:dyDescent="0.35">
      <c r="A730" t="s">
        <v>761</v>
      </c>
      <c r="B730">
        <v>15</v>
      </c>
      <c r="C730">
        <f>Earnings!C730/160</f>
        <v>2563.6818749999998</v>
      </c>
      <c r="D730">
        <f t="shared" si="11"/>
        <v>76910.456249999988</v>
      </c>
    </row>
    <row r="731" spans="1:4" x14ac:dyDescent="0.35">
      <c r="A731" t="s">
        <v>762</v>
      </c>
      <c r="B731">
        <v>28</v>
      </c>
      <c r="C731">
        <f>Earnings!C731/160</f>
        <v>1203.425</v>
      </c>
      <c r="D731">
        <f t="shared" si="11"/>
        <v>67391.8</v>
      </c>
    </row>
    <row r="732" spans="1:4" x14ac:dyDescent="0.35">
      <c r="A732" t="s">
        <v>763</v>
      </c>
      <c r="B732">
        <v>0</v>
      </c>
      <c r="C732">
        <f>Earnings!C732/160</f>
        <v>2251.65</v>
      </c>
      <c r="D732">
        <f t="shared" si="11"/>
        <v>0</v>
      </c>
    </row>
    <row r="733" spans="1:4" x14ac:dyDescent="0.35">
      <c r="A733" t="s">
        <v>764</v>
      </c>
      <c r="B733">
        <v>0</v>
      </c>
      <c r="C733">
        <f>Earnings!C733/160</f>
        <v>1472.69</v>
      </c>
      <c r="D733">
        <f t="shared" si="11"/>
        <v>0</v>
      </c>
    </row>
    <row r="734" spans="1:4" x14ac:dyDescent="0.35">
      <c r="A734" t="s">
        <v>765</v>
      </c>
      <c r="B734">
        <v>0</v>
      </c>
      <c r="C734">
        <f>Earnings!C734/160</f>
        <v>1116.3399999999999</v>
      </c>
      <c r="D734">
        <f t="shared" si="11"/>
        <v>0</v>
      </c>
    </row>
    <row r="735" spans="1:4" x14ac:dyDescent="0.35">
      <c r="A735" t="s">
        <v>766</v>
      </c>
      <c r="B735">
        <v>0</v>
      </c>
      <c r="C735">
        <f>Earnings!C735/160</f>
        <v>2035.5008750000002</v>
      </c>
      <c r="D735">
        <f t="shared" si="11"/>
        <v>0</v>
      </c>
    </row>
    <row r="736" spans="1:4" x14ac:dyDescent="0.35">
      <c r="A736" t="s">
        <v>767</v>
      </c>
      <c r="B736">
        <v>0</v>
      </c>
      <c r="C736">
        <f>Earnings!C736/160</f>
        <v>2609.0225</v>
      </c>
      <c r="D736">
        <f t="shared" si="11"/>
        <v>0</v>
      </c>
    </row>
    <row r="737" spans="1:4" x14ac:dyDescent="0.35">
      <c r="A737" t="s">
        <v>768</v>
      </c>
      <c r="B737">
        <v>0</v>
      </c>
      <c r="C737">
        <f>Earnings!C737/160</f>
        <v>836.22250000000008</v>
      </c>
      <c r="D737">
        <f t="shared" si="11"/>
        <v>0</v>
      </c>
    </row>
    <row r="738" spans="1:4" x14ac:dyDescent="0.35">
      <c r="A738" t="s">
        <v>769</v>
      </c>
      <c r="B738">
        <v>6</v>
      </c>
      <c r="C738">
        <f>Earnings!C738/160</f>
        <v>3032.83</v>
      </c>
      <c r="D738">
        <f t="shared" si="11"/>
        <v>36393.96</v>
      </c>
    </row>
    <row r="739" spans="1:4" x14ac:dyDescent="0.35">
      <c r="A739" t="s">
        <v>770</v>
      </c>
      <c r="B739">
        <v>0</v>
      </c>
      <c r="C739">
        <f>Earnings!C739/160</f>
        <v>3353.5878749999997</v>
      </c>
      <c r="D739">
        <f t="shared" si="11"/>
        <v>0</v>
      </c>
    </row>
    <row r="740" spans="1:4" x14ac:dyDescent="0.35">
      <c r="A740" t="s">
        <v>771</v>
      </c>
      <c r="B740">
        <v>0</v>
      </c>
      <c r="C740">
        <f>Earnings!C740/160</f>
        <v>2397.7449999999999</v>
      </c>
      <c r="D740">
        <f t="shared" si="11"/>
        <v>0</v>
      </c>
    </row>
    <row r="741" spans="1:4" x14ac:dyDescent="0.35">
      <c r="A741" t="s">
        <v>772</v>
      </c>
      <c r="B741">
        <v>0</v>
      </c>
      <c r="C741">
        <f>Earnings!C741/160</f>
        <v>1967.15</v>
      </c>
      <c r="D741">
        <f t="shared" si="11"/>
        <v>0</v>
      </c>
    </row>
    <row r="742" spans="1:4" x14ac:dyDescent="0.35">
      <c r="A742" t="s">
        <v>773</v>
      </c>
      <c r="B742">
        <v>9</v>
      </c>
      <c r="C742">
        <f>Earnings!C742/160</f>
        <v>2434.3156250000002</v>
      </c>
      <c r="D742">
        <f t="shared" si="11"/>
        <v>43817.681250000001</v>
      </c>
    </row>
    <row r="743" spans="1:4" x14ac:dyDescent="0.35">
      <c r="A743" t="s">
        <v>774</v>
      </c>
      <c r="B743">
        <v>0</v>
      </c>
      <c r="C743">
        <f>Earnings!C743/160</f>
        <v>2069.4349999999999</v>
      </c>
      <c r="D743">
        <f t="shared" si="11"/>
        <v>0</v>
      </c>
    </row>
    <row r="744" spans="1:4" x14ac:dyDescent="0.35">
      <c r="A744" t="s">
        <v>775</v>
      </c>
      <c r="B744">
        <v>16</v>
      </c>
      <c r="C744">
        <f>Earnings!C744/160</f>
        <v>3012.7492499999998</v>
      </c>
      <c r="D744">
        <f t="shared" si="11"/>
        <v>96407.975999999995</v>
      </c>
    </row>
    <row r="745" spans="1:4" x14ac:dyDescent="0.35">
      <c r="A745" t="s">
        <v>776</v>
      </c>
      <c r="B745">
        <v>5</v>
      </c>
      <c r="C745">
        <f>Earnings!C745/160</f>
        <v>2573.1747500000001</v>
      </c>
      <c r="D745">
        <f t="shared" si="11"/>
        <v>25731.747500000001</v>
      </c>
    </row>
    <row r="746" spans="1:4" x14ac:dyDescent="0.35">
      <c r="A746" t="s">
        <v>777</v>
      </c>
      <c r="B746">
        <v>25</v>
      </c>
      <c r="C746">
        <f>Earnings!C746/160</f>
        <v>1364.0425</v>
      </c>
      <c r="D746">
        <f t="shared" si="11"/>
        <v>68202.125</v>
      </c>
    </row>
    <row r="747" spans="1:4" x14ac:dyDescent="0.35">
      <c r="A747" t="s">
        <v>778</v>
      </c>
      <c r="B747">
        <v>0</v>
      </c>
      <c r="C747">
        <f>Earnings!C747/160</f>
        <v>3240.7249999999999</v>
      </c>
      <c r="D747">
        <f t="shared" si="11"/>
        <v>0</v>
      </c>
    </row>
    <row r="748" spans="1:4" x14ac:dyDescent="0.35">
      <c r="A748" t="s">
        <v>779</v>
      </c>
      <c r="B748">
        <v>0</v>
      </c>
      <c r="C748">
        <f>Earnings!C748/160</f>
        <v>3062.4627499999997</v>
      </c>
      <c r="D748">
        <f t="shared" si="11"/>
        <v>0</v>
      </c>
    </row>
    <row r="749" spans="1:4" x14ac:dyDescent="0.35">
      <c r="A749" t="s">
        <v>780</v>
      </c>
      <c r="B749">
        <v>25</v>
      </c>
      <c r="C749">
        <f>Earnings!C749/160</f>
        <v>2437.935125</v>
      </c>
      <c r="D749">
        <f t="shared" si="11"/>
        <v>121896.75625000001</v>
      </c>
    </row>
    <row r="750" spans="1:4" x14ac:dyDescent="0.35">
      <c r="A750" t="s">
        <v>781</v>
      </c>
      <c r="B750">
        <v>10</v>
      </c>
      <c r="C750">
        <f>Earnings!C750/160</f>
        <v>1364.0825</v>
      </c>
      <c r="D750">
        <f t="shared" si="11"/>
        <v>27281.65</v>
      </c>
    </row>
    <row r="751" spans="1:4" x14ac:dyDescent="0.35">
      <c r="A751" t="s">
        <v>782</v>
      </c>
      <c r="B751">
        <v>8</v>
      </c>
      <c r="C751">
        <f>Earnings!C751/160</f>
        <v>2747.5709999999999</v>
      </c>
      <c r="D751">
        <f t="shared" si="11"/>
        <v>43961.135999999999</v>
      </c>
    </row>
    <row r="752" spans="1:4" x14ac:dyDescent="0.35">
      <c r="A752" t="s">
        <v>783</v>
      </c>
      <c r="B752">
        <v>21</v>
      </c>
      <c r="C752">
        <f>Earnings!C752/160</f>
        <v>1512.2337499999999</v>
      </c>
      <c r="D752">
        <f t="shared" si="11"/>
        <v>63513.817499999997</v>
      </c>
    </row>
    <row r="753" spans="1:4" x14ac:dyDescent="0.35">
      <c r="A753" t="s">
        <v>784</v>
      </c>
      <c r="B753">
        <v>8</v>
      </c>
      <c r="C753">
        <f>Earnings!C753/160</f>
        <v>1192.6725000000001</v>
      </c>
      <c r="D753">
        <f t="shared" si="11"/>
        <v>19082.760000000002</v>
      </c>
    </row>
    <row r="754" spans="1:4" x14ac:dyDescent="0.35">
      <c r="A754" t="s">
        <v>785</v>
      </c>
      <c r="B754">
        <v>0</v>
      </c>
      <c r="C754">
        <f>Earnings!C754/160</f>
        <v>1908.36</v>
      </c>
      <c r="D754">
        <f t="shared" si="11"/>
        <v>0</v>
      </c>
    </row>
    <row r="755" spans="1:4" x14ac:dyDescent="0.35">
      <c r="A755" t="s">
        <v>786</v>
      </c>
      <c r="B755">
        <v>0</v>
      </c>
      <c r="C755">
        <f>Earnings!C755/160</f>
        <v>2918.5472500000001</v>
      </c>
      <c r="D755">
        <f t="shared" si="11"/>
        <v>0</v>
      </c>
    </row>
    <row r="756" spans="1:4" x14ac:dyDescent="0.35">
      <c r="A756" t="s">
        <v>787</v>
      </c>
      <c r="B756">
        <v>0</v>
      </c>
      <c r="C756">
        <f>Earnings!C756/160</f>
        <v>2621.7981250000003</v>
      </c>
      <c r="D756">
        <f t="shared" si="11"/>
        <v>0</v>
      </c>
    </row>
    <row r="757" spans="1:4" x14ac:dyDescent="0.35">
      <c r="A757" t="s">
        <v>788</v>
      </c>
      <c r="B757">
        <v>0</v>
      </c>
      <c r="C757">
        <f>Earnings!C757/160</f>
        <v>1413.0774999999999</v>
      </c>
      <c r="D757">
        <f t="shared" si="11"/>
        <v>0</v>
      </c>
    </row>
    <row r="758" spans="1:4" x14ac:dyDescent="0.35">
      <c r="A758" t="s">
        <v>789</v>
      </c>
      <c r="B758">
        <v>28</v>
      </c>
      <c r="C758">
        <f>Earnings!C758/160</f>
        <v>2703.4724999999999</v>
      </c>
      <c r="D758">
        <f t="shared" si="11"/>
        <v>151394.46</v>
      </c>
    </row>
    <row r="759" spans="1:4" x14ac:dyDescent="0.35">
      <c r="A759" t="s">
        <v>790</v>
      </c>
      <c r="B759">
        <v>0</v>
      </c>
      <c r="C759">
        <f>Earnings!C759/160</f>
        <v>1990.4115000000002</v>
      </c>
      <c r="D759">
        <f t="shared" si="11"/>
        <v>0</v>
      </c>
    </row>
    <row r="760" spans="1:4" x14ac:dyDescent="0.35">
      <c r="A760" t="s">
        <v>791</v>
      </c>
      <c r="B760">
        <v>10</v>
      </c>
      <c r="C760">
        <f>Earnings!C760/160</f>
        <v>2178.4650000000001</v>
      </c>
      <c r="D760">
        <f t="shared" si="11"/>
        <v>43569.3</v>
      </c>
    </row>
    <row r="761" spans="1:4" x14ac:dyDescent="0.35">
      <c r="A761" t="s">
        <v>792</v>
      </c>
      <c r="B761">
        <v>0</v>
      </c>
      <c r="C761">
        <f>Earnings!C761/160</f>
        <v>1676.2180000000001</v>
      </c>
      <c r="D761">
        <f t="shared" si="11"/>
        <v>0</v>
      </c>
    </row>
    <row r="762" spans="1:4" x14ac:dyDescent="0.35">
      <c r="A762" t="s">
        <v>793</v>
      </c>
      <c r="B762">
        <v>23</v>
      </c>
      <c r="C762">
        <f>Earnings!C762/160</f>
        <v>2291.1268749999999</v>
      </c>
      <c r="D762">
        <f t="shared" si="11"/>
        <v>105391.83624999999</v>
      </c>
    </row>
    <row r="763" spans="1:4" x14ac:dyDescent="0.35">
      <c r="A763" t="s">
        <v>794</v>
      </c>
      <c r="B763">
        <v>0</v>
      </c>
      <c r="C763">
        <f>Earnings!C763/160</f>
        <v>2474.3474999999999</v>
      </c>
      <c r="D763">
        <f t="shared" si="11"/>
        <v>0</v>
      </c>
    </row>
    <row r="764" spans="1:4" x14ac:dyDescent="0.35">
      <c r="A764" t="s">
        <v>795</v>
      </c>
      <c r="B764">
        <v>7</v>
      </c>
      <c r="C764">
        <f>Earnings!C764/160</f>
        <v>1772.9208750000003</v>
      </c>
      <c r="D764">
        <f t="shared" si="11"/>
        <v>24820.892250000004</v>
      </c>
    </row>
    <row r="765" spans="1:4" x14ac:dyDescent="0.35">
      <c r="A765" t="s">
        <v>796</v>
      </c>
      <c r="B765">
        <v>0</v>
      </c>
      <c r="C765">
        <f>Earnings!C765/160</f>
        <v>2159.5851250000001</v>
      </c>
      <c r="D765">
        <f t="shared" si="11"/>
        <v>0</v>
      </c>
    </row>
    <row r="766" spans="1:4" x14ac:dyDescent="0.35">
      <c r="A766" t="s">
        <v>797</v>
      </c>
      <c r="B766">
        <v>0</v>
      </c>
      <c r="C766">
        <f>Earnings!C766/160</f>
        <v>1936.1546249999999</v>
      </c>
      <c r="D766">
        <f t="shared" si="11"/>
        <v>0</v>
      </c>
    </row>
    <row r="767" spans="1:4" x14ac:dyDescent="0.35">
      <c r="A767" t="s">
        <v>798</v>
      </c>
      <c r="B767">
        <v>22</v>
      </c>
      <c r="C767">
        <f>Earnings!C767/160</f>
        <v>1917.6974999999998</v>
      </c>
      <c r="D767">
        <f t="shared" si="11"/>
        <v>84378.689999999988</v>
      </c>
    </row>
    <row r="768" spans="1:4" x14ac:dyDescent="0.35">
      <c r="A768" t="s">
        <v>799</v>
      </c>
      <c r="B768">
        <v>0</v>
      </c>
      <c r="C768">
        <f>Earnings!C768/160</f>
        <v>1959.4325000000001</v>
      </c>
      <c r="D768">
        <f t="shared" si="11"/>
        <v>0</v>
      </c>
    </row>
    <row r="769" spans="1:4" x14ac:dyDescent="0.35">
      <c r="A769" t="s">
        <v>800</v>
      </c>
      <c r="B769">
        <v>0</v>
      </c>
      <c r="C769">
        <f>Earnings!C769/160</f>
        <v>1461.5650000000001</v>
      </c>
      <c r="D769">
        <f t="shared" si="11"/>
        <v>0</v>
      </c>
    </row>
    <row r="770" spans="1:4" x14ac:dyDescent="0.35">
      <c r="A770" t="s">
        <v>801</v>
      </c>
      <c r="B770">
        <v>18</v>
      </c>
      <c r="C770">
        <f>Earnings!C770/160</f>
        <v>2450.9311250000001</v>
      </c>
      <c r="D770">
        <f t="shared" ref="D770:D833" si="12">B770*C770*2</f>
        <v>88233.520499999999</v>
      </c>
    </row>
    <row r="771" spans="1:4" x14ac:dyDescent="0.35">
      <c r="A771" t="s">
        <v>802</v>
      </c>
      <c r="B771">
        <v>0</v>
      </c>
      <c r="C771">
        <f>Earnings!C771/160</f>
        <v>1073.2049999999999</v>
      </c>
      <c r="D771">
        <f t="shared" si="12"/>
        <v>0</v>
      </c>
    </row>
    <row r="772" spans="1:4" x14ac:dyDescent="0.35">
      <c r="A772" t="s">
        <v>803</v>
      </c>
      <c r="B772">
        <v>6</v>
      </c>
      <c r="C772">
        <f>Earnings!C772/160</f>
        <v>2137.1057499999997</v>
      </c>
      <c r="D772">
        <f t="shared" si="12"/>
        <v>25645.268999999997</v>
      </c>
    </row>
    <row r="773" spans="1:4" x14ac:dyDescent="0.35">
      <c r="A773" t="s">
        <v>804</v>
      </c>
      <c r="B773">
        <v>0</v>
      </c>
      <c r="C773">
        <f>Earnings!C773/160</f>
        <v>2083.9474999999998</v>
      </c>
      <c r="D773">
        <f t="shared" si="12"/>
        <v>0</v>
      </c>
    </row>
    <row r="774" spans="1:4" x14ac:dyDescent="0.35">
      <c r="A774" t="s">
        <v>805</v>
      </c>
      <c r="B774">
        <v>0</v>
      </c>
      <c r="C774">
        <f>Earnings!C774/160</f>
        <v>2050.2876249999999</v>
      </c>
      <c r="D774">
        <f t="shared" si="12"/>
        <v>0</v>
      </c>
    </row>
    <row r="775" spans="1:4" x14ac:dyDescent="0.35">
      <c r="A775" t="s">
        <v>806</v>
      </c>
      <c r="B775">
        <v>0</v>
      </c>
      <c r="C775">
        <f>Earnings!C775/160</f>
        <v>2863.7346250000001</v>
      </c>
      <c r="D775">
        <f t="shared" si="12"/>
        <v>0</v>
      </c>
    </row>
    <row r="776" spans="1:4" x14ac:dyDescent="0.35">
      <c r="A776" t="s">
        <v>807</v>
      </c>
      <c r="B776">
        <v>23</v>
      </c>
      <c r="C776">
        <f>Earnings!C776/160</f>
        <v>1567.5450000000001</v>
      </c>
      <c r="D776">
        <f t="shared" si="12"/>
        <v>72107.070000000007</v>
      </c>
    </row>
    <row r="777" spans="1:4" x14ac:dyDescent="0.35">
      <c r="A777" t="s">
        <v>808</v>
      </c>
      <c r="B777">
        <v>30</v>
      </c>
      <c r="C777">
        <f>Earnings!C777/160</f>
        <v>2229.86375</v>
      </c>
      <c r="D777">
        <f t="shared" si="12"/>
        <v>133791.82500000001</v>
      </c>
    </row>
    <row r="778" spans="1:4" x14ac:dyDescent="0.35">
      <c r="A778" t="s">
        <v>809</v>
      </c>
      <c r="B778">
        <v>10</v>
      </c>
      <c r="C778">
        <f>Earnings!C778/160</f>
        <v>3411.7525000000001</v>
      </c>
      <c r="D778">
        <f t="shared" si="12"/>
        <v>68235.05</v>
      </c>
    </row>
    <row r="779" spans="1:4" x14ac:dyDescent="0.35">
      <c r="A779" t="s">
        <v>810</v>
      </c>
      <c r="B779">
        <v>20</v>
      </c>
      <c r="C779">
        <f>Earnings!C779/160</f>
        <v>1238.28</v>
      </c>
      <c r="D779">
        <f t="shared" si="12"/>
        <v>49531.199999999997</v>
      </c>
    </row>
    <row r="780" spans="1:4" x14ac:dyDescent="0.35">
      <c r="A780" t="s">
        <v>811</v>
      </c>
      <c r="B780">
        <v>13</v>
      </c>
      <c r="C780">
        <f>Earnings!C780/160</f>
        <v>1982.1654999999998</v>
      </c>
      <c r="D780">
        <f t="shared" si="12"/>
        <v>51536.302999999993</v>
      </c>
    </row>
    <row r="781" spans="1:4" x14ac:dyDescent="0.35">
      <c r="A781" t="s">
        <v>812</v>
      </c>
      <c r="B781">
        <v>0</v>
      </c>
      <c r="C781">
        <f>Earnings!C781/160</f>
        <v>1088.27</v>
      </c>
      <c r="D781">
        <f t="shared" si="12"/>
        <v>0</v>
      </c>
    </row>
    <row r="782" spans="1:4" x14ac:dyDescent="0.35">
      <c r="A782" t="s">
        <v>813</v>
      </c>
      <c r="B782">
        <v>0</v>
      </c>
      <c r="C782">
        <f>Earnings!C782/160</f>
        <v>2388.8849999999998</v>
      </c>
      <c r="D782">
        <f t="shared" si="12"/>
        <v>0</v>
      </c>
    </row>
    <row r="783" spans="1:4" x14ac:dyDescent="0.35">
      <c r="A783" t="s">
        <v>814</v>
      </c>
      <c r="B783">
        <v>0</v>
      </c>
      <c r="C783">
        <f>Earnings!C783/160</f>
        <v>2541.2215000000001</v>
      </c>
      <c r="D783">
        <f t="shared" si="12"/>
        <v>0</v>
      </c>
    </row>
    <row r="784" spans="1:4" x14ac:dyDescent="0.35">
      <c r="A784" t="s">
        <v>815</v>
      </c>
      <c r="B784">
        <v>8</v>
      </c>
      <c r="C784">
        <f>Earnings!C784/160</f>
        <v>1775.5374999999999</v>
      </c>
      <c r="D784">
        <f t="shared" si="12"/>
        <v>28408.6</v>
      </c>
    </row>
    <row r="785" spans="1:4" x14ac:dyDescent="0.35">
      <c r="A785" t="s">
        <v>816</v>
      </c>
      <c r="B785">
        <v>0</v>
      </c>
      <c r="C785">
        <f>Earnings!C785/160</f>
        <v>2085.58</v>
      </c>
      <c r="D785">
        <f t="shared" si="12"/>
        <v>0</v>
      </c>
    </row>
    <row r="786" spans="1:4" x14ac:dyDescent="0.35">
      <c r="A786" t="s">
        <v>817</v>
      </c>
      <c r="B786">
        <v>8</v>
      </c>
      <c r="C786">
        <f>Earnings!C786/160</f>
        <v>1549.98675</v>
      </c>
      <c r="D786">
        <f t="shared" si="12"/>
        <v>24799.788</v>
      </c>
    </row>
    <row r="787" spans="1:4" x14ac:dyDescent="0.35">
      <c r="A787" t="s">
        <v>818</v>
      </c>
      <c r="B787">
        <v>30</v>
      </c>
      <c r="C787">
        <f>Earnings!C787/160</f>
        <v>2458.2603749999998</v>
      </c>
      <c r="D787">
        <f t="shared" si="12"/>
        <v>147495.6225</v>
      </c>
    </row>
    <row r="788" spans="1:4" x14ac:dyDescent="0.35">
      <c r="A788" t="s">
        <v>819</v>
      </c>
      <c r="B788">
        <v>24</v>
      </c>
      <c r="C788">
        <f>Earnings!C788/160</f>
        <v>1358.0036249999998</v>
      </c>
      <c r="D788">
        <f t="shared" si="12"/>
        <v>65184.173999999992</v>
      </c>
    </row>
    <row r="789" spans="1:4" x14ac:dyDescent="0.35">
      <c r="A789" t="s">
        <v>820</v>
      </c>
      <c r="B789">
        <v>0</v>
      </c>
      <c r="C789">
        <f>Earnings!C789/160</f>
        <v>2793.6531249999998</v>
      </c>
      <c r="D789">
        <f t="shared" si="12"/>
        <v>0</v>
      </c>
    </row>
    <row r="790" spans="1:4" x14ac:dyDescent="0.35">
      <c r="A790" t="s">
        <v>821</v>
      </c>
      <c r="B790">
        <v>10</v>
      </c>
      <c r="C790">
        <f>Earnings!C790/160</f>
        <v>1184.0135</v>
      </c>
      <c r="D790">
        <f t="shared" si="12"/>
        <v>23680.27</v>
      </c>
    </row>
    <row r="791" spans="1:4" x14ac:dyDescent="0.35">
      <c r="A791" t="s">
        <v>822</v>
      </c>
      <c r="B791">
        <v>7</v>
      </c>
      <c r="C791">
        <f>Earnings!C791/160</f>
        <v>1896.5372500000001</v>
      </c>
      <c r="D791">
        <f t="shared" si="12"/>
        <v>26551.521500000003</v>
      </c>
    </row>
    <row r="792" spans="1:4" x14ac:dyDescent="0.35">
      <c r="A792" t="s">
        <v>823</v>
      </c>
      <c r="B792">
        <v>0</v>
      </c>
      <c r="C792">
        <f>Earnings!C792/160</f>
        <v>2028.0718750000001</v>
      </c>
      <c r="D792">
        <f t="shared" si="12"/>
        <v>0</v>
      </c>
    </row>
    <row r="793" spans="1:4" x14ac:dyDescent="0.35">
      <c r="A793" t="s">
        <v>824</v>
      </c>
      <c r="B793">
        <v>16</v>
      </c>
      <c r="C793">
        <f>Earnings!C793/160</f>
        <v>3622.3428749999998</v>
      </c>
      <c r="D793">
        <f t="shared" si="12"/>
        <v>115914.97199999999</v>
      </c>
    </row>
    <row r="794" spans="1:4" x14ac:dyDescent="0.35">
      <c r="A794" t="s">
        <v>825</v>
      </c>
      <c r="B794">
        <v>0</v>
      </c>
      <c r="C794">
        <f>Earnings!C794/160</f>
        <v>1745.665375</v>
      </c>
      <c r="D794">
        <f t="shared" si="12"/>
        <v>0</v>
      </c>
    </row>
    <row r="795" spans="1:4" x14ac:dyDescent="0.35">
      <c r="A795" t="s">
        <v>826</v>
      </c>
      <c r="B795">
        <v>28</v>
      </c>
      <c r="C795">
        <f>Earnings!C795/160</f>
        <v>1474.8465000000001</v>
      </c>
      <c r="D795">
        <f t="shared" si="12"/>
        <v>82591.40400000001</v>
      </c>
    </row>
    <row r="796" spans="1:4" x14ac:dyDescent="0.35">
      <c r="A796" t="s">
        <v>827</v>
      </c>
      <c r="B796">
        <v>0</v>
      </c>
      <c r="C796">
        <f>Earnings!C796/160</f>
        <v>2092.93075</v>
      </c>
      <c r="D796">
        <f t="shared" si="12"/>
        <v>0</v>
      </c>
    </row>
    <row r="797" spans="1:4" x14ac:dyDescent="0.35">
      <c r="A797" t="s">
        <v>828</v>
      </c>
      <c r="B797">
        <v>6</v>
      </c>
      <c r="C797">
        <f>Earnings!C797/160</f>
        <v>1295.8878749999999</v>
      </c>
      <c r="D797">
        <f t="shared" si="12"/>
        <v>15550.654499999999</v>
      </c>
    </row>
    <row r="798" spans="1:4" x14ac:dyDescent="0.35">
      <c r="A798" t="s">
        <v>829</v>
      </c>
      <c r="B798">
        <v>0</v>
      </c>
      <c r="C798">
        <f>Earnings!C798/160</f>
        <v>2637.1275000000001</v>
      </c>
      <c r="D798">
        <f t="shared" si="12"/>
        <v>0</v>
      </c>
    </row>
    <row r="799" spans="1:4" x14ac:dyDescent="0.35">
      <c r="A799" t="s">
        <v>830</v>
      </c>
      <c r="B799">
        <v>12</v>
      </c>
      <c r="C799">
        <f>Earnings!C799/160</f>
        <v>2289.0297500000001</v>
      </c>
      <c r="D799">
        <f t="shared" si="12"/>
        <v>54936.714000000007</v>
      </c>
    </row>
    <row r="800" spans="1:4" x14ac:dyDescent="0.35">
      <c r="A800" t="s">
        <v>831</v>
      </c>
      <c r="B800">
        <v>14</v>
      </c>
      <c r="C800">
        <f>Earnings!C800/160</f>
        <v>2473.7349999999997</v>
      </c>
      <c r="D800">
        <f t="shared" si="12"/>
        <v>69264.579999999987</v>
      </c>
    </row>
    <row r="801" spans="1:4" x14ac:dyDescent="0.35">
      <c r="A801" t="s">
        <v>832</v>
      </c>
      <c r="B801">
        <v>0</v>
      </c>
      <c r="C801">
        <f>Earnings!C801/160</f>
        <v>2903.4450000000002</v>
      </c>
      <c r="D801">
        <f t="shared" si="12"/>
        <v>0</v>
      </c>
    </row>
    <row r="802" spans="1:4" x14ac:dyDescent="0.35">
      <c r="A802" t="s">
        <v>833</v>
      </c>
      <c r="B802">
        <v>0</v>
      </c>
      <c r="C802">
        <f>Earnings!C802/160</f>
        <v>1611.325875</v>
      </c>
      <c r="D802">
        <f t="shared" si="12"/>
        <v>0</v>
      </c>
    </row>
    <row r="803" spans="1:4" x14ac:dyDescent="0.35">
      <c r="A803" t="s">
        <v>834</v>
      </c>
      <c r="B803">
        <v>0</v>
      </c>
      <c r="C803">
        <f>Earnings!C803/160</f>
        <v>2573.2725</v>
      </c>
      <c r="D803">
        <f t="shared" si="12"/>
        <v>0</v>
      </c>
    </row>
    <row r="804" spans="1:4" x14ac:dyDescent="0.35">
      <c r="A804" t="s">
        <v>835</v>
      </c>
      <c r="B804">
        <v>0</v>
      </c>
      <c r="C804">
        <f>Earnings!C804/160</f>
        <v>2054.8832499999999</v>
      </c>
      <c r="D804">
        <f t="shared" si="12"/>
        <v>0</v>
      </c>
    </row>
    <row r="805" spans="1:4" x14ac:dyDescent="0.35">
      <c r="A805" t="s">
        <v>836</v>
      </c>
      <c r="B805">
        <v>0</v>
      </c>
      <c r="C805">
        <f>Earnings!C805/160</f>
        <v>1607.96525</v>
      </c>
      <c r="D805">
        <f t="shared" si="12"/>
        <v>0</v>
      </c>
    </row>
    <row r="806" spans="1:4" x14ac:dyDescent="0.35">
      <c r="A806" t="s">
        <v>837</v>
      </c>
      <c r="B806">
        <v>30</v>
      </c>
      <c r="C806">
        <f>Earnings!C806/160</f>
        <v>1231.751</v>
      </c>
      <c r="D806">
        <f t="shared" si="12"/>
        <v>73905.06</v>
      </c>
    </row>
    <row r="807" spans="1:4" x14ac:dyDescent="0.35">
      <c r="A807" t="s">
        <v>838</v>
      </c>
      <c r="B807">
        <v>5</v>
      </c>
      <c r="C807">
        <f>Earnings!C807/160</f>
        <v>2340.8498749999999</v>
      </c>
      <c r="D807">
        <f t="shared" si="12"/>
        <v>23408.498749999999</v>
      </c>
    </row>
    <row r="808" spans="1:4" x14ac:dyDescent="0.35">
      <c r="A808" t="s">
        <v>839</v>
      </c>
      <c r="B808">
        <v>0</v>
      </c>
      <c r="C808">
        <f>Earnings!C808/160</f>
        <v>1545.6666250000001</v>
      </c>
      <c r="D808">
        <f t="shared" si="12"/>
        <v>0</v>
      </c>
    </row>
    <row r="809" spans="1:4" x14ac:dyDescent="0.35">
      <c r="A809" t="s">
        <v>840</v>
      </c>
      <c r="B809">
        <v>21</v>
      </c>
      <c r="C809">
        <f>Earnings!C809/160</f>
        <v>1429.8</v>
      </c>
      <c r="D809">
        <f t="shared" si="12"/>
        <v>60051.6</v>
      </c>
    </row>
    <row r="810" spans="1:4" x14ac:dyDescent="0.35">
      <c r="A810" t="s">
        <v>841</v>
      </c>
      <c r="B810">
        <v>15</v>
      </c>
      <c r="C810">
        <f>Earnings!C810/160</f>
        <v>1814.6775000000002</v>
      </c>
      <c r="D810">
        <f t="shared" si="12"/>
        <v>54440.325000000004</v>
      </c>
    </row>
    <row r="811" spans="1:4" x14ac:dyDescent="0.35">
      <c r="A811" t="s">
        <v>842</v>
      </c>
      <c r="B811">
        <v>27</v>
      </c>
      <c r="C811">
        <f>Earnings!C811/160</f>
        <v>1602.5</v>
      </c>
      <c r="D811">
        <f t="shared" si="12"/>
        <v>86535</v>
      </c>
    </row>
    <row r="812" spans="1:4" x14ac:dyDescent="0.35">
      <c r="A812" t="s">
        <v>843</v>
      </c>
      <c r="B812">
        <v>18</v>
      </c>
      <c r="C812">
        <f>Earnings!C812/160</f>
        <v>2071.1750000000002</v>
      </c>
      <c r="D812">
        <f t="shared" si="12"/>
        <v>74562.3</v>
      </c>
    </row>
    <row r="813" spans="1:4" x14ac:dyDescent="0.35">
      <c r="A813" t="s">
        <v>844</v>
      </c>
      <c r="B813">
        <v>0</v>
      </c>
      <c r="C813">
        <f>Earnings!C813/160</f>
        <v>3016.3735000000001</v>
      </c>
      <c r="D813">
        <f t="shared" si="12"/>
        <v>0</v>
      </c>
    </row>
    <row r="814" spans="1:4" x14ac:dyDescent="0.35">
      <c r="A814" t="s">
        <v>845</v>
      </c>
      <c r="B814">
        <v>15</v>
      </c>
      <c r="C814">
        <f>Earnings!C814/160</f>
        <v>1633.73</v>
      </c>
      <c r="D814">
        <f t="shared" si="12"/>
        <v>49011.9</v>
      </c>
    </row>
    <row r="815" spans="1:4" x14ac:dyDescent="0.35">
      <c r="A815" t="s">
        <v>846</v>
      </c>
      <c r="B815">
        <v>0</v>
      </c>
      <c r="C815">
        <f>Earnings!C815/160</f>
        <v>2804.1601250000008</v>
      </c>
      <c r="D815">
        <f t="shared" si="12"/>
        <v>0</v>
      </c>
    </row>
    <row r="816" spans="1:4" x14ac:dyDescent="0.35">
      <c r="A816" t="s">
        <v>847</v>
      </c>
      <c r="B816">
        <v>16</v>
      </c>
      <c r="C816">
        <f>Earnings!C816/160</f>
        <v>1186.626</v>
      </c>
      <c r="D816">
        <f t="shared" si="12"/>
        <v>37972.031999999999</v>
      </c>
    </row>
    <row r="817" spans="1:4" x14ac:dyDescent="0.35">
      <c r="A817" t="s">
        <v>848</v>
      </c>
      <c r="B817">
        <v>17</v>
      </c>
      <c r="C817">
        <f>Earnings!C817/160</f>
        <v>1902.5650000000001</v>
      </c>
      <c r="D817">
        <f t="shared" si="12"/>
        <v>64687.21</v>
      </c>
    </row>
    <row r="818" spans="1:4" x14ac:dyDescent="0.35">
      <c r="A818" t="s">
        <v>849</v>
      </c>
      <c r="B818">
        <v>21</v>
      </c>
      <c r="C818">
        <f>Earnings!C818/160</f>
        <v>3641.8275000000003</v>
      </c>
      <c r="D818">
        <f t="shared" si="12"/>
        <v>152956.755</v>
      </c>
    </row>
    <row r="819" spans="1:4" x14ac:dyDescent="0.35">
      <c r="A819" t="s">
        <v>850</v>
      </c>
      <c r="B819">
        <v>0</v>
      </c>
      <c r="C819">
        <f>Earnings!C819/160</f>
        <v>1809.2224999999999</v>
      </c>
      <c r="D819">
        <f t="shared" si="12"/>
        <v>0</v>
      </c>
    </row>
    <row r="820" spans="1:4" x14ac:dyDescent="0.35">
      <c r="A820" t="s">
        <v>851</v>
      </c>
      <c r="B820">
        <v>28</v>
      </c>
      <c r="C820">
        <f>Earnings!C820/160</f>
        <v>2557.1775000000002</v>
      </c>
      <c r="D820">
        <f t="shared" si="12"/>
        <v>143201.94</v>
      </c>
    </row>
    <row r="821" spans="1:4" x14ac:dyDescent="0.35">
      <c r="A821" t="s">
        <v>852</v>
      </c>
      <c r="B821">
        <v>0</v>
      </c>
      <c r="C821">
        <f>Earnings!C821/160</f>
        <v>2110.6838749999997</v>
      </c>
      <c r="D821">
        <f t="shared" si="12"/>
        <v>0</v>
      </c>
    </row>
    <row r="822" spans="1:4" x14ac:dyDescent="0.35">
      <c r="A822" t="s">
        <v>853</v>
      </c>
      <c r="B822">
        <v>0</v>
      </c>
      <c r="C822">
        <f>Earnings!C822/160</f>
        <v>2301.5425</v>
      </c>
      <c r="D822">
        <f t="shared" si="12"/>
        <v>0</v>
      </c>
    </row>
    <row r="823" spans="1:4" x14ac:dyDescent="0.35">
      <c r="A823" t="s">
        <v>854</v>
      </c>
      <c r="B823">
        <v>0</v>
      </c>
      <c r="C823">
        <f>Earnings!C823/160</f>
        <v>2385.4674999999997</v>
      </c>
      <c r="D823">
        <f t="shared" si="12"/>
        <v>0</v>
      </c>
    </row>
    <row r="824" spans="1:4" x14ac:dyDescent="0.35">
      <c r="A824" t="s">
        <v>855</v>
      </c>
      <c r="B824">
        <v>6</v>
      </c>
      <c r="C824">
        <f>Earnings!C824/160</f>
        <v>1894.0743750000001</v>
      </c>
      <c r="D824">
        <f t="shared" si="12"/>
        <v>22728.892500000002</v>
      </c>
    </row>
    <row r="825" spans="1:4" x14ac:dyDescent="0.35">
      <c r="A825" t="s">
        <v>856</v>
      </c>
      <c r="B825">
        <v>0</v>
      </c>
      <c r="C825">
        <f>Earnings!C825/160</f>
        <v>2053.7004999999999</v>
      </c>
      <c r="D825">
        <f t="shared" si="12"/>
        <v>0</v>
      </c>
    </row>
    <row r="826" spans="1:4" x14ac:dyDescent="0.35">
      <c r="A826" t="s">
        <v>857</v>
      </c>
      <c r="B826">
        <v>16</v>
      </c>
      <c r="C826">
        <f>Earnings!C826/160</f>
        <v>3583.4237500000004</v>
      </c>
      <c r="D826">
        <f t="shared" si="12"/>
        <v>114669.56000000001</v>
      </c>
    </row>
    <row r="827" spans="1:4" x14ac:dyDescent="0.35">
      <c r="A827" t="s">
        <v>858</v>
      </c>
      <c r="B827">
        <v>0</v>
      </c>
      <c r="C827">
        <f>Earnings!C827/160</f>
        <v>2281.926125</v>
      </c>
      <c r="D827">
        <f t="shared" si="12"/>
        <v>0</v>
      </c>
    </row>
    <row r="828" spans="1:4" x14ac:dyDescent="0.35">
      <c r="A828" t="s">
        <v>859</v>
      </c>
      <c r="B828">
        <v>25</v>
      </c>
      <c r="C828">
        <f>Earnings!C828/160</f>
        <v>3192.4250000000002</v>
      </c>
      <c r="D828">
        <f t="shared" si="12"/>
        <v>159621.25</v>
      </c>
    </row>
    <row r="829" spans="1:4" x14ac:dyDescent="0.35">
      <c r="A829" t="s">
        <v>860</v>
      </c>
      <c r="B829">
        <v>0</v>
      </c>
      <c r="C829">
        <f>Earnings!C829/160</f>
        <v>2166.1282500000002</v>
      </c>
      <c r="D829">
        <f t="shared" si="12"/>
        <v>0</v>
      </c>
    </row>
    <row r="830" spans="1:4" x14ac:dyDescent="0.35">
      <c r="A830" t="s">
        <v>861</v>
      </c>
      <c r="B830">
        <v>0</v>
      </c>
      <c r="C830">
        <f>Earnings!C830/160</f>
        <v>2373.7673750000004</v>
      </c>
      <c r="D830">
        <f t="shared" si="12"/>
        <v>0</v>
      </c>
    </row>
    <row r="831" spans="1:4" x14ac:dyDescent="0.35">
      <c r="A831" t="s">
        <v>862</v>
      </c>
      <c r="B831">
        <v>20</v>
      </c>
      <c r="C831">
        <f>Earnings!C831/160</f>
        <v>1622.2841249999999</v>
      </c>
      <c r="D831">
        <f t="shared" si="12"/>
        <v>64891.364999999998</v>
      </c>
    </row>
    <row r="832" spans="1:4" x14ac:dyDescent="0.35">
      <c r="A832" t="s">
        <v>863</v>
      </c>
      <c r="B832">
        <v>6</v>
      </c>
      <c r="C832">
        <f>Earnings!C832/160</f>
        <v>1944.6998749999998</v>
      </c>
      <c r="D832">
        <f t="shared" si="12"/>
        <v>23336.398499999996</v>
      </c>
    </row>
    <row r="833" spans="1:4" x14ac:dyDescent="0.35">
      <c r="A833" t="s">
        <v>864</v>
      </c>
      <c r="B833">
        <v>0</v>
      </c>
      <c r="C833">
        <f>Earnings!C833/160</f>
        <v>1800.3165000000001</v>
      </c>
      <c r="D833">
        <f t="shared" si="12"/>
        <v>0</v>
      </c>
    </row>
    <row r="834" spans="1:4" x14ac:dyDescent="0.35">
      <c r="A834" t="s">
        <v>865</v>
      </c>
      <c r="B834">
        <v>6</v>
      </c>
      <c r="C834">
        <f>Earnings!C834/160</f>
        <v>2818.7775000000001</v>
      </c>
      <c r="D834">
        <f t="shared" ref="D834:D897" si="13">B834*C834*2</f>
        <v>33825.33</v>
      </c>
    </row>
    <row r="835" spans="1:4" x14ac:dyDescent="0.35">
      <c r="A835" t="s">
        <v>866</v>
      </c>
      <c r="B835">
        <v>0</v>
      </c>
      <c r="C835">
        <f>Earnings!C835/160</f>
        <v>1798.618375</v>
      </c>
      <c r="D835">
        <f t="shared" si="13"/>
        <v>0</v>
      </c>
    </row>
    <row r="836" spans="1:4" x14ac:dyDescent="0.35">
      <c r="A836" t="s">
        <v>867</v>
      </c>
      <c r="B836">
        <v>0</v>
      </c>
      <c r="C836">
        <f>Earnings!C836/160</f>
        <v>3128.9349999999999</v>
      </c>
      <c r="D836">
        <f t="shared" si="13"/>
        <v>0</v>
      </c>
    </row>
    <row r="837" spans="1:4" x14ac:dyDescent="0.35">
      <c r="A837" t="s">
        <v>868</v>
      </c>
      <c r="B837">
        <v>20</v>
      </c>
      <c r="C837">
        <f>Earnings!C837/160</f>
        <v>1811.6476250000001</v>
      </c>
      <c r="D837">
        <f t="shared" si="13"/>
        <v>72465.904999999999</v>
      </c>
    </row>
    <row r="838" spans="1:4" x14ac:dyDescent="0.35">
      <c r="A838" t="s">
        <v>869</v>
      </c>
      <c r="B838">
        <v>0</v>
      </c>
      <c r="C838">
        <f>Earnings!C838/160</f>
        <v>1600.2725</v>
      </c>
      <c r="D838">
        <f t="shared" si="13"/>
        <v>0</v>
      </c>
    </row>
    <row r="839" spans="1:4" x14ac:dyDescent="0.35">
      <c r="A839" t="s">
        <v>870</v>
      </c>
      <c r="B839">
        <v>9</v>
      </c>
      <c r="C839">
        <f>Earnings!C839/160</f>
        <v>2253.6349999999998</v>
      </c>
      <c r="D839">
        <f t="shared" si="13"/>
        <v>40565.429999999993</v>
      </c>
    </row>
    <row r="840" spans="1:4" x14ac:dyDescent="0.35">
      <c r="A840" t="s">
        <v>871</v>
      </c>
      <c r="B840">
        <v>29</v>
      </c>
      <c r="C840">
        <f>Earnings!C840/160</f>
        <v>2714.0425</v>
      </c>
      <c r="D840">
        <f t="shared" si="13"/>
        <v>157414.465</v>
      </c>
    </row>
    <row r="841" spans="1:4" x14ac:dyDescent="0.35">
      <c r="A841" t="s">
        <v>872</v>
      </c>
      <c r="B841">
        <v>7</v>
      </c>
      <c r="C841">
        <f>Earnings!C841/160</f>
        <v>1859.1849999999999</v>
      </c>
      <c r="D841">
        <f t="shared" si="13"/>
        <v>26028.59</v>
      </c>
    </row>
    <row r="842" spans="1:4" x14ac:dyDescent="0.35">
      <c r="A842" t="s">
        <v>873</v>
      </c>
      <c r="B842">
        <v>7</v>
      </c>
      <c r="C842">
        <f>Earnings!C842/160</f>
        <v>2481.8868750000001</v>
      </c>
      <c r="D842">
        <f t="shared" si="13"/>
        <v>34746.416250000002</v>
      </c>
    </row>
    <row r="843" spans="1:4" x14ac:dyDescent="0.35">
      <c r="A843" t="s">
        <v>874</v>
      </c>
      <c r="B843">
        <v>0</v>
      </c>
      <c r="C843">
        <f>Earnings!C843/160</f>
        <v>2639.7650000000003</v>
      </c>
      <c r="D843">
        <f t="shared" si="13"/>
        <v>0</v>
      </c>
    </row>
    <row r="844" spans="1:4" x14ac:dyDescent="0.35">
      <c r="A844" t="s">
        <v>875</v>
      </c>
      <c r="B844">
        <v>27</v>
      </c>
      <c r="C844">
        <f>Earnings!C844/160</f>
        <v>1685.5900000000001</v>
      </c>
      <c r="D844">
        <f t="shared" si="13"/>
        <v>91021.860000000015</v>
      </c>
    </row>
    <row r="845" spans="1:4" x14ac:dyDescent="0.35">
      <c r="A845" t="s">
        <v>876</v>
      </c>
      <c r="B845">
        <v>0</v>
      </c>
      <c r="C845">
        <f>Earnings!C845/160</f>
        <v>1254.558125</v>
      </c>
      <c r="D845">
        <f t="shared" si="13"/>
        <v>0</v>
      </c>
    </row>
    <row r="846" spans="1:4" x14ac:dyDescent="0.35">
      <c r="A846" t="s">
        <v>877</v>
      </c>
      <c r="B846">
        <v>0</v>
      </c>
      <c r="C846">
        <f>Earnings!C846/160</f>
        <v>1533.8129999999999</v>
      </c>
      <c r="D846">
        <f t="shared" si="13"/>
        <v>0</v>
      </c>
    </row>
    <row r="847" spans="1:4" x14ac:dyDescent="0.35">
      <c r="A847" t="s">
        <v>878</v>
      </c>
      <c r="B847">
        <v>0</v>
      </c>
      <c r="C847">
        <f>Earnings!C847/160</f>
        <v>2323.1475</v>
      </c>
      <c r="D847">
        <f t="shared" si="13"/>
        <v>0</v>
      </c>
    </row>
    <row r="848" spans="1:4" x14ac:dyDescent="0.35">
      <c r="A848" t="s">
        <v>879</v>
      </c>
      <c r="B848">
        <v>10</v>
      </c>
      <c r="C848">
        <f>Earnings!C848/160</f>
        <v>1841.7863750000001</v>
      </c>
      <c r="D848">
        <f t="shared" si="13"/>
        <v>36835.727500000001</v>
      </c>
    </row>
    <row r="849" spans="1:4" x14ac:dyDescent="0.35">
      <c r="A849" t="s">
        <v>880</v>
      </c>
      <c r="B849">
        <v>23</v>
      </c>
      <c r="C849">
        <f>Earnings!C849/160</f>
        <v>1309.0192499999998</v>
      </c>
      <c r="D849">
        <f t="shared" si="13"/>
        <v>60214.885499999989</v>
      </c>
    </row>
    <row r="850" spans="1:4" x14ac:dyDescent="0.35">
      <c r="A850" t="s">
        <v>881</v>
      </c>
      <c r="B850">
        <v>0</v>
      </c>
      <c r="C850">
        <f>Earnings!C850/160</f>
        <v>2183.4277499999998</v>
      </c>
      <c r="D850">
        <f t="shared" si="13"/>
        <v>0</v>
      </c>
    </row>
    <row r="851" spans="1:4" x14ac:dyDescent="0.35">
      <c r="A851" t="s">
        <v>882</v>
      </c>
      <c r="B851">
        <v>0</v>
      </c>
      <c r="C851">
        <f>Earnings!C851/160</f>
        <v>2838.01575</v>
      </c>
      <c r="D851">
        <f t="shared" si="13"/>
        <v>0</v>
      </c>
    </row>
    <row r="852" spans="1:4" x14ac:dyDescent="0.35">
      <c r="A852" t="s">
        <v>883</v>
      </c>
      <c r="B852">
        <v>24</v>
      </c>
      <c r="C852">
        <f>Earnings!C852/160</f>
        <v>1648.3150000000001</v>
      </c>
      <c r="D852">
        <f t="shared" si="13"/>
        <v>79119.12</v>
      </c>
    </row>
    <row r="853" spans="1:4" x14ac:dyDescent="0.35">
      <c r="A853" t="s">
        <v>884</v>
      </c>
      <c r="B853">
        <v>0</v>
      </c>
      <c r="C853">
        <f>Earnings!C853/160</f>
        <v>2910.5791249999997</v>
      </c>
      <c r="D853">
        <f t="shared" si="13"/>
        <v>0</v>
      </c>
    </row>
    <row r="854" spans="1:4" x14ac:dyDescent="0.35">
      <c r="A854" t="s">
        <v>885</v>
      </c>
      <c r="B854">
        <v>22</v>
      </c>
      <c r="C854">
        <f>Earnings!C854/160</f>
        <v>2295.8900000000003</v>
      </c>
      <c r="D854">
        <f t="shared" si="13"/>
        <v>101019.16000000002</v>
      </c>
    </row>
    <row r="855" spans="1:4" x14ac:dyDescent="0.35">
      <c r="A855" t="s">
        <v>886</v>
      </c>
      <c r="B855">
        <v>0</v>
      </c>
      <c r="C855">
        <f>Earnings!C855/160</f>
        <v>2881.8867500000001</v>
      </c>
      <c r="D855">
        <f t="shared" si="13"/>
        <v>0</v>
      </c>
    </row>
    <row r="856" spans="1:4" x14ac:dyDescent="0.35">
      <c r="A856" t="s">
        <v>887</v>
      </c>
      <c r="B856">
        <v>0</v>
      </c>
      <c r="C856">
        <f>Earnings!C856/160</f>
        <v>2601.3992499999999</v>
      </c>
      <c r="D856">
        <f t="shared" si="13"/>
        <v>0</v>
      </c>
    </row>
    <row r="857" spans="1:4" x14ac:dyDescent="0.35">
      <c r="A857" t="s">
        <v>888</v>
      </c>
      <c r="B857">
        <v>27</v>
      </c>
      <c r="C857">
        <f>Earnings!C857/160</f>
        <v>3204.9817499999999</v>
      </c>
      <c r="D857">
        <f t="shared" si="13"/>
        <v>173069.01449999999</v>
      </c>
    </row>
    <row r="858" spans="1:4" x14ac:dyDescent="0.35">
      <c r="A858" t="s">
        <v>889</v>
      </c>
      <c r="B858">
        <v>21</v>
      </c>
      <c r="C858">
        <f>Earnings!C858/160</f>
        <v>1911.4924999999998</v>
      </c>
      <c r="D858">
        <f t="shared" si="13"/>
        <v>80282.684999999998</v>
      </c>
    </row>
    <row r="859" spans="1:4" x14ac:dyDescent="0.35">
      <c r="A859" t="s">
        <v>890</v>
      </c>
      <c r="B859">
        <v>0</v>
      </c>
      <c r="C859">
        <f>Earnings!C859/160</f>
        <v>1844.405</v>
      </c>
      <c r="D859">
        <f t="shared" si="13"/>
        <v>0</v>
      </c>
    </row>
    <row r="860" spans="1:4" x14ac:dyDescent="0.35">
      <c r="A860" t="s">
        <v>891</v>
      </c>
      <c r="B860">
        <v>25</v>
      </c>
      <c r="C860">
        <f>Earnings!C860/160</f>
        <v>1433.51675</v>
      </c>
      <c r="D860">
        <f t="shared" si="13"/>
        <v>71675.837499999994</v>
      </c>
    </row>
    <row r="861" spans="1:4" x14ac:dyDescent="0.35">
      <c r="A861" t="s">
        <v>892</v>
      </c>
      <c r="B861">
        <v>0</v>
      </c>
      <c r="C861">
        <f>Earnings!C861/160</f>
        <v>1846.5025000000001</v>
      </c>
      <c r="D861">
        <f t="shared" si="13"/>
        <v>0</v>
      </c>
    </row>
    <row r="862" spans="1:4" x14ac:dyDescent="0.35">
      <c r="A862" t="s">
        <v>893</v>
      </c>
      <c r="B862">
        <v>0</v>
      </c>
      <c r="C862">
        <f>Earnings!C862/160</f>
        <v>2095.4324999999999</v>
      </c>
      <c r="D862">
        <f t="shared" si="13"/>
        <v>0</v>
      </c>
    </row>
    <row r="863" spans="1:4" x14ac:dyDescent="0.35">
      <c r="A863" t="s">
        <v>894</v>
      </c>
      <c r="B863">
        <v>25</v>
      </c>
      <c r="C863">
        <f>Earnings!C863/160</f>
        <v>2952.7235000000001</v>
      </c>
      <c r="D863">
        <f t="shared" si="13"/>
        <v>147636.17499999999</v>
      </c>
    </row>
    <row r="864" spans="1:4" x14ac:dyDescent="0.35">
      <c r="A864" t="s">
        <v>895</v>
      </c>
      <c r="B864">
        <v>15</v>
      </c>
      <c r="C864">
        <f>Earnings!C864/160</f>
        <v>2950.5275000000001</v>
      </c>
      <c r="D864">
        <f t="shared" si="13"/>
        <v>88515.825000000012</v>
      </c>
    </row>
    <row r="865" spans="1:4" x14ac:dyDescent="0.35">
      <c r="A865" t="s">
        <v>896</v>
      </c>
      <c r="B865">
        <v>19</v>
      </c>
      <c r="C865">
        <f>Earnings!C865/160</f>
        <v>1978.48425</v>
      </c>
      <c r="D865">
        <f t="shared" si="13"/>
        <v>75182.401499999993</v>
      </c>
    </row>
    <row r="866" spans="1:4" x14ac:dyDescent="0.35">
      <c r="A866" t="s">
        <v>897</v>
      </c>
      <c r="B866">
        <v>0</v>
      </c>
      <c r="C866">
        <f>Earnings!C866/160</f>
        <v>3511.0825000000004</v>
      </c>
      <c r="D866">
        <f t="shared" si="13"/>
        <v>0</v>
      </c>
    </row>
    <row r="867" spans="1:4" x14ac:dyDescent="0.35">
      <c r="A867" t="s">
        <v>898</v>
      </c>
      <c r="B867">
        <v>0</v>
      </c>
      <c r="C867">
        <f>Earnings!C867/160</f>
        <v>2148.7349999999997</v>
      </c>
      <c r="D867">
        <f t="shared" si="13"/>
        <v>0</v>
      </c>
    </row>
    <row r="868" spans="1:4" x14ac:dyDescent="0.35">
      <c r="A868" t="s">
        <v>899</v>
      </c>
      <c r="B868">
        <v>0</v>
      </c>
      <c r="C868">
        <f>Earnings!C868/160</f>
        <v>2117.5875000000001</v>
      </c>
      <c r="D868">
        <f t="shared" si="13"/>
        <v>0</v>
      </c>
    </row>
    <row r="869" spans="1:4" x14ac:dyDescent="0.35">
      <c r="A869" t="s">
        <v>900</v>
      </c>
      <c r="B869">
        <v>29</v>
      </c>
      <c r="C869">
        <f>Earnings!C869/160</f>
        <v>2401.7325000000001</v>
      </c>
      <c r="D869">
        <f t="shared" si="13"/>
        <v>139300.48500000002</v>
      </c>
    </row>
    <row r="870" spans="1:4" x14ac:dyDescent="0.35">
      <c r="A870" t="s">
        <v>901</v>
      </c>
      <c r="B870">
        <v>13</v>
      </c>
      <c r="C870">
        <f>Earnings!C870/160</f>
        <v>2649.2449999999999</v>
      </c>
      <c r="D870">
        <f t="shared" si="13"/>
        <v>68880.37</v>
      </c>
    </row>
    <row r="871" spans="1:4" x14ac:dyDescent="0.35">
      <c r="A871" t="s">
        <v>902</v>
      </c>
      <c r="B871">
        <v>0</v>
      </c>
      <c r="C871">
        <f>Earnings!C871/160</f>
        <v>1982.6025000000002</v>
      </c>
      <c r="D871">
        <f t="shared" si="13"/>
        <v>0</v>
      </c>
    </row>
    <row r="872" spans="1:4" x14ac:dyDescent="0.35">
      <c r="A872" t="s">
        <v>903</v>
      </c>
      <c r="B872">
        <v>10</v>
      </c>
      <c r="C872">
        <f>Earnings!C872/160</f>
        <v>2558.9625000000001</v>
      </c>
      <c r="D872">
        <f t="shared" si="13"/>
        <v>51179.25</v>
      </c>
    </row>
    <row r="873" spans="1:4" x14ac:dyDescent="0.35">
      <c r="A873" t="s">
        <v>904</v>
      </c>
      <c r="B873">
        <v>25</v>
      </c>
      <c r="C873">
        <f>Earnings!C873/160</f>
        <v>2061.3424999999997</v>
      </c>
      <c r="D873">
        <f t="shared" si="13"/>
        <v>103067.12499999999</v>
      </c>
    </row>
    <row r="874" spans="1:4" x14ac:dyDescent="0.35">
      <c r="A874" t="s">
        <v>905</v>
      </c>
      <c r="B874">
        <v>0</v>
      </c>
      <c r="C874">
        <f>Earnings!C874/160</f>
        <v>1739.8110000000001</v>
      </c>
      <c r="D874">
        <f t="shared" si="13"/>
        <v>0</v>
      </c>
    </row>
    <row r="875" spans="1:4" x14ac:dyDescent="0.35">
      <c r="A875" t="s">
        <v>906</v>
      </c>
      <c r="B875">
        <v>6</v>
      </c>
      <c r="C875">
        <f>Earnings!C875/160</f>
        <v>1886.7759999999998</v>
      </c>
      <c r="D875">
        <f t="shared" si="13"/>
        <v>22641.311999999998</v>
      </c>
    </row>
    <row r="876" spans="1:4" x14ac:dyDescent="0.35">
      <c r="A876" t="s">
        <v>907</v>
      </c>
      <c r="B876">
        <v>17</v>
      </c>
      <c r="C876">
        <f>Earnings!C876/160</f>
        <v>2384.459625</v>
      </c>
      <c r="D876">
        <f t="shared" si="13"/>
        <v>81071.627250000005</v>
      </c>
    </row>
    <row r="877" spans="1:4" x14ac:dyDescent="0.35">
      <c r="A877" t="s">
        <v>908</v>
      </c>
      <c r="B877">
        <v>6</v>
      </c>
      <c r="C877">
        <f>Earnings!C877/160</f>
        <v>2215.9272499999997</v>
      </c>
      <c r="D877">
        <f t="shared" si="13"/>
        <v>26591.126999999997</v>
      </c>
    </row>
    <row r="878" spans="1:4" x14ac:dyDescent="0.35">
      <c r="A878" t="s">
        <v>909</v>
      </c>
      <c r="B878">
        <v>0</v>
      </c>
      <c r="C878">
        <f>Earnings!C878/160</f>
        <v>3089.625</v>
      </c>
      <c r="D878">
        <f t="shared" si="13"/>
        <v>0</v>
      </c>
    </row>
    <row r="879" spans="1:4" x14ac:dyDescent="0.35">
      <c r="A879" t="s">
        <v>910</v>
      </c>
      <c r="B879">
        <v>18</v>
      </c>
      <c r="C879">
        <f>Earnings!C879/160</f>
        <v>2542.9049999999997</v>
      </c>
      <c r="D879">
        <f t="shared" si="13"/>
        <v>91544.579999999987</v>
      </c>
    </row>
    <row r="880" spans="1:4" x14ac:dyDescent="0.35">
      <c r="A880" t="s">
        <v>911</v>
      </c>
      <c r="B880">
        <v>28</v>
      </c>
      <c r="C880">
        <f>Earnings!C880/160</f>
        <v>2245.4474999999998</v>
      </c>
      <c r="D880">
        <f t="shared" si="13"/>
        <v>125745.05999999998</v>
      </c>
    </row>
    <row r="881" spans="1:4" x14ac:dyDescent="0.35">
      <c r="A881" t="s">
        <v>912</v>
      </c>
      <c r="B881">
        <v>0</v>
      </c>
      <c r="C881">
        <f>Earnings!C881/160</f>
        <v>1625.4547500000001</v>
      </c>
      <c r="D881">
        <f t="shared" si="13"/>
        <v>0</v>
      </c>
    </row>
    <row r="882" spans="1:4" x14ac:dyDescent="0.35">
      <c r="A882" t="s">
        <v>913</v>
      </c>
      <c r="B882">
        <v>0</v>
      </c>
      <c r="C882">
        <f>Earnings!C882/160</f>
        <v>1409.9675</v>
      </c>
      <c r="D882">
        <f t="shared" si="13"/>
        <v>0</v>
      </c>
    </row>
    <row r="883" spans="1:4" x14ac:dyDescent="0.35">
      <c r="A883" t="s">
        <v>914</v>
      </c>
      <c r="B883">
        <v>15</v>
      </c>
      <c r="C883">
        <f>Earnings!C883/160</f>
        <v>2787.8866250000001</v>
      </c>
      <c r="D883">
        <f t="shared" si="13"/>
        <v>83636.598750000005</v>
      </c>
    </row>
    <row r="884" spans="1:4" x14ac:dyDescent="0.35">
      <c r="A884" t="s">
        <v>915</v>
      </c>
      <c r="B884">
        <v>20</v>
      </c>
      <c r="C884">
        <f>Earnings!C884/160</f>
        <v>1667.732125</v>
      </c>
      <c r="D884">
        <f t="shared" si="13"/>
        <v>66709.285000000003</v>
      </c>
    </row>
    <row r="885" spans="1:4" x14ac:dyDescent="0.35">
      <c r="A885" t="s">
        <v>916</v>
      </c>
      <c r="B885">
        <v>15</v>
      </c>
      <c r="C885">
        <f>Earnings!C885/160</f>
        <v>3236.310375</v>
      </c>
      <c r="D885">
        <f t="shared" si="13"/>
        <v>97089.311249999999</v>
      </c>
    </row>
    <row r="886" spans="1:4" x14ac:dyDescent="0.35">
      <c r="A886" t="s">
        <v>917</v>
      </c>
      <c r="B886">
        <v>5</v>
      </c>
      <c r="C886">
        <f>Earnings!C886/160</f>
        <v>2216.6373749999998</v>
      </c>
      <c r="D886">
        <f t="shared" si="13"/>
        <v>22166.373749999999</v>
      </c>
    </row>
    <row r="887" spans="1:4" x14ac:dyDescent="0.35">
      <c r="A887" t="s">
        <v>918</v>
      </c>
      <c r="B887">
        <v>0</v>
      </c>
      <c r="C887">
        <f>Earnings!C887/160</f>
        <v>1545.5374999999999</v>
      </c>
      <c r="D887">
        <f t="shared" si="13"/>
        <v>0</v>
      </c>
    </row>
    <row r="888" spans="1:4" x14ac:dyDescent="0.35">
      <c r="A888" t="s">
        <v>919</v>
      </c>
      <c r="B888">
        <v>0</v>
      </c>
      <c r="C888">
        <f>Earnings!C888/160</f>
        <v>2117.0084999999999</v>
      </c>
      <c r="D888">
        <f t="shared" si="13"/>
        <v>0</v>
      </c>
    </row>
    <row r="889" spans="1:4" x14ac:dyDescent="0.35">
      <c r="A889" t="s">
        <v>920</v>
      </c>
      <c r="B889">
        <v>0</v>
      </c>
      <c r="C889">
        <f>Earnings!C889/160</f>
        <v>1409.2584999999999</v>
      </c>
      <c r="D889">
        <f t="shared" si="13"/>
        <v>0</v>
      </c>
    </row>
    <row r="890" spans="1:4" x14ac:dyDescent="0.35">
      <c r="A890" t="s">
        <v>921</v>
      </c>
      <c r="B890">
        <v>26</v>
      </c>
      <c r="C890">
        <f>Earnings!C890/160</f>
        <v>1316.61925</v>
      </c>
      <c r="D890">
        <f t="shared" si="13"/>
        <v>68464.201000000001</v>
      </c>
    </row>
    <row r="891" spans="1:4" x14ac:dyDescent="0.35">
      <c r="A891" t="s">
        <v>922</v>
      </c>
      <c r="B891">
        <v>23</v>
      </c>
      <c r="C891">
        <f>Earnings!C891/160</f>
        <v>2152.6525000000001</v>
      </c>
      <c r="D891">
        <f t="shared" si="13"/>
        <v>99022.015000000014</v>
      </c>
    </row>
    <row r="892" spans="1:4" x14ac:dyDescent="0.35">
      <c r="A892" t="s">
        <v>923</v>
      </c>
      <c r="B892">
        <v>0</v>
      </c>
      <c r="C892">
        <f>Earnings!C892/160</f>
        <v>1949.92</v>
      </c>
      <c r="D892">
        <f t="shared" si="13"/>
        <v>0</v>
      </c>
    </row>
    <row r="893" spans="1:4" x14ac:dyDescent="0.35">
      <c r="A893" t="s">
        <v>924</v>
      </c>
      <c r="B893">
        <v>28</v>
      </c>
      <c r="C893">
        <f>Earnings!C893/160</f>
        <v>1722.7157500000001</v>
      </c>
      <c r="D893">
        <f t="shared" si="13"/>
        <v>96472.082000000009</v>
      </c>
    </row>
    <row r="894" spans="1:4" x14ac:dyDescent="0.35">
      <c r="A894" t="s">
        <v>925</v>
      </c>
      <c r="B894">
        <v>13</v>
      </c>
      <c r="C894">
        <f>Earnings!C894/160</f>
        <v>2170.6400000000003</v>
      </c>
      <c r="D894">
        <f t="shared" si="13"/>
        <v>56436.640000000007</v>
      </c>
    </row>
    <row r="895" spans="1:4" x14ac:dyDescent="0.35">
      <c r="A895" t="s">
        <v>926</v>
      </c>
      <c r="B895">
        <v>6</v>
      </c>
      <c r="C895">
        <f>Earnings!C895/160</f>
        <v>2978.33</v>
      </c>
      <c r="D895">
        <f t="shared" si="13"/>
        <v>35739.96</v>
      </c>
    </row>
    <row r="896" spans="1:4" x14ac:dyDescent="0.35">
      <c r="A896" t="s">
        <v>927</v>
      </c>
      <c r="B896">
        <v>26</v>
      </c>
      <c r="C896">
        <f>Earnings!C896/160</f>
        <v>1351.605</v>
      </c>
      <c r="D896">
        <f t="shared" si="13"/>
        <v>70283.460000000006</v>
      </c>
    </row>
    <row r="897" spans="1:4" x14ac:dyDescent="0.35">
      <c r="A897" t="s">
        <v>928</v>
      </c>
      <c r="B897">
        <v>0</v>
      </c>
      <c r="C897">
        <f>Earnings!C897/160</f>
        <v>1934.2617500000001</v>
      </c>
      <c r="D897">
        <f t="shared" si="13"/>
        <v>0</v>
      </c>
    </row>
    <row r="898" spans="1:4" x14ac:dyDescent="0.35">
      <c r="A898" t="s">
        <v>929</v>
      </c>
      <c r="B898">
        <v>0</v>
      </c>
      <c r="C898">
        <f>Earnings!C898/160</f>
        <v>1301.0036249999998</v>
      </c>
      <c r="D898">
        <f t="shared" ref="D898:D961" si="14">B898*C898*2</f>
        <v>0</v>
      </c>
    </row>
    <row r="899" spans="1:4" x14ac:dyDescent="0.35">
      <c r="A899" t="s">
        <v>930</v>
      </c>
      <c r="B899">
        <v>0</v>
      </c>
      <c r="C899">
        <f>Earnings!C899/160</f>
        <v>1993.9625000000001</v>
      </c>
      <c r="D899">
        <f t="shared" si="14"/>
        <v>0</v>
      </c>
    </row>
    <row r="900" spans="1:4" x14ac:dyDescent="0.35">
      <c r="A900" t="s">
        <v>931</v>
      </c>
      <c r="B900">
        <v>0</v>
      </c>
      <c r="C900">
        <f>Earnings!C900/160</f>
        <v>1355.19875</v>
      </c>
      <c r="D900">
        <f t="shared" si="14"/>
        <v>0</v>
      </c>
    </row>
    <row r="901" spans="1:4" x14ac:dyDescent="0.35">
      <c r="A901" t="s">
        <v>932</v>
      </c>
      <c r="B901">
        <v>0</v>
      </c>
      <c r="C901">
        <f>Earnings!C901/160</f>
        <v>2300.9189999999999</v>
      </c>
      <c r="D901">
        <f t="shared" si="14"/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01"/>
  <sheetViews>
    <sheetView tabSelected="1" workbookViewId="0">
      <selection activeCell="B1" sqref="B1"/>
    </sheetView>
  </sheetViews>
  <sheetFormatPr defaultRowHeight="14.5" x14ac:dyDescent="0.35"/>
  <sheetData>
    <row r="1" spans="1:5" x14ac:dyDescent="0.35">
      <c r="A1" t="s">
        <v>0</v>
      </c>
      <c r="B1" t="s">
        <v>992</v>
      </c>
      <c r="C1" t="s">
        <v>993</v>
      </c>
      <c r="D1" t="s">
        <v>994</v>
      </c>
      <c r="E1" t="s">
        <v>985</v>
      </c>
    </row>
    <row r="2" spans="1:5" x14ac:dyDescent="0.35">
      <c r="A2" t="s">
        <v>14</v>
      </c>
      <c r="B2">
        <f>IF(Final_Payroll!B2="Sales",Earnings!B2*3,
IF(Final_Payroll!B2="IT",Earnings!B2*2,
IF(Final_Payroll!B2="Finance",Earnings!B2*1.5,
IF(Final_Payroll!B2="HR",Earnings!B2*1.2,
Earnings!B2*1.3))))</f>
        <v>737141.6</v>
      </c>
      <c r="C2">
        <f>Earnings!B2 + Deductions!B2 + Deductions!C2 + Overtime!D2</f>
        <v>568832</v>
      </c>
      <c r="D2">
        <f t="shared" ref="D2:D65" si="0">B2-C2</f>
        <v>168309.59999999998</v>
      </c>
      <c r="E2">
        <f t="shared" ref="E2:E65" si="1">IF(C2=0,0,B2/C2)</f>
        <v>1.2958863073807381</v>
      </c>
    </row>
    <row r="3" spans="1:5" x14ac:dyDescent="0.35">
      <c r="A3" t="s">
        <v>19</v>
      </c>
      <c r="B3">
        <f>IF(Final_Payroll!B3="Sales",Earnings!B3*3,)</f>
        <v>2915957.55</v>
      </c>
      <c r="C3">
        <f>Earnings!B3 + Deductions!B3 + Deductions!C3 + Overtime!D3</f>
        <v>1119583.7275</v>
      </c>
      <c r="D3">
        <f t="shared" si="0"/>
        <v>1796373.8224999998</v>
      </c>
      <c r="E3">
        <f t="shared" si="1"/>
        <v>2.6045015467590384</v>
      </c>
    </row>
    <row r="4" spans="1:5" x14ac:dyDescent="0.35">
      <c r="A4" t="s">
        <v>24</v>
      </c>
      <c r="B4">
        <f>IF(Final_Payroll!B4="Sales",Earnings!B4*3,
IF(Final_Payroll!B4="IT",Earnings!B4*2,
IF(Final_Payroll!B4="Finance",Earnings!B4*1.5,
IF(Final_Payroll!B4="HR",Earnings!B4*1.2,
Earnings!B4*1.3))))</f>
        <v>841824.1</v>
      </c>
      <c r="C4">
        <f>Earnings!B4 + Deductions!B4 + Deductions!C4 + Overtime!D4</f>
        <v>668783.71</v>
      </c>
      <c r="D4">
        <f t="shared" si="0"/>
        <v>173040.39</v>
      </c>
      <c r="E4">
        <f t="shared" si="1"/>
        <v>1.2587389426695217</v>
      </c>
    </row>
    <row r="5" spans="1:5" x14ac:dyDescent="0.35">
      <c r="A5" t="s">
        <v>26</v>
      </c>
      <c r="B5">
        <f>IF(Final_Payroll!B5="Sales",Earnings!B5*3,
IF(Final_Payroll!B5="IT",Earnings!B5*2,
IF(Final_Payroll!B5="Finance",Earnings!B5*1.5,
IF(Final_Payroll!B5="HR",Earnings!B5*1.2,
Earnings!B5*1.3))))</f>
        <v>847097.5199999999</v>
      </c>
      <c r="C5">
        <f>Earnings!B5 + Deductions!B5 + Deductions!C5 + Overtime!D5</f>
        <v>707714.6</v>
      </c>
      <c r="D5">
        <f t="shared" si="0"/>
        <v>139382.91999999993</v>
      </c>
      <c r="E5">
        <f t="shared" si="1"/>
        <v>1.1969479222274062</v>
      </c>
    </row>
    <row r="6" spans="1:5" x14ac:dyDescent="0.35">
      <c r="A6" t="s">
        <v>29</v>
      </c>
      <c r="B6">
        <f>IF(Final_Payroll!B6="Sales",Earnings!B6*3,
IF(Final_Payroll!B6="IT",Earnings!B6*2,
IF(Final_Payroll!B6="Finance",Earnings!B6*1.5,
IF(Final_Payroll!B6="HR",Earnings!B6*1.2,
Earnings!B6*1.3))))</f>
        <v>2001284</v>
      </c>
      <c r="C6">
        <f>Earnings!B6 + Deductions!B6 + Deductions!C6 + Overtime!D6</f>
        <v>1057477.31</v>
      </c>
      <c r="D6">
        <f t="shared" si="0"/>
        <v>943806.69</v>
      </c>
      <c r="E6">
        <f t="shared" si="1"/>
        <v>1.892507745627185</v>
      </c>
    </row>
    <row r="7" spans="1:5" x14ac:dyDescent="0.35">
      <c r="A7" t="s">
        <v>31</v>
      </c>
      <c r="B7">
        <f>IF(Final_Payroll!B7="Sales",Earnings!B7*3,
IF(Final_Payroll!B7="IT",Earnings!B7*2,
IF(Final_Payroll!B7="Finance",Earnings!B7*1.5,
IF(Final_Payroll!B7="HR",Earnings!B7*1.2,
Earnings!B7*1.3))))</f>
        <v>1541955.4500000002</v>
      </c>
      <c r="C7">
        <f>Earnings!B7 + Deductions!B7 + Deductions!C7 + Overtime!D7</f>
        <v>515785.15</v>
      </c>
      <c r="D7">
        <f t="shared" si="0"/>
        <v>1026170.3000000002</v>
      </c>
      <c r="E7">
        <f t="shared" si="1"/>
        <v>2.9895305244829173</v>
      </c>
    </row>
    <row r="8" spans="1:5" x14ac:dyDescent="0.35">
      <c r="A8" t="s">
        <v>33</v>
      </c>
      <c r="B8">
        <f>IF(Final_Payroll!B8="Sales",Earnings!B8*3,
IF(Final_Payroll!B8="IT",Earnings!B8*2,
IF(Final_Payroll!B8="Finance",Earnings!B8*1.5,
IF(Final_Payroll!B8="HR",Earnings!B8*1.2,
Earnings!B8*1.3))))</f>
        <v>1082752.6199999999</v>
      </c>
      <c r="C8">
        <f>Earnings!B8 + Deductions!B8 + Deductions!C8 + Overtime!D8</f>
        <v>904093.85</v>
      </c>
      <c r="D8">
        <f t="shared" si="0"/>
        <v>178658.7699999999</v>
      </c>
      <c r="E8">
        <f t="shared" si="1"/>
        <v>1.197610867500094</v>
      </c>
    </row>
    <row r="9" spans="1:5" x14ac:dyDescent="0.35">
      <c r="A9" t="s">
        <v>35</v>
      </c>
      <c r="B9">
        <f>IF(Final_Payroll!B9="Sales",Earnings!B9*3,
IF(Final_Payroll!B9="IT",Earnings!B9*2,
IF(Final_Payroll!B9="Finance",Earnings!B9*1.5,
IF(Final_Payroll!B9="HR",Earnings!B9*1.2,
Earnings!B9*1.3))))</f>
        <v>1624294.5</v>
      </c>
      <c r="C9">
        <f>Earnings!B9 + Deductions!B9 + Deductions!C9 + Overtime!D9</f>
        <v>1182120.67</v>
      </c>
      <c r="D9">
        <f t="shared" si="0"/>
        <v>442173.83000000007</v>
      </c>
      <c r="E9">
        <f t="shared" si="1"/>
        <v>1.3740513479051171</v>
      </c>
    </row>
    <row r="10" spans="1:5" x14ac:dyDescent="0.35">
      <c r="A10" t="s">
        <v>37</v>
      </c>
      <c r="B10">
        <f>IF(Final_Payroll!B10="Sales",Earnings!B10*3,
IF(Final_Payroll!B10="IT",Earnings!B10*2,
IF(Final_Payroll!B10="Finance",Earnings!B10*1.5,
IF(Final_Payroll!B10="HR",Earnings!B10*1.2,
Earnings!B10*1.3))))</f>
        <v>1839464.0999999999</v>
      </c>
      <c r="C10">
        <f>Earnings!B10 + Deductions!B10 + Deductions!C10 + Overtime!D10</f>
        <v>1228109.3999999999</v>
      </c>
      <c r="D10">
        <f t="shared" si="0"/>
        <v>611354.69999999995</v>
      </c>
      <c r="E10">
        <f t="shared" si="1"/>
        <v>1.4978014987915571</v>
      </c>
    </row>
    <row r="11" spans="1:5" x14ac:dyDescent="0.35">
      <c r="A11" t="s">
        <v>39</v>
      </c>
      <c r="B11">
        <f>IF(Final_Payroll!B11="Sales",Earnings!B11*3,
IF(Final_Payroll!B11="IT",Earnings!B11*2,
IF(Final_Payroll!B11="Finance",Earnings!B11*1.5,
IF(Final_Payroll!B11="HR",Earnings!B11*1.2,
Earnings!B11*1.3))))</f>
        <v>2685327</v>
      </c>
      <c r="C11">
        <f>Earnings!B11 + Deductions!B11 + Deductions!C11 + Overtime!D11</f>
        <v>1017748.715</v>
      </c>
      <c r="D11">
        <f t="shared" si="0"/>
        <v>1667578.2850000001</v>
      </c>
      <c r="E11">
        <f t="shared" si="1"/>
        <v>2.6384970675202473</v>
      </c>
    </row>
    <row r="12" spans="1:5" x14ac:dyDescent="0.35">
      <c r="A12" t="s">
        <v>40</v>
      </c>
      <c r="B12">
        <f>IF(Final_Payroll!B12="Sales",Earnings!B12*3,
IF(Final_Payroll!B12="IT",Earnings!B12*2,
IF(Final_Payroll!B12="Finance",Earnings!B12*1.5,
IF(Final_Payroll!B12="HR",Earnings!B12*1.2,
Earnings!B12*1.3))))</f>
        <v>674541.41999999993</v>
      </c>
      <c r="C12">
        <f>Earnings!B12 + Deductions!B12 + Deductions!C12 + Overtime!D12</f>
        <v>563917.85</v>
      </c>
      <c r="D12">
        <f t="shared" si="0"/>
        <v>110623.56999999995</v>
      </c>
      <c r="E12">
        <f t="shared" si="1"/>
        <v>1.196169654853096</v>
      </c>
    </row>
    <row r="13" spans="1:5" x14ac:dyDescent="0.35">
      <c r="A13" t="s">
        <v>41</v>
      </c>
      <c r="B13">
        <f>IF(Final_Payroll!B13="Sales",Earnings!B13*3,
IF(Final_Payroll!B13="IT",Earnings!B13*2,
IF(Final_Payroll!B13="Finance",Earnings!B13*1.5,
IF(Final_Payroll!B13="HR",Earnings!B13*1.2,
Earnings!B13*1.3))))</f>
        <v>2002206</v>
      </c>
      <c r="C13">
        <f>Earnings!B13 + Deductions!B13 + Deductions!C13 + Overtime!D13</f>
        <v>1062969.18</v>
      </c>
      <c r="D13">
        <f t="shared" si="0"/>
        <v>939236.82000000007</v>
      </c>
      <c r="E13">
        <f t="shared" si="1"/>
        <v>1.8835974153079398</v>
      </c>
    </row>
    <row r="14" spans="1:5" x14ac:dyDescent="0.35">
      <c r="A14" t="s">
        <v>42</v>
      </c>
      <c r="B14">
        <f>IF(Final_Payroll!B14="Sales",Earnings!B14*3,
IF(Final_Payroll!B14="IT",Earnings!B14*2,
IF(Final_Payroll!B14="Finance",Earnings!B14*1.5,
IF(Final_Payroll!B14="HR",Earnings!B14*1.2,
Earnings!B14*1.3))))</f>
        <v>1232905.7</v>
      </c>
      <c r="C14">
        <f>Earnings!B14 + Deductions!B14 + Deductions!C14 + Overtime!D14</f>
        <v>950189</v>
      </c>
      <c r="D14">
        <f t="shared" si="0"/>
        <v>282716.69999999995</v>
      </c>
      <c r="E14">
        <f t="shared" si="1"/>
        <v>1.2975373320465717</v>
      </c>
    </row>
    <row r="15" spans="1:5" x14ac:dyDescent="0.35">
      <c r="A15" t="s">
        <v>43</v>
      </c>
      <c r="B15">
        <f>IF(Final_Payroll!B15="Sales",Earnings!B15*3,
IF(Final_Payroll!B15="IT",Earnings!B15*2,
IF(Final_Payroll!B15="Finance",Earnings!B15*1.5,
IF(Final_Payroll!B15="HR",Earnings!B15*1.2,
Earnings!B15*1.3))))</f>
        <v>922516.59500000009</v>
      </c>
      <c r="C15">
        <f>Earnings!B15 + Deductions!B15 + Deductions!C15 + Overtime!D15</f>
        <v>711428.15</v>
      </c>
      <c r="D15">
        <f t="shared" si="0"/>
        <v>211088.44500000007</v>
      </c>
      <c r="E15">
        <f t="shared" si="1"/>
        <v>1.296710841425097</v>
      </c>
    </row>
    <row r="16" spans="1:5" x14ac:dyDescent="0.35">
      <c r="A16" t="s">
        <v>46</v>
      </c>
      <c r="B16">
        <f>IF(Final_Payroll!B16="Sales",Earnings!B16*3,
IF(Final_Payroll!B16="IT",Earnings!B16*2,
IF(Final_Payroll!B16="Finance",Earnings!B16*1.5,
IF(Final_Payroll!B16="HR",Earnings!B16*1.2,
Earnings!B16*1.3))))</f>
        <v>1475034.5999999999</v>
      </c>
      <c r="C16">
        <f>Earnings!B16 + Deductions!B16 + Deductions!C16 + Overtime!D16</f>
        <v>985156.39999999991</v>
      </c>
      <c r="D16">
        <f t="shared" si="0"/>
        <v>489878.19999999995</v>
      </c>
      <c r="E16">
        <f t="shared" si="1"/>
        <v>1.4972593184188825</v>
      </c>
    </row>
    <row r="17" spans="1:5" x14ac:dyDescent="0.35">
      <c r="A17" t="s">
        <v>47</v>
      </c>
      <c r="B17">
        <f>IF(Final_Payroll!B17="Sales",Earnings!B17*3,
IF(Final_Payroll!B17="IT",Earnings!B17*2,
IF(Final_Payroll!B17="Finance",Earnings!B17*1.5,
IF(Final_Payroll!B17="HR",Earnings!B17*1.2,
Earnings!B17*1.3))))</f>
        <v>1661119.6500000001</v>
      </c>
      <c r="C17">
        <f>Earnings!B17 + Deductions!B17 + Deductions!C17 + Overtime!D17</f>
        <v>1264250.9340000001</v>
      </c>
      <c r="D17">
        <f t="shared" si="0"/>
        <v>396868.71600000001</v>
      </c>
      <c r="E17">
        <f t="shared" si="1"/>
        <v>1.3139160947616115</v>
      </c>
    </row>
    <row r="18" spans="1:5" x14ac:dyDescent="0.35">
      <c r="A18" t="s">
        <v>48</v>
      </c>
      <c r="B18">
        <f>IF(Final_Payroll!B18="Sales",Earnings!B18*3,
IF(Final_Payroll!B18="IT",Earnings!B18*2,
IF(Final_Payroll!B18="Finance",Earnings!B18*1.5,
IF(Final_Payroll!B18="HR",Earnings!B18*1.2,
Earnings!B18*1.3))))</f>
        <v>786669.53999999992</v>
      </c>
      <c r="C18">
        <f>Earnings!B18 + Deductions!B18 + Deductions!C18 + Overtime!D18</f>
        <v>736024.90399999998</v>
      </c>
      <c r="D18">
        <f t="shared" si="0"/>
        <v>50644.63599999994</v>
      </c>
      <c r="E18">
        <f t="shared" si="1"/>
        <v>1.0688083184750499</v>
      </c>
    </row>
    <row r="19" spans="1:5" x14ac:dyDescent="0.35">
      <c r="A19" t="s">
        <v>49</v>
      </c>
      <c r="B19">
        <f>IF(Final_Payroll!B19="Sales",Earnings!B19*3,
IF(Final_Payroll!B19="IT",Earnings!B19*2,
IF(Final_Payroll!B19="Finance",Earnings!B19*1.5,
IF(Final_Payroll!B19="HR",Earnings!B19*1.2,
Earnings!B19*1.3))))</f>
        <v>1608612</v>
      </c>
      <c r="C19">
        <f>Earnings!B19 + Deductions!B19 + Deductions!C19 + Overtime!D19</f>
        <v>1127828.3999999999</v>
      </c>
      <c r="D19">
        <f t="shared" si="0"/>
        <v>480783.60000000009</v>
      </c>
      <c r="E19">
        <f t="shared" si="1"/>
        <v>1.4262914464647283</v>
      </c>
    </row>
    <row r="20" spans="1:5" x14ac:dyDescent="0.35">
      <c r="A20" t="s">
        <v>50</v>
      </c>
      <c r="B20">
        <f>IF(Final_Payroll!B20="Sales",Earnings!B20*3,
IF(Final_Payroll!B20="IT",Earnings!B20*2,
IF(Final_Payroll!B20="Finance",Earnings!B20*1.5,
IF(Final_Payroll!B20="HR",Earnings!B20*1.2,
Earnings!B20*1.3))))</f>
        <v>957273.20000000007</v>
      </c>
      <c r="C20">
        <f>Earnings!B20 + Deductions!B20 + Deductions!C20 + Overtime!D20</f>
        <v>738164</v>
      </c>
      <c r="D20">
        <f t="shared" si="0"/>
        <v>219109.20000000007</v>
      </c>
      <c r="E20">
        <f t="shared" si="1"/>
        <v>1.2968299727431845</v>
      </c>
    </row>
    <row r="21" spans="1:5" x14ac:dyDescent="0.35">
      <c r="A21" t="s">
        <v>51</v>
      </c>
      <c r="B21">
        <f>IF(Final_Payroll!B21="Sales",Earnings!B21*3,
IF(Final_Payroll!B21="IT",Earnings!B21*2,
IF(Final_Payroll!B21="Finance",Earnings!B21*1.5,
IF(Final_Payroll!B21="HR",Earnings!B21*1.2,
Earnings!B21*1.3))))</f>
        <v>1166148</v>
      </c>
      <c r="C21">
        <f>Earnings!B21 + Deductions!B21 + Deductions!C21 + Overtime!D21</f>
        <v>895846.8</v>
      </c>
      <c r="D21">
        <f t="shared" si="0"/>
        <v>270301.19999999995</v>
      </c>
      <c r="E21">
        <f t="shared" si="1"/>
        <v>1.3017270363638067</v>
      </c>
    </row>
    <row r="22" spans="1:5" x14ac:dyDescent="0.35">
      <c r="A22" t="s">
        <v>52</v>
      </c>
      <c r="B22">
        <f>IF(Final_Payroll!B22="Sales",Earnings!B22*3,
IF(Final_Payroll!B22="IT",Earnings!B22*2,
IF(Final_Payroll!B22="Finance",Earnings!B22*1.5,
IF(Final_Payroll!B22="HR",Earnings!B22*1.2,
Earnings!B22*1.3))))</f>
        <v>1186584</v>
      </c>
      <c r="C22">
        <f>Earnings!B22 + Deductions!B22 + Deductions!C22 + Overtime!D22</f>
        <v>792856</v>
      </c>
      <c r="D22">
        <f t="shared" si="0"/>
        <v>393728</v>
      </c>
      <c r="E22">
        <f t="shared" si="1"/>
        <v>1.496594589685895</v>
      </c>
    </row>
    <row r="23" spans="1:5" x14ac:dyDescent="0.35">
      <c r="A23" t="s">
        <v>53</v>
      </c>
      <c r="B23">
        <f>IF(Final_Payroll!B23="Sales",Earnings!B23*3,
IF(Final_Payroll!B23="IT",Earnings!B23*2,
IF(Final_Payroll!B23="Finance",Earnings!B23*1.5,
IF(Final_Payroll!B23="HR",Earnings!B23*1.2,
Earnings!B23*1.3))))</f>
        <v>2620314</v>
      </c>
      <c r="C23">
        <f>Earnings!B23 + Deductions!B23 + Deductions!C23 + Overtime!D23</f>
        <v>875238</v>
      </c>
      <c r="D23">
        <f t="shared" si="0"/>
        <v>1745076</v>
      </c>
      <c r="E23">
        <f t="shared" si="1"/>
        <v>2.9938302496006801</v>
      </c>
    </row>
    <row r="24" spans="1:5" x14ac:dyDescent="0.35">
      <c r="A24" t="s">
        <v>54</v>
      </c>
      <c r="B24">
        <f>IF(Final_Payroll!B24="Sales",Earnings!B24*3,
IF(Final_Payroll!B24="IT",Earnings!B24*2,
IF(Final_Payroll!B24="Finance",Earnings!B24*1.5,
IF(Final_Payroll!B24="HR",Earnings!B24*1.2,
Earnings!B24*1.3))))</f>
        <v>2740935</v>
      </c>
      <c r="C24">
        <f>Earnings!B24 + Deductions!B24 + Deductions!C24 + Overtime!D24</f>
        <v>983968.375</v>
      </c>
      <c r="D24">
        <f t="shared" si="0"/>
        <v>1756966.625</v>
      </c>
      <c r="E24">
        <f t="shared" si="1"/>
        <v>2.7855925755743929</v>
      </c>
    </row>
    <row r="25" spans="1:5" x14ac:dyDescent="0.35">
      <c r="A25" t="s">
        <v>55</v>
      </c>
      <c r="B25">
        <f>IF(Final_Payroll!B25="Sales",Earnings!B25*3,
IF(Final_Payroll!B25="IT",Earnings!B25*2,
IF(Final_Payroll!B25="Finance",Earnings!B25*1.5,
IF(Final_Payroll!B25="HR",Earnings!B25*1.2,
Earnings!B25*1.3))))</f>
        <v>1496145.9749999999</v>
      </c>
      <c r="C25">
        <f>Earnings!B25 + Deductions!B25 + Deductions!C25 + Overtime!D25</f>
        <v>999230.64999999991</v>
      </c>
      <c r="D25">
        <f t="shared" si="0"/>
        <v>496915.32499999995</v>
      </c>
      <c r="E25">
        <f t="shared" si="1"/>
        <v>1.4972979211556412</v>
      </c>
    </row>
    <row r="26" spans="1:5" x14ac:dyDescent="0.35">
      <c r="A26" t="s">
        <v>56</v>
      </c>
      <c r="B26">
        <f>IF(Final_Payroll!B26="Sales",Earnings!B26*3,
IF(Final_Payroll!B26="IT",Earnings!B26*2,
IF(Final_Payroll!B26="Finance",Earnings!B26*1.5,
IF(Final_Payroll!B26="HR",Earnings!B26*1.2,
Earnings!B26*1.3))))</f>
        <v>1152232.2</v>
      </c>
      <c r="C26">
        <f>Earnings!B26 + Deductions!B26 + Deductions!C26 + Overtime!D26</f>
        <v>985998.33750000002</v>
      </c>
      <c r="D26">
        <f t="shared" si="0"/>
        <v>166233.86249999993</v>
      </c>
      <c r="E26">
        <f t="shared" si="1"/>
        <v>1.168594465302534</v>
      </c>
    </row>
    <row r="27" spans="1:5" x14ac:dyDescent="0.35">
      <c r="A27" t="s">
        <v>57</v>
      </c>
      <c r="B27">
        <f>IF(Final_Payroll!B27="Sales",Earnings!B27*3,
IF(Final_Payroll!B27="IT",Earnings!B27*2,
IF(Final_Payroll!B27="Finance",Earnings!B27*1.5,
IF(Final_Payroll!B27="HR",Earnings!B27*1.2,
Earnings!B27*1.3))))</f>
        <v>962975</v>
      </c>
      <c r="C27">
        <f>Earnings!B27 + Deductions!B27 + Deductions!C27 + Overtime!D27</f>
        <v>742550</v>
      </c>
      <c r="D27">
        <f t="shared" si="0"/>
        <v>220425</v>
      </c>
      <c r="E27">
        <f t="shared" si="1"/>
        <v>1.2968486970574371</v>
      </c>
    </row>
    <row r="28" spans="1:5" x14ac:dyDescent="0.35">
      <c r="A28" t="s">
        <v>58</v>
      </c>
      <c r="B28">
        <f>IF(Final_Payroll!B28="Sales",Earnings!B28*3,
IF(Final_Payroll!B28="IT",Earnings!B28*2,
IF(Final_Payroll!B28="Finance",Earnings!B28*1.5,
IF(Final_Payroll!B28="HR",Earnings!B28*1.2,
Earnings!B28*1.3))))</f>
        <v>543884.88</v>
      </c>
      <c r="C28">
        <f>Earnings!B28 + Deductions!B28 + Deductions!C28 + Overtime!D28</f>
        <v>455037.4</v>
      </c>
      <c r="D28">
        <f t="shared" si="0"/>
        <v>88847.479999999981</v>
      </c>
      <c r="E28">
        <f t="shared" si="1"/>
        <v>1.1952531374344175</v>
      </c>
    </row>
    <row r="29" spans="1:5" x14ac:dyDescent="0.35">
      <c r="A29" t="s">
        <v>59</v>
      </c>
      <c r="B29">
        <f>IF(Final_Payroll!B29="Sales",Earnings!B29*3,
IF(Final_Payroll!B29="IT",Earnings!B29*2,
IF(Final_Payroll!B29="Finance",Earnings!B29*1.5,
IF(Final_Payroll!B29="HR",Earnings!B29*1.2,
Earnings!B29*1.3))))</f>
        <v>410898.08500000002</v>
      </c>
      <c r="C29">
        <f>Earnings!B29 + Deductions!B29 + Deductions!C29 + Overtime!D29</f>
        <v>317875.45</v>
      </c>
      <c r="D29">
        <f t="shared" si="0"/>
        <v>93022.635000000009</v>
      </c>
      <c r="E29">
        <f t="shared" si="1"/>
        <v>1.2926386262292353</v>
      </c>
    </row>
    <row r="30" spans="1:5" x14ac:dyDescent="0.35">
      <c r="A30" t="s">
        <v>60</v>
      </c>
      <c r="B30">
        <f>IF(Final_Payroll!B30="Sales",Earnings!B30*3,
IF(Final_Payroll!B30="IT",Earnings!B30*2,
IF(Final_Payroll!B30="Finance",Earnings!B30*1.5,
IF(Final_Payroll!B30="HR",Earnings!B30*1.2,
Earnings!B30*1.3))))</f>
        <v>1634699.2</v>
      </c>
      <c r="C30">
        <f>Earnings!B30 + Deductions!B30 + Deductions!C30 + Overtime!D30</f>
        <v>819149.6</v>
      </c>
      <c r="D30">
        <f t="shared" si="0"/>
        <v>815549.6</v>
      </c>
      <c r="E30">
        <f t="shared" si="1"/>
        <v>1.9956051983666965</v>
      </c>
    </row>
    <row r="31" spans="1:5" x14ac:dyDescent="0.35">
      <c r="A31" t="s">
        <v>61</v>
      </c>
      <c r="B31">
        <f>IF(Final_Payroll!B31="Sales",Earnings!B31*3,
IF(Final_Payroll!B31="IT",Earnings!B31*2,
IF(Final_Payroll!B31="Finance",Earnings!B31*1.5,
IF(Final_Payroll!B31="HR",Earnings!B31*1.2,
Earnings!B31*1.3))))</f>
        <v>683420.59500000009</v>
      </c>
      <c r="C31">
        <f>Earnings!B31 + Deductions!B31 + Deductions!C31 + Overtime!D31</f>
        <v>527508.15</v>
      </c>
      <c r="D31">
        <f t="shared" si="0"/>
        <v>155912.44500000007</v>
      </c>
      <c r="E31">
        <f t="shared" si="1"/>
        <v>1.2955640495791394</v>
      </c>
    </row>
    <row r="32" spans="1:5" x14ac:dyDescent="0.35">
      <c r="A32" t="s">
        <v>62</v>
      </c>
      <c r="B32">
        <f>IF(Final_Payroll!B32="Sales",Earnings!B32*3,
IF(Final_Payroll!B32="IT",Earnings!B32*2,
IF(Final_Payroll!B32="Finance",Earnings!B32*1.5,
IF(Final_Payroll!B32="HR",Earnings!B32*1.2,
Earnings!B32*1.3))))</f>
        <v>2808303</v>
      </c>
      <c r="C32">
        <f>Earnings!B32 + Deductions!B32 + Deductions!C32 + Overtime!D32</f>
        <v>980025.54500000004</v>
      </c>
      <c r="D32">
        <f t="shared" si="0"/>
        <v>1828277.4550000001</v>
      </c>
      <c r="E32">
        <f t="shared" si="1"/>
        <v>2.8655406120051694</v>
      </c>
    </row>
    <row r="33" spans="1:5" x14ac:dyDescent="0.35">
      <c r="A33" t="s">
        <v>63</v>
      </c>
      <c r="B33">
        <f>IF(Final_Payroll!B33="Sales",Earnings!B33*3,
IF(Final_Payroll!B33="IT",Earnings!B33*2,
IF(Final_Payroll!B33="Finance",Earnings!B33*1.5,
IF(Final_Payroll!B33="HR",Earnings!B33*1.2,
Earnings!B33*1.3))))</f>
        <v>1018315.5</v>
      </c>
      <c r="C33">
        <f>Earnings!B33 + Deductions!B33 + Deductions!C33 + Overtime!D33</f>
        <v>680677</v>
      </c>
      <c r="D33">
        <f t="shared" si="0"/>
        <v>337638.5</v>
      </c>
      <c r="E33">
        <f t="shared" si="1"/>
        <v>1.4960333609039236</v>
      </c>
    </row>
    <row r="34" spans="1:5" x14ac:dyDescent="0.35">
      <c r="A34" t="s">
        <v>64</v>
      </c>
      <c r="B34">
        <f>IF(Final_Payroll!B34="Sales",Earnings!B34*3,
IF(Final_Payroll!B34="IT",Earnings!B34*2,
IF(Final_Payroll!B34="Finance",Earnings!B34*1.5,
IF(Final_Payroll!B34="HR",Earnings!B34*1.2,
Earnings!B34*1.3))))</f>
        <v>3201990</v>
      </c>
      <c r="C34">
        <f>Earnings!B34 + Deductions!B34 + Deductions!C34 + Overtime!D34</f>
        <v>1138506.45</v>
      </c>
      <c r="D34">
        <f t="shared" si="0"/>
        <v>2063483.55</v>
      </c>
      <c r="E34">
        <f t="shared" si="1"/>
        <v>2.8124478346170108</v>
      </c>
    </row>
    <row r="35" spans="1:5" x14ac:dyDescent="0.35">
      <c r="A35" t="s">
        <v>65</v>
      </c>
      <c r="B35">
        <f>IF(Final_Payroll!B35="Sales",Earnings!B35*3,
IF(Final_Payroll!B35="IT",Earnings!B35*2,
IF(Final_Payroll!B35="Finance",Earnings!B35*1.5,
IF(Final_Payroll!B35="HR",Earnings!B35*1.2,
Earnings!B35*1.3))))</f>
        <v>2410039.7999999998</v>
      </c>
      <c r="C35">
        <f>Earnings!B35 + Deductions!B35 + Deductions!C35 + Overtime!D35</f>
        <v>853347.39599999995</v>
      </c>
      <c r="D35">
        <f t="shared" si="0"/>
        <v>1556692.4039999999</v>
      </c>
      <c r="E35">
        <f t="shared" si="1"/>
        <v>2.8242188483809469</v>
      </c>
    </row>
    <row r="36" spans="1:5" x14ac:dyDescent="0.35">
      <c r="A36" t="s">
        <v>66</v>
      </c>
      <c r="B36">
        <f>IF(Final_Payroll!B36="Sales",Earnings!B36*3,
IF(Final_Payroll!B36="IT",Earnings!B36*2,
IF(Final_Payroll!B36="Finance",Earnings!B36*1.5,
IF(Final_Payroll!B36="HR",Earnings!B36*1.2,
Earnings!B36*1.3))))</f>
        <v>618796.55999999994</v>
      </c>
      <c r="C36">
        <f>Earnings!B36 + Deductions!B36 + Deductions!C36 + Overtime!D36</f>
        <v>517463.8</v>
      </c>
      <c r="D36">
        <f t="shared" si="0"/>
        <v>101332.75999999995</v>
      </c>
      <c r="E36">
        <f t="shared" si="1"/>
        <v>1.1958257949638216</v>
      </c>
    </row>
    <row r="37" spans="1:5" x14ac:dyDescent="0.35">
      <c r="A37" t="s">
        <v>67</v>
      </c>
      <c r="B37">
        <f>IF(Final_Payroll!B37="Sales",Earnings!B37*3,
IF(Final_Payroll!B37="IT",Earnings!B37*2,
IF(Final_Payroll!B37="Finance",Earnings!B37*1.5,
IF(Final_Payroll!B37="HR",Earnings!B37*1.2,
Earnings!B37*1.3))))</f>
        <v>1199861.3999999999</v>
      </c>
      <c r="C37">
        <f>Earnings!B37 + Deductions!B37 + Deductions!C37 + Overtime!D37</f>
        <v>825704.82799999998</v>
      </c>
      <c r="D37">
        <f t="shared" si="0"/>
        <v>374156.57199999993</v>
      </c>
      <c r="E37">
        <f t="shared" si="1"/>
        <v>1.4531359867499769</v>
      </c>
    </row>
    <row r="38" spans="1:5" x14ac:dyDescent="0.35">
      <c r="A38" t="s">
        <v>68</v>
      </c>
      <c r="B38">
        <f>IF(Final_Payroll!B38="Sales",Earnings!B38*3,
IF(Final_Payroll!B38="IT",Earnings!B38*2,
IF(Final_Payroll!B38="Finance",Earnings!B38*1.5,
IF(Final_Payroll!B38="HR",Earnings!B38*1.2,
Earnings!B38*1.3))))</f>
        <v>939652.5</v>
      </c>
      <c r="C38">
        <f>Earnings!B38 + Deductions!B38 + Deductions!C38 + Overtime!D38</f>
        <v>668953.27500000002</v>
      </c>
      <c r="D38">
        <f t="shared" si="0"/>
        <v>270699.22499999998</v>
      </c>
      <c r="E38">
        <f t="shared" si="1"/>
        <v>1.4046608860686121</v>
      </c>
    </row>
    <row r="39" spans="1:5" x14ac:dyDescent="0.35">
      <c r="A39" t="s">
        <v>69</v>
      </c>
      <c r="B39">
        <f>IF(Final_Payroll!B39="Sales",Earnings!B39*3,
IF(Final_Payroll!B39="IT",Earnings!B39*2,
IF(Final_Payroll!B39="Finance",Earnings!B39*1.5,
IF(Final_Payroll!B39="HR",Earnings!B39*1.2,
Earnings!B39*1.3))))</f>
        <v>2380260.15</v>
      </c>
      <c r="C39">
        <f>Earnings!B39 + Deductions!B39 + Deductions!C39 + Overtime!D39</f>
        <v>815055.5512499999</v>
      </c>
      <c r="D39">
        <f t="shared" si="0"/>
        <v>1565204.5987499999</v>
      </c>
      <c r="E39">
        <f t="shared" si="1"/>
        <v>2.9203655460655944</v>
      </c>
    </row>
    <row r="40" spans="1:5" x14ac:dyDescent="0.35">
      <c r="A40" t="s">
        <v>70</v>
      </c>
      <c r="B40">
        <f>IF(Final_Payroll!B40="Sales",Earnings!B40*3,
IF(Final_Payroll!B40="IT",Earnings!B40*2,
IF(Final_Payroll!B40="Finance",Earnings!B40*1.5,
IF(Final_Payroll!B40="HR",Earnings!B40*1.2,
Earnings!B40*1.3))))</f>
        <v>1622919.2</v>
      </c>
      <c r="C40">
        <f>Earnings!B40 + Deductions!B40 + Deductions!C40 + Overtime!D40</f>
        <v>813259.6</v>
      </c>
      <c r="D40">
        <f t="shared" si="0"/>
        <v>809659.6</v>
      </c>
      <c r="E40">
        <f t="shared" si="1"/>
        <v>1.9955733691923219</v>
      </c>
    </row>
    <row r="41" spans="1:5" x14ac:dyDescent="0.35">
      <c r="A41" t="s">
        <v>72</v>
      </c>
      <c r="B41">
        <f>IF(Final_Payroll!B41="Sales",Earnings!B41*3,
IF(Final_Payroll!B41="IT",Earnings!B41*2,
IF(Final_Payroll!B41="Finance",Earnings!B41*1.5,
IF(Final_Payroll!B41="HR",Earnings!B41*1.2,
Earnings!B41*1.3))))</f>
        <v>715175.5</v>
      </c>
      <c r="C41">
        <f>Earnings!B41 + Deductions!B41 + Deductions!C41 + Overtime!D41</f>
        <v>598696.47499999998</v>
      </c>
      <c r="D41">
        <f t="shared" si="0"/>
        <v>116479.02500000002</v>
      </c>
      <c r="E41">
        <f t="shared" si="1"/>
        <v>1.1945543858430101</v>
      </c>
    </row>
    <row r="42" spans="1:5" x14ac:dyDescent="0.35">
      <c r="A42" t="s">
        <v>73</v>
      </c>
      <c r="B42">
        <f>IF(Final_Payroll!B42="Sales",Earnings!B42*3,
IF(Final_Payroll!B42="IT",Earnings!B42*2,
IF(Final_Payroll!B42="Finance",Earnings!B42*1.5,
IF(Final_Payroll!B42="HR",Earnings!B42*1.2,
Earnings!B42*1.3))))</f>
        <v>2705556</v>
      </c>
      <c r="C42">
        <f>Earnings!B42 + Deductions!B42 + Deductions!C42 + Overtime!D42</f>
        <v>926198.3</v>
      </c>
      <c r="D42">
        <f t="shared" si="0"/>
        <v>1779357.7</v>
      </c>
      <c r="E42">
        <f t="shared" si="1"/>
        <v>2.9211411854243305</v>
      </c>
    </row>
    <row r="43" spans="1:5" x14ac:dyDescent="0.35">
      <c r="A43" t="s">
        <v>74</v>
      </c>
      <c r="B43">
        <f>IF(Final_Payroll!B43="Sales",Earnings!B43*3,
IF(Final_Payroll!B43="IT",Earnings!B43*2,
IF(Final_Payroll!B43="Finance",Earnings!B43*1.5,
IF(Final_Payroll!B43="HR",Earnings!B43*1.2,
Earnings!B43*1.3))))</f>
        <v>1979626</v>
      </c>
      <c r="C43">
        <f>Earnings!B43 + Deductions!B43 + Deductions!C43 + Overtime!D43</f>
        <v>991613</v>
      </c>
      <c r="D43">
        <f t="shared" si="0"/>
        <v>988013</v>
      </c>
      <c r="E43">
        <f t="shared" si="1"/>
        <v>1.9963695514278252</v>
      </c>
    </row>
    <row r="44" spans="1:5" x14ac:dyDescent="0.35">
      <c r="A44" t="s">
        <v>75</v>
      </c>
      <c r="B44">
        <f>IF(Final_Payroll!B44="Sales",Earnings!B44*3,
IF(Final_Payroll!B44="IT",Earnings!B44*2,
IF(Final_Payroll!B44="Finance",Earnings!B44*1.5,
IF(Final_Payroll!B44="HR",Earnings!B44*1.2,
Earnings!B44*1.3))))</f>
        <v>2069316</v>
      </c>
      <c r="C44">
        <f>Earnings!B44 + Deductions!B44 + Deductions!C44 + Overtime!D44</f>
        <v>1588275.6</v>
      </c>
      <c r="D44">
        <f t="shared" si="0"/>
        <v>481040.39999999991</v>
      </c>
      <c r="E44">
        <f t="shared" si="1"/>
        <v>1.3028696027314151</v>
      </c>
    </row>
    <row r="45" spans="1:5" x14ac:dyDescent="0.35">
      <c r="A45" t="s">
        <v>76</v>
      </c>
      <c r="B45">
        <f>IF(Final_Payroll!B45="Sales",Earnings!B45*3,
IF(Final_Payroll!B45="IT",Earnings!B45*2,
IF(Final_Payroll!B45="Finance",Earnings!B45*1.5,
IF(Final_Payroll!B45="HR",Earnings!B45*1.2,
Earnings!B45*1.3))))</f>
        <v>438560.2</v>
      </c>
      <c r="C45">
        <f>Earnings!B45 + Deductions!B45 + Deductions!C45 + Overtime!D45</f>
        <v>339154</v>
      </c>
      <c r="D45">
        <f t="shared" si="0"/>
        <v>99406.200000000012</v>
      </c>
      <c r="E45">
        <f t="shared" si="1"/>
        <v>1.2931004794282244</v>
      </c>
    </row>
    <row r="46" spans="1:5" x14ac:dyDescent="0.35">
      <c r="A46" t="s">
        <v>77</v>
      </c>
      <c r="B46">
        <f>IF(Final_Payroll!B46="Sales",Earnings!B46*3,
IF(Final_Payroll!B46="IT",Earnings!B46*2,
IF(Final_Payroll!B46="Finance",Earnings!B46*1.5,
IF(Final_Payroll!B46="HR",Earnings!B46*1.2,
Earnings!B46*1.3))))</f>
        <v>1834526</v>
      </c>
      <c r="C46">
        <f>Earnings!B46 + Deductions!B46 + Deductions!C46 + Overtime!D46</f>
        <v>1047479.8200000001</v>
      </c>
      <c r="D46">
        <f t="shared" si="0"/>
        <v>787046.17999999993</v>
      </c>
      <c r="E46">
        <f t="shared" si="1"/>
        <v>1.7513712101871326</v>
      </c>
    </row>
    <row r="47" spans="1:5" x14ac:dyDescent="0.35">
      <c r="A47" t="s">
        <v>78</v>
      </c>
      <c r="B47">
        <f>IF(Final_Payroll!B47="Sales",Earnings!B47*3,
IF(Final_Payroll!B47="IT",Earnings!B47*2,
IF(Final_Payroll!B47="Finance",Earnings!B47*1.5,
IF(Final_Payroll!B47="HR",Earnings!B47*1.2,
Earnings!B47*1.3))))</f>
        <v>1102990.8</v>
      </c>
      <c r="C47">
        <f>Earnings!B47 + Deductions!B47 + Deductions!C47 + Overtime!D47</f>
        <v>920959</v>
      </c>
      <c r="D47">
        <f t="shared" si="0"/>
        <v>182031.80000000005</v>
      </c>
      <c r="E47">
        <f t="shared" si="1"/>
        <v>1.1976546187180972</v>
      </c>
    </row>
    <row r="48" spans="1:5" x14ac:dyDescent="0.35">
      <c r="A48" t="s">
        <v>79</v>
      </c>
      <c r="B48">
        <f>IF(Final_Payroll!B48="Sales",Earnings!B48*3,
IF(Final_Payroll!B48="IT",Earnings!B48*2,
IF(Final_Payroll!B48="Finance",Earnings!B48*1.5,
IF(Final_Payroll!B48="HR",Earnings!B48*1.2,
Earnings!B48*1.3))))</f>
        <v>1070229.5999999999</v>
      </c>
      <c r="C48">
        <f>Earnings!B48 + Deductions!B48 + Deductions!C48 + Overtime!D48</f>
        <v>1027436.7</v>
      </c>
      <c r="D48">
        <f t="shared" si="0"/>
        <v>42792.899999999907</v>
      </c>
      <c r="E48">
        <f t="shared" si="1"/>
        <v>1.041650157133768</v>
      </c>
    </row>
    <row r="49" spans="1:5" x14ac:dyDescent="0.35">
      <c r="A49" t="s">
        <v>80</v>
      </c>
      <c r="B49">
        <f>IF(Final_Payroll!B49="Sales",Earnings!B49*3,
IF(Final_Payroll!B49="IT",Earnings!B49*2,
IF(Final_Payroll!B49="Finance",Earnings!B49*1.5,
IF(Final_Payroll!B49="HR",Earnings!B49*1.2,
Earnings!B49*1.3))))</f>
        <v>1067345.5</v>
      </c>
      <c r="C49">
        <f>Earnings!B49 + Deductions!B49 + Deductions!C49 + Overtime!D49</f>
        <v>904938.5</v>
      </c>
      <c r="D49">
        <f t="shared" si="0"/>
        <v>162407</v>
      </c>
      <c r="E49">
        <f t="shared" si="1"/>
        <v>1.179467444472746</v>
      </c>
    </row>
    <row r="50" spans="1:5" x14ac:dyDescent="0.35">
      <c r="A50" t="s">
        <v>81</v>
      </c>
      <c r="B50">
        <f>IF(Final_Payroll!B50="Sales",Earnings!B50*3,
IF(Final_Payroll!B50="IT",Earnings!B50*2,
IF(Final_Payroll!B50="Finance",Earnings!B50*1.5,
IF(Final_Payroll!B50="HR",Earnings!B50*1.2,
Earnings!B50*1.3))))</f>
        <v>1799296.2000000002</v>
      </c>
      <c r="C50">
        <f>Earnings!B50 + Deductions!B50 + Deductions!C50 + Overtime!D50</f>
        <v>1351272.1500000001</v>
      </c>
      <c r="D50">
        <f t="shared" si="0"/>
        <v>448024.05000000005</v>
      </c>
      <c r="E50">
        <f t="shared" si="1"/>
        <v>1.3315572292376483</v>
      </c>
    </row>
    <row r="51" spans="1:5" x14ac:dyDescent="0.35">
      <c r="A51" t="s">
        <v>82</v>
      </c>
      <c r="B51">
        <f>IF(Final_Payroll!B51="Sales",Earnings!B51*3,
IF(Final_Payroll!B51="IT",Earnings!B51*2,
IF(Final_Payroll!B51="Finance",Earnings!B51*1.5,
IF(Final_Payroll!B51="HR",Earnings!B51*1.2,
Earnings!B51*1.3))))</f>
        <v>3065260</v>
      </c>
      <c r="C51">
        <f>Earnings!B51 + Deductions!B51 + Deductions!C51 + Overtime!D51</f>
        <v>1534430</v>
      </c>
      <c r="D51">
        <f t="shared" si="0"/>
        <v>1530830</v>
      </c>
      <c r="E51">
        <f t="shared" si="1"/>
        <v>1.9976538519189537</v>
      </c>
    </row>
    <row r="52" spans="1:5" x14ac:dyDescent="0.35">
      <c r="A52" t="s">
        <v>83</v>
      </c>
      <c r="B52">
        <f>IF(Final_Payroll!B52="Sales",Earnings!B52*3,
IF(Final_Payroll!B52="IT",Earnings!B52*2,
IF(Final_Payroll!B52="Finance",Earnings!B52*1.5,
IF(Final_Payroll!B52="HR",Earnings!B52*1.2,
Earnings!B52*1.3))))</f>
        <v>2779788</v>
      </c>
      <c r="C52">
        <f>Earnings!B52 + Deductions!B52 + Deductions!C52 + Overtime!D52</f>
        <v>928396</v>
      </c>
      <c r="D52">
        <f t="shared" si="0"/>
        <v>1851392</v>
      </c>
      <c r="E52">
        <f t="shared" si="1"/>
        <v>2.9941835165166588</v>
      </c>
    </row>
    <row r="53" spans="1:5" x14ac:dyDescent="0.35">
      <c r="A53" t="s">
        <v>84</v>
      </c>
      <c r="B53">
        <f>IF(Final_Payroll!B53="Sales",Earnings!B53*3,
IF(Final_Payroll!B53="IT",Earnings!B53*2,
IF(Final_Payroll!B53="Finance",Earnings!B53*1.5,
IF(Final_Payroll!B53="HR",Earnings!B53*1.2,
Earnings!B53*1.3))))</f>
        <v>1917144</v>
      </c>
      <c r="C53">
        <f>Earnings!B53 + Deductions!B53 + Deductions!C53 + Overtime!D53</f>
        <v>1104157.8</v>
      </c>
      <c r="D53">
        <f t="shared" si="0"/>
        <v>812986.2</v>
      </c>
      <c r="E53">
        <f t="shared" si="1"/>
        <v>1.736295301269438</v>
      </c>
    </row>
    <row r="54" spans="1:5" x14ac:dyDescent="0.35">
      <c r="A54" t="s">
        <v>85</v>
      </c>
      <c r="B54">
        <f>IF(Final_Payroll!B54="Sales",Earnings!B54*3,
IF(Final_Payroll!B54="IT",Earnings!B54*2,
IF(Final_Payroll!B54="Finance",Earnings!B54*1.5,
IF(Final_Payroll!B54="HR",Earnings!B54*1.2,
Earnings!B54*1.3))))</f>
        <v>2415795</v>
      </c>
      <c r="C54">
        <f>Earnings!B54 + Deductions!B54 + Deductions!C54 + Overtime!D54</f>
        <v>867459.875</v>
      </c>
      <c r="D54">
        <f t="shared" si="0"/>
        <v>1548335.125</v>
      </c>
      <c r="E54">
        <f t="shared" si="1"/>
        <v>2.7849069099593802</v>
      </c>
    </row>
    <row r="55" spans="1:5" x14ac:dyDescent="0.35">
      <c r="A55" t="s">
        <v>86</v>
      </c>
      <c r="B55">
        <f>IF(Final_Payroll!B55="Sales",Earnings!B55*3,
IF(Final_Payroll!B55="IT",Earnings!B55*2,
IF(Final_Payroll!B55="Finance",Earnings!B55*1.5,
IF(Final_Payroll!B55="HR",Earnings!B55*1.2,
Earnings!B55*1.3))))</f>
        <v>1588316</v>
      </c>
      <c r="C55">
        <f>Earnings!B55 + Deductions!B55 + Deductions!C55 + Overtime!D55</f>
        <v>907140.12</v>
      </c>
      <c r="D55">
        <f t="shared" si="0"/>
        <v>681175.88</v>
      </c>
      <c r="E55">
        <f t="shared" si="1"/>
        <v>1.7509048106041214</v>
      </c>
    </row>
    <row r="56" spans="1:5" x14ac:dyDescent="0.35">
      <c r="A56" t="s">
        <v>87</v>
      </c>
      <c r="B56">
        <f>IF(Final_Payroll!B56="Sales",Earnings!B56*3,
IF(Final_Payroll!B56="IT",Earnings!B56*2,
IF(Final_Payroll!B56="Finance",Earnings!B56*1.5,
IF(Final_Payroll!B56="HR",Earnings!B56*1.2,
Earnings!B56*1.3))))</f>
        <v>2428306.4</v>
      </c>
      <c r="C56">
        <f>Earnings!B56 + Deductions!B56 + Deductions!C56 + Overtime!D56</f>
        <v>1349510.0519999999</v>
      </c>
      <c r="D56">
        <f t="shared" si="0"/>
        <v>1078796.348</v>
      </c>
      <c r="E56">
        <f t="shared" si="1"/>
        <v>1.799398527192297</v>
      </c>
    </row>
    <row r="57" spans="1:5" x14ac:dyDescent="0.35">
      <c r="A57" t="s">
        <v>88</v>
      </c>
      <c r="B57">
        <f>IF(Final_Payroll!B57="Sales",Earnings!B57*3,
IF(Final_Payroll!B57="IT",Earnings!B57*2,
IF(Final_Payroll!B57="Finance",Earnings!B57*1.5,
IF(Final_Payroll!B57="HR",Earnings!B57*1.2,
Earnings!B57*1.3))))</f>
        <v>3099104.25</v>
      </c>
      <c r="C57">
        <f>Earnings!B57 + Deductions!B57 + Deductions!C57 + Overtime!D57</f>
        <v>1034834.75</v>
      </c>
      <c r="D57">
        <f t="shared" si="0"/>
        <v>2064269.5</v>
      </c>
      <c r="E57">
        <f t="shared" si="1"/>
        <v>2.9947817755443564</v>
      </c>
    </row>
    <row r="58" spans="1:5" x14ac:dyDescent="0.35">
      <c r="A58" t="s">
        <v>89</v>
      </c>
      <c r="B58">
        <f>IF(Final_Payroll!B58="Sales",Earnings!B58*3,
IF(Final_Payroll!B58="IT",Earnings!B58*2,
IF(Final_Payroll!B58="Finance",Earnings!B58*1.5,
IF(Final_Payroll!B58="HR",Earnings!B58*1.2,
Earnings!B58*1.3))))</f>
        <v>1104819.5999999999</v>
      </c>
      <c r="C58">
        <f>Earnings!B58 + Deductions!B58 + Deductions!C58 + Overtime!D58</f>
        <v>922483</v>
      </c>
      <c r="D58">
        <f t="shared" si="0"/>
        <v>182336.59999999986</v>
      </c>
      <c r="E58">
        <f t="shared" si="1"/>
        <v>1.1976584934356513</v>
      </c>
    </row>
    <row r="59" spans="1:5" x14ac:dyDescent="0.35">
      <c r="A59" t="s">
        <v>90</v>
      </c>
      <c r="B59">
        <f>IF(Final_Payroll!B59="Sales",Earnings!B59*3,
IF(Final_Payroll!B59="IT",Earnings!B59*2,
IF(Final_Payroll!B59="Finance",Earnings!B59*1.5,
IF(Final_Payroll!B59="HR",Earnings!B59*1.2,
Earnings!B59*1.3))))</f>
        <v>854314.85999999987</v>
      </c>
      <c r="C59">
        <f>Earnings!B59 + Deductions!B59 + Deductions!C59 + Overtime!D59</f>
        <v>713729.04999999993</v>
      </c>
      <c r="D59">
        <f t="shared" si="0"/>
        <v>140585.80999999994</v>
      </c>
      <c r="E59">
        <f t="shared" si="1"/>
        <v>1.1969736414680052</v>
      </c>
    </row>
    <row r="60" spans="1:5" x14ac:dyDescent="0.35">
      <c r="A60" t="s">
        <v>91</v>
      </c>
      <c r="B60">
        <f>IF(Final_Payroll!B60="Sales",Earnings!B60*3,
IF(Final_Payroll!B60="IT",Earnings!B60*2,
IF(Final_Payroll!B60="Finance",Earnings!B60*1.5,
IF(Final_Payroll!B60="HR",Earnings!B60*1.2,
Earnings!B60*1.3))))</f>
        <v>3112430.8499999996</v>
      </c>
      <c r="C60">
        <f>Earnings!B60 + Deductions!B60 + Deductions!C60 + Overtime!D60</f>
        <v>1039276.95</v>
      </c>
      <c r="D60">
        <f t="shared" si="0"/>
        <v>2073153.8999999997</v>
      </c>
      <c r="E60">
        <f t="shared" si="1"/>
        <v>2.9948040798941995</v>
      </c>
    </row>
    <row r="61" spans="1:5" x14ac:dyDescent="0.35">
      <c r="A61" t="s">
        <v>92</v>
      </c>
      <c r="B61">
        <f>IF(Final_Payroll!B61="Sales",Earnings!B61*3,
IF(Final_Payroll!B61="IT",Earnings!B61*2,
IF(Final_Payroll!B61="Finance",Earnings!B61*1.5,
IF(Final_Payroll!B61="HR",Earnings!B61*1.2,
Earnings!B61*1.3))))</f>
        <v>501252.3</v>
      </c>
      <c r="C61">
        <f>Earnings!B61 + Deductions!B61 + Deductions!C61 + Overtime!D61</f>
        <v>419510.25</v>
      </c>
      <c r="D61">
        <f t="shared" si="0"/>
        <v>81742.049999999988</v>
      </c>
      <c r="E61">
        <f t="shared" si="1"/>
        <v>1.1948511389173446</v>
      </c>
    </row>
    <row r="62" spans="1:5" x14ac:dyDescent="0.35">
      <c r="A62" t="s">
        <v>93</v>
      </c>
      <c r="B62">
        <f>IF(Final_Payroll!B62="Sales",Earnings!B62*3,
IF(Final_Payroll!B62="IT",Earnings!B62*2,
IF(Final_Payroll!B62="Finance",Earnings!B62*1.5,
IF(Final_Payroll!B62="HR",Earnings!B62*1.2,
Earnings!B62*1.3))))</f>
        <v>565986</v>
      </c>
      <c r="C62">
        <f>Earnings!B62 + Deductions!B62 + Deductions!C62 + Overtime!D62</f>
        <v>544203.25</v>
      </c>
      <c r="D62">
        <f t="shared" si="0"/>
        <v>21782.75</v>
      </c>
      <c r="E62">
        <f t="shared" si="1"/>
        <v>1.0400268649626772</v>
      </c>
    </row>
    <row r="63" spans="1:5" x14ac:dyDescent="0.35">
      <c r="A63" t="s">
        <v>94</v>
      </c>
      <c r="B63">
        <f>IF(Final_Payroll!B63="Sales",Earnings!B63*3,
IF(Final_Payroll!B63="IT",Earnings!B63*2,
IF(Final_Payroll!B63="Finance",Earnings!B63*1.5,
IF(Final_Payroll!B63="HR",Earnings!B63*1.2,
Earnings!B63*1.3))))</f>
        <v>2323337.1</v>
      </c>
      <c r="C63">
        <f>Earnings!B63 + Deductions!B63 + Deductions!C63 + Overtime!D63</f>
        <v>1331910.4897499999</v>
      </c>
      <c r="D63">
        <f t="shared" si="0"/>
        <v>991426.61025000014</v>
      </c>
      <c r="E63">
        <f t="shared" si="1"/>
        <v>1.7443642931561349</v>
      </c>
    </row>
    <row r="64" spans="1:5" x14ac:dyDescent="0.35">
      <c r="A64" t="s">
        <v>95</v>
      </c>
      <c r="B64">
        <f>IF(Final_Payroll!B64="Sales",Earnings!B64*3,
IF(Final_Payroll!B64="IT",Earnings!B64*2,
IF(Final_Payroll!B64="Finance",Earnings!B64*1.5,
IF(Final_Payroll!B64="HR",Earnings!B64*1.2,
Earnings!B64*1.3))))</f>
        <v>788914.29500000004</v>
      </c>
      <c r="C64">
        <f>Earnings!B64 + Deductions!B64 + Deductions!C64 + Overtime!D64</f>
        <v>608657.15</v>
      </c>
      <c r="D64">
        <f t="shared" si="0"/>
        <v>180257.14500000002</v>
      </c>
      <c r="E64">
        <f t="shared" si="1"/>
        <v>1.2961554711055312</v>
      </c>
    </row>
    <row r="65" spans="1:5" x14ac:dyDescent="0.35">
      <c r="A65" t="s">
        <v>96</v>
      </c>
      <c r="B65">
        <f>IF(Final_Payroll!B65="Sales",Earnings!B65*3,
IF(Final_Payroll!B65="IT",Earnings!B65*2,
IF(Final_Payroll!B65="Finance",Earnings!B65*1.5,
IF(Final_Payroll!B65="HR",Earnings!B65*1.2,
Earnings!B65*1.3))))</f>
        <v>756868.79999999993</v>
      </c>
      <c r="C65">
        <f>Earnings!B65 + Deductions!B65 + Deductions!C65 + Overtime!D65</f>
        <v>632524</v>
      </c>
      <c r="D65">
        <f t="shared" si="0"/>
        <v>124344.79999999993</v>
      </c>
      <c r="E65">
        <f t="shared" si="1"/>
        <v>1.1965851098140148</v>
      </c>
    </row>
    <row r="66" spans="1:5" x14ac:dyDescent="0.35">
      <c r="A66" t="s">
        <v>97</v>
      </c>
      <c r="B66">
        <f>IF(Final_Payroll!B66="Sales",Earnings!B66*3,
IF(Final_Payroll!B66="IT",Earnings!B66*2,
IF(Final_Payroll!B66="Finance",Earnings!B66*1.5,
IF(Final_Payroll!B66="HR",Earnings!B66*1.2,
Earnings!B66*1.3))))</f>
        <v>1207449.5999999999</v>
      </c>
      <c r="C66">
        <f>Earnings!B66 + Deductions!B66 + Deductions!C66 + Overtime!D66</f>
        <v>1008008</v>
      </c>
      <c r="D66">
        <f t="shared" ref="D66:D129" si="2">B66-C66</f>
        <v>199441.59999999986</v>
      </c>
      <c r="E66">
        <f t="shared" ref="E66:E129" si="3">IF(C66=0,0,B66/C66)</f>
        <v>1.1978571598638104</v>
      </c>
    </row>
    <row r="67" spans="1:5" x14ac:dyDescent="0.35">
      <c r="A67" t="s">
        <v>98</v>
      </c>
      <c r="B67">
        <f>IF(Final_Payroll!B67="Sales",Earnings!B67*3,
IF(Final_Payroll!B67="IT",Earnings!B67*2,
IF(Final_Payroll!B67="Finance",Earnings!B67*1.5,
IF(Final_Payroll!B67="HR",Earnings!B67*1.2,
Earnings!B67*1.3))))</f>
        <v>2907723</v>
      </c>
      <c r="C67">
        <f>Earnings!B67 + Deductions!B67 + Deductions!C67 + Overtime!D67</f>
        <v>971041</v>
      </c>
      <c r="D67">
        <f t="shared" si="2"/>
        <v>1936682</v>
      </c>
      <c r="E67">
        <f t="shared" si="3"/>
        <v>2.9944389577783017</v>
      </c>
    </row>
    <row r="68" spans="1:5" x14ac:dyDescent="0.35">
      <c r="A68" t="s">
        <v>99</v>
      </c>
      <c r="B68">
        <f>IF(Final_Payroll!B68="Sales",Earnings!B68*3,
IF(Final_Payroll!B68="IT",Earnings!B68*2,
IF(Final_Payroll!B68="Finance",Earnings!B68*1.5,
IF(Final_Payroll!B68="HR",Earnings!B68*1.2,
Earnings!B68*1.3))))</f>
        <v>1485858</v>
      </c>
      <c r="C68">
        <f>Earnings!B68 + Deductions!B68 + Deductions!C68 + Overtime!D68</f>
        <v>1126099.22</v>
      </c>
      <c r="D68">
        <f t="shared" si="2"/>
        <v>359758.78</v>
      </c>
      <c r="E68">
        <f t="shared" si="3"/>
        <v>1.3194734297036455</v>
      </c>
    </row>
    <row r="69" spans="1:5" x14ac:dyDescent="0.35">
      <c r="A69" t="s">
        <v>100</v>
      </c>
      <c r="B69">
        <f>IF(Final_Payroll!B69="Sales",Earnings!B69*3,
IF(Final_Payroll!B69="IT",Earnings!B69*2,
IF(Final_Payroll!B69="Finance",Earnings!B69*1.5,
IF(Final_Payroll!B69="HR",Earnings!B69*1.2,
Earnings!B69*1.3))))</f>
        <v>1035780.0599999998</v>
      </c>
      <c r="C69">
        <f>Earnings!B69 + Deductions!B69 + Deductions!C69 + Overtime!D69</f>
        <v>946949.30474999989</v>
      </c>
      <c r="D69">
        <f t="shared" si="2"/>
        <v>88830.755249999929</v>
      </c>
      <c r="E69">
        <f t="shared" si="3"/>
        <v>1.0938072976076072</v>
      </c>
    </row>
    <row r="70" spans="1:5" x14ac:dyDescent="0.35">
      <c r="A70" t="s">
        <v>101</v>
      </c>
      <c r="B70">
        <f>IF(Final_Payroll!B70="Sales",Earnings!B70*3,
IF(Final_Payroll!B70="IT",Earnings!B70*2,
IF(Final_Payroll!B70="Finance",Earnings!B70*1.5,
IF(Final_Payroll!B70="HR",Earnings!B70*1.2,
Earnings!B70*1.3))))</f>
        <v>818766.71499999997</v>
      </c>
      <c r="C70">
        <f>Earnings!B70 + Deductions!B70 + Deductions!C70 + Overtime!D70</f>
        <v>631620.54999999993</v>
      </c>
      <c r="D70">
        <f t="shared" si="2"/>
        <v>187146.16500000004</v>
      </c>
      <c r="E70">
        <f t="shared" si="3"/>
        <v>1.2962952440353628</v>
      </c>
    </row>
    <row r="71" spans="1:5" x14ac:dyDescent="0.35">
      <c r="A71" t="s">
        <v>102</v>
      </c>
      <c r="B71">
        <f>IF(Final_Payroll!B71="Sales",Earnings!B71*3,
IF(Final_Payroll!B71="IT",Earnings!B71*2,
IF(Final_Payroll!B71="Finance",Earnings!B71*1.5,
IF(Final_Payroll!B71="HR",Earnings!B71*1.2,
Earnings!B71*1.3))))</f>
        <v>1397108.4749999999</v>
      </c>
      <c r="C71">
        <f>Earnings!B71 + Deductions!B71 + Deductions!C71 + Overtime!D71</f>
        <v>1054288.3844999999</v>
      </c>
      <c r="D71">
        <f t="shared" si="2"/>
        <v>342820.09049999993</v>
      </c>
      <c r="E71">
        <f t="shared" si="3"/>
        <v>1.3251672839614785</v>
      </c>
    </row>
    <row r="72" spans="1:5" x14ac:dyDescent="0.35">
      <c r="A72" t="s">
        <v>103</v>
      </c>
      <c r="B72">
        <f>IF(Final_Payroll!B72="Sales",Earnings!B72*3,
IF(Final_Payroll!B72="IT",Earnings!B72*2,
IF(Final_Payroll!B72="Finance",Earnings!B72*1.5,
IF(Final_Payroll!B72="HR",Earnings!B72*1.2,
Earnings!B72*1.3))))</f>
        <v>1322082</v>
      </c>
      <c r="C72">
        <f>Earnings!B72 + Deductions!B72 + Deductions!C72 + Overtime!D72</f>
        <v>944885.16</v>
      </c>
      <c r="D72">
        <f t="shared" si="2"/>
        <v>377196.83999999997</v>
      </c>
      <c r="E72">
        <f t="shared" si="3"/>
        <v>1.3991986073736198</v>
      </c>
    </row>
    <row r="73" spans="1:5" x14ac:dyDescent="0.35">
      <c r="A73" t="s">
        <v>104</v>
      </c>
      <c r="B73">
        <f>IF(Final_Payroll!B73="Sales",Earnings!B73*3,
IF(Final_Payroll!B73="IT",Earnings!B73*2,
IF(Final_Payroll!B73="Finance",Earnings!B73*1.5,
IF(Final_Payroll!B73="HR",Earnings!B73*1.2,
Earnings!B73*1.3))))</f>
        <v>3125891.4000000004</v>
      </c>
      <c r="C73">
        <f>Earnings!B73 + Deductions!B73 + Deductions!C73 + Overtime!D73</f>
        <v>1043763.8</v>
      </c>
      <c r="D73">
        <f t="shared" si="2"/>
        <v>2082127.6000000003</v>
      </c>
      <c r="E73">
        <f t="shared" si="3"/>
        <v>2.9948264157082285</v>
      </c>
    </row>
    <row r="74" spans="1:5" x14ac:dyDescent="0.35">
      <c r="A74" t="s">
        <v>105</v>
      </c>
      <c r="B74">
        <f>IF(Final_Payroll!B74="Sales",Earnings!B74*3,
IF(Final_Payroll!B74="IT",Earnings!B74*2,
IF(Final_Payroll!B74="Finance",Earnings!B74*1.5,
IF(Final_Payroll!B74="HR",Earnings!B74*1.2,
Earnings!B74*1.3))))</f>
        <v>1085115.8399999999</v>
      </c>
      <c r="C74">
        <f>Earnings!B74 + Deductions!B74 + Deductions!C74 + Overtime!D74</f>
        <v>906063.2</v>
      </c>
      <c r="D74">
        <f t="shared" si="2"/>
        <v>179052.6399999999</v>
      </c>
      <c r="E74">
        <f t="shared" si="3"/>
        <v>1.1976160603366299</v>
      </c>
    </row>
    <row r="75" spans="1:5" x14ac:dyDescent="0.35">
      <c r="A75" t="s">
        <v>106</v>
      </c>
      <c r="B75">
        <f>IF(Final_Payroll!B75="Sales",Earnings!B75*3,
IF(Final_Payroll!B75="IT",Earnings!B75*2,
IF(Final_Payroll!B75="Finance",Earnings!B75*1.5,
IF(Final_Payroll!B75="HR",Earnings!B75*1.2,
Earnings!B75*1.3))))</f>
        <v>676294.79999999993</v>
      </c>
      <c r="C75">
        <f>Earnings!B75 + Deductions!B75 + Deductions!C75 + Overtime!D75</f>
        <v>565379</v>
      </c>
      <c r="D75">
        <f t="shared" si="2"/>
        <v>110915.79999999993</v>
      </c>
      <c r="E75">
        <f t="shared" si="3"/>
        <v>1.1961795538921678</v>
      </c>
    </row>
    <row r="76" spans="1:5" x14ac:dyDescent="0.35">
      <c r="A76" t="s">
        <v>107</v>
      </c>
      <c r="B76">
        <f>IF(Final_Payroll!B76="Sales",Earnings!B76*3,
IF(Final_Payroll!B76="IT",Earnings!B76*2,
IF(Final_Payroll!B76="Finance",Earnings!B76*1.5,
IF(Final_Payroll!B76="HR",Earnings!B76*1.2,
Earnings!B76*1.3))))</f>
        <v>781551.22499999998</v>
      </c>
      <c r="C76">
        <f>Earnings!B76 + Deductions!B76 + Deductions!C76 + Overtime!D76</f>
        <v>657100.64249999996</v>
      </c>
      <c r="D76">
        <f t="shared" si="2"/>
        <v>124450.58250000002</v>
      </c>
      <c r="E76">
        <f t="shared" si="3"/>
        <v>1.189393487771548</v>
      </c>
    </row>
    <row r="77" spans="1:5" x14ac:dyDescent="0.35">
      <c r="A77" t="s">
        <v>108</v>
      </c>
      <c r="B77">
        <f>IF(Final_Payroll!B77="Sales",Earnings!B77*3,
IF(Final_Payroll!B77="IT",Earnings!B77*2,
IF(Final_Payroll!B77="Finance",Earnings!B77*1.5,
IF(Final_Payroll!B77="HR",Earnings!B77*1.2,
Earnings!B77*1.3))))</f>
        <v>1533159</v>
      </c>
      <c r="C77">
        <f>Earnings!B77 + Deductions!B77 + Deductions!C77 + Overtime!D77</f>
        <v>574179.36</v>
      </c>
      <c r="D77">
        <f t="shared" si="2"/>
        <v>958979.64</v>
      </c>
      <c r="E77">
        <f t="shared" si="3"/>
        <v>2.6701743510947522</v>
      </c>
    </row>
    <row r="78" spans="1:5" x14ac:dyDescent="0.35">
      <c r="A78" t="s">
        <v>109</v>
      </c>
      <c r="B78">
        <f>IF(Final_Payroll!B78="Sales",Earnings!B78*3,
IF(Final_Payroll!B78="IT",Earnings!B78*2,
IF(Final_Payroll!B78="Finance",Earnings!B78*1.5,
IF(Final_Payroll!B78="HR",Earnings!B78*1.2,
Earnings!B78*1.3))))</f>
        <v>804343.15</v>
      </c>
      <c r="C78">
        <f>Earnings!B78 + Deductions!B78 + Deductions!C78 + Overtime!D78</f>
        <v>645274.52</v>
      </c>
      <c r="D78">
        <f t="shared" si="2"/>
        <v>159068.63</v>
      </c>
      <c r="E78">
        <f t="shared" si="3"/>
        <v>1.2465131119697705</v>
      </c>
    </row>
    <row r="79" spans="1:5" x14ac:dyDescent="0.35">
      <c r="A79" t="s">
        <v>110</v>
      </c>
      <c r="B79">
        <f>IF(Final_Payroll!B79="Sales",Earnings!B79*3,
IF(Final_Payroll!B79="IT",Earnings!B79*2,
IF(Final_Payroll!B79="Finance",Earnings!B79*1.5,
IF(Final_Payroll!B79="HR",Earnings!B79*1.2,
Earnings!B79*1.3))))</f>
        <v>784203.72</v>
      </c>
      <c r="C79">
        <f>Earnings!B79 + Deductions!B79 + Deductions!C79 + Overtime!D79</f>
        <v>655303.1</v>
      </c>
      <c r="D79">
        <f t="shared" si="2"/>
        <v>128900.62</v>
      </c>
      <c r="E79">
        <f t="shared" si="3"/>
        <v>1.1967038153794787</v>
      </c>
    </row>
    <row r="80" spans="1:5" x14ac:dyDescent="0.35">
      <c r="A80" t="s">
        <v>111</v>
      </c>
      <c r="B80">
        <f>IF(Final_Payroll!B80="Sales",Earnings!B80*3,
IF(Final_Payroll!B80="IT",Earnings!B80*2,
IF(Final_Payroll!B80="Finance",Earnings!B80*1.5,
IF(Final_Payroll!B80="HR",Earnings!B80*1.2,
Earnings!B80*1.3))))</f>
        <v>2267334</v>
      </c>
      <c r="C80">
        <f>Earnings!B80 + Deductions!B80 + Deductions!C80 + Overtime!D80</f>
        <v>870944.7</v>
      </c>
      <c r="D80">
        <f t="shared" si="2"/>
        <v>1396389.3</v>
      </c>
      <c r="E80">
        <f t="shared" si="3"/>
        <v>2.6033042051923618</v>
      </c>
    </row>
    <row r="81" spans="1:5" x14ac:dyDescent="0.35">
      <c r="A81" t="s">
        <v>112</v>
      </c>
      <c r="B81">
        <f>IF(Final_Payroll!B81="Sales",Earnings!B81*3,
IF(Final_Payroll!B81="IT",Earnings!B81*2,
IF(Final_Payroll!B81="Finance",Earnings!B81*1.5,
IF(Final_Payroll!B81="HR",Earnings!B81*1.2,
Earnings!B81*1.3))))</f>
        <v>1782033</v>
      </c>
      <c r="C81">
        <f>Earnings!B81 + Deductions!B81 + Deductions!C81 + Overtime!D81</f>
        <v>1278923.6499999999</v>
      </c>
      <c r="D81">
        <f t="shared" si="2"/>
        <v>503109.35000000009</v>
      </c>
      <c r="E81">
        <f t="shared" si="3"/>
        <v>1.3933849764995745</v>
      </c>
    </row>
    <row r="82" spans="1:5" x14ac:dyDescent="0.35">
      <c r="A82" t="s">
        <v>113</v>
      </c>
      <c r="B82">
        <f>IF(Final_Payroll!B82="Sales",Earnings!B82*3,
IF(Final_Payroll!B82="IT",Earnings!B82*2,
IF(Final_Payroll!B82="Finance",Earnings!B82*1.5,
IF(Final_Payroll!B82="HR",Earnings!B82*1.2,
Earnings!B82*1.3))))</f>
        <v>647852.88</v>
      </c>
      <c r="C82">
        <f>Earnings!B82 + Deductions!B82 + Deductions!C82 + Overtime!D82</f>
        <v>555174.33499999996</v>
      </c>
      <c r="D82">
        <f t="shared" si="2"/>
        <v>92678.545000000042</v>
      </c>
      <c r="E82">
        <f t="shared" si="3"/>
        <v>1.1669359319356865</v>
      </c>
    </row>
    <row r="83" spans="1:5" x14ac:dyDescent="0.35">
      <c r="A83" t="s">
        <v>114</v>
      </c>
      <c r="B83">
        <f>IF(Final_Payroll!B83="Sales",Earnings!B83*3,
IF(Final_Payroll!B83="IT",Earnings!B83*2,
IF(Final_Payroll!B83="Finance",Earnings!B83*1.5,
IF(Final_Payroll!B83="HR",Earnings!B83*1.2,
Earnings!B83*1.3))))</f>
        <v>879348.12</v>
      </c>
      <c r="C83">
        <f>Earnings!B83 + Deductions!B83 + Deductions!C83 + Overtime!D83</f>
        <v>734590.1</v>
      </c>
      <c r="D83">
        <f t="shared" si="2"/>
        <v>144758.02000000002</v>
      </c>
      <c r="E83">
        <f t="shared" si="3"/>
        <v>1.1970595846581651</v>
      </c>
    </row>
    <row r="84" spans="1:5" x14ac:dyDescent="0.35">
      <c r="A84" t="s">
        <v>115</v>
      </c>
      <c r="B84">
        <f>IF(Final_Payroll!B84="Sales",Earnings!B84*3,
IF(Final_Payroll!B84="IT",Earnings!B84*2,
IF(Final_Payroll!B84="Finance",Earnings!B84*1.5,
IF(Final_Payroll!B84="HR",Earnings!B84*1.2,
Earnings!B84*1.3))))</f>
        <v>840798</v>
      </c>
      <c r="C84">
        <f>Earnings!B84 + Deductions!B84 + Deductions!C84 + Overtime!D84</f>
        <v>702465</v>
      </c>
      <c r="D84">
        <f t="shared" si="2"/>
        <v>138333</v>
      </c>
      <c r="E84">
        <f t="shared" si="3"/>
        <v>1.1969251137067327</v>
      </c>
    </row>
    <row r="85" spans="1:5" x14ac:dyDescent="0.35">
      <c r="A85" t="s">
        <v>116</v>
      </c>
      <c r="B85">
        <f>IF(Final_Payroll!B85="Sales",Earnings!B85*3,
IF(Final_Payroll!B85="IT",Earnings!B85*2,
IF(Final_Payroll!B85="Finance",Earnings!B85*1.5,
IF(Final_Payroll!B85="HR",Earnings!B85*1.2,
Earnings!B85*1.3))))</f>
        <v>928996.25999999989</v>
      </c>
      <c r="C85">
        <f>Earnings!B85 + Deductions!B85 + Deductions!C85 + Overtime!D85</f>
        <v>826284.18074999994</v>
      </c>
      <c r="D85">
        <f t="shared" si="2"/>
        <v>102712.07924999995</v>
      </c>
      <c r="E85">
        <f t="shared" si="3"/>
        <v>1.1243059974315017</v>
      </c>
    </row>
    <row r="86" spans="1:5" x14ac:dyDescent="0.35">
      <c r="A86" t="s">
        <v>117</v>
      </c>
      <c r="B86">
        <f>IF(Final_Payroll!B86="Sales",Earnings!B86*3,
IF(Final_Payroll!B86="IT",Earnings!B86*2,
IF(Final_Payroll!B86="Finance",Earnings!B86*1.5,
IF(Final_Payroll!B86="HR",Earnings!B86*1.2,
Earnings!B86*1.3))))</f>
        <v>2607908</v>
      </c>
      <c r="C86">
        <f>Earnings!B86 + Deductions!B86 + Deductions!C86 + Overtime!D86</f>
        <v>1344872.62</v>
      </c>
      <c r="D86">
        <f t="shared" si="2"/>
        <v>1263035.3799999999</v>
      </c>
      <c r="E86">
        <f t="shared" si="3"/>
        <v>1.9391487053993262</v>
      </c>
    </row>
    <row r="87" spans="1:5" x14ac:dyDescent="0.35">
      <c r="A87" t="s">
        <v>118</v>
      </c>
      <c r="B87">
        <f>IF(Final_Payroll!B87="Sales",Earnings!B87*3,
IF(Final_Payroll!B87="IT",Earnings!B87*2,
IF(Final_Payroll!B87="Finance",Earnings!B87*1.5,
IF(Final_Payroll!B87="HR",Earnings!B87*1.2,
Earnings!B87*1.3))))</f>
        <v>1014180</v>
      </c>
      <c r="C87">
        <f>Earnings!B87 + Deductions!B87 + Deductions!C87 + Overtime!D87</f>
        <v>677920</v>
      </c>
      <c r="D87">
        <f t="shared" si="2"/>
        <v>336260</v>
      </c>
      <c r="E87">
        <f t="shared" si="3"/>
        <v>1.4960172291715836</v>
      </c>
    </row>
    <row r="88" spans="1:5" x14ac:dyDescent="0.35">
      <c r="A88" t="s">
        <v>119</v>
      </c>
      <c r="B88">
        <f>IF(Final_Payroll!B88="Sales",Earnings!B88*3,
IF(Final_Payroll!B88="IT",Earnings!B88*2,
IF(Final_Payroll!B88="Finance",Earnings!B88*1.5,
IF(Final_Payroll!B88="HR",Earnings!B88*1.2,
Earnings!B88*1.3))))</f>
        <v>922519.2</v>
      </c>
      <c r="C88">
        <f>Earnings!B88 + Deductions!B88 + Deductions!C88 + Overtime!D88</f>
        <v>878193.24</v>
      </c>
      <c r="D88">
        <f t="shared" si="2"/>
        <v>44325.959999999963</v>
      </c>
      <c r="E88">
        <f t="shared" si="3"/>
        <v>1.0504740391761613</v>
      </c>
    </row>
    <row r="89" spans="1:5" x14ac:dyDescent="0.35">
      <c r="A89" t="s">
        <v>120</v>
      </c>
      <c r="B89">
        <f>IF(Final_Payroll!B89="Sales",Earnings!B89*3,
IF(Final_Payroll!B89="IT",Earnings!B89*2,
IF(Final_Payroll!B89="Finance",Earnings!B89*1.5,
IF(Final_Payroll!B89="HR",Earnings!B89*1.2,
Earnings!B89*1.3))))</f>
        <v>3277410</v>
      </c>
      <c r="C89">
        <f>Earnings!B89 + Deductions!B89 + Deductions!C89 + Overtime!D89</f>
        <v>1094270</v>
      </c>
      <c r="D89">
        <f t="shared" si="2"/>
        <v>2183140</v>
      </c>
      <c r="E89">
        <f t="shared" si="3"/>
        <v>2.9950652032862091</v>
      </c>
    </row>
    <row r="90" spans="1:5" x14ac:dyDescent="0.35">
      <c r="A90" t="s">
        <v>121</v>
      </c>
      <c r="B90">
        <f>IF(Final_Payroll!B90="Sales",Earnings!B90*3,
IF(Final_Payroll!B90="IT",Earnings!B90*2,
IF(Final_Payroll!B90="Finance",Earnings!B90*1.5,
IF(Final_Payroll!B90="HR",Earnings!B90*1.2,
Earnings!B90*1.3))))</f>
        <v>2988525</v>
      </c>
      <c r="C90">
        <f>Earnings!B90 + Deductions!B90 + Deductions!C90 + Overtime!D90</f>
        <v>997975</v>
      </c>
      <c r="D90">
        <f t="shared" si="2"/>
        <v>1990550</v>
      </c>
      <c r="E90">
        <f t="shared" si="3"/>
        <v>2.9945890428116937</v>
      </c>
    </row>
    <row r="91" spans="1:5" x14ac:dyDescent="0.35">
      <c r="A91" t="s">
        <v>122</v>
      </c>
      <c r="B91">
        <f>IF(Final_Payroll!B91="Sales",Earnings!B91*3,
IF(Final_Payroll!B91="IT",Earnings!B91*2,
IF(Final_Payroll!B91="Finance",Earnings!B91*1.5,
IF(Final_Payroll!B91="HR",Earnings!B91*1.2,
Earnings!B91*1.3))))</f>
        <v>2428296</v>
      </c>
      <c r="C91">
        <f>Earnings!B91 + Deductions!B91 + Deductions!C91 + Overtime!D91</f>
        <v>843609.28</v>
      </c>
      <c r="D91">
        <f t="shared" si="2"/>
        <v>1584686.72</v>
      </c>
      <c r="E91">
        <f t="shared" si="3"/>
        <v>2.8784605119564355</v>
      </c>
    </row>
    <row r="92" spans="1:5" x14ac:dyDescent="0.35">
      <c r="A92" t="s">
        <v>123</v>
      </c>
      <c r="B92">
        <f>IF(Final_Payroll!B92="Sales",Earnings!B92*3,
IF(Final_Payroll!B92="IT",Earnings!B92*2,
IF(Final_Payroll!B92="Finance",Earnings!B92*1.5,
IF(Final_Payroll!B92="HR",Earnings!B92*1.2,
Earnings!B92*1.3))))</f>
        <v>1651935</v>
      </c>
      <c r="C92">
        <f>Earnings!B92 + Deductions!B92 + Deductions!C92 + Overtime!D92</f>
        <v>1202206.1000000001</v>
      </c>
      <c r="D92">
        <f t="shared" si="2"/>
        <v>449728.89999999991</v>
      </c>
      <c r="E92">
        <f t="shared" si="3"/>
        <v>1.3740863567403292</v>
      </c>
    </row>
    <row r="93" spans="1:5" x14ac:dyDescent="0.35">
      <c r="A93" t="s">
        <v>124</v>
      </c>
      <c r="B93">
        <f>IF(Final_Payroll!B93="Sales",Earnings!B93*3,
IF(Final_Payroll!B93="IT",Earnings!B93*2,
IF(Final_Payroll!B93="Finance",Earnings!B93*1.5,
IF(Final_Payroll!B93="HR",Earnings!B93*1.2,
Earnings!B93*1.3))))</f>
        <v>1117592.3999999999</v>
      </c>
      <c r="C93">
        <f>Earnings!B93 + Deductions!B93 + Deductions!C93 + Overtime!D93</f>
        <v>933127</v>
      </c>
      <c r="D93">
        <f t="shared" si="2"/>
        <v>184465.39999999991</v>
      </c>
      <c r="E93">
        <f t="shared" si="3"/>
        <v>1.197685202550135</v>
      </c>
    </row>
    <row r="94" spans="1:5" x14ac:dyDescent="0.35">
      <c r="A94" t="s">
        <v>125</v>
      </c>
      <c r="B94">
        <f>IF(Final_Payroll!B94="Sales",Earnings!B94*3,
IF(Final_Payroll!B94="IT",Earnings!B94*2,
IF(Final_Payroll!B94="Finance",Earnings!B94*1.5,
IF(Final_Payroll!B94="HR",Earnings!B94*1.2,
Earnings!B94*1.3))))</f>
        <v>3089653.6500000004</v>
      </c>
      <c r="C94">
        <f>Earnings!B94 + Deductions!B94 + Deductions!C94 + Overtime!D94</f>
        <v>1062581.0865</v>
      </c>
      <c r="D94">
        <f t="shared" si="2"/>
        <v>2027072.5635000004</v>
      </c>
      <c r="E94">
        <f t="shared" si="3"/>
        <v>2.9076874125219998</v>
      </c>
    </row>
    <row r="95" spans="1:5" x14ac:dyDescent="0.35">
      <c r="A95" t="s">
        <v>126</v>
      </c>
      <c r="B95">
        <f>IF(Final_Payroll!B95="Sales",Earnings!B95*3,
IF(Final_Payroll!B95="IT",Earnings!B95*2,
IF(Final_Payroll!B95="Finance",Earnings!B95*1.5,
IF(Final_Payroll!B95="HR",Earnings!B95*1.2,
Earnings!B95*1.3))))</f>
        <v>967581.83999999985</v>
      </c>
      <c r="C95">
        <f>Earnings!B95 + Deductions!B95 + Deductions!C95 + Overtime!D95</f>
        <v>856497.2919999999</v>
      </c>
      <c r="D95">
        <f t="shared" si="2"/>
        <v>111084.54799999995</v>
      </c>
      <c r="E95">
        <f t="shared" si="3"/>
        <v>1.1296963213282407</v>
      </c>
    </row>
    <row r="96" spans="1:5" x14ac:dyDescent="0.35">
      <c r="A96" t="s">
        <v>127</v>
      </c>
      <c r="B96">
        <f>IF(Final_Payroll!B96="Sales",Earnings!B96*3,
IF(Final_Payroll!B96="IT",Earnings!B96*2,
IF(Final_Payroll!B96="Finance",Earnings!B96*1.5,
IF(Final_Payroll!B96="HR",Earnings!B96*1.2,
Earnings!B96*1.3))))</f>
        <v>2046038</v>
      </c>
      <c r="C96">
        <f>Earnings!B96 + Deductions!B96 + Deductions!C96 + Overtime!D96</f>
        <v>1024819</v>
      </c>
      <c r="D96">
        <f t="shared" si="2"/>
        <v>1021219</v>
      </c>
      <c r="E96">
        <f t="shared" si="3"/>
        <v>1.9964871845662502</v>
      </c>
    </row>
    <row r="97" spans="1:5" x14ac:dyDescent="0.35">
      <c r="A97" t="s">
        <v>128</v>
      </c>
      <c r="B97">
        <f>IF(Final_Payroll!B97="Sales",Earnings!B97*3,
IF(Final_Payroll!B97="IT",Earnings!B97*2,
IF(Final_Payroll!B97="Finance",Earnings!B97*1.5,
IF(Final_Payroll!B97="HR",Earnings!B97*1.2,
Earnings!B97*1.3))))</f>
        <v>1335584.0999999999</v>
      </c>
      <c r="C97">
        <f>Earnings!B97 + Deductions!B97 + Deductions!C97 + Overtime!D97</f>
        <v>941160.81699999992</v>
      </c>
      <c r="D97">
        <f t="shared" si="2"/>
        <v>394423.28299999994</v>
      </c>
      <c r="E97">
        <f t="shared" si="3"/>
        <v>1.4190817083282803</v>
      </c>
    </row>
    <row r="98" spans="1:5" x14ac:dyDescent="0.35">
      <c r="A98" t="s">
        <v>129</v>
      </c>
      <c r="B98">
        <f>IF(Final_Payroll!B98="Sales",Earnings!B98*3,
IF(Final_Payroll!B98="IT",Earnings!B98*2,
IF(Final_Payroll!B98="Finance",Earnings!B98*1.5,
IF(Final_Payroll!B98="HR",Earnings!B98*1.2,
Earnings!B98*1.3))))</f>
        <v>1069659.4350000001</v>
      </c>
      <c r="C98">
        <f>Earnings!B98 + Deductions!B98 + Deductions!C98 + Overtime!D98</f>
        <v>894554.22074999998</v>
      </c>
      <c r="D98">
        <f t="shared" si="2"/>
        <v>175105.21425000008</v>
      </c>
      <c r="E98">
        <f t="shared" si="3"/>
        <v>1.1957457806226555</v>
      </c>
    </row>
    <row r="99" spans="1:5" x14ac:dyDescent="0.35">
      <c r="A99" t="s">
        <v>130</v>
      </c>
      <c r="B99">
        <f>IF(Final_Payroll!B99="Sales",Earnings!B99*3,
IF(Final_Payroll!B99="IT",Earnings!B99*2,
IF(Final_Payroll!B99="Finance",Earnings!B99*1.5,
IF(Final_Payroll!B99="HR",Earnings!B99*1.2,
Earnings!B99*1.3))))</f>
        <v>1486879.2</v>
      </c>
      <c r="C99">
        <f>Earnings!B99 + Deductions!B99 + Deductions!C99 + Overtime!D99</f>
        <v>1102090.608</v>
      </c>
      <c r="D99">
        <f t="shared" si="2"/>
        <v>384788.59199999995</v>
      </c>
      <c r="E99">
        <f t="shared" si="3"/>
        <v>1.3491442438642032</v>
      </c>
    </row>
    <row r="100" spans="1:5" x14ac:dyDescent="0.35">
      <c r="A100" t="s">
        <v>131</v>
      </c>
      <c r="B100">
        <f>IF(Final_Payroll!B100="Sales",Earnings!B100*3,
IF(Final_Payroll!B100="IT",Earnings!B100*2,
IF(Final_Payroll!B100="Finance",Earnings!B100*1.5,
IF(Final_Payroll!B100="HR",Earnings!B100*1.2,
Earnings!B100*1.3))))</f>
        <v>776424.74</v>
      </c>
      <c r="C100">
        <f>Earnings!B100 + Deductions!B100 + Deductions!C100 + Overtime!D100</f>
        <v>599049.79999999993</v>
      </c>
      <c r="D100">
        <f t="shared" si="2"/>
        <v>177374.94000000006</v>
      </c>
      <c r="E100">
        <f t="shared" si="3"/>
        <v>1.2960938139032849</v>
      </c>
    </row>
    <row r="101" spans="1:5" x14ac:dyDescent="0.35">
      <c r="A101" t="s">
        <v>132</v>
      </c>
      <c r="B101">
        <f>IF(Final_Payroll!B101="Sales",Earnings!B101*3,
IF(Final_Payroll!B101="IT",Earnings!B101*2,
IF(Final_Payroll!B101="Finance",Earnings!B101*1.5,
IF(Final_Payroll!B101="HR",Earnings!B101*1.2,
Earnings!B101*1.3))))</f>
        <v>1371253.2749999999</v>
      </c>
      <c r="C101">
        <f>Earnings!B101 + Deductions!B101 + Deductions!C101 + Overtime!D101</f>
        <v>1039381.64475</v>
      </c>
      <c r="D101">
        <f t="shared" si="2"/>
        <v>331871.63024999993</v>
      </c>
      <c r="E101">
        <f t="shared" si="3"/>
        <v>1.319297182056572</v>
      </c>
    </row>
    <row r="102" spans="1:5" x14ac:dyDescent="0.35">
      <c r="A102" t="s">
        <v>133</v>
      </c>
      <c r="B102">
        <f>IF(Final_Payroll!B102="Sales",Earnings!B102*3,
IF(Final_Payroll!B102="IT",Earnings!B102*2,
IF(Final_Payroll!B102="Finance",Earnings!B102*1.5,
IF(Final_Payroll!B102="HR",Earnings!B102*1.2,
Earnings!B102*1.3))))</f>
        <v>1525783.5999999999</v>
      </c>
      <c r="C102">
        <f>Earnings!B102 + Deductions!B102 + Deductions!C102 + Overtime!D102</f>
        <v>764691.79999999993</v>
      </c>
      <c r="D102">
        <f t="shared" si="2"/>
        <v>761091.79999999993</v>
      </c>
      <c r="E102">
        <f t="shared" si="3"/>
        <v>1.9952922209967467</v>
      </c>
    </row>
    <row r="103" spans="1:5" x14ac:dyDescent="0.35">
      <c r="A103" t="s">
        <v>134</v>
      </c>
      <c r="B103">
        <f>IF(Final_Payroll!B103="Sales",Earnings!B103*3,
IF(Final_Payroll!B103="IT",Earnings!B103*2,
IF(Final_Payroll!B103="Finance",Earnings!B103*1.5,
IF(Final_Payroll!B103="HR",Earnings!B103*1.2,
Earnings!B103*1.3))))</f>
        <v>1066924.5</v>
      </c>
      <c r="C103">
        <f>Earnings!B103 + Deductions!B103 + Deductions!C103 + Overtime!D103</f>
        <v>766429.22499999998</v>
      </c>
      <c r="D103">
        <f t="shared" si="2"/>
        <v>300495.27500000002</v>
      </c>
      <c r="E103">
        <f t="shared" si="3"/>
        <v>1.3920717858847307</v>
      </c>
    </row>
    <row r="104" spans="1:5" x14ac:dyDescent="0.35">
      <c r="A104" t="s">
        <v>135</v>
      </c>
      <c r="B104">
        <f>IF(Final_Payroll!B104="Sales",Earnings!B104*3,
IF(Final_Payroll!B104="IT",Earnings!B104*2,
IF(Final_Payroll!B104="Finance",Earnings!B104*1.5,
IF(Final_Payroll!B104="HR",Earnings!B104*1.2,
Earnings!B104*1.3))))</f>
        <v>956035.2</v>
      </c>
      <c r="C104">
        <f>Earnings!B104 + Deductions!B104 + Deductions!C104 + Overtime!D104</f>
        <v>798496</v>
      </c>
      <c r="D104">
        <f t="shared" si="2"/>
        <v>157539.19999999995</v>
      </c>
      <c r="E104">
        <f t="shared" si="3"/>
        <v>1.1972949144391456</v>
      </c>
    </row>
    <row r="105" spans="1:5" x14ac:dyDescent="0.35">
      <c r="A105" t="s">
        <v>136</v>
      </c>
      <c r="B105">
        <f>IF(Final_Payroll!B105="Sales",Earnings!B105*3,
IF(Final_Payroll!B105="IT",Earnings!B105*2,
IF(Final_Payroll!B105="Finance",Earnings!B105*1.5,
IF(Final_Payroll!B105="HR",Earnings!B105*1.2,
Earnings!B105*1.3))))</f>
        <v>2694580.9499999997</v>
      </c>
      <c r="C105">
        <f>Earnings!B105 + Deductions!B105 + Deductions!C105 + Overtime!D105</f>
        <v>899993.64999999991</v>
      </c>
      <c r="D105">
        <f t="shared" si="2"/>
        <v>1794587.2999999998</v>
      </c>
      <c r="E105">
        <f t="shared" si="3"/>
        <v>2.9939999576663681</v>
      </c>
    </row>
    <row r="106" spans="1:5" x14ac:dyDescent="0.35">
      <c r="A106" t="s">
        <v>137</v>
      </c>
      <c r="B106">
        <f>IF(Final_Payroll!B106="Sales",Earnings!B106*3,
IF(Final_Payroll!B106="IT",Earnings!B106*2,
IF(Final_Payroll!B106="Finance",Earnings!B106*1.5,
IF(Final_Payroll!B106="HR",Earnings!B106*1.2,
Earnings!B106*1.3))))</f>
        <v>3019948</v>
      </c>
      <c r="C106">
        <f>Earnings!B106 + Deductions!B106 + Deductions!C106 + Overtime!D106</f>
        <v>1655221.53</v>
      </c>
      <c r="D106">
        <f t="shared" si="2"/>
        <v>1364726.47</v>
      </c>
      <c r="E106">
        <f t="shared" si="3"/>
        <v>1.8244977758354799</v>
      </c>
    </row>
    <row r="107" spans="1:5" x14ac:dyDescent="0.35">
      <c r="A107" t="s">
        <v>138</v>
      </c>
      <c r="B107">
        <f>IF(Final_Payroll!B107="Sales",Earnings!B107*3,
IF(Final_Payroll!B107="IT",Earnings!B107*2,
IF(Final_Payroll!B107="Finance",Earnings!B107*1.5,
IF(Final_Payroll!B107="HR",Earnings!B107*1.2,
Earnings!B107*1.3))))</f>
        <v>791917.1</v>
      </c>
      <c r="C107">
        <f>Earnings!B107 + Deductions!B107 + Deductions!C107 + Overtime!D107</f>
        <v>610967</v>
      </c>
      <c r="D107">
        <f t="shared" si="2"/>
        <v>180950.09999999998</v>
      </c>
      <c r="E107">
        <f t="shared" si="3"/>
        <v>1.296170005908666</v>
      </c>
    </row>
    <row r="108" spans="1:5" x14ac:dyDescent="0.35">
      <c r="A108" t="s">
        <v>139</v>
      </c>
      <c r="B108">
        <f>IF(Final_Payroll!B108="Sales",Earnings!B108*3,
IF(Final_Payroll!B108="IT",Earnings!B108*2,
IF(Final_Payroll!B108="Finance",Earnings!B108*1.5,
IF(Final_Payroll!B108="HR",Earnings!B108*1.2,
Earnings!B108*1.3))))</f>
        <v>2252092</v>
      </c>
      <c r="C108">
        <f>Earnings!B108 + Deductions!B108 + Deductions!C108 + Overtime!D108</f>
        <v>1285492.44</v>
      </c>
      <c r="D108">
        <f t="shared" si="2"/>
        <v>966599.56</v>
      </c>
      <c r="E108">
        <f t="shared" si="3"/>
        <v>1.7519294006894355</v>
      </c>
    </row>
    <row r="109" spans="1:5" x14ac:dyDescent="0.35">
      <c r="A109" t="s">
        <v>140</v>
      </c>
      <c r="B109">
        <f>IF(Final_Payroll!B109="Sales",Earnings!B109*3,
IF(Final_Payroll!B109="IT",Earnings!B109*2,
IF(Final_Payroll!B109="Finance",Earnings!B109*1.5,
IF(Final_Payroll!B109="HR",Earnings!B109*1.2,
Earnings!B109*1.3))))</f>
        <v>1704690</v>
      </c>
      <c r="C109">
        <f>Earnings!B109 + Deductions!B109 + Deductions!C109 + Overtime!D109</f>
        <v>621170.69999999995</v>
      </c>
      <c r="D109">
        <f t="shared" si="2"/>
        <v>1083519.3</v>
      </c>
      <c r="E109">
        <f t="shared" si="3"/>
        <v>2.7443181077278758</v>
      </c>
    </row>
    <row r="110" spans="1:5" x14ac:dyDescent="0.35">
      <c r="A110" t="s">
        <v>141</v>
      </c>
      <c r="B110">
        <f>IF(Final_Payroll!B110="Sales",Earnings!B110*3,
IF(Final_Payroll!B110="IT",Earnings!B110*2,
IF(Final_Payroll!B110="Finance",Earnings!B110*1.5,
IF(Final_Payroll!B110="HR",Earnings!B110*1.2,
Earnings!B110*1.3))))</f>
        <v>869775.53999999992</v>
      </c>
      <c r="C110">
        <f>Earnings!B110 + Deductions!B110 + Deductions!C110 + Overtime!D110</f>
        <v>759229.53275000001</v>
      </c>
      <c r="D110">
        <f t="shared" si="2"/>
        <v>110546.00724999991</v>
      </c>
      <c r="E110">
        <f t="shared" si="3"/>
        <v>1.1456028809227059</v>
      </c>
    </row>
    <row r="111" spans="1:5" x14ac:dyDescent="0.35">
      <c r="A111" t="s">
        <v>142</v>
      </c>
      <c r="B111">
        <f>IF(Final_Payroll!B111="Sales",Earnings!B111*3,
IF(Final_Payroll!B111="IT",Earnings!B111*2,
IF(Final_Payroll!B111="Finance",Earnings!B111*1.5,
IF(Final_Payroll!B111="HR",Earnings!B111*1.2,
Earnings!B111*1.3))))</f>
        <v>1433008</v>
      </c>
      <c r="C111">
        <f>Earnings!B111 + Deductions!B111 + Deductions!C111 + Overtime!D111</f>
        <v>818614.55999999994</v>
      </c>
      <c r="D111">
        <f t="shared" si="2"/>
        <v>614393.44000000006</v>
      </c>
      <c r="E111">
        <f t="shared" si="3"/>
        <v>1.7505283561044895</v>
      </c>
    </row>
    <row r="112" spans="1:5" x14ac:dyDescent="0.35">
      <c r="A112" t="s">
        <v>143</v>
      </c>
      <c r="B112">
        <f>IF(Final_Payroll!B112="Sales",Earnings!B112*3,
IF(Final_Payroll!B112="IT",Earnings!B112*2,
IF(Final_Payroll!B112="Finance",Earnings!B112*1.5,
IF(Final_Payroll!B112="HR",Earnings!B112*1.2,
Earnings!B112*1.3))))</f>
        <v>2057111</v>
      </c>
      <c r="C112">
        <f>Earnings!B112 + Deductions!B112 + Deductions!C112 + Overtime!D112</f>
        <v>1092068.83</v>
      </c>
      <c r="D112">
        <f t="shared" si="2"/>
        <v>965042.16999999993</v>
      </c>
      <c r="E112">
        <f t="shared" si="3"/>
        <v>1.8836825514010869</v>
      </c>
    </row>
    <row r="113" spans="1:5" x14ac:dyDescent="0.35">
      <c r="A113" t="s">
        <v>144</v>
      </c>
      <c r="B113">
        <f>IF(Final_Payroll!B113="Sales",Earnings!B113*3,
IF(Final_Payroll!B113="IT",Earnings!B113*2,
IF(Final_Payroll!B113="Finance",Earnings!B113*1.5,
IF(Final_Payroll!B113="HR",Earnings!B113*1.2,
Earnings!B113*1.3))))</f>
        <v>2347858.5</v>
      </c>
      <c r="C113">
        <f>Earnings!B113 + Deductions!B113 + Deductions!C113 + Overtime!D113</f>
        <v>901812.42500000005</v>
      </c>
      <c r="D113">
        <f t="shared" si="2"/>
        <v>1446046.075</v>
      </c>
      <c r="E113">
        <f t="shared" si="3"/>
        <v>2.6034887465650076</v>
      </c>
    </row>
    <row r="114" spans="1:5" x14ac:dyDescent="0.35">
      <c r="A114" t="s">
        <v>145</v>
      </c>
      <c r="B114">
        <f>IF(Final_Payroll!B114="Sales",Earnings!B114*3,
IF(Final_Payroll!B114="IT",Earnings!B114*2,
IF(Final_Payroll!B114="Finance",Earnings!B114*1.5,
IF(Final_Payroll!B114="HR",Earnings!B114*1.2,
Earnings!B114*1.3))))</f>
        <v>1324379.325</v>
      </c>
      <c r="C114">
        <f>Earnings!B114 + Deductions!B114 + Deductions!C114 + Overtime!D114</f>
        <v>1017157.4824999999</v>
      </c>
      <c r="D114">
        <f t="shared" si="2"/>
        <v>307221.84250000003</v>
      </c>
      <c r="E114">
        <f t="shared" si="3"/>
        <v>1.302039603292207</v>
      </c>
    </row>
    <row r="115" spans="1:5" x14ac:dyDescent="0.35">
      <c r="A115" t="s">
        <v>146</v>
      </c>
      <c r="B115">
        <f>IF(Final_Payroll!B115="Sales",Earnings!B115*3,
IF(Final_Payroll!B115="IT",Earnings!B115*2,
IF(Final_Payroll!B115="Finance",Earnings!B115*1.5,
IF(Final_Payroll!B115="HR",Earnings!B115*1.2,
Earnings!B115*1.3))))</f>
        <v>743935.4</v>
      </c>
      <c r="C115">
        <f>Earnings!B115 + Deductions!B115 + Deductions!C115 + Overtime!D115</f>
        <v>605532.18999999994</v>
      </c>
      <c r="D115">
        <f t="shared" si="2"/>
        <v>138403.21000000008</v>
      </c>
      <c r="E115">
        <f t="shared" si="3"/>
        <v>1.2285645788706956</v>
      </c>
    </row>
    <row r="116" spans="1:5" x14ac:dyDescent="0.35">
      <c r="A116" t="s">
        <v>147</v>
      </c>
      <c r="B116">
        <f>IF(Final_Payroll!B116="Sales",Earnings!B116*3,
IF(Final_Payroll!B116="IT",Earnings!B116*2,
IF(Final_Payroll!B116="Finance",Earnings!B116*1.5,
IF(Final_Payroll!B116="HR",Earnings!B116*1.2,
Earnings!B116*1.3))))</f>
        <v>3034402</v>
      </c>
      <c r="C116">
        <f>Earnings!B116 + Deductions!B116 + Deductions!C116 + Overtime!D116</f>
        <v>1519001</v>
      </c>
      <c r="D116">
        <f t="shared" si="2"/>
        <v>1515401</v>
      </c>
      <c r="E116">
        <f t="shared" si="3"/>
        <v>1.9976300213100584</v>
      </c>
    </row>
    <row r="117" spans="1:5" x14ac:dyDescent="0.35">
      <c r="A117" t="s">
        <v>148</v>
      </c>
      <c r="B117">
        <f>IF(Final_Payroll!B117="Sales",Earnings!B117*3,
IF(Final_Payroll!B117="IT",Earnings!B117*2,
IF(Final_Payroll!B117="Finance",Earnings!B117*1.5,
IF(Final_Payroll!B117="HR",Earnings!B117*1.2,
Earnings!B117*1.3))))</f>
        <v>1194891.5999999999</v>
      </c>
      <c r="C117">
        <f>Earnings!B117 + Deductions!B117 + Deductions!C117 + Overtime!D117</f>
        <v>1037372.72</v>
      </c>
      <c r="D117">
        <f t="shared" si="2"/>
        <v>157518.87999999989</v>
      </c>
      <c r="E117">
        <f t="shared" si="3"/>
        <v>1.1518440546614721</v>
      </c>
    </row>
    <row r="118" spans="1:5" x14ac:dyDescent="0.35">
      <c r="A118" t="s">
        <v>149</v>
      </c>
      <c r="B118">
        <f>IF(Final_Payroll!B118="Sales",Earnings!B118*3,
IF(Final_Payroll!B118="IT",Earnings!B118*2,
IF(Final_Payroll!B118="Finance",Earnings!B118*1.5,
IF(Final_Payroll!B118="HR",Earnings!B118*1.2,
Earnings!B118*1.3))))</f>
        <v>1269519.6749999998</v>
      </c>
      <c r="C118">
        <f>Earnings!B118 + Deductions!B118 + Deductions!C118 + Overtime!D118</f>
        <v>903158.96924999997</v>
      </c>
      <c r="D118">
        <f t="shared" si="2"/>
        <v>366360.70574999985</v>
      </c>
      <c r="E118">
        <f t="shared" si="3"/>
        <v>1.4056436554621525</v>
      </c>
    </row>
    <row r="119" spans="1:5" x14ac:dyDescent="0.35">
      <c r="A119" t="s">
        <v>150</v>
      </c>
      <c r="B119">
        <f>IF(Final_Payroll!B119="Sales",Earnings!B119*3,
IF(Final_Payroll!B119="IT",Earnings!B119*2,
IF(Final_Payroll!B119="Finance",Earnings!B119*1.5,
IF(Final_Payroll!B119="HR",Earnings!B119*1.2,
Earnings!B119*1.3))))</f>
        <v>2094333.9</v>
      </c>
      <c r="C119">
        <f>Earnings!B119 + Deductions!B119 + Deductions!C119 + Overtime!D119</f>
        <v>1090853.628</v>
      </c>
      <c r="D119">
        <f t="shared" si="2"/>
        <v>1003480.2719999999</v>
      </c>
      <c r="E119">
        <f t="shared" si="3"/>
        <v>1.91990368482324</v>
      </c>
    </row>
    <row r="120" spans="1:5" x14ac:dyDescent="0.35">
      <c r="A120" t="s">
        <v>151</v>
      </c>
      <c r="B120">
        <f>IF(Final_Payroll!B120="Sales",Earnings!B120*3,
IF(Final_Payroll!B120="IT",Earnings!B120*2,
IF(Final_Payroll!B120="Finance",Earnings!B120*1.5,
IF(Final_Payroll!B120="HR",Earnings!B120*1.2,
Earnings!B120*1.3))))</f>
        <v>1227420</v>
      </c>
      <c r="C120">
        <f>Earnings!B120 + Deductions!B120 + Deductions!C120 + Overtime!D120</f>
        <v>820080</v>
      </c>
      <c r="D120">
        <f t="shared" si="2"/>
        <v>407340</v>
      </c>
      <c r="E120">
        <f t="shared" si="3"/>
        <v>1.4967076382791922</v>
      </c>
    </row>
    <row r="121" spans="1:5" x14ac:dyDescent="0.35">
      <c r="A121" t="s">
        <v>152</v>
      </c>
      <c r="B121">
        <f>IF(Final_Payroll!B121="Sales",Earnings!B121*3,
IF(Final_Payroll!B121="IT",Earnings!B121*2,
IF(Final_Payroll!B121="Finance",Earnings!B121*1.5,
IF(Final_Payroll!B121="HR",Earnings!B121*1.2,
Earnings!B121*1.3))))</f>
        <v>2529046</v>
      </c>
      <c r="C121">
        <f>Earnings!B121 + Deductions!B121 + Deductions!C121 + Overtime!D121</f>
        <v>1266323</v>
      </c>
      <c r="D121">
        <f t="shared" si="2"/>
        <v>1262723</v>
      </c>
      <c r="E121">
        <f t="shared" si="3"/>
        <v>1.9971571234195382</v>
      </c>
    </row>
    <row r="122" spans="1:5" x14ac:dyDescent="0.35">
      <c r="A122" t="s">
        <v>153</v>
      </c>
      <c r="B122">
        <f>IF(Final_Payroll!B122="Sales",Earnings!B122*3,
IF(Final_Payroll!B122="IT",Earnings!B122*2,
IF(Final_Payroll!B122="Finance",Earnings!B122*1.5,
IF(Final_Payroll!B122="HR",Earnings!B122*1.2,
Earnings!B122*1.3))))</f>
        <v>1611855.5</v>
      </c>
      <c r="C122">
        <f>Earnings!B122 + Deductions!B122 + Deductions!C122 + Overtime!D122</f>
        <v>928616.91249999998</v>
      </c>
      <c r="D122">
        <f t="shared" si="2"/>
        <v>683238.58750000002</v>
      </c>
      <c r="E122">
        <f t="shared" si="3"/>
        <v>1.7357593624486136</v>
      </c>
    </row>
    <row r="123" spans="1:5" x14ac:dyDescent="0.35">
      <c r="A123" t="s">
        <v>154</v>
      </c>
      <c r="B123">
        <f>IF(Final_Payroll!B123="Sales",Earnings!B123*3,
IF(Final_Payroll!B123="IT",Earnings!B123*2,
IF(Final_Payroll!B123="Finance",Earnings!B123*1.5,
IF(Final_Payroll!B123="HR",Earnings!B123*1.2,
Earnings!B123*1.3))))</f>
        <v>2031786</v>
      </c>
      <c r="C123">
        <f>Earnings!B123 + Deductions!B123 + Deductions!C123 + Overtime!D123</f>
        <v>1017693</v>
      </c>
      <c r="D123">
        <f t="shared" si="2"/>
        <v>1014093</v>
      </c>
      <c r="E123">
        <f t="shared" si="3"/>
        <v>1.9964625874404167</v>
      </c>
    </row>
    <row r="124" spans="1:5" x14ac:dyDescent="0.35">
      <c r="A124" t="s">
        <v>155</v>
      </c>
      <c r="B124">
        <f>IF(Final_Payroll!B124="Sales",Earnings!B124*3,
IF(Final_Payroll!B124="IT",Earnings!B124*2,
IF(Final_Payroll!B124="Finance",Earnings!B124*1.5,
IF(Final_Payroll!B124="HR",Earnings!B124*1.2,
Earnings!B124*1.3))))</f>
        <v>1147488.375</v>
      </c>
      <c r="C124">
        <f>Earnings!B124 + Deductions!B124 + Deductions!C124 + Overtime!D124</f>
        <v>801216.90125</v>
      </c>
      <c r="D124">
        <f t="shared" si="2"/>
        <v>346271.47375</v>
      </c>
      <c r="E124">
        <f t="shared" si="3"/>
        <v>1.4321819387606185</v>
      </c>
    </row>
    <row r="125" spans="1:5" x14ac:dyDescent="0.35">
      <c r="A125" t="s">
        <v>156</v>
      </c>
      <c r="B125">
        <f>IF(Final_Payroll!B125="Sales",Earnings!B125*3,
IF(Final_Payroll!B125="IT",Earnings!B125*2,
IF(Final_Payroll!B125="Finance",Earnings!B125*1.5,
IF(Final_Payroll!B125="HR",Earnings!B125*1.2,
Earnings!B125*1.3))))</f>
        <v>2602816.65</v>
      </c>
      <c r="C125">
        <f>Earnings!B125 + Deductions!B125 + Deductions!C125 + Overtime!D125</f>
        <v>995208.35474999994</v>
      </c>
      <c r="D125">
        <f t="shared" si="2"/>
        <v>1607608.29525</v>
      </c>
      <c r="E125">
        <f t="shared" si="3"/>
        <v>2.6153484720833529</v>
      </c>
    </row>
    <row r="126" spans="1:5" x14ac:dyDescent="0.35">
      <c r="A126" t="s">
        <v>157</v>
      </c>
      <c r="B126">
        <f>IF(Final_Payroll!B126="Sales",Earnings!B126*3,
IF(Final_Payroll!B126="IT",Earnings!B126*2,
IF(Final_Payroll!B126="Finance",Earnings!B126*1.5,
IF(Final_Payroll!B126="HR",Earnings!B126*1.2,
Earnings!B126*1.3))))</f>
        <v>832704.92500000005</v>
      </c>
      <c r="C126">
        <f>Earnings!B126 + Deductions!B126 + Deductions!C126 + Overtime!D126</f>
        <v>728815.45374999999</v>
      </c>
      <c r="D126">
        <f t="shared" si="2"/>
        <v>103889.47125000006</v>
      </c>
      <c r="E126">
        <f t="shared" si="3"/>
        <v>1.1425456481684819</v>
      </c>
    </row>
    <row r="127" spans="1:5" x14ac:dyDescent="0.35">
      <c r="A127" t="s">
        <v>158</v>
      </c>
      <c r="B127">
        <f>IF(Final_Payroll!B127="Sales",Earnings!B127*3,
IF(Final_Payroll!B127="IT",Earnings!B127*2,
IF(Final_Payroll!B127="Finance",Earnings!B127*1.5,
IF(Final_Payroll!B127="HR",Earnings!B127*1.2,
Earnings!B127*1.3))))</f>
        <v>1188493.8</v>
      </c>
      <c r="C127">
        <f>Earnings!B127 + Deductions!B127 + Deductions!C127 + Overtime!D127</f>
        <v>1034875.38</v>
      </c>
      <c r="D127">
        <f t="shared" si="2"/>
        <v>153618.42000000004</v>
      </c>
      <c r="E127">
        <f t="shared" si="3"/>
        <v>1.1484414674161056</v>
      </c>
    </row>
    <row r="128" spans="1:5" x14ac:dyDescent="0.35">
      <c r="A128" t="s">
        <v>159</v>
      </c>
      <c r="B128">
        <f>IF(Final_Payroll!B128="Sales",Earnings!B128*3,
IF(Final_Payroll!B128="IT",Earnings!B128*2,
IF(Final_Payroll!B128="Finance",Earnings!B128*1.5,
IF(Final_Payroll!B128="HR",Earnings!B128*1.2,
Earnings!B128*1.3))))</f>
        <v>1781948</v>
      </c>
      <c r="C128">
        <f>Earnings!B128 + Deductions!B128 + Deductions!C128 + Overtime!D128</f>
        <v>937322.7</v>
      </c>
      <c r="D128">
        <f t="shared" si="2"/>
        <v>844625.3</v>
      </c>
      <c r="E128">
        <f t="shared" si="3"/>
        <v>1.9011040701350774</v>
      </c>
    </row>
    <row r="129" spans="1:5" x14ac:dyDescent="0.35">
      <c r="A129" t="s">
        <v>160</v>
      </c>
      <c r="B129">
        <f>IF(Final_Payroll!B129="Sales",Earnings!B129*3,
IF(Final_Payroll!B129="IT",Earnings!B129*2,
IF(Final_Payroll!B129="Finance",Earnings!B129*1.5,
IF(Final_Payroll!B129="HR",Earnings!B129*1.2,
Earnings!B129*1.3))))</f>
        <v>1267686</v>
      </c>
      <c r="C129">
        <f>Earnings!B129 + Deductions!B129 + Deductions!C129 + Overtime!D129</f>
        <v>424362</v>
      </c>
      <c r="D129">
        <f t="shared" si="2"/>
        <v>843324</v>
      </c>
      <c r="E129">
        <f t="shared" si="3"/>
        <v>2.9872750151992875</v>
      </c>
    </row>
    <row r="130" spans="1:5" x14ac:dyDescent="0.35">
      <c r="A130" t="s">
        <v>161</v>
      </c>
      <c r="B130">
        <f>IF(Final_Payroll!B130="Sales",Earnings!B130*3,
IF(Final_Payroll!B130="IT",Earnings!B130*2,
IF(Final_Payroll!B130="Finance",Earnings!B130*1.5,
IF(Final_Payroll!B130="HR",Earnings!B130*1.2,
Earnings!B130*1.3))))</f>
        <v>996222.5</v>
      </c>
      <c r="C130">
        <f>Earnings!B130 + Deductions!B130 + Deductions!C130 + Overtime!D130</f>
        <v>794946.375</v>
      </c>
      <c r="D130">
        <f t="shared" ref="D130:D193" si="4">B130-C130</f>
        <v>201276.125</v>
      </c>
      <c r="E130">
        <f t="shared" ref="E130:E193" si="5">IF(C130=0,0,B130/C130)</f>
        <v>1.2531945944152523</v>
      </c>
    </row>
    <row r="131" spans="1:5" x14ac:dyDescent="0.35">
      <c r="A131" t="s">
        <v>162</v>
      </c>
      <c r="B131">
        <f>IF(Final_Payroll!B131="Sales",Earnings!B131*3,
IF(Final_Payroll!B131="IT",Earnings!B131*2,
IF(Final_Payroll!B131="Finance",Earnings!B131*1.5,
IF(Final_Payroll!B131="HR",Earnings!B131*1.2,
Earnings!B131*1.3))))</f>
        <v>2384427</v>
      </c>
      <c r="C131">
        <f>Earnings!B131 + Deductions!B131 + Deductions!C131 + Overtime!D131</f>
        <v>796609</v>
      </c>
      <c r="D131">
        <f t="shared" si="4"/>
        <v>1587818</v>
      </c>
      <c r="E131">
        <f t="shared" si="5"/>
        <v>2.993221266643987</v>
      </c>
    </row>
    <row r="132" spans="1:5" x14ac:dyDescent="0.35">
      <c r="A132" t="s">
        <v>163</v>
      </c>
      <c r="B132">
        <f>IF(Final_Payroll!B132="Sales",Earnings!B132*3,
IF(Final_Payroll!B132="IT",Earnings!B132*2,
IF(Final_Payroll!B132="Finance",Earnings!B132*1.5,
IF(Final_Payroll!B132="HR",Earnings!B132*1.2,
Earnings!B132*1.3))))</f>
        <v>3053170.8</v>
      </c>
      <c r="C132">
        <f>Earnings!B132 + Deductions!B132 + Deductions!C132 + Overtime!D132</f>
        <v>1095852.8699999999</v>
      </c>
      <c r="D132">
        <f t="shared" si="4"/>
        <v>1957317.93</v>
      </c>
      <c r="E132">
        <f t="shared" si="5"/>
        <v>2.7861137964624758</v>
      </c>
    </row>
    <row r="133" spans="1:5" x14ac:dyDescent="0.35">
      <c r="A133" t="s">
        <v>164</v>
      </c>
      <c r="B133">
        <f>IF(Final_Payroll!B133="Sales",Earnings!B133*3,
IF(Final_Payroll!B133="IT",Earnings!B133*2,
IF(Final_Payroll!B133="Finance",Earnings!B133*1.5,
IF(Final_Payroll!B133="HR",Earnings!B133*1.2,
Earnings!B133*1.3))))</f>
        <v>2398928.6</v>
      </c>
      <c r="C133">
        <f>Earnings!B133 + Deductions!B133 + Deductions!C133 + Overtime!D133</f>
        <v>1363191.9805000001</v>
      </c>
      <c r="D133">
        <f t="shared" si="4"/>
        <v>1035736.6195</v>
      </c>
      <c r="E133">
        <f t="shared" si="5"/>
        <v>1.7597877880121522</v>
      </c>
    </row>
    <row r="134" spans="1:5" x14ac:dyDescent="0.35">
      <c r="A134" t="s">
        <v>165</v>
      </c>
      <c r="B134">
        <f>IF(Final_Payroll!B134="Sales",Earnings!B134*3,
IF(Final_Payroll!B134="IT",Earnings!B134*2,
IF(Final_Payroll!B134="Finance",Earnings!B134*1.5,
IF(Final_Payroll!B134="HR",Earnings!B134*1.2,
Earnings!B134*1.3))))</f>
        <v>553919.73</v>
      </c>
      <c r="C134">
        <f>Earnings!B134 + Deductions!B134 + Deductions!C134 + Overtime!D134</f>
        <v>442805.3235</v>
      </c>
      <c r="D134">
        <f t="shared" si="4"/>
        <v>111114.40649999998</v>
      </c>
      <c r="E134">
        <f t="shared" si="5"/>
        <v>1.2509328605666594</v>
      </c>
    </row>
    <row r="135" spans="1:5" x14ac:dyDescent="0.35">
      <c r="A135" t="s">
        <v>166</v>
      </c>
      <c r="B135">
        <f>IF(Final_Payroll!B135="Sales",Earnings!B135*3,
IF(Final_Payroll!B135="IT",Earnings!B135*2,
IF(Final_Payroll!B135="Finance",Earnings!B135*1.5,
IF(Final_Payroll!B135="HR",Earnings!B135*1.2,
Earnings!B135*1.3))))</f>
        <v>1026184.6799999998</v>
      </c>
      <c r="C135">
        <f>Earnings!B135 + Deductions!B135 + Deductions!C135 + Overtime!D135</f>
        <v>980951.21549999993</v>
      </c>
      <c r="D135">
        <f t="shared" si="4"/>
        <v>45233.464499999885</v>
      </c>
      <c r="E135">
        <f t="shared" si="5"/>
        <v>1.046111838983699</v>
      </c>
    </row>
    <row r="136" spans="1:5" x14ac:dyDescent="0.35">
      <c r="A136" t="s">
        <v>167</v>
      </c>
      <c r="B136">
        <f>IF(Final_Payroll!B136="Sales",Earnings!B136*3,
IF(Final_Payroll!B136="IT",Earnings!B136*2,
IF(Final_Payroll!B136="Finance",Earnings!B136*1.5,
IF(Final_Payroll!B136="HR",Earnings!B136*1.2,
Earnings!B136*1.3))))</f>
        <v>1065023.2449999999</v>
      </c>
      <c r="C136">
        <f>Earnings!B136 + Deductions!B136 + Deductions!C136 + Overtime!D136</f>
        <v>935743.46099999989</v>
      </c>
      <c r="D136">
        <f t="shared" si="4"/>
        <v>129279.78399999999</v>
      </c>
      <c r="E136">
        <f t="shared" si="5"/>
        <v>1.1381572935191475</v>
      </c>
    </row>
    <row r="137" spans="1:5" x14ac:dyDescent="0.35">
      <c r="A137" t="s">
        <v>168</v>
      </c>
      <c r="B137">
        <f>IF(Final_Payroll!B137="Sales",Earnings!B137*3,
IF(Final_Payroll!B137="IT",Earnings!B137*2,
IF(Final_Payroll!B137="Finance",Earnings!B137*1.5,
IF(Final_Payroll!B137="HR",Earnings!B137*1.2,
Earnings!B137*1.3))))</f>
        <v>840650.4</v>
      </c>
      <c r="C137">
        <f>Earnings!B137 + Deductions!B137 + Deductions!C137 + Overtime!D137</f>
        <v>702342</v>
      </c>
      <c r="D137">
        <f t="shared" si="4"/>
        <v>138308.40000000002</v>
      </c>
      <c r="E137">
        <f t="shared" si="5"/>
        <v>1.1969245752069504</v>
      </c>
    </row>
    <row r="138" spans="1:5" x14ac:dyDescent="0.35">
      <c r="A138" t="s">
        <v>169</v>
      </c>
      <c r="B138">
        <f>IF(Final_Payroll!B138="Sales",Earnings!B138*3,
IF(Final_Payroll!B138="IT",Earnings!B138*2,
IF(Final_Payroll!B138="Finance",Earnings!B138*1.5,
IF(Final_Payroll!B138="HR",Earnings!B138*1.2,
Earnings!B138*1.3))))</f>
        <v>479892.11999999994</v>
      </c>
      <c r="C138">
        <f>Earnings!B138 + Deductions!B138 + Deductions!C138 + Overtime!D138</f>
        <v>401710.1</v>
      </c>
      <c r="D138">
        <f t="shared" si="4"/>
        <v>78182.01999999996</v>
      </c>
      <c r="E138">
        <f t="shared" si="5"/>
        <v>1.1946229880702526</v>
      </c>
    </row>
    <row r="139" spans="1:5" x14ac:dyDescent="0.35">
      <c r="A139" t="s">
        <v>170</v>
      </c>
      <c r="B139">
        <f>IF(Final_Payroll!B139="Sales",Earnings!B139*3,
IF(Final_Payroll!B139="IT",Earnings!B139*2,
IF(Final_Payroll!B139="Finance",Earnings!B139*1.5,
IF(Final_Payroll!B139="HR",Earnings!B139*1.2,
Earnings!B139*1.3))))</f>
        <v>1055645.5</v>
      </c>
      <c r="C139">
        <f>Earnings!B139 + Deductions!B139 + Deductions!C139 + Overtime!D139</f>
        <v>911279.2</v>
      </c>
      <c r="D139">
        <f t="shared" si="4"/>
        <v>144366.30000000005</v>
      </c>
      <c r="E139">
        <f t="shared" si="5"/>
        <v>1.1584215902217454</v>
      </c>
    </row>
    <row r="140" spans="1:5" x14ac:dyDescent="0.35">
      <c r="A140" t="s">
        <v>171</v>
      </c>
      <c r="B140">
        <f>IF(Final_Payroll!B140="Sales",Earnings!B140*3,
IF(Final_Payroll!B140="IT",Earnings!B140*2,
IF(Final_Payroll!B140="Finance",Earnings!B140*1.5,
IF(Final_Payroll!B140="HR",Earnings!B140*1.2,
Earnings!B140*1.3))))</f>
        <v>1531126.5</v>
      </c>
      <c r="C140">
        <f>Earnings!B140 + Deductions!B140 + Deductions!C140 + Overtime!D140</f>
        <v>1022551</v>
      </c>
      <c r="D140">
        <f t="shared" si="4"/>
        <v>508575.5</v>
      </c>
      <c r="E140">
        <f t="shared" si="5"/>
        <v>1.4973595449028949</v>
      </c>
    </row>
    <row r="141" spans="1:5" x14ac:dyDescent="0.35">
      <c r="A141" t="s">
        <v>172</v>
      </c>
      <c r="B141">
        <f>IF(Final_Payroll!B141="Sales",Earnings!B141*3,
IF(Final_Payroll!B141="IT",Earnings!B141*2,
IF(Final_Payroll!B141="Finance",Earnings!B141*1.5,
IF(Final_Payroll!B141="HR",Earnings!B141*1.2,
Earnings!B141*1.3))))</f>
        <v>1413781.5</v>
      </c>
      <c r="C141">
        <f>Earnings!B141 + Deductions!B141 + Deductions!C141 + Overtime!D141</f>
        <v>944321</v>
      </c>
      <c r="D141">
        <f t="shared" si="4"/>
        <v>469460.5</v>
      </c>
      <c r="E141">
        <f t="shared" si="5"/>
        <v>1.4971408027566897</v>
      </c>
    </row>
    <row r="142" spans="1:5" x14ac:dyDescent="0.35">
      <c r="A142" t="s">
        <v>173</v>
      </c>
      <c r="B142">
        <f>IF(Final_Payroll!B142="Sales",Earnings!B142*3,
IF(Final_Payroll!B142="IT",Earnings!B142*2,
IF(Final_Payroll!B142="Finance",Earnings!B142*1.5,
IF(Final_Payroll!B142="HR",Earnings!B142*1.2,
Earnings!B142*1.3))))</f>
        <v>636584.45499999996</v>
      </c>
      <c r="C142">
        <f>Earnings!B142 + Deductions!B142 + Deductions!C142 + Overtime!D142</f>
        <v>491480.35</v>
      </c>
      <c r="D142">
        <f t="shared" si="4"/>
        <v>145104.10499999998</v>
      </c>
      <c r="E142">
        <f t="shared" si="5"/>
        <v>1.2952388737413407</v>
      </c>
    </row>
    <row r="143" spans="1:5" x14ac:dyDescent="0.35">
      <c r="A143" t="s">
        <v>174</v>
      </c>
      <c r="B143">
        <f>IF(Final_Payroll!B143="Sales",Earnings!B143*3,
IF(Final_Payroll!B143="IT",Earnings!B143*2,
IF(Final_Payroll!B143="Finance",Earnings!B143*1.5,
IF(Final_Payroll!B143="HR",Earnings!B143*1.2,
Earnings!B143*1.3))))</f>
        <v>718172.6399999999</v>
      </c>
      <c r="C143">
        <f>Earnings!B143 + Deductions!B143 + Deductions!C143 + Overtime!D143</f>
        <v>636185.83199999994</v>
      </c>
      <c r="D143">
        <f t="shared" si="4"/>
        <v>81986.807999999961</v>
      </c>
      <c r="E143">
        <f t="shared" si="5"/>
        <v>1.1288724204093874</v>
      </c>
    </row>
    <row r="144" spans="1:5" x14ac:dyDescent="0.35">
      <c r="A144" t="s">
        <v>175</v>
      </c>
      <c r="B144">
        <f>IF(Final_Payroll!B144="Sales",Earnings!B144*3,
IF(Final_Payroll!B144="IT",Earnings!B144*2,
IF(Final_Payroll!B144="Finance",Earnings!B144*1.5,
IF(Final_Payroll!B144="HR",Earnings!B144*1.2,
Earnings!B144*1.3))))</f>
        <v>989082.9</v>
      </c>
      <c r="C144">
        <f>Earnings!B144 + Deductions!B144 + Deductions!C144 + Overtime!D144</f>
        <v>762633</v>
      </c>
      <c r="D144">
        <f t="shared" si="4"/>
        <v>226449.90000000002</v>
      </c>
      <c r="E144">
        <f t="shared" si="5"/>
        <v>1.2969316827359949</v>
      </c>
    </row>
    <row r="145" spans="1:5" x14ac:dyDescent="0.35">
      <c r="A145" t="s">
        <v>176</v>
      </c>
      <c r="B145">
        <f>IF(Final_Payroll!B145="Sales",Earnings!B145*3,
IF(Final_Payroll!B145="IT",Earnings!B145*2,
IF(Final_Payroll!B145="Finance",Earnings!B145*1.5,
IF(Final_Payroll!B145="HR",Earnings!B145*1.2,
Earnings!B145*1.3))))</f>
        <v>778855.98</v>
      </c>
      <c r="C145">
        <f>Earnings!B145 + Deductions!B145 + Deductions!C145 + Overtime!D145</f>
        <v>650846.65</v>
      </c>
      <c r="D145">
        <f t="shared" si="4"/>
        <v>128009.32999999996</v>
      </c>
      <c r="E145">
        <f t="shared" si="5"/>
        <v>1.1966812458818064</v>
      </c>
    </row>
    <row r="146" spans="1:5" x14ac:dyDescent="0.35">
      <c r="A146" t="s">
        <v>177</v>
      </c>
      <c r="B146">
        <f>IF(Final_Payroll!B146="Sales",Earnings!B146*3,
IF(Final_Payroll!B146="IT",Earnings!B146*2,
IF(Final_Payroll!B146="Finance",Earnings!B146*1.5,
IF(Final_Payroll!B146="HR",Earnings!B146*1.2,
Earnings!B146*1.3))))</f>
        <v>1268918.325</v>
      </c>
      <c r="C146">
        <f>Earnings!B146 + Deductions!B146 + Deductions!C146 + Overtime!D146</f>
        <v>847745.54999999993</v>
      </c>
      <c r="D146">
        <f t="shared" si="4"/>
        <v>421172.77500000002</v>
      </c>
      <c r="E146">
        <f t="shared" si="5"/>
        <v>1.4968150820726809</v>
      </c>
    </row>
    <row r="147" spans="1:5" x14ac:dyDescent="0.35">
      <c r="A147" t="s">
        <v>178</v>
      </c>
      <c r="B147">
        <f>IF(Final_Payroll!B147="Sales",Earnings!B147*3,
IF(Final_Payroll!B147="IT",Earnings!B147*2,
IF(Final_Payroll!B147="Finance",Earnings!B147*1.5,
IF(Final_Payroll!B147="HR",Earnings!B147*1.2,
Earnings!B147*1.3))))</f>
        <v>1400859</v>
      </c>
      <c r="C147">
        <f>Earnings!B147 + Deductions!B147 + Deductions!C147 + Overtime!D147</f>
        <v>1033766.13</v>
      </c>
      <c r="D147">
        <f t="shared" si="4"/>
        <v>367092.87</v>
      </c>
      <c r="E147">
        <f t="shared" si="5"/>
        <v>1.3551024350159353</v>
      </c>
    </row>
    <row r="148" spans="1:5" x14ac:dyDescent="0.35">
      <c r="A148" t="s">
        <v>179</v>
      </c>
      <c r="B148">
        <f>IF(Final_Payroll!B148="Sales",Earnings!B148*3,
IF(Final_Payroll!B148="IT",Earnings!B148*2,
IF(Final_Payroll!B148="Finance",Earnings!B148*1.5,
IF(Final_Payroll!B148="HR",Earnings!B148*1.2,
Earnings!B148*1.3))))</f>
        <v>1693314.2</v>
      </c>
      <c r="C148">
        <f>Earnings!B148 + Deductions!B148 + Deductions!C148 + Overtime!D148</f>
        <v>848457.1</v>
      </c>
      <c r="D148">
        <f t="shared" si="4"/>
        <v>844857.1</v>
      </c>
      <c r="E148">
        <f t="shared" si="5"/>
        <v>1.9957570040960233</v>
      </c>
    </row>
    <row r="149" spans="1:5" x14ac:dyDescent="0.35">
      <c r="A149" t="s">
        <v>180</v>
      </c>
      <c r="B149">
        <f>IF(Final_Payroll!B149="Sales",Earnings!B149*3,
IF(Final_Payroll!B149="IT",Earnings!B149*2,
IF(Final_Payroll!B149="Finance",Earnings!B149*1.5,
IF(Final_Payroll!B149="HR",Earnings!B149*1.2,
Earnings!B149*1.3))))</f>
        <v>1778964</v>
      </c>
      <c r="C149">
        <f>Earnings!B149 + Deductions!B149 + Deductions!C149 + Overtime!D149</f>
        <v>594788</v>
      </c>
      <c r="D149">
        <f t="shared" si="4"/>
        <v>1184176</v>
      </c>
      <c r="E149">
        <f t="shared" si="5"/>
        <v>2.9909211349253852</v>
      </c>
    </row>
    <row r="150" spans="1:5" x14ac:dyDescent="0.35">
      <c r="A150" t="s">
        <v>181</v>
      </c>
      <c r="B150">
        <f>IF(Final_Payroll!B150="Sales",Earnings!B150*3,
IF(Final_Payroll!B150="IT",Earnings!B150*2,
IF(Final_Payroll!B150="Finance",Earnings!B150*1.5,
IF(Final_Payroll!B150="HR",Earnings!B150*1.2,
Earnings!B150*1.3))))</f>
        <v>896181.45499999996</v>
      </c>
      <c r="C150">
        <f>Earnings!B150 + Deductions!B150 + Deductions!C150 + Overtime!D150</f>
        <v>691170.35</v>
      </c>
      <c r="D150">
        <f t="shared" si="4"/>
        <v>205011.10499999998</v>
      </c>
      <c r="E150">
        <f t="shared" si="5"/>
        <v>1.2966144381048752</v>
      </c>
    </row>
    <row r="151" spans="1:5" x14ac:dyDescent="0.35">
      <c r="A151" t="s">
        <v>182</v>
      </c>
      <c r="B151">
        <f>IF(Final_Payroll!B151="Sales",Earnings!B151*3,
IF(Final_Payroll!B151="IT",Earnings!B151*2,
IF(Final_Payroll!B151="Finance",Earnings!B151*1.5,
IF(Final_Payroll!B151="HR",Earnings!B151*1.2,
Earnings!B151*1.3))))</f>
        <v>1083959.8799999999</v>
      </c>
      <c r="C151">
        <f>Earnings!B151 + Deductions!B151 + Deductions!C151 + Overtime!D151</f>
        <v>905099.89999999991</v>
      </c>
      <c r="D151">
        <f t="shared" si="4"/>
        <v>178859.97999999998</v>
      </c>
      <c r="E151">
        <f t="shared" si="5"/>
        <v>1.1976135231039138</v>
      </c>
    </row>
    <row r="152" spans="1:5" x14ac:dyDescent="0.35">
      <c r="A152" t="s">
        <v>183</v>
      </c>
      <c r="B152">
        <f>IF(Final_Payroll!B152="Sales",Earnings!B152*3,
IF(Final_Payroll!B152="IT",Earnings!B152*2,
IF(Final_Payroll!B152="Finance",Earnings!B152*1.5,
IF(Final_Payroll!B152="HR",Earnings!B152*1.2,
Earnings!B152*1.3))))</f>
        <v>886702.25999999989</v>
      </c>
      <c r="C152">
        <f>Earnings!B152 + Deductions!B152 + Deductions!C152 + Overtime!D152</f>
        <v>740718.54999999993</v>
      </c>
      <c r="D152">
        <f t="shared" si="4"/>
        <v>145983.70999999996</v>
      </c>
      <c r="E152">
        <f t="shared" si="5"/>
        <v>1.1970839126413129</v>
      </c>
    </row>
    <row r="153" spans="1:5" x14ac:dyDescent="0.35">
      <c r="A153" t="s">
        <v>184</v>
      </c>
      <c r="B153">
        <f>IF(Final_Payroll!B153="Sales",Earnings!B153*3,
IF(Final_Payroll!B153="IT",Earnings!B153*2,
IF(Final_Payroll!B153="Finance",Earnings!B153*1.5,
IF(Final_Payroll!B153="HR",Earnings!B153*1.2,
Earnings!B153*1.3))))</f>
        <v>1784720</v>
      </c>
      <c r="C153">
        <f>Earnings!B153 + Deductions!B153 + Deductions!C153 + Overtime!D153</f>
        <v>961087</v>
      </c>
      <c r="D153">
        <f t="shared" si="4"/>
        <v>823633</v>
      </c>
      <c r="E153">
        <f t="shared" si="5"/>
        <v>1.8569806895733685</v>
      </c>
    </row>
    <row r="154" spans="1:5" x14ac:dyDescent="0.35">
      <c r="A154" t="s">
        <v>185</v>
      </c>
      <c r="B154">
        <f>IF(Final_Payroll!B154="Sales",Earnings!B154*3,
IF(Final_Payroll!B154="IT",Earnings!B154*2,
IF(Final_Payroll!B154="Finance",Earnings!B154*1.5,
IF(Final_Payroll!B154="HR",Earnings!B154*1.2,
Earnings!B154*1.3))))</f>
        <v>3119607</v>
      </c>
      <c r="C154">
        <f>Earnings!B154 + Deductions!B154 + Deductions!C154 + Overtime!D154</f>
        <v>1187250.6599999999</v>
      </c>
      <c r="D154">
        <f t="shared" si="4"/>
        <v>1932356.34</v>
      </c>
      <c r="E154">
        <f t="shared" si="5"/>
        <v>2.6275891899693704</v>
      </c>
    </row>
    <row r="155" spans="1:5" x14ac:dyDescent="0.35">
      <c r="A155" t="s">
        <v>186</v>
      </c>
      <c r="B155">
        <f>IF(Final_Payroll!B155="Sales",Earnings!B155*3,
IF(Final_Payroll!B155="IT",Earnings!B155*2,
IF(Final_Payroll!B155="Finance",Earnings!B155*1.5,
IF(Final_Payroll!B155="HR",Earnings!B155*1.2,
Earnings!B155*1.3))))</f>
        <v>1818910.5</v>
      </c>
      <c r="C155">
        <f>Earnings!B155 + Deductions!B155 + Deductions!C155 + Overtime!D155</f>
        <v>1359919.84</v>
      </c>
      <c r="D155">
        <f t="shared" si="4"/>
        <v>458990.65999999992</v>
      </c>
      <c r="E155">
        <f t="shared" si="5"/>
        <v>1.3375130257677539</v>
      </c>
    </row>
    <row r="156" spans="1:5" x14ac:dyDescent="0.35">
      <c r="A156" t="s">
        <v>187</v>
      </c>
      <c r="B156">
        <f>IF(Final_Payroll!B156="Sales",Earnings!B156*3,
IF(Final_Payroll!B156="IT",Earnings!B156*2,
IF(Final_Payroll!B156="Finance",Earnings!B156*1.5,
IF(Final_Payroll!B156="HR",Earnings!B156*1.2,
Earnings!B156*1.3))))</f>
        <v>1549211.5499999998</v>
      </c>
      <c r="C156">
        <f>Earnings!B156 + Deductions!B156 + Deductions!C156 + Overtime!D156</f>
        <v>1148216.547</v>
      </c>
      <c r="D156">
        <f t="shared" si="4"/>
        <v>400995.00299999979</v>
      </c>
      <c r="E156">
        <f t="shared" si="5"/>
        <v>1.3492329073707381</v>
      </c>
    </row>
    <row r="157" spans="1:5" x14ac:dyDescent="0.35">
      <c r="A157" t="s">
        <v>188</v>
      </c>
      <c r="B157">
        <f>IF(Final_Payroll!B157="Sales",Earnings!B157*3,
IF(Final_Payroll!B157="IT",Earnings!B157*2,
IF(Final_Payroll!B157="Finance",Earnings!B157*1.5,
IF(Final_Payroll!B157="HR",Earnings!B157*1.2,
Earnings!B157*1.3))))</f>
        <v>1015132.9500000001</v>
      </c>
      <c r="C157">
        <f>Earnings!B157 + Deductions!B157 + Deductions!C157 + Overtime!D157</f>
        <v>852949.93500000006</v>
      </c>
      <c r="D157">
        <f t="shared" si="4"/>
        <v>162183.01500000001</v>
      </c>
      <c r="E157">
        <f t="shared" si="5"/>
        <v>1.1901436512800718</v>
      </c>
    </row>
    <row r="158" spans="1:5" x14ac:dyDescent="0.35">
      <c r="A158" t="s">
        <v>189</v>
      </c>
      <c r="B158">
        <f>IF(Final_Payroll!B158="Sales",Earnings!B158*3,
IF(Final_Payroll!B158="IT",Earnings!B158*2,
IF(Final_Payroll!B158="Finance",Earnings!B158*1.5,
IF(Final_Payroll!B158="HR",Earnings!B158*1.2,
Earnings!B158*1.3))))</f>
        <v>1004618.1599999999</v>
      </c>
      <c r="C158">
        <f>Earnings!B158 + Deductions!B158 + Deductions!C158 + Overtime!D158</f>
        <v>844133.68799999997</v>
      </c>
      <c r="D158">
        <f t="shared" si="4"/>
        <v>160484.47199999995</v>
      </c>
      <c r="E158">
        <f t="shared" si="5"/>
        <v>1.19011736444287</v>
      </c>
    </row>
    <row r="159" spans="1:5" x14ac:dyDescent="0.35">
      <c r="A159" t="s">
        <v>190</v>
      </c>
      <c r="B159">
        <f>IF(Final_Payroll!B159="Sales",Earnings!B159*3,
IF(Final_Payroll!B159="IT",Earnings!B159*2,
IF(Final_Payroll!B159="Finance",Earnings!B159*1.5,
IF(Final_Payroll!B159="HR",Earnings!B159*1.2,
Earnings!B159*1.3))))</f>
        <v>1893830.7000000002</v>
      </c>
      <c r="C159">
        <f>Earnings!B159 + Deductions!B159 + Deductions!C159 + Overtime!D159</f>
        <v>718299.28150000004</v>
      </c>
      <c r="D159">
        <f t="shared" si="4"/>
        <v>1175531.4185000001</v>
      </c>
      <c r="E159">
        <f t="shared" si="5"/>
        <v>2.6365482310453907</v>
      </c>
    </row>
    <row r="160" spans="1:5" x14ac:dyDescent="0.35">
      <c r="A160" t="s">
        <v>191</v>
      </c>
      <c r="B160">
        <f>IF(Final_Payroll!B160="Sales",Earnings!B160*3,
IF(Final_Payroll!B160="IT",Earnings!B160*2,
IF(Final_Payroll!B160="Finance",Earnings!B160*1.5,
IF(Final_Payroll!B160="HR",Earnings!B160*1.2,
Earnings!B160*1.3))))</f>
        <v>1708446.75</v>
      </c>
      <c r="C160">
        <f>Earnings!B160 + Deductions!B160 + Deductions!C160 + Overtime!D160</f>
        <v>1140764.5</v>
      </c>
      <c r="D160">
        <f t="shared" si="4"/>
        <v>567682.25</v>
      </c>
      <c r="E160">
        <f t="shared" si="5"/>
        <v>1.4976331661793472</v>
      </c>
    </row>
    <row r="161" spans="1:5" x14ac:dyDescent="0.35">
      <c r="A161" t="s">
        <v>192</v>
      </c>
      <c r="B161">
        <f>IF(Final_Payroll!B161="Sales",Earnings!B161*3,
IF(Final_Payroll!B161="IT",Earnings!B161*2,
IF(Final_Payroll!B161="Finance",Earnings!B161*1.5,
IF(Final_Payroll!B161="HR",Earnings!B161*1.2,
Earnings!B161*1.3))))</f>
        <v>1943517</v>
      </c>
      <c r="C161">
        <f>Earnings!B161 + Deductions!B161 + Deductions!C161 + Overtime!D161</f>
        <v>649639</v>
      </c>
      <c r="D161">
        <f t="shared" si="4"/>
        <v>1293878</v>
      </c>
      <c r="E161">
        <f t="shared" si="5"/>
        <v>2.9916876911638619</v>
      </c>
    </row>
    <row r="162" spans="1:5" x14ac:dyDescent="0.35">
      <c r="A162" t="s">
        <v>193</v>
      </c>
      <c r="B162">
        <f>IF(Final_Payroll!B162="Sales",Earnings!B162*3,
IF(Final_Payroll!B162="IT",Earnings!B162*2,
IF(Final_Payroll!B162="Finance",Earnings!B162*1.5,
IF(Final_Payroll!B162="HR",Earnings!B162*1.2,
Earnings!B162*1.3))))</f>
        <v>1275303</v>
      </c>
      <c r="C162">
        <f>Earnings!B162 + Deductions!B162 + Deductions!C162 + Overtime!D162</f>
        <v>852002</v>
      </c>
      <c r="D162">
        <f t="shared" si="4"/>
        <v>423301</v>
      </c>
      <c r="E162">
        <f t="shared" si="5"/>
        <v>1.4968309933544757</v>
      </c>
    </row>
    <row r="163" spans="1:5" x14ac:dyDescent="0.35">
      <c r="A163" t="s">
        <v>194</v>
      </c>
      <c r="B163">
        <f>IF(Final_Payroll!B163="Sales",Earnings!B163*3,
IF(Final_Payroll!B163="IT",Earnings!B163*2,
IF(Final_Payroll!B163="Finance",Earnings!B163*1.5,
IF(Final_Payroll!B163="HR",Earnings!B163*1.2,
Earnings!B163*1.3))))</f>
        <v>797932.79999999993</v>
      </c>
      <c r="C163">
        <f>Earnings!B163 + Deductions!B163 + Deductions!C163 + Overtime!D163</f>
        <v>739887.84</v>
      </c>
      <c r="D163">
        <f t="shared" si="4"/>
        <v>58044.959999999963</v>
      </c>
      <c r="E163">
        <f t="shared" si="5"/>
        <v>1.0784510257662836</v>
      </c>
    </row>
    <row r="164" spans="1:5" x14ac:dyDescent="0.35">
      <c r="A164" t="s">
        <v>195</v>
      </c>
      <c r="B164">
        <f>IF(Final_Payroll!B164="Sales",Earnings!B164*3,
IF(Final_Payroll!B164="IT",Earnings!B164*2,
IF(Final_Payroll!B164="Finance",Earnings!B164*1.5,
IF(Final_Payroll!B164="HR",Earnings!B164*1.2,
Earnings!B164*1.3))))</f>
        <v>1387830.2999999998</v>
      </c>
      <c r="C164">
        <f>Earnings!B164 + Deductions!B164 + Deductions!C164 + Overtime!D164</f>
        <v>927020.2</v>
      </c>
      <c r="D164">
        <f t="shared" si="4"/>
        <v>460810.09999999986</v>
      </c>
      <c r="E164">
        <f t="shared" si="5"/>
        <v>1.4970874421075182</v>
      </c>
    </row>
    <row r="165" spans="1:5" x14ac:dyDescent="0.35">
      <c r="A165" t="s">
        <v>196</v>
      </c>
      <c r="B165">
        <f>IF(Final_Payroll!B165="Sales",Earnings!B165*3,
IF(Final_Payroll!B165="IT",Earnings!B165*2,
IF(Final_Payroll!B165="Finance",Earnings!B165*1.5,
IF(Final_Payroll!B165="HR",Earnings!B165*1.2,
Earnings!B165*1.3))))</f>
        <v>2436822</v>
      </c>
      <c r="C165">
        <f>Earnings!B165 + Deductions!B165 + Deductions!C165 + Overtime!D165</f>
        <v>814074</v>
      </c>
      <c r="D165">
        <f t="shared" si="4"/>
        <v>1622748</v>
      </c>
      <c r="E165">
        <f t="shared" si="5"/>
        <v>2.9933666963936938</v>
      </c>
    </row>
    <row r="166" spans="1:5" x14ac:dyDescent="0.35">
      <c r="A166" t="s">
        <v>197</v>
      </c>
      <c r="B166">
        <f>IF(Final_Payroll!B166="Sales",Earnings!B166*3,
IF(Final_Payroll!B166="IT",Earnings!B166*2,
IF(Final_Payroll!B166="Finance",Earnings!B166*1.5,
IF(Final_Payroll!B166="HR",Earnings!B166*1.2,
Earnings!B166*1.3))))</f>
        <v>1288032</v>
      </c>
      <c r="C166">
        <f>Earnings!B166 + Deductions!B166 + Deductions!C166 + Overtime!D166</f>
        <v>860488</v>
      </c>
      <c r="D166">
        <f t="shared" si="4"/>
        <v>427544</v>
      </c>
      <c r="E166">
        <f t="shared" si="5"/>
        <v>1.496862245609468</v>
      </c>
    </row>
    <row r="167" spans="1:5" x14ac:dyDescent="0.35">
      <c r="A167" t="s">
        <v>198</v>
      </c>
      <c r="B167">
        <f>IF(Final_Payroll!B167="Sales",Earnings!B167*3,
IF(Final_Payroll!B167="IT",Earnings!B167*2,
IF(Final_Payroll!B167="Finance",Earnings!B167*1.5,
IF(Final_Payroll!B167="HR",Earnings!B167*1.2,
Earnings!B167*1.3))))</f>
        <v>2498323.2999999998</v>
      </c>
      <c r="C167">
        <f>Earnings!B167 + Deductions!B167 + Deductions!C167 + Overtime!D167</f>
        <v>1250961.6499999999</v>
      </c>
      <c r="D167">
        <f t="shared" si="4"/>
        <v>1247361.6499999999</v>
      </c>
      <c r="E167">
        <f t="shared" si="5"/>
        <v>1.9971222139383729</v>
      </c>
    </row>
    <row r="168" spans="1:5" x14ac:dyDescent="0.35">
      <c r="A168" t="s">
        <v>199</v>
      </c>
      <c r="B168">
        <f>IF(Final_Payroll!B168="Sales",Earnings!B168*3,
IF(Final_Payroll!B168="IT",Earnings!B168*2,
IF(Final_Payroll!B168="Finance",Earnings!B168*1.5,
IF(Final_Payroll!B168="HR",Earnings!B168*1.2,
Earnings!B168*1.3))))</f>
        <v>3151880.5500000003</v>
      </c>
      <c r="C168">
        <f>Earnings!B168 + Deductions!B168 + Deductions!C168 + Overtime!D168</f>
        <v>1052426.8500000001</v>
      </c>
      <c r="D168">
        <f t="shared" si="4"/>
        <v>2099453.7000000002</v>
      </c>
      <c r="E168">
        <f t="shared" si="5"/>
        <v>2.9948690020593829</v>
      </c>
    </row>
    <row r="169" spans="1:5" x14ac:dyDescent="0.35">
      <c r="A169" t="s">
        <v>200</v>
      </c>
      <c r="B169">
        <f>IF(Final_Payroll!B169="Sales",Earnings!B169*3,
IF(Final_Payroll!B169="IT",Earnings!B169*2,
IF(Final_Payroll!B169="Finance",Earnings!B169*1.5,
IF(Final_Payroll!B169="HR",Earnings!B169*1.2,
Earnings!B169*1.3))))</f>
        <v>926457.48</v>
      </c>
      <c r="C169">
        <f>Earnings!B169 + Deductions!B169 + Deductions!C169 + Overtime!D169</f>
        <v>742965.98399999994</v>
      </c>
      <c r="D169">
        <f t="shared" si="4"/>
        <v>183491.49600000004</v>
      </c>
      <c r="E169">
        <f t="shared" si="5"/>
        <v>1.2469715975583615</v>
      </c>
    </row>
    <row r="170" spans="1:5" x14ac:dyDescent="0.35">
      <c r="A170" t="s">
        <v>201</v>
      </c>
      <c r="B170">
        <f>IF(Final_Payroll!B170="Sales",Earnings!B170*3,
IF(Final_Payroll!B170="IT",Earnings!B170*2,
IF(Final_Payroll!B170="Finance",Earnings!B170*1.5,
IF(Final_Payroll!B170="HR",Earnings!B170*1.2,
Earnings!B170*1.3))))</f>
        <v>1112803.9000000001</v>
      </c>
      <c r="C170">
        <f>Earnings!B170 + Deductions!B170 + Deductions!C170 + Overtime!D170</f>
        <v>892043.12</v>
      </c>
      <c r="D170">
        <f t="shared" si="4"/>
        <v>220760.78000000014</v>
      </c>
      <c r="E170">
        <f t="shared" si="5"/>
        <v>1.2474777004053348</v>
      </c>
    </row>
    <row r="171" spans="1:5" x14ac:dyDescent="0.35">
      <c r="A171" t="s">
        <v>202</v>
      </c>
      <c r="B171">
        <f>IF(Final_Payroll!B171="Sales",Earnings!B171*3,
IF(Final_Payroll!B171="IT",Earnings!B171*2,
IF(Final_Payroll!B171="Finance",Earnings!B171*1.5,
IF(Final_Payroll!B171="HR",Earnings!B171*1.2,
Earnings!B171*1.3))))</f>
        <v>1718816.4749999999</v>
      </c>
      <c r="C171">
        <f>Earnings!B171 + Deductions!B171 + Deductions!C171 + Overtime!D171</f>
        <v>1187783.36775</v>
      </c>
      <c r="D171">
        <f t="shared" si="4"/>
        <v>531033.10724999988</v>
      </c>
      <c r="E171">
        <f t="shared" si="5"/>
        <v>1.4470790900666743</v>
      </c>
    </row>
    <row r="172" spans="1:5" x14ac:dyDescent="0.35">
      <c r="A172" t="s">
        <v>203</v>
      </c>
      <c r="B172">
        <f>IF(Final_Payroll!B172="Sales",Earnings!B172*3,
IF(Final_Payroll!B172="IT",Earnings!B172*2,
IF(Final_Payroll!B172="Finance",Earnings!B172*1.5,
IF(Final_Payroll!B172="HR",Earnings!B172*1.2,
Earnings!B172*1.3))))</f>
        <v>1066780</v>
      </c>
      <c r="C172">
        <f>Earnings!B172 + Deductions!B172 + Deductions!C172 + Overtime!D172</f>
        <v>822400</v>
      </c>
      <c r="D172">
        <f t="shared" si="4"/>
        <v>244380</v>
      </c>
      <c r="E172">
        <f t="shared" si="5"/>
        <v>1.2971546692607003</v>
      </c>
    </row>
    <row r="173" spans="1:5" x14ac:dyDescent="0.35">
      <c r="A173" t="s">
        <v>204</v>
      </c>
      <c r="B173">
        <f>IF(Final_Payroll!B173="Sales",Earnings!B173*3,
IF(Final_Payroll!B173="IT",Earnings!B173*2,
IF(Final_Payroll!B173="Finance",Earnings!B173*1.5,
IF(Final_Payroll!B173="HR",Earnings!B173*1.2,
Earnings!B173*1.3))))</f>
        <v>1594269</v>
      </c>
      <c r="C173">
        <f>Earnings!B173 + Deductions!B173 + Deductions!C173 + Overtime!D173</f>
        <v>1064646</v>
      </c>
      <c r="D173">
        <f t="shared" si="4"/>
        <v>529623</v>
      </c>
      <c r="E173">
        <f t="shared" si="5"/>
        <v>1.4974639457622534</v>
      </c>
    </row>
    <row r="174" spans="1:5" x14ac:dyDescent="0.35">
      <c r="A174" t="s">
        <v>205</v>
      </c>
      <c r="B174">
        <f>IF(Final_Payroll!B174="Sales",Earnings!B174*3,
IF(Final_Payroll!B174="IT",Earnings!B174*2,
IF(Final_Payroll!B174="Finance",Earnings!B174*1.5,
IF(Final_Payroll!B174="HR",Earnings!B174*1.2,
Earnings!B174*1.3))))</f>
        <v>1159361.19</v>
      </c>
      <c r="C174">
        <f>Earnings!B174 + Deductions!B174 + Deductions!C174 + Overtime!D174</f>
        <v>951584.3594999999</v>
      </c>
      <c r="D174">
        <f t="shared" si="4"/>
        <v>207776.83050000004</v>
      </c>
      <c r="E174">
        <f t="shared" si="5"/>
        <v>1.2183483034643132</v>
      </c>
    </row>
    <row r="175" spans="1:5" x14ac:dyDescent="0.35">
      <c r="A175" t="s">
        <v>206</v>
      </c>
      <c r="B175">
        <f>IF(Final_Payroll!B175="Sales",Earnings!B175*3,
IF(Final_Payroll!B175="IT",Earnings!B175*2,
IF(Final_Payroll!B175="Finance",Earnings!B175*1.5,
IF(Final_Payroll!B175="HR",Earnings!B175*1.2,
Earnings!B175*1.3))))</f>
        <v>1353109.5</v>
      </c>
      <c r="C175">
        <f>Earnings!B175 + Deductions!B175 + Deductions!C175 + Overtime!D175</f>
        <v>903873</v>
      </c>
      <c r="D175">
        <f t="shared" si="4"/>
        <v>449236.5</v>
      </c>
      <c r="E175">
        <f t="shared" si="5"/>
        <v>1.4970128546820183</v>
      </c>
    </row>
    <row r="176" spans="1:5" x14ac:dyDescent="0.35">
      <c r="A176" t="s">
        <v>207</v>
      </c>
      <c r="B176">
        <f>IF(Final_Payroll!B176="Sales",Earnings!B176*3,
IF(Final_Payroll!B176="IT",Earnings!B176*2,
IF(Final_Payroll!B176="Finance",Earnings!B176*1.5,
IF(Final_Payroll!B176="HR",Earnings!B176*1.2,
Earnings!B176*1.3))))</f>
        <v>931556.7</v>
      </c>
      <c r="C176">
        <f>Earnings!B176 + Deductions!B176 + Deductions!C176 + Overtime!D176</f>
        <v>805267.65375000006</v>
      </c>
      <c r="D176">
        <f t="shared" si="4"/>
        <v>126289.0462499999</v>
      </c>
      <c r="E176">
        <f t="shared" si="5"/>
        <v>1.1568286589705825</v>
      </c>
    </row>
    <row r="177" spans="1:5" x14ac:dyDescent="0.35">
      <c r="A177" t="s">
        <v>208</v>
      </c>
      <c r="B177">
        <f>IF(Final_Payroll!B177="Sales",Earnings!B177*3,
IF(Final_Payroll!B177="IT",Earnings!B177*2,
IF(Final_Payroll!B177="Finance",Earnings!B177*1.5,
IF(Final_Payroll!B177="HR",Earnings!B177*1.2,
Earnings!B177*1.3))))</f>
        <v>913919.76</v>
      </c>
      <c r="C177">
        <f>Earnings!B177 + Deductions!B177 + Deductions!C177 + Overtime!D177</f>
        <v>704815.2</v>
      </c>
      <c r="D177">
        <f t="shared" si="4"/>
        <v>209104.56000000006</v>
      </c>
      <c r="E177">
        <f t="shared" si="5"/>
        <v>1.2966799807949658</v>
      </c>
    </row>
    <row r="178" spans="1:5" x14ac:dyDescent="0.35">
      <c r="A178" t="s">
        <v>209</v>
      </c>
      <c r="B178">
        <f>IF(Final_Payroll!B178="Sales",Earnings!B178*3,
IF(Final_Payroll!B178="IT",Earnings!B178*2,
IF(Final_Payroll!B178="Finance",Earnings!B178*1.5,
IF(Final_Payroll!B178="HR",Earnings!B178*1.2,
Earnings!B178*1.3))))</f>
        <v>1786977</v>
      </c>
      <c r="C178">
        <f>Earnings!B178 + Deductions!B178 + Deductions!C178 + Overtime!D178</f>
        <v>1276510.26</v>
      </c>
      <c r="D178">
        <f t="shared" si="4"/>
        <v>510466.74</v>
      </c>
      <c r="E178">
        <f t="shared" si="5"/>
        <v>1.3998923909941781</v>
      </c>
    </row>
    <row r="179" spans="1:5" x14ac:dyDescent="0.35">
      <c r="A179" t="s">
        <v>210</v>
      </c>
      <c r="B179">
        <f>IF(Final_Payroll!B179="Sales",Earnings!B179*3,
IF(Final_Payroll!B179="IT",Earnings!B179*2,
IF(Final_Payroll!B179="Finance",Earnings!B179*1.5,
IF(Final_Payroll!B179="HR",Earnings!B179*1.2,
Earnings!B179*1.3))))</f>
        <v>2007359.5</v>
      </c>
      <c r="C179">
        <f>Earnings!B179 + Deductions!B179 + Deductions!C179 + Overtime!D179</f>
        <v>1100829.3262499999</v>
      </c>
      <c r="D179">
        <f t="shared" si="4"/>
        <v>906530.17375000007</v>
      </c>
      <c r="E179">
        <f t="shared" si="5"/>
        <v>1.8234974778861639</v>
      </c>
    </row>
    <row r="180" spans="1:5" x14ac:dyDescent="0.35">
      <c r="A180" t="s">
        <v>211</v>
      </c>
      <c r="B180">
        <f>IF(Final_Payroll!B180="Sales",Earnings!B180*3,
IF(Final_Payroll!B180="IT",Earnings!B180*2,
IF(Final_Payroll!B180="Finance",Earnings!B180*1.5,
IF(Final_Payroll!B180="HR",Earnings!B180*1.2,
Earnings!B180*1.3))))</f>
        <v>886428.65999999992</v>
      </c>
      <c r="C180">
        <f>Earnings!B180 + Deductions!B180 + Deductions!C180 + Overtime!D180</f>
        <v>781118.53024999995</v>
      </c>
      <c r="D180">
        <f t="shared" si="4"/>
        <v>105310.12974999996</v>
      </c>
      <c r="E180">
        <f t="shared" si="5"/>
        <v>1.1348196537038944</v>
      </c>
    </row>
    <row r="181" spans="1:5" x14ac:dyDescent="0.35">
      <c r="A181" t="s">
        <v>212</v>
      </c>
      <c r="B181">
        <f>IF(Final_Payroll!B181="Sales",Earnings!B181*3,
IF(Final_Payroll!B181="IT",Earnings!B181*2,
IF(Final_Payroll!B181="Finance",Earnings!B181*1.5,
IF(Final_Payroll!B181="HR",Earnings!B181*1.2,
Earnings!B181*1.3))))</f>
        <v>1441695.2999999998</v>
      </c>
      <c r="C181">
        <f>Earnings!B181 + Deductions!B181 + Deductions!C181 + Overtime!D181</f>
        <v>962930.2</v>
      </c>
      <c r="D181">
        <f t="shared" si="4"/>
        <v>478765.09999999986</v>
      </c>
      <c r="E181">
        <f t="shared" si="5"/>
        <v>1.4971960584474346</v>
      </c>
    </row>
    <row r="182" spans="1:5" x14ac:dyDescent="0.35">
      <c r="A182" t="s">
        <v>213</v>
      </c>
      <c r="B182">
        <f>IF(Final_Payroll!B182="Sales",Earnings!B182*3,
IF(Final_Payroll!B182="IT",Earnings!B182*2,
IF(Final_Payroll!B182="Finance",Earnings!B182*1.5,
IF(Final_Payroll!B182="HR",Earnings!B182*1.2,
Earnings!B182*1.3))))</f>
        <v>1142653.3499999999</v>
      </c>
      <c r="C182">
        <f>Earnings!B182 + Deductions!B182 + Deductions!C182 + Overtime!D182</f>
        <v>862598.85699999996</v>
      </c>
      <c r="D182">
        <f t="shared" si="4"/>
        <v>280054.4929999999</v>
      </c>
      <c r="E182">
        <f t="shared" si="5"/>
        <v>1.3246636495369248</v>
      </c>
    </row>
    <row r="183" spans="1:5" x14ac:dyDescent="0.35">
      <c r="A183" t="s">
        <v>214</v>
      </c>
      <c r="B183">
        <f>IF(Final_Payroll!B183="Sales",Earnings!B183*3,
IF(Final_Payroll!B183="IT",Earnings!B183*2,
IF(Final_Payroll!B183="Finance",Earnings!B183*1.5,
IF(Final_Payroll!B183="HR",Earnings!B183*1.2,
Earnings!B183*1.3))))</f>
        <v>676528.79999999993</v>
      </c>
      <c r="C183">
        <f>Earnings!B183 + Deductions!B183 + Deductions!C183 + Overtime!D183</f>
        <v>644502.36</v>
      </c>
      <c r="D183">
        <f t="shared" si="4"/>
        <v>32026.439999999944</v>
      </c>
      <c r="E183">
        <f t="shared" si="5"/>
        <v>1.0496917342552476</v>
      </c>
    </row>
    <row r="184" spans="1:5" x14ac:dyDescent="0.35">
      <c r="A184" t="s">
        <v>215</v>
      </c>
      <c r="B184">
        <f>IF(Final_Payroll!B184="Sales",Earnings!B184*3,
IF(Final_Payroll!B184="IT",Earnings!B184*2,
IF(Final_Payroll!B184="Finance",Earnings!B184*1.5,
IF(Final_Payroll!B184="HR",Earnings!B184*1.2,
Earnings!B184*1.3))))</f>
        <v>2688992.0999999996</v>
      </c>
      <c r="C184">
        <f>Earnings!B184 + Deductions!B184 + Deductions!C184 + Overtime!D184</f>
        <v>898130.7</v>
      </c>
      <c r="D184">
        <f t="shared" si="4"/>
        <v>1790861.3999999997</v>
      </c>
      <c r="E184">
        <f t="shared" si="5"/>
        <v>2.9939875120625539</v>
      </c>
    </row>
    <row r="185" spans="1:5" x14ac:dyDescent="0.35">
      <c r="A185" t="s">
        <v>216</v>
      </c>
      <c r="B185">
        <f>IF(Final_Payroll!B185="Sales",Earnings!B185*3,
IF(Final_Payroll!B185="IT",Earnings!B185*2,
IF(Final_Payroll!B185="Finance",Earnings!B185*1.5,
IF(Final_Payroll!B185="HR",Earnings!B185*1.2,
Earnings!B185*1.3))))</f>
        <v>1047244.1849999999</v>
      </c>
      <c r="C185">
        <f>Earnings!B185 + Deductions!B185 + Deductions!C185 + Overtime!D185</f>
        <v>807372.45</v>
      </c>
      <c r="D185">
        <f t="shared" si="4"/>
        <v>239871.73499999999</v>
      </c>
      <c r="E185">
        <f t="shared" si="5"/>
        <v>1.2971017093783668</v>
      </c>
    </row>
    <row r="186" spans="1:5" x14ac:dyDescent="0.35">
      <c r="A186" t="s">
        <v>217</v>
      </c>
      <c r="B186">
        <f>IF(Final_Payroll!B186="Sales",Earnings!B186*3,
IF(Final_Payroll!B186="IT",Earnings!B186*2,
IF(Final_Payroll!B186="Finance",Earnings!B186*1.5,
IF(Final_Payroll!B186="HR",Earnings!B186*1.2,
Earnings!B186*1.3))))</f>
        <v>2799528</v>
      </c>
      <c r="C186">
        <f>Earnings!B186 + Deductions!B186 + Deductions!C186 + Overtime!D186</f>
        <v>986300.68</v>
      </c>
      <c r="D186">
        <f t="shared" si="4"/>
        <v>1813227.3199999998</v>
      </c>
      <c r="E186">
        <f t="shared" si="5"/>
        <v>2.8384123186450605</v>
      </c>
    </row>
    <row r="187" spans="1:5" x14ac:dyDescent="0.35">
      <c r="A187" t="s">
        <v>218</v>
      </c>
      <c r="B187">
        <f>IF(Final_Payroll!B187="Sales",Earnings!B187*3,
IF(Final_Payroll!B187="IT",Earnings!B187*2,
IF(Final_Payroll!B187="Finance",Earnings!B187*1.5,
IF(Final_Payroll!B187="HR",Earnings!B187*1.2,
Earnings!B187*1.3))))</f>
        <v>1113668.6599999999</v>
      </c>
      <c r="C187">
        <f>Earnings!B187 + Deductions!B187 + Deductions!C187 + Overtime!D187</f>
        <v>961268.38399999996</v>
      </c>
      <c r="D187">
        <f t="shared" si="4"/>
        <v>152400.27599999995</v>
      </c>
      <c r="E187">
        <f t="shared" si="5"/>
        <v>1.1585408180864503</v>
      </c>
    </row>
    <row r="188" spans="1:5" x14ac:dyDescent="0.35">
      <c r="A188" t="s">
        <v>219</v>
      </c>
      <c r="B188">
        <f>IF(Final_Payroll!B188="Sales",Earnings!B188*3,
IF(Final_Payroll!B188="IT",Earnings!B188*2,
IF(Final_Payroll!B188="Finance",Earnings!B188*1.5,
IF(Final_Payroll!B188="HR",Earnings!B188*1.2,
Earnings!B188*1.3))))</f>
        <v>1686262</v>
      </c>
      <c r="C188">
        <f>Earnings!B188 + Deductions!B188 + Deductions!C188 + Overtime!D188</f>
        <v>844931</v>
      </c>
      <c r="D188">
        <f t="shared" si="4"/>
        <v>841331</v>
      </c>
      <c r="E188">
        <f t="shared" si="5"/>
        <v>1.9957392970550258</v>
      </c>
    </row>
    <row r="189" spans="1:5" x14ac:dyDescent="0.35">
      <c r="A189" t="s">
        <v>220</v>
      </c>
      <c r="B189">
        <f>IF(Final_Payroll!B189="Sales",Earnings!B189*3,
IF(Final_Payroll!B189="IT",Earnings!B189*2,
IF(Final_Payroll!B189="Finance",Earnings!B189*1.5,
IF(Final_Payroll!B189="HR",Earnings!B189*1.2,
Earnings!B189*1.3))))</f>
        <v>1886742.75</v>
      </c>
      <c r="C189">
        <f>Earnings!B189 + Deductions!B189 + Deductions!C189 + Overtime!D189</f>
        <v>659015.39124999999</v>
      </c>
      <c r="D189">
        <f t="shared" si="4"/>
        <v>1227727.3587500001</v>
      </c>
      <c r="E189">
        <f t="shared" si="5"/>
        <v>2.8629722083141105</v>
      </c>
    </row>
    <row r="190" spans="1:5" x14ac:dyDescent="0.35">
      <c r="A190" t="s">
        <v>221</v>
      </c>
      <c r="B190">
        <f>IF(Final_Payroll!B190="Sales",Earnings!B190*3,
IF(Final_Payroll!B190="IT",Earnings!B190*2,
IF(Final_Payroll!B190="Finance",Earnings!B190*1.5,
IF(Final_Payroll!B190="HR",Earnings!B190*1.2,
Earnings!B190*1.3))))</f>
        <v>2106997.4</v>
      </c>
      <c r="C190">
        <f>Earnings!B190 + Deductions!B190 + Deductions!C190 + Overtime!D190</f>
        <v>1055298.7</v>
      </c>
      <c r="D190">
        <f t="shared" si="4"/>
        <v>1051698.7</v>
      </c>
      <c r="E190">
        <f t="shared" si="5"/>
        <v>1.9965886435755109</v>
      </c>
    </row>
    <row r="191" spans="1:5" x14ac:dyDescent="0.35">
      <c r="A191" t="s">
        <v>222</v>
      </c>
      <c r="B191">
        <f>IF(Final_Payroll!B191="Sales",Earnings!B191*3,
IF(Final_Payroll!B191="IT",Earnings!B191*2,
IF(Final_Payroll!B191="Finance",Earnings!B191*1.5,
IF(Final_Payroll!B191="HR",Earnings!B191*1.2,
Earnings!B191*1.3))))</f>
        <v>726190.25999999989</v>
      </c>
      <c r="C191">
        <f>Earnings!B191 + Deductions!B191 + Deductions!C191 + Overtime!D191</f>
        <v>625113.30649999995</v>
      </c>
      <c r="D191">
        <f t="shared" si="4"/>
        <v>101076.95349999995</v>
      </c>
      <c r="E191">
        <f t="shared" si="5"/>
        <v>1.1616938120641334</v>
      </c>
    </row>
    <row r="192" spans="1:5" x14ac:dyDescent="0.35">
      <c r="A192" t="s">
        <v>223</v>
      </c>
      <c r="B192">
        <f>IF(Final_Payroll!B192="Sales",Earnings!B192*3,
IF(Final_Payroll!B192="IT",Earnings!B192*2,
IF(Final_Payroll!B192="Finance",Earnings!B192*1.5,
IF(Final_Payroll!B192="HR",Earnings!B192*1.2,
Earnings!B192*1.3))))</f>
        <v>1123132.2749999999</v>
      </c>
      <c r="C192">
        <f>Earnings!B192 + Deductions!B192 + Deductions!C192 + Overtime!D192</f>
        <v>851636.75474999996</v>
      </c>
      <c r="D192">
        <f t="shared" si="4"/>
        <v>271495.52024999994</v>
      </c>
      <c r="E192">
        <f t="shared" si="5"/>
        <v>1.3187926292938097</v>
      </c>
    </row>
    <row r="193" spans="1:5" x14ac:dyDescent="0.35">
      <c r="A193" t="s">
        <v>224</v>
      </c>
      <c r="B193">
        <f>IF(Final_Payroll!B193="Sales",Earnings!B193*3,
IF(Final_Payroll!B193="IT",Earnings!B193*2,
IF(Final_Payroll!B193="Finance",Earnings!B193*1.5,
IF(Final_Payroll!B193="HR",Earnings!B193*1.2,
Earnings!B193*1.3))))</f>
        <v>715915.91499999992</v>
      </c>
      <c r="C193">
        <f>Earnings!B193 + Deductions!B193 + Deductions!C193 + Overtime!D193</f>
        <v>552504.54999999993</v>
      </c>
      <c r="D193">
        <f t="shared" si="4"/>
        <v>163411.36499999999</v>
      </c>
      <c r="E193">
        <f t="shared" si="5"/>
        <v>1.2957647407609585</v>
      </c>
    </row>
    <row r="194" spans="1:5" x14ac:dyDescent="0.35">
      <c r="A194" t="s">
        <v>225</v>
      </c>
      <c r="B194">
        <f>IF(Final_Payroll!B194="Sales",Earnings!B194*3,
IF(Final_Payroll!B194="IT",Earnings!B194*2,
IF(Final_Payroll!B194="Finance",Earnings!B194*1.5,
IF(Final_Payroll!B194="HR",Earnings!B194*1.2,
Earnings!B194*1.3))))</f>
        <v>1256432.19</v>
      </c>
      <c r="C194">
        <f>Earnings!B194 + Deductions!B194 + Deductions!C194 + Overtime!D194</f>
        <v>968286.29999999993</v>
      </c>
      <c r="D194">
        <f t="shared" ref="D194:D257" si="6">B194-C194</f>
        <v>288145.89</v>
      </c>
      <c r="E194">
        <f t="shared" ref="E194:E257" si="7">IF(C194=0,0,B194/C194)</f>
        <v>1.2975833593845127</v>
      </c>
    </row>
    <row r="195" spans="1:5" x14ac:dyDescent="0.35">
      <c r="A195" t="s">
        <v>226</v>
      </c>
      <c r="B195">
        <f>IF(Final_Payroll!B195="Sales",Earnings!B195*3,
IF(Final_Payroll!B195="IT",Earnings!B195*2,
IF(Final_Payroll!B195="Finance",Earnings!B195*1.5,
IF(Final_Payroll!B195="HR",Earnings!B195*1.2,
Earnings!B195*1.3))))</f>
        <v>1133905.3699999999</v>
      </c>
      <c r="C195">
        <f>Earnings!B195 + Deductions!B195 + Deductions!C195 + Overtime!D195</f>
        <v>874034.89999999991</v>
      </c>
      <c r="D195">
        <f t="shared" si="6"/>
        <v>259870.46999999997</v>
      </c>
      <c r="E195">
        <f t="shared" si="7"/>
        <v>1.2973227613679956</v>
      </c>
    </row>
    <row r="196" spans="1:5" x14ac:dyDescent="0.35">
      <c r="A196" t="s">
        <v>227</v>
      </c>
      <c r="B196">
        <f>IF(Final_Payroll!B196="Sales",Earnings!B196*3,
IF(Final_Payroll!B196="IT",Earnings!B196*2,
IF(Final_Payroll!B196="Finance",Earnings!B196*1.5,
IF(Final_Payroll!B196="HR",Earnings!B196*1.2,
Earnings!B196*1.3))))</f>
        <v>968781.6</v>
      </c>
      <c r="C196">
        <f>Earnings!B196 + Deductions!B196 + Deductions!C196 + Overtime!D196</f>
        <v>910032.75</v>
      </c>
      <c r="D196">
        <f t="shared" si="6"/>
        <v>58748.849999999977</v>
      </c>
      <c r="E196">
        <f t="shared" si="7"/>
        <v>1.0645568524869022</v>
      </c>
    </row>
    <row r="197" spans="1:5" x14ac:dyDescent="0.35">
      <c r="A197" t="s">
        <v>228</v>
      </c>
      <c r="B197">
        <f>IF(Final_Payroll!B197="Sales",Earnings!B197*3,
IF(Final_Payroll!B197="IT",Earnings!B197*2,
IF(Final_Payroll!B197="Finance",Earnings!B197*1.5,
IF(Final_Payroll!B197="HR",Earnings!B197*1.2,
Earnings!B197*1.3))))</f>
        <v>589867.19999999995</v>
      </c>
      <c r="C197">
        <f>Earnings!B197 + Deductions!B197 + Deductions!C197 + Overtime!D197</f>
        <v>493356</v>
      </c>
      <c r="D197">
        <f t="shared" si="6"/>
        <v>96511.199999999953</v>
      </c>
      <c r="E197">
        <f t="shared" si="7"/>
        <v>1.1956218227811153</v>
      </c>
    </row>
    <row r="198" spans="1:5" x14ac:dyDescent="0.35">
      <c r="A198" t="s">
        <v>229</v>
      </c>
      <c r="B198">
        <f>IF(Final_Payroll!B198="Sales",Earnings!B198*3,
IF(Final_Payroll!B198="IT",Earnings!B198*2,
IF(Final_Payroll!B198="Finance",Earnings!B198*1.5,
IF(Final_Payroll!B198="HR",Earnings!B198*1.2,
Earnings!B198*1.3))))</f>
        <v>2362240</v>
      </c>
      <c r="C198">
        <f>Earnings!B198 + Deductions!B198 + Deductions!C198 + Overtime!D198</f>
        <v>1324654.3999999999</v>
      </c>
      <c r="D198">
        <f t="shared" si="6"/>
        <v>1037585.6000000001</v>
      </c>
      <c r="E198">
        <f t="shared" si="7"/>
        <v>1.7832877767967255</v>
      </c>
    </row>
    <row r="199" spans="1:5" x14ac:dyDescent="0.35">
      <c r="A199" t="s">
        <v>230</v>
      </c>
      <c r="B199">
        <f>IF(Final_Payroll!B199="Sales",Earnings!B199*3,
IF(Final_Payroll!B199="IT",Earnings!B199*2,
IF(Final_Payroll!B199="Finance",Earnings!B199*1.5,
IF(Final_Payroll!B199="HR",Earnings!B199*1.2,
Earnings!B199*1.3))))</f>
        <v>3134799</v>
      </c>
      <c r="C199">
        <f>Earnings!B199 + Deductions!B199 + Deductions!C199 + Overtime!D199</f>
        <v>1046733</v>
      </c>
      <c r="D199">
        <f t="shared" si="6"/>
        <v>2088066</v>
      </c>
      <c r="E199">
        <f t="shared" si="7"/>
        <v>2.9948410912811578</v>
      </c>
    </row>
    <row r="200" spans="1:5" x14ac:dyDescent="0.35">
      <c r="A200" t="s">
        <v>231</v>
      </c>
      <c r="B200">
        <f>IF(Final_Payroll!B200="Sales",Earnings!B200*3,
IF(Final_Payroll!B200="IT",Earnings!B200*2,
IF(Final_Payroll!B200="Finance",Earnings!B200*1.5,
IF(Final_Payroll!B200="HR",Earnings!B200*1.2,
Earnings!B200*1.3))))</f>
        <v>1272215.1000000001</v>
      </c>
      <c r="C200">
        <f>Earnings!B200 + Deductions!B200 + Deductions!C200 + Overtime!D200</f>
        <v>980427</v>
      </c>
      <c r="D200">
        <f t="shared" si="6"/>
        <v>291788.10000000009</v>
      </c>
      <c r="E200">
        <f t="shared" si="7"/>
        <v>1.2976132848238575</v>
      </c>
    </row>
    <row r="201" spans="1:5" x14ac:dyDescent="0.35">
      <c r="A201" t="s">
        <v>232</v>
      </c>
      <c r="B201">
        <f>IF(Final_Payroll!B201="Sales",Earnings!B201*3,
IF(Final_Payroll!B201="IT",Earnings!B201*2,
IF(Final_Payroll!B201="Finance",Earnings!B201*1.5,
IF(Final_Payroll!B201="HR",Earnings!B201*1.2,
Earnings!B201*1.3))))</f>
        <v>1431820.5</v>
      </c>
      <c r="C201">
        <f>Earnings!B201 + Deductions!B201 + Deductions!C201 + Overtime!D201</f>
        <v>1080438.1099999999</v>
      </c>
      <c r="D201">
        <f t="shared" si="6"/>
        <v>351382.39000000013</v>
      </c>
      <c r="E201">
        <f t="shared" si="7"/>
        <v>1.325222136046275</v>
      </c>
    </row>
    <row r="202" spans="1:5" x14ac:dyDescent="0.35">
      <c r="A202" t="s">
        <v>233</v>
      </c>
      <c r="B202">
        <f>IF(Final_Payroll!B202="Sales",Earnings!B202*3,
IF(Final_Payroll!B202="IT",Earnings!B202*2,
IF(Final_Payroll!B202="Finance",Earnings!B202*1.5,
IF(Final_Payroll!B202="HR",Earnings!B202*1.2,
Earnings!B202*1.3))))</f>
        <v>2422559.8499999996</v>
      </c>
      <c r="C202">
        <f>Earnings!B202 + Deductions!B202 + Deductions!C202 + Overtime!D202</f>
        <v>809319.95</v>
      </c>
      <c r="D202">
        <f t="shared" si="6"/>
        <v>1613239.8999999997</v>
      </c>
      <c r="E202">
        <f t="shared" si="7"/>
        <v>2.9933277315108811</v>
      </c>
    </row>
    <row r="203" spans="1:5" x14ac:dyDescent="0.35">
      <c r="A203" t="s">
        <v>234</v>
      </c>
      <c r="B203">
        <f>IF(Final_Payroll!B203="Sales",Earnings!B203*3,
IF(Final_Payroll!B203="IT",Earnings!B203*2,
IF(Final_Payroll!B203="Finance",Earnings!B203*1.5,
IF(Final_Payroll!B203="HR",Earnings!B203*1.2,
Earnings!B203*1.3))))</f>
        <v>541846.55999999994</v>
      </c>
      <c r="C203">
        <f>Earnings!B203 + Deductions!B203 + Deductions!C203 + Overtime!D203</f>
        <v>505265.76199999999</v>
      </c>
      <c r="D203">
        <f t="shared" si="6"/>
        <v>36580.797999999952</v>
      </c>
      <c r="E203">
        <f t="shared" si="7"/>
        <v>1.0723991228996037</v>
      </c>
    </row>
    <row r="204" spans="1:5" x14ac:dyDescent="0.35">
      <c r="A204" t="s">
        <v>235</v>
      </c>
      <c r="B204">
        <f>IF(Final_Payroll!B204="Sales",Earnings!B204*3,
IF(Final_Payroll!B204="IT",Earnings!B204*2,
IF(Final_Payroll!B204="Finance",Earnings!B204*1.5,
IF(Final_Payroll!B204="HR",Earnings!B204*1.2,
Earnings!B204*1.3))))</f>
        <v>2832768.9</v>
      </c>
      <c r="C204">
        <f>Earnings!B204 + Deductions!B204 + Deductions!C204 + Overtime!D204</f>
        <v>946056.29999999993</v>
      </c>
      <c r="D204">
        <f t="shared" si="6"/>
        <v>1886712.6</v>
      </c>
      <c r="E204">
        <f t="shared" si="7"/>
        <v>2.9942920944556897</v>
      </c>
    </row>
    <row r="205" spans="1:5" x14ac:dyDescent="0.35">
      <c r="A205" t="s">
        <v>236</v>
      </c>
      <c r="B205">
        <f>IF(Final_Payroll!B205="Sales",Earnings!B205*3,
IF(Final_Payroll!B205="IT",Earnings!B205*2,
IF(Final_Payroll!B205="Finance",Earnings!B205*1.5,
IF(Final_Payroll!B205="HR",Earnings!B205*1.2,
Earnings!B205*1.3))))</f>
        <v>1001825.1599999999</v>
      </c>
      <c r="C205">
        <f>Earnings!B205 + Deductions!B205 + Deductions!C205 + Overtime!D205</f>
        <v>936836.81599999988</v>
      </c>
      <c r="D205">
        <f t="shared" si="6"/>
        <v>64988.344000000041</v>
      </c>
      <c r="E205">
        <f t="shared" si="7"/>
        <v>1.069369972326109</v>
      </c>
    </row>
    <row r="206" spans="1:5" x14ac:dyDescent="0.35">
      <c r="A206" t="s">
        <v>237</v>
      </c>
      <c r="B206">
        <f>IF(Final_Payroll!B206="Sales",Earnings!B206*3,
IF(Final_Payroll!B206="IT",Earnings!B206*2,
IF(Final_Payroll!B206="Finance",Earnings!B206*1.5,
IF(Final_Payroll!B206="HR",Earnings!B206*1.2,
Earnings!B206*1.3))))</f>
        <v>2353011.2999999998</v>
      </c>
      <c r="C206">
        <f>Earnings!B206 + Deductions!B206 + Deductions!C206 + Overtime!D206</f>
        <v>786137.1</v>
      </c>
      <c r="D206">
        <f t="shared" si="6"/>
        <v>1566874.1999999997</v>
      </c>
      <c r="E206">
        <f t="shared" si="7"/>
        <v>2.9931309691401156</v>
      </c>
    </row>
    <row r="207" spans="1:5" x14ac:dyDescent="0.35">
      <c r="A207" t="s">
        <v>238</v>
      </c>
      <c r="B207">
        <f>IF(Final_Payroll!B207="Sales",Earnings!B207*3,
IF(Final_Payroll!B207="IT",Earnings!B207*2,
IF(Final_Payroll!B207="Finance",Earnings!B207*1.5,
IF(Final_Payroll!B207="HR",Earnings!B207*1.2,
Earnings!B207*1.3))))</f>
        <v>1293194.625</v>
      </c>
      <c r="C207">
        <f>Earnings!B207 + Deductions!B207 + Deductions!C207 + Overtime!D207</f>
        <v>863929.75</v>
      </c>
      <c r="D207">
        <f t="shared" si="6"/>
        <v>429264.875</v>
      </c>
      <c r="E207">
        <f t="shared" si="7"/>
        <v>1.4968747458922442</v>
      </c>
    </row>
    <row r="208" spans="1:5" x14ac:dyDescent="0.35">
      <c r="A208" t="s">
        <v>239</v>
      </c>
      <c r="B208">
        <f>IF(Final_Payroll!B208="Sales",Earnings!B208*3,
IF(Final_Payroll!B208="IT",Earnings!B208*2,
IF(Final_Payroll!B208="Finance",Earnings!B208*1.5,
IF(Final_Payroll!B208="HR",Earnings!B208*1.2,
Earnings!B208*1.3))))</f>
        <v>1428971.4749999999</v>
      </c>
      <c r="C208">
        <f>Earnings!B208 + Deductions!B208 + Deductions!C208 + Overtime!D208</f>
        <v>954447.64999999991</v>
      </c>
      <c r="D208">
        <f t="shared" si="6"/>
        <v>474523.82499999995</v>
      </c>
      <c r="E208">
        <f t="shared" si="7"/>
        <v>1.4971711387209137</v>
      </c>
    </row>
    <row r="209" spans="1:5" x14ac:dyDescent="0.35">
      <c r="A209" t="s">
        <v>240</v>
      </c>
      <c r="B209">
        <f>IF(Final_Payroll!B209="Sales",Earnings!B209*3,
IF(Final_Payroll!B209="IT",Earnings!B209*2,
IF(Final_Payroll!B209="Finance",Earnings!B209*1.5,
IF(Final_Payroll!B209="HR",Earnings!B209*1.2,
Earnings!B209*1.3))))</f>
        <v>770535.12</v>
      </c>
      <c r="C209">
        <f>Earnings!B209 + Deductions!B209 + Deductions!C209 + Overtime!D209</f>
        <v>720966.11199999996</v>
      </c>
      <c r="D209">
        <f t="shared" si="6"/>
        <v>49569.008000000031</v>
      </c>
      <c r="E209">
        <f t="shared" si="7"/>
        <v>1.0687535893503965</v>
      </c>
    </row>
    <row r="210" spans="1:5" x14ac:dyDescent="0.35">
      <c r="A210" t="s">
        <v>241</v>
      </c>
      <c r="B210">
        <f>IF(Final_Payroll!B210="Sales",Earnings!B210*3,
IF(Final_Payroll!B210="IT",Earnings!B210*2,
IF(Final_Payroll!B210="Finance",Earnings!B210*1.5,
IF(Final_Payroll!B210="HR",Earnings!B210*1.2,
Earnings!B210*1.3))))</f>
        <v>917497.1</v>
      </c>
      <c r="C210">
        <f>Earnings!B210 + Deductions!B210 + Deductions!C210 + Overtime!D210</f>
        <v>707567</v>
      </c>
      <c r="D210">
        <f t="shared" si="6"/>
        <v>209930.09999999998</v>
      </c>
      <c r="E210">
        <f t="shared" si="7"/>
        <v>1.2966928926871943</v>
      </c>
    </row>
    <row r="211" spans="1:5" x14ac:dyDescent="0.35">
      <c r="A211" t="s">
        <v>242</v>
      </c>
      <c r="B211">
        <f>IF(Final_Payroll!B211="Sales",Earnings!B211*3,
IF(Final_Payroll!B211="IT",Earnings!B211*2,
IF(Final_Payroll!B211="Finance",Earnings!B211*1.5,
IF(Final_Payroll!B211="HR",Earnings!B211*1.2,
Earnings!B211*1.3))))</f>
        <v>1076039.4449999998</v>
      </c>
      <c r="C211">
        <f>Earnings!B211 + Deductions!B211 + Deductions!C211 + Overtime!D211</f>
        <v>829522.64999999991</v>
      </c>
      <c r="D211">
        <f t="shared" si="6"/>
        <v>246516.79499999993</v>
      </c>
      <c r="E211">
        <f t="shared" si="7"/>
        <v>1.2971791005345061</v>
      </c>
    </row>
    <row r="212" spans="1:5" x14ac:dyDescent="0.35">
      <c r="A212" t="s">
        <v>243</v>
      </c>
      <c r="B212">
        <f>IF(Final_Payroll!B212="Sales",Earnings!B212*3,
IF(Final_Payroll!B212="IT",Earnings!B212*2,
IF(Final_Payroll!B212="Finance",Earnings!B212*1.5,
IF(Final_Payroll!B212="HR",Earnings!B212*1.2,
Earnings!B212*1.3))))</f>
        <v>991715.6399999999</v>
      </c>
      <c r="C212">
        <f>Earnings!B212 + Deductions!B212 + Deductions!C212 + Overtime!D212</f>
        <v>923269.11549999996</v>
      </c>
      <c r="D212">
        <f t="shared" si="6"/>
        <v>68446.524499999941</v>
      </c>
      <c r="E212">
        <f t="shared" si="7"/>
        <v>1.0741349660146842</v>
      </c>
    </row>
    <row r="213" spans="1:5" x14ac:dyDescent="0.35">
      <c r="A213" t="s">
        <v>244</v>
      </c>
      <c r="B213">
        <f>IF(Final_Payroll!B213="Sales",Earnings!B213*3,
IF(Final_Payroll!B213="IT",Earnings!B213*2,
IF(Final_Payroll!B213="Finance",Earnings!B213*1.5,
IF(Final_Payroll!B213="HR",Earnings!B213*1.2,
Earnings!B213*1.3))))</f>
        <v>747471.6</v>
      </c>
      <c r="C213">
        <f>Earnings!B213 + Deductions!B213 + Deductions!C213 + Overtime!D213</f>
        <v>699440.16</v>
      </c>
      <c r="D213">
        <f t="shared" si="6"/>
        <v>48031.439999999944</v>
      </c>
      <c r="E213">
        <f t="shared" si="7"/>
        <v>1.0686712641721916</v>
      </c>
    </row>
    <row r="214" spans="1:5" x14ac:dyDescent="0.35">
      <c r="A214" t="s">
        <v>245</v>
      </c>
      <c r="B214">
        <f>IF(Final_Payroll!B214="Sales",Earnings!B214*3,
IF(Final_Payroll!B214="IT",Earnings!B214*2,
IF(Final_Payroll!B214="Finance",Earnings!B214*1.5,
IF(Final_Payroll!B214="HR",Earnings!B214*1.2,
Earnings!B214*1.3))))</f>
        <v>1101576</v>
      </c>
      <c r="C214">
        <f>Earnings!B214 + Deductions!B214 + Deductions!C214 + Overtime!D214</f>
        <v>736184</v>
      </c>
      <c r="D214">
        <f t="shared" si="6"/>
        <v>365392</v>
      </c>
      <c r="E214">
        <f t="shared" si="7"/>
        <v>1.496332438629473</v>
      </c>
    </row>
    <row r="215" spans="1:5" x14ac:dyDescent="0.35">
      <c r="A215" t="s">
        <v>246</v>
      </c>
      <c r="B215">
        <f>IF(Final_Payroll!B215="Sales",Earnings!B215*3,
IF(Final_Payroll!B215="IT",Earnings!B215*2,
IF(Final_Payroll!B215="Finance",Earnings!B215*1.5,
IF(Final_Payroll!B215="HR",Earnings!B215*1.2,
Earnings!B215*1.3))))</f>
        <v>1012552.7999999999</v>
      </c>
      <c r="C215">
        <f>Earnings!B215 + Deductions!B215 + Deductions!C215 + Overtime!D215</f>
        <v>845594</v>
      </c>
      <c r="D215">
        <f t="shared" si="6"/>
        <v>166958.79999999993</v>
      </c>
      <c r="E215">
        <f t="shared" si="7"/>
        <v>1.197445582631854</v>
      </c>
    </row>
    <row r="216" spans="1:5" x14ac:dyDescent="0.35">
      <c r="A216" t="s">
        <v>247</v>
      </c>
      <c r="B216">
        <f>IF(Final_Payroll!B216="Sales",Earnings!B216*3,
IF(Final_Payroll!B216="IT",Earnings!B216*2,
IF(Final_Payroll!B216="Finance",Earnings!B216*1.5,
IF(Final_Payroll!B216="HR",Earnings!B216*1.2,
Earnings!B216*1.3))))</f>
        <v>954291</v>
      </c>
      <c r="C216">
        <f>Earnings!B216 + Deductions!B216 + Deductions!C216 + Overtime!D216</f>
        <v>798265.95</v>
      </c>
      <c r="D216">
        <f t="shared" si="6"/>
        <v>156025.05000000005</v>
      </c>
      <c r="E216">
        <f t="shared" si="7"/>
        <v>1.1954549733707169</v>
      </c>
    </row>
    <row r="217" spans="1:5" x14ac:dyDescent="0.35">
      <c r="A217" t="s">
        <v>248</v>
      </c>
      <c r="B217">
        <f>IF(Final_Payroll!B217="Sales",Earnings!B217*3,
IF(Final_Payroll!B217="IT",Earnings!B217*2,
IF(Final_Payroll!B217="Finance",Earnings!B217*1.5,
IF(Final_Payroll!B217="HR",Earnings!B217*1.2,
Earnings!B217*1.3))))</f>
        <v>780779.15999999992</v>
      </c>
      <c r="C217">
        <f>Earnings!B217 + Deductions!B217 + Deductions!C217 + Overtime!D217</f>
        <v>652449.29999999993</v>
      </c>
      <c r="D217">
        <f t="shared" si="6"/>
        <v>128329.85999999999</v>
      </c>
      <c r="E217">
        <f t="shared" si="7"/>
        <v>1.1966893979348281</v>
      </c>
    </row>
    <row r="218" spans="1:5" x14ac:dyDescent="0.35">
      <c r="A218" t="s">
        <v>249</v>
      </c>
      <c r="B218">
        <f>IF(Final_Payroll!B218="Sales",Earnings!B218*3,
IF(Final_Payroll!B218="IT",Earnings!B218*2,
IF(Final_Payroll!B218="Finance",Earnings!B218*1.5,
IF(Final_Payroll!B218="HR",Earnings!B218*1.2,
Earnings!B218*1.3))))</f>
        <v>2637606</v>
      </c>
      <c r="C218">
        <f>Earnings!B218 + Deductions!B218 + Deductions!C218 + Overtime!D218</f>
        <v>881002</v>
      </c>
      <c r="D218">
        <f t="shared" si="6"/>
        <v>1756604</v>
      </c>
      <c r="E218">
        <f t="shared" si="7"/>
        <v>2.9938706155037105</v>
      </c>
    </row>
    <row r="219" spans="1:5" x14ac:dyDescent="0.35">
      <c r="A219" t="s">
        <v>250</v>
      </c>
      <c r="B219">
        <f>IF(Final_Payroll!B219="Sales",Earnings!B219*3,
IF(Final_Payroll!B219="IT",Earnings!B219*2,
IF(Final_Payroll!B219="Finance",Earnings!B219*1.5,
IF(Final_Payroll!B219="HR",Earnings!B219*1.2,
Earnings!B219*1.3))))</f>
        <v>1339672.4249999998</v>
      </c>
      <c r="C219">
        <f>Earnings!B219 + Deductions!B219 + Deductions!C219 + Overtime!D219</f>
        <v>894914.95</v>
      </c>
      <c r="D219">
        <f t="shared" si="6"/>
        <v>444757.47499999986</v>
      </c>
      <c r="E219">
        <f t="shared" si="7"/>
        <v>1.496982953519773</v>
      </c>
    </row>
    <row r="220" spans="1:5" x14ac:dyDescent="0.35">
      <c r="A220" t="s">
        <v>251</v>
      </c>
      <c r="B220">
        <f>IF(Final_Payroll!B220="Sales",Earnings!B220*3,
IF(Final_Payroll!B220="IT",Earnings!B220*2,
IF(Final_Payroll!B220="Finance",Earnings!B220*1.5,
IF(Final_Payroll!B220="HR",Earnings!B220*1.2,
Earnings!B220*1.3))))</f>
        <v>688513.25999999989</v>
      </c>
      <c r="C220">
        <f>Earnings!B220 + Deductions!B220 + Deductions!C220 + Overtime!D220</f>
        <v>575561.04999999993</v>
      </c>
      <c r="D220">
        <f t="shared" si="6"/>
        <v>112952.20999999996</v>
      </c>
      <c r="E220">
        <f t="shared" si="7"/>
        <v>1.1962471400731511</v>
      </c>
    </row>
    <row r="221" spans="1:5" x14ac:dyDescent="0.35">
      <c r="A221" t="s">
        <v>252</v>
      </c>
      <c r="B221">
        <f>IF(Final_Payroll!B221="Sales",Earnings!B221*3,
IF(Final_Payroll!B221="IT",Earnings!B221*2,
IF(Final_Payroll!B221="Finance",Earnings!B221*1.5,
IF(Final_Payroll!B221="HR",Earnings!B221*1.2,
Earnings!B221*1.3))))</f>
        <v>541197.6</v>
      </c>
      <c r="C221">
        <f>Earnings!B221 + Deductions!B221 + Deductions!C221 + Overtime!D221</f>
        <v>452798</v>
      </c>
      <c r="D221">
        <f t="shared" si="6"/>
        <v>88399.599999999977</v>
      </c>
      <c r="E221">
        <f t="shared" si="7"/>
        <v>1.1952296609083961</v>
      </c>
    </row>
    <row r="222" spans="1:5" x14ac:dyDescent="0.35">
      <c r="A222" t="s">
        <v>253</v>
      </c>
      <c r="B222">
        <f>IF(Final_Payroll!B222="Sales",Earnings!B222*3,
IF(Final_Payroll!B222="IT",Earnings!B222*2,
IF(Final_Payroll!B222="Finance",Earnings!B222*1.5,
IF(Final_Payroll!B222="HR",Earnings!B222*1.2,
Earnings!B222*1.3))))</f>
        <v>2170069.5</v>
      </c>
      <c r="C222">
        <f>Earnings!B222 + Deductions!B222 + Deductions!C222 + Overtime!D222</f>
        <v>1448513</v>
      </c>
      <c r="D222">
        <f t="shared" si="6"/>
        <v>721556.5</v>
      </c>
      <c r="E222">
        <f t="shared" si="7"/>
        <v>1.4981360194903326</v>
      </c>
    </row>
    <row r="223" spans="1:5" x14ac:dyDescent="0.35">
      <c r="A223" t="s">
        <v>254</v>
      </c>
      <c r="B223">
        <f>IF(Final_Payroll!B223="Sales",Earnings!B223*3,
IF(Final_Payroll!B223="IT",Earnings!B223*2,
IF(Final_Payroll!B223="Finance",Earnings!B223*1.5,
IF(Final_Payroll!B223="HR",Earnings!B223*1.2,
Earnings!B223*1.3))))</f>
        <v>1097914.6199999999</v>
      </c>
      <c r="C223">
        <f>Earnings!B223 + Deductions!B223 + Deductions!C223 + Overtime!D223</f>
        <v>916728.85</v>
      </c>
      <c r="D223">
        <f t="shared" si="6"/>
        <v>181185.7699999999</v>
      </c>
      <c r="E223">
        <f t="shared" si="7"/>
        <v>1.197643796199934</v>
      </c>
    </row>
    <row r="224" spans="1:5" x14ac:dyDescent="0.35">
      <c r="A224" t="s">
        <v>255</v>
      </c>
      <c r="B224">
        <f>IF(Final_Payroll!B224="Sales",Earnings!B224*3,
IF(Final_Payroll!B224="IT",Earnings!B224*2,
IF(Final_Payroll!B224="Finance",Earnings!B224*1.5,
IF(Final_Payroll!B224="HR",Earnings!B224*1.2,
Earnings!B224*1.3))))</f>
        <v>1160292.9000000001</v>
      </c>
      <c r="C224">
        <f>Earnings!B224 + Deductions!B224 + Deductions!C224 + Overtime!D224</f>
        <v>974660.97</v>
      </c>
      <c r="D224">
        <f t="shared" si="6"/>
        <v>185631.93000000017</v>
      </c>
      <c r="E224">
        <f t="shared" si="7"/>
        <v>1.1904579497012178</v>
      </c>
    </row>
    <row r="225" spans="1:5" x14ac:dyDescent="0.35">
      <c r="A225" t="s">
        <v>256</v>
      </c>
      <c r="B225">
        <f>IF(Final_Payroll!B225="Sales",Earnings!B225*3,
IF(Final_Payroll!B225="IT",Earnings!B225*2,
IF(Final_Payroll!B225="Finance",Earnings!B225*1.5,
IF(Final_Payroll!B225="HR",Earnings!B225*1.2,
Earnings!B225*1.3))))</f>
        <v>2165427</v>
      </c>
      <c r="C225">
        <f>Earnings!B225 + Deductions!B225 + Deductions!C225 + Overtime!D225</f>
        <v>752481.36</v>
      </c>
      <c r="D225">
        <f t="shared" si="6"/>
        <v>1412945.6400000001</v>
      </c>
      <c r="E225">
        <f t="shared" si="7"/>
        <v>2.8777151370234608</v>
      </c>
    </row>
    <row r="226" spans="1:5" x14ac:dyDescent="0.35">
      <c r="A226" t="s">
        <v>257</v>
      </c>
      <c r="B226">
        <f>IF(Final_Payroll!B226="Sales",Earnings!B226*3,
IF(Final_Payroll!B226="IT",Earnings!B226*2,
IF(Final_Payroll!B226="Finance",Earnings!B226*1.5,
IF(Final_Payroll!B226="HR",Earnings!B226*1.2,
Earnings!B226*1.3))))</f>
        <v>2212692</v>
      </c>
      <c r="C226">
        <f>Earnings!B226 + Deductions!B226 + Deductions!C226 + Overtime!D226</f>
        <v>1108146</v>
      </c>
      <c r="D226">
        <f t="shared" si="6"/>
        <v>1104546</v>
      </c>
      <c r="E226">
        <f t="shared" si="7"/>
        <v>1.9967513306008413</v>
      </c>
    </row>
    <row r="227" spans="1:5" x14ac:dyDescent="0.35">
      <c r="A227" t="s">
        <v>258</v>
      </c>
      <c r="B227">
        <f>IF(Final_Payroll!B227="Sales",Earnings!B227*3,
IF(Final_Payroll!B227="IT",Earnings!B227*2,
IF(Final_Payroll!B227="Finance",Earnings!B227*1.5,
IF(Final_Payroll!B227="HR",Earnings!B227*1.2,
Earnings!B227*1.3))))</f>
        <v>1071306.6000000001</v>
      </c>
      <c r="C227">
        <f>Earnings!B227 + Deductions!B227 + Deductions!C227 + Overtime!D227</f>
        <v>941253.48</v>
      </c>
      <c r="D227">
        <f t="shared" si="6"/>
        <v>130053.12000000011</v>
      </c>
      <c r="E227">
        <f t="shared" si="7"/>
        <v>1.1381701345741639</v>
      </c>
    </row>
    <row r="228" spans="1:5" x14ac:dyDescent="0.35">
      <c r="A228" t="s">
        <v>259</v>
      </c>
      <c r="B228">
        <f>IF(Final_Payroll!B228="Sales",Earnings!B228*3,
IF(Final_Payroll!B228="IT",Earnings!B228*2,
IF(Final_Payroll!B228="Finance",Earnings!B228*1.5,
IF(Final_Payroll!B228="HR",Earnings!B228*1.2,
Earnings!B228*1.3))))</f>
        <v>824792.28</v>
      </c>
      <c r="C228">
        <f>Earnings!B228 + Deductions!B228 + Deductions!C228 + Overtime!D228</f>
        <v>674322.93599999999</v>
      </c>
      <c r="D228">
        <f t="shared" si="6"/>
        <v>150469.34400000004</v>
      </c>
      <c r="E228">
        <f t="shared" si="7"/>
        <v>1.2231413703537442</v>
      </c>
    </row>
    <row r="229" spans="1:5" x14ac:dyDescent="0.35">
      <c r="A229" t="s">
        <v>260</v>
      </c>
      <c r="B229">
        <f>IF(Final_Payroll!B229="Sales",Earnings!B229*3,
IF(Final_Payroll!B229="IT",Earnings!B229*2,
IF(Final_Payroll!B229="Finance",Earnings!B229*1.5,
IF(Final_Payroll!B229="HR",Earnings!B229*1.2,
Earnings!B229*1.3))))</f>
        <v>1204894.5</v>
      </c>
      <c r="C229">
        <f>Earnings!B229 + Deductions!B229 + Deductions!C229 + Overtime!D229</f>
        <v>873340.35499999998</v>
      </c>
      <c r="D229">
        <f t="shared" si="6"/>
        <v>331554.14500000002</v>
      </c>
      <c r="E229">
        <f t="shared" si="7"/>
        <v>1.3796390984360274</v>
      </c>
    </row>
    <row r="230" spans="1:5" x14ac:dyDescent="0.35">
      <c r="A230" t="s">
        <v>261</v>
      </c>
      <c r="B230">
        <f>IF(Final_Payroll!B230="Sales",Earnings!B230*3,
IF(Final_Payroll!B230="IT",Earnings!B230*2,
IF(Final_Payroll!B230="Finance",Earnings!B230*1.5,
IF(Final_Payroll!B230="HR",Earnings!B230*1.2,
Earnings!B230*1.3))))</f>
        <v>759879.9</v>
      </c>
      <c r="C230">
        <f>Earnings!B230 + Deductions!B230 + Deductions!C230 + Overtime!D230</f>
        <v>627239.61</v>
      </c>
      <c r="D230">
        <f t="shared" si="6"/>
        <v>132640.29000000004</v>
      </c>
      <c r="E230">
        <f t="shared" si="7"/>
        <v>1.2114666993049117</v>
      </c>
    </row>
    <row r="231" spans="1:5" x14ac:dyDescent="0.35">
      <c r="A231" t="s">
        <v>262</v>
      </c>
      <c r="B231">
        <f>IF(Final_Payroll!B231="Sales",Earnings!B231*3,
IF(Final_Payroll!B231="IT",Earnings!B231*2,
IF(Final_Payroll!B231="Finance",Earnings!B231*1.5,
IF(Final_Payroll!B231="HR",Earnings!B231*1.2,
Earnings!B231*1.3))))</f>
        <v>1597080</v>
      </c>
      <c r="C231">
        <f>Earnings!B231 + Deductions!B231 + Deductions!C231 + Overtime!D231</f>
        <v>1066520</v>
      </c>
      <c r="D231">
        <f t="shared" si="6"/>
        <v>530560</v>
      </c>
      <c r="E231">
        <f t="shared" si="7"/>
        <v>1.497468401905262</v>
      </c>
    </row>
    <row r="232" spans="1:5" x14ac:dyDescent="0.35">
      <c r="A232" t="s">
        <v>263</v>
      </c>
      <c r="B232">
        <f>IF(Final_Payroll!B232="Sales",Earnings!B232*3,
IF(Final_Payroll!B232="IT",Earnings!B232*2,
IF(Final_Payroll!B232="Finance",Earnings!B232*1.5,
IF(Final_Payroll!B232="HR",Earnings!B232*1.2,
Earnings!B232*1.3))))</f>
        <v>899746.9</v>
      </c>
      <c r="C232">
        <f>Earnings!B232 + Deductions!B232 + Deductions!C232 + Overtime!D232</f>
        <v>783887.69</v>
      </c>
      <c r="D232">
        <f t="shared" si="6"/>
        <v>115859.21000000008</v>
      </c>
      <c r="E232">
        <f t="shared" si="7"/>
        <v>1.1478007774302466</v>
      </c>
    </row>
    <row r="233" spans="1:5" x14ac:dyDescent="0.35">
      <c r="A233" t="s">
        <v>264</v>
      </c>
      <c r="B233">
        <f>IF(Final_Payroll!B233="Sales",Earnings!B233*3,
IF(Final_Payroll!B233="IT",Earnings!B233*2,
IF(Final_Payroll!B233="Finance",Earnings!B233*1.5,
IF(Final_Payroll!B233="HR",Earnings!B233*1.2,
Earnings!B233*1.3))))</f>
        <v>934382.4</v>
      </c>
      <c r="C233">
        <f>Earnings!B233 + Deductions!B233 + Deductions!C233 + Overtime!D233</f>
        <v>799918.3</v>
      </c>
      <c r="D233">
        <f t="shared" si="6"/>
        <v>134464.09999999998</v>
      </c>
      <c r="E233">
        <f t="shared" si="7"/>
        <v>1.1680972919359389</v>
      </c>
    </row>
    <row r="234" spans="1:5" x14ac:dyDescent="0.35">
      <c r="A234" t="s">
        <v>265</v>
      </c>
      <c r="B234">
        <f>IF(Final_Payroll!B234="Sales",Earnings!B234*3,
IF(Final_Payroll!B234="IT",Earnings!B234*2,
IF(Final_Payroll!B234="Finance",Earnings!B234*1.5,
IF(Final_Payroll!B234="HR",Earnings!B234*1.2,
Earnings!B234*1.3))))</f>
        <v>1802388</v>
      </c>
      <c r="C234">
        <f>Earnings!B234 + Deductions!B234 + Deductions!C234 + Overtime!D234</f>
        <v>1341575.08</v>
      </c>
      <c r="D234">
        <f t="shared" si="6"/>
        <v>460812.91999999993</v>
      </c>
      <c r="E234">
        <f t="shared" si="7"/>
        <v>1.3434864935028459</v>
      </c>
    </row>
    <row r="235" spans="1:5" x14ac:dyDescent="0.35">
      <c r="A235" t="s">
        <v>266</v>
      </c>
      <c r="B235">
        <f>IF(Final_Payroll!B235="Sales",Earnings!B235*3,
IF(Final_Payroll!B235="IT",Earnings!B235*2,
IF(Final_Payroll!B235="Finance",Earnings!B235*1.5,
IF(Final_Payroll!B235="HR",Earnings!B235*1.2,
Earnings!B235*1.3))))</f>
        <v>2468772.5999999996</v>
      </c>
      <c r="C235">
        <f>Earnings!B235 + Deductions!B235 + Deductions!C235 + Overtime!D235</f>
        <v>824724.2</v>
      </c>
      <c r="D235">
        <f t="shared" si="6"/>
        <v>1644048.3999999997</v>
      </c>
      <c r="E235">
        <f t="shared" si="7"/>
        <v>2.9934523565575009</v>
      </c>
    </row>
    <row r="236" spans="1:5" x14ac:dyDescent="0.35">
      <c r="A236" t="s">
        <v>267</v>
      </c>
      <c r="B236">
        <f>IF(Final_Payroll!B236="Sales",Earnings!B236*3,
IF(Final_Payroll!B236="IT",Earnings!B236*2,
IF(Final_Payroll!B236="Finance",Earnings!B236*1.5,
IF(Final_Payroll!B236="HR",Earnings!B236*1.2,
Earnings!B236*1.3))))</f>
        <v>1898136</v>
      </c>
      <c r="C236">
        <f>Earnings!B236 + Deductions!B236 + Deductions!C236 + Overtime!D236</f>
        <v>984085.38</v>
      </c>
      <c r="D236">
        <f t="shared" si="6"/>
        <v>914050.62</v>
      </c>
      <c r="E236">
        <f t="shared" si="7"/>
        <v>1.9288326384850876</v>
      </c>
    </row>
    <row r="237" spans="1:5" x14ac:dyDescent="0.35">
      <c r="A237" t="s">
        <v>268</v>
      </c>
      <c r="B237">
        <f>IF(Final_Payroll!B237="Sales",Earnings!B237*3,
IF(Final_Payroll!B237="IT",Earnings!B237*2,
IF(Final_Payroll!B237="Finance",Earnings!B237*1.5,
IF(Final_Payroll!B237="HR",Earnings!B237*1.2,
Earnings!B237*1.3))))</f>
        <v>937443.6</v>
      </c>
      <c r="C237">
        <f>Earnings!B237 + Deductions!B237 + Deductions!C237 + Overtime!D237</f>
        <v>833781.19500000007</v>
      </c>
      <c r="D237">
        <f t="shared" si="6"/>
        <v>103662.40499999991</v>
      </c>
      <c r="E237">
        <f t="shared" si="7"/>
        <v>1.1243280678691727</v>
      </c>
    </row>
    <row r="238" spans="1:5" x14ac:dyDescent="0.35">
      <c r="A238" t="s">
        <v>269</v>
      </c>
      <c r="B238">
        <f>IF(Final_Payroll!B238="Sales",Earnings!B238*3,
IF(Final_Payroll!B238="IT",Earnings!B238*2,
IF(Final_Payroll!B238="Finance",Earnings!B238*1.5,
IF(Final_Payroll!B238="HR",Earnings!B238*1.2,
Earnings!B238*1.3))))</f>
        <v>769440.1</v>
      </c>
      <c r="C238">
        <f>Earnings!B238 + Deductions!B238 + Deductions!C238 + Overtime!D238</f>
        <v>593677</v>
      </c>
      <c r="D238">
        <f t="shared" si="6"/>
        <v>175763.09999999998</v>
      </c>
      <c r="E238">
        <f t="shared" si="7"/>
        <v>1.2960584627667906</v>
      </c>
    </row>
    <row r="239" spans="1:5" x14ac:dyDescent="0.35">
      <c r="A239" t="s">
        <v>270</v>
      </c>
      <c r="B239">
        <f>IF(Final_Payroll!B239="Sales",Earnings!B239*3,
IF(Final_Payroll!B239="IT",Earnings!B239*2,
IF(Final_Payroll!B239="Finance",Earnings!B239*1.5,
IF(Final_Payroll!B239="HR",Earnings!B239*1.2,
Earnings!B239*1.3))))</f>
        <v>1707825.4500000002</v>
      </c>
      <c r="C239">
        <f>Earnings!B239 + Deductions!B239 + Deductions!C239 + Overtime!D239</f>
        <v>1140350.3</v>
      </c>
      <c r="D239">
        <f t="shared" si="6"/>
        <v>567475.15000000014</v>
      </c>
      <c r="E239">
        <f t="shared" si="7"/>
        <v>1.4976323064938906</v>
      </c>
    </row>
    <row r="240" spans="1:5" x14ac:dyDescent="0.35">
      <c r="A240" t="s">
        <v>271</v>
      </c>
      <c r="B240">
        <f>IF(Final_Payroll!B240="Sales",Earnings!B240*3,
IF(Final_Payroll!B240="IT",Earnings!B240*2,
IF(Final_Payroll!B240="Finance",Earnings!B240*1.5,
IF(Final_Payroll!B240="HR",Earnings!B240*1.2,
Earnings!B240*1.3))))</f>
        <v>769167.88</v>
      </c>
      <c r="C240">
        <f>Earnings!B240 + Deductions!B240 + Deductions!C240 + Overtime!D240</f>
        <v>593467.6</v>
      </c>
      <c r="D240">
        <f t="shared" si="6"/>
        <v>175700.28000000003</v>
      </c>
      <c r="E240">
        <f t="shared" si="7"/>
        <v>1.2960570720288691</v>
      </c>
    </row>
    <row r="241" spans="1:5" x14ac:dyDescent="0.35">
      <c r="A241" t="s">
        <v>272</v>
      </c>
      <c r="B241">
        <f>IF(Final_Payroll!B241="Sales",Earnings!B241*3,
IF(Final_Payroll!B241="IT",Earnings!B241*2,
IF(Final_Payroll!B241="Finance",Earnings!B241*1.5,
IF(Final_Payroll!B241="HR",Earnings!B241*1.2,
Earnings!B241*1.3))))</f>
        <v>994590.14999999991</v>
      </c>
      <c r="C241">
        <f>Earnings!B241 + Deductions!B241 + Deductions!C241 + Overtime!D241</f>
        <v>664860.1</v>
      </c>
      <c r="D241">
        <f t="shared" si="6"/>
        <v>329730.04999999993</v>
      </c>
      <c r="E241">
        <f t="shared" si="7"/>
        <v>1.4959389952863766</v>
      </c>
    </row>
    <row r="242" spans="1:5" x14ac:dyDescent="0.35">
      <c r="A242" t="s">
        <v>273</v>
      </c>
      <c r="B242">
        <f>IF(Final_Payroll!B242="Sales",Earnings!B242*3,
IF(Final_Payroll!B242="IT",Earnings!B242*2,
IF(Final_Payroll!B242="Finance",Earnings!B242*1.5,
IF(Final_Payroll!B242="HR",Earnings!B242*1.2,
Earnings!B242*1.3))))</f>
        <v>821739.35999999987</v>
      </c>
      <c r="C242">
        <f>Earnings!B242 + Deductions!B242 + Deductions!C242 + Overtime!D242</f>
        <v>686582.79999999993</v>
      </c>
      <c r="D242">
        <f t="shared" si="6"/>
        <v>135156.55999999994</v>
      </c>
      <c r="E242">
        <f t="shared" si="7"/>
        <v>1.1968539846905573</v>
      </c>
    </row>
    <row r="243" spans="1:5" x14ac:dyDescent="0.35">
      <c r="A243" t="s">
        <v>274</v>
      </c>
      <c r="B243">
        <f>IF(Final_Payroll!B243="Sales",Earnings!B243*3,
IF(Final_Payroll!B243="IT",Earnings!B243*2,
IF(Final_Payroll!B243="Finance",Earnings!B243*1.5,
IF(Final_Payroll!B243="HR",Earnings!B243*1.2,
Earnings!B243*1.3))))</f>
        <v>1042153.5149999999</v>
      </c>
      <c r="C243">
        <f>Earnings!B243 + Deductions!B243 + Deductions!C243 + Overtime!D243</f>
        <v>831514.52924999991</v>
      </c>
      <c r="D243">
        <f t="shared" si="6"/>
        <v>210638.98574999999</v>
      </c>
      <c r="E243">
        <f t="shared" si="7"/>
        <v>1.2533196695191722</v>
      </c>
    </row>
    <row r="244" spans="1:5" x14ac:dyDescent="0.35">
      <c r="A244" t="s">
        <v>275</v>
      </c>
      <c r="B244">
        <f>IF(Final_Payroll!B244="Sales",Earnings!B244*3,
IF(Final_Payroll!B244="IT",Earnings!B244*2,
IF(Final_Payroll!B244="Finance",Earnings!B244*1.5,
IF(Final_Payroll!B244="HR",Earnings!B244*1.2,
Earnings!B244*1.3))))</f>
        <v>1025923.6000000001</v>
      </c>
      <c r="C244">
        <f>Earnings!B244 + Deductions!B244 + Deductions!C244 + Overtime!D244</f>
        <v>790972</v>
      </c>
      <c r="D244">
        <f t="shared" si="6"/>
        <v>234951.60000000009</v>
      </c>
      <c r="E244">
        <f t="shared" si="7"/>
        <v>1.297041614620998</v>
      </c>
    </row>
    <row r="245" spans="1:5" x14ac:dyDescent="0.35">
      <c r="A245" t="s">
        <v>276</v>
      </c>
      <c r="B245">
        <f>IF(Final_Payroll!B245="Sales",Earnings!B245*3,
IF(Final_Payroll!B245="IT",Earnings!B245*2,
IF(Final_Payroll!B245="Finance",Earnings!B245*1.5,
IF(Final_Payroll!B245="HR",Earnings!B245*1.2,
Earnings!B245*1.3))))</f>
        <v>1070200.365</v>
      </c>
      <c r="C245">
        <f>Earnings!B245 + Deductions!B245 + Deductions!C245 + Overtime!D245</f>
        <v>825031.04999999993</v>
      </c>
      <c r="D245">
        <f t="shared" si="6"/>
        <v>245169.31500000006</v>
      </c>
      <c r="E245">
        <f t="shared" si="7"/>
        <v>1.2971637431100322</v>
      </c>
    </row>
    <row r="246" spans="1:5" x14ac:dyDescent="0.35">
      <c r="A246" t="s">
        <v>277</v>
      </c>
      <c r="B246">
        <f>IF(Final_Payroll!B246="Sales",Earnings!B246*3,
IF(Final_Payroll!B246="IT",Earnings!B246*2,
IF(Final_Payroll!B246="Finance",Earnings!B246*1.5,
IF(Final_Payroll!B246="HR",Earnings!B246*1.2,
Earnings!B246*1.3))))</f>
        <v>1738106.7</v>
      </c>
      <c r="C246">
        <f>Earnings!B246 + Deductions!B246 + Deductions!C246 + Overtime!D246</f>
        <v>918651.28425000003</v>
      </c>
      <c r="D246">
        <f t="shared" si="6"/>
        <v>819455.41574999993</v>
      </c>
      <c r="E246">
        <f t="shared" si="7"/>
        <v>1.8920201057782389</v>
      </c>
    </row>
    <row r="247" spans="1:5" x14ac:dyDescent="0.35">
      <c r="A247" t="s">
        <v>278</v>
      </c>
      <c r="B247">
        <f>IF(Final_Payroll!B247="Sales",Earnings!B247*3,
IF(Final_Payroll!B247="IT",Earnings!B247*2,
IF(Final_Payroll!B247="Finance",Earnings!B247*1.5,
IF(Final_Payroll!B247="HR",Earnings!B247*1.2,
Earnings!B247*1.3))))</f>
        <v>2010370.0499999998</v>
      </c>
      <c r="C247">
        <f>Earnings!B247 + Deductions!B247 + Deductions!C247 + Overtime!D247</f>
        <v>735585.06825000001</v>
      </c>
      <c r="D247">
        <f t="shared" si="6"/>
        <v>1274784.9817499998</v>
      </c>
      <c r="E247">
        <f t="shared" si="7"/>
        <v>2.7330218308846153</v>
      </c>
    </row>
    <row r="248" spans="1:5" x14ac:dyDescent="0.35">
      <c r="A248" t="s">
        <v>279</v>
      </c>
      <c r="B248">
        <f>IF(Final_Payroll!B248="Sales",Earnings!B248*3,
IF(Final_Payroll!B248="IT",Earnings!B248*2,
IF(Final_Payroll!B248="Finance",Earnings!B248*1.5,
IF(Final_Payroll!B248="HR",Earnings!B248*1.2,
Earnings!B248*1.3))))</f>
        <v>500902.8</v>
      </c>
      <c r="C248">
        <f>Earnings!B248 + Deductions!B248 + Deductions!C248 + Overtime!D248</f>
        <v>419219</v>
      </c>
      <c r="D248">
        <f t="shared" si="6"/>
        <v>81683.799999999988</v>
      </c>
      <c r="E248">
        <f t="shared" si="7"/>
        <v>1.1948475617755874</v>
      </c>
    </row>
    <row r="249" spans="1:5" x14ac:dyDescent="0.35">
      <c r="A249" t="s">
        <v>280</v>
      </c>
      <c r="B249">
        <f>IF(Final_Payroll!B249="Sales",Earnings!B249*3,
IF(Final_Payroll!B249="IT",Earnings!B249*2,
IF(Final_Payroll!B249="Finance",Earnings!B249*1.5,
IF(Final_Payroll!B249="HR",Earnings!B249*1.2,
Earnings!B249*1.3))))</f>
        <v>2443532</v>
      </c>
      <c r="C249">
        <f>Earnings!B249 + Deductions!B249 + Deductions!C249 + Overtime!D249</f>
        <v>1351851.43</v>
      </c>
      <c r="D249">
        <f t="shared" si="6"/>
        <v>1091680.57</v>
      </c>
      <c r="E249">
        <f t="shared" si="7"/>
        <v>1.8075447832310982</v>
      </c>
    </row>
    <row r="250" spans="1:5" x14ac:dyDescent="0.35">
      <c r="A250" t="s">
        <v>281</v>
      </c>
      <c r="B250">
        <f>IF(Final_Payroll!B250="Sales",Earnings!B250*3,
IF(Final_Payroll!B250="IT",Earnings!B250*2,
IF(Final_Payroll!B250="Finance",Earnings!B250*1.5,
IF(Final_Payroll!B250="HR",Earnings!B250*1.2,
Earnings!B250*1.3))))</f>
        <v>1634503.5</v>
      </c>
      <c r="C250">
        <f>Earnings!B250 + Deductions!B250 + Deductions!C250 + Overtime!D250</f>
        <v>1178642.52</v>
      </c>
      <c r="D250">
        <f t="shared" si="6"/>
        <v>455860.98</v>
      </c>
      <c r="E250">
        <f t="shared" si="7"/>
        <v>1.3867678047114744</v>
      </c>
    </row>
    <row r="251" spans="1:5" x14ac:dyDescent="0.35">
      <c r="A251" t="s">
        <v>282</v>
      </c>
      <c r="B251">
        <f>IF(Final_Payroll!B251="Sales",Earnings!B251*3,
IF(Final_Payroll!B251="IT",Earnings!B251*2,
IF(Final_Payroll!B251="Finance",Earnings!B251*1.5,
IF(Final_Payroll!B251="HR",Earnings!B251*1.2,
Earnings!B251*1.3))))</f>
        <v>1071141.5</v>
      </c>
      <c r="C251">
        <f>Earnings!B251 + Deductions!B251 + Deductions!C251 + Overtime!D251</f>
        <v>887551.625</v>
      </c>
      <c r="D251">
        <f t="shared" si="6"/>
        <v>183589.875</v>
      </c>
      <c r="E251">
        <f t="shared" si="7"/>
        <v>1.2068497987370594</v>
      </c>
    </row>
    <row r="252" spans="1:5" x14ac:dyDescent="0.35">
      <c r="A252" t="s">
        <v>283</v>
      </c>
      <c r="B252">
        <f>IF(Final_Payroll!B252="Sales",Earnings!B252*3,
IF(Final_Payroll!B252="IT",Earnings!B252*2,
IF(Final_Payroll!B252="Finance",Earnings!B252*1.5,
IF(Final_Payroll!B252="HR",Earnings!B252*1.2,
Earnings!B252*1.3))))</f>
        <v>1241340</v>
      </c>
      <c r="C252">
        <f>Earnings!B252 + Deductions!B252 + Deductions!C252 + Overtime!D252</f>
        <v>829360</v>
      </c>
      <c r="D252">
        <f t="shared" si="6"/>
        <v>411980</v>
      </c>
      <c r="E252">
        <f t="shared" si="7"/>
        <v>1.4967444776695282</v>
      </c>
    </row>
    <row r="253" spans="1:5" x14ac:dyDescent="0.35">
      <c r="A253" t="s">
        <v>284</v>
      </c>
      <c r="B253">
        <f>IF(Final_Payroll!B253="Sales",Earnings!B253*3,
IF(Final_Payroll!B253="IT",Earnings!B253*2,
IF(Final_Payroll!B253="Finance",Earnings!B253*1.5,
IF(Final_Payroll!B253="HR",Earnings!B253*1.2,
Earnings!B253*1.3))))</f>
        <v>1456848.75</v>
      </c>
      <c r="C253">
        <f>Earnings!B253 + Deductions!B253 + Deductions!C253 + Overtime!D253</f>
        <v>1079868.075</v>
      </c>
      <c r="D253">
        <f t="shared" si="6"/>
        <v>376980.67500000005</v>
      </c>
      <c r="E253">
        <f t="shared" si="7"/>
        <v>1.3490988239466197</v>
      </c>
    </row>
    <row r="254" spans="1:5" x14ac:dyDescent="0.35">
      <c r="A254" t="s">
        <v>285</v>
      </c>
      <c r="B254">
        <f>IF(Final_Payroll!B254="Sales",Earnings!B254*3,
IF(Final_Payroll!B254="IT",Earnings!B254*2,
IF(Final_Payroll!B254="Finance",Earnings!B254*1.5,
IF(Final_Payroll!B254="HR",Earnings!B254*1.2,
Earnings!B254*1.3))))</f>
        <v>411983</v>
      </c>
      <c r="C254">
        <f>Earnings!B254 + Deductions!B254 + Deductions!C254 + Overtime!D254</f>
        <v>318710</v>
      </c>
      <c r="D254">
        <f t="shared" si="6"/>
        <v>93273</v>
      </c>
      <c r="E254">
        <f t="shared" si="7"/>
        <v>1.2926579021681153</v>
      </c>
    </row>
    <row r="255" spans="1:5" x14ac:dyDescent="0.35">
      <c r="A255" t="s">
        <v>286</v>
      </c>
      <c r="B255">
        <f>IF(Final_Payroll!B255="Sales",Earnings!B255*3,
IF(Final_Payroll!B255="IT",Earnings!B255*2,
IF(Final_Payroll!B255="Finance",Earnings!B255*1.5,
IF(Final_Payroll!B255="HR",Earnings!B255*1.2,
Earnings!B255*1.3))))</f>
        <v>1076853</v>
      </c>
      <c r="C255">
        <f>Earnings!B255 + Deductions!B255 + Deductions!C255 + Overtime!D255</f>
        <v>719702</v>
      </c>
      <c r="D255">
        <f t="shared" si="6"/>
        <v>357151</v>
      </c>
      <c r="E255">
        <f t="shared" si="7"/>
        <v>1.4962484472740107</v>
      </c>
    </row>
    <row r="256" spans="1:5" x14ac:dyDescent="0.35">
      <c r="A256" t="s">
        <v>287</v>
      </c>
      <c r="B256">
        <f>IF(Final_Payroll!B256="Sales",Earnings!B256*3,
IF(Final_Payroll!B256="IT",Earnings!B256*2,
IF(Final_Payroll!B256="Finance",Earnings!B256*1.5,
IF(Final_Payroll!B256="HR",Earnings!B256*1.2,
Earnings!B256*1.3))))</f>
        <v>663438</v>
      </c>
      <c r="C256">
        <f>Earnings!B256 + Deductions!B256 + Deductions!C256 + Overtime!D256</f>
        <v>615480.15</v>
      </c>
      <c r="D256">
        <f t="shared" si="6"/>
        <v>47957.849999999977</v>
      </c>
      <c r="E256">
        <f t="shared" si="7"/>
        <v>1.0779194097486329</v>
      </c>
    </row>
    <row r="257" spans="1:5" x14ac:dyDescent="0.35">
      <c r="A257" t="s">
        <v>288</v>
      </c>
      <c r="B257">
        <f>IF(Final_Payroll!B257="Sales",Earnings!B257*3,
IF(Final_Payroll!B257="IT",Earnings!B257*2,
IF(Final_Payroll!B257="Finance",Earnings!B257*1.5,
IF(Final_Payroll!B257="HR",Earnings!B257*1.2,
Earnings!B257*1.3))))</f>
        <v>2476604.4</v>
      </c>
      <c r="C257">
        <f>Earnings!B257 + Deductions!B257 + Deductions!C257 + Overtime!D257</f>
        <v>1363932.42</v>
      </c>
      <c r="D257">
        <f t="shared" si="6"/>
        <v>1112671.98</v>
      </c>
      <c r="E257">
        <f t="shared" si="7"/>
        <v>1.8157823391279166</v>
      </c>
    </row>
    <row r="258" spans="1:5" x14ac:dyDescent="0.35">
      <c r="A258" t="s">
        <v>289</v>
      </c>
      <c r="B258">
        <f>IF(Final_Payroll!B258="Sales",Earnings!B258*3,
IF(Final_Payroll!B258="IT",Earnings!B258*2,
IF(Final_Payroll!B258="Finance",Earnings!B258*1.5,
IF(Final_Payroll!B258="HR",Earnings!B258*1.2,
Earnings!B258*1.3))))</f>
        <v>3022721.4</v>
      </c>
      <c r="C258">
        <f>Earnings!B258 + Deductions!B258 + Deductions!C258 + Overtime!D258</f>
        <v>1513160.7</v>
      </c>
      <c r="D258">
        <f t="shared" ref="D258:D321" si="8">B258-C258</f>
        <v>1509560.7</v>
      </c>
      <c r="E258">
        <f t="shared" ref="E258:E321" si="9">IF(C258=0,0,B258/C258)</f>
        <v>1.9976208739759103</v>
      </c>
    </row>
    <row r="259" spans="1:5" x14ac:dyDescent="0.35">
      <c r="A259" t="s">
        <v>290</v>
      </c>
      <c r="B259">
        <f>IF(Final_Payroll!B259="Sales",Earnings!B259*3,
IF(Final_Payroll!B259="IT",Earnings!B259*2,
IF(Final_Payroll!B259="Finance",Earnings!B259*1.5,
IF(Final_Payroll!B259="HR",Earnings!B259*1.2,
Earnings!B259*1.3))))</f>
        <v>1010899.2749999999</v>
      </c>
      <c r="C259">
        <f>Earnings!B259 + Deductions!B259 + Deductions!C259 + Overtime!D259</f>
        <v>675732.85</v>
      </c>
      <c r="D259">
        <f t="shared" si="8"/>
        <v>335166.42499999993</v>
      </c>
      <c r="E259">
        <f t="shared" si="9"/>
        <v>1.4960043381049182</v>
      </c>
    </row>
    <row r="260" spans="1:5" x14ac:dyDescent="0.35">
      <c r="A260" t="s">
        <v>291</v>
      </c>
      <c r="B260">
        <f>IF(Final_Payroll!B260="Sales",Earnings!B260*3,
IF(Final_Payroll!B260="IT",Earnings!B260*2,
IF(Final_Payroll!B260="Finance",Earnings!B260*1.5,
IF(Final_Payroll!B260="HR",Earnings!B260*1.2,
Earnings!B260*1.3))))</f>
        <v>2424301.1999999997</v>
      </c>
      <c r="C260">
        <f>Earnings!B260 + Deductions!B260 + Deductions!C260 + Overtime!D260</f>
        <v>809900.39999999991</v>
      </c>
      <c r="D260">
        <f t="shared" si="8"/>
        <v>1614400.7999999998</v>
      </c>
      <c r="E260">
        <f t="shared" si="9"/>
        <v>2.9933325134794351</v>
      </c>
    </row>
    <row r="261" spans="1:5" x14ac:dyDescent="0.35">
      <c r="A261" t="s">
        <v>292</v>
      </c>
      <c r="B261">
        <f>IF(Final_Payroll!B261="Sales",Earnings!B261*3,
IF(Final_Payroll!B261="IT",Earnings!B261*2,
IF(Final_Payroll!B261="Finance",Earnings!B261*1.5,
IF(Final_Payroll!B261="HR",Earnings!B261*1.2,
Earnings!B261*1.3))))</f>
        <v>1381521</v>
      </c>
      <c r="C261">
        <f>Earnings!B261 + Deductions!B261 + Deductions!C261 + Overtime!D261</f>
        <v>462307</v>
      </c>
      <c r="D261">
        <f t="shared" si="8"/>
        <v>919214</v>
      </c>
      <c r="E261">
        <f t="shared" si="9"/>
        <v>2.9883194500624044</v>
      </c>
    </row>
    <row r="262" spans="1:5" x14ac:dyDescent="0.35">
      <c r="A262" t="s">
        <v>293</v>
      </c>
      <c r="B262">
        <f>IF(Final_Payroll!B262="Sales",Earnings!B262*3,
IF(Final_Payroll!B262="IT",Earnings!B262*2,
IF(Final_Payroll!B262="Finance",Earnings!B262*1.5,
IF(Final_Payroll!B262="HR",Earnings!B262*1.2,
Earnings!B262*1.3))))</f>
        <v>1057127.8899999999</v>
      </c>
      <c r="C262">
        <f>Earnings!B262 + Deductions!B262 + Deductions!C262 + Overtime!D262</f>
        <v>814975.29999999993</v>
      </c>
      <c r="D262">
        <f t="shared" si="8"/>
        <v>242152.58999999997</v>
      </c>
      <c r="E262">
        <f t="shared" si="9"/>
        <v>1.2971287473374959</v>
      </c>
    </row>
    <row r="263" spans="1:5" x14ac:dyDescent="0.35">
      <c r="A263" t="s">
        <v>294</v>
      </c>
      <c r="B263">
        <f>IF(Final_Payroll!B263="Sales",Earnings!B263*3,
IF(Final_Payroll!B263="IT",Earnings!B263*2,
IF(Final_Payroll!B263="Finance",Earnings!B263*1.5,
IF(Final_Payroll!B263="HR",Earnings!B263*1.2,
Earnings!B263*1.3))))</f>
        <v>692250</v>
      </c>
      <c r="C263">
        <f>Earnings!B263 + Deductions!B263 + Deductions!C263 + Overtime!D263</f>
        <v>534300</v>
      </c>
      <c r="D263">
        <f t="shared" si="8"/>
        <v>157950</v>
      </c>
      <c r="E263">
        <f t="shared" si="9"/>
        <v>1.2956204379562044</v>
      </c>
    </row>
    <row r="264" spans="1:5" x14ac:dyDescent="0.35">
      <c r="A264" t="s">
        <v>295</v>
      </c>
      <c r="B264">
        <f>IF(Final_Payroll!B264="Sales",Earnings!B264*3,
IF(Final_Payroll!B264="IT",Earnings!B264*2,
IF(Final_Payroll!B264="Finance",Earnings!B264*1.5,
IF(Final_Payroll!B264="HR",Earnings!B264*1.2,
Earnings!B264*1.3))))</f>
        <v>901893.6</v>
      </c>
      <c r="C264">
        <f>Earnings!B264 + Deductions!B264 + Deductions!C264 + Overtime!D264</f>
        <v>828535.8</v>
      </c>
      <c r="D264">
        <f t="shared" si="8"/>
        <v>73357.79999999993</v>
      </c>
      <c r="E264">
        <f t="shared" si="9"/>
        <v>1.0885390830426398</v>
      </c>
    </row>
    <row r="265" spans="1:5" x14ac:dyDescent="0.35">
      <c r="A265" t="s">
        <v>296</v>
      </c>
      <c r="B265">
        <f>IF(Final_Payroll!B265="Sales",Earnings!B265*3,
IF(Final_Payroll!B265="IT",Earnings!B265*2,
IF(Final_Payroll!B265="Finance",Earnings!B265*1.5,
IF(Final_Payroll!B265="HR",Earnings!B265*1.2,
Earnings!B265*1.3))))</f>
        <v>2397873</v>
      </c>
      <c r="C265">
        <f>Earnings!B265 + Deductions!B265 + Deductions!C265 + Overtime!D265</f>
        <v>861037.82499999995</v>
      </c>
      <c r="D265">
        <f t="shared" si="8"/>
        <v>1536835.175</v>
      </c>
      <c r="E265">
        <f t="shared" si="9"/>
        <v>2.7848637195468156</v>
      </c>
    </row>
    <row r="266" spans="1:5" x14ac:dyDescent="0.35">
      <c r="A266" t="s">
        <v>297</v>
      </c>
      <c r="B266">
        <f>IF(Final_Payroll!B266="Sales",Earnings!B266*3,
IF(Final_Payroll!B266="IT",Earnings!B266*2,
IF(Final_Payroll!B266="Finance",Earnings!B266*1.5,
IF(Final_Payroll!B266="HR",Earnings!B266*1.2,
Earnings!B266*1.3))))</f>
        <v>1217872.5</v>
      </c>
      <c r="C266">
        <f>Earnings!B266 + Deductions!B266 + Deductions!C266 + Overtime!D266</f>
        <v>813715</v>
      </c>
      <c r="D266">
        <f t="shared" si="8"/>
        <v>404157.5</v>
      </c>
      <c r="E266">
        <f t="shared" si="9"/>
        <v>1.4966818849351431</v>
      </c>
    </row>
    <row r="267" spans="1:5" x14ac:dyDescent="0.35">
      <c r="A267" t="s">
        <v>298</v>
      </c>
      <c r="B267">
        <f>IF(Final_Payroll!B267="Sales",Earnings!B267*3,
IF(Final_Payroll!B267="IT",Earnings!B267*2,
IF(Final_Payroll!B267="Finance",Earnings!B267*1.5,
IF(Final_Payroll!B267="HR",Earnings!B267*1.2,
Earnings!B267*1.3))))</f>
        <v>1612813.0999999999</v>
      </c>
      <c r="C267">
        <f>Earnings!B267 + Deductions!B267 + Deductions!C267 + Overtime!D267</f>
        <v>808206.54999999993</v>
      </c>
      <c r="D267">
        <f t="shared" si="8"/>
        <v>804606.54999999993</v>
      </c>
      <c r="E267">
        <f t="shared" si="9"/>
        <v>1.9955456931152067</v>
      </c>
    </row>
    <row r="268" spans="1:5" x14ac:dyDescent="0.35">
      <c r="A268" t="s">
        <v>299</v>
      </c>
      <c r="B268">
        <f>IF(Final_Payroll!B268="Sales",Earnings!B268*3,
IF(Final_Payroll!B268="IT",Earnings!B268*2,
IF(Final_Payroll!B268="Finance",Earnings!B268*1.5,
IF(Final_Payroll!B268="HR",Earnings!B268*1.2,
Earnings!B268*1.3))))</f>
        <v>1284622.5</v>
      </c>
      <c r="C268">
        <f>Earnings!B268 + Deductions!B268 + Deductions!C268 + Overtime!D268</f>
        <v>858215</v>
      </c>
      <c r="D268">
        <f t="shared" si="8"/>
        <v>426407.5</v>
      </c>
      <c r="E268">
        <f t="shared" si="9"/>
        <v>1.4968539352027173</v>
      </c>
    </row>
    <row r="269" spans="1:5" x14ac:dyDescent="0.35">
      <c r="A269" t="s">
        <v>300</v>
      </c>
      <c r="B269">
        <f>IF(Final_Payroll!B269="Sales",Earnings!B269*3,
IF(Final_Payroll!B269="IT",Earnings!B269*2,
IF(Final_Payroll!B269="Finance",Earnings!B269*1.5,
IF(Final_Payroll!B269="HR",Earnings!B269*1.2,
Earnings!B269*1.3))))</f>
        <v>493701.13</v>
      </c>
      <c r="C269">
        <f>Earnings!B269 + Deductions!B269 + Deductions!C269 + Overtime!D269</f>
        <v>391064.35249999998</v>
      </c>
      <c r="D269">
        <f t="shared" si="8"/>
        <v>102636.77750000003</v>
      </c>
      <c r="E269">
        <f t="shared" si="9"/>
        <v>1.2624549561826912</v>
      </c>
    </row>
    <row r="270" spans="1:5" x14ac:dyDescent="0.35">
      <c r="A270" t="s">
        <v>301</v>
      </c>
      <c r="B270">
        <f>IF(Final_Payroll!B270="Sales",Earnings!B270*3,
IF(Final_Payroll!B270="IT",Earnings!B270*2,
IF(Final_Payroll!B270="Finance",Earnings!B270*1.5,
IF(Final_Payroll!B270="HR",Earnings!B270*1.2,
Earnings!B270*1.3))))</f>
        <v>1068613.2</v>
      </c>
      <c r="C270">
        <f>Earnings!B270 + Deductions!B270 + Deductions!C270 + Overtime!D270</f>
        <v>714208.79999999993</v>
      </c>
      <c r="D270">
        <f t="shared" si="8"/>
        <v>354404.4</v>
      </c>
      <c r="E270">
        <f t="shared" si="9"/>
        <v>1.4962195929257662</v>
      </c>
    </row>
    <row r="271" spans="1:5" x14ac:dyDescent="0.35">
      <c r="A271" t="s">
        <v>302</v>
      </c>
      <c r="B271">
        <f>IF(Final_Payroll!B271="Sales",Earnings!B271*3,
IF(Final_Payroll!B271="IT",Earnings!B271*2,
IF(Final_Payroll!B271="Finance",Earnings!B271*1.5,
IF(Final_Payroll!B271="HR",Earnings!B271*1.2,
Earnings!B271*1.3))))</f>
        <v>1092096.0599999998</v>
      </c>
      <c r="C271">
        <f>Earnings!B271 + Deductions!B271 + Deductions!C271 + Overtime!D271</f>
        <v>984686.45399999991</v>
      </c>
      <c r="D271">
        <f t="shared" si="8"/>
        <v>107409.60599999991</v>
      </c>
      <c r="E271">
        <f t="shared" si="9"/>
        <v>1.1090800077158367</v>
      </c>
    </row>
    <row r="272" spans="1:5" x14ac:dyDescent="0.35">
      <c r="A272" t="s">
        <v>303</v>
      </c>
      <c r="B272">
        <f>IF(Final_Payroll!B272="Sales",Earnings!B272*3,
IF(Final_Payroll!B272="IT",Earnings!B272*2,
IF(Final_Payroll!B272="Finance",Earnings!B272*1.5,
IF(Final_Payroll!B272="HR",Earnings!B272*1.2,
Earnings!B272*1.3))))</f>
        <v>2849686.5</v>
      </c>
      <c r="C272">
        <f>Earnings!B272 + Deductions!B272 + Deductions!C272 + Overtime!D272</f>
        <v>1426643.25</v>
      </c>
      <c r="D272">
        <f t="shared" si="8"/>
        <v>1423043.25</v>
      </c>
      <c r="E272">
        <f t="shared" si="9"/>
        <v>1.9974765940959662</v>
      </c>
    </row>
    <row r="273" spans="1:5" x14ac:dyDescent="0.35">
      <c r="A273" t="s">
        <v>304</v>
      </c>
      <c r="B273">
        <f>IF(Final_Payroll!B273="Sales",Earnings!B273*3,
IF(Final_Payroll!B273="IT",Earnings!B273*2,
IF(Final_Payroll!B273="Finance",Earnings!B273*1.5,
IF(Final_Payroll!B273="HR",Earnings!B273*1.2,
Earnings!B273*1.3))))</f>
        <v>3251229</v>
      </c>
      <c r="C273">
        <f>Earnings!B273 + Deductions!B273 + Deductions!C273 + Overtime!D273</f>
        <v>1085543</v>
      </c>
      <c r="D273">
        <f t="shared" si="8"/>
        <v>2165686</v>
      </c>
      <c r="E273">
        <f t="shared" si="9"/>
        <v>2.9950255310015357</v>
      </c>
    </row>
    <row r="274" spans="1:5" x14ac:dyDescent="0.35">
      <c r="A274" t="s">
        <v>305</v>
      </c>
      <c r="B274">
        <f>IF(Final_Payroll!B274="Sales",Earnings!B274*3,
IF(Final_Payroll!B274="IT",Earnings!B274*2,
IF(Final_Payroll!B274="Finance",Earnings!B274*1.5,
IF(Final_Payroll!B274="HR",Earnings!B274*1.2,
Earnings!B274*1.3))))</f>
        <v>2081760</v>
      </c>
      <c r="C274">
        <f>Earnings!B274 + Deductions!B274 + Deductions!C274 + Overtime!D274</f>
        <v>1146768</v>
      </c>
      <c r="D274">
        <f t="shared" si="8"/>
        <v>934992</v>
      </c>
      <c r="E274">
        <f t="shared" si="9"/>
        <v>1.8153279477627557</v>
      </c>
    </row>
    <row r="275" spans="1:5" x14ac:dyDescent="0.35">
      <c r="A275" t="s">
        <v>306</v>
      </c>
      <c r="B275">
        <f>IF(Final_Payroll!B275="Sales",Earnings!B275*3,
IF(Final_Payroll!B275="IT",Earnings!B275*2,
IF(Final_Payroll!B275="Finance",Earnings!B275*1.5,
IF(Final_Payroll!B275="HR",Earnings!B275*1.2,
Earnings!B275*1.3))))</f>
        <v>1127948.9000000001</v>
      </c>
      <c r="C275">
        <f>Earnings!B275 + Deductions!B275 + Deductions!C275 + Overtime!D275</f>
        <v>869453</v>
      </c>
      <c r="D275">
        <f t="shared" si="8"/>
        <v>258495.90000000014</v>
      </c>
      <c r="E275">
        <f t="shared" si="9"/>
        <v>1.2973086526816286</v>
      </c>
    </row>
    <row r="276" spans="1:5" x14ac:dyDescent="0.35">
      <c r="A276" t="s">
        <v>307</v>
      </c>
      <c r="B276">
        <f>IF(Final_Payroll!B276="Sales",Earnings!B276*3,
IF(Final_Payroll!B276="IT",Earnings!B276*2,
IF(Final_Payroll!B276="Finance",Earnings!B276*1.5,
IF(Final_Payroll!B276="HR",Earnings!B276*1.2,
Earnings!B276*1.3))))</f>
        <v>1215352.0999999999</v>
      </c>
      <c r="C276">
        <f>Earnings!B276 + Deductions!B276 + Deductions!C276 + Overtime!D276</f>
        <v>636821.47224999988</v>
      </c>
      <c r="D276">
        <f t="shared" si="8"/>
        <v>578530.62774999999</v>
      </c>
      <c r="E276">
        <f t="shared" si="9"/>
        <v>1.908465956252938</v>
      </c>
    </row>
    <row r="277" spans="1:5" x14ac:dyDescent="0.35">
      <c r="A277" t="s">
        <v>308</v>
      </c>
      <c r="B277">
        <f>IF(Final_Payroll!B277="Sales",Earnings!B277*3,
IF(Final_Payroll!B277="IT",Earnings!B277*2,
IF(Final_Payroll!B277="Finance",Earnings!B277*1.5,
IF(Final_Payroll!B277="HR",Earnings!B277*1.2,
Earnings!B277*1.3))))</f>
        <v>2015745</v>
      </c>
      <c r="C277">
        <f>Earnings!B277 + Deductions!B277 + Deductions!C277 + Overtime!D277</f>
        <v>673715</v>
      </c>
      <c r="D277">
        <f t="shared" si="8"/>
        <v>1342030</v>
      </c>
      <c r="E277">
        <f t="shared" si="9"/>
        <v>2.9919847413223692</v>
      </c>
    </row>
    <row r="278" spans="1:5" x14ac:dyDescent="0.35">
      <c r="A278" t="s">
        <v>309</v>
      </c>
      <c r="B278">
        <f>IF(Final_Payroll!B278="Sales",Earnings!B278*3,
IF(Final_Payroll!B278="IT",Earnings!B278*2,
IF(Final_Payroll!B278="Finance",Earnings!B278*1.5,
IF(Final_Payroll!B278="HR",Earnings!B278*1.2,
Earnings!B278*1.3))))</f>
        <v>1557758.7</v>
      </c>
      <c r="C278">
        <f>Earnings!B278 + Deductions!B278 + Deductions!C278 + Overtime!D278</f>
        <v>780679.35</v>
      </c>
      <c r="D278">
        <f t="shared" si="8"/>
        <v>777079.35</v>
      </c>
      <c r="E278">
        <f t="shared" si="9"/>
        <v>1.9953886317090366</v>
      </c>
    </row>
    <row r="279" spans="1:5" x14ac:dyDescent="0.35">
      <c r="A279" t="s">
        <v>310</v>
      </c>
      <c r="B279">
        <f>IF(Final_Payroll!B279="Sales",Earnings!B279*3,
IF(Final_Payroll!B279="IT",Earnings!B279*2,
IF(Final_Payroll!B279="Finance",Earnings!B279*1.5,
IF(Final_Payroll!B279="HR",Earnings!B279*1.2,
Earnings!B279*1.3))))</f>
        <v>1863210</v>
      </c>
      <c r="C279">
        <f>Earnings!B279 + Deductions!B279 + Deductions!C279 + Overtime!D279</f>
        <v>1054513.6499999999</v>
      </c>
      <c r="D279">
        <f t="shared" si="8"/>
        <v>808696.35000000009</v>
      </c>
      <c r="E279">
        <f t="shared" si="9"/>
        <v>1.7668903574647898</v>
      </c>
    </row>
    <row r="280" spans="1:5" x14ac:dyDescent="0.35">
      <c r="A280" t="s">
        <v>311</v>
      </c>
      <c r="B280">
        <f>IF(Final_Payroll!B280="Sales",Earnings!B280*3,
IF(Final_Payroll!B280="IT",Earnings!B280*2,
IF(Final_Payroll!B280="Finance",Earnings!B280*1.5,
IF(Final_Payroll!B280="HR",Earnings!B280*1.2,
Earnings!B280*1.3))))</f>
        <v>3432639.75</v>
      </c>
      <c r="C280">
        <f>Earnings!B280 + Deductions!B280 + Deductions!C280 + Overtime!D280</f>
        <v>1146013.25</v>
      </c>
      <c r="D280">
        <f t="shared" si="8"/>
        <v>2286626.5</v>
      </c>
      <c r="E280">
        <f t="shared" si="9"/>
        <v>2.9952880125949677</v>
      </c>
    </row>
    <row r="281" spans="1:5" x14ac:dyDescent="0.35">
      <c r="A281" t="s">
        <v>312</v>
      </c>
      <c r="B281">
        <f>IF(Final_Payroll!B281="Sales",Earnings!B281*3,
IF(Final_Payroll!B281="IT",Earnings!B281*2,
IF(Final_Payroll!B281="Finance",Earnings!B281*1.5,
IF(Final_Payroll!B281="HR",Earnings!B281*1.2,
Earnings!B281*1.3))))</f>
        <v>1232650.8</v>
      </c>
      <c r="C281">
        <f>Earnings!B281 + Deductions!B281 + Deductions!C281 + Overtime!D281</f>
        <v>1029009</v>
      </c>
      <c r="D281">
        <f t="shared" si="8"/>
        <v>203641.80000000005</v>
      </c>
      <c r="E281">
        <f t="shared" si="9"/>
        <v>1.1979008929951049</v>
      </c>
    </row>
    <row r="282" spans="1:5" x14ac:dyDescent="0.35">
      <c r="A282" t="s">
        <v>313</v>
      </c>
      <c r="B282">
        <f>IF(Final_Payroll!B282="Sales",Earnings!B282*3,
IF(Final_Payroll!B282="IT",Earnings!B282*2,
IF(Final_Payroll!B282="Finance",Earnings!B282*1.5,
IF(Final_Payroll!B282="HR",Earnings!B282*1.2,
Earnings!B282*1.3))))</f>
        <v>775870.79999999993</v>
      </c>
      <c r="C282">
        <f>Earnings!B282 + Deductions!B282 + Deductions!C282 + Overtime!D282</f>
        <v>648359</v>
      </c>
      <c r="D282">
        <f t="shared" si="8"/>
        <v>127511.79999999993</v>
      </c>
      <c r="E282">
        <f t="shared" si="9"/>
        <v>1.1966685123519532</v>
      </c>
    </row>
    <row r="283" spans="1:5" x14ac:dyDescent="0.35">
      <c r="A283" t="s">
        <v>314</v>
      </c>
      <c r="B283">
        <f>IF(Final_Payroll!B283="Sales",Earnings!B283*3,
IF(Final_Payroll!B283="IT",Earnings!B283*2,
IF(Final_Payroll!B283="Finance",Earnings!B283*1.5,
IF(Final_Payroll!B283="HR",Earnings!B283*1.2,
Earnings!B283*1.3))))</f>
        <v>2974081.4</v>
      </c>
      <c r="C283">
        <f>Earnings!B283 + Deductions!B283 + Deductions!C283 + Overtime!D283</f>
        <v>1488840.7</v>
      </c>
      <c r="D283">
        <f t="shared" si="8"/>
        <v>1485240.7</v>
      </c>
      <c r="E283">
        <f t="shared" si="9"/>
        <v>1.9975820112924103</v>
      </c>
    </row>
    <row r="284" spans="1:5" x14ac:dyDescent="0.35">
      <c r="A284" t="s">
        <v>315</v>
      </c>
      <c r="B284">
        <f>IF(Final_Payroll!B284="Sales",Earnings!B284*3,
IF(Final_Payroll!B284="IT",Earnings!B284*2,
IF(Final_Payroll!B284="Finance",Earnings!B284*1.5,
IF(Final_Payroll!B284="HR",Earnings!B284*1.2,
Earnings!B284*1.3))))</f>
        <v>1298984.3999999999</v>
      </c>
      <c r="C284">
        <f>Earnings!B284 + Deductions!B284 + Deductions!C284 + Overtime!D284</f>
        <v>867789.6</v>
      </c>
      <c r="D284">
        <f t="shared" si="8"/>
        <v>431194.79999999993</v>
      </c>
      <c r="E284">
        <f t="shared" si="9"/>
        <v>1.4968886467410993</v>
      </c>
    </row>
    <row r="285" spans="1:5" x14ac:dyDescent="0.35">
      <c r="A285" t="s">
        <v>316</v>
      </c>
      <c r="B285">
        <f>IF(Final_Payroll!B285="Sales",Earnings!B285*3,
IF(Final_Payroll!B285="IT",Earnings!B285*2,
IF(Final_Payroll!B285="Finance",Earnings!B285*1.5,
IF(Final_Payroll!B285="HR",Earnings!B285*1.2,
Earnings!B285*1.3))))</f>
        <v>1988690</v>
      </c>
      <c r="C285">
        <f>Earnings!B285 + Deductions!B285 + Deductions!C285 + Overtime!D285</f>
        <v>996145</v>
      </c>
      <c r="D285">
        <f t="shared" si="8"/>
        <v>992545</v>
      </c>
      <c r="E285">
        <f t="shared" si="9"/>
        <v>1.9963860682932706</v>
      </c>
    </row>
    <row r="286" spans="1:5" x14ac:dyDescent="0.35">
      <c r="A286" t="s">
        <v>317</v>
      </c>
      <c r="B286">
        <f>IF(Final_Payroll!B286="Sales",Earnings!B286*3,
IF(Final_Payroll!B286="IT",Earnings!B286*2,
IF(Final_Payroll!B286="Finance",Earnings!B286*1.5,
IF(Final_Payroll!B286="HR",Earnings!B286*1.2,
Earnings!B286*1.3))))</f>
        <v>1703821.2</v>
      </c>
      <c r="C286">
        <f>Earnings!B286 + Deductions!B286 + Deductions!C286 + Overtime!D286</f>
        <v>853710.6</v>
      </c>
      <c r="D286">
        <f t="shared" si="8"/>
        <v>850110.6</v>
      </c>
      <c r="E286">
        <f t="shared" si="9"/>
        <v>1.9957831143246905</v>
      </c>
    </row>
    <row r="287" spans="1:5" x14ac:dyDescent="0.35">
      <c r="A287" t="s">
        <v>318</v>
      </c>
      <c r="B287">
        <f>IF(Final_Payroll!B287="Sales",Earnings!B287*3,
IF(Final_Payroll!B287="IT",Earnings!B287*2,
IF(Final_Payroll!B287="Finance",Earnings!B287*1.5,
IF(Final_Payroll!B287="HR",Earnings!B287*1.2,
Earnings!B287*1.3))))</f>
        <v>2123417.2000000002</v>
      </c>
      <c r="C287">
        <f>Earnings!B287 + Deductions!B287 + Deductions!C287 + Overtime!D287</f>
        <v>1111285.4870000002</v>
      </c>
      <c r="D287">
        <f t="shared" si="8"/>
        <v>1012131.713</v>
      </c>
      <c r="E287">
        <f t="shared" si="9"/>
        <v>1.9107756061246932</v>
      </c>
    </row>
    <row r="288" spans="1:5" x14ac:dyDescent="0.35">
      <c r="A288" t="s">
        <v>319</v>
      </c>
      <c r="B288">
        <f>IF(Final_Payroll!B288="Sales",Earnings!B288*3,
IF(Final_Payroll!B288="IT",Earnings!B288*2,
IF(Final_Payroll!B288="Finance",Earnings!B288*1.5,
IF(Final_Payroll!B288="HR",Earnings!B288*1.2,
Earnings!B288*1.3))))</f>
        <v>1300774.2</v>
      </c>
      <c r="C288">
        <f>Earnings!B288 + Deductions!B288 + Deductions!C288 + Overtime!D288</f>
        <v>694462.26150000002</v>
      </c>
      <c r="D288">
        <f t="shared" si="8"/>
        <v>606311.93849999993</v>
      </c>
      <c r="E288">
        <f t="shared" si="9"/>
        <v>1.8730667915494785</v>
      </c>
    </row>
    <row r="289" spans="1:5" x14ac:dyDescent="0.35">
      <c r="A289" t="s">
        <v>320</v>
      </c>
      <c r="B289">
        <f>IF(Final_Payroll!B289="Sales",Earnings!B289*3,
IF(Final_Payroll!B289="IT",Earnings!B289*2,
IF(Final_Payroll!B289="Finance",Earnings!B289*1.5,
IF(Final_Payroll!B289="HR",Earnings!B289*1.2,
Earnings!B289*1.3))))</f>
        <v>697234.20000000007</v>
      </c>
      <c r="C289">
        <f>Earnings!B289 + Deductions!B289 + Deductions!C289 + Overtime!D289</f>
        <v>613220.76</v>
      </c>
      <c r="D289">
        <f t="shared" si="8"/>
        <v>84013.440000000061</v>
      </c>
      <c r="E289">
        <f t="shared" si="9"/>
        <v>1.1370035808963808</v>
      </c>
    </row>
    <row r="290" spans="1:5" x14ac:dyDescent="0.35">
      <c r="A290" t="s">
        <v>321</v>
      </c>
      <c r="B290">
        <f>IF(Final_Payroll!B290="Sales",Earnings!B290*3,
IF(Final_Payroll!B290="IT",Earnings!B290*2,
IF(Final_Payroll!B290="Finance",Earnings!B290*1.5,
IF(Final_Payroll!B290="HR",Earnings!B290*1.2,
Earnings!B290*1.3))))</f>
        <v>1084618.8</v>
      </c>
      <c r="C290">
        <f>Earnings!B290 + Deductions!B290 + Deductions!C290 + Overtime!D290</f>
        <v>905649</v>
      </c>
      <c r="D290">
        <f t="shared" si="8"/>
        <v>178969.80000000005</v>
      </c>
      <c r="E290">
        <f t="shared" si="9"/>
        <v>1.1976149700380612</v>
      </c>
    </row>
    <row r="291" spans="1:5" x14ac:dyDescent="0.35">
      <c r="A291" t="s">
        <v>322</v>
      </c>
      <c r="B291">
        <f>IF(Final_Payroll!B291="Sales",Earnings!B291*3,
IF(Final_Payroll!B291="IT",Earnings!B291*2,
IF(Final_Payroll!B291="Finance",Earnings!B291*1.5,
IF(Final_Payroll!B291="HR",Earnings!B291*1.2,
Earnings!B291*1.3))))</f>
        <v>1261561.5</v>
      </c>
      <c r="C291">
        <f>Earnings!B291 + Deductions!B291 + Deductions!C291 + Overtime!D291</f>
        <v>842841</v>
      </c>
      <c r="D291">
        <f t="shared" si="8"/>
        <v>418720.5</v>
      </c>
      <c r="E291">
        <f t="shared" si="9"/>
        <v>1.496796548815257</v>
      </c>
    </row>
    <row r="292" spans="1:5" x14ac:dyDescent="0.35">
      <c r="A292" t="s">
        <v>323</v>
      </c>
      <c r="B292">
        <f>IF(Final_Payroll!B292="Sales",Earnings!B292*3,
IF(Final_Payroll!B292="IT",Earnings!B292*2,
IF(Final_Payroll!B292="Finance",Earnings!B292*1.5,
IF(Final_Payroll!B292="HR",Earnings!B292*1.2,
Earnings!B292*1.3))))</f>
        <v>2356010</v>
      </c>
      <c r="C292">
        <f>Earnings!B292 + Deductions!B292 + Deductions!C292 + Overtime!D292</f>
        <v>1179805</v>
      </c>
      <c r="D292">
        <f t="shared" si="8"/>
        <v>1176205</v>
      </c>
      <c r="E292">
        <f t="shared" si="9"/>
        <v>1.9969486482935739</v>
      </c>
    </row>
    <row r="293" spans="1:5" x14ac:dyDescent="0.35">
      <c r="A293" t="s">
        <v>324</v>
      </c>
      <c r="B293">
        <f>IF(Final_Payroll!B293="Sales",Earnings!B293*3,
IF(Final_Payroll!B293="IT",Earnings!B293*2,
IF(Final_Payroll!B293="Finance",Earnings!B293*1.5,
IF(Final_Payroll!B293="HR",Earnings!B293*1.2,
Earnings!B293*1.3))))</f>
        <v>2488932</v>
      </c>
      <c r="C293">
        <f>Earnings!B293 + Deductions!B293 + Deductions!C293 + Overtime!D293</f>
        <v>1246266</v>
      </c>
      <c r="D293">
        <f t="shared" si="8"/>
        <v>1242666</v>
      </c>
      <c r="E293">
        <f t="shared" si="9"/>
        <v>1.9971113710877133</v>
      </c>
    </row>
    <row r="294" spans="1:5" x14ac:dyDescent="0.35">
      <c r="A294" t="s">
        <v>325</v>
      </c>
      <c r="B294">
        <f>IF(Final_Payroll!B294="Sales",Earnings!B294*3,
IF(Final_Payroll!B294="IT",Earnings!B294*2,
IF(Final_Payroll!B294="Finance",Earnings!B294*1.5,
IF(Final_Payroll!B294="HR",Earnings!B294*1.2,
Earnings!B294*1.3))))</f>
        <v>956843.03999999992</v>
      </c>
      <c r="C294">
        <f>Earnings!B294 + Deductions!B294 + Deductions!C294 + Overtime!D294</f>
        <v>799169.2</v>
      </c>
      <c r="D294">
        <f t="shared" si="8"/>
        <v>157673.83999999997</v>
      </c>
      <c r="E294">
        <f t="shared" si="9"/>
        <v>1.1972971931350707</v>
      </c>
    </row>
    <row r="295" spans="1:5" x14ac:dyDescent="0.35">
      <c r="A295" t="s">
        <v>326</v>
      </c>
      <c r="B295">
        <f>IF(Final_Payroll!B295="Sales",Earnings!B295*3,
IF(Final_Payroll!B295="IT",Earnings!B295*2,
IF(Final_Payroll!B295="Finance",Earnings!B295*1.5,
IF(Final_Payroll!B295="HR",Earnings!B295*1.2,
Earnings!B295*1.3))))</f>
        <v>945038.33999999985</v>
      </c>
      <c r="C295">
        <f>Earnings!B295 + Deductions!B295 + Deductions!C295 + Overtime!D295</f>
        <v>852334.50599999994</v>
      </c>
      <c r="D295">
        <f t="shared" si="8"/>
        <v>92703.833999999915</v>
      </c>
      <c r="E295">
        <f t="shared" si="9"/>
        <v>1.1087646145350356</v>
      </c>
    </row>
    <row r="296" spans="1:5" x14ac:dyDescent="0.35">
      <c r="A296" t="s">
        <v>327</v>
      </c>
      <c r="B296">
        <f>IF(Final_Payroll!B296="Sales",Earnings!B296*3,
IF(Final_Payroll!B296="IT",Earnings!B296*2,
IF(Final_Payroll!B296="Finance",Earnings!B296*1.5,
IF(Final_Payroll!B296="HR",Earnings!B296*1.2,
Earnings!B296*1.3))))</f>
        <v>2222718</v>
      </c>
      <c r="C296">
        <f>Earnings!B296 + Deductions!B296 + Deductions!C296 + Overtime!D296</f>
        <v>1113159</v>
      </c>
      <c r="D296">
        <f t="shared" si="8"/>
        <v>1109559</v>
      </c>
      <c r="E296">
        <f t="shared" si="9"/>
        <v>1.9967659606579113</v>
      </c>
    </row>
    <row r="297" spans="1:5" x14ac:dyDescent="0.35">
      <c r="A297" t="s">
        <v>328</v>
      </c>
      <c r="B297">
        <f>IF(Final_Payroll!B297="Sales",Earnings!B297*3,
IF(Final_Payroll!B297="IT",Earnings!B297*2,
IF(Final_Payroll!B297="Finance",Earnings!B297*1.5,
IF(Final_Payroll!B297="HR",Earnings!B297*1.2,
Earnings!B297*1.3))))</f>
        <v>1401339.2999999998</v>
      </c>
      <c r="C297">
        <f>Earnings!B297 + Deductions!B297 + Deductions!C297 + Overtime!D297</f>
        <v>936026.2</v>
      </c>
      <c r="D297">
        <f t="shared" si="8"/>
        <v>465313.09999999986</v>
      </c>
      <c r="E297">
        <f t="shared" si="9"/>
        <v>1.4971154653577003</v>
      </c>
    </row>
    <row r="298" spans="1:5" x14ac:dyDescent="0.35">
      <c r="A298" t="s">
        <v>329</v>
      </c>
      <c r="B298">
        <f>IF(Final_Payroll!B298="Sales",Earnings!B298*3,
IF(Final_Payroll!B298="IT",Earnings!B298*2,
IF(Final_Payroll!B298="Finance",Earnings!B298*1.5,
IF(Final_Payroll!B298="HR",Earnings!B298*1.2,
Earnings!B298*1.3))))</f>
        <v>832690.79999999993</v>
      </c>
      <c r="C298">
        <f>Earnings!B298 + Deductions!B298 + Deductions!C298 + Overtime!D298</f>
        <v>792856.26</v>
      </c>
      <c r="D298">
        <f t="shared" si="8"/>
        <v>39834.539999999921</v>
      </c>
      <c r="E298">
        <f t="shared" si="9"/>
        <v>1.0502418181071054</v>
      </c>
    </row>
    <row r="299" spans="1:5" x14ac:dyDescent="0.35">
      <c r="A299" t="s">
        <v>330</v>
      </c>
      <c r="B299">
        <f>IF(Final_Payroll!B299="Sales",Earnings!B299*3,
IF(Final_Payroll!B299="IT",Earnings!B299*2,
IF(Final_Payroll!B299="Finance",Earnings!B299*1.5,
IF(Final_Payroll!B299="HR",Earnings!B299*1.2,
Earnings!B299*1.3))))</f>
        <v>638493.76500000001</v>
      </c>
      <c r="C299">
        <f>Earnings!B299 + Deductions!B299 + Deductions!C299 + Overtime!D299</f>
        <v>492949.05</v>
      </c>
      <c r="D299">
        <f t="shared" si="8"/>
        <v>145544.71500000003</v>
      </c>
      <c r="E299">
        <f t="shared" si="9"/>
        <v>1.2952530591143243</v>
      </c>
    </row>
    <row r="300" spans="1:5" x14ac:dyDescent="0.35">
      <c r="A300" t="s">
        <v>331</v>
      </c>
      <c r="B300">
        <f>IF(Final_Payroll!B300="Sales",Earnings!B300*3,
IF(Final_Payroll!B300="IT",Earnings!B300*2,
IF(Final_Payroll!B300="Finance",Earnings!B300*1.5,
IF(Final_Payroll!B300="HR",Earnings!B300*1.2,
Earnings!B300*1.3))))</f>
        <v>1207195.6000000001</v>
      </c>
      <c r="C300">
        <f>Earnings!B300 + Deductions!B300 + Deductions!C300 + Overtime!D300</f>
        <v>1018630.14</v>
      </c>
      <c r="D300">
        <f t="shared" si="8"/>
        <v>188565.46000000008</v>
      </c>
      <c r="E300">
        <f t="shared" si="9"/>
        <v>1.1851167097804509</v>
      </c>
    </row>
    <row r="301" spans="1:5" x14ac:dyDescent="0.35">
      <c r="A301" t="s">
        <v>332</v>
      </c>
      <c r="B301">
        <f>IF(Final_Payroll!B301="Sales",Earnings!B301*3,
IF(Final_Payroll!B301="IT",Earnings!B301*2,
IF(Final_Payroll!B301="Finance",Earnings!B301*1.5,
IF(Final_Payroll!B301="HR",Earnings!B301*1.2,
Earnings!B301*1.3))))</f>
        <v>1868205</v>
      </c>
      <c r="C301">
        <f>Earnings!B301 + Deductions!B301 + Deductions!C301 + Overtime!D301</f>
        <v>1247270</v>
      </c>
      <c r="D301">
        <f t="shared" si="8"/>
        <v>620935</v>
      </c>
      <c r="E301">
        <f t="shared" si="9"/>
        <v>1.4978352722345603</v>
      </c>
    </row>
    <row r="302" spans="1:5" x14ac:dyDescent="0.35">
      <c r="A302" t="s">
        <v>333</v>
      </c>
      <c r="B302">
        <f>IF(Final_Payroll!B302="Sales",Earnings!B302*3,
IF(Final_Payroll!B302="IT",Earnings!B302*2,
IF(Final_Payroll!B302="Finance",Earnings!B302*1.5,
IF(Final_Payroll!B302="HR",Earnings!B302*1.2,
Earnings!B302*1.3))))</f>
        <v>801117.20000000007</v>
      </c>
      <c r="C302">
        <f>Earnings!B302 + Deductions!B302 + Deductions!C302 + Overtime!D302</f>
        <v>618044</v>
      </c>
      <c r="D302">
        <f t="shared" si="8"/>
        <v>183073.20000000007</v>
      </c>
      <c r="E302">
        <f t="shared" si="9"/>
        <v>1.2962138617962475</v>
      </c>
    </row>
    <row r="303" spans="1:5" x14ac:dyDescent="0.35">
      <c r="A303" t="s">
        <v>334</v>
      </c>
      <c r="B303">
        <f>IF(Final_Payroll!B303="Sales",Earnings!B303*3,
IF(Final_Payroll!B303="IT",Earnings!B303*2,
IF(Final_Payroll!B303="Finance",Earnings!B303*1.5,
IF(Final_Payroll!B303="HR",Earnings!B303*1.2,
Earnings!B303*1.3))))</f>
        <v>3339324</v>
      </c>
      <c r="C303">
        <f>Earnings!B303 + Deductions!B303 + Deductions!C303 + Overtime!D303</f>
        <v>1176128.94</v>
      </c>
      <c r="D303">
        <f t="shared" si="8"/>
        <v>2163195.06</v>
      </c>
      <c r="E303">
        <f t="shared" si="9"/>
        <v>2.8392499210163131</v>
      </c>
    </row>
    <row r="304" spans="1:5" x14ac:dyDescent="0.35">
      <c r="A304" t="s">
        <v>335</v>
      </c>
      <c r="B304">
        <f>IF(Final_Payroll!B304="Sales",Earnings!B304*3,
IF(Final_Payroll!B304="IT",Earnings!B304*2,
IF(Final_Payroll!B304="Finance",Earnings!B304*1.5,
IF(Final_Payroll!B304="HR",Earnings!B304*1.2,
Earnings!B304*1.3))))</f>
        <v>1250803.7249999999</v>
      </c>
      <c r="C304">
        <f>Earnings!B304 + Deductions!B304 + Deductions!C304 + Overtime!D304</f>
        <v>835669.14999999991</v>
      </c>
      <c r="D304">
        <f t="shared" si="8"/>
        <v>415134.57499999995</v>
      </c>
      <c r="E304">
        <f t="shared" si="9"/>
        <v>1.4967690562706544</v>
      </c>
    </row>
    <row r="305" spans="1:5" x14ac:dyDescent="0.35">
      <c r="A305" t="s">
        <v>336</v>
      </c>
      <c r="B305">
        <f>IF(Final_Payroll!B305="Sales",Earnings!B305*3,
IF(Final_Payroll!B305="IT",Earnings!B305*2,
IF(Final_Payroll!B305="Finance",Earnings!B305*1.5,
IF(Final_Payroll!B305="HR",Earnings!B305*1.2,
Earnings!B305*1.3))))</f>
        <v>2163100.6</v>
      </c>
      <c r="C305">
        <f>Earnings!B305 + Deductions!B305 + Deductions!C305 + Overtime!D305</f>
        <v>1142835.5665</v>
      </c>
      <c r="D305">
        <f t="shared" si="8"/>
        <v>1020265.0335000001</v>
      </c>
      <c r="E305">
        <f t="shared" si="9"/>
        <v>1.8927487587953014</v>
      </c>
    </row>
    <row r="306" spans="1:5" x14ac:dyDescent="0.35">
      <c r="A306" t="s">
        <v>337</v>
      </c>
      <c r="B306">
        <f>IF(Final_Payroll!B306="Sales",Earnings!B306*3,
IF(Final_Payroll!B306="IT",Earnings!B306*2,
IF(Final_Payroll!B306="Finance",Earnings!B306*1.5,
IF(Final_Payroll!B306="HR",Earnings!B306*1.2,
Earnings!B306*1.3))))</f>
        <v>752541.35999999987</v>
      </c>
      <c r="C306">
        <f>Earnings!B306 + Deductions!B306 + Deductions!C306 + Overtime!D306</f>
        <v>628917.79999999993</v>
      </c>
      <c r="D306">
        <f t="shared" si="8"/>
        <v>123623.55999999994</v>
      </c>
      <c r="E306">
        <f t="shared" si="9"/>
        <v>1.1965655289133175</v>
      </c>
    </row>
    <row r="307" spans="1:5" x14ac:dyDescent="0.35">
      <c r="A307" t="s">
        <v>338</v>
      </c>
      <c r="B307">
        <f>IF(Final_Payroll!B307="Sales",Earnings!B307*3,
IF(Final_Payroll!B307="IT",Earnings!B307*2,
IF(Final_Payroll!B307="Finance",Earnings!B307*1.5,
IF(Final_Payroll!B307="HR",Earnings!B307*1.2,
Earnings!B307*1.3))))</f>
        <v>1573798.5</v>
      </c>
      <c r="C307">
        <f>Earnings!B307 + Deductions!B307 + Deductions!C307 + Overtime!D307</f>
        <v>1050999</v>
      </c>
      <c r="D307">
        <f t="shared" si="8"/>
        <v>522799.5</v>
      </c>
      <c r="E307">
        <f t="shared" si="9"/>
        <v>1.4974310156336972</v>
      </c>
    </row>
    <row r="308" spans="1:5" x14ac:dyDescent="0.35">
      <c r="A308" t="s">
        <v>339</v>
      </c>
      <c r="B308">
        <f>IF(Final_Payroll!B308="Sales",Earnings!B308*3,
IF(Final_Payroll!B308="IT",Earnings!B308*2,
IF(Final_Payroll!B308="Finance",Earnings!B308*1.5,
IF(Final_Payroll!B308="HR",Earnings!B308*1.2,
Earnings!B308*1.3))))</f>
        <v>569556</v>
      </c>
      <c r="C308">
        <f>Earnings!B308 + Deductions!B308 + Deductions!C308 + Overtime!D308</f>
        <v>476430</v>
      </c>
      <c r="D308">
        <f t="shared" si="8"/>
        <v>93126</v>
      </c>
      <c r="E308">
        <f t="shared" si="9"/>
        <v>1.1954662804609282</v>
      </c>
    </row>
    <row r="309" spans="1:5" x14ac:dyDescent="0.35">
      <c r="A309" t="s">
        <v>340</v>
      </c>
      <c r="B309">
        <f>IF(Final_Payroll!B309="Sales",Earnings!B309*3,
IF(Final_Payroll!B309="IT",Earnings!B309*2,
IF(Final_Payroll!B309="Finance",Earnings!B309*1.5,
IF(Final_Payroll!B309="HR",Earnings!B309*1.2,
Earnings!B309*1.3))))</f>
        <v>948111.97000000009</v>
      </c>
      <c r="C309">
        <f>Earnings!B309 + Deductions!B309 + Deductions!C309 + Overtime!D309</f>
        <v>731116.9</v>
      </c>
      <c r="D309">
        <f t="shared" si="8"/>
        <v>216995.07000000007</v>
      </c>
      <c r="E309">
        <f t="shared" si="9"/>
        <v>1.2967994174392632</v>
      </c>
    </row>
    <row r="310" spans="1:5" x14ac:dyDescent="0.35">
      <c r="A310" t="s">
        <v>341</v>
      </c>
      <c r="B310">
        <f>IF(Final_Payroll!B310="Sales",Earnings!B310*3,
IF(Final_Payroll!B310="IT",Earnings!B310*2,
IF(Final_Payroll!B310="Finance",Earnings!B310*1.5,
IF(Final_Payroll!B310="HR",Earnings!B310*1.2,
Earnings!B310*1.3))))</f>
        <v>1042834.3799999999</v>
      </c>
      <c r="C310">
        <f>Earnings!B310 + Deductions!B310 + Deductions!C310 + Overtime!D310</f>
        <v>870828.64999999991</v>
      </c>
      <c r="D310">
        <f t="shared" si="8"/>
        <v>172005.72999999998</v>
      </c>
      <c r="E310">
        <f t="shared" si="9"/>
        <v>1.1975196038853337</v>
      </c>
    </row>
    <row r="311" spans="1:5" x14ac:dyDescent="0.35">
      <c r="A311" t="s">
        <v>342</v>
      </c>
      <c r="B311">
        <f>IF(Final_Payroll!B311="Sales",Earnings!B311*3,
IF(Final_Payroll!B311="IT",Earnings!B311*2,
IF(Final_Payroll!B311="Finance",Earnings!B311*1.5,
IF(Final_Payroll!B311="HR",Earnings!B311*1.2,
Earnings!B311*1.3))))</f>
        <v>1598274.2999999998</v>
      </c>
      <c r="C311">
        <f>Earnings!B311 + Deductions!B311 + Deductions!C311 + Overtime!D311</f>
        <v>920807.72249999992</v>
      </c>
      <c r="D311">
        <f t="shared" si="8"/>
        <v>677466.5774999999</v>
      </c>
      <c r="E311">
        <f t="shared" si="9"/>
        <v>1.7357307730442062</v>
      </c>
    </row>
    <row r="312" spans="1:5" x14ac:dyDescent="0.35">
      <c r="A312" t="s">
        <v>343</v>
      </c>
      <c r="B312">
        <f>IF(Final_Payroll!B312="Sales",Earnings!B312*3,
IF(Final_Payroll!B312="IT",Earnings!B312*2,
IF(Final_Payroll!B312="Finance",Earnings!B312*1.5,
IF(Final_Payroll!B312="HR",Earnings!B312*1.2,
Earnings!B312*1.3))))</f>
        <v>2191705.1</v>
      </c>
      <c r="C312">
        <f>Earnings!B312 + Deductions!B312 + Deductions!C312 + Overtime!D312</f>
        <v>1097652.55</v>
      </c>
      <c r="D312">
        <f t="shared" si="8"/>
        <v>1094052.55</v>
      </c>
      <c r="E312">
        <f t="shared" si="9"/>
        <v>1.9967202736421465</v>
      </c>
    </row>
    <row r="313" spans="1:5" x14ac:dyDescent="0.35">
      <c r="A313" t="s">
        <v>344</v>
      </c>
      <c r="B313">
        <f>IF(Final_Payroll!B313="Sales",Earnings!B313*3,
IF(Final_Payroll!B313="IT",Earnings!B313*2,
IF(Final_Payroll!B313="Finance",Earnings!B313*1.5,
IF(Final_Payroll!B313="HR",Earnings!B313*1.2,
Earnings!B313*1.3))))</f>
        <v>735501.78</v>
      </c>
      <c r="C313">
        <f>Earnings!B313 + Deductions!B313 + Deductions!C313 + Overtime!D313</f>
        <v>648428.64825000009</v>
      </c>
      <c r="D313">
        <f t="shared" si="8"/>
        <v>87073.131749999942</v>
      </c>
      <c r="E313">
        <f t="shared" si="9"/>
        <v>1.1342832892793921</v>
      </c>
    </row>
    <row r="314" spans="1:5" x14ac:dyDescent="0.35">
      <c r="A314" t="s">
        <v>345</v>
      </c>
      <c r="B314">
        <f>IF(Final_Payroll!B314="Sales",Earnings!B314*3,
IF(Final_Payroll!B314="IT",Earnings!B314*2,
IF(Final_Payroll!B314="Finance",Earnings!B314*1.5,
IF(Final_Payroll!B314="HR",Earnings!B314*1.2,
Earnings!B314*1.3))))</f>
        <v>1558091.2</v>
      </c>
      <c r="C314">
        <f>Earnings!B314 + Deductions!B314 + Deductions!C314 + Overtime!D314</f>
        <v>780845.6</v>
      </c>
      <c r="D314">
        <f t="shared" si="8"/>
        <v>777245.6</v>
      </c>
      <c r="E314">
        <f t="shared" si="9"/>
        <v>1.9953896135164237</v>
      </c>
    </row>
    <row r="315" spans="1:5" x14ac:dyDescent="0.35">
      <c r="A315" t="s">
        <v>346</v>
      </c>
      <c r="B315">
        <f>IF(Final_Payroll!B315="Sales",Earnings!B315*3,
IF(Final_Payroll!B315="IT",Earnings!B315*2,
IF(Final_Payroll!B315="Finance",Earnings!B315*1.5,
IF(Final_Payroll!B315="HR",Earnings!B315*1.2,
Earnings!B315*1.3))))</f>
        <v>1996183.7</v>
      </c>
      <c r="C315">
        <f>Earnings!B315 + Deductions!B315 + Deductions!C315 + Overtime!D315</f>
        <v>999891.85</v>
      </c>
      <c r="D315">
        <f t="shared" si="8"/>
        <v>996291.85</v>
      </c>
      <c r="E315">
        <f t="shared" si="9"/>
        <v>1.9963996106178883</v>
      </c>
    </row>
    <row r="316" spans="1:5" x14ac:dyDescent="0.35">
      <c r="A316" t="s">
        <v>347</v>
      </c>
      <c r="B316">
        <f>IF(Final_Payroll!B316="Sales",Earnings!B316*3,
IF(Final_Payroll!B316="IT",Earnings!B316*2,
IF(Final_Payroll!B316="Finance",Earnings!B316*1.5,
IF(Final_Payroll!B316="HR",Earnings!B316*1.2,
Earnings!B316*1.3))))</f>
        <v>1011132</v>
      </c>
      <c r="C316">
        <f>Earnings!B316 + Deductions!B316 + Deductions!C316 + Overtime!D316</f>
        <v>733185.48</v>
      </c>
      <c r="D316">
        <f t="shared" si="8"/>
        <v>277946.52</v>
      </c>
      <c r="E316">
        <f t="shared" si="9"/>
        <v>1.3790944141446992</v>
      </c>
    </row>
    <row r="317" spans="1:5" x14ac:dyDescent="0.35">
      <c r="A317" t="s">
        <v>348</v>
      </c>
      <c r="B317">
        <f>IF(Final_Payroll!B317="Sales",Earnings!B317*3,
IF(Final_Payroll!B317="IT",Earnings!B317*2,
IF(Final_Payroll!B317="Finance",Earnings!B317*1.5,
IF(Final_Payroll!B317="HR",Earnings!B317*1.2,
Earnings!B317*1.3))))</f>
        <v>932424.52499999991</v>
      </c>
      <c r="C317">
        <f>Earnings!B317 + Deductions!B317 + Deductions!C317 + Overtime!D317</f>
        <v>623416.35</v>
      </c>
      <c r="D317">
        <f t="shared" si="8"/>
        <v>309008.17499999993</v>
      </c>
      <c r="E317">
        <f t="shared" si="9"/>
        <v>1.495669026004852</v>
      </c>
    </row>
    <row r="318" spans="1:5" x14ac:dyDescent="0.35">
      <c r="A318" t="s">
        <v>349</v>
      </c>
      <c r="B318">
        <f>IF(Final_Payroll!B318="Sales",Earnings!B318*3,
IF(Final_Payroll!B318="IT",Earnings!B318*2,
IF(Final_Payroll!B318="Finance",Earnings!B318*1.5,
IF(Final_Payroll!B318="HR",Earnings!B318*1.2,
Earnings!B318*1.3))))</f>
        <v>1565175.8250000002</v>
      </c>
      <c r="C318">
        <f>Earnings!B318 + Deductions!B318 + Deductions!C318 + Overtime!D318</f>
        <v>1113074.8357500001</v>
      </c>
      <c r="D318">
        <f t="shared" si="8"/>
        <v>452100.9892500001</v>
      </c>
      <c r="E318">
        <f t="shared" si="9"/>
        <v>1.4061730395201777</v>
      </c>
    </row>
    <row r="319" spans="1:5" x14ac:dyDescent="0.35">
      <c r="A319" t="s">
        <v>350</v>
      </c>
      <c r="B319">
        <f>IF(Final_Payroll!B319="Sales",Earnings!B319*3,
IF(Final_Payroll!B319="IT",Earnings!B319*2,
IF(Final_Payroll!B319="Finance",Earnings!B319*1.5,
IF(Final_Payroll!B319="HR",Earnings!B319*1.2,
Earnings!B319*1.3))))</f>
        <v>1045506.5399999999</v>
      </c>
      <c r="C319">
        <f>Earnings!B319 + Deductions!B319 + Deductions!C319 + Overtime!D319</f>
        <v>981962.38124999998</v>
      </c>
      <c r="D319">
        <f t="shared" si="8"/>
        <v>63544.158749999944</v>
      </c>
      <c r="E319">
        <f t="shared" si="9"/>
        <v>1.0647113982809715</v>
      </c>
    </row>
    <row r="320" spans="1:5" x14ac:dyDescent="0.35">
      <c r="A320" t="s">
        <v>351</v>
      </c>
      <c r="B320">
        <f>IF(Final_Payroll!B320="Sales",Earnings!B320*3,
IF(Final_Payroll!B320="IT",Earnings!B320*2,
IF(Final_Payroll!B320="Finance",Earnings!B320*1.5,
IF(Final_Payroll!B320="HR",Earnings!B320*1.2,
Earnings!B320*1.3))))</f>
        <v>1125924</v>
      </c>
      <c r="C320">
        <f>Earnings!B320 + Deductions!B320 + Deductions!C320 + Overtime!D320</f>
        <v>940070</v>
      </c>
      <c r="D320">
        <f t="shared" si="8"/>
        <v>185854</v>
      </c>
      <c r="E320">
        <f t="shared" si="9"/>
        <v>1.1977022987649857</v>
      </c>
    </row>
    <row r="321" spans="1:5" x14ac:dyDescent="0.35">
      <c r="A321" t="s">
        <v>352</v>
      </c>
      <c r="B321">
        <f>IF(Final_Payroll!B321="Sales",Earnings!B321*3,
IF(Final_Payroll!B321="IT",Earnings!B321*2,
IF(Final_Payroll!B321="Finance",Earnings!B321*1.5,
IF(Final_Payroll!B321="HR",Earnings!B321*1.2,
Earnings!B321*1.3))))</f>
        <v>1817036</v>
      </c>
      <c r="C321">
        <f>Earnings!B321 + Deductions!B321 + Deductions!C321 + Overtime!D321</f>
        <v>942116.13</v>
      </c>
      <c r="D321">
        <f t="shared" si="8"/>
        <v>874919.87</v>
      </c>
      <c r="E321">
        <f t="shared" si="9"/>
        <v>1.9286751835997118</v>
      </c>
    </row>
    <row r="322" spans="1:5" x14ac:dyDescent="0.35">
      <c r="A322" t="s">
        <v>353</v>
      </c>
      <c r="B322">
        <f>IF(Final_Payroll!B322="Sales",Earnings!B322*3,
IF(Final_Payroll!B322="IT",Earnings!B322*2,
IF(Final_Payroll!B322="Finance",Earnings!B322*1.5,
IF(Final_Payroll!B322="HR",Earnings!B322*1.2,
Earnings!B322*1.3))))</f>
        <v>781764.12</v>
      </c>
      <c r="C322">
        <f>Earnings!B322 + Deductions!B322 + Deductions!C322 + Overtime!D322</f>
        <v>715159.75949999993</v>
      </c>
      <c r="D322">
        <f t="shared" ref="D322:D385" si="10">B322-C322</f>
        <v>66604.360500000068</v>
      </c>
      <c r="E322">
        <f t="shared" ref="E322:E385" si="11">IF(C322=0,0,B322/C322)</f>
        <v>1.0931321423153983</v>
      </c>
    </row>
    <row r="323" spans="1:5" x14ac:dyDescent="0.35">
      <c r="A323" t="s">
        <v>354</v>
      </c>
      <c r="B323">
        <f>IF(Final_Payroll!B323="Sales",Earnings!B323*3,
IF(Final_Payroll!B323="IT",Earnings!B323*2,
IF(Final_Payroll!B323="Finance",Earnings!B323*1.5,
IF(Final_Payroll!B323="HR",Earnings!B323*1.2,
Earnings!B323*1.3))))</f>
        <v>1142647.6499999999</v>
      </c>
      <c r="C323">
        <f>Earnings!B323 + Deductions!B323 + Deductions!C323 + Overtime!D323</f>
        <v>763565.1</v>
      </c>
      <c r="D323">
        <f t="shared" si="10"/>
        <v>379082.54999999993</v>
      </c>
      <c r="E323">
        <f t="shared" si="11"/>
        <v>1.4964639557255826</v>
      </c>
    </row>
    <row r="324" spans="1:5" x14ac:dyDescent="0.35">
      <c r="A324" t="s">
        <v>355</v>
      </c>
      <c r="B324">
        <f>IF(Final_Payroll!B324="Sales",Earnings!B324*3,
IF(Final_Payroll!B324="IT",Earnings!B324*2,
IF(Final_Payroll!B324="Finance",Earnings!B324*1.5,
IF(Final_Payroll!B324="HR",Earnings!B324*1.2,
Earnings!B324*1.3))))</f>
        <v>2403286</v>
      </c>
      <c r="C324">
        <f>Earnings!B324 + Deductions!B324 + Deductions!C324 + Overtime!D324</f>
        <v>1203443</v>
      </c>
      <c r="D324">
        <f t="shared" si="10"/>
        <v>1199843</v>
      </c>
      <c r="E324">
        <f t="shared" si="11"/>
        <v>1.9970085828743032</v>
      </c>
    </row>
    <row r="325" spans="1:5" x14ac:dyDescent="0.35">
      <c r="A325" t="s">
        <v>356</v>
      </c>
      <c r="B325">
        <f>IF(Final_Payroll!B325="Sales",Earnings!B325*3,
IF(Final_Payroll!B325="IT",Earnings!B325*2,
IF(Final_Payroll!B325="Finance",Earnings!B325*1.5,
IF(Final_Payroll!B325="HR",Earnings!B325*1.2,
Earnings!B325*1.3))))</f>
        <v>1625982</v>
      </c>
      <c r="C325">
        <f>Earnings!B325 + Deductions!B325 + Deductions!C325 + Overtime!D325</f>
        <v>1085788</v>
      </c>
      <c r="D325">
        <f t="shared" si="10"/>
        <v>540194</v>
      </c>
      <c r="E325">
        <f t="shared" si="11"/>
        <v>1.4975133267267644</v>
      </c>
    </row>
    <row r="326" spans="1:5" x14ac:dyDescent="0.35">
      <c r="A326" t="s">
        <v>357</v>
      </c>
      <c r="B326">
        <f>IF(Final_Payroll!B326="Sales",Earnings!B326*3,
IF(Final_Payroll!B326="IT",Earnings!B326*2,
IF(Final_Payroll!B326="Finance",Earnings!B326*1.5,
IF(Final_Payroll!B326="HR",Earnings!B326*1.2,
Earnings!B326*1.3))))</f>
        <v>851511.6</v>
      </c>
      <c r="C326">
        <f>Earnings!B326 + Deductions!B326 + Deductions!C326 + Overtime!D326</f>
        <v>711393</v>
      </c>
      <c r="D326">
        <f t="shared" si="10"/>
        <v>140118.59999999998</v>
      </c>
      <c r="E326">
        <f t="shared" si="11"/>
        <v>1.196963703606867</v>
      </c>
    </row>
    <row r="327" spans="1:5" x14ac:dyDescent="0.35">
      <c r="A327" t="s">
        <v>358</v>
      </c>
      <c r="B327">
        <f>IF(Final_Payroll!B327="Sales",Earnings!B327*3,
IF(Final_Payroll!B327="IT",Earnings!B327*2,
IF(Final_Payroll!B327="Finance",Earnings!B327*1.5,
IF(Final_Payroll!B327="HR",Earnings!B327*1.2,
Earnings!B327*1.3))))</f>
        <v>1464907.125</v>
      </c>
      <c r="C327">
        <f>Earnings!B327 + Deductions!B327 + Deductions!C327 + Overtime!D327</f>
        <v>978404.75</v>
      </c>
      <c r="D327">
        <f t="shared" si="10"/>
        <v>486502.375</v>
      </c>
      <c r="E327">
        <f t="shared" si="11"/>
        <v>1.4972404058749715</v>
      </c>
    </row>
    <row r="328" spans="1:5" x14ac:dyDescent="0.35">
      <c r="A328" t="s">
        <v>359</v>
      </c>
      <c r="B328">
        <f>IF(Final_Payroll!B328="Sales",Earnings!B328*3,
IF(Final_Payroll!B328="IT",Earnings!B328*2,
IF(Final_Payroll!B328="Finance",Earnings!B328*1.5,
IF(Final_Payroll!B328="HR",Earnings!B328*1.2,
Earnings!B328*1.3))))</f>
        <v>2722852.9499999997</v>
      </c>
      <c r="C328">
        <f>Earnings!B328 + Deductions!B328 + Deductions!C328 + Overtime!D328</f>
        <v>1000179.4149999999</v>
      </c>
      <c r="D328">
        <f t="shared" si="10"/>
        <v>1722673.5349999997</v>
      </c>
      <c r="E328">
        <f t="shared" si="11"/>
        <v>2.7223645169701878</v>
      </c>
    </row>
    <row r="329" spans="1:5" x14ac:dyDescent="0.35">
      <c r="A329" t="s">
        <v>360</v>
      </c>
      <c r="B329">
        <f>IF(Final_Payroll!B329="Sales",Earnings!B329*3,
IF(Final_Payroll!B329="IT",Earnings!B329*2,
IF(Final_Payroll!B329="Finance",Earnings!B329*1.5,
IF(Final_Payroll!B329="HR",Earnings!B329*1.2,
Earnings!B329*1.3))))</f>
        <v>974179.11499999999</v>
      </c>
      <c r="C329">
        <f>Earnings!B329 + Deductions!B329 + Deductions!C329 + Overtime!D329</f>
        <v>751168.54999999993</v>
      </c>
      <c r="D329">
        <f t="shared" si="10"/>
        <v>223010.56500000006</v>
      </c>
      <c r="E329">
        <f t="shared" si="11"/>
        <v>1.2968848536057587</v>
      </c>
    </row>
    <row r="330" spans="1:5" x14ac:dyDescent="0.35">
      <c r="A330" t="s">
        <v>361</v>
      </c>
      <c r="B330">
        <f>IF(Final_Payroll!B330="Sales",Earnings!B330*3,
IF(Final_Payroll!B330="IT",Earnings!B330*2,
IF(Final_Payroll!B330="Finance",Earnings!B330*1.5,
IF(Final_Payroll!B330="HR",Earnings!B330*1.2,
Earnings!B330*1.3))))</f>
        <v>1621959.2249999999</v>
      </c>
      <c r="C330">
        <f>Earnings!B330 + Deductions!B330 + Deductions!C330 + Overtime!D330</f>
        <v>1126358.3959999999</v>
      </c>
      <c r="D330">
        <f t="shared" si="10"/>
        <v>495600.82899999991</v>
      </c>
      <c r="E330">
        <f t="shared" si="11"/>
        <v>1.4400027830928512</v>
      </c>
    </row>
    <row r="331" spans="1:5" x14ac:dyDescent="0.35">
      <c r="A331" t="s">
        <v>362</v>
      </c>
      <c r="B331">
        <f>IF(Final_Payroll!B331="Sales",Earnings!B331*3,
IF(Final_Payroll!B331="IT",Earnings!B331*2,
IF(Final_Payroll!B331="Finance",Earnings!B331*1.5,
IF(Final_Payroll!B331="HR",Earnings!B331*1.2,
Earnings!B331*1.3))))</f>
        <v>1874001</v>
      </c>
      <c r="C331">
        <f>Earnings!B331 + Deductions!B331 + Deductions!C331 + Overtime!D331</f>
        <v>1251134</v>
      </c>
      <c r="D331">
        <f t="shared" si="10"/>
        <v>622867</v>
      </c>
      <c r="E331">
        <f t="shared" si="11"/>
        <v>1.4978419577759057</v>
      </c>
    </row>
    <row r="332" spans="1:5" x14ac:dyDescent="0.35">
      <c r="A332" t="s">
        <v>363</v>
      </c>
      <c r="B332">
        <f>IF(Final_Payroll!B332="Sales",Earnings!B332*3,
IF(Final_Payroll!B332="IT",Earnings!B332*2,
IF(Final_Payroll!B332="Finance",Earnings!B332*1.5,
IF(Final_Payroll!B332="HR",Earnings!B332*1.2,
Earnings!B332*1.3))))</f>
        <v>1397138.4</v>
      </c>
      <c r="C332">
        <f>Earnings!B332 + Deductions!B332 + Deductions!C332 + Overtime!D332</f>
        <v>532712.59199999995</v>
      </c>
      <c r="D332">
        <f t="shared" si="10"/>
        <v>864425.80799999996</v>
      </c>
      <c r="E332">
        <f t="shared" si="11"/>
        <v>2.6226870191947707</v>
      </c>
    </row>
    <row r="333" spans="1:5" x14ac:dyDescent="0.35">
      <c r="A333" t="s">
        <v>364</v>
      </c>
      <c r="B333">
        <f>IF(Final_Payroll!B333="Sales",Earnings!B333*3,
IF(Final_Payroll!B333="IT",Earnings!B333*2,
IF(Final_Payroll!B333="Finance",Earnings!B333*1.5,
IF(Final_Payroll!B333="HR",Earnings!B333*1.2,
Earnings!B333*1.3))))</f>
        <v>1779765.15</v>
      </c>
      <c r="C333">
        <f>Earnings!B333 + Deductions!B333 + Deductions!C333 + Overtime!D333</f>
        <v>595055.04999999993</v>
      </c>
      <c r="D333">
        <f t="shared" si="10"/>
        <v>1184710.1000000001</v>
      </c>
      <c r="E333">
        <f t="shared" si="11"/>
        <v>2.9909252093566807</v>
      </c>
    </row>
    <row r="334" spans="1:5" x14ac:dyDescent="0.35">
      <c r="A334" t="s">
        <v>365</v>
      </c>
      <c r="B334">
        <f>IF(Final_Payroll!B334="Sales",Earnings!B334*3,
IF(Final_Payroll!B334="IT",Earnings!B334*2,
IF(Final_Payroll!B334="Finance",Earnings!B334*1.5,
IF(Final_Payroll!B334="HR",Earnings!B334*1.2,
Earnings!B334*1.3))))</f>
        <v>900630.9</v>
      </c>
      <c r="C334">
        <f>Earnings!B334 + Deductions!B334 + Deductions!C334 + Overtime!D334</f>
        <v>694593</v>
      </c>
      <c r="D334">
        <f t="shared" si="10"/>
        <v>206037.90000000002</v>
      </c>
      <c r="E334">
        <f t="shared" si="11"/>
        <v>1.2966311206706662</v>
      </c>
    </row>
    <row r="335" spans="1:5" x14ac:dyDescent="0.35">
      <c r="A335" t="s">
        <v>366</v>
      </c>
      <c r="B335">
        <f>IF(Final_Payroll!B335="Sales",Earnings!B335*3,
IF(Final_Payroll!B335="IT",Earnings!B335*2,
IF(Final_Payroll!B335="Finance",Earnings!B335*1.5,
IF(Final_Payroll!B335="HR",Earnings!B335*1.2,
Earnings!B335*1.3))))</f>
        <v>1076260.8</v>
      </c>
      <c r="C335">
        <f>Earnings!B335 + Deductions!B335 + Deductions!C335 + Overtime!D335</f>
        <v>898684</v>
      </c>
      <c r="D335">
        <f t="shared" si="10"/>
        <v>177576.80000000005</v>
      </c>
      <c r="E335">
        <f t="shared" si="11"/>
        <v>1.1975964855277272</v>
      </c>
    </row>
    <row r="336" spans="1:5" x14ac:dyDescent="0.35">
      <c r="A336" t="s">
        <v>367</v>
      </c>
      <c r="B336">
        <f>IF(Final_Payroll!B336="Sales",Earnings!B336*3,
IF(Final_Payroll!B336="IT",Earnings!B336*2,
IF(Final_Payroll!B336="Finance",Earnings!B336*1.5,
IF(Final_Payroll!B336="HR",Earnings!B336*1.2,
Earnings!B336*1.3))))</f>
        <v>2194100</v>
      </c>
      <c r="C336">
        <f>Earnings!B336 + Deductions!B336 + Deductions!C336 + Overtime!D336</f>
        <v>1181128.75</v>
      </c>
      <c r="D336">
        <f t="shared" si="10"/>
        <v>1012971.25</v>
      </c>
      <c r="E336">
        <f t="shared" si="11"/>
        <v>1.8576298307868639</v>
      </c>
    </row>
    <row r="337" spans="1:5" x14ac:dyDescent="0.35">
      <c r="A337" t="s">
        <v>368</v>
      </c>
      <c r="B337">
        <f>IF(Final_Payroll!B337="Sales",Earnings!B337*3,
IF(Final_Payroll!B337="IT",Earnings!B337*2,
IF(Final_Payroll!B337="Finance",Earnings!B337*1.5,
IF(Final_Payroll!B337="HR",Earnings!B337*1.2,
Earnings!B337*1.3))))</f>
        <v>1651701</v>
      </c>
      <c r="C337">
        <f>Earnings!B337 + Deductions!B337 + Deductions!C337 + Overtime!D337</f>
        <v>552367</v>
      </c>
      <c r="D337">
        <f t="shared" si="10"/>
        <v>1099334</v>
      </c>
      <c r="E337">
        <f t="shared" si="11"/>
        <v>2.9902238910000056</v>
      </c>
    </row>
    <row r="338" spans="1:5" x14ac:dyDescent="0.35">
      <c r="A338" t="s">
        <v>369</v>
      </c>
      <c r="B338">
        <f>IF(Final_Payroll!B338="Sales",Earnings!B338*3,
IF(Final_Payroll!B338="IT",Earnings!B338*2,
IF(Final_Payroll!B338="Finance",Earnings!B338*1.5,
IF(Final_Payroll!B338="HR",Earnings!B338*1.2,
Earnings!B338*1.3))))</f>
        <v>553572.6</v>
      </c>
      <c r="C338">
        <f>Earnings!B338 + Deductions!B338 + Deductions!C338 + Overtime!D338</f>
        <v>532307.07499999995</v>
      </c>
      <c r="D338">
        <f t="shared" si="10"/>
        <v>21265.525000000023</v>
      </c>
      <c r="E338">
        <f t="shared" si="11"/>
        <v>1.0399497320226301</v>
      </c>
    </row>
    <row r="339" spans="1:5" x14ac:dyDescent="0.35">
      <c r="A339" t="s">
        <v>370</v>
      </c>
      <c r="B339">
        <f>IF(Final_Payroll!B339="Sales",Earnings!B339*3,
IF(Final_Payroll!B339="IT",Earnings!B339*2,
IF(Final_Payroll!B339="Finance",Earnings!B339*1.5,
IF(Final_Payroll!B339="HR",Earnings!B339*1.2,
Earnings!B339*1.3))))</f>
        <v>1044886.7000000001</v>
      </c>
      <c r="C339">
        <f>Earnings!B339 + Deductions!B339 + Deductions!C339 + Overtime!D339</f>
        <v>805559</v>
      </c>
      <c r="D339">
        <f t="shared" si="10"/>
        <v>239327.70000000007</v>
      </c>
      <c r="E339">
        <f t="shared" si="11"/>
        <v>1.2970951848343821</v>
      </c>
    </row>
    <row r="340" spans="1:5" x14ac:dyDescent="0.35">
      <c r="A340" t="s">
        <v>371</v>
      </c>
      <c r="B340">
        <f>IF(Final_Payroll!B340="Sales",Earnings!B340*3,
IF(Final_Payroll!B340="IT",Earnings!B340*2,
IF(Final_Payroll!B340="Finance",Earnings!B340*1.5,
IF(Final_Payroll!B340="HR",Earnings!B340*1.2,
Earnings!B340*1.3))))</f>
        <v>2603898.7000000002</v>
      </c>
      <c r="C340">
        <f>Earnings!B340 + Deductions!B340 + Deductions!C340 + Overtime!D340</f>
        <v>1407905.2980000002</v>
      </c>
      <c r="D340">
        <f t="shared" si="10"/>
        <v>1195993.402</v>
      </c>
      <c r="E340">
        <f t="shared" si="11"/>
        <v>1.8494842683658967</v>
      </c>
    </row>
    <row r="341" spans="1:5" x14ac:dyDescent="0.35">
      <c r="A341" t="s">
        <v>372</v>
      </c>
      <c r="B341">
        <f>IF(Final_Payroll!B341="Sales",Earnings!B341*3,
IF(Final_Payroll!B341="IT",Earnings!B341*2,
IF(Final_Payroll!B341="Finance",Earnings!B341*1.5,
IF(Final_Payroll!B341="HR",Earnings!B341*1.2,
Earnings!B341*1.3))))</f>
        <v>993887.24499999988</v>
      </c>
      <c r="C341">
        <f>Earnings!B341 + Deductions!B341 + Deductions!C341 + Overtime!D341</f>
        <v>865717.37449999992</v>
      </c>
      <c r="D341">
        <f t="shared" si="10"/>
        <v>128169.87049999996</v>
      </c>
      <c r="E341">
        <f t="shared" si="11"/>
        <v>1.1480504772981197</v>
      </c>
    </row>
    <row r="342" spans="1:5" x14ac:dyDescent="0.35">
      <c r="A342" t="s">
        <v>373</v>
      </c>
      <c r="B342">
        <f>IF(Final_Payroll!B342="Sales",Earnings!B342*3,
IF(Final_Payroll!B342="IT",Earnings!B342*2,
IF(Final_Payroll!B342="Finance",Earnings!B342*1.5,
IF(Final_Payroll!B342="HR",Earnings!B342*1.2,
Earnings!B342*1.3))))</f>
        <v>1706502</v>
      </c>
      <c r="C342">
        <f>Earnings!B342 + Deductions!B342 + Deductions!C342 + Overtime!D342</f>
        <v>570634</v>
      </c>
      <c r="D342">
        <f t="shared" si="10"/>
        <v>1135868</v>
      </c>
      <c r="E342">
        <f t="shared" si="11"/>
        <v>2.9905368414780753</v>
      </c>
    </row>
    <row r="343" spans="1:5" x14ac:dyDescent="0.35">
      <c r="A343" t="s">
        <v>374</v>
      </c>
      <c r="B343">
        <f>IF(Final_Payroll!B343="Sales",Earnings!B343*3,
IF(Final_Payroll!B343="IT",Earnings!B343*2,
IF(Final_Payroll!B343="Finance",Earnings!B343*1.5,
IF(Final_Payroll!B343="HR",Earnings!B343*1.2,
Earnings!B343*1.3))))</f>
        <v>930736.755</v>
      </c>
      <c r="C343">
        <f>Earnings!B343 + Deductions!B343 + Deductions!C343 + Overtime!D343</f>
        <v>717751.35</v>
      </c>
      <c r="D343">
        <f t="shared" si="10"/>
        <v>212985.40500000003</v>
      </c>
      <c r="E343">
        <f t="shared" si="11"/>
        <v>1.2967398180442293</v>
      </c>
    </row>
    <row r="344" spans="1:5" x14ac:dyDescent="0.35">
      <c r="A344" t="s">
        <v>375</v>
      </c>
      <c r="B344">
        <f>IF(Final_Payroll!B344="Sales",Earnings!B344*3,
IF(Final_Payroll!B344="IT",Earnings!B344*2,
IF(Final_Payroll!B344="Finance",Earnings!B344*1.5,
IF(Final_Payroll!B344="HR",Earnings!B344*1.2,
Earnings!B344*1.3))))</f>
        <v>867973.6</v>
      </c>
      <c r="C344">
        <f>Earnings!B344 + Deductions!B344 + Deductions!C344 + Overtime!D344</f>
        <v>669472</v>
      </c>
      <c r="D344">
        <f t="shared" si="10"/>
        <v>198501.59999999998</v>
      </c>
      <c r="E344">
        <f t="shared" si="11"/>
        <v>1.2965047081879451</v>
      </c>
    </row>
    <row r="345" spans="1:5" x14ac:dyDescent="0.35">
      <c r="A345" t="s">
        <v>376</v>
      </c>
      <c r="B345">
        <f>IF(Final_Payroll!B345="Sales",Earnings!B345*3,
IF(Final_Payroll!B345="IT",Earnings!B345*2,
IF(Final_Payroll!B345="Finance",Earnings!B345*1.5,
IF(Final_Payroll!B345="HR",Earnings!B345*1.2,
Earnings!B345*1.3))))</f>
        <v>1197832.2</v>
      </c>
      <c r="C345">
        <f>Earnings!B345 + Deductions!B345 + Deductions!C345 + Overtime!D345</f>
        <v>896181.37599999993</v>
      </c>
      <c r="D345">
        <f t="shared" si="10"/>
        <v>301650.82400000002</v>
      </c>
      <c r="E345">
        <f t="shared" si="11"/>
        <v>1.3365957294787614</v>
      </c>
    </row>
    <row r="346" spans="1:5" x14ac:dyDescent="0.35">
      <c r="A346" t="s">
        <v>377</v>
      </c>
      <c r="B346">
        <f>IF(Final_Payroll!B346="Sales",Earnings!B346*3,
IF(Final_Payroll!B346="IT",Earnings!B346*2,
IF(Final_Payroll!B346="Finance",Earnings!B346*1.5,
IF(Final_Payroll!B346="HR",Earnings!B346*1.2,
Earnings!B346*1.3))))</f>
        <v>2937643.1999999997</v>
      </c>
      <c r="C346">
        <f>Earnings!B346 + Deductions!B346 + Deductions!C346 + Overtime!D346</f>
        <v>981014.39999999991</v>
      </c>
      <c r="D346">
        <f t="shared" si="10"/>
        <v>1956628.7999999998</v>
      </c>
      <c r="E346">
        <f t="shared" si="11"/>
        <v>2.9944954936441301</v>
      </c>
    </row>
    <row r="347" spans="1:5" x14ac:dyDescent="0.35">
      <c r="A347" t="s">
        <v>378</v>
      </c>
      <c r="B347">
        <f>IF(Final_Payroll!B347="Sales",Earnings!B347*3,
IF(Final_Payroll!B347="IT",Earnings!B347*2,
IF(Final_Payroll!B347="Finance",Earnings!B347*1.5,
IF(Final_Payroll!B347="HR",Earnings!B347*1.2,
Earnings!B347*1.3))))</f>
        <v>937825.20000000007</v>
      </c>
      <c r="C347">
        <f>Earnings!B347 + Deductions!B347 + Deductions!C347 + Overtime!D347</f>
        <v>824200.55999999994</v>
      </c>
      <c r="D347">
        <f t="shared" si="10"/>
        <v>113624.64000000013</v>
      </c>
      <c r="E347">
        <f t="shared" si="11"/>
        <v>1.1378604256226181</v>
      </c>
    </row>
    <row r="348" spans="1:5" x14ac:dyDescent="0.35">
      <c r="A348" t="s">
        <v>379</v>
      </c>
      <c r="B348">
        <f>IF(Final_Payroll!B348="Sales",Earnings!B348*3,
IF(Final_Payroll!B348="IT",Earnings!B348*2,
IF(Final_Payroll!B348="Finance",Earnings!B348*1.5,
IF(Final_Payroll!B348="HR",Earnings!B348*1.2,
Earnings!B348*1.3))))</f>
        <v>732340.79999999993</v>
      </c>
      <c r="C348">
        <f>Earnings!B348 + Deductions!B348 + Deductions!C348 + Overtime!D348</f>
        <v>673112.4</v>
      </c>
      <c r="D348">
        <f t="shared" si="10"/>
        <v>59228.399999999907</v>
      </c>
      <c r="E348">
        <f t="shared" si="11"/>
        <v>1.0879918420757066</v>
      </c>
    </row>
    <row r="349" spans="1:5" x14ac:dyDescent="0.35">
      <c r="A349" t="s">
        <v>380</v>
      </c>
      <c r="B349">
        <f>IF(Final_Payroll!B349="Sales",Earnings!B349*3,
IF(Final_Payroll!B349="IT",Earnings!B349*2,
IF(Final_Payroll!B349="Finance",Earnings!B349*1.5,
IF(Final_Payroll!B349="HR",Earnings!B349*1.2,
Earnings!B349*1.3))))</f>
        <v>2120647.9500000002</v>
      </c>
      <c r="C349">
        <f>Earnings!B349 + Deductions!B349 + Deductions!C349 + Overtime!D349</f>
        <v>726354.71625000006</v>
      </c>
      <c r="D349">
        <f t="shared" si="10"/>
        <v>1394293.2337500001</v>
      </c>
      <c r="E349">
        <f t="shared" si="11"/>
        <v>2.9195762105716212</v>
      </c>
    </row>
    <row r="350" spans="1:5" x14ac:dyDescent="0.35">
      <c r="A350" t="s">
        <v>381</v>
      </c>
      <c r="B350">
        <f>IF(Final_Payroll!B350="Sales",Earnings!B350*3,
IF(Final_Payroll!B350="IT",Earnings!B350*2,
IF(Final_Payroll!B350="Finance",Earnings!B350*1.5,
IF(Final_Payroll!B350="HR",Earnings!B350*1.2,
Earnings!B350*1.3))))</f>
        <v>2281672.9499999997</v>
      </c>
      <c r="C350">
        <f>Earnings!B350 + Deductions!B350 + Deductions!C350 + Overtime!D350</f>
        <v>762357.64999999991</v>
      </c>
      <c r="D350">
        <f t="shared" si="10"/>
        <v>1519315.2999999998</v>
      </c>
      <c r="E350">
        <f t="shared" si="11"/>
        <v>2.9929167104180041</v>
      </c>
    </row>
    <row r="351" spans="1:5" x14ac:dyDescent="0.35">
      <c r="A351" t="s">
        <v>382</v>
      </c>
      <c r="B351">
        <f>IF(Final_Payroll!B351="Sales",Earnings!B351*3,
IF(Final_Payroll!B351="IT",Earnings!B351*2,
IF(Final_Payroll!B351="Finance",Earnings!B351*1.5,
IF(Final_Payroll!B351="HR",Earnings!B351*1.2,
Earnings!B351*1.3))))</f>
        <v>2282249.6</v>
      </c>
      <c r="C351">
        <f>Earnings!B351 + Deductions!B351 + Deductions!C351 + Overtime!D351</f>
        <v>1142924.8</v>
      </c>
      <c r="D351">
        <f t="shared" si="10"/>
        <v>1139324.8</v>
      </c>
      <c r="E351">
        <f t="shared" si="11"/>
        <v>1.996850186468961</v>
      </c>
    </row>
    <row r="352" spans="1:5" x14ac:dyDescent="0.35">
      <c r="A352" t="s">
        <v>383</v>
      </c>
      <c r="B352">
        <f>IF(Final_Payroll!B352="Sales",Earnings!B352*3,
IF(Final_Payroll!B352="IT",Earnings!B352*2,
IF(Final_Payroll!B352="Finance",Earnings!B352*1.5,
IF(Final_Payroll!B352="HR",Earnings!B352*1.2,
Earnings!B352*1.3))))</f>
        <v>1129198.2</v>
      </c>
      <c r="C352">
        <f>Earnings!B352 + Deductions!B352 + Deductions!C352 + Overtime!D352</f>
        <v>870414</v>
      </c>
      <c r="D352">
        <f t="shared" si="10"/>
        <v>258784.19999999995</v>
      </c>
      <c r="E352">
        <f t="shared" si="11"/>
        <v>1.2973116241236928</v>
      </c>
    </row>
    <row r="353" spans="1:5" x14ac:dyDescent="0.35">
      <c r="A353" t="s">
        <v>384</v>
      </c>
      <c r="B353">
        <f>IF(Final_Payroll!B353="Sales",Earnings!B353*3,
IF(Final_Payroll!B353="IT",Earnings!B353*2,
IF(Final_Payroll!B353="Finance",Earnings!B353*1.5,
IF(Final_Payroll!B353="HR",Earnings!B353*1.2,
Earnings!B353*1.3))))</f>
        <v>1237809.3</v>
      </c>
      <c r="C353">
        <f>Earnings!B353 + Deductions!B353 + Deductions!C353 + Overtime!D353</f>
        <v>996808.245</v>
      </c>
      <c r="D353">
        <f t="shared" si="10"/>
        <v>241001.05500000005</v>
      </c>
      <c r="E353">
        <f t="shared" si="11"/>
        <v>1.2417727343336733</v>
      </c>
    </row>
    <row r="354" spans="1:5" x14ac:dyDescent="0.35">
      <c r="A354" t="s">
        <v>385</v>
      </c>
      <c r="B354">
        <f>IF(Final_Payroll!B354="Sales",Earnings!B354*3,
IF(Final_Payroll!B354="IT",Earnings!B354*2,
IF(Final_Payroll!B354="Finance",Earnings!B354*1.5,
IF(Final_Payroll!B354="HR",Earnings!B354*1.2,
Earnings!B354*1.3))))</f>
        <v>2297255.7999999998</v>
      </c>
      <c r="C354">
        <f>Earnings!B354 + Deductions!B354 + Deductions!C354 + Overtime!D354</f>
        <v>1150427.8999999999</v>
      </c>
      <c r="D354">
        <f t="shared" si="10"/>
        <v>1146827.8999999999</v>
      </c>
      <c r="E354">
        <f t="shared" si="11"/>
        <v>1.9968707295780987</v>
      </c>
    </row>
    <row r="355" spans="1:5" x14ac:dyDescent="0.35">
      <c r="A355" t="s">
        <v>386</v>
      </c>
      <c r="B355">
        <f>IF(Final_Payroll!B355="Sales",Earnings!B355*3,
IF(Final_Payroll!B355="IT",Earnings!B355*2,
IF(Final_Payroll!B355="Finance",Earnings!B355*1.5,
IF(Final_Payroll!B355="HR",Earnings!B355*1.2,
Earnings!B355*1.3))))</f>
        <v>2984190</v>
      </c>
      <c r="C355">
        <f>Earnings!B355 + Deductions!B355 + Deductions!C355 + Overtime!D355</f>
        <v>996530</v>
      </c>
      <c r="D355">
        <f t="shared" si="10"/>
        <v>1987660</v>
      </c>
      <c r="E355">
        <f t="shared" si="11"/>
        <v>2.994581196752732</v>
      </c>
    </row>
    <row r="356" spans="1:5" x14ac:dyDescent="0.35">
      <c r="A356" t="s">
        <v>387</v>
      </c>
      <c r="B356">
        <f>IF(Final_Payroll!B356="Sales",Earnings!B356*3,
IF(Final_Payroll!B356="IT",Earnings!B356*2,
IF(Final_Payroll!B356="Finance",Earnings!B356*1.5,
IF(Final_Payroll!B356="HR",Earnings!B356*1.2,
Earnings!B356*1.3))))</f>
        <v>809004.03999999992</v>
      </c>
      <c r="C356">
        <f>Earnings!B356 + Deductions!B356 + Deductions!C356 + Overtime!D356</f>
        <v>624110.79999999993</v>
      </c>
      <c r="D356">
        <f t="shared" si="10"/>
        <v>184893.24</v>
      </c>
      <c r="E356">
        <f t="shared" si="11"/>
        <v>1.2962506657471717</v>
      </c>
    </row>
    <row r="357" spans="1:5" x14ac:dyDescent="0.35">
      <c r="A357" t="s">
        <v>388</v>
      </c>
      <c r="B357">
        <f>IF(Final_Payroll!B357="Sales",Earnings!B357*3,
IF(Final_Payroll!B357="IT",Earnings!B357*2,
IF(Final_Payroll!B357="Finance",Earnings!B357*1.5,
IF(Final_Payroll!B357="HR",Earnings!B357*1.2,
Earnings!B357*1.3))))</f>
        <v>1017682.2749999999</v>
      </c>
      <c r="C357">
        <f>Earnings!B357 + Deductions!B357 + Deductions!C357 + Overtime!D357</f>
        <v>680254.85</v>
      </c>
      <c r="D357">
        <f t="shared" si="10"/>
        <v>337427.42499999993</v>
      </c>
      <c r="E357">
        <f t="shared" si="11"/>
        <v>1.4960308993019307</v>
      </c>
    </row>
    <row r="358" spans="1:5" x14ac:dyDescent="0.35">
      <c r="A358" t="s">
        <v>389</v>
      </c>
      <c r="B358">
        <f>IF(Final_Payroll!B358="Sales",Earnings!B358*3,
IF(Final_Payroll!B358="IT",Earnings!B358*2,
IF(Final_Payroll!B358="Finance",Earnings!B358*1.5,
IF(Final_Payroll!B358="HR",Earnings!B358*1.2,
Earnings!B358*1.3))))</f>
        <v>608325.18500000006</v>
      </c>
      <c r="C358">
        <f>Earnings!B358 + Deductions!B358 + Deductions!C358 + Overtime!D358</f>
        <v>481441.01125000004</v>
      </c>
      <c r="D358">
        <f t="shared" si="10"/>
        <v>126884.17375000002</v>
      </c>
      <c r="E358">
        <f t="shared" si="11"/>
        <v>1.2635508209418251</v>
      </c>
    </row>
    <row r="359" spans="1:5" x14ac:dyDescent="0.35">
      <c r="A359" t="s">
        <v>390</v>
      </c>
      <c r="B359">
        <f>IF(Final_Payroll!B359="Sales",Earnings!B359*3,
IF(Final_Payroll!B359="IT",Earnings!B359*2,
IF(Final_Payroll!B359="Finance",Earnings!B359*1.5,
IF(Final_Payroll!B359="HR",Earnings!B359*1.2,
Earnings!B359*1.3))))</f>
        <v>1095689.4000000001</v>
      </c>
      <c r="C359">
        <f>Earnings!B359 + Deductions!B359 + Deductions!C359 + Overtime!D359</f>
        <v>844638</v>
      </c>
      <c r="D359">
        <f t="shared" si="10"/>
        <v>251051.40000000014</v>
      </c>
      <c r="E359">
        <f t="shared" si="11"/>
        <v>1.2972295823773026</v>
      </c>
    </row>
    <row r="360" spans="1:5" x14ac:dyDescent="0.35">
      <c r="A360" t="s">
        <v>391</v>
      </c>
      <c r="B360">
        <f>IF(Final_Payroll!B360="Sales",Earnings!B360*3,
IF(Final_Payroll!B360="IT",Earnings!B360*2,
IF(Final_Payroll!B360="Finance",Earnings!B360*1.5,
IF(Final_Payroll!B360="HR",Earnings!B360*1.2,
Earnings!B360*1.3))))</f>
        <v>1186014</v>
      </c>
      <c r="C360">
        <f>Earnings!B360 + Deductions!B360 + Deductions!C360 + Overtime!D360</f>
        <v>792476</v>
      </c>
      <c r="D360">
        <f t="shared" si="10"/>
        <v>393538</v>
      </c>
      <c r="E360">
        <f t="shared" si="11"/>
        <v>1.4965929567583118</v>
      </c>
    </row>
    <row r="361" spans="1:5" x14ac:dyDescent="0.35">
      <c r="A361" t="s">
        <v>392</v>
      </c>
      <c r="B361">
        <f>IF(Final_Payroll!B361="Sales",Earnings!B361*3,
IF(Final_Payroll!B361="IT",Earnings!B361*2,
IF(Final_Payroll!B361="Finance",Earnings!B361*1.5,
IF(Final_Payroll!B361="HR",Earnings!B361*1.2,
Earnings!B361*1.3))))</f>
        <v>2610539.2000000002</v>
      </c>
      <c r="C361">
        <f>Earnings!B361 + Deductions!B361 + Deductions!C361 + Overtime!D361</f>
        <v>1307069.6000000001</v>
      </c>
      <c r="D361">
        <f t="shared" si="10"/>
        <v>1303469.6000000001</v>
      </c>
      <c r="E361">
        <f t="shared" si="11"/>
        <v>1.9972457472807874</v>
      </c>
    </row>
    <row r="362" spans="1:5" x14ac:dyDescent="0.35">
      <c r="A362" t="s">
        <v>393</v>
      </c>
      <c r="B362">
        <f>IF(Final_Payroll!B362="Sales",Earnings!B362*3,
IF(Final_Payroll!B362="IT",Earnings!B362*2,
IF(Final_Payroll!B362="Finance",Earnings!B362*1.5,
IF(Final_Payroll!B362="HR",Earnings!B362*1.2,
Earnings!B362*1.3))))</f>
        <v>777615.28</v>
      </c>
      <c r="C362">
        <f>Earnings!B362 + Deductions!B362 + Deductions!C362 + Overtime!D362</f>
        <v>629873.88</v>
      </c>
      <c r="D362">
        <f t="shared" si="10"/>
        <v>147741.40000000002</v>
      </c>
      <c r="E362">
        <f t="shared" si="11"/>
        <v>1.2345571148306707</v>
      </c>
    </row>
    <row r="363" spans="1:5" x14ac:dyDescent="0.35">
      <c r="A363" t="s">
        <v>394</v>
      </c>
      <c r="B363">
        <f>IF(Final_Payroll!B363="Sales",Earnings!B363*3,
IF(Final_Payroll!B363="IT",Earnings!B363*2,
IF(Final_Payroll!B363="Finance",Earnings!B363*1.5,
IF(Final_Payroll!B363="HR",Earnings!B363*1.2,
Earnings!B363*1.3))))</f>
        <v>2261764</v>
      </c>
      <c r="C363">
        <f>Earnings!B363 + Deductions!B363 + Deductions!C363 + Overtime!D363</f>
        <v>1132682</v>
      </c>
      <c r="D363">
        <f t="shared" si="10"/>
        <v>1129082</v>
      </c>
      <c r="E363">
        <f t="shared" si="11"/>
        <v>1.9968217028256827</v>
      </c>
    </row>
    <row r="364" spans="1:5" x14ac:dyDescent="0.35">
      <c r="A364" t="s">
        <v>395</v>
      </c>
      <c r="B364">
        <f>IF(Final_Payroll!B364="Sales",Earnings!B364*3,
IF(Final_Payroll!B364="IT",Earnings!B364*2,
IF(Final_Payroll!B364="Finance",Earnings!B364*1.5,
IF(Final_Payroll!B364="HR",Earnings!B364*1.2,
Earnings!B364*1.3))))</f>
        <v>3002482</v>
      </c>
      <c r="C364">
        <f>Earnings!B364 + Deductions!B364 + Deductions!C364 + Overtime!D364</f>
        <v>1675683.7150000001</v>
      </c>
      <c r="D364">
        <f t="shared" si="10"/>
        <v>1326798.2849999999</v>
      </c>
      <c r="E364">
        <f t="shared" si="11"/>
        <v>1.7917951777671837</v>
      </c>
    </row>
    <row r="365" spans="1:5" x14ac:dyDescent="0.35">
      <c r="A365" t="s">
        <v>396</v>
      </c>
      <c r="B365">
        <f>IF(Final_Payroll!B365="Sales",Earnings!B365*3,
IF(Final_Payroll!B365="IT",Earnings!B365*2,
IF(Final_Payroll!B365="Finance",Earnings!B365*1.5,
IF(Final_Payroll!B365="HR",Earnings!B365*1.2,
Earnings!B365*1.3))))</f>
        <v>2217604</v>
      </c>
      <c r="C365">
        <f>Earnings!B365 + Deductions!B365 + Deductions!C365 + Overtime!D365</f>
        <v>1110602</v>
      </c>
      <c r="D365">
        <f t="shared" si="10"/>
        <v>1107002</v>
      </c>
      <c r="E365">
        <f t="shared" si="11"/>
        <v>1.996758514751459</v>
      </c>
    </row>
    <row r="366" spans="1:5" x14ac:dyDescent="0.35">
      <c r="A366" t="s">
        <v>397</v>
      </c>
      <c r="B366">
        <f>IF(Final_Payroll!B366="Sales",Earnings!B366*3,
IF(Final_Payroll!B366="IT",Earnings!B366*2,
IF(Final_Payroll!B366="Finance",Earnings!B366*1.5,
IF(Final_Payroll!B366="HR",Earnings!B366*1.2,
Earnings!B366*1.3))))</f>
        <v>2771194.65</v>
      </c>
      <c r="C366">
        <f>Earnings!B366 + Deductions!B366 + Deductions!C366 + Overtime!D366</f>
        <v>925531.54999999993</v>
      </c>
      <c r="D366">
        <f t="shared" si="10"/>
        <v>1845663.1</v>
      </c>
      <c r="E366">
        <f t="shared" si="11"/>
        <v>2.994165514941117</v>
      </c>
    </row>
    <row r="367" spans="1:5" x14ac:dyDescent="0.35">
      <c r="A367" t="s">
        <v>398</v>
      </c>
      <c r="B367">
        <f>IF(Final_Payroll!B367="Sales",Earnings!B367*3,
IF(Final_Payroll!B367="IT",Earnings!B367*2,
IF(Final_Payroll!B367="Finance",Earnings!B367*1.5,
IF(Final_Payroll!B367="HR",Earnings!B367*1.2,
Earnings!B367*1.3))))</f>
        <v>1320152.6000000001</v>
      </c>
      <c r="C367">
        <f>Earnings!B367 + Deductions!B367 + Deductions!C367 + Overtime!D367</f>
        <v>1017302</v>
      </c>
      <c r="D367">
        <f t="shared" si="10"/>
        <v>302850.60000000009</v>
      </c>
      <c r="E367">
        <f t="shared" si="11"/>
        <v>1.2976997980933882</v>
      </c>
    </row>
    <row r="368" spans="1:5" x14ac:dyDescent="0.35">
      <c r="A368" t="s">
        <v>399</v>
      </c>
      <c r="B368">
        <f>IF(Final_Payroll!B368="Sales",Earnings!B368*3,
IF(Final_Payroll!B368="IT",Earnings!B368*2,
IF(Final_Payroll!B368="Finance",Earnings!B368*1.5,
IF(Final_Payroll!B368="HR",Earnings!B368*1.2,
Earnings!B368*1.3))))</f>
        <v>1617682.7999999998</v>
      </c>
      <c r="C368">
        <f>Earnings!B368 + Deductions!B368 + Deductions!C368 + Overtime!D368</f>
        <v>927923.40299999993</v>
      </c>
      <c r="D368">
        <f t="shared" si="10"/>
        <v>689759.39699999988</v>
      </c>
      <c r="E368">
        <f t="shared" si="11"/>
        <v>1.7433365671886174</v>
      </c>
    </row>
    <row r="369" spans="1:5" x14ac:dyDescent="0.35">
      <c r="A369" t="s">
        <v>400</v>
      </c>
      <c r="B369">
        <f>IF(Final_Payroll!B369="Sales",Earnings!B369*3,
IF(Final_Payroll!B369="IT",Earnings!B369*2,
IF(Final_Payroll!B369="Finance",Earnings!B369*1.5,
IF(Final_Payroll!B369="HR",Earnings!B369*1.2,
Earnings!B369*1.3))))</f>
        <v>455987.93500000006</v>
      </c>
      <c r="C369">
        <f>Earnings!B369 + Deductions!B369 + Deductions!C369 + Overtime!D369</f>
        <v>352559.95</v>
      </c>
      <c r="D369">
        <f t="shared" si="10"/>
        <v>103427.98500000004</v>
      </c>
      <c r="E369">
        <f t="shared" si="11"/>
        <v>1.293362830917125</v>
      </c>
    </row>
    <row r="370" spans="1:5" x14ac:dyDescent="0.35">
      <c r="A370" t="s">
        <v>401</v>
      </c>
      <c r="B370">
        <f>IF(Final_Payroll!B370="Sales",Earnings!B370*3,
IF(Final_Payroll!B370="IT",Earnings!B370*2,
IF(Final_Payroll!B370="Finance",Earnings!B370*1.5,
IF(Final_Payroll!B370="HR",Earnings!B370*1.2,
Earnings!B370*1.3))))</f>
        <v>926568.63</v>
      </c>
      <c r="C370">
        <f>Earnings!B370 + Deductions!B370 + Deductions!C370 + Overtime!D370</f>
        <v>714545.1</v>
      </c>
      <c r="D370">
        <f t="shared" si="10"/>
        <v>212023.53000000003</v>
      </c>
      <c r="E370">
        <f t="shared" si="11"/>
        <v>1.2967251892147886</v>
      </c>
    </row>
    <row r="371" spans="1:5" x14ac:dyDescent="0.35">
      <c r="A371" t="s">
        <v>402</v>
      </c>
      <c r="B371">
        <f>IF(Final_Payroll!B371="Sales",Earnings!B371*3,
IF(Final_Payroll!B371="IT",Earnings!B371*2,
IF(Final_Payroll!B371="Finance",Earnings!B371*1.5,
IF(Final_Payroll!B371="HR",Earnings!B371*1.2,
Earnings!B371*1.3))))</f>
        <v>1263102.8999999999</v>
      </c>
      <c r="C371">
        <f>Earnings!B371 + Deductions!B371 + Deductions!C371 + Overtime!D371</f>
        <v>1054385.75</v>
      </c>
      <c r="D371">
        <f t="shared" si="10"/>
        <v>208717.14999999991</v>
      </c>
      <c r="E371">
        <f t="shared" si="11"/>
        <v>1.1979514138919269</v>
      </c>
    </row>
    <row r="372" spans="1:5" x14ac:dyDescent="0.35">
      <c r="A372" t="s">
        <v>403</v>
      </c>
      <c r="B372">
        <f>IF(Final_Payroll!B372="Sales",Earnings!B372*3,
IF(Final_Payroll!B372="IT",Earnings!B372*2,
IF(Final_Payroll!B372="Finance",Earnings!B372*1.5,
IF(Final_Payroll!B372="HR",Earnings!B372*1.2,
Earnings!B372*1.3))))</f>
        <v>619524</v>
      </c>
      <c r="C372">
        <f>Earnings!B372 + Deductions!B372 + Deductions!C372 + Overtime!D372</f>
        <v>518070</v>
      </c>
      <c r="D372">
        <f t="shared" si="10"/>
        <v>101454</v>
      </c>
      <c r="E372">
        <f t="shared" si="11"/>
        <v>1.1958306792518385</v>
      </c>
    </row>
    <row r="373" spans="1:5" x14ac:dyDescent="0.35">
      <c r="A373" t="s">
        <v>404</v>
      </c>
      <c r="B373">
        <f>IF(Final_Payroll!B373="Sales",Earnings!B373*3,
IF(Final_Payroll!B373="IT",Earnings!B373*2,
IF(Final_Payroll!B373="Finance",Earnings!B373*1.5,
IF(Final_Payroll!B373="HR",Earnings!B373*1.2,
Earnings!B373*1.3))))</f>
        <v>2430099</v>
      </c>
      <c r="C373">
        <f>Earnings!B373 + Deductions!B373 + Deductions!C373 + Overtime!D373</f>
        <v>811833</v>
      </c>
      <c r="D373">
        <f t="shared" si="10"/>
        <v>1618266</v>
      </c>
      <c r="E373">
        <f t="shared" si="11"/>
        <v>2.9933483856901604</v>
      </c>
    </row>
    <row r="374" spans="1:5" x14ac:dyDescent="0.35">
      <c r="A374" t="s">
        <v>405</v>
      </c>
      <c r="B374">
        <f>IF(Final_Payroll!B374="Sales",Earnings!B374*3,
IF(Final_Payroll!B374="IT",Earnings!B374*2,
IF(Final_Payroll!B374="Finance",Earnings!B374*1.5,
IF(Final_Payroll!B374="HR",Earnings!B374*1.2,
Earnings!B374*1.3))))</f>
        <v>1973531.9</v>
      </c>
      <c r="C374">
        <f>Earnings!B374 + Deductions!B374 + Deductions!C374 + Overtime!D374</f>
        <v>1116845.5234999999</v>
      </c>
      <c r="D374">
        <f t="shared" si="10"/>
        <v>856686.37650000001</v>
      </c>
      <c r="E374">
        <f t="shared" si="11"/>
        <v>1.7670589696373529</v>
      </c>
    </row>
    <row r="375" spans="1:5" x14ac:dyDescent="0.35">
      <c r="A375" t="s">
        <v>406</v>
      </c>
      <c r="B375">
        <f>IF(Final_Payroll!B375="Sales",Earnings!B375*3,
IF(Final_Payroll!B375="IT",Earnings!B375*2,
IF(Final_Payroll!B375="Finance",Earnings!B375*1.5,
IF(Final_Payroll!B375="HR",Earnings!B375*1.2,
Earnings!B375*1.3))))</f>
        <v>2937534.9</v>
      </c>
      <c r="C375">
        <f>Earnings!B375 + Deductions!B375 + Deductions!C375 + Overtime!D375</f>
        <v>1470567.45</v>
      </c>
      <c r="D375">
        <f t="shared" si="10"/>
        <v>1466967.45</v>
      </c>
      <c r="E375">
        <f t="shared" si="11"/>
        <v>1.9975519653994789</v>
      </c>
    </row>
    <row r="376" spans="1:5" x14ac:dyDescent="0.35">
      <c r="A376" t="s">
        <v>407</v>
      </c>
      <c r="B376">
        <f>IF(Final_Payroll!B376="Sales",Earnings!B376*3,
IF(Final_Payroll!B376="IT",Earnings!B376*2,
IF(Final_Payroll!B376="Finance",Earnings!B376*1.5,
IF(Final_Payroll!B376="HR",Earnings!B376*1.2,
Earnings!B376*1.3))))</f>
        <v>1464618.8</v>
      </c>
      <c r="C376">
        <f>Earnings!B376 + Deductions!B376 + Deductions!C376 + Overtime!D376</f>
        <v>840294.26300000004</v>
      </c>
      <c r="D376">
        <f t="shared" si="10"/>
        <v>624324.53700000001</v>
      </c>
      <c r="E376">
        <f t="shared" si="11"/>
        <v>1.7429832196771764</v>
      </c>
    </row>
    <row r="377" spans="1:5" x14ac:dyDescent="0.35">
      <c r="A377" t="s">
        <v>408</v>
      </c>
      <c r="B377">
        <f>IF(Final_Payroll!B377="Sales",Earnings!B377*3,
IF(Final_Payroll!B377="IT",Earnings!B377*2,
IF(Final_Payroll!B377="Finance",Earnings!B377*1.5,
IF(Final_Payroll!B377="HR",Earnings!B377*1.2,
Earnings!B377*1.3))))</f>
        <v>2287566.75</v>
      </c>
      <c r="C377">
        <f>Earnings!B377 + Deductions!B377 + Deductions!C377 + Overtime!D377</f>
        <v>859637.53125</v>
      </c>
      <c r="D377">
        <f t="shared" si="10"/>
        <v>1427929.21875</v>
      </c>
      <c r="E377">
        <f t="shared" si="11"/>
        <v>2.6610829179056972</v>
      </c>
    </row>
    <row r="378" spans="1:5" x14ac:dyDescent="0.35">
      <c r="A378" t="s">
        <v>409</v>
      </c>
      <c r="B378">
        <f>IF(Final_Payroll!B378="Sales",Earnings!B378*3,
IF(Final_Payroll!B378="IT",Earnings!B378*2,
IF(Final_Payroll!B378="Finance",Earnings!B378*1.5,
IF(Final_Payroll!B378="HR",Earnings!B378*1.2,
Earnings!B378*1.3))))</f>
        <v>815791.6</v>
      </c>
      <c r="C378">
        <f>Earnings!B378 + Deductions!B378 + Deductions!C378 + Overtime!D378</f>
        <v>648157.96</v>
      </c>
      <c r="D378">
        <f t="shared" si="10"/>
        <v>167633.64000000001</v>
      </c>
      <c r="E378">
        <f t="shared" si="11"/>
        <v>1.2586308436295375</v>
      </c>
    </row>
    <row r="379" spans="1:5" x14ac:dyDescent="0.35">
      <c r="A379" t="s">
        <v>410</v>
      </c>
      <c r="B379">
        <f>IF(Final_Payroll!B379="Sales",Earnings!B379*3,
IF(Final_Payroll!B379="IT",Earnings!B379*2,
IF(Final_Payroll!B379="Finance",Earnings!B379*1.5,
IF(Final_Payroll!B379="HR",Earnings!B379*1.2,
Earnings!B379*1.3))))</f>
        <v>846908.65999999992</v>
      </c>
      <c r="C379">
        <f>Earnings!B379 + Deductions!B379 + Deductions!C379 + Overtime!D379</f>
        <v>698870.97399999993</v>
      </c>
      <c r="D379">
        <f t="shared" si="10"/>
        <v>148037.68599999999</v>
      </c>
      <c r="E379">
        <f t="shared" si="11"/>
        <v>1.2118240583847741</v>
      </c>
    </row>
    <row r="380" spans="1:5" x14ac:dyDescent="0.35">
      <c r="A380" t="s">
        <v>411</v>
      </c>
      <c r="B380">
        <f>IF(Final_Payroll!B380="Sales",Earnings!B380*3,
IF(Final_Payroll!B380="IT",Earnings!B380*2,
IF(Final_Payroll!B380="Finance",Earnings!B380*1.5,
IF(Final_Payroll!B380="HR",Earnings!B380*1.2,
Earnings!B380*1.3))))</f>
        <v>2442150.75</v>
      </c>
      <c r="C380">
        <f>Earnings!B380 + Deductions!B380 + Deductions!C380 + Overtime!D380</f>
        <v>815850.25</v>
      </c>
      <c r="D380">
        <f t="shared" si="10"/>
        <v>1626300.5</v>
      </c>
      <c r="E380">
        <f t="shared" si="11"/>
        <v>2.9933811382664897</v>
      </c>
    </row>
    <row r="381" spans="1:5" x14ac:dyDescent="0.35">
      <c r="A381" t="s">
        <v>412</v>
      </c>
      <c r="B381">
        <f>IF(Final_Payroll!B381="Sales",Earnings!B381*3,
IF(Final_Payroll!B381="IT",Earnings!B381*2,
IF(Final_Payroll!B381="Finance",Earnings!B381*1.5,
IF(Final_Payroll!B381="HR",Earnings!B381*1.2,
Earnings!B381*1.3))))</f>
        <v>1039875.2250000001</v>
      </c>
      <c r="C381">
        <f>Earnings!B381 + Deductions!B381 + Deductions!C381 + Overtime!D381</f>
        <v>715847.65450000006</v>
      </c>
      <c r="D381">
        <f t="shared" si="10"/>
        <v>324027.57050000003</v>
      </c>
      <c r="E381">
        <f t="shared" si="11"/>
        <v>1.4526487842253593</v>
      </c>
    </row>
    <row r="382" spans="1:5" x14ac:dyDescent="0.35">
      <c r="A382" t="s">
        <v>413</v>
      </c>
      <c r="B382">
        <f>IF(Final_Payroll!B382="Sales",Earnings!B382*3,
IF(Final_Payroll!B382="IT",Earnings!B382*2,
IF(Final_Payroll!B382="Finance",Earnings!B382*1.5,
IF(Final_Payroll!B382="HR",Earnings!B382*1.2,
Earnings!B382*1.3))))</f>
        <v>1506622.5</v>
      </c>
      <c r="C382">
        <f>Earnings!B382 + Deductions!B382 + Deductions!C382 + Overtime!D382</f>
        <v>1006215</v>
      </c>
      <c r="D382">
        <f t="shared" si="10"/>
        <v>500407.5</v>
      </c>
      <c r="E382">
        <f t="shared" si="11"/>
        <v>1.4973166768533563</v>
      </c>
    </row>
    <row r="383" spans="1:5" x14ac:dyDescent="0.35">
      <c r="A383" t="s">
        <v>414</v>
      </c>
      <c r="B383">
        <f>IF(Final_Payroll!B383="Sales",Earnings!B383*3,
IF(Final_Payroll!B383="IT",Earnings!B383*2,
IF(Final_Payroll!B383="Finance",Earnings!B383*1.5,
IF(Final_Payroll!B383="HR",Earnings!B383*1.2,
Earnings!B383*1.3))))</f>
        <v>713445.6</v>
      </c>
      <c r="C383">
        <f>Earnings!B383 + Deductions!B383 + Deductions!C383 + Overtime!D383</f>
        <v>596338</v>
      </c>
      <c r="D383">
        <f t="shared" si="10"/>
        <v>117107.59999999998</v>
      </c>
      <c r="E383">
        <f t="shared" si="11"/>
        <v>1.1963778930740621</v>
      </c>
    </row>
    <row r="384" spans="1:5" x14ac:dyDescent="0.35">
      <c r="A384" t="s">
        <v>415</v>
      </c>
      <c r="B384">
        <f>IF(Final_Payroll!B384="Sales",Earnings!B384*3,
IF(Final_Payroll!B384="IT",Earnings!B384*2,
IF(Final_Payroll!B384="Finance",Earnings!B384*1.5,
IF(Final_Payroll!B384="HR",Earnings!B384*1.2,
Earnings!B384*1.3))))</f>
        <v>1174611.5999999999</v>
      </c>
      <c r="C384">
        <f>Earnings!B384 + Deductions!B384 + Deductions!C384 + Overtime!D384</f>
        <v>1088315.73</v>
      </c>
      <c r="D384">
        <f t="shared" si="10"/>
        <v>86295.869999999879</v>
      </c>
      <c r="E384">
        <f t="shared" si="11"/>
        <v>1.0792930466970279</v>
      </c>
    </row>
    <row r="385" spans="1:5" x14ac:dyDescent="0.35">
      <c r="A385" t="s">
        <v>416</v>
      </c>
      <c r="B385">
        <f>IF(Final_Payroll!B385="Sales",Earnings!B385*3,
IF(Final_Payroll!B385="IT",Earnings!B385*2,
IF(Final_Payroll!B385="Finance",Earnings!B385*1.5,
IF(Final_Payroll!B385="HR",Earnings!B385*1.2,
Earnings!B385*1.3))))</f>
        <v>711116.9</v>
      </c>
      <c r="C385">
        <f>Earnings!B385 + Deductions!B385 + Deductions!C385 + Overtime!D385</f>
        <v>548813</v>
      </c>
      <c r="D385">
        <f t="shared" si="10"/>
        <v>162303.90000000002</v>
      </c>
      <c r="E385">
        <f t="shared" si="11"/>
        <v>1.2957362526033458</v>
      </c>
    </row>
    <row r="386" spans="1:5" x14ac:dyDescent="0.35">
      <c r="A386" t="s">
        <v>417</v>
      </c>
      <c r="B386">
        <f>IF(Final_Payroll!B386="Sales",Earnings!B386*3,
IF(Final_Payroll!B386="IT",Earnings!B386*2,
IF(Final_Payroll!B386="Finance",Earnings!B386*1.5,
IF(Final_Payroll!B386="HR",Earnings!B386*1.2,
Earnings!B386*1.3))))</f>
        <v>2882105.25</v>
      </c>
      <c r="C386">
        <f>Earnings!B386 + Deductions!B386 + Deductions!C386 + Overtime!D386</f>
        <v>1053768.41625</v>
      </c>
      <c r="D386">
        <f t="shared" ref="D386:D449" si="12">B386-C386</f>
        <v>1828336.83375</v>
      </c>
      <c r="E386">
        <f t="shared" ref="E386:E449" si="13">IF(C386=0,0,B386/C386)</f>
        <v>2.7350461501365007</v>
      </c>
    </row>
    <row r="387" spans="1:5" x14ac:dyDescent="0.35">
      <c r="A387" t="s">
        <v>418</v>
      </c>
      <c r="B387">
        <f>IF(Final_Payroll!B387="Sales",Earnings!B387*3,
IF(Final_Payroll!B387="IT",Earnings!B387*2,
IF(Final_Payroll!B387="Finance",Earnings!B387*1.5,
IF(Final_Payroll!B387="HR",Earnings!B387*1.2,
Earnings!B387*1.3))))</f>
        <v>2597273.4</v>
      </c>
      <c r="C387">
        <f>Earnings!B387 + Deductions!B387 + Deductions!C387 + Overtime!D387</f>
        <v>1365368.5349999999</v>
      </c>
      <c r="D387">
        <f t="shared" si="12"/>
        <v>1231904.865</v>
      </c>
      <c r="E387">
        <f t="shared" si="13"/>
        <v>1.9022508087898775</v>
      </c>
    </row>
    <row r="388" spans="1:5" x14ac:dyDescent="0.35">
      <c r="A388" t="s">
        <v>419</v>
      </c>
      <c r="B388">
        <f>IF(Final_Payroll!B388="Sales",Earnings!B388*3,
IF(Final_Payroll!B388="IT",Earnings!B388*2,
IF(Final_Payroll!B388="Finance",Earnings!B388*1.5,
IF(Final_Payroll!B388="HR",Earnings!B388*1.2,
Earnings!B388*1.3))))</f>
        <v>899394.92500000005</v>
      </c>
      <c r="C388">
        <f>Earnings!B388 + Deductions!B388 + Deductions!C388 + Overtime!D388</f>
        <v>717856.72875000001</v>
      </c>
      <c r="D388">
        <f t="shared" si="12"/>
        <v>181538.19625000004</v>
      </c>
      <c r="E388">
        <f t="shared" si="13"/>
        <v>1.2528891754850742</v>
      </c>
    </row>
    <row r="389" spans="1:5" x14ac:dyDescent="0.35">
      <c r="A389" t="s">
        <v>420</v>
      </c>
      <c r="B389">
        <f>IF(Final_Payroll!B389="Sales",Earnings!B389*3,
IF(Final_Payroll!B389="IT",Earnings!B389*2,
IF(Final_Payroll!B389="Finance",Earnings!B389*1.5,
IF(Final_Payroll!B389="HR",Earnings!B389*1.2,
Earnings!B389*1.3))))</f>
        <v>1314571.0499999998</v>
      </c>
      <c r="C389">
        <f>Earnings!B389 + Deductions!B389 + Deductions!C389 + Overtime!D389</f>
        <v>878180.7</v>
      </c>
      <c r="D389">
        <f t="shared" si="12"/>
        <v>436390.34999999986</v>
      </c>
      <c r="E389">
        <f t="shared" si="13"/>
        <v>1.4969254619237247</v>
      </c>
    </row>
    <row r="390" spans="1:5" x14ac:dyDescent="0.35">
      <c r="A390" t="s">
        <v>421</v>
      </c>
      <c r="B390">
        <f>IF(Final_Payroll!B390="Sales",Earnings!B390*3,
IF(Final_Payroll!B390="IT",Earnings!B390*2,
IF(Final_Payroll!B390="Finance",Earnings!B390*1.5,
IF(Final_Payroll!B390="HR",Earnings!B390*1.2,
Earnings!B390*1.3))))</f>
        <v>3973053</v>
      </c>
      <c r="C390">
        <f>Earnings!B390 + Deductions!B390 + Deductions!C390 + Overtime!D390</f>
        <v>1504938.385</v>
      </c>
      <c r="D390">
        <f t="shared" si="12"/>
        <v>2468114.6150000002</v>
      </c>
      <c r="E390">
        <f t="shared" si="13"/>
        <v>2.6400104081337523</v>
      </c>
    </row>
    <row r="391" spans="1:5" x14ac:dyDescent="0.35">
      <c r="A391" t="s">
        <v>422</v>
      </c>
      <c r="B391">
        <f>IF(Final_Payroll!B391="Sales",Earnings!B391*3,
IF(Final_Payroll!B391="IT",Earnings!B391*2,
IF(Final_Payroll!B391="Finance",Earnings!B391*1.5,
IF(Final_Payroll!B391="HR",Earnings!B391*1.2,
Earnings!B391*1.3))))</f>
        <v>2857769.1</v>
      </c>
      <c r="C391">
        <f>Earnings!B391 + Deductions!B391 + Deductions!C391 + Overtime!D391</f>
        <v>1637872.80975</v>
      </c>
      <c r="D391">
        <f t="shared" si="12"/>
        <v>1219896.2902500001</v>
      </c>
      <c r="E391">
        <f t="shared" si="13"/>
        <v>1.7448052638691776</v>
      </c>
    </row>
    <row r="392" spans="1:5" x14ac:dyDescent="0.35">
      <c r="A392" t="s">
        <v>423</v>
      </c>
      <c r="B392">
        <f>IF(Final_Payroll!B392="Sales",Earnings!B392*3,
IF(Final_Payroll!B392="IT",Earnings!B392*2,
IF(Final_Payroll!B392="Finance",Earnings!B392*1.5,
IF(Final_Payroll!B392="HR",Earnings!B392*1.2,
Earnings!B392*1.3))))</f>
        <v>1788454.7999999998</v>
      </c>
      <c r="C392">
        <f>Earnings!B392 + Deductions!B392 + Deductions!C392 + Overtime!D392</f>
        <v>896027.39999999991</v>
      </c>
      <c r="D392">
        <f t="shared" si="12"/>
        <v>892427.39999999991</v>
      </c>
      <c r="E392">
        <f t="shared" si="13"/>
        <v>1.9959822657208921</v>
      </c>
    </row>
    <row r="393" spans="1:5" x14ac:dyDescent="0.35">
      <c r="A393" t="s">
        <v>424</v>
      </c>
      <c r="B393">
        <f>IF(Final_Payroll!B393="Sales",Earnings!B393*3,
IF(Final_Payroll!B393="IT",Earnings!B393*2,
IF(Final_Payroll!B393="Finance",Earnings!B393*1.5,
IF(Final_Payroll!B393="HR",Earnings!B393*1.2,
Earnings!B393*1.3))))</f>
        <v>2063368</v>
      </c>
      <c r="C393">
        <f>Earnings!B393 + Deductions!B393 + Deductions!C393 + Overtime!D393</f>
        <v>1121177.1399999999</v>
      </c>
      <c r="D393">
        <f t="shared" si="12"/>
        <v>942190.8600000001</v>
      </c>
      <c r="E393">
        <f t="shared" si="13"/>
        <v>1.8403586073829512</v>
      </c>
    </row>
    <row r="394" spans="1:5" x14ac:dyDescent="0.35">
      <c r="A394" t="s">
        <v>425</v>
      </c>
      <c r="B394">
        <f>IF(Final_Payroll!B394="Sales",Earnings!B394*3,
IF(Final_Payroll!B394="IT",Earnings!B394*2,
IF(Final_Payroll!B394="Finance",Earnings!B394*1.5,
IF(Final_Payroll!B394="HR",Earnings!B394*1.2,
Earnings!B394*1.3))))</f>
        <v>3124702.95</v>
      </c>
      <c r="C394">
        <f>Earnings!B394 + Deductions!B394 + Deductions!C394 + Overtime!D394</f>
        <v>1043367.65</v>
      </c>
      <c r="D394">
        <f t="shared" si="12"/>
        <v>2081335.3000000003</v>
      </c>
      <c r="E394">
        <f t="shared" si="13"/>
        <v>2.994824451381064</v>
      </c>
    </row>
    <row r="395" spans="1:5" x14ac:dyDescent="0.35">
      <c r="A395" t="s">
        <v>426</v>
      </c>
      <c r="B395">
        <f>IF(Final_Payroll!B395="Sales",Earnings!B395*3,
IF(Final_Payroll!B395="IT",Earnings!B395*2,
IF(Final_Payroll!B395="Finance",Earnings!B395*1.5,
IF(Final_Payroll!B395="HR",Earnings!B395*1.2,
Earnings!B395*1.3))))</f>
        <v>995559.14999999991</v>
      </c>
      <c r="C395">
        <f>Earnings!B395 + Deductions!B395 + Deductions!C395 + Overtime!D395</f>
        <v>688735.81349999993</v>
      </c>
      <c r="D395">
        <f t="shared" si="12"/>
        <v>306823.33649999998</v>
      </c>
      <c r="E395">
        <f t="shared" si="13"/>
        <v>1.445487704408448</v>
      </c>
    </row>
    <row r="396" spans="1:5" x14ac:dyDescent="0.35">
      <c r="A396" t="s">
        <v>427</v>
      </c>
      <c r="B396">
        <f>IF(Final_Payroll!B396="Sales",Earnings!B396*3,
IF(Final_Payroll!B396="IT",Earnings!B396*2,
IF(Final_Payroll!B396="Finance",Earnings!B396*1.5,
IF(Final_Payroll!B396="HR",Earnings!B396*1.2,
Earnings!B396*1.3))))</f>
        <v>856732.5</v>
      </c>
      <c r="C396">
        <f>Earnings!B396 + Deductions!B396 + Deductions!C396 + Overtime!D396</f>
        <v>660825</v>
      </c>
      <c r="D396">
        <f t="shared" si="12"/>
        <v>195907.5</v>
      </c>
      <c r="E396">
        <f t="shared" si="13"/>
        <v>1.2964589717398707</v>
      </c>
    </row>
    <row r="397" spans="1:5" x14ac:dyDescent="0.35">
      <c r="A397" t="s">
        <v>428</v>
      </c>
      <c r="B397">
        <f>IF(Final_Payroll!B397="Sales",Earnings!B397*3,
IF(Final_Payroll!B397="IT",Earnings!B397*2,
IF(Final_Payroll!B397="Finance",Earnings!B397*1.5,
IF(Final_Payroll!B397="HR",Earnings!B397*1.2,
Earnings!B397*1.3))))</f>
        <v>1430268.2249999999</v>
      </c>
      <c r="C397">
        <f>Earnings!B397 + Deductions!B397 + Deductions!C397 + Overtime!D397</f>
        <v>1088803.8509999998</v>
      </c>
      <c r="D397">
        <f t="shared" si="12"/>
        <v>341464.37400000007</v>
      </c>
      <c r="E397">
        <f t="shared" si="13"/>
        <v>1.313614223247269</v>
      </c>
    </row>
    <row r="398" spans="1:5" x14ac:dyDescent="0.35">
      <c r="A398" t="s">
        <v>429</v>
      </c>
      <c r="B398">
        <f>IF(Final_Payroll!B398="Sales",Earnings!B398*3,
IF(Final_Payroll!B398="IT",Earnings!B398*2,
IF(Final_Payroll!B398="Finance",Earnings!B398*1.5,
IF(Final_Payroll!B398="HR",Earnings!B398*1.2,
Earnings!B398*1.3))))</f>
        <v>2515236</v>
      </c>
      <c r="C398">
        <f>Earnings!B398 + Deductions!B398 + Deductions!C398 + Overtime!D398</f>
        <v>1259418</v>
      </c>
      <c r="D398">
        <f t="shared" si="12"/>
        <v>1255818</v>
      </c>
      <c r="E398">
        <f t="shared" si="13"/>
        <v>1.9971415368050958</v>
      </c>
    </row>
    <row r="399" spans="1:5" x14ac:dyDescent="0.35">
      <c r="A399" t="s">
        <v>430</v>
      </c>
      <c r="B399">
        <f>IF(Final_Payroll!B399="Sales",Earnings!B399*3,
IF(Final_Payroll!B399="IT",Earnings!B399*2,
IF(Final_Payroll!B399="Finance",Earnings!B399*1.5,
IF(Final_Payroll!B399="HR",Earnings!B399*1.2,
Earnings!B399*1.3))))</f>
        <v>2769282.3</v>
      </c>
      <c r="C399">
        <f>Earnings!B399 + Deductions!B399 + Deductions!C399 + Overtime!D399</f>
        <v>1026434.451</v>
      </c>
      <c r="D399">
        <f t="shared" si="12"/>
        <v>1742847.8489999999</v>
      </c>
      <c r="E399">
        <f t="shared" si="13"/>
        <v>2.697963125947338</v>
      </c>
    </row>
    <row r="400" spans="1:5" x14ac:dyDescent="0.35">
      <c r="A400" t="s">
        <v>431</v>
      </c>
      <c r="B400">
        <f>IF(Final_Payroll!B400="Sales",Earnings!B400*3,
IF(Final_Payroll!B400="IT",Earnings!B400*2,
IF(Final_Payroll!B400="Finance",Earnings!B400*1.5,
IF(Final_Payroll!B400="HR",Earnings!B400*1.2,
Earnings!B400*1.3))))</f>
        <v>2854193.3</v>
      </c>
      <c r="C400">
        <f>Earnings!B400 + Deductions!B400 + Deductions!C400 + Overtime!D400</f>
        <v>1550199.8652499998</v>
      </c>
      <c r="D400">
        <f t="shared" si="12"/>
        <v>1303993.43475</v>
      </c>
      <c r="E400">
        <f t="shared" si="13"/>
        <v>1.8411776210157944</v>
      </c>
    </row>
    <row r="401" spans="1:5" x14ac:dyDescent="0.35">
      <c r="A401" t="s">
        <v>432</v>
      </c>
      <c r="B401">
        <f>IF(Final_Payroll!B401="Sales",Earnings!B401*3,
IF(Final_Payroll!B401="IT",Earnings!B401*2,
IF(Final_Payroll!B401="Finance",Earnings!B401*1.5,
IF(Final_Payroll!B401="HR",Earnings!B401*1.2,
Earnings!B401*1.3))))</f>
        <v>1908289.7</v>
      </c>
      <c r="C401">
        <f>Earnings!B401 + Deductions!B401 + Deductions!C401 + Overtime!D401</f>
        <v>1027505.71375</v>
      </c>
      <c r="D401">
        <f t="shared" si="12"/>
        <v>880783.98624999996</v>
      </c>
      <c r="E401">
        <f t="shared" si="13"/>
        <v>1.8572059254400424</v>
      </c>
    </row>
    <row r="402" spans="1:5" x14ac:dyDescent="0.35">
      <c r="A402" t="s">
        <v>433</v>
      </c>
      <c r="B402">
        <f>IF(Final_Payroll!B402="Sales",Earnings!B402*3,
IF(Final_Payroll!B402="IT",Earnings!B402*2,
IF(Final_Payroll!B402="Finance",Earnings!B402*1.5,
IF(Final_Payroll!B402="HR",Earnings!B402*1.2,
Earnings!B402*1.3))))</f>
        <v>1659289</v>
      </c>
      <c r="C402">
        <f>Earnings!B402 + Deductions!B402 + Deductions!C402 + Overtime!D402</f>
        <v>831444.5</v>
      </c>
      <c r="D402">
        <f t="shared" si="12"/>
        <v>827844.5</v>
      </c>
      <c r="E402">
        <f t="shared" si="13"/>
        <v>1.9956701860436865</v>
      </c>
    </row>
    <row r="403" spans="1:5" x14ac:dyDescent="0.35">
      <c r="A403" t="s">
        <v>434</v>
      </c>
      <c r="B403">
        <f>IF(Final_Payroll!B403="Sales",Earnings!B403*3,
IF(Final_Payroll!B403="IT",Earnings!B403*2,
IF(Final_Payroll!B403="Finance",Earnings!B403*1.5,
IF(Final_Payroll!B403="HR",Earnings!B403*1.2,
Earnings!B403*1.3))))</f>
        <v>1805176.7</v>
      </c>
      <c r="C403">
        <f>Earnings!B403 + Deductions!B403 + Deductions!C403 + Overtime!D403</f>
        <v>963056.59274999995</v>
      </c>
      <c r="D403">
        <f t="shared" si="12"/>
        <v>842120.10725</v>
      </c>
      <c r="E403">
        <f t="shared" si="13"/>
        <v>1.874424321051926</v>
      </c>
    </row>
    <row r="404" spans="1:5" x14ac:dyDescent="0.35">
      <c r="A404" t="s">
        <v>435</v>
      </c>
      <c r="B404">
        <f>IF(Final_Payroll!B404="Sales",Earnings!B404*3,
IF(Final_Payroll!B404="IT",Earnings!B404*2,
IF(Final_Payroll!B404="Finance",Earnings!B404*1.5,
IF(Final_Payroll!B404="HR",Earnings!B404*1.2,
Earnings!B404*1.3))))</f>
        <v>2212290</v>
      </c>
      <c r="C404">
        <f>Earnings!B404 + Deductions!B404 + Deductions!C404 + Overtime!D404</f>
        <v>761352.9</v>
      </c>
      <c r="D404">
        <f t="shared" si="12"/>
        <v>1450937.1</v>
      </c>
      <c r="E404">
        <f t="shared" si="13"/>
        <v>2.9057353035629077</v>
      </c>
    </row>
    <row r="405" spans="1:5" x14ac:dyDescent="0.35">
      <c r="A405" t="s">
        <v>436</v>
      </c>
      <c r="B405">
        <f>IF(Final_Payroll!B405="Sales",Earnings!B405*3,
IF(Final_Payroll!B405="IT",Earnings!B405*2,
IF(Final_Payroll!B405="Finance",Earnings!B405*1.5,
IF(Final_Payroll!B405="HR",Earnings!B405*1.2,
Earnings!B405*1.3))))</f>
        <v>1125972</v>
      </c>
      <c r="C405">
        <f>Earnings!B405 + Deductions!B405 + Deductions!C405 + Overtime!D405</f>
        <v>752448</v>
      </c>
      <c r="D405">
        <f t="shared" si="12"/>
        <v>373524</v>
      </c>
      <c r="E405">
        <f t="shared" si="13"/>
        <v>1.4964117121714724</v>
      </c>
    </row>
    <row r="406" spans="1:5" x14ac:dyDescent="0.35">
      <c r="A406" t="s">
        <v>437</v>
      </c>
      <c r="B406">
        <f>IF(Final_Payroll!B406="Sales",Earnings!B406*3,
IF(Final_Payroll!B406="IT",Earnings!B406*2,
IF(Final_Payroll!B406="Finance",Earnings!B406*1.5,
IF(Final_Payroll!B406="HR",Earnings!B406*1.2,
Earnings!B406*1.3))))</f>
        <v>1138912.5</v>
      </c>
      <c r="C406">
        <f>Earnings!B406 + Deductions!B406 + Deductions!C406 + Overtime!D406</f>
        <v>837002.5</v>
      </c>
      <c r="D406">
        <f t="shared" si="12"/>
        <v>301910</v>
      </c>
      <c r="E406">
        <f t="shared" si="13"/>
        <v>1.3607038210758033</v>
      </c>
    </row>
    <row r="407" spans="1:5" x14ac:dyDescent="0.35">
      <c r="A407" t="s">
        <v>438</v>
      </c>
      <c r="B407">
        <f>IF(Final_Payroll!B407="Sales",Earnings!B407*3,
IF(Final_Payroll!B407="IT",Earnings!B407*2,
IF(Final_Payroll!B407="Finance",Earnings!B407*1.5,
IF(Final_Payroll!B407="HR",Earnings!B407*1.2,
Earnings!B407*1.3))))</f>
        <v>849384.35999999987</v>
      </c>
      <c r="C407">
        <f>Earnings!B407 + Deductions!B407 + Deductions!C407 + Overtime!D407</f>
        <v>787480.53299999994</v>
      </c>
      <c r="D407">
        <f t="shared" si="12"/>
        <v>61903.826999999932</v>
      </c>
      <c r="E407">
        <f t="shared" si="13"/>
        <v>1.0786099775243585</v>
      </c>
    </row>
    <row r="408" spans="1:5" x14ac:dyDescent="0.35">
      <c r="A408" t="s">
        <v>439</v>
      </c>
      <c r="B408">
        <f>IF(Final_Payroll!B408="Sales",Earnings!B408*3,
IF(Final_Payroll!B408="IT",Earnings!B408*2,
IF(Final_Payroll!B408="Finance",Earnings!B408*1.5,
IF(Final_Payroll!B408="HR",Earnings!B408*1.2,
Earnings!B408*1.3))))</f>
        <v>3653943</v>
      </c>
      <c r="C408">
        <f>Earnings!B408 + Deductions!B408 + Deductions!C408 + Overtime!D408</f>
        <v>1250230.5249999999</v>
      </c>
      <c r="D408">
        <f t="shared" si="12"/>
        <v>2403712.4750000001</v>
      </c>
      <c r="E408">
        <f t="shared" si="13"/>
        <v>2.9226154112658547</v>
      </c>
    </row>
    <row r="409" spans="1:5" x14ac:dyDescent="0.35">
      <c r="A409" t="s">
        <v>440</v>
      </c>
      <c r="B409">
        <f>IF(Final_Payroll!B409="Sales",Earnings!B409*3,
IF(Final_Payroll!B409="IT",Earnings!B409*2,
IF(Final_Payroll!B409="Finance",Earnings!B409*1.5,
IF(Final_Payroll!B409="HR",Earnings!B409*1.2,
Earnings!B409*1.3))))</f>
        <v>2389101</v>
      </c>
      <c r="C409">
        <f>Earnings!B409 + Deductions!B409 + Deductions!C409 + Overtime!D409</f>
        <v>837985.35</v>
      </c>
      <c r="D409">
        <f t="shared" si="12"/>
        <v>1551115.65</v>
      </c>
      <c r="E409">
        <f t="shared" si="13"/>
        <v>2.8510056888226032</v>
      </c>
    </row>
    <row r="410" spans="1:5" x14ac:dyDescent="0.35">
      <c r="A410" t="s">
        <v>441</v>
      </c>
      <c r="B410">
        <f>IF(Final_Payroll!B410="Sales",Earnings!B410*3,
IF(Final_Payroll!B410="IT",Earnings!B410*2,
IF(Final_Payroll!B410="Finance",Earnings!B410*1.5,
IF(Final_Payroll!B410="HR",Earnings!B410*1.2,
Earnings!B410*1.3))))</f>
        <v>1018324.7999999999</v>
      </c>
      <c r="C410">
        <f>Earnings!B410 + Deductions!B410 + Deductions!C410 + Overtime!D410</f>
        <v>850404</v>
      </c>
      <c r="D410">
        <f t="shared" si="12"/>
        <v>167920.79999999993</v>
      </c>
      <c r="E410">
        <f t="shared" si="13"/>
        <v>1.1974600307618495</v>
      </c>
    </row>
    <row r="411" spans="1:5" x14ac:dyDescent="0.35">
      <c r="A411" t="s">
        <v>442</v>
      </c>
      <c r="B411">
        <f>IF(Final_Payroll!B411="Sales",Earnings!B411*3,
IF(Final_Payroll!B411="IT",Earnings!B411*2,
IF(Final_Payroll!B411="Finance",Earnings!B411*1.5,
IF(Final_Payroll!B411="HR",Earnings!B411*1.2,
Earnings!B411*1.3))))</f>
        <v>1948600.0999999999</v>
      </c>
      <c r="C411">
        <f>Earnings!B411 + Deductions!B411 + Deductions!C411 + Overtime!D411</f>
        <v>976100.04999999993</v>
      </c>
      <c r="D411">
        <f t="shared" si="12"/>
        <v>972500.04999999993</v>
      </c>
      <c r="E411">
        <f t="shared" si="13"/>
        <v>1.9963118534826425</v>
      </c>
    </row>
    <row r="412" spans="1:5" x14ac:dyDescent="0.35">
      <c r="A412" t="s">
        <v>443</v>
      </c>
      <c r="B412">
        <f>IF(Final_Payroll!B412="Sales",Earnings!B412*3,
IF(Final_Payroll!B412="IT",Earnings!B412*2,
IF(Final_Payroll!B412="Finance",Earnings!B412*1.5,
IF(Final_Payroll!B412="HR",Earnings!B412*1.2,
Earnings!B412*1.3))))</f>
        <v>1847387.0999999999</v>
      </c>
      <c r="C412">
        <f>Earnings!B412 + Deductions!B412 + Deductions!C412 + Overtime!D412</f>
        <v>617595.69999999995</v>
      </c>
      <c r="D412">
        <f t="shared" si="12"/>
        <v>1229791.3999999999</v>
      </c>
      <c r="E412">
        <f t="shared" si="13"/>
        <v>2.9912564158072992</v>
      </c>
    </row>
    <row r="413" spans="1:5" x14ac:dyDescent="0.35">
      <c r="A413" t="s">
        <v>444</v>
      </c>
      <c r="B413">
        <f>IF(Final_Payroll!B413="Sales",Earnings!B413*3,
IF(Final_Payroll!B413="IT",Earnings!B413*2,
IF(Final_Payroll!B413="Finance",Earnings!B413*1.5,
IF(Final_Payroll!B413="HR",Earnings!B413*1.2,
Earnings!B413*1.3))))</f>
        <v>2496802</v>
      </c>
      <c r="C413">
        <f>Earnings!B413 + Deductions!B413 + Deductions!C413 + Overtime!D413</f>
        <v>1250201</v>
      </c>
      <c r="D413">
        <f t="shared" si="12"/>
        <v>1246601</v>
      </c>
      <c r="E413">
        <f t="shared" si="13"/>
        <v>1.9971204630295449</v>
      </c>
    </row>
    <row r="414" spans="1:5" x14ac:dyDescent="0.35">
      <c r="A414" t="s">
        <v>445</v>
      </c>
      <c r="B414">
        <f>IF(Final_Payroll!B414="Sales",Earnings!B414*3,
IF(Final_Payroll!B414="IT",Earnings!B414*2,
IF(Final_Payroll!B414="Finance",Earnings!B414*1.5,
IF(Final_Payroll!B414="HR",Earnings!B414*1.2,
Earnings!B414*1.3))))</f>
        <v>1059609.2</v>
      </c>
      <c r="C414">
        <f>Earnings!B414 + Deductions!B414 + Deductions!C414 + Overtime!D414</f>
        <v>910618.66</v>
      </c>
      <c r="D414">
        <f t="shared" si="12"/>
        <v>148990.53999999992</v>
      </c>
      <c r="E414">
        <f t="shared" si="13"/>
        <v>1.1636146353513115</v>
      </c>
    </row>
    <row r="415" spans="1:5" x14ac:dyDescent="0.35">
      <c r="A415" t="s">
        <v>446</v>
      </c>
      <c r="B415">
        <f>IF(Final_Payroll!B415="Sales",Earnings!B415*3,
IF(Final_Payroll!B415="IT",Earnings!B415*2,
IF(Final_Payroll!B415="Finance",Earnings!B415*1.5,
IF(Final_Payroll!B415="HR",Earnings!B415*1.2,
Earnings!B415*1.3))))</f>
        <v>1383025.5</v>
      </c>
      <c r="C415">
        <f>Earnings!B415 + Deductions!B415 + Deductions!C415 + Overtime!D415</f>
        <v>923817</v>
      </c>
      <c r="D415">
        <f t="shared" si="12"/>
        <v>459208.5</v>
      </c>
      <c r="E415">
        <f t="shared" si="13"/>
        <v>1.4970773432400573</v>
      </c>
    </row>
    <row r="416" spans="1:5" x14ac:dyDescent="0.35">
      <c r="A416" t="s">
        <v>447</v>
      </c>
      <c r="B416">
        <f>IF(Final_Payroll!B416="Sales",Earnings!B416*3,
IF(Final_Payroll!B416="IT",Earnings!B416*2,
IF(Final_Payroll!B416="Finance",Earnings!B416*1.5,
IF(Final_Payroll!B416="HR",Earnings!B416*1.2,
Earnings!B416*1.3))))</f>
        <v>1032441.4750000001</v>
      </c>
      <c r="C416">
        <f>Earnings!B416 + Deductions!B416 + Deductions!C416 + Overtime!D416</f>
        <v>895258.96875</v>
      </c>
      <c r="D416">
        <f t="shared" si="12"/>
        <v>137182.50625000009</v>
      </c>
      <c r="E416">
        <f t="shared" si="13"/>
        <v>1.1532322054718316</v>
      </c>
    </row>
    <row r="417" spans="1:5" x14ac:dyDescent="0.35">
      <c r="A417" t="s">
        <v>448</v>
      </c>
      <c r="B417">
        <f>IF(Final_Payroll!B417="Sales",Earnings!B417*3,
IF(Final_Payroll!B417="IT",Earnings!B417*2,
IF(Final_Payroll!B417="Finance",Earnings!B417*1.5,
IF(Final_Payroll!B417="HR",Earnings!B417*1.2,
Earnings!B417*1.3))))</f>
        <v>1523181.0750000002</v>
      </c>
      <c r="C417">
        <f>Earnings!B417 + Deductions!B417 + Deductions!C417 + Overtime!D417</f>
        <v>1149263.0765</v>
      </c>
      <c r="D417">
        <f t="shared" si="12"/>
        <v>373917.99850000022</v>
      </c>
      <c r="E417">
        <f t="shared" si="13"/>
        <v>1.3253545738533088</v>
      </c>
    </row>
    <row r="418" spans="1:5" x14ac:dyDescent="0.35">
      <c r="A418" t="s">
        <v>449</v>
      </c>
      <c r="B418">
        <f>IF(Final_Payroll!B418="Sales",Earnings!B418*3,
IF(Final_Payroll!B418="IT",Earnings!B418*2,
IF(Final_Payroll!B418="Finance",Earnings!B418*1.5,
IF(Final_Payroll!B418="HR",Earnings!B418*1.2,
Earnings!B418*1.3))))</f>
        <v>1219014</v>
      </c>
      <c r="C418">
        <f>Earnings!B418 + Deductions!B418 + Deductions!C418 + Overtime!D418</f>
        <v>814476</v>
      </c>
      <c r="D418">
        <f t="shared" si="12"/>
        <v>404538</v>
      </c>
      <c r="E418">
        <f t="shared" si="13"/>
        <v>1.4966849851929338</v>
      </c>
    </row>
    <row r="419" spans="1:5" x14ac:dyDescent="0.35">
      <c r="A419" t="s">
        <v>450</v>
      </c>
      <c r="B419">
        <f>IF(Final_Payroll!B419="Sales",Earnings!B419*3,
IF(Final_Payroll!B419="IT",Earnings!B419*2,
IF(Final_Payroll!B419="Finance",Earnings!B419*1.5,
IF(Final_Payroll!B419="HR",Earnings!B419*1.2,
Earnings!B419*1.3))))</f>
        <v>732256.20000000007</v>
      </c>
      <c r="C419">
        <f>Earnings!B419 + Deductions!B419 + Deductions!C419 + Overtime!D419</f>
        <v>565074</v>
      </c>
      <c r="D419">
        <f t="shared" si="12"/>
        <v>167182.20000000007</v>
      </c>
      <c r="E419">
        <f t="shared" si="13"/>
        <v>1.2958589494473292</v>
      </c>
    </row>
    <row r="420" spans="1:5" x14ac:dyDescent="0.35">
      <c r="A420" t="s">
        <v>451</v>
      </c>
      <c r="B420">
        <f>IF(Final_Payroll!B420="Sales",Earnings!B420*3,
IF(Final_Payroll!B420="IT",Earnings!B420*2,
IF(Final_Payroll!B420="Finance",Earnings!B420*1.5,
IF(Final_Payroll!B420="HR",Earnings!B420*1.2,
Earnings!B420*1.3))))</f>
        <v>2653444</v>
      </c>
      <c r="C420">
        <f>Earnings!B420 + Deductions!B420 + Deductions!C420 + Overtime!D420</f>
        <v>1428026.15</v>
      </c>
      <c r="D420">
        <f t="shared" si="12"/>
        <v>1225417.8500000001</v>
      </c>
      <c r="E420">
        <f t="shared" si="13"/>
        <v>1.8581200351268079</v>
      </c>
    </row>
    <row r="421" spans="1:5" x14ac:dyDescent="0.35">
      <c r="A421" t="s">
        <v>452</v>
      </c>
      <c r="B421">
        <f>IF(Final_Payroll!B421="Sales",Earnings!B421*3,
IF(Final_Payroll!B421="IT",Earnings!B421*2,
IF(Final_Payroll!B421="Finance",Earnings!B421*1.5,
IF(Final_Payroll!B421="HR",Earnings!B421*1.2,
Earnings!B421*1.3))))</f>
        <v>856263.12</v>
      </c>
      <c r="C421">
        <f>Earnings!B421 + Deductions!B421 + Deductions!C421 + Overtime!D421</f>
        <v>779572.33400000003</v>
      </c>
      <c r="D421">
        <f t="shared" si="12"/>
        <v>76690.785999999964</v>
      </c>
      <c r="E421">
        <f t="shared" si="13"/>
        <v>1.0983754587678838</v>
      </c>
    </row>
    <row r="422" spans="1:5" x14ac:dyDescent="0.35">
      <c r="A422" t="s">
        <v>453</v>
      </c>
      <c r="B422">
        <f>IF(Final_Payroll!B422="Sales",Earnings!B422*3,
IF(Final_Payroll!B422="IT",Earnings!B422*2,
IF(Final_Payroll!B422="Finance",Earnings!B422*1.5,
IF(Final_Payroll!B422="HR",Earnings!B422*1.2,
Earnings!B422*1.3))))</f>
        <v>1017680.3999999999</v>
      </c>
      <c r="C422">
        <f>Earnings!B422 + Deductions!B422 + Deductions!C422 + Overtime!D422</f>
        <v>951635.04</v>
      </c>
      <c r="D422">
        <f t="shared" si="12"/>
        <v>66045.35999999987</v>
      </c>
      <c r="E422">
        <f t="shared" si="13"/>
        <v>1.0694019841892328</v>
      </c>
    </row>
    <row r="423" spans="1:5" x14ac:dyDescent="0.35">
      <c r="A423" t="s">
        <v>454</v>
      </c>
      <c r="B423">
        <f>IF(Final_Payroll!B423="Sales",Earnings!B423*3,
IF(Final_Payroll!B423="IT",Earnings!B423*2,
IF(Final_Payroll!B423="Finance",Earnings!B423*1.5,
IF(Final_Payroll!B423="HR",Earnings!B423*1.2,
Earnings!B423*1.3))))</f>
        <v>908005.44</v>
      </c>
      <c r="C423">
        <f>Earnings!B423 + Deductions!B423 + Deductions!C423 + Overtime!D423</f>
        <v>788738.04799999995</v>
      </c>
      <c r="D423">
        <f t="shared" si="12"/>
        <v>119267.39199999999</v>
      </c>
      <c r="E423">
        <f t="shared" si="13"/>
        <v>1.1512129309628538</v>
      </c>
    </row>
    <row r="424" spans="1:5" x14ac:dyDescent="0.35">
      <c r="A424" t="s">
        <v>455</v>
      </c>
      <c r="B424">
        <f>IF(Final_Payroll!B424="Sales",Earnings!B424*3,
IF(Final_Payroll!B424="IT",Earnings!B424*2,
IF(Final_Payroll!B424="Finance",Earnings!B424*1.5,
IF(Final_Payroll!B424="HR",Earnings!B424*1.2,
Earnings!B424*1.3))))</f>
        <v>1819595.3250000002</v>
      </c>
      <c r="C424">
        <f>Earnings!B424 + Deductions!B424 + Deductions!C424 + Overtime!D424</f>
        <v>1214863.55</v>
      </c>
      <c r="D424">
        <f t="shared" si="12"/>
        <v>604731.77500000014</v>
      </c>
      <c r="E424">
        <f t="shared" si="13"/>
        <v>1.4977775281841323</v>
      </c>
    </row>
    <row r="425" spans="1:5" x14ac:dyDescent="0.35">
      <c r="A425" t="s">
        <v>456</v>
      </c>
      <c r="B425">
        <f>IF(Final_Payroll!B425="Sales",Earnings!B425*3,
IF(Final_Payroll!B425="IT",Earnings!B425*2,
IF(Final_Payroll!B425="Finance",Earnings!B425*1.5,
IF(Final_Payroll!B425="HR",Earnings!B425*1.2,
Earnings!B425*1.3))))</f>
        <v>442268.32000000007</v>
      </c>
      <c r="C425">
        <f>Earnings!B425 + Deductions!B425 + Deductions!C425 + Overtime!D425</f>
        <v>342006.4</v>
      </c>
      <c r="D425">
        <f t="shared" si="12"/>
        <v>100261.92000000004</v>
      </c>
      <c r="E425">
        <f t="shared" si="13"/>
        <v>1.2931580227738428</v>
      </c>
    </row>
    <row r="426" spans="1:5" x14ac:dyDescent="0.35">
      <c r="A426" t="s">
        <v>457</v>
      </c>
      <c r="B426">
        <f>IF(Final_Payroll!B426="Sales",Earnings!B426*3,
IF(Final_Payroll!B426="IT",Earnings!B426*2,
IF(Final_Payroll!B426="Finance",Earnings!B426*1.5,
IF(Final_Payroll!B426="HR",Earnings!B426*1.2,
Earnings!B426*1.3))))</f>
        <v>2001301.3499999999</v>
      </c>
      <c r="C426">
        <f>Earnings!B426 + Deductions!B426 + Deductions!C426 + Overtime!D426</f>
        <v>1336000.8999999999</v>
      </c>
      <c r="D426">
        <f t="shared" si="12"/>
        <v>665300.44999999995</v>
      </c>
      <c r="E426">
        <f t="shared" si="13"/>
        <v>1.4979790432775906</v>
      </c>
    </row>
    <row r="427" spans="1:5" x14ac:dyDescent="0.35">
      <c r="A427" t="s">
        <v>458</v>
      </c>
      <c r="B427">
        <f>IF(Final_Payroll!B427="Sales",Earnings!B427*3,
IF(Final_Payroll!B427="IT",Earnings!B427*2,
IF(Final_Payroll!B427="Finance",Earnings!B427*1.5,
IF(Final_Payroll!B427="HR",Earnings!B427*1.2,
Earnings!B427*1.3))))</f>
        <v>2335398.2999999998</v>
      </c>
      <c r="C427">
        <f>Earnings!B427 + Deductions!B427 + Deductions!C427 + Overtime!D427</f>
        <v>897036.01500000001</v>
      </c>
      <c r="D427">
        <f t="shared" si="12"/>
        <v>1438362.2849999997</v>
      </c>
      <c r="E427">
        <f t="shared" si="13"/>
        <v>2.6034610215733642</v>
      </c>
    </row>
    <row r="428" spans="1:5" x14ac:dyDescent="0.35">
      <c r="A428" t="s">
        <v>459</v>
      </c>
      <c r="B428">
        <f>IF(Final_Payroll!B428="Sales",Earnings!B428*3,
IF(Final_Payroll!B428="IT",Earnings!B428*2,
IF(Final_Payroll!B428="Finance",Earnings!B428*1.5,
IF(Final_Payroll!B428="HR",Earnings!B428*1.2,
Earnings!B428*1.3))))</f>
        <v>1130547.405</v>
      </c>
      <c r="C428">
        <f>Earnings!B428 + Deductions!B428 + Deductions!C428 + Overtime!D428</f>
        <v>871451.85</v>
      </c>
      <c r="D428">
        <f t="shared" si="12"/>
        <v>259095.55500000005</v>
      </c>
      <c r="E428">
        <f t="shared" si="13"/>
        <v>1.2973148258277265</v>
      </c>
    </row>
    <row r="429" spans="1:5" x14ac:dyDescent="0.35">
      <c r="A429" t="s">
        <v>460</v>
      </c>
      <c r="B429">
        <f>IF(Final_Payroll!B429="Sales",Earnings!B429*3,
IF(Final_Payroll!B429="IT",Earnings!B429*2,
IF(Final_Payroll!B429="Finance",Earnings!B429*1.5,
IF(Final_Payroll!B429="HR",Earnings!B429*1.2,
Earnings!B429*1.3))))</f>
        <v>920013.6</v>
      </c>
      <c r="C429">
        <f>Earnings!B429 + Deductions!B429 + Deductions!C429 + Overtime!D429</f>
        <v>856645.97</v>
      </c>
      <c r="D429">
        <f t="shared" si="12"/>
        <v>63367.630000000005</v>
      </c>
      <c r="E429">
        <f t="shared" si="13"/>
        <v>1.0739717832326929</v>
      </c>
    </row>
    <row r="430" spans="1:5" x14ac:dyDescent="0.35">
      <c r="A430" t="s">
        <v>461</v>
      </c>
      <c r="B430">
        <f>IF(Final_Payroll!B430="Sales",Earnings!B430*3,
IF(Final_Payroll!B430="IT",Earnings!B430*2,
IF(Final_Payroll!B430="Finance",Earnings!B430*1.5,
IF(Final_Payroll!B430="HR",Earnings!B430*1.2,
Earnings!B430*1.3))))</f>
        <v>1635037.4</v>
      </c>
      <c r="C430">
        <f>Earnings!B430 + Deductions!B430 + Deductions!C430 + Overtime!D430</f>
        <v>819318.7</v>
      </c>
      <c r="D430">
        <f t="shared" si="12"/>
        <v>815718.7</v>
      </c>
      <c r="E430">
        <f t="shared" si="13"/>
        <v>1.9956061054141692</v>
      </c>
    </row>
    <row r="431" spans="1:5" x14ac:dyDescent="0.35">
      <c r="A431" t="s">
        <v>462</v>
      </c>
      <c r="B431">
        <f>IF(Final_Payroll!B431="Sales",Earnings!B431*3,
IF(Final_Payroll!B431="IT",Earnings!B431*2,
IF(Final_Payroll!B431="Finance",Earnings!B431*1.5,
IF(Final_Payroll!B431="HR",Earnings!B431*1.2,
Earnings!B431*1.3))))</f>
        <v>1130438.25</v>
      </c>
      <c r="C431">
        <f>Earnings!B431 + Deductions!B431 + Deductions!C431 + Overtime!D431</f>
        <v>755425.5</v>
      </c>
      <c r="D431">
        <f t="shared" si="12"/>
        <v>375012.75</v>
      </c>
      <c r="E431">
        <f t="shared" si="13"/>
        <v>1.4964258553623091</v>
      </c>
    </row>
    <row r="432" spans="1:5" x14ac:dyDescent="0.35">
      <c r="A432" t="s">
        <v>463</v>
      </c>
      <c r="B432">
        <f>IF(Final_Payroll!B432="Sales",Earnings!B432*3,
IF(Final_Payroll!B432="IT",Earnings!B432*2,
IF(Final_Payroll!B432="Finance",Earnings!B432*1.5,
IF(Final_Payroll!B432="HR",Earnings!B432*1.2,
Earnings!B432*1.3))))</f>
        <v>464122.5</v>
      </c>
      <c r="C432">
        <f>Earnings!B432 + Deductions!B432 + Deductions!C432 + Overtime!D432</f>
        <v>388568.75</v>
      </c>
      <c r="D432">
        <f t="shared" si="12"/>
        <v>75553.75</v>
      </c>
      <c r="E432">
        <f t="shared" si="13"/>
        <v>1.1944411381512281</v>
      </c>
    </row>
    <row r="433" spans="1:5" x14ac:dyDescent="0.35">
      <c r="A433" t="s">
        <v>464</v>
      </c>
      <c r="B433">
        <f>IF(Final_Payroll!B433="Sales",Earnings!B433*3,
IF(Final_Payroll!B433="IT",Earnings!B433*2,
IF(Final_Payroll!B433="Finance",Earnings!B433*1.5,
IF(Final_Payroll!B433="HR",Earnings!B433*1.2,
Earnings!B433*1.3))))</f>
        <v>2780232</v>
      </c>
      <c r="C433">
        <f>Earnings!B433 + Deductions!B433 + Deductions!C433 + Overtime!D433</f>
        <v>928544</v>
      </c>
      <c r="D433">
        <f t="shared" si="12"/>
        <v>1851688</v>
      </c>
      <c r="E433">
        <f t="shared" si="13"/>
        <v>2.9941844436020264</v>
      </c>
    </row>
    <row r="434" spans="1:5" x14ac:dyDescent="0.35">
      <c r="A434" t="s">
        <v>465</v>
      </c>
      <c r="B434">
        <f>IF(Final_Payroll!B434="Sales",Earnings!B434*3,
IF(Final_Payroll!B434="IT",Earnings!B434*2,
IF(Final_Payroll!B434="Finance",Earnings!B434*1.5,
IF(Final_Payroll!B434="HR",Earnings!B434*1.2,
Earnings!B434*1.3))))</f>
        <v>1298781</v>
      </c>
      <c r="C434">
        <f>Earnings!B434 + Deductions!B434 + Deductions!C434 + Overtime!D434</f>
        <v>867654</v>
      </c>
      <c r="D434">
        <f t="shared" si="12"/>
        <v>431127</v>
      </c>
      <c r="E434">
        <f t="shared" si="13"/>
        <v>1.4968881604879365</v>
      </c>
    </row>
    <row r="435" spans="1:5" x14ac:dyDescent="0.35">
      <c r="A435" t="s">
        <v>466</v>
      </c>
      <c r="B435">
        <f>IF(Final_Payroll!B435="Sales",Earnings!B435*3,
IF(Final_Payroll!B435="IT",Earnings!B435*2,
IF(Final_Payroll!B435="Finance",Earnings!B435*1.5,
IF(Final_Payroll!B435="HR",Earnings!B435*1.2,
Earnings!B435*1.3))))</f>
        <v>1342533.825</v>
      </c>
      <c r="C435">
        <f>Earnings!B435 + Deductions!B435 + Deductions!C435 + Overtime!D435</f>
        <v>896822.54999999993</v>
      </c>
      <c r="D435">
        <f t="shared" si="12"/>
        <v>445711.27500000002</v>
      </c>
      <c r="E435">
        <f t="shared" si="13"/>
        <v>1.4969893709742246</v>
      </c>
    </row>
    <row r="436" spans="1:5" x14ac:dyDescent="0.35">
      <c r="A436" t="s">
        <v>467</v>
      </c>
      <c r="B436">
        <f>IF(Final_Payroll!B436="Sales",Earnings!B436*3,
IF(Final_Payroll!B436="IT",Earnings!B436*2,
IF(Final_Payroll!B436="Finance",Earnings!B436*1.5,
IF(Final_Payroll!B436="HR",Earnings!B436*1.2,
Earnings!B436*1.3))))</f>
        <v>1905338</v>
      </c>
      <c r="C436">
        <f>Earnings!B436 + Deductions!B436 + Deductions!C436 + Overtime!D436</f>
        <v>954469</v>
      </c>
      <c r="D436">
        <f t="shared" si="12"/>
        <v>950869</v>
      </c>
      <c r="E436">
        <f t="shared" si="13"/>
        <v>1.9962282693309055</v>
      </c>
    </row>
    <row r="437" spans="1:5" x14ac:dyDescent="0.35">
      <c r="A437" t="s">
        <v>468</v>
      </c>
      <c r="B437">
        <f>IF(Final_Payroll!B437="Sales",Earnings!B437*3,
IF(Final_Payroll!B437="IT",Earnings!B437*2,
IF(Final_Payroll!B437="Finance",Earnings!B437*1.5,
IF(Final_Payroll!B437="HR",Earnings!B437*1.2,
Earnings!B437*1.3))))</f>
        <v>1155393</v>
      </c>
      <c r="C437">
        <f>Earnings!B437 + Deductions!B437 + Deductions!C437 + Overtime!D437</f>
        <v>772062</v>
      </c>
      <c r="D437">
        <f t="shared" si="12"/>
        <v>383331</v>
      </c>
      <c r="E437">
        <f t="shared" si="13"/>
        <v>1.4965028715310429</v>
      </c>
    </row>
    <row r="438" spans="1:5" x14ac:dyDescent="0.35">
      <c r="A438" t="s">
        <v>469</v>
      </c>
      <c r="B438">
        <f>IF(Final_Payroll!B438="Sales",Earnings!B438*3,
IF(Final_Payroll!B438="IT",Earnings!B438*2,
IF(Final_Payroll!B438="Finance",Earnings!B438*1.5,
IF(Final_Payroll!B438="HR",Earnings!B438*1.2,
Earnings!B438*1.3))))</f>
        <v>695658.6</v>
      </c>
      <c r="C438">
        <f>Earnings!B438 + Deductions!B438 + Deductions!C438 + Overtime!D438</f>
        <v>536922</v>
      </c>
      <c r="D438">
        <f t="shared" si="12"/>
        <v>158736.59999999998</v>
      </c>
      <c r="E438">
        <f t="shared" si="13"/>
        <v>1.2956418250695632</v>
      </c>
    </row>
    <row r="439" spans="1:5" x14ac:dyDescent="0.35">
      <c r="A439" t="s">
        <v>470</v>
      </c>
      <c r="B439">
        <f>IF(Final_Payroll!B439="Sales",Earnings!B439*3,
IF(Final_Payroll!B439="IT",Earnings!B439*2,
IF(Final_Payroll!B439="Finance",Earnings!B439*1.5,
IF(Final_Payroll!B439="HR",Earnings!B439*1.2,
Earnings!B439*1.3))))</f>
        <v>2055363</v>
      </c>
      <c r="C439">
        <f>Earnings!B439 + Deductions!B439 + Deductions!C439 + Overtime!D439</f>
        <v>1029481.5</v>
      </c>
      <c r="D439">
        <f t="shared" si="12"/>
        <v>1025881.5</v>
      </c>
      <c r="E439">
        <f t="shared" si="13"/>
        <v>1.9965030940332584</v>
      </c>
    </row>
    <row r="440" spans="1:5" x14ac:dyDescent="0.35">
      <c r="A440" t="s">
        <v>471</v>
      </c>
      <c r="B440">
        <f>IF(Final_Payroll!B440="Sales",Earnings!B440*3,
IF(Final_Payroll!B440="IT",Earnings!B440*2,
IF(Final_Payroll!B440="Finance",Earnings!B440*1.5,
IF(Final_Payroll!B440="HR",Earnings!B440*1.2,
Earnings!B440*1.3))))</f>
        <v>855595.08</v>
      </c>
      <c r="C440">
        <f>Earnings!B440 + Deductions!B440 + Deductions!C440 + Overtime!D440</f>
        <v>803920.38750000007</v>
      </c>
      <c r="D440">
        <f t="shared" si="12"/>
        <v>51674.692499999888</v>
      </c>
      <c r="E440">
        <f t="shared" si="13"/>
        <v>1.0642783704748375</v>
      </c>
    </row>
    <row r="441" spans="1:5" x14ac:dyDescent="0.35">
      <c r="A441" t="s">
        <v>472</v>
      </c>
      <c r="B441">
        <f>IF(Final_Payroll!B441="Sales",Earnings!B441*3,
IF(Final_Payroll!B441="IT",Earnings!B441*2,
IF(Final_Payroll!B441="Finance",Earnings!B441*1.5,
IF(Final_Payroll!B441="HR",Earnings!B441*1.2,
Earnings!B441*1.3))))</f>
        <v>817029.20000000007</v>
      </c>
      <c r="C441">
        <f>Earnings!B441 + Deductions!B441 + Deductions!C441 + Overtime!D441</f>
        <v>630284</v>
      </c>
      <c r="D441">
        <f t="shared" si="12"/>
        <v>186745.20000000007</v>
      </c>
      <c r="E441">
        <f t="shared" si="13"/>
        <v>1.2962873879076735</v>
      </c>
    </row>
    <row r="442" spans="1:5" x14ac:dyDescent="0.35">
      <c r="A442" t="s">
        <v>473</v>
      </c>
      <c r="B442">
        <f>IF(Final_Payroll!B442="Sales",Earnings!B442*3,
IF(Final_Payroll!B442="IT",Earnings!B442*2,
IF(Final_Payroll!B442="Finance",Earnings!B442*1.5,
IF(Final_Payroll!B442="HR",Earnings!B442*1.2,
Earnings!B442*1.3))))</f>
        <v>653681.6</v>
      </c>
      <c r="C442">
        <f>Earnings!B442 + Deductions!B442 + Deductions!C442 + Overtime!D442</f>
        <v>504632</v>
      </c>
      <c r="D442">
        <f t="shared" si="12"/>
        <v>149049.59999999998</v>
      </c>
      <c r="E442">
        <f t="shared" si="13"/>
        <v>1.2953629575611534</v>
      </c>
    </row>
    <row r="443" spans="1:5" x14ac:dyDescent="0.35">
      <c r="A443" t="s">
        <v>474</v>
      </c>
      <c r="B443">
        <f>IF(Final_Payroll!B443="Sales",Earnings!B443*3,
IF(Final_Payroll!B443="IT",Earnings!B443*2,
IF(Final_Payroll!B443="Finance",Earnings!B443*1.5,
IF(Final_Payroll!B443="HR",Earnings!B443*1.2,
Earnings!B443*1.3))))</f>
        <v>2600008</v>
      </c>
      <c r="C443">
        <f>Earnings!B443 + Deductions!B443 + Deductions!C443 + Overtime!D443</f>
        <v>1301804</v>
      </c>
      <c r="D443">
        <f t="shared" si="12"/>
        <v>1298204</v>
      </c>
      <c r="E443">
        <f t="shared" si="13"/>
        <v>1.9972346067457158</v>
      </c>
    </row>
    <row r="444" spans="1:5" x14ac:dyDescent="0.35">
      <c r="A444" t="s">
        <v>475</v>
      </c>
      <c r="B444">
        <f>IF(Final_Payroll!B444="Sales",Earnings!B444*3,
IF(Final_Payroll!B444="IT",Earnings!B444*2,
IF(Final_Payroll!B444="Finance",Earnings!B444*1.5,
IF(Final_Payroll!B444="HR",Earnings!B444*1.2,
Earnings!B444*1.3))))</f>
        <v>4043040</v>
      </c>
      <c r="C444">
        <f>Earnings!B444 + Deductions!B444 + Deductions!C444 + Overtime!D444</f>
        <v>1349480</v>
      </c>
      <c r="D444">
        <f t="shared" si="12"/>
        <v>2693560</v>
      </c>
      <c r="E444">
        <f t="shared" si="13"/>
        <v>2.9959984586655599</v>
      </c>
    </row>
    <row r="445" spans="1:5" x14ac:dyDescent="0.35">
      <c r="A445" t="s">
        <v>476</v>
      </c>
      <c r="B445">
        <f>IF(Final_Payroll!B445="Sales",Earnings!B445*3,
IF(Final_Payroll!B445="IT",Earnings!B445*2,
IF(Final_Payroll!B445="Finance",Earnings!B445*1.5,
IF(Final_Payroll!B445="HR",Earnings!B445*1.2,
Earnings!B445*1.3))))</f>
        <v>2366725.5</v>
      </c>
      <c r="C445">
        <f>Earnings!B445 + Deductions!B445 + Deductions!C445 + Overtime!D445</f>
        <v>790708.5</v>
      </c>
      <c r="D445">
        <f t="shared" si="12"/>
        <v>1576017</v>
      </c>
      <c r="E445">
        <f t="shared" si="13"/>
        <v>2.9931706817366956</v>
      </c>
    </row>
    <row r="446" spans="1:5" x14ac:dyDescent="0.35">
      <c r="A446" t="s">
        <v>477</v>
      </c>
      <c r="B446">
        <f>IF(Final_Payroll!B446="Sales",Earnings!B446*3,
IF(Final_Payroll!B446="IT",Earnings!B446*2,
IF(Final_Payroll!B446="Finance",Earnings!B446*1.5,
IF(Final_Payroll!B446="HR",Earnings!B446*1.2,
Earnings!B446*1.3))))</f>
        <v>1449673.875</v>
      </c>
      <c r="C446">
        <f>Earnings!B446 + Deductions!B446 + Deductions!C446 + Overtime!D446</f>
        <v>968249.25</v>
      </c>
      <c r="D446">
        <f t="shared" si="12"/>
        <v>481424.625</v>
      </c>
      <c r="E446">
        <f t="shared" si="13"/>
        <v>1.4972114618214267</v>
      </c>
    </row>
    <row r="447" spans="1:5" x14ac:dyDescent="0.35">
      <c r="A447" t="s">
        <v>478</v>
      </c>
      <c r="B447">
        <f>IF(Final_Payroll!B447="Sales",Earnings!B447*3,
IF(Final_Payroll!B447="IT",Earnings!B447*2,
IF(Final_Payroll!B447="Finance",Earnings!B447*1.5,
IF(Final_Payroll!B447="HR",Earnings!B447*1.2,
Earnings!B447*1.3))))</f>
        <v>1927486.3499999999</v>
      </c>
      <c r="C447">
        <f>Earnings!B447 + Deductions!B447 + Deductions!C447 + Overtime!D447</f>
        <v>1357465.3994999998</v>
      </c>
      <c r="D447">
        <f t="shared" si="12"/>
        <v>570020.95050000004</v>
      </c>
      <c r="E447">
        <f t="shared" si="13"/>
        <v>1.4199156388884446</v>
      </c>
    </row>
    <row r="448" spans="1:5" x14ac:dyDescent="0.35">
      <c r="A448" t="s">
        <v>479</v>
      </c>
      <c r="B448">
        <f>IF(Final_Payroll!B448="Sales",Earnings!B448*3,
IF(Final_Payroll!B448="IT",Earnings!B448*2,
IF(Final_Payroll!B448="Finance",Earnings!B448*1.5,
IF(Final_Payroll!B448="HR",Earnings!B448*1.2,
Earnings!B448*1.3))))</f>
        <v>2673257.25</v>
      </c>
      <c r="C448">
        <f>Earnings!B448 + Deductions!B448 + Deductions!C448 + Overtime!D448</f>
        <v>892885.75</v>
      </c>
      <c r="D448">
        <f t="shared" si="12"/>
        <v>1780371.5</v>
      </c>
      <c r="E448">
        <f t="shared" si="13"/>
        <v>2.9939521937717117</v>
      </c>
    </row>
    <row r="449" spans="1:5" x14ac:dyDescent="0.35">
      <c r="A449" t="s">
        <v>480</v>
      </c>
      <c r="B449">
        <f>IF(Final_Payroll!B449="Sales",Earnings!B449*3,
IF(Final_Payroll!B449="IT",Earnings!B449*2,
IF(Final_Payroll!B449="Finance",Earnings!B449*1.5,
IF(Final_Payroll!B449="HR",Earnings!B449*1.2,
Earnings!B449*1.3))))</f>
        <v>3531771</v>
      </c>
      <c r="C449">
        <f>Earnings!B449 + Deductions!B449 + Deductions!C449 + Overtime!D449</f>
        <v>1179057</v>
      </c>
      <c r="D449">
        <f t="shared" si="12"/>
        <v>2352714</v>
      </c>
      <c r="E449">
        <f t="shared" si="13"/>
        <v>2.9954200687498567</v>
      </c>
    </row>
    <row r="450" spans="1:5" x14ac:dyDescent="0.35">
      <c r="A450" t="s">
        <v>481</v>
      </c>
      <c r="B450">
        <f>IF(Final_Payroll!B450="Sales",Earnings!B450*3,
IF(Final_Payroll!B450="IT",Earnings!B450*2,
IF(Final_Payroll!B450="Finance",Earnings!B450*1.5,
IF(Final_Payroll!B450="HR",Earnings!B450*1.2,
Earnings!B450*1.3))))</f>
        <v>962991.6</v>
      </c>
      <c r="C450">
        <f>Earnings!B450 + Deductions!B450 + Deductions!C450 + Overtime!D450</f>
        <v>924666.95</v>
      </c>
      <c r="D450">
        <f t="shared" ref="D450:D513" si="14">B450-C450</f>
        <v>38324.650000000023</v>
      </c>
      <c r="E450">
        <f t="shared" ref="E450:E513" si="15">IF(C450=0,0,B450/C450)</f>
        <v>1.0414469772062254</v>
      </c>
    </row>
    <row r="451" spans="1:5" x14ac:dyDescent="0.35">
      <c r="A451" t="s">
        <v>482</v>
      </c>
      <c r="B451">
        <f>IF(Final_Payroll!B451="Sales",Earnings!B451*3,
IF(Final_Payroll!B451="IT",Earnings!B451*2,
IF(Final_Payroll!B451="Finance",Earnings!B451*1.5,
IF(Final_Payroll!B451="HR",Earnings!B451*1.2,
Earnings!B451*1.3))))</f>
        <v>777008.89500000002</v>
      </c>
      <c r="C451">
        <f>Earnings!B451 + Deductions!B451 + Deductions!C451 + Overtime!D451</f>
        <v>599499.15</v>
      </c>
      <c r="D451">
        <f t="shared" si="14"/>
        <v>177509.745</v>
      </c>
      <c r="E451">
        <f t="shared" si="15"/>
        <v>1.2960967417551801</v>
      </c>
    </row>
    <row r="452" spans="1:5" x14ac:dyDescent="0.35">
      <c r="A452" t="s">
        <v>483</v>
      </c>
      <c r="B452">
        <f>IF(Final_Payroll!B452="Sales",Earnings!B452*3,
IF(Final_Payroll!B452="IT",Earnings!B452*2,
IF(Final_Payroll!B452="Finance",Earnings!B452*1.5,
IF(Final_Payroll!B452="HR",Earnings!B452*1.2,
Earnings!B452*1.3))))</f>
        <v>3123657</v>
      </c>
      <c r="C452">
        <f>Earnings!B452 + Deductions!B452 + Deductions!C452 + Overtime!D452</f>
        <v>1115904.33</v>
      </c>
      <c r="D452">
        <f t="shared" si="14"/>
        <v>2007752.67</v>
      </c>
      <c r="E452">
        <f t="shared" si="15"/>
        <v>2.7992157714810548</v>
      </c>
    </row>
    <row r="453" spans="1:5" x14ac:dyDescent="0.35">
      <c r="A453" t="s">
        <v>484</v>
      </c>
      <c r="B453">
        <f>IF(Final_Payroll!B453="Sales",Earnings!B453*3,
IF(Final_Payroll!B453="IT",Earnings!B453*2,
IF(Final_Payroll!B453="Finance",Earnings!B453*1.5,
IF(Final_Payroll!B453="HR",Earnings!B453*1.2,
Earnings!B453*1.3))))</f>
        <v>3048702</v>
      </c>
      <c r="C453">
        <f>Earnings!B453 + Deductions!B453 + Deductions!C453 + Overtime!D453</f>
        <v>1526151</v>
      </c>
      <c r="D453">
        <f t="shared" si="14"/>
        <v>1522551</v>
      </c>
      <c r="E453">
        <f t="shared" si="15"/>
        <v>1.9976411246331458</v>
      </c>
    </row>
    <row r="454" spans="1:5" x14ac:dyDescent="0.35">
      <c r="A454" t="s">
        <v>485</v>
      </c>
      <c r="B454">
        <f>IF(Final_Payroll!B454="Sales",Earnings!B454*3,
IF(Final_Payroll!B454="IT",Earnings!B454*2,
IF(Final_Payroll!B454="Finance",Earnings!B454*1.5,
IF(Final_Payroll!B454="HR",Earnings!B454*1.2,
Earnings!B454*1.3))))</f>
        <v>1955968.2999999998</v>
      </c>
      <c r="C454">
        <f>Earnings!B454 + Deductions!B454 + Deductions!C454 + Overtime!D454</f>
        <v>1126481.7725</v>
      </c>
      <c r="D454">
        <f t="shared" si="14"/>
        <v>829486.52749999985</v>
      </c>
      <c r="E454">
        <f t="shared" si="15"/>
        <v>1.7363514863264242</v>
      </c>
    </row>
    <row r="455" spans="1:5" x14ac:dyDescent="0.35">
      <c r="A455" t="s">
        <v>486</v>
      </c>
      <c r="B455">
        <f>IF(Final_Payroll!B455="Sales",Earnings!B455*3,
IF(Final_Payroll!B455="IT",Earnings!B455*2,
IF(Final_Payroll!B455="Finance",Earnings!B455*1.5,
IF(Final_Payroll!B455="HR",Earnings!B455*1.2,
Earnings!B455*1.3))))</f>
        <v>1845962.0999999999</v>
      </c>
      <c r="C455">
        <f>Earnings!B455 + Deductions!B455 + Deductions!C455 + Overtime!D455</f>
        <v>684805.97699999996</v>
      </c>
      <c r="D455">
        <f t="shared" si="14"/>
        <v>1161156.1229999999</v>
      </c>
      <c r="E455">
        <f t="shared" si="15"/>
        <v>2.6955986980236299</v>
      </c>
    </row>
    <row r="456" spans="1:5" x14ac:dyDescent="0.35">
      <c r="A456" t="s">
        <v>487</v>
      </c>
      <c r="B456">
        <f>IF(Final_Payroll!B456="Sales",Earnings!B456*3,
IF(Final_Payroll!B456="IT",Earnings!B456*2,
IF(Final_Payroll!B456="Finance",Earnings!B456*1.5,
IF(Final_Payroll!B456="HR",Earnings!B456*1.2,
Earnings!B456*1.3))))</f>
        <v>389691.9</v>
      </c>
      <c r="C456">
        <f>Earnings!B456 + Deductions!B456 + Deductions!C456 + Overtime!D456</f>
        <v>309057.07500000001</v>
      </c>
      <c r="D456">
        <f t="shared" si="14"/>
        <v>80634.825000000012</v>
      </c>
      <c r="E456">
        <f t="shared" si="15"/>
        <v>1.2609059346077096</v>
      </c>
    </row>
    <row r="457" spans="1:5" x14ac:dyDescent="0.35">
      <c r="A457" t="s">
        <v>488</v>
      </c>
      <c r="B457">
        <f>IF(Final_Payroll!B457="Sales",Earnings!B457*3,
IF(Final_Payroll!B457="IT",Earnings!B457*2,
IF(Final_Payroll!B457="Finance",Earnings!B457*1.5,
IF(Final_Payroll!B457="HR",Earnings!B457*1.2,
Earnings!B457*1.3))))</f>
        <v>2004342</v>
      </c>
      <c r="C457">
        <f>Earnings!B457 + Deductions!B457 + Deductions!C457 + Overtime!D457</f>
        <v>753428.25</v>
      </c>
      <c r="D457">
        <f t="shared" si="14"/>
        <v>1250913.75</v>
      </c>
      <c r="E457">
        <f t="shared" si="15"/>
        <v>2.6602957879532658</v>
      </c>
    </row>
    <row r="458" spans="1:5" x14ac:dyDescent="0.35">
      <c r="A458" t="s">
        <v>489</v>
      </c>
      <c r="B458">
        <f>IF(Final_Payroll!B458="Sales",Earnings!B458*3,
IF(Final_Payroll!B458="IT",Earnings!B458*2,
IF(Final_Payroll!B458="Finance",Earnings!B458*1.5,
IF(Final_Payroll!B458="HR",Earnings!B458*1.2,
Earnings!B458*1.3))))</f>
        <v>1140111.2449999999</v>
      </c>
      <c r="C458">
        <f>Earnings!B458 + Deductions!B458 + Deductions!C458 + Overtime!D458</f>
        <v>918274.03924999991</v>
      </c>
      <c r="D458">
        <f t="shared" si="14"/>
        <v>221837.20574999996</v>
      </c>
      <c r="E458">
        <f t="shared" si="15"/>
        <v>1.2415806134856926</v>
      </c>
    </row>
    <row r="459" spans="1:5" x14ac:dyDescent="0.35">
      <c r="A459" t="s">
        <v>490</v>
      </c>
      <c r="B459">
        <f>IF(Final_Payroll!B459="Sales",Earnings!B459*3,
IF(Final_Payroll!B459="IT",Earnings!B459*2,
IF(Final_Payroll!B459="Finance",Earnings!B459*1.5,
IF(Final_Payroll!B459="HR",Earnings!B459*1.2,
Earnings!B459*1.3))))</f>
        <v>592376.20000000007</v>
      </c>
      <c r="C459">
        <f>Earnings!B459 + Deductions!B459 + Deductions!C459 + Overtime!D459</f>
        <v>487092.81</v>
      </c>
      <c r="D459">
        <f t="shared" si="14"/>
        <v>105283.39000000007</v>
      </c>
      <c r="E459">
        <f t="shared" si="15"/>
        <v>1.2161464670357176</v>
      </c>
    </row>
    <row r="460" spans="1:5" x14ac:dyDescent="0.35">
      <c r="A460" t="s">
        <v>491</v>
      </c>
      <c r="B460">
        <f>IF(Final_Payroll!B460="Sales",Earnings!B460*3,
IF(Final_Payroll!B460="IT",Earnings!B460*2,
IF(Final_Payroll!B460="Finance",Earnings!B460*1.5,
IF(Final_Payroll!B460="HR",Earnings!B460*1.2,
Earnings!B460*1.3))))</f>
        <v>736959.6</v>
      </c>
      <c r="C460">
        <f>Earnings!B460 + Deductions!B460 + Deductions!C460 + Overtime!D460</f>
        <v>615933</v>
      </c>
      <c r="D460">
        <f t="shared" si="14"/>
        <v>121026.59999999998</v>
      </c>
      <c r="E460">
        <f t="shared" si="15"/>
        <v>1.1964931250639275</v>
      </c>
    </row>
    <row r="461" spans="1:5" x14ac:dyDescent="0.35">
      <c r="A461" t="s">
        <v>492</v>
      </c>
      <c r="B461">
        <f>IF(Final_Payroll!B461="Sales",Earnings!B461*3,
IF(Final_Payroll!B461="IT",Earnings!B461*2,
IF(Final_Payroll!B461="Finance",Earnings!B461*1.5,
IF(Final_Payroll!B461="HR",Earnings!B461*1.2,
Earnings!B461*1.3))))</f>
        <v>1088231.365</v>
      </c>
      <c r="C461">
        <f>Earnings!B461 + Deductions!B461 + Deductions!C461 + Overtime!D461</f>
        <v>943538.68124999991</v>
      </c>
      <c r="D461">
        <f t="shared" si="14"/>
        <v>144692.68375000008</v>
      </c>
      <c r="E461">
        <f t="shared" si="15"/>
        <v>1.1533510884347753</v>
      </c>
    </row>
    <row r="462" spans="1:5" x14ac:dyDescent="0.35">
      <c r="A462" t="s">
        <v>493</v>
      </c>
      <c r="B462">
        <f>IF(Final_Payroll!B462="Sales",Earnings!B462*3,
IF(Final_Payroll!B462="IT",Earnings!B462*2,
IF(Final_Payroll!B462="Finance",Earnings!B462*1.5,
IF(Final_Payroll!B462="HR",Earnings!B462*1.2,
Earnings!B462*1.3))))</f>
        <v>595912.19999999995</v>
      </c>
      <c r="C462">
        <f>Earnings!B462 + Deductions!B462 + Deductions!C462 + Overtime!D462</f>
        <v>555501.75249999994</v>
      </c>
      <c r="D462">
        <f t="shared" si="14"/>
        <v>40410.447500000009</v>
      </c>
      <c r="E462">
        <f t="shared" si="15"/>
        <v>1.0727458506082752</v>
      </c>
    </row>
    <row r="463" spans="1:5" x14ac:dyDescent="0.35">
      <c r="A463" t="s">
        <v>494</v>
      </c>
      <c r="B463">
        <f>IF(Final_Payroll!B463="Sales",Earnings!B463*3,
IF(Final_Payroll!B463="IT",Earnings!B463*2,
IF(Final_Payroll!B463="Finance",Earnings!B463*1.5,
IF(Final_Payroll!B463="HR",Earnings!B463*1.2,
Earnings!B463*1.3))))</f>
        <v>1977371.7999999998</v>
      </c>
      <c r="C463">
        <f>Earnings!B463 + Deductions!B463 + Deductions!C463 + Overtime!D463</f>
        <v>1089354.49</v>
      </c>
      <c r="D463">
        <f t="shared" si="14"/>
        <v>888017.30999999982</v>
      </c>
      <c r="E463">
        <f t="shared" si="15"/>
        <v>1.8151775369283141</v>
      </c>
    </row>
    <row r="464" spans="1:5" x14ac:dyDescent="0.35">
      <c r="A464" t="s">
        <v>495</v>
      </c>
      <c r="B464">
        <f>IF(Final_Payroll!B464="Sales",Earnings!B464*3,
IF(Final_Payroll!B464="IT",Earnings!B464*2,
IF(Final_Payroll!B464="Finance",Earnings!B464*1.5,
IF(Final_Payroll!B464="HR",Earnings!B464*1.2,
Earnings!B464*1.3))))</f>
        <v>2637106.9</v>
      </c>
      <c r="C464">
        <f>Earnings!B464 + Deductions!B464 + Deductions!C464 + Overtime!D464</f>
        <v>1471987.09675</v>
      </c>
      <c r="D464">
        <f t="shared" si="14"/>
        <v>1165119.8032499999</v>
      </c>
      <c r="E464">
        <f t="shared" si="15"/>
        <v>1.7915285438455728</v>
      </c>
    </row>
    <row r="465" spans="1:5" x14ac:dyDescent="0.35">
      <c r="A465" t="s">
        <v>496</v>
      </c>
      <c r="B465">
        <f>IF(Final_Payroll!B465="Sales",Earnings!B465*3,
IF(Final_Payroll!B465="IT",Earnings!B465*2,
IF(Final_Payroll!B465="Finance",Earnings!B465*1.5,
IF(Final_Payroll!B465="HR",Earnings!B465*1.2,
Earnings!B465*1.3))))</f>
        <v>2689576.3499999996</v>
      </c>
      <c r="C465">
        <f>Earnings!B465 + Deductions!B465 + Deductions!C465 + Overtime!D465</f>
        <v>898325.45</v>
      </c>
      <c r="D465">
        <f t="shared" si="14"/>
        <v>1791250.8999999997</v>
      </c>
      <c r="E465">
        <f t="shared" si="15"/>
        <v>2.9939888155233714</v>
      </c>
    </row>
    <row r="466" spans="1:5" x14ac:dyDescent="0.35">
      <c r="A466" t="s">
        <v>497</v>
      </c>
      <c r="B466">
        <f>IF(Final_Payroll!B466="Sales",Earnings!B466*3,
IF(Final_Payroll!B466="IT",Earnings!B466*2,
IF(Final_Payroll!B466="Finance",Earnings!B466*1.5,
IF(Final_Payroll!B466="HR",Earnings!B466*1.2,
Earnings!B466*1.3))))</f>
        <v>951630</v>
      </c>
      <c r="C466">
        <f>Earnings!B466 + Deductions!B466 + Deductions!C466 + Overtime!D466</f>
        <v>794825</v>
      </c>
      <c r="D466">
        <f t="shared" si="14"/>
        <v>156805</v>
      </c>
      <c r="E466">
        <f t="shared" si="15"/>
        <v>1.1972824206586354</v>
      </c>
    </row>
    <row r="467" spans="1:5" x14ac:dyDescent="0.35">
      <c r="A467" t="s">
        <v>498</v>
      </c>
      <c r="B467">
        <f>IF(Final_Payroll!B467="Sales",Earnings!B467*3,
IF(Final_Payroll!B467="IT",Earnings!B467*2,
IF(Final_Payroll!B467="Finance",Earnings!B467*1.5,
IF(Final_Payroll!B467="HR",Earnings!B467*1.2,
Earnings!B467*1.3))))</f>
        <v>3294374.8499999996</v>
      </c>
      <c r="C467">
        <f>Earnings!B467 + Deductions!B467 + Deductions!C467 + Overtime!D467</f>
        <v>1127378.07375</v>
      </c>
      <c r="D467">
        <f t="shared" si="14"/>
        <v>2166996.7762499996</v>
      </c>
      <c r="E467">
        <f t="shared" si="15"/>
        <v>2.922156219556332</v>
      </c>
    </row>
    <row r="468" spans="1:5" x14ac:dyDescent="0.35">
      <c r="A468" t="s">
        <v>499</v>
      </c>
      <c r="B468">
        <f>IF(Final_Payroll!B468="Sales",Earnings!B468*3,
IF(Final_Payroll!B468="IT",Earnings!B468*2,
IF(Final_Payroll!B468="Finance",Earnings!B468*1.5,
IF(Final_Payroll!B468="HR",Earnings!B468*1.2,
Earnings!B468*1.3))))</f>
        <v>1808197.7</v>
      </c>
      <c r="C468">
        <f>Earnings!B468 + Deductions!B468 + Deductions!C468 + Overtime!D468</f>
        <v>928501.32124999992</v>
      </c>
      <c r="D468">
        <f t="shared" si="14"/>
        <v>879696.37875000003</v>
      </c>
      <c r="E468">
        <f t="shared" si="15"/>
        <v>1.9474368626268663</v>
      </c>
    </row>
    <row r="469" spans="1:5" x14ac:dyDescent="0.35">
      <c r="A469" t="s">
        <v>500</v>
      </c>
      <c r="B469">
        <f>IF(Final_Payroll!B469="Sales",Earnings!B469*3,
IF(Final_Payroll!B469="IT",Earnings!B469*2,
IF(Final_Payroll!B469="Finance",Earnings!B469*1.5,
IF(Final_Payroll!B469="HR",Earnings!B469*1.2,
Earnings!B469*1.3))))</f>
        <v>2209950</v>
      </c>
      <c r="C469">
        <f>Earnings!B469 + Deductions!B469 + Deductions!C469 + Overtime!D469</f>
        <v>1106775</v>
      </c>
      <c r="D469">
        <f t="shared" si="14"/>
        <v>1103175</v>
      </c>
      <c r="E469">
        <f t="shared" si="15"/>
        <v>1.9967473063630818</v>
      </c>
    </row>
    <row r="470" spans="1:5" x14ac:dyDescent="0.35">
      <c r="A470" t="s">
        <v>501</v>
      </c>
      <c r="B470">
        <f>IF(Final_Payroll!B470="Sales",Earnings!B470*3,
IF(Final_Payroll!B470="IT",Earnings!B470*2,
IF(Final_Payroll!B470="Finance",Earnings!B470*1.5,
IF(Final_Payroll!B470="HR",Earnings!B470*1.2,
Earnings!B470*1.3))))</f>
        <v>927810.65999999992</v>
      </c>
      <c r="C470">
        <f>Earnings!B470 + Deductions!B470 + Deductions!C470 + Overtime!D470</f>
        <v>774975.54999999993</v>
      </c>
      <c r="D470">
        <f t="shared" si="14"/>
        <v>152835.10999999999</v>
      </c>
      <c r="E470">
        <f t="shared" si="15"/>
        <v>1.1972128152946244</v>
      </c>
    </row>
    <row r="471" spans="1:5" x14ac:dyDescent="0.35">
      <c r="A471" t="s">
        <v>502</v>
      </c>
      <c r="B471">
        <f>IF(Final_Payroll!B471="Sales",Earnings!B471*3,
IF(Final_Payroll!B471="IT",Earnings!B471*2,
IF(Final_Payroll!B471="Finance",Earnings!B471*1.5,
IF(Final_Payroll!B471="HR",Earnings!B471*1.2,
Earnings!B471*1.3))))</f>
        <v>1134485.25</v>
      </c>
      <c r="C471">
        <f>Earnings!B471 + Deductions!B471 + Deductions!C471 + Overtime!D471</f>
        <v>822410.99750000006</v>
      </c>
      <c r="D471">
        <f t="shared" si="14"/>
        <v>312074.25249999994</v>
      </c>
      <c r="E471">
        <f t="shared" si="15"/>
        <v>1.3794626451356518</v>
      </c>
    </row>
    <row r="472" spans="1:5" x14ac:dyDescent="0.35">
      <c r="A472" t="s">
        <v>503</v>
      </c>
      <c r="B472">
        <f>IF(Final_Payroll!B472="Sales",Earnings!B472*3,
IF(Final_Payroll!B472="IT",Earnings!B472*2,
IF(Final_Payroll!B472="Finance",Earnings!B472*1.5,
IF(Final_Payroll!B472="HR",Earnings!B472*1.2,
Earnings!B472*1.3))))</f>
        <v>504786.49</v>
      </c>
      <c r="C472">
        <f>Earnings!B472 + Deductions!B472 + Deductions!C472 + Overtime!D472</f>
        <v>390097.3</v>
      </c>
      <c r="D472">
        <f t="shared" si="14"/>
        <v>114689.19</v>
      </c>
      <c r="E472">
        <f t="shared" si="15"/>
        <v>1.2940014965497069</v>
      </c>
    </row>
    <row r="473" spans="1:5" x14ac:dyDescent="0.35">
      <c r="A473" t="s">
        <v>504</v>
      </c>
      <c r="B473">
        <f>IF(Final_Payroll!B473="Sales",Earnings!B473*3,
IF(Final_Payroll!B473="IT",Earnings!B473*2,
IF(Final_Payroll!B473="Finance",Earnings!B473*1.5,
IF(Final_Payroll!B473="HR",Earnings!B473*1.2,
Earnings!B473*1.3))))</f>
        <v>853719.6</v>
      </c>
      <c r="C473">
        <f>Earnings!B473 + Deductions!B473 + Deductions!C473 + Overtime!D473</f>
        <v>713233</v>
      </c>
      <c r="D473">
        <f t="shared" si="14"/>
        <v>140486.59999999998</v>
      </c>
      <c r="E473">
        <f t="shared" si="15"/>
        <v>1.1969715366507159</v>
      </c>
    </row>
    <row r="474" spans="1:5" x14ac:dyDescent="0.35">
      <c r="A474" t="s">
        <v>505</v>
      </c>
      <c r="B474">
        <f>IF(Final_Payroll!B474="Sales",Earnings!B474*3,
IF(Final_Payroll!B474="IT",Earnings!B474*2,
IF(Final_Payroll!B474="Finance",Earnings!B474*1.5,
IF(Final_Payroll!B474="HR",Earnings!B474*1.2,
Earnings!B474*1.3))))</f>
        <v>1941262.5</v>
      </c>
      <c r="C474">
        <f>Earnings!B474 + Deductions!B474 + Deductions!C474 + Overtime!D474</f>
        <v>1360683.75</v>
      </c>
      <c r="D474">
        <f t="shared" si="14"/>
        <v>580578.75</v>
      </c>
      <c r="E474">
        <f t="shared" si="15"/>
        <v>1.4266816223828644</v>
      </c>
    </row>
    <row r="475" spans="1:5" x14ac:dyDescent="0.35">
      <c r="A475" t="s">
        <v>506</v>
      </c>
      <c r="B475">
        <f>IF(Final_Payroll!B475="Sales",Earnings!B475*3,
IF(Final_Payroll!B475="IT",Earnings!B475*2,
IF(Final_Payroll!B475="Finance",Earnings!B475*1.5,
IF(Final_Payroll!B475="HR",Earnings!B475*1.2,
Earnings!B475*1.3))))</f>
        <v>1807232</v>
      </c>
      <c r="C475">
        <f>Earnings!B475 + Deductions!B475 + Deductions!C475 + Overtime!D475</f>
        <v>991259.52</v>
      </c>
      <c r="D475">
        <f t="shared" si="14"/>
        <v>815972.48</v>
      </c>
      <c r="E475">
        <f t="shared" si="15"/>
        <v>1.8231673578277463</v>
      </c>
    </row>
    <row r="476" spans="1:5" x14ac:dyDescent="0.35">
      <c r="A476" t="s">
        <v>507</v>
      </c>
      <c r="B476">
        <f>IF(Final_Payroll!B476="Sales",Earnings!B476*3,
IF(Final_Payroll!B476="IT",Earnings!B476*2,
IF(Final_Payroll!B476="Finance",Earnings!B476*1.5,
IF(Final_Payroll!B476="HR",Earnings!B476*1.2,
Earnings!B476*1.3))))</f>
        <v>2360588.5</v>
      </c>
      <c r="C476">
        <f>Earnings!B476 + Deductions!B476 + Deductions!C476 + Overtime!D476</f>
        <v>1217503.0774999999</v>
      </c>
      <c r="D476">
        <f t="shared" si="14"/>
        <v>1143085.4225000001</v>
      </c>
      <c r="E476">
        <f t="shared" si="15"/>
        <v>1.9388768239068375</v>
      </c>
    </row>
    <row r="477" spans="1:5" x14ac:dyDescent="0.35">
      <c r="A477" t="s">
        <v>508</v>
      </c>
      <c r="B477">
        <f>IF(Final_Payroll!B477="Sales",Earnings!B477*3,
IF(Final_Payroll!B477="IT",Earnings!B477*2,
IF(Final_Payroll!B477="Finance",Earnings!B477*1.5,
IF(Final_Payroll!B477="HR",Earnings!B477*1.2,
Earnings!B477*1.3))))</f>
        <v>3332154</v>
      </c>
      <c r="C477">
        <f>Earnings!B477 + Deductions!B477 + Deductions!C477 + Overtime!D477</f>
        <v>1112518</v>
      </c>
      <c r="D477">
        <f t="shared" si="14"/>
        <v>2219636</v>
      </c>
      <c r="E477">
        <f t="shared" si="15"/>
        <v>2.995146145949998</v>
      </c>
    </row>
    <row r="478" spans="1:5" x14ac:dyDescent="0.35">
      <c r="A478" t="s">
        <v>509</v>
      </c>
      <c r="B478">
        <f>IF(Final_Payroll!B478="Sales",Earnings!B478*3,
IF(Final_Payroll!B478="IT",Earnings!B478*2,
IF(Final_Payroll!B478="Finance",Earnings!B478*1.5,
IF(Final_Payroll!B478="HR",Earnings!B478*1.2,
Earnings!B478*1.3))))</f>
        <v>745860.96</v>
      </c>
      <c r="C478">
        <f>Earnings!B478 + Deductions!B478 + Deductions!C478 + Overtime!D478</f>
        <v>575539.19999999995</v>
      </c>
      <c r="D478">
        <f t="shared" si="14"/>
        <v>170321.76</v>
      </c>
      <c r="E478">
        <f t="shared" si="15"/>
        <v>1.2959342473979183</v>
      </c>
    </row>
    <row r="479" spans="1:5" x14ac:dyDescent="0.35">
      <c r="A479" t="s">
        <v>510</v>
      </c>
      <c r="B479">
        <f>IF(Final_Payroll!B479="Sales",Earnings!B479*3,
IF(Final_Payroll!B479="IT",Earnings!B479*2,
IF(Final_Payroll!B479="Finance",Earnings!B479*1.5,
IF(Final_Payroll!B479="HR",Earnings!B479*1.2,
Earnings!B479*1.3))))</f>
        <v>2986748.6999999997</v>
      </c>
      <c r="C479">
        <f>Earnings!B479 + Deductions!B479 + Deductions!C479 + Overtime!D479</f>
        <v>997382.89999999991</v>
      </c>
      <c r="D479">
        <f t="shared" si="14"/>
        <v>1989365.7999999998</v>
      </c>
      <c r="E479">
        <f t="shared" si="15"/>
        <v>2.9945858305772037</v>
      </c>
    </row>
    <row r="480" spans="1:5" x14ac:dyDescent="0.35">
      <c r="A480" t="s">
        <v>511</v>
      </c>
      <c r="B480">
        <f>IF(Final_Payroll!B480="Sales",Earnings!B480*3,
IF(Final_Payroll!B480="IT",Earnings!B480*2,
IF(Final_Payroll!B480="Finance",Earnings!B480*1.5,
IF(Final_Payroll!B480="HR",Earnings!B480*1.2,
Earnings!B480*1.3))))</f>
        <v>986185.5</v>
      </c>
      <c r="C480">
        <f>Earnings!B480 + Deductions!B480 + Deductions!C480 + Overtime!D480</f>
        <v>823621.25</v>
      </c>
      <c r="D480">
        <f t="shared" si="14"/>
        <v>162564.25</v>
      </c>
      <c r="E480">
        <f t="shared" si="15"/>
        <v>1.1973774353199362</v>
      </c>
    </row>
    <row r="481" spans="1:5" x14ac:dyDescent="0.35">
      <c r="A481" t="s">
        <v>512</v>
      </c>
      <c r="B481">
        <f>IF(Final_Payroll!B481="Sales",Earnings!B481*3,
IF(Final_Payroll!B481="IT",Earnings!B481*2,
IF(Final_Payroll!B481="Finance",Earnings!B481*1.5,
IF(Final_Payroll!B481="HR",Earnings!B481*1.2,
Earnings!B481*1.3))))</f>
        <v>1230637.2</v>
      </c>
      <c r="C481">
        <f>Earnings!B481 + Deductions!B481 + Deductions!C481 + Overtime!D481</f>
        <v>1071507.72</v>
      </c>
      <c r="D481">
        <f t="shared" si="14"/>
        <v>159129.47999999998</v>
      </c>
      <c r="E481">
        <f t="shared" si="15"/>
        <v>1.1485098772783457</v>
      </c>
    </row>
    <row r="482" spans="1:5" x14ac:dyDescent="0.35">
      <c r="A482" t="s">
        <v>513</v>
      </c>
      <c r="B482">
        <f>IF(Final_Payroll!B482="Sales",Earnings!B482*3,
IF(Final_Payroll!B482="IT",Earnings!B482*2,
IF(Final_Payroll!B482="Finance",Earnings!B482*1.5,
IF(Final_Payroll!B482="HR",Earnings!B482*1.2,
Earnings!B482*1.3))))</f>
        <v>699444.72000000009</v>
      </c>
      <c r="C482">
        <f>Earnings!B482 + Deductions!B482 + Deductions!C482 + Overtime!D482</f>
        <v>539834.4</v>
      </c>
      <c r="D482">
        <f t="shared" si="14"/>
        <v>159610.32000000007</v>
      </c>
      <c r="E482">
        <f t="shared" si="15"/>
        <v>1.295665337370127</v>
      </c>
    </row>
    <row r="483" spans="1:5" x14ac:dyDescent="0.35">
      <c r="A483" t="s">
        <v>514</v>
      </c>
      <c r="B483">
        <f>IF(Final_Payroll!B483="Sales",Earnings!B483*3,
IF(Final_Payroll!B483="IT",Earnings!B483*2,
IF(Final_Payroll!B483="Finance",Earnings!B483*1.5,
IF(Final_Payroll!B483="HR",Earnings!B483*1.2,
Earnings!B483*1.3))))</f>
        <v>2507724</v>
      </c>
      <c r="C483">
        <f>Earnings!B483 + Deductions!B483 + Deductions!C483 + Overtime!D483</f>
        <v>1305816.48</v>
      </c>
      <c r="D483">
        <f t="shared" si="14"/>
        <v>1201907.52</v>
      </c>
      <c r="E483">
        <f t="shared" si="15"/>
        <v>1.9204260617081506</v>
      </c>
    </row>
    <row r="484" spans="1:5" x14ac:dyDescent="0.35">
      <c r="A484" t="s">
        <v>515</v>
      </c>
      <c r="B484">
        <f>IF(Final_Payroll!B484="Sales",Earnings!B484*3,
IF(Final_Payroll!B484="IT",Earnings!B484*2,
IF(Final_Payroll!B484="Finance",Earnings!B484*1.5,
IF(Final_Payroll!B484="HR",Earnings!B484*1.2,
Earnings!B484*1.3))))</f>
        <v>2368661.6</v>
      </c>
      <c r="C484">
        <f>Earnings!B484 + Deductions!B484 + Deductions!C484 + Overtime!D484</f>
        <v>1186130.8</v>
      </c>
      <c r="D484">
        <f t="shared" si="14"/>
        <v>1182530.8</v>
      </c>
      <c r="E484">
        <f t="shared" si="15"/>
        <v>1.9969649215752596</v>
      </c>
    </row>
    <row r="485" spans="1:5" x14ac:dyDescent="0.35">
      <c r="A485" t="s">
        <v>516</v>
      </c>
      <c r="B485">
        <f>IF(Final_Payroll!B485="Sales",Earnings!B485*3,
IF(Final_Payroll!B485="IT",Earnings!B485*2,
IF(Final_Payroll!B485="Finance",Earnings!B485*1.5,
IF(Final_Payroll!B485="HR",Earnings!B485*1.2,
Earnings!B485*1.3))))</f>
        <v>639348.47999999998</v>
      </c>
      <c r="C485">
        <f>Earnings!B485 + Deductions!B485 + Deductions!C485 + Overtime!D485</f>
        <v>582541.53600000008</v>
      </c>
      <c r="D485">
        <f t="shared" si="14"/>
        <v>56806.943999999901</v>
      </c>
      <c r="E485">
        <f t="shared" si="15"/>
        <v>1.0975156971467865</v>
      </c>
    </row>
    <row r="486" spans="1:5" x14ac:dyDescent="0.35">
      <c r="A486" t="s">
        <v>517</v>
      </c>
      <c r="B486">
        <f>IF(Final_Payroll!B486="Sales",Earnings!B486*3,
IF(Final_Payroll!B486="IT",Earnings!B486*2,
IF(Final_Payroll!B486="Finance",Earnings!B486*1.5,
IF(Final_Payroll!B486="HR",Earnings!B486*1.2,
Earnings!B486*1.3))))</f>
        <v>1639794</v>
      </c>
      <c r="C486">
        <f>Earnings!B486 + Deductions!B486 + Deductions!C486 + Overtime!D486</f>
        <v>1160587.76</v>
      </c>
      <c r="D486">
        <f t="shared" si="14"/>
        <v>479206.24</v>
      </c>
      <c r="E486">
        <f t="shared" si="15"/>
        <v>1.4128996156223463</v>
      </c>
    </row>
    <row r="487" spans="1:5" x14ac:dyDescent="0.35">
      <c r="A487" t="s">
        <v>518</v>
      </c>
      <c r="B487">
        <f>IF(Final_Payroll!B487="Sales",Earnings!B487*3,
IF(Final_Payroll!B487="IT",Earnings!B487*2,
IF(Final_Payroll!B487="Finance",Earnings!B487*1.5,
IF(Final_Payroll!B487="HR",Earnings!B487*1.2,
Earnings!B487*1.3))))</f>
        <v>2821194.1</v>
      </c>
      <c r="C487">
        <f>Earnings!B487 + Deductions!B487 + Deductions!C487 + Overtime!D487</f>
        <v>1623986.6075000002</v>
      </c>
      <c r="D487">
        <f t="shared" si="14"/>
        <v>1197207.4924999999</v>
      </c>
      <c r="E487">
        <f t="shared" si="15"/>
        <v>1.7372028112614837</v>
      </c>
    </row>
    <row r="488" spans="1:5" x14ac:dyDescent="0.35">
      <c r="A488" t="s">
        <v>519</v>
      </c>
      <c r="B488">
        <f>IF(Final_Payroll!B488="Sales",Earnings!B488*3,
IF(Final_Payroll!B488="IT",Earnings!B488*2,
IF(Final_Payroll!B488="Finance",Earnings!B488*1.5,
IF(Final_Payroll!B488="HR",Earnings!B488*1.2,
Earnings!B488*1.3))))</f>
        <v>454157.60000000003</v>
      </c>
      <c r="C488">
        <f>Earnings!B488 + Deductions!B488 + Deductions!C488 + Overtime!D488</f>
        <v>393074.24</v>
      </c>
      <c r="D488">
        <f t="shared" si="14"/>
        <v>61083.360000000044</v>
      </c>
      <c r="E488">
        <f t="shared" si="15"/>
        <v>1.1553990411582302</v>
      </c>
    </row>
    <row r="489" spans="1:5" x14ac:dyDescent="0.35">
      <c r="A489" t="s">
        <v>520</v>
      </c>
      <c r="B489">
        <f>IF(Final_Payroll!B489="Sales",Earnings!B489*3,
IF(Final_Payroll!B489="IT",Earnings!B489*2,
IF(Final_Payroll!B489="Finance",Earnings!B489*1.5,
IF(Final_Payroll!B489="HR",Earnings!B489*1.2,
Earnings!B489*1.3))))</f>
        <v>1214088.5999999999</v>
      </c>
      <c r="C489">
        <f>Earnings!B489 + Deductions!B489 + Deductions!C489 + Overtime!D489</f>
        <v>924507.33599999989</v>
      </c>
      <c r="D489">
        <f t="shared" si="14"/>
        <v>289581.26399999997</v>
      </c>
      <c r="E489">
        <f t="shared" si="15"/>
        <v>1.3132276540421093</v>
      </c>
    </row>
    <row r="490" spans="1:5" x14ac:dyDescent="0.35">
      <c r="A490" t="s">
        <v>521</v>
      </c>
      <c r="B490">
        <f>IF(Final_Payroll!B490="Sales",Earnings!B490*3,
IF(Final_Payroll!B490="IT",Earnings!B490*2,
IF(Final_Payroll!B490="Finance",Earnings!B490*1.5,
IF(Final_Payroll!B490="HR",Earnings!B490*1.2,
Earnings!B490*1.3))))</f>
        <v>747976.5149999999</v>
      </c>
      <c r="C490">
        <f>Earnings!B490 + Deductions!B490 + Deductions!C490 + Overtime!D490</f>
        <v>594427.54649999994</v>
      </c>
      <c r="D490">
        <f t="shared" si="14"/>
        <v>153548.96849999996</v>
      </c>
      <c r="E490">
        <f t="shared" si="15"/>
        <v>1.2583140189314896</v>
      </c>
    </row>
    <row r="491" spans="1:5" x14ac:dyDescent="0.35">
      <c r="A491" t="s">
        <v>522</v>
      </c>
      <c r="B491">
        <f>IF(Final_Payroll!B491="Sales",Earnings!B491*3,
IF(Final_Payroll!B491="IT",Earnings!B491*2,
IF(Final_Payroll!B491="Finance",Earnings!B491*1.5,
IF(Final_Payroll!B491="HR",Earnings!B491*1.2,
Earnings!B491*1.3))))</f>
        <v>1133059.2</v>
      </c>
      <c r="C491">
        <f>Earnings!B491 + Deductions!B491 + Deductions!C491 + Overtime!D491</f>
        <v>873384</v>
      </c>
      <c r="D491">
        <f t="shared" si="14"/>
        <v>259675.19999999995</v>
      </c>
      <c r="E491">
        <f t="shared" si="15"/>
        <v>1.297320766123492</v>
      </c>
    </row>
    <row r="492" spans="1:5" x14ac:dyDescent="0.35">
      <c r="A492" t="s">
        <v>523</v>
      </c>
      <c r="B492">
        <f>IF(Final_Payroll!B492="Sales",Earnings!B492*3,
IF(Final_Payroll!B492="IT",Earnings!B492*2,
IF(Final_Payroll!B492="Finance",Earnings!B492*1.5,
IF(Final_Payroll!B492="HR",Earnings!B492*1.2,
Earnings!B492*1.3))))</f>
        <v>1610348.3250000002</v>
      </c>
      <c r="C492">
        <f>Earnings!B492 + Deductions!B492 + Deductions!C492 + Overtime!D492</f>
        <v>1150515.1385000001</v>
      </c>
      <c r="D492">
        <f t="shared" si="14"/>
        <v>459833.18650000007</v>
      </c>
      <c r="E492">
        <f t="shared" si="15"/>
        <v>1.3996759113482973</v>
      </c>
    </row>
    <row r="493" spans="1:5" x14ac:dyDescent="0.35">
      <c r="A493" t="s">
        <v>524</v>
      </c>
      <c r="B493">
        <f>IF(Final_Payroll!B493="Sales",Earnings!B493*3,
IF(Final_Payroll!B493="IT",Earnings!B493*2,
IF(Final_Payroll!B493="Finance",Earnings!B493*1.5,
IF(Final_Payroll!B493="HR",Earnings!B493*1.2,
Earnings!B493*1.3))))</f>
        <v>2661327</v>
      </c>
      <c r="C493">
        <f>Earnings!B493 + Deductions!B493 + Deductions!C493 + Overtime!D493</f>
        <v>942135.54</v>
      </c>
      <c r="D493">
        <f t="shared" si="14"/>
        <v>1719191.46</v>
      </c>
      <c r="E493">
        <f t="shared" si="15"/>
        <v>2.8247814534201732</v>
      </c>
    </row>
    <row r="494" spans="1:5" x14ac:dyDescent="0.35">
      <c r="A494" t="s">
        <v>525</v>
      </c>
      <c r="B494">
        <f>IF(Final_Payroll!B494="Sales",Earnings!B494*3,
IF(Final_Payroll!B494="IT",Earnings!B494*2,
IF(Final_Payroll!B494="Finance",Earnings!B494*1.5,
IF(Final_Payroll!B494="HR",Earnings!B494*1.2,
Earnings!B494*1.3))))</f>
        <v>2040860.3</v>
      </c>
      <c r="C494">
        <f>Earnings!B494 + Deductions!B494 + Deductions!C494 + Overtime!D494</f>
        <v>1144681.7680000002</v>
      </c>
      <c r="D494">
        <f t="shared" si="14"/>
        <v>896178.53199999989</v>
      </c>
      <c r="E494">
        <f t="shared" si="15"/>
        <v>1.7829062688451938</v>
      </c>
    </row>
    <row r="495" spans="1:5" x14ac:dyDescent="0.35">
      <c r="A495" t="s">
        <v>526</v>
      </c>
      <c r="B495">
        <f>IF(Final_Payroll!B495="Sales",Earnings!B495*3,
IF(Final_Payroll!B495="IT",Earnings!B495*2,
IF(Final_Payroll!B495="Finance",Earnings!B495*1.5,
IF(Final_Payroll!B495="HR",Earnings!B495*1.2,
Earnings!B495*1.3))))</f>
        <v>796335.8</v>
      </c>
      <c r="C495">
        <f>Earnings!B495 + Deductions!B495 + Deductions!C495 + Overtime!D495</f>
        <v>614366</v>
      </c>
      <c r="D495">
        <f t="shared" si="14"/>
        <v>181969.80000000005</v>
      </c>
      <c r="E495">
        <f t="shared" si="15"/>
        <v>1.2961911954763123</v>
      </c>
    </row>
    <row r="496" spans="1:5" x14ac:dyDescent="0.35">
      <c r="A496" t="s">
        <v>527</v>
      </c>
      <c r="B496">
        <f>IF(Final_Payroll!B496="Sales",Earnings!B496*3,
IF(Final_Payroll!B496="IT",Earnings!B496*2,
IF(Final_Payroll!B496="Finance",Earnings!B496*1.5,
IF(Final_Payroll!B496="HR",Earnings!B496*1.2,
Earnings!B496*1.3))))</f>
        <v>938922.33499999996</v>
      </c>
      <c r="C496">
        <f>Earnings!B496 + Deductions!B496 + Deductions!C496 + Overtime!D496</f>
        <v>724047.95</v>
      </c>
      <c r="D496">
        <f t="shared" si="14"/>
        <v>214874.38500000001</v>
      </c>
      <c r="E496">
        <f t="shared" si="15"/>
        <v>1.296768169842895</v>
      </c>
    </row>
    <row r="497" spans="1:5" x14ac:dyDescent="0.35">
      <c r="A497" t="s">
        <v>528</v>
      </c>
      <c r="B497">
        <f>IF(Final_Payroll!B497="Sales",Earnings!B497*3,
IF(Final_Payroll!B497="IT",Earnings!B497*2,
IF(Final_Payroll!B497="Finance",Earnings!B497*1.5,
IF(Final_Payroll!B497="HR",Earnings!B497*1.2,
Earnings!B497*1.3))))</f>
        <v>1049634.4799999997</v>
      </c>
      <c r="C497">
        <f>Earnings!B497 + Deductions!B497 + Deductions!C497 + Overtime!D497</f>
        <v>876495.39999999991</v>
      </c>
      <c r="D497">
        <f t="shared" si="14"/>
        <v>173139.07999999984</v>
      </c>
      <c r="E497">
        <f t="shared" si="15"/>
        <v>1.1975356402326811</v>
      </c>
    </row>
    <row r="498" spans="1:5" x14ac:dyDescent="0.35">
      <c r="A498" t="s">
        <v>529</v>
      </c>
      <c r="B498">
        <f>IF(Final_Payroll!B498="Sales",Earnings!B498*3,
IF(Final_Payroll!B498="IT",Earnings!B498*2,
IF(Final_Payroll!B498="Finance",Earnings!B498*1.5,
IF(Final_Payroll!B498="HR",Earnings!B498*1.2,
Earnings!B498*1.3))))</f>
        <v>1212568.5</v>
      </c>
      <c r="C498">
        <f>Earnings!B498 + Deductions!B498 + Deductions!C498 + Overtime!D498</f>
        <v>1069793.0249999999</v>
      </c>
      <c r="D498">
        <f t="shared" si="14"/>
        <v>142775.47500000009</v>
      </c>
      <c r="E498">
        <f t="shared" si="15"/>
        <v>1.1334608393058088</v>
      </c>
    </row>
    <row r="499" spans="1:5" x14ac:dyDescent="0.35">
      <c r="A499" t="s">
        <v>530</v>
      </c>
      <c r="B499">
        <f>IF(Final_Payroll!B499="Sales",Earnings!B499*3,
IF(Final_Payroll!B499="IT",Earnings!B499*2,
IF(Final_Payroll!B499="Finance",Earnings!B499*1.5,
IF(Final_Payroll!B499="HR",Earnings!B499*1.2,
Earnings!B499*1.3))))</f>
        <v>2216125.7999999998</v>
      </c>
      <c r="C499">
        <f>Earnings!B499 + Deductions!B499 + Deductions!C499 + Overtime!D499</f>
        <v>1109862.8999999999</v>
      </c>
      <c r="D499">
        <f t="shared" si="14"/>
        <v>1106262.8999999999</v>
      </c>
      <c r="E499">
        <f t="shared" si="15"/>
        <v>1.9967563561229049</v>
      </c>
    </row>
    <row r="500" spans="1:5" x14ac:dyDescent="0.35">
      <c r="A500" t="s">
        <v>531</v>
      </c>
      <c r="B500">
        <f>IF(Final_Payroll!B500="Sales",Earnings!B500*3,
IF(Final_Payroll!B500="IT",Earnings!B500*2,
IF(Final_Payroll!B500="Finance",Earnings!B500*1.5,
IF(Final_Payroll!B500="HR",Earnings!B500*1.2,
Earnings!B500*1.3))))</f>
        <v>2909196</v>
      </c>
      <c r="C500">
        <f>Earnings!B500 + Deductions!B500 + Deductions!C500 + Overtime!D500</f>
        <v>1024867.26</v>
      </c>
      <c r="D500">
        <f t="shared" si="14"/>
        <v>1884328.74</v>
      </c>
      <c r="E500">
        <f t="shared" si="15"/>
        <v>2.8386076066084889</v>
      </c>
    </row>
    <row r="501" spans="1:5" x14ac:dyDescent="0.35">
      <c r="A501" t="s">
        <v>532</v>
      </c>
      <c r="B501">
        <f>IF(Final_Payroll!B501="Sales",Earnings!B501*3,
IF(Final_Payroll!B501="IT",Earnings!B501*2,
IF(Final_Payroll!B501="Finance",Earnings!B501*1.5,
IF(Final_Payroll!B501="HR",Earnings!B501*1.2,
Earnings!B501*1.3))))</f>
        <v>2080516</v>
      </c>
      <c r="C501">
        <f>Earnings!B501 + Deductions!B501 + Deductions!C501 + Overtime!D501</f>
        <v>1042058</v>
      </c>
      <c r="D501">
        <f t="shared" si="14"/>
        <v>1038458</v>
      </c>
      <c r="E501">
        <f t="shared" si="15"/>
        <v>1.9965452978624991</v>
      </c>
    </row>
    <row r="502" spans="1:5" x14ac:dyDescent="0.35">
      <c r="A502" t="s">
        <v>533</v>
      </c>
      <c r="B502">
        <f>IF(Final_Payroll!B502="Sales",Earnings!B502*3,
IF(Final_Payroll!B502="IT",Earnings!B502*2,
IF(Final_Payroll!B502="Finance",Earnings!B502*1.5,
IF(Final_Payroll!B502="HR",Earnings!B502*1.2,
Earnings!B502*1.3))))</f>
        <v>1204579.0999999999</v>
      </c>
      <c r="C502">
        <f>Earnings!B502 + Deductions!B502 + Deductions!C502 + Overtime!D502</f>
        <v>628181.13199999998</v>
      </c>
      <c r="D502">
        <f t="shared" si="14"/>
        <v>576397.96799999988</v>
      </c>
      <c r="E502">
        <f t="shared" si="15"/>
        <v>1.9175665085082496</v>
      </c>
    </row>
    <row r="503" spans="1:5" x14ac:dyDescent="0.35">
      <c r="A503" t="s">
        <v>534</v>
      </c>
      <c r="B503">
        <f>IF(Final_Payroll!B503="Sales",Earnings!B503*3,
IF(Final_Payroll!B503="IT",Earnings!B503*2,
IF(Final_Payroll!B503="Finance",Earnings!B503*1.5,
IF(Final_Payroll!B503="HR",Earnings!B503*1.2,
Earnings!B503*1.3))))</f>
        <v>522203.69500000007</v>
      </c>
      <c r="C503">
        <f>Earnings!B503 + Deductions!B503 + Deductions!C503 + Overtime!D503</f>
        <v>439647.71350000001</v>
      </c>
      <c r="D503">
        <f t="shared" si="14"/>
        <v>82555.981500000053</v>
      </c>
      <c r="E503">
        <f t="shared" si="15"/>
        <v>1.1877775750106341</v>
      </c>
    </row>
    <row r="504" spans="1:5" x14ac:dyDescent="0.35">
      <c r="A504" t="s">
        <v>535</v>
      </c>
      <c r="B504">
        <f>IF(Final_Payroll!B504="Sales",Earnings!B504*3,
IF(Final_Payroll!B504="IT",Earnings!B504*2,
IF(Final_Payroll!B504="Finance",Earnings!B504*1.5,
IF(Final_Payroll!B504="HR",Earnings!B504*1.2,
Earnings!B504*1.3))))</f>
        <v>664640.6</v>
      </c>
      <c r="C504">
        <f>Earnings!B504 + Deductions!B504 + Deductions!C504 + Overtime!D504</f>
        <v>536068.79</v>
      </c>
      <c r="D504">
        <f t="shared" si="14"/>
        <v>128571.80999999994</v>
      </c>
      <c r="E504">
        <f t="shared" si="15"/>
        <v>1.2398419986360332</v>
      </c>
    </row>
    <row r="505" spans="1:5" x14ac:dyDescent="0.35">
      <c r="A505" t="s">
        <v>536</v>
      </c>
      <c r="B505">
        <f>IF(Final_Payroll!B505="Sales",Earnings!B505*3,
IF(Final_Payroll!B505="IT",Earnings!B505*2,
IF(Final_Payroll!B505="Finance",Earnings!B505*1.5,
IF(Final_Payroll!B505="HR",Earnings!B505*1.2,
Earnings!B505*1.3))))</f>
        <v>1015416.2399999999</v>
      </c>
      <c r="C505">
        <f>Earnings!B505 + Deductions!B505 + Deductions!C505 + Overtime!D505</f>
        <v>847980.2</v>
      </c>
      <c r="D505">
        <f t="shared" si="14"/>
        <v>167436.03999999992</v>
      </c>
      <c r="E505">
        <f t="shared" si="15"/>
        <v>1.1974527707132783</v>
      </c>
    </row>
    <row r="506" spans="1:5" x14ac:dyDescent="0.35">
      <c r="A506" t="s">
        <v>537</v>
      </c>
      <c r="B506">
        <f>IF(Final_Payroll!B506="Sales",Earnings!B506*3,
IF(Final_Payroll!B506="IT",Earnings!B506*2,
IF(Final_Payroll!B506="Finance",Earnings!B506*1.5,
IF(Final_Payroll!B506="HR",Earnings!B506*1.2,
Earnings!B506*1.3))))</f>
        <v>2877351</v>
      </c>
      <c r="C506">
        <f>Earnings!B506 + Deductions!B506 + Deductions!C506 + Overtime!D506</f>
        <v>1099988.9650000001</v>
      </c>
      <c r="D506">
        <f t="shared" si="14"/>
        <v>1777362.0349999999</v>
      </c>
      <c r="E506">
        <f t="shared" si="15"/>
        <v>2.6157998775924081</v>
      </c>
    </row>
    <row r="507" spans="1:5" x14ac:dyDescent="0.35">
      <c r="A507" t="s">
        <v>538</v>
      </c>
      <c r="B507">
        <f>IF(Final_Payroll!B507="Sales",Earnings!B507*3,
IF(Final_Payroll!B507="IT",Earnings!B507*2,
IF(Final_Payroll!B507="Finance",Earnings!B507*1.5,
IF(Final_Payroll!B507="HR",Earnings!B507*1.2,
Earnings!B507*1.3))))</f>
        <v>1656429.5</v>
      </c>
      <c r="C507">
        <f>Earnings!B507 + Deductions!B507 + Deductions!C507 + Overtime!D507</f>
        <v>830014.75</v>
      </c>
      <c r="D507">
        <f t="shared" si="14"/>
        <v>826414.75</v>
      </c>
      <c r="E507">
        <f t="shared" si="15"/>
        <v>1.9956627276804417</v>
      </c>
    </row>
    <row r="508" spans="1:5" x14ac:dyDescent="0.35">
      <c r="A508" t="s">
        <v>539</v>
      </c>
      <c r="B508">
        <f>IF(Final_Payroll!B508="Sales",Earnings!B508*3,
IF(Final_Payroll!B508="IT",Earnings!B508*2,
IF(Final_Payroll!B508="Finance",Earnings!B508*1.5,
IF(Final_Payroll!B508="HR",Earnings!B508*1.2,
Earnings!B508*1.3))))</f>
        <v>1125480.2</v>
      </c>
      <c r="C508">
        <f>Earnings!B508 + Deductions!B508 + Deductions!C508 + Overtime!D508</f>
        <v>902184.16</v>
      </c>
      <c r="D508">
        <f t="shared" si="14"/>
        <v>223296.03999999992</v>
      </c>
      <c r="E508">
        <f t="shared" si="15"/>
        <v>1.2475060524228223</v>
      </c>
    </row>
    <row r="509" spans="1:5" x14ac:dyDescent="0.35">
      <c r="A509" t="s">
        <v>540</v>
      </c>
      <c r="B509">
        <f>IF(Final_Payroll!B509="Sales",Earnings!B509*3,
IF(Final_Payroll!B509="IT",Earnings!B509*2,
IF(Final_Payroll!B509="Finance",Earnings!B509*1.5,
IF(Final_Payroll!B509="HR",Earnings!B509*1.2,
Earnings!B509*1.3))))</f>
        <v>3093250.3499999996</v>
      </c>
      <c r="C509">
        <f>Earnings!B509 + Deductions!B509 + Deductions!C509 + Overtime!D509</f>
        <v>1141147.2122499999</v>
      </c>
      <c r="D509">
        <f t="shared" si="14"/>
        <v>1952103.1377499998</v>
      </c>
      <c r="E509">
        <f t="shared" si="15"/>
        <v>2.710649701278276</v>
      </c>
    </row>
    <row r="510" spans="1:5" x14ac:dyDescent="0.35">
      <c r="A510" t="s">
        <v>541</v>
      </c>
      <c r="B510">
        <f>IF(Final_Payroll!B510="Sales",Earnings!B510*3,
IF(Final_Payroll!B510="IT",Earnings!B510*2,
IF(Final_Payroll!B510="Finance",Earnings!B510*1.5,
IF(Final_Payroll!B510="HR",Earnings!B510*1.2,
Earnings!B510*1.3))))</f>
        <v>861973.5</v>
      </c>
      <c r="C510">
        <f>Earnings!B510 + Deductions!B510 + Deductions!C510 + Overtime!D510</f>
        <v>576449</v>
      </c>
      <c r="D510">
        <f t="shared" si="14"/>
        <v>285524.5</v>
      </c>
      <c r="E510">
        <f t="shared" si="15"/>
        <v>1.4953161511252513</v>
      </c>
    </row>
    <row r="511" spans="1:5" x14ac:dyDescent="0.35">
      <c r="A511" t="s">
        <v>542</v>
      </c>
      <c r="B511">
        <f>IF(Final_Payroll!B511="Sales",Earnings!B511*3,
IF(Final_Payroll!B511="IT",Earnings!B511*2,
IF(Final_Payroll!B511="Finance",Earnings!B511*1.5,
IF(Final_Payroll!B511="HR",Earnings!B511*1.2,
Earnings!B511*1.3))))</f>
        <v>632229.6</v>
      </c>
      <c r="C511">
        <f>Earnings!B511 + Deductions!B511 + Deductions!C511 + Overtime!D511</f>
        <v>568172.35</v>
      </c>
      <c r="D511">
        <f t="shared" si="14"/>
        <v>64057.25</v>
      </c>
      <c r="E511">
        <f t="shared" si="15"/>
        <v>1.1127426387433321</v>
      </c>
    </row>
    <row r="512" spans="1:5" x14ac:dyDescent="0.35">
      <c r="A512" t="s">
        <v>543</v>
      </c>
      <c r="B512">
        <f>IF(Final_Payroll!B512="Sales",Earnings!B512*3,
IF(Final_Payroll!B512="IT",Earnings!B512*2,
IF(Final_Payroll!B512="Finance",Earnings!B512*1.5,
IF(Final_Payroll!B512="HR",Earnings!B512*1.2,
Earnings!B512*1.3))))</f>
        <v>1539902.5</v>
      </c>
      <c r="C512">
        <f>Earnings!B512 + Deductions!B512 + Deductions!C512 + Overtime!D512</f>
        <v>771751.25</v>
      </c>
      <c r="D512">
        <f t="shared" si="14"/>
        <v>768151.25</v>
      </c>
      <c r="E512">
        <f t="shared" si="15"/>
        <v>1.9953352845233487</v>
      </c>
    </row>
    <row r="513" spans="1:5" x14ac:dyDescent="0.35">
      <c r="A513" t="s">
        <v>544</v>
      </c>
      <c r="B513">
        <f>IF(Final_Payroll!B513="Sales",Earnings!B513*3,
IF(Final_Payroll!B513="IT",Earnings!B513*2,
IF(Final_Payroll!B513="Finance",Earnings!B513*1.5,
IF(Final_Payroll!B513="HR",Earnings!B513*1.2,
Earnings!B513*1.3))))</f>
        <v>1742589</v>
      </c>
      <c r="C513">
        <f>Earnings!B513 + Deductions!B513 + Deductions!C513 + Overtime!D513</f>
        <v>629132.04</v>
      </c>
      <c r="D513">
        <f t="shared" si="14"/>
        <v>1113456.96</v>
      </c>
      <c r="E513">
        <f t="shared" si="15"/>
        <v>2.7698303205158648</v>
      </c>
    </row>
    <row r="514" spans="1:5" x14ac:dyDescent="0.35">
      <c r="A514" t="s">
        <v>545</v>
      </c>
      <c r="B514">
        <f>IF(Final_Payroll!B514="Sales",Earnings!B514*3,
IF(Final_Payroll!B514="IT",Earnings!B514*2,
IF(Final_Payroll!B514="Finance",Earnings!B514*1.5,
IF(Final_Payroll!B514="HR",Earnings!B514*1.2,
Earnings!B514*1.3))))</f>
        <v>1382007.75</v>
      </c>
      <c r="C514">
        <f>Earnings!B514 + Deductions!B514 + Deductions!C514 + Overtime!D514</f>
        <v>923138.5</v>
      </c>
      <c r="D514">
        <f t="shared" ref="D514:D577" si="16">B514-C514</f>
        <v>458869.25</v>
      </c>
      <c r="E514">
        <f t="shared" ref="E514:E577" si="17">IF(C514=0,0,B514/C514)</f>
        <v>1.4970751951088597</v>
      </c>
    </row>
    <row r="515" spans="1:5" x14ac:dyDescent="0.35">
      <c r="A515" t="s">
        <v>546</v>
      </c>
      <c r="B515">
        <f>IF(Final_Payroll!B515="Sales",Earnings!B515*3,
IF(Final_Payroll!B515="IT",Earnings!B515*2,
IF(Final_Payroll!B515="Finance",Earnings!B515*1.5,
IF(Final_Payroll!B515="HR",Earnings!B515*1.2,
Earnings!B515*1.3))))</f>
        <v>973484.75999999989</v>
      </c>
      <c r="C515">
        <f>Earnings!B515 + Deductions!B515 + Deductions!C515 + Overtime!D515</f>
        <v>934722.8949999999</v>
      </c>
      <c r="D515">
        <f t="shared" si="16"/>
        <v>38761.864999999991</v>
      </c>
      <c r="E515">
        <f t="shared" si="17"/>
        <v>1.0414688301820187</v>
      </c>
    </row>
    <row r="516" spans="1:5" x14ac:dyDescent="0.35">
      <c r="A516" t="s">
        <v>547</v>
      </c>
      <c r="B516">
        <f>IF(Final_Payroll!B516="Sales",Earnings!B516*3,
IF(Final_Payroll!B516="IT",Earnings!B516*2,
IF(Final_Payroll!B516="Finance",Earnings!B516*1.5,
IF(Final_Payroll!B516="HR",Earnings!B516*1.2,
Earnings!B516*1.3))))</f>
        <v>3083115</v>
      </c>
      <c r="C516">
        <f>Earnings!B516 + Deductions!B516 + Deductions!C516 + Overtime!D516</f>
        <v>1065474.675</v>
      </c>
      <c r="D516">
        <f t="shared" si="16"/>
        <v>2017640.325</v>
      </c>
      <c r="E516">
        <f t="shared" si="17"/>
        <v>2.89365394818042</v>
      </c>
    </row>
    <row r="517" spans="1:5" x14ac:dyDescent="0.35">
      <c r="A517" t="s">
        <v>548</v>
      </c>
      <c r="B517">
        <f>IF(Final_Payroll!B517="Sales",Earnings!B517*3,
IF(Final_Payroll!B517="IT",Earnings!B517*2,
IF(Final_Payroll!B517="Finance",Earnings!B517*1.5,
IF(Final_Payroll!B517="HR",Earnings!B517*1.2,
Earnings!B517*1.3))))</f>
        <v>2631749.8499999996</v>
      </c>
      <c r="C517">
        <f>Earnings!B517 + Deductions!B517 + Deductions!C517 + Overtime!D517</f>
        <v>879049.95</v>
      </c>
      <c r="D517">
        <f t="shared" si="16"/>
        <v>1752699.8999999997</v>
      </c>
      <c r="E517">
        <f t="shared" si="17"/>
        <v>2.9938570043715944</v>
      </c>
    </row>
    <row r="518" spans="1:5" x14ac:dyDescent="0.35">
      <c r="A518" t="s">
        <v>549</v>
      </c>
      <c r="B518">
        <f>IF(Final_Payroll!B518="Sales",Earnings!B518*3,
IF(Final_Payroll!B518="IT",Earnings!B518*2,
IF(Final_Payroll!B518="Finance",Earnings!B518*1.5,
IF(Final_Payroll!B518="HR",Earnings!B518*1.2,
Earnings!B518*1.3))))</f>
        <v>2902376</v>
      </c>
      <c r="C518">
        <f>Earnings!B518 + Deductions!B518 + Deductions!C518 + Overtime!D518</f>
        <v>1452988</v>
      </c>
      <c r="D518">
        <f t="shared" si="16"/>
        <v>1449388</v>
      </c>
      <c r="E518">
        <f t="shared" si="17"/>
        <v>1.9975223470531072</v>
      </c>
    </row>
    <row r="519" spans="1:5" x14ac:dyDescent="0.35">
      <c r="A519" t="s">
        <v>550</v>
      </c>
      <c r="B519">
        <f>IF(Final_Payroll!B519="Sales",Earnings!B519*3,
IF(Final_Payroll!B519="IT",Earnings!B519*2,
IF(Final_Payroll!B519="Finance",Earnings!B519*1.5,
IF(Final_Payroll!B519="HR",Earnings!B519*1.2,
Earnings!B519*1.3))))</f>
        <v>2477110</v>
      </c>
      <c r="C519">
        <f>Earnings!B519 + Deductions!B519 + Deductions!C519 + Overtime!D519</f>
        <v>1240355</v>
      </c>
      <c r="D519">
        <f t="shared" si="16"/>
        <v>1236755</v>
      </c>
      <c r="E519">
        <f t="shared" si="17"/>
        <v>1.9970976051211144</v>
      </c>
    </row>
    <row r="520" spans="1:5" x14ac:dyDescent="0.35">
      <c r="A520" t="s">
        <v>551</v>
      </c>
      <c r="B520">
        <f>IF(Final_Payroll!B520="Sales",Earnings!B520*3,
IF(Final_Payroll!B520="IT",Earnings!B520*2,
IF(Final_Payroll!B520="Finance",Earnings!B520*1.5,
IF(Final_Payroll!B520="HR",Earnings!B520*1.2,
Earnings!B520*1.3))))</f>
        <v>2475817.7999999998</v>
      </c>
      <c r="C520">
        <f>Earnings!B520 + Deductions!B520 + Deductions!C520 + Overtime!D520</f>
        <v>827072.6</v>
      </c>
      <c r="D520">
        <f t="shared" si="16"/>
        <v>1648745.1999999997</v>
      </c>
      <c r="E520">
        <f t="shared" si="17"/>
        <v>2.9934709480159296</v>
      </c>
    </row>
    <row r="521" spans="1:5" x14ac:dyDescent="0.35">
      <c r="A521" t="s">
        <v>552</v>
      </c>
      <c r="B521">
        <f>IF(Final_Payroll!B521="Sales",Earnings!B521*3,
IF(Final_Payroll!B521="IT",Earnings!B521*2,
IF(Final_Payroll!B521="Finance",Earnings!B521*1.5,
IF(Final_Payroll!B521="HR",Earnings!B521*1.2,
Earnings!B521*1.3))))</f>
        <v>1626647.4749999999</v>
      </c>
      <c r="C521">
        <f>Earnings!B521 + Deductions!B521 + Deductions!C521 + Overtime!D521</f>
        <v>1086231.6499999999</v>
      </c>
      <c r="D521">
        <f t="shared" si="16"/>
        <v>540415.82499999995</v>
      </c>
      <c r="E521">
        <f t="shared" si="17"/>
        <v>1.4975143423596615</v>
      </c>
    </row>
    <row r="522" spans="1:5" x14ac:dyDescent="0.35">
      <c r="A522" t="s">
        <v>553</v>
      </c>
      <c r="B522">
        <f>IF(Final_Payroll!B522="Sales",Earnings!B522*3,
IF(Final_Payroll!B522="IT",Earnings!B522*2,
IF(Final_Payroll!B522="Finance",Earnings!B522*1.5,
IF(Final_Payroll!B522="HR",Earnings!B522*1.2,
Earnings!B522*1.3))))</f>
        <v>2659320.75</v>
      </c>
      <c r="C522">
        <f>Earnings!B522 + Deductions!B522 + Deductions!C522 + Overtime!D522</f>
        <v>963587.67125000001</v>
      </c>
      <c r="D522">
        <f t="shared" si="16"/>
        <v>1695733.0787499999</v>
      </c>
      <c r="E522">
        <f t="shared" si="17"/>
        <v>2.7598119292562502</v>
      </c>
    </row>
    <row r="523" spans="1:5" x14ac:dyDescent="0.35">
      <c r="A523" t="s">
        <v>554</v>
      </c>
      <c r="B523">
        <f>IF(Final_Payroll!B523="Sales",Earnings!B523*3,
IF(Final_Payroll!B523="IT",Earnings!B523*2,
IF(Final_Payroll!B523="Finance",Earnings!B523*1.5,
IF(Final_Payroll!B523="HR",Earnings!B523*1.2,
Earnings!B523*1.3))))</f>
        <v>749146.79999999993</v>
      </c>
      <c r="C523">
        <f>Earnings!B523 + Deductions!B523 + Deductions!C523 + Overtime!D523</f>
        <v>626089</v>
      </c>
      <c r="D523">
        <f t="shared" si="16"/>
        <v>123057.79999999993</v>
      </c>
      <c r="E523">
        <f t="shared" si="17"/>
        <v>1.1965500112603797</v>
      </c>
    </row>
    <row r="524" spans="1:5" x14ac:dyDescent="0.35">
      <c r="A524" t="s">
        <v>555</v>
      </c>
      <c r="B524">
        <f>IF(Final_Payroll!B524="Sales",Earnings!B524*3,
IF(Final_Payroll!B524="IT",Earnings!B524*2,
IF(Final_Payroll!B524="Finance",Earnings!B524*1.5,
IF(Final_Payroll!B524="HR",Earnings!B524*1.2,
Earnings!B524*1.3))))</f>
        <v>2912097</v>
      </c>
      <c r="C524">
        <f>Earnings!B524 + Deductions!B524 + Deductions!C524 + Overtime!D524</f>
        <v>972499</v>
      </c>
      <c r="D524">
        <f t="shared" si="16"/>
        <v>1939598</v>
      </c>
      <c r="E524">
        <f t="shared" si="17"/>
        <v>2.994447295061486</v>
      </c>
    </row>
    <row r="525" spans="1:5" x14ac:dyDescent="0.35">
      <c r="A525" t="s">
        <v>556</v>
      </c>
      <c r="B525">
        <f>IF(Final_Payroll!B525="Sales",Earnings!B525*3,
IF(Final_Payroll!B525="IT",Earnings!B525*2,
IF(Final_Payroll!B525="Finance",Earnings!B525*1.5,
IF(Final_Payroll!B525="HR",Earnings!B525*1.2,
Earnings!B525*1.3))))</f>
        <v>888719</v>
      </c>
      <c r="C525">
        <f>Earnings!B525 + Deductions!B525 + Deductions!C525 + Overtime!D525</f>
        <v>685430</v>
      </c>
      <c r="D525">
        <f t="shared" si="16"/>
        <v>203289</v>
      </c>
      <c r="E525">
        <f t="shared" si="17"/>
        <v>1.2965860846475934</v>
      </c>
    </row>
    <row r="526" spans="1:5" x14ac:dyDescent="0.35">
      <c r="A526" t="s">
        <v>557</v>
      </c>
      <c r="B526">
        <f>IF(Final_Payroll!B526="Sales",Earnings!B526*3,
IF(Final_Payroll!B526="IT",Earnings!B526*2,
IF(Final_Payroll!B526="Finance",Earnings!B526*1.5,
IF(Final_Payroll!B526="HR",Earnings!B526*1.2,
Earnings!B526*1.3))))</f>
        <v>1132313.5499999998</v>
      </c>
      <c r="C526">
        <f>Earnings!B526 + Deductions!B526 + Deductions!C526 + Overtime!D526</f>
        <v>756675.7</v>
      </c>
      <c r="D526">
        <f t="shared" si="16"/>
        <v>375637.84999999986</v>
      </c>
      <c r="E526">
        <f t="shared" si="17"/>
        <v>1.4964317606604782</v>
      </c>
    </row>
    <row r="527" spans="1:5" x14ac:dyDescent="0.35">
      <c r="A527" t="s">
        <v>558</v>
      </c>
      <c r="B527">
        <f>IF(Final_Payroll!B527="Sales",Earnings!B527*3,
IF(Final_Payroll!B527="IT",Earnings!B527*2,
IF(Final_Payroll!B527="Finance",Earnings!B527*1.5,
IF(Final_Payroll!B527="HR",Earnings!B527*1.2,
Earnings!B527*1.3))))</f>
        <v>474184.42499999999</v>
      </c>
      <c r="C527">
        <f>Earnings!B527 + Deductions!B527 + Deductions!C527 + Overtime!D527</f>
        <v>366557.25</v>
      </c>
      <c r="D527">
        <f t="shared" si="16"/>
        <v>107627.17499999999</v>
      </c>
      <c r="E527">
        <f t="shared" si="17"/>
        <v>1.2936162768571622</v>
      </c>
    </row>
    <row r="528" spans="1:5" x14ac:dyDescent="0.35">
      <c r="A528" t="s">
        <v>559</v>
      </c>
      <c r="B528">
        <f>IF(Final_Payroll!B528="Sales",Earnings!B528*3,
IF(Final_Payroll!B528="IT",Earnings!B528*2,
IF(Final_Payroll!B528="Finance",Earnings!B528*1.5,
IF(Final_Payroll!B528="HR",Earnings!B528*1.2,
Earnings!B528*1.3))))</f>
        <v>775398.35999999987</v>
      </c>
      <c r="C528">
        <f>Earnings!B528 + Deductions!B528 + Deductions!C528 + Overtime!D528</f>
        <v>647965.29999999993</v>
      </c>
      <c r="D528">
        <f t="shared" si="16"/>
        <v>127433.05999999994</v>
      </c>
      <c r="E528">
        <f t="shared" si="17"/>
        <v>1.1966664881591653</v>
      </c>
    </row>
    <row r="529" spans="1:5" x14ac:dyDescent="0.35">
      <c r="A529" t="s">
        <v>560</v>
      </c>
      <c r="B529">
        <f>IF(Final_Payroll!B529="Sales",Earnings!B529*3,
IF(Final_Payroll!B529="IT",Earnings!B529*2,
IF(Final_Payroll!B529="Finance",Earnings!B529*1.5,
IF(Final_Payroll!B529="HR",Earnings!B529*1.2,
Earnings!B529*1.3))))</f>
        <v>2341598</v>
      </c>
      <c r="C529">
        <f>Earnings!B529 + Deductions!B529 + Deductions!C529 + Overtime!D529</f>
        <v>1201868.9750000001</v>
      </c>
      <c r="D529">
        <f t="shared" si="16"/>
        <v>1139729.0249999999</v>
      </c>
      <c r="E529">
        <f t="shared" si="17"/>
        <v>1.9482972343137486</v>
      </c>
    </row>
    <row r="530" spans="1:5" x14ac:dyDescent="0.35">
      <c r="A530" t="s">
        <v>561</v>
      </c>
      <c r="B530">
        <f>IF(Final_Payroll!B530="Sales",Earnings!B530*3,
IF(Final_Payroll!B530="IT",Earnings!B530*2,
IF(Final_Payroll!B530="Finance",Earnings!B530*1.5,
IF(Final_Payroll!B530="HR",Earnings!B530*1.2,
Earnings!B530*1.3))))</f>
        <v>797600.4</v>
      </c>
      <c r="C530">
        <f>Earnings!B530 + Deductions!B530 + Deductions!C530 + Overtime!D530</f>
        <v>729610.36499999999</v>
      </c>
      <c r="D530">
        <f t="shared" si="16"/>
        <v>67990.035000000033</v>
      </c>
      <c r="E530">
        <f t="shared" si="17"/>
        <v>1.0931867723671935</v>
      </c>
    </row>
    <row r="531" spans="1:5" x14ac:dyDescent="0.35">
      <c r="A531" t="s">
        <v>562</v>
      </c>
      <c r="B531">
        <f>IF(Final_Payroll!B531="Sales",Earnings!B531*3,
IF(Final_Payroll!B531="IT",Earnings!B531*2,
IF(Final_Payroll!B531="Finance",Earnings!B531*1.5,
IF(Final_Payroll!B531="HR",Earnings!B531*1.2,
Earnings!B531*1.3))))</f>
        <v>2084778</v>
      </c>
      <c r="C531">
        <f>Earnings!B531 + Deductions!B531 + Deductions!C531 + Overtime!D531</f>
        <v>1044189</v>
      </c>
      <c r="D531">
        <f t="shared" si="16"/>
        <v>1040589</v>
      </c>
      <c r="E531">
        <f t="shared" si="17"/>
        <v>1.9965523482817766</v>
      </c>
    </row>
    <row r="532" spans="1:5" x14ac:dyDescent="0.35">
      <c r="A532" t="s">
        <v>563</v>
      </c>
      <c r="B532">
        <f>IF(Final_Payroll!B532="Sales",Earnings!B532*3,
IF(Final_Payroll!B532="IT",Earnings!B532*2,
IF(Final_Payroll!B532="Finance",Earnings!B532*1.5,
IF(Final_Payroll!B532="HR",Earnings!B532*1.2,
Earnings!B532*1.3))))</f>
        <v>1244268.6749999998</v>
      </c>
      <c r="C532">
        <f>Earnings!B532 + Deductions!B532 + Deductions!C532 + Overtime!D532</f>
        <v>893525.88374999992</v>
      </c>
      <c r="D532">
        <f t="shared" si="16"/>
        <v>350742.79124999989</v>
      </c>
      <c r="E532">
        <f t="shared" si="17"/>
        <v>1.3925379193023293</v>
      </c>
    </row>
    <row r="533" spans="1:5" x14ac:dyDescent="0.35">
      <c r="A533" t="s">
        <v>564</v>
      </c>
      <c r="B533">
        <f>IF(Final_Payroll!B533="Sales",Earnings!B533*3,
IF(Final_Payroll!B533="IT",Earnings!B533*2,
IF(Final_Payroll!B533="Finance",Earnings!B533*1.5,
IF(Final_Payroll!B533="HR",Earnings!B533*1.2,
Earnings!B533*1.3))))</f>
        <v>880829.3</v>
      </c>
      <c r="C533">
        <f>Earnings!B533 + Deductions!B533 + Deductions!C533 + Overtime!D533</f>
        <v>774219.54</v>
      </c>
      <c r="D533">
        <f t="shared" si="16"/>
        <v>106609.76000000001</v>
      </c>
      <c r="E533">
        <f t="shared" si="17"/>
        <v>1.13769965041182</v>
      </c>
    </row>
    <row r="534" spans="1:5" x14ac:dyDescent="0.35">
      <c r="A534" t="s">
        <v>565</v>
      </c>
      <c r="B534">
        <f>IF(Final_Payroll!B534="Sales",Earnings!B534*3,
IF(Final_Payroll!B534="IT",Earnings!B534*2,
IF(Final_Payroll!B534="Finance",Earnings!B534*1.5,
IF(Final_Payroll!B534="HR",Earnings!B534*1.2,
Earnings!B534*1.3))))</f>
        <v>1003009.2</v>
      </c>
      <c r="C534">
        <f>Earnings!B534 + Deductions!B534 + Deductions!C534 + Overtime!D534</f>
        <v>942121.125</v>
      </c>
      <c r="D534">
        <f t="shared" si="16"/>
        <v>60888.074999999953</v>
      </c>
      <c r="E534">
        <f t="shared" si="17"/>
        <v>1.0646287121520601</v>
      </c>
    </row>
    <row r="535" spans="1:5" x14ac:dyDescent="0.35">
      <c r="A535" t="s">
        <v>566</v>
      </c>
      <c r="B535">
        <f>IF(Final_Payroll!B535="Sales",Earnings!B535*3,
IF(Final_Payroll!B535="IT",Earnings!B535*2,
IF(Final_Payroll!B535="Finance",Earnings!B535*1.5,
IF(Final_Payroll!B535="HR",Earnings!B535*1.2,
Earnings!B535*1.3))))</f>
        <v>1485486.9749999999</v>
      </c>
      <c r="C535">
        <f>Earnings!B535 + Deductions!B535 + Deductions!C535 + Overtime!D535</f>
        <v>992124.64999999991</v>
      </c>
      <c r="D535">
        <f t="shared" si="16"/>
        <v>493362.32499999995</v>
      </c>
      <c r="E535">
        <f t="shared" si="17"/>
        <v>1.4972785677686771</v>
      </c>
    </row>
    <row r="536" spans="1:5" x14ac:dyDescent="0.35">
      <c r="A536" t="s">
        <v>567</v>
      </c>
      <c r="B536">
        <f>IF(Final_Payroll!B536="Sales",Earnings!B536*3,
IF(Final_Payroll!B536="IT",Earnings!B536*2,
IF(Final_Payroll!B536="Finance",Earnings!B536*1.5,
IF(Final_Payroll!B536="HR",Earnings!B536*1.2,
Earnings!B536*1.3))))</f>
        <v>1137771.2999999998</v>
      </c>
      <c r="C536">
        <f>Earnings!B536 + Deductions!B536 + Deductions!C536 + Overtime!D536</f>
        <v>874091.33</v>
      </c>
      <c r="D536">
        <f t="shared" si="16"/>
        <v>263679.96999999986</v>
      </c>
      <c r="E536">
        <f t="shared" si="17"/>
        <v>1.3016618068960824</v>
      </c>
    </row>
    <row r="537" spans="1:5" x14ac:dyDescent="0.35">
      <c r="A537" t="s">
        <v>568</v>
      </c>
      <c r="B537">
        <f>IF(Final_Payroll!B537="Sales",Earnings!B537*3,
IF(Final_Payroll!B537="IT",Earnings!B537*2,
IF(Final_Payroll!B537="Finance",Earnings!B537*1.5,
IF(Final_Payroll!B537="HR",Earnings!B537*1.2,
Earnings!B537*1.3))))</f>
        <v>1003161.2399999999</v>
      </c>
      <c r="C537">
        <f>Earnings!B537 + Deductions!B537 + Deductions!C537 + Overtime!D537</f>
        <v>954803.17799999996</v>
      </c>
      <c r="D537">
        <f t="shared" si="16"/>
        <v>48358.061999999918</v>
      </c>
      <c r="E537">
        <f t="shared" si="17"/>
        <v>1.0506471523286027</v>
      </c>
    </row>
    <row r="538" spans="1:5" x14ac:dyDescent="0.35">
      <c r="A538" t="s">
        <v>569</v>
      </c>
      <c r="B538">
        <f>IF(Final_Payroll!B538="Sales",Earnings!B538*3,
IF(Final_Payroll!B538="IT",Earnings!B538*2,
IF(Final_Payroll!B538="Finance",Earnings!B538*1.5,
IF(Final_Payroll!B538="HR",Earnings!B538*1.2,
Earnings!B538*1.3))))</f>
        <v>1640808</v>
      </c>
      <c r="C538">
        <f>Earnings!B538 + Deductions!B538 + Deductions!C538 + Overtime!D538</f>
        <v>1177712.3999999999</v>
      </c>
      <c r="D538">
        <f t="shared" si="16"/>
        <v>463095.60000000009</v>
      </c>
      <c r="E538">
        <f t="shared" si="17"/>
        <v>1.393216204567431</v>
      </c>
    </row>
    <row r="539" spans="1:5" x14ac:dyDescent="0.35">
      <c r="A539" t="s">
        <v>570</v>
      </c>
      <c r="B539">
        <f>IF(Final_Payroll!B539="Sales",Earnings!B539*3,
IF(Final_Payroll!B539="IT",Earnings!B539*2,
IF(Final_Payroll!B539="Finance",Earnings!B539*1.5,
IF(Final_Payroll!B539="HR",Earnings!B539*1.2,
Earnings!B539*1.3))))</f>
        <v>1674021</v>
      </c>
      <c r="C539">
        <f>Earnings!B539 + Deductions!B539 + Deductions!C539 + Overtime!D539</f>
        <v>1117814</v>
      </c>
      <c r="D539">
        <f t="shared" si="16"/>
        <v>556207</v>
      </c>
      <c r="E539">
        <f t="shared" si="17"/>
        <v>1.4975845713150846</v>
      </c>
    </row>
    <row r="540" spans="1:5" x14ac:dyDescent="0.35">
      <c r="A540" t="s">
        <v>571</v>
      </c>
      <c r="B540">
        <f>IF(Final_Payroll!B540="Sales",Earnings!B540*3,
IF(Final_Payroll!B540="IT",Earnings!B540*2,
IF(Final_Payroll!B540="Finance",Earnings!B540*1.5,
IF(Final_Payroll!B540="HR",Earnings!B540*1.2,
Earnings!B540*1.3))))</f>
        <v>2537239.1</v>
      </c>
      <c r="C540">
        <f>Earnings!B540 + Deductions!B540 + Deductions!C540 + Overtime!D540</f>
        <v>1333850.5275000001</v>
      </c>
      <c r="D540">
        <f t="shared" si="16"/>
        <v>1203388.5725</v>
      </c>
      <c r="E540">
        <f t="shared" si="17"/>
        <v>1.9021914732496141</v>
      </c>
    </row>
    <row r="541" spans="1:5" x14ac:dyDescent="0.35">
      <c r="A541" t="s">
        <v>572</v>
      </c>
      <c r="B541">
        <f>IF(Final_Payroll!B541="Sales",Earnings!B541*3,
IF(Final_Payroll!B541="IT",Earnings!B541*2,
IF(Final_Payroll!B541="Finance",Earnings!B541*1.5,
IF(Final_Payroll!B541="HR",Earnings!B541*1.2,
Earnings!B541*1.3))))</f>
        <v>1582367.5</v>
      </c>
      <c r="C541">
        <f>Earnings!B541 + Deductions!B541 + Deductions!C541 + Overtime!D541</f>
        <v>907705.39375000005</v>
      </c>
      <c r="D541">
        <f t="shared" si="16"/>
        <v>674662.10624999995</v>
      </c>
      <c r="E541">
        <f t="shared" si="17"/>
        <v>1.7432610964916391</v>
      </c>
    </row>
    <row r="542" spans="1:5" x14ac:dyDescent="0.35">
      <c r="A542" t="s">
        <v>573</v>
      </c>
      <c r="B542">
        <f>IF(Final_Payroll!B542="Sales",Earnings!B542*3,
IF(Final_Payroll!B542="IT",Earnings!B542*2,
IF(Final_Payroll!B542="Finance",Earnings!B542*1.5,
IF(Final_Payroll!B542="HR",Earnings!B542*1.2,
Earnings!B542*1.3))))</f>
        <v>570710.79</v>
      </c>
      <c r="C542">
        <f>Earnings!B542 + Deductions!B542 + Deductions!C542 + Overtime!D542</f>
        <v>440808.3</v>
      </c>
      <c r="D542">
        <f t="shared" si="16"/>
        <v>129902.49000000005</v>
      </c>
      <c r="E542">
        <f t="shared" si="17"/>
        <v>1.294691570009004</v>
      </c>
    </row>
    <row r="543" spans="1:5" x14ac:dyDescent="0.35">
      <c r="A543" t="s">
        <v>574</v>
      </c>
      <c r="B543">
        <f>IF(Final_Payroll!B543="Sales",Earnings!B543*3,
IF(Final_Payroll!B543="IT",Earnings!B543*2,
IF(Final_Payroll!B543="Finance",Earnings!B543*1.5,
IF(Final_Payroll!B543="HR",Earnings!B543*1.2,
Earnings!B543*1.3))))</f>
        <v>2790423.6</v>
      </c>
      <c r="C543">
        <f>Earnings!B543 + Deductions!B543 + Deductions!C543 + Overtime!D543</f>
        <v>1487700.567</v>
      </c>
      <c r="D543">
        <f t="shared" si="16"/>
        <v>1302723.0330000001</v>
      </c>
      <c r="E543">
        <f t="shared" si="17"/>
        <v>1.8756621203868911</v>
      </c>
    </row>
    <row r="544" spans="1:5" x14ac:dyDescent="0.35">
      <c r="A544" t="s">
        <v>575</v>
      </c>
      <c r="B544">
        <f>IF(Final_Payroll!B544="Sales",Earnings!B544*3,
IF(Final_Payroll!B544="IT",Earnings!B544*2,
IF(Final_Payroll!B544="Finance",Earnings!B544*1.5,
IF(Final_Payroll!B544="HR",Earnings!B544*1.2,
Earnings!B544*1.3))))</f>
        <v>1056520.27</v>
      </c>
      <c r="C544">
        <f>Earnings!B544 + Deductions!B544 + Deductions!C544 + Overtime!D544</f>
        <v>814507.89999999991</v>
      </c>
      <c r="D544">
        <f t="shared" si="16"/>
        <v>242012.37000000011</v>
      </c>
      <c r="E544">
        <f t="shared" si="17"/>
        <v>1.2971270996880448</v>
      </c>
    </row>
    <row r="545" spans="1:5" x14ac:dyDescent="0.35">
      <c r="A545" t="s">
        <v>576</v>
      </c>
      <c r="B545">
        <f>IF(Final_Payroll!B545="Sales",Earnings!B545*3,
IF(Final_Payroll!B545="IT",Earnings!B545*2,
IF(Final_Payroll!B545="Finance",Earnings!B545*1.5,
IF(Final_Payroll!B545="HR",Earnings!B545*1.2,
Earnings!B545*1.3))))</f>
        <v>1256669.31</v>
      </c>
      <c r="C545">
        <f>Earnings!B545 + Deductions!B545 + Deductions!C545 + Overtime!D545</f>
        <v>968468.7</v>
      </c>
      <c r="D545">
        <f t="shared" si="16"/>
        <v>288200.6100000001</v>
      </c>
      <c r="E545">
        <f t="shared" si="17"/>
        <v>1.2975838145311254</v>
      </c>
    </row>
    <row r="546" spans="1:5" x14ac:dyDescent="0.35">
      <c r="A546" t="s">
        <v>577</v>
      </c>
      <c r="B546">
        <f>IF(Final_Payroll!B546="Sales",Earnings!B546*3,
IF(Final_Payroll!B546="IT",Earnings!B546*2,
IF(Final_Payroll!B546="Finance",Earnings!B546*1.5,
IF(Final_Payroll!B546="HR",Earnings!B546*1.2,
Earnings!B546*1.3))))</f>
        <v>1246807.5</v>
      </c>
      <c r="C546">
        <f>Earnings!B546 + Deductions!B546 + Deductions!C546 + Overtime!D546</f>
        <v>866253.2</v>
      </c>
      <c r="D546">
        <f t="shared" si="16"/>
        <v>380554.30000000005</v>
      </c>
      <c r="E546">
        <f t="shared" si="17"/>
        <v>1.4393107003818284</v>
      </c>
    </row>
    <row r="547" spans="1:5" x14ac:dyDescent="0.35">
      <c r="A547" t="s">
        <v>578</v>
      </c>
      <c r="B547">
        <f>IF(Final_Payroll!B547="Sales",Earnings!B547*3,
IF(Final_Payroll!B547="IT",Earnings!B547*2,
IF(Final_Payroll!B547="Finance",Earnings!B547*1.5,
IF(Final_Payroll!B547="HR",Earnings!B547*1.2,
Earnings!B547*1.3))))</f>
        <v>2186190</v>
      </c>
      <c r="C547">
        <f>Earnings!B547 + Deductions!B547 + Deductions!C547 + Overtime!D547</f>
        <v>730530</v>
      </c>
      <c r="D547">
        <f t="shared" si="16"/>
        <v>1455660</v>
      </c>
      <c r="E547">
        <f t="shared" si="17"/>
        <v>2.9926081064432672</v>
      </c>
    </row>
    <row r="548" spans="1:5" x14ac:dyDescent="0.35">
      <c r="A548" t="s">
        <v>579</v>
      </c>
      <c r="B548">
        <f>IF(Final_Payroll!B548="Sales",Earnings!B548*3,
IF(Final_Payroll!B548="IT",Earnings!B548*2,
IF(Final_Payroll!B548="Finance",Earnings!B548*1.5,
IF(Final_Payroll!B548="HR",Earnings!B548*1.2,
Earnings!B548*1.3))))</f>
        <v>3428598</v>
      </c>
      <c r="C548">
        <f>Earnings!B548 + Deductions!B548 + Deductions!C548 + Overtime!D548</f>
        <v>1230380.95</v>
      </c>
      <c r="D548">
        <f t="shared" si="16"/>
        <v>2198217.0499999998</v>
      </c>
      <c r="E548">
        <f t="shared" si="17"/>
        <v>2.7866149910724807</v>
      </c>
    </row>
    <row r="549" spans="1:5" x14ac:dyDescent="0.35">
      <c r="A549" t="s">
        <v>580</v>
      </c>
      <c r="B549">
        <f>IF(Final_Payroll!B549="Sales",Earnings!B549*3,
IF(Final_Payroll!B549="IT",Earnings!B549*2,
IF(Final_Payroll!B549="Finance",Earnings!B549*1.5,
IF(Final_Payroll!B549="HR",Earnings!B549*1.2,
Earnings!B549*1.3))))</f>
        <v>2668293</v>
      </c>
      <c r="C549">
        <f>Earnings!B549 + Deductions!B549 + Deductions!C549 + Overtime!D549</f>
        <v>949044.01500000001</v>
      </c>
      <c r="D549">
        <f t="shared" si="16"/>
        <v>1719248.9849999999</v>
      </c>
      <c r="E549">
        <f t="shared" si="17"/>
        <v>2.8115587452495552</v>
      </c>
    </row>
    <row r="550" spans="1:5" x14ac:dyDescent="0.35">
      <c r="A550" t="s">
        <v>581</v>
      </c>
      <c r="B550">
        <f>IF(Final_Payroll!B550="Sales",Earnings!B550*3,
IF(Final_Payroll!B550="IT",Earnings!B550*2,
IF(Final_Payroll!B550="Finance",Earnings!B550*1.5,
IF(Final_Payroll!B550="HR",Earnings!B550*1.2,
Earnings!B550*1.3))))</f>
        <v>1964943</v>
      </c>
      <c r="C550">
        <f>Earnings!B550 + Deductions!B550 + Deductions!C550 + Overtime!D550</f>
        <v>656781</v>
      </c>
      <c r="D550">
        <f t="shared" si="16"/>
        <v>1308162</v>
      </c>
      <c r="E550">
        <f t="shared" si="17"/>
        <v>2.9917780812782344</v>
      </c>
    </row>
    <row r="551" spans="1:5" x14ac:dyDescent="0.35">
      <c r="A551" t="s">
        <v>582</v>
      </c>
      <c r="B551">
        <f>IF(Final_Payroll!B551="Sales",Earnings!B551*3,
IF(Final_Payroll!B551="IT",Earnings!B551*2,
IF(Final_Payroll!B551="Finance",Earnings!B551*1.5,
IF(Final_Payroll!B551="HR",Earnings!B551*1.2,
Earnings!B551*1.3))))</f>
        <v>1731984</v>
      </c>
      <c r="C551">
        <f>Earnings!B551 + Deductions!B551 + Deductions!C551 + Overtime!D551</f>
        <v>867792</v>
      </c>
      <c r="D551">
        <f t="shared" si="16"/>
        <v>864192</v>
      </c>
      <c r="E551">
        <f t="shared" si="17"/>
        <v>1.9958515404613086</v>
      </c>
    </row>
    <row r="552" spans="1:5" x14ac:dyDescent="0.35">
      <c r="A552" t="s">
        <v>583</v>
      </c>
      <c r="B552">
        <f>IF(Final_Payroll!B552="Sales",Earnings!B552*3,
IF(Final_Payroll!B552="IT",Earnings!B552*2,
IF(Final_Payroll!B552="Finance",Earnings!B552*1.5,
IF(Final_Payroll!B552="HR",Earnings!B552*1.2,
Earnings!B552*1.3))))</f>
        <v>1213756.575</v>
      </c>
      <c r="C552">
        <f>Earnings!B552 + Deductions!B552 + Deductions!C552 + Overtime!D552</f>
        <v>810971.04999999993</v>
      </c>
      <c r="D552">
        <f t="shared" si="16"/>
        <v>402785.52500000002</v>
      </c>
      <c r="E552">
        <f t="shared" si="17"/>
        <v>1.4966706579723161</v>
      </c>
    </row>
    <row r="553" spans="1:5" x14ac:dyDescent="0.35">
      <c r="A553" t="s">
        <v>584</v>
      </c>
      <c r="B553">
        <f>IF(Final_Payroll!B553="Sales",Earnings!B553*3,
IF(Final_Payroll!B553="IT",Earnings!B553*2,
IF(Final_Payroll!B553="Finance",Earnings!B553*1.5,
IF(Final_Payroll!B553="HR",Earnings!B553*1.2,
Earnings!B553*1.3))))</f>
        <v>1103577.8</v>
      </c>
      <c r="C553">
        <f>Earnings!B553 + Deductions!B553 + Deductions!C553 + Overtime!D553</f>
        <v>850706</v>
      </c>
      <c r="D553">
        <f t="shared" si="16"/>
        <v>252871.80000000005</v>
      </c>
      <c r="E553">
        <f t="shared" si="17"/>
        <v>1.2972493434864689</v>
      </c>
    </row>
    <row r="554" spans="1:5" x14ac:dyDescent="0.35">
      <c r="A554" t="s">
        <v>585</v>
      </c>
      <c r="B554">
        <f>IF(Final_Payroll!B554="Sales",Earnings!B554*3,
IF(Final_Payroll!B554="IT",Earnings!B554*2,
IF(Final_Payroll!B554="Finance",Earnings!B554*1.5,
IF(Final_Payroll!B554="HR",Earnings!B554*1.2,
Earnings!B554*1.3))))</f>
        <v>662109.6</v>
      </c>
      <c r="C554">
        <f>Earnings!B554 + Deductions!B554 + Deductions!C554 + Overtime!D554</f>
        <v>581145.9</v>
      </c>
      <c r="D554">
        <f t="shared" si="16"/>
        <v>80963.699999999953</v>
      </c>
      <c r="E554">
        <f t="shared" si="17"/>
        <v>1.1393173383826676</v>
      </c>
    </row>
    <row r="555" spans="1:5" x14ac:dyDescent="0.35">
      <c r="A555" t="s">
        <v>586</v>
      </c>
      <c r="B555">
        <f>IF(Final_Payroll!B555="Sales",Earnings!B555*3,
IF(Final_Payroll!B555="IT",Earnings!B555*2,
IF(Final_Payroll!B555="Finance",Earnings!B555*1.5,
IF(Final_Payroll!B555="HR",Earnings!B555*1.2,
Earnings!B555*1.3))))</f>
        <v>1610259.5</v>
      </c>
      <c r="C555">
        <f>Earnings!B555 + Deductions!B555 + Deductions!C555 + Overtime!D555</f>
        <v>806929.75</v>
      </c>
      <c r="D555">
        <f t="shared" si="16"/>
        <v>803329.75</v>
      </c>
      <c r="E555">
        <f t="shared" si="17"/>
        <v>1.9955386450927111</v>
      </c>
    </row>
    <row r="556" spans="1:5" x14ac:dyDescent="0.35">
      <c r="A556" t="s">
        <v>587</v>
      </c>
      <c r="B556">
        <f>IF(Final_Payroll!B556="Sales",Earnings!B556*3,
IF(Final_Payroll!B556="IT",Earnings!B556*2,
IF(Final_Payroll!B556="Finance",Earnings!B556*1.5,
IF(Final_Payroll!B556="HR",Earnings!B556*1.2,
Earnings!B556*1.3))))</f>
        <v>1539849</v>
      </c>
      <c r="C556">
        <f>Earnings!B556 + Deductions!B556 + Deductions!C556 + Overtime!D556</f>
        <v>1161819.58</v>
      </c>
      <c r="D556">
        <f t="shared" si="16"/>
        <v>378029.41999999993</v>
      </c>
      <c r="E556">
        <f t="shared" si="17"/>
        <v>1.3253770434820868</v>
      </c>
    </row>
    <row r="557" spans="1:5" x14ac:dyDescent="0.35">
      <c r="A557" t="s">
        <v>588</v>
      </c>
      <c r="B557">
        <f>IF(Final_Payroll!B557="Sales",Earnings!B557*3,
IF(Final_Payroll!B557="IT",Earnings!B557*2,
IF(Final_Payroll!B557="Finance",Earnings!B557*1.5,
IF(Final_Payroll!B557="HR",Earnings!B557*1.2,
Earnings!B557*1.3))))</f>
        <v>859971.6</v>
      </c>
      <c r="C557">
        <f>Earnings!B557 + Deductions!B557 + Deductions!C557 + Overtime!D557</f>
        <v>718443</v>
      </c>
      <c r="D557">
        <f t="shared" si="16"/>
        <v>141528.59999999998</v>
      </c>
      <c r="E557">
        <f t="shared" si="17"/>
        <v>1.1969934984403774</v>
      </c>
    </row>
    <row r="558" spans="1:5" x14ac:dyDescent="0.35">
      <c r="A558" t="s">
        <v>589</v>
      </c>
      <c r="B558">
        <f>IF(Final_Payroll!B558="Sales",Earnings!B558*3,
IF(Final_Payroll!B558="IT",Earnings!B558*2,
IF(Final_Payroll!B558="Finance",Earnings!B558*1.5,
IF(Final_Payroll!B558="HR",Earnings!B558*1.2,
Earnings!B558*1.3))))</f>
        <v>1804440</v>
      </c>
      <c r="C558">
        <f>Earnings!B558 + Deductions!B558 + Deductions!C558 + Overtime!D558</f>
        <v>904020</v>
      </c>
      <c r="D558">
        <f t="shared" si="16"/>
        <v>900420</v>
      </c>
      <c r="E558">
        <f t="shared" si="17"/>
        <v>1.996017787217097</v>
      </c>
    </row>
    <row r="559" spans="1:5" x14ac:dyDescent="0.35">
      <c r="A559" t="s">
        <v>590</v>
      </c>
      <c r="B559">
        <f>IF(Final_Payroll!B559="Sales",Earnings!B559*3,
IF(Final_Payroll!B559="IT",Earnings!B559*2,
IF(Final_Payroll!B559="Finance",Earnings!B559*1.5,
IF(Final_Payroll!B559="HR",Earnings!B559*1.2,
Earnings!B559*1.3))))</f>
        <v>1090824.6749999998</v>
      </c>
      <c r="C559">
        <f>Earnings!B559 + Deductions!B559 + Deductions!C559 + Overtime!D559</f>
        <v>729016.45</v>
      </c>
      <c r="D559">
        <f t="shared" si="16"/>
        <v>361808.22499999986</v>
      </c>
      <c r="E559">
        <f t="shared" si="17"/>
        <v>1.4962963798690687</v>
      </c>
    </row>
    <row r="560" spans="1:5" x14ac:dyDescent="0.35">
      <c r="A560" t="s">
        <v>591</v>
      </c>
      <c r="B560">
        <f>IF(Final_Payroll!B560="Sales",Earnings!B560*3,
IF(Final_Payroll!B560="IT",Earnings!B560*2,
IF(Final_Payroll!B560="Finance",Earnings!B560*1.5,
IF(Final_Payroll!B560="HR",Earnings!B560*1.2,
Earnings!B560*1.3))))</f>
        <v>2521556</v>
      </c>
      <c r="C560">
        <f>Earnings!B560 + Deductions!B560 + Deductions!C560 + Overtime!D560</f>
        <v>1262578</v>
      </c>
      <c r="D560">
        <f t="shared" si="16"/>
        <v>1258978</v>
      </c>
      <c r="E560">
        <f t="shared" si="17"/>
        <v>1.9971486910115652</v>
      </c>
    </row>
    <row r="561" spans="1:5" x14ac:dyDescent="0.35">
      <c r="A561" t="s">
        <v>592</v>
      </c>
      <c r="B561">
        <f>IF(Final_Payroll!B561="Sales",Earnings!B561*3,
IF(Final_Payroll!B561="IT",Earnings!B561*2,
IF(Final_Payroll!B561="Finance",Earnings!B561*1.5,
IF(Final_Payroll!B561="HR",Earnings!B561*1.2,
Earnings!B561*1.3))))</f>
        <v>1378563</v>
      </c>
      <c r="C561">
        <f>Earnings!B561 + Deductions!B561 + Deductions!C561 + Overtime!D561</f>
        <v>920842</v>
      </c>
      <c r="D561">
        <f t="shared" si="16"/>
        <v>457721</v>
      </c>
      <c r="E561">
        <f t="shared" si="17"/>
        <v>1.4970679008993943</v>
      </c>
    </row>
    <row r="562" spans="1:5" x14ac:dyDescent="0.35">
      <c r="A562" t="s">
        <v>593</v>
      </c>
      <c r="B562">
        <f>IF(Final_Payroll!B562="Sales",Earnings!B562*3,
IF(Final_Payroll!B562="IT",Earnings!B562*2,
IF(Final_Payroll!B562="Finance",Earnings!B562*1.5,
IF(Final_Payroll!B562="HR",Earnings!B562*1.2,
Earnings!B562*1.3))))</f>
        <v>1397079</v>
      </c>
      <c r="C562">
        <f>Earnings!B562 + Deductions!B562 + Deductions!C562 + Overtime!D562</f>
        <v>1021667.67</v>
      </c>
      <c r="D562">
        <f t="shared" si="16"/>
        <v>375411.32999999996</v>
      </c>
      <c r="E562">
        <f t="shared" si="17"/>
        <v>1.3674495543154457</v>
      </c>
    </row>
    <row r="563" spans="1:5" x14ac:dyDescent="0.35">
      <c r="A563" t="s">
        <v>594</v>
      </c>
      <c r="B563">
        <f>IF(Final_Payroll!B563="Sales",Earnings!B563*3,
IF(Final_Payroll!B563="IT",Earnings!B563*2,
IF(Final_Payroll!B563="Finance",Earnings!B563*1.5,
IF(Final_Payroll!B563="HR",Earnings!B563*1.2,
Earnings!B563*1.3))))</f>
        <v>1068295.1399999999</v>
      </c>
      <c r="C563">
        <f>Earnings!B563 + Deductions!B563 + Deductions!C563 + Overtime!D563</f>
        <v>892045.95</v>
      </c>
      <c r="D563">
        <f t="shared" si="16"/>
        <v>176249.18999999994</v>
      </c>
      <c r="E563">
        <f t="shared" si="17"/>
        <v>1.197578600070994</v>
      </c>
    </row>
    <row r="564" spans="1:5" x14ac:dyDescent="0.35">
      <c r="A564" t="s">
        <v>595</v>
      </c>
      <c r="B564">
        <f>IF(Final_Payroll!B564="Sales",Earnings!B564*3,
IF(Final_Payroll!B564="IT",Earnings!B564*2,
IF(Final_Payroll!B564="Finance",Earnings!B564*1.5,
IF(Final_Payroll!B564="HR",Earnings!B564*1.2,
Earnings!B564*1.3))))</f>
        <v>518629.80000000005</v>
      </c>
      <c r="C564">
        <f>Earnings!B564 + Deductions!B564 + Deductions!C564 + Overtime!D564</f>
        <v>400746</v>
      </c>
      <c r="D564">
        <f t="shared" si="16"/>
        <v>117883.80000000005</v>
      </c>
      <c r="E564">
        <f t="shared" si="17"/>
        <v>1.2941608899402615</v>
      </c>
    </row>
    <row r="565" spans="1:5" x14ac:dyDescent="0.35">
      <c r="A565" t="s">
        <v>596</v>
      </c>
      <c r="B565">
        <f>IF(Final_Payroll!B565="Sales",Earnings!B565*3,
IF(Final_Payroll!B565="IT",Earnings!B565*2,
IF(Final_Payroll!B565="Finance",Earnings!B565*1.5,
IF(Final_Payroll!B565="HR",Earnings!B565*1.2,
Earnings!B565*1.3))))</f>
        <v>744484</v>
      </c>
      <c r="C565">
        <f>Earnings!B565 + Deductions!B565 + Deductions!C565 + Overtime!D565</f>
        <v>574480</v>
      </c>
      <c r="D565">
        <f t="shared" si="16"/>
        <v>170004</v>
      </c>
      <c r="E565">
        <f t="shared" si="17"/>
        <v>1.295926751148865</v>
      </c>
    </row>
    <row r="566" spans="1:5" x14ac:dyDescent="0.35">
      <c r="A566" t="s">
        <v>597</v>
      </c>
      <c r="B566">
        <f>IF(Final_Payroll!B566="Sales",Earnings!B566*3,
IF(Final_Payroll!B566="IT",Earnings!B566*2,
IF(Final_Payroll!B566="Finance",Earnings!B566*1.5,
IF(Final_Payroll!B566="HR",Earnings!B566*1.2,
Earnings!B566*1.3))))</f>
        <v>1236032.46</v>
      </c>
      <c r="C566">
        <f>Earnings!B566 + Deductions!B566 + Deductions!C566 + Overtime!D566</f>
        <v>990625.96799999999</v>
      </c>
      <c r="D566">
        <f t="shared" si="16"/>
        <v>245406.49199999997</v>
      </c>
      <c r="E566">
        <f t="shared" si="17"/>
        <v>1.2477287088440225</v>
      </c>
    </row>
    <row r="567" spans="1:5" x14ac:dyDescent="0.35">
      <c r="A567" t="s">
        <v>598</v>
      </c>
      <c r="B567">
        <f>IF(Final_Payroll!B567="Sales",Earnings!B567*3,
IF(Final_Payroll!B567="IT",Earnings!B567*2,
IF(Final_Payroll!B567="Finance",Earnings!B567*1.5,
IF(Final_Payroll!B567="HR",Earnings!B567*1.2,
Earnings!B567*1.3))))</f>
        <v>1565751</v>
      </c>
      <c r="C567">
        <f>Earnings!B567 + Deductions!B567 + Deductions!C567 + Overtime!D567</f>
        <v>1045634</v>
      </c>
      <c r="D567">
        <f t="shared" si="16"/>
        <v>520117</v>
      </c>
      <c r="E567">
        <f t="shared" si="17"/>
        <v>1.4974178345386626</v>
      </c>
    </row>
    <row r="568" spans="1:5" x14ac:dyDescent="0.35">
      <c r="A568" t="s">
        <v>599</v>
      </c>
      <c r="B568">
        <f>IF(Final_Payroll!B568="Sales",Earnings!B568*3,
IF(Final_Payroll!B568="IT",Earnings!B568*2,
IF(Final_Payroll!B568="Finance",Earnings!B568*1.5,
IF(Final_Payroll!B568="HR",Earnings!B568*1.2,
Earnings!B568*1.3))))</f>
        <v>2368662</v>
      </c>
      <c r="C568">
        <f>Earnings!B568 + Deductions!B568 + Deductions!C568 + Overtime!D568</f>
        <v>878204.94</v>
      </c>
      <c r="D568">
        <f t="shared" si="16"/>
        <v>1490457.06</v>
      </c>
      <c r="E568">
        <f t="shared" si="17"/>
        <v>2.697163147362847</v>
      </c>
    </row>
    <row r="569" spans="1:5" x14ac:dyDescent="0.35">
      <c r="A569" t="s">
        <v>600</v>
      </c>
      <c r="B569">
        <f>IF(Final_Payroll!B569="Sales",Earnings!B569*3,
IF(Final_Payroll!B569="IT",Earnings!B569*2,
IF(Final_Payroll!B569="Finance",Earnings!B569*1.5,
IF(Final_Payroll!B569="HR",Earnings!B569*1.2,
Earnings!B569*1.3))))</f>
        <v>3650757</v>
      </c>
      <c r="C569">
        <f>Earnings!B569 + Deductions!B569 + Deductions!C569 + Overtime!D569</f>
        <v>1303903.33</v>
      </c>
      <c r="D569">
        <f t="shared" si="16"/>
        <v>2346853.67</v>
      </c>
      <c r="E569">
        <f t="shared" si="17"/>
        <v>2.7998678398957688</v>
      </c>
    </row>
    <row r="570" spans="1:5" x14ac:dyDescent="0.35">
      <c r="A570" t="s">
        <v>601</v>
      </c>
      <c r="B570">
        <f>IF(Final_Payroll!B570="Sales",Earnings!B570*3,
IF(Final_Payroll!B570="IT",Earnings!B570*2,
IF(Final_Payroll!B570="Finance",Earnings!B570*1.5,
IF(Final_Payroll!B570="HR",Earnings!B570*1.2,
Earnings!B570*1.3))))</f>
        <v>2563882.7999999998</v>
      </c>
      <c r="C570">
        <f>Earnings!B570 + Deductions!B570 + Deductions!C570 + Overtime!D570</f>
        <v>1335019.0559999999</v>
      </c>
      <c r="D570">
        <f t="shared" si="16"/>
        <v>1228863.7439999999</v>
      </c>
      <c r="E570">
        <f t="shared" si="17"/>
        <v>1.9204840473827665</v>
      </c>
    </row>
    <row r="571" spans="1:5" x14ac:dyDescent="0.35">
      <c r="A571" t="s">
        <v>602</v>
      </c>
      <c r="B571">
        <f>IF(Final_Payroll!B571="Sales",Earnings!B571*3,
IF(Final_Payroll!B571="IT",Earnings!B571*2,
IF(Final_Payroll!B571="Finance",Earnings!B571*1.5,
IF(Final_Payroll!B571="HR",Earnings!B571*1.2,
Earnings!B571*1.3))))</f>
        <v>2020598.7000000002</v>
      </c>
      <c r="C571">
        <f>Earnings!B571 + Deductions!B571 + Deductions!C571 + Overtime!D571</f>
        <v>1537455.0120000001</v>
      </c>
      <c r="D571">
        <f t="shared" si="16"/>
        <v>483143.68800000008</v>
      </c>
      <c r="E571">
        <f t="shared" si="17"/>
        <v>1.3142489921519733</v>
      </c>
    </row>
    <row r="572" spans="1:5" x14ac:dyDescent="0.35">
      <c r="A572" t="s">
        <v>603</v>
      </c>
      <c r="B572">
        <f>IF(Final_Payroll!B572="Sales",Earnings!B572*3,
IF(Final_Payroll!B572="IT",Earnings!B572*2,
IF(Final_Payroll!B572="Finance",Earnings!B572*1.5,
IF(Final_Payroll!B572="HR",Earnings!B572*1.2,
Earnings!B572*1.3))))</f>
        <v>805047.48</v>
      </c>
      <c r="C572">
        <f>Earnings!B572 + Deductions!B572 + Deductions!C572 + Overtime!D572</f>
        <v>766595.10600000003</v>
      </c>
      <c r="D572">
        <f t="shared" si="16"/>
        <v>38452.373999999953</v>
      </c>
      <c r="E572">
        <f t="shared" si="17"/>
        <v>1.0501599523647362</v>
      </c>
    </row>
    <row r="573" spans="1:5" x14ac:dyDescent="0.35">
      <c r="A573" t="s">
        <v>604</v>
      </c>
      <c r="B573">
        <f>IF(Final_Payroll!B573="Sales",Earnings!B573*3,
IF(Final_Payroll!B573="IT",Earnings!B573*2,
IF(Final_Payroll!B573="Finance",Earnings!B573*1.5,
IF(Final_Payroll!B573="HR",Earnings!B573*1.2,
Earnings!B573*1.3))))</f>
        <v>835212.3</v>
      </c>
      <c r="C573">
        <f>Earnings!B573 + Deductions!B573 + Deductions!C573 + Overtime!D573</f>
        <v>702093.39</v>
      </c>
      <c r="D573">
        <f t="shared" si="16"/>
        <v>133118.91000000003</v>
      </c>
      <c r="E573">
        <f t="shared" si="17"/>
        <v>1.1896028532614444</v>
      </c>
    </row>
    <row r="574" spans="1:5" x14ac:dyDescent="0.35">
      <c r="A574" t="s">
        <v>605</v>
      </c>
      <c r="B574">
        <f>IF(Final_Payroll!B574="Sales",Earnings!B574*3,
IF(Final_Payroll!B574="IT",Earnings!B574*2,
IF(Final_Payroll!B574="Finance",Earnings!B574*1.5,
IF(Final_Payroll!B574="HR",Earnings!B574*1.2,
Earnings!B574*1.3))))</f>
        <v>585562.9</v>
      </c>
      <c r="C574">
        <f>Earnings!B574 + Deductions!B574 + Deductions!C574 + Overtime!D574</f>
        <v>517545.78499999997</v>
      </c>
      <c r="D574">
        <f t="shared" si="16"/>
        <v>68017.115000000049</v>
      </c>
      <c r="E574">
        <f t="shared" si="17"/>
        <v>1.1314224112558469</v>
      </c>
    </row>
    <row r="575" spans="1:5" x14ac:dyDescent="0.35">
      <c r="A575" t="s">
        <v>606</v>
      </c>
      <c r="B575">
        <f>IF(Final_Payroll!B575="Sales",Earnings!B575*3,
IF(Final_Payroll!B575="IT",Earnings!B575*2,
IF(Final_Payroll!B575="Finance",Earnings!B575*1.5,
IF(Final_Payroll!B575="HR",Earnings!B575*1.2,
Earnings!B575*1.3))))</f>
        <v>1748664</v>
      </c>
      <c r="C575">
        <f>Earnings!B575 + Deductions!B575 + Deductions!C575 + Overtime!D575</f>
        <v>1002910.14</v>
      </c>
      <c r="D575">
        <f t="shared" si="16"/>
        <v>745753.86</v>
      </c>
      <c r="E575">
        <f t="shared" si="17"/>
        <v>1.7435899092614617</v>
      </c>
    </row>
    <row r="576" spans="1:5" x14ac:dyDescent="0.35">
      <c r="A576" t="s">
        <v>607</v>
      </c>
      <c r="B576">
        <f>IF(Final_Payroll!B576="Sales",Earnings!B576*3,
IF(Final_Payroll!B576="IT",Earnings!B576*2,
IF(Final_Payroll!B576="Finance",Earnings!B576*1.5,
IF(Final_Payroll!B576="HR",Earnings!B576*1.2,
Earnings!B576*1.3))))</f>
        <v>1246626</v>
      </c>
      <c r="C576">
        <f>Earnings!B576 + Deductions!B576 + Deductions!C576 + Overtime!D576</f>
        <v>857816.52</v>
      </c>
      <c r="D576">
        <f t="shared" si="16"/>
        <v>388809.48</v>
      </c>
      <c r="E576">
        <f t="shared" si="17"/>
        <v>1.4532548288997744</v>
      </c>
    </row>
    <row r="577" spans="1:5" x14ac:dyDescent="0.35">
      <c r="A577" t="s">
        <v>608</v>
      </c>
      <c r="B577">
        <f>IF(Final_Payroll!B577="Sales",Earnings!B577*3,
IF(Final_Payroll!B577="IT",Earnings!B577*2,
IF(Final_Payroll!B577="Finance",Earnings!B577*1.5,
IF(Final_Payroll!B577="HR",Earnings!B577*1.2,
Earnings!B577*1.3))))</f>
        <v>1578384.1500000001</v>
      </c>
      <c r="C577">
        <f>Earnings!B577 + Deductions!B577 + Deductions!C577 + Overtime!D577</f>
        <v>1054056.1000000001</v>
      </c>
      <c r="D577">
        <f t="shared" si="16"/>
        <v>524328.05000000005</v>
      </c>
      <c r="E577">
        <f t="shared" si="17"/>
        <v>1.4974384665104636</v>
      </c>
    </row>
    <row r="578" spans="1:5" x14ac:dyDescent="0.35">
      <c r="A578" t="s">
        <v>609</v>
      </c>
      <c r="B578">
        <f>IF(Final_Payroll!B578="Sales",Earnings!B578*3,
IF(Final_Payroll!B578="IT",Earnings!B578*2,
IF(Final_Payroll!B578="Finance",Earnings!B578*1.5,
IF(Final_Payroll!B578="HR",Earnings!B578*1.2,
Earnings!B578*1.3))))</f>
        <v>1539042</v>
      </c>
      <c r="C578">
        <f>Earnings!B578 + Deductions!B578 + Deductions!C578 + Overtime!D578</f>
        <v>581505.82000000007</v>
      </c>
      <c r="D578">
        <f t="shared" ref="D578:D641" si="18">B578-C578</f>
        <v>957536.17999999993</v>
      </c>
      <c r="E578">
        <f t="shared" ref="E578:E641" si="19">IF(C578=0,0,B578/C578)</f>
        <v>2.6466493490985177</v>
      </c>
    </row>
    <row r="579" spans="1:5" x14ac:dyDescent="0.35">
      <c r="A579" t="s">
        <v>610</v>
      </c>
      <c r="B579">
        <f>IF(Final_Payroll!B579="Sales",Earnings!B579*3,
IF(Final_Payroll!B579="IT",Earnings!B579*2,
IF(Final_Payroll!B579="Finance",Earnings!B579*1.5,
IF(Final_Payroll!B579="HR",Earnings!B579*1.2,
Earnings!B579*1.3))))</f>
        <v>1099504.3500000001</v>
      </c>
      <c r="C579">
        <f>Earnings!B579 + Deductions!B579 + Deductions!C579 + Overtime!D579</f>
        <v>811768.20449999999</v>
      </c>
      <c r="D579">
        <f t="shared" si="18"/>
        <v>287736.1455000001</v>
      </c>
      <c r="E579">
        <f t="shared" si="19"/>
        <v>1.3544560428764614</v>
      </c>
    </row>
    <row r="580" spans="1:5" x14ac:dyDescent="0.35">
      <c r="A580" t="s">
        <v>611</v>
      </c>
      <c r="B580">
        <f>IF(Final_Payroll!B580="Sales",Earnings!B580*3,
IF(Final_Payroll!B580="IT",Earnings!B580*2,
IF(Final_Payroll!B580="Finance",Earnings!B580*1.5,
IF(Final_Payroll!B580="HR",Earnings!B580*1.2,
Earnings!B580*1.3))))</f>
        <v>805490.46499999997</v>
      </c>
      <c r="C580">
        <f>Earnings!B580 + Deductions!B580 + Deductions!C580 + Overtime!D580</f>
        <v>621408.04999999993</v>
      </c>
      <c r="D580">
        <f t="shared" si="18"/>
        <v>184082.41500000004</v>
      </c>
      <c r="E580">
        <f t="shared" si="19"/>
        <v>1.2962343584058817</v>
      </c>
    </row>
    <row r="581" spans="1:5" x14ac:dyDescent="0.35">
      <c r="A581" t="s">
        <v>612</v>
      </c>
      <c r="B581">
        <f>IF(Final_Payroll!B581="Sales",Earnings!B581*3,
IF(Final_Payroll!B581="IT",Earnings!B581*2,
IF(Final_Payroll!B581="Finance",Earnings!B581*1.5,
IF(Final_Payroll!B581="HR",Earnings!B581*1.2,
Earnings!B581*1.3))))</f>
        <v>1874028</v>
      </c>
      <c r="C581">
        <f>Earnings!B581 + Deductions!B581 + Deductions!C581 + Overtime!D581</f>
        <v>1060625.82</v>
      </c>
      <c r="D581">
        <f t="shared" si="18"/>
        <v>813402.17999999993</v>
      </c>
      <c r="E581">
        <f t="shared" si="19"/>
        <v>1.7669077677177423</v>
      </c>
    </row>
    <row r="582" spans="1:5" x14ac:dyDescent="0.35">
      <c r="A582" t="s">
        <v>613</v>
      </c>
      <c r="B582">
        <f>IF(Final_Payroll!B582="Sales",Earnings!B582*3,
IF(Final_Payroll!B582="IT",Earnings!B582*2,
IF(Final_Payroll!B582="Finance",Earnings!B582*1.5,
IF(Final_Payroll!B582="HR",Earnings!B582*1.2,
Earnings!B582*1.3))))</f>
        <v>2332690.7999999998</v>
      </c>
      <c r="C582">
        <f>Earnings!B582 + Deductions!B582 + Deductions!C582 + Overtime!D582</f>
        <v>1243957.8509999998</v>
      </c>
      <c r="D582">
        <f t="shared" si="18"/>
        <v>1088732.949</v>
      </c>
      <c r="E582">
        <f t="shared" si="19"/>
        <v>1.8752169119916589</v>
      </c>
    </row>
    <row r="583" spans="1:5" x14ac:dyDescent="0.35">
      <c r="A583" t="s">
        <v>614</v>
      </c>
      <c r="B583">
        <f>IF(Final_Payroll!B583="Sales",Earnings!B583*3,
IF(Final_Payroll!B583="IT",Earnings!B583*2,
IF(Final_Payroll!B583="Finance",Earnings!B583*1.5,
IF(Final_Payroll!B583="HR",Earnings!B583*1.2,
Earnings!B583*1.3))))</f>
        <v>1168975.5</v>
      </c>
      <c r="C583">
        <f>Earnings!B583 + Deductions!B583 + Deductions!C583 + Overtime!D583</f>
        <v>804496.51</v>
      </c>
      <c r="D583">
        <f t="shared" si="18"/>
        <v>364478.99</v>
      </c>
      <c r="E583">
        <f t="shared" si="19"/>
        <v>1.4530522947824844</v>
      </c>
    </row>
    <row r="584" spans="1:5" x14ac:dyDescent="0.35">
      <c r="A584" t="s">
        <v>615</v>
      </c>
      <c r="B584">
        <f>IF(Final_Payroll!B584="Sales",Earnings!B584*3,
IF(Final_Payroll!B584="IT",Earnings!B584*2,
IF(Final_Payroll!B584="Finance",Earnings!B584*1.5,
IF(Final_Payroll!B584="HR",Earnings!B584*1.2,
Earnings!B584*1.3))))</f>
        <v>1201297.5</v>
      </c>
      <c r="C584">
        <f>Earnings!B584 + Deductions!B584 + Deductions!C584 + Overtime!D584</f>
        <v>925875</v>
      </c>
      <c r="D584">
        <f t="shared" si="18"/>
        <v>275422.5</v>
      </c>
      <c r="E584">
        <f t="shared" si="19"/>
        <v>1.2974726609963547</v>
      </c>
    </row>
    <row r="585" spans="1:5" x14ac:dyDescent="0.35">
      <c r="A585" t="s">
        <v>616</v>
      </c>
      <c r="B585">
        <f>IF(Final_Payroll!B585="Sales",Earnings!B585*3,
IF(Final_Payroll!B585="IT",Earnings!B585*2,
IF(Final_Payroll!B585="Finance",Earnings!B585*1.5,
IF(Final_Payroll!B585="HR",Earnings!B585*1.2,
Earnings!B585*1.3))))</f>
        <v>2112024</v>
      </c>
      <c r="C585">
        <f>Earnings!B585 + Deductions!B585 + Deductions!C585 + Overtime!D585</f>
        <v>705808</v>
      </c>
      <c r="D585">
        <f t="shared" si="18"/>
        <v>1406216</v>
      </c>
      <c r="E585">
        <f t="shared" si="19"/>
        <v>2.9923491941151132</v>
      </c>
    </row>
    <row r="586" spans="1:5" x14ac:dyDescent="0.35">
      <c r="A586" t="s">
        <v>617</v>
      </c>
      <c r="B586">
        <f>IF(Final_Payroll!B586="Sales",Earnings!B586*3,
IF(Final_Payroll!B586="IT",Earnings!B586*2,
IF(Final_Payroll!B586="Finance",Earnings!B586*1.5,
IF(Final_Payroll!B586="HR",Earnings!B586*1.2,
Earnings!B586*1.3))))</f>
        <v>2351310</v>
      </c>
      <c r="C586">
        <f>Earnings!B586 + Deductions!B586 + Deductions!C586 + Overtime!D586</f>
        <v>785570</v>
      </c>
      <c r="D586">
        <f t="shared" si="18"/>
        <v>1565740</v>
      </c>
      <c r="E586">
        <f t="shared" si="19"/>
        <v>2.9931260104128214</v>
      </c>
    </row>
    <row r="587" spans="1:5" x14ac:dyDescent="0.35">
      <c r="A587" t="s">
        <v>618</v>
      </c>
      <c r="B587">
        <f>IF(Final_Payroll!B587="Sales",Earnings!B587*3,
IF(Final_Payroll!B587="IT",Earnings!B587*2,
IF(Final_Payroll!B587="Finance",Earnings!B587*1.5,
IF(Final_Payroll!B587="HR",Earnings!B587*1.2,
Earnings!B587*1.3))))</f>
        <v>1424634</v>
      </c>
      <c r="C587">
        <f>Earnings!B587 + Deductions!B587 + Deductions!C587 + Overtime!D587</f>
        <v>951556</v>
      </c>
      <c r="D587">
        <f t="shared" si="18"/>
        <v>473078</v>
      </c>
      <c r="E587">
        <f t="shared" si="19"/>
        <v>1.4971625421940484</v>
      </c>
    </row>
    <row r="588" spans="1:5" x14ac:dyDescent="0.35">
      <c r="A588" t="s">
        <v>619</v>
      </c>
      <c r="B588">
        <f>IF(Final_Payroll!B588="Sales",Earnings!B588*3,
IF(Final_Payroll!B588="IT",Earnings!B588*2,
IF(Final_Payroll!B588="Finance",Earnings!B588*1.5,
IF(Final_Payroll!B588="HR",Earnings!B588*1.2,
Earnings!B588*1.3))))</f>
        <v>852168.52500000002</v>
      </c>
      <c r="C588">
        <f>Earnings!B588 + Deductions!B588 + Deductions!C588 + Overtime!D588</f>
        <v>673702.10624999995</v>
      </c>
      <c r="D588">
        <f t="shared" si="18"/>
        <v>178466.41875000007</v>
      </c>
      <c r="E588">
        <f t="shared" si="19"/>
        <v>1.2649040534300691</v>
      </c>
    </row>
    <row r="589" spans="1:5" x14ac:dyDescent="0.35">
      <c r="A589" t="s">
        <v>620</v>
      </c>
      <c r="B589">
        <f>IF(Final_Payroll!B589="Sales",Earnings!B589*3,
IF(Final_Payroll!B589="IT",Earnings!B589*2,
IF(Final_Payroll!B589="Finance",Earnings!B589*1.5,
IF(Final_Payroll!B589="HR",Earnings!B589*1.2,
Earnings!B589*1.3))))</f>
        <v>643734</v>
      </c>
      <c r="C589">
        <f>Earnings!B589 + Deductions!B589 + Deductions!C589 + Overtime!D589</f>
        <v>529166.69999999995</v>
      </c>
      <c r="D589">
        <f t="shared" si="18"/>
        <v>114567.30000000005</v>
      </c>
      <c r="E589">
        <f t="shared" si="19"/>
        <v>1.21650512022015</v>
      </c>
    </row>
    <row r="590" spans="1:5" x14ac:dyDescent="0.35">
      <c r="A590" t="s">
        <v>621</v>
      </c>
      <c r="B590">
        <f>IF(Final_Payroll!B590="Sales",Earnings!B590*3,
IF(Final_Payroll!B590="IT",Earnings!B590*2,
IF(Final_Payroll!B590="Finance",Earnings!B590*1.5,
IF(Final_Payroll!B590="HR",Earnings!B590*1.2,
Earnings!B590*1.3))))</f>
        <v>3432907.6500000004</v>
      </c>
      <c r="C590">
        <f>Earnings!B590 + Deductions!B590 + Deductions!C590 + Overtime!D590</f>
        <v>1209039.19025</v>
      </c>
      <c r="D590">
        <f t="shared" si="18"/>
        <v>2223868.4597500004</v>
      </c>
      <c r="E590">
        <f t="shared" si="19"/>
        <v>2.8393683825006186</v>
      </c>
    </row>
    <row r="591" spans="1:5" x14ac:dyDescent="0.35">
      <c r="A591" t="s">
        <v>622</v>
      </c>
      <c r="B591">
        <f>IF(Final_Payroll!B591="Sales",Earnings!B591*3,
IF(Final_Payroll!B591="IT",Earnings!B591*2,
IF(Final_Payroll!B591="Finance",Earnings!B591*1.5,
IF(Final_Payroll!B591="HR",Earnings!B591*1.2,
Earnings!B591*1.3))))</f>
        <v>741878.8</v>
      </c>
      <c r="C591">
        <f>Earnings!B591 + Deductions!B591 + Deductions!C591 + Overtime!D591</f>
        <v>620983.46</v>
      </c>
      <c r="D591">
        <f t="shared" si="18"/>
        <v>120895.34000000008</v>
      </c>
      <c r="E591">
        <f t="shared" si="19"/>
        <v>1.1946836716069702</v>
      </c>
    </row>
    <row r="592" spans="1:5" x14ac:dyDescent="0.35">
      <c r="A592" t="s">
        <v>623</v>
      </c>
      <c r="B592">
        <f>IF(Final_Payroll!B592="Sales",Earnings!B592*3,
IF(Final_Payroll!B592="IT",Earnings!B592*2,
IF(Final_Payroll!B592="Finance",Earnings!B592*1.5,
IF(Final_Payroll!B592="HR",Earnings!B592*1.2,
Earnings!B592*1.3))))</f>
        <v>805675</v>
      </c>
      <c r="C592">
        <f>Earnings!B592 + Deductions!B592 + Deductions!C592 + Overtime!D592</f>
        <v>671130</v>
      </c>
      <c r="D592">
        <f t="shared" si="18"/>
        <v>134545</v>
      </c>
      <c r="E592">
        <f t="shared" si="19"/>
        <v>1.2004753177476792</v>
      </c>
    </row>
    <row r="593" spans="1:5" x14ac:dyDescent="0.35">
      <c r="A593" t="s">
        <v>624</v>
      </c>
      <c r="B593">
        <f>IF(Final_Payroll!B593="Sales",Earnings!B593*3,
IF(Final_Payroll!B593="IT",Earnings!B593*2,
IF(Final_Payroll!B593="Finance",Earnings!B593*1.5,
IF(Final_Payroll!B593="HR",Earnings!B593*1.2,
Earnings!B593*1.3))))</f>
        <v>3567387</v>
      </c>
      <c r="C593">
        <f>Earnings!B593 + Deductions!B593 + Deductions!C593 + Overtime!D593</f>
        <v>1190929</v>
      </c>
      <c r="D593">
        <f t="shared" si="18"/>
        <v>2376458</v>
      </c>
      <c r="E593">
        <f t="shared" si="19"/>
        <v>2.9954657246569694</v>
      </c>
    </row>
    <row r="594" spans="1:5" x14ac:dyDescent="0.35">
      <c r="A594" t="s">
        <v>625</v>
      </c>
      <c r="B594">
        <f>IF(Final_Payroll!B594="Sales",Earnings!B594*3,
IF(Final_Payroll!B594="IT",Earnings!B594*2,
IF(Final_Payroll!B594="Finance",Earnings!B594*1.5,
IF(Final_Payroll!B594="HR",Earnings!B594*1.2,
Earnings!B594*1.3))))</f>
        <v>1893752.3250000002</v>
      </c>
      <c r="C594">
        <f>Earnings!B594 + Deductions!B594 + Deductions!C594 + Overtime!D594</f>
        <v>1453676.7825000002</v>
      </c>
      <c r="D594">
        <f t="shared" si="18"/>
        <v>440075.54249999998</v>
      </c>
      <c r="E594">
        <f t="shared" si="19"/>
        <v>1.3027327310980148</v>
      </c>
    </row>
    <row r="595" spans="1:5" x14ac:dyDescent="0.35">
      <c r="A595" t="s">
        <v>626</v>
      </c>
      <c r="B595">
        <f>IF(Final_Payroll!B595="Sales",Earnings!B595*3,
IF(Final_Payroll!B595="IT",Earnings!B595*2,
IF(Final_Payroll!B595="Finance",Earnings!B595*1.5,
IF(Final_Payroll!B595="HR",Earnings!B595*1.2,
Earnings!B595*1.3))))</f>
        <v>774558.65500000003</v>
      </c>
      <c r="C595">
        <f>Earnings!B595 + Deductions!B595 + Deductions!C595 + Overtime!D595</f>
        <v>597614.35</v>
      </c>
      <c r="D595">
        <f t="shared" si="18"/>
        <v>176944.30500000005</v>
      </c>
      <c r="E595">
        <f t="shared" si="19"/>
        <v>1.296084431372841</v>
      </c>
    </row>
    <row r="596" spans="1:5" x14ac:dyDescent="0.35">
      <c r="A596" t="s">
        <v>627</v>
      </c>
      <c r="B596">
        <f>IF(Final_Payroll!B596="Sales",Earnings!B596*3,
IF(Final_Payroll!B596="IT",Earnings!B596*2,
IF(Final_Payroll!B596="Finance",Earnings!B596*1.5,
IF(Final_Payroll!B596="HR",Earnings!B596*1.2,
Earnings!B596*1.3))))</f>
        <v>622841.28</v>
      </c>
      <c r="C596">
        <f>Earnings!B596 + Deductions!B596 + Deductions!C596 + Overtime!D596</f>
        <v>585713.70000000007</v>
      </c>
      <c r="D596">
        <f t="shared" si="18"/>
        <v>37127.579999999958</v>
      </c>
      <c r="E596">
        <f t="shared" si="19"/>
        <v>1.0633886146081266</v>
      </c>
    </row>
    <row r="597" spans="1:5" x14ac:dyDescent="0.35">
      <c r="A597" t="s">
        <v>628</v>
      </c>
      <c r="B597">
        <f>IF(Final_Payroll!B597="Sales",Earnings!B597*3,
IF(Final_Payroll!B597="IT",Earnings!B597*2,
IF(Final_Payroll!B597="Finance",Earnings!B597*1.5,
IF(Final_Payroll!B597="HR",Earnings!B597*1.2,
Earnings!B597*1.3))))</f>
        <v>2459587.0499999998</v>
      </c>
      <c r="C597">
        <f>Earnings!B597 + Deductions!B597 + Deductions!C597 + Overtime!D597</f>
        <v>915946.52024999994</v>
      </c>
      <c r="D597">
        <f t="shared" si="18"/>
        <v>1543640.5297499998</v>
      </c>
      <c r="E597">
        <f t="shared" si="19"/>
        <v>2.6852954791822081</v>
      </c>
    </row>
    <row r="598" spans="1:5" x14ac:dyDescent="0.35">
      <c r="A598" t="s">
        <v>629</v>
      </c>
      <c r="B598">
        <f>IF(Final_Payroll!B598="Sales",Earnings!B598*3,
IF(Final_Payroll!B598="IT",Earnings!B598*2,
IF(Final_Payroll!B598="Finance",Earnings!B598*1.5,
IF(Final_Payroll!B598="HR",Earnings!B598*1.2,
Earnings!B598*1.3))))</f>
        <v>1820196.2</v>
      </c>
      <c r="C598">
        <f>Earnings!B598 + Deductions!B598 + Deductions!C598 + Overtime!D598</f>
        <v>1002907.9099999999</v>
      </c>
      <c r="D598">
        <f t="shared" si="18"/>
        <v>817288.29</v>
      </c>
      <c r="E598">
        <f t="shared" si="19"/>
        <v>1.8149185801117074</v>
      </c>
    </row>
    <row r="599" spans="1:5" x14ac:dyDescent="0.35">
      <c r="A599" t="s">
        <v>630</v>
      </c>
      <c r="B599">
        <f>IF(Final_Payroll!B599="Sales",Earnings!B599*3,
IF(Final_Payroll!B599="IT",Earnings!B599*2,
IF(Final_Payroll!B599="Finance",Earnings!B599*1.5,
IF(Final_Payroll!B599="HR",Earnings!B599*1.2,
Earnings!B599*1.3))))</f>
        <v>679305.57500000007</v>
      </c>
      <c r="C599">
        <f>Earnings!B599 + Deductions!B599 + Deductions!C599 + Overtime!D599</f>
        <v>537406.31874999998</v>
      </c>
      <c r="D599">
        <f t="shared" si="18"/>
        <v>141899.25625000009</v>
      </c>
      <c r="E599">
        <f t="shared" si="19"/>
        <v>1.2640446368030356</v>
      </c>
    </row>
    <row r="600" spans="1:5" x14ac:dyDescent="0.35">
      <c r="A600" t="s">
        <v>631</v>
      </c>
      <c r="B600">
        <f>IF(Final_Payroll!B600="Sales",Earnings!B600*3,
IF(Final_Payroll!B600="IT",Earnings!B600*2,
IF(Final_Payroll!B600="Finance",Earnings!B600*1.5,
IF(Final_Payroll!B600="HR",Earnings!B600*1.2,
Earnings!B600*1.3))))</f>
        <v>1411918.5</v>
      </c>
      <c r="C600">
        <f>Earnings!B600 + Deductions!B600 + Deductions!C600 + Overtime!D600</f>
        <v>943079</v>
      </c>
      <c r="D600">
        <f t="shared" si="18"/>
        <v>468839.5</v>
      </c>
      <c r="E600">
        <f t="shared" si="19"/>
        <v>1.4971370373001625</v>
      </c>
    </row>
    <row r="601" spans="1:5" x14ac:dyDescent="0.35">
      <c r="A601" t="s">
        <v>632</v>
      </c>
      <c r="B601">
        <f>IF(Final_Payroll!B601="Sales",Earnings!B601*3,
IF(Final_Payroll!B601="IT",Earnings!B601*2,
IF(Final_Payroll!B601="Finance",Earnings!B601*1.5,
IF(Final_Payroll!B601="HR",Earnings!B601*1.2,
Earnings!B601*1.3))))</f>
        <v>750804.66499999992</v>
      </c>
      <c r="C601">
        <f>Earnings!B601 + Deductions!B601 + Deductions!C601 + Overtime!D601</f>
        <v>579342.04999999993</v>
      </c>
      <c r="D601">
        <f t="shared" si="18"/>
        <v>171462.61499999999</v>
      </c>
      <c r="E601">
        <f t="shared" si="19"/>
        <v>1.2959609353403572</v>
      </c>
    </row>
    <row r="602" spans="1:5" x14ac:dyDescent="0.35">
      <c r="A602" t="s">
        <v>633</v>
      </c>
      <c r="B602">
        <f>IF(Final_Payroll!B602="Sales",Earnings!B602*3,
IF(Final_Payroll!B602="IT",Earnings!B602*2,
IF(Final_Payroll!B602="Finance",Earnings!B602*1.5,
IF(Final_Payroll!B602="HR",Earnings!B602*1.2,
Earnings!B602*1.3))))</f>
        <v>795418.79999999993</v>
      </c>
      <c r="C602">
        <f>Earnings!B602 + Deductions!B602 + Deductions!C602 + Overtime!D602</f>
        <v>714362.67500000005</v>
      </c>
      <c r="D602">
        <f t="shared" si="18"/>
        <v>81056.124999999884</v>
      </c>
      <c r="E602">
        <f t="shared" si="19"/>
        <v>1.1134663495681656</v>
      </c>
    </row>
    <row r="603" spans="1:5" x14ac:dyDescent="0.35">
      <c r="A603" t="s">
        <v>634</v>
      </c>
      <c r="B603">
        <f>IF(Final_Payroll!B603="Sales",Earnings!B603*3,
IF(Final_Payroll!B603="IT",Earnings!B603*2,
IF(Final_Payroll!B603="Finance",Earnings!B603*1.5,
IF(Final_Payroll!B603="HR",Earnings!B603*1.2,
Earnings!B603*1.3))))</f>
        <v>1168557</v>
      </c>
      <c r="C603">
        <f>Earnings!B603 + Deductions!B603 + Deductions!C603 + Overtime!D603</f>
        <v>839265.85</v>
      </c>
      <c r="D603">
        <f t="shared" si="18"/>
        <v>329291.15000000002</v>
      </c>
      <c r="E603">
        <f t="shared" si="19"/>
        <v>1.3923561884473199</v>
      </c>
    </row>
    <row r="604" spans="1:5" x14ac:dyDescent="0.35">
      <c r="A604" t="s">
        <v>635</v>
      </c>
      <c r="B604">
        <f>IF(Final_Payroll!B604="Sales",Earnings!B604*3,
IF(Final_Payroll!B604="IT",Earnings!B604*2,
IF(Final_Payroll!B604="Finance",Earnings!B604*1.5,
IF(Final_Payroll!B604="HR",Earnings!B604*1.2,
Earnings!B604*1.3))))</f>
        <v>1172068.105</v>
      </c>
      <c r="C604">
        <f>Earnings!B604 + Deductions!B604 + Deductions!C604 + Overtime!D604</f>
        <v>903390.85</v>
      </c>
      <c r="D604">
        <f t="shared" si="18"/>
        <v>268677.255</v>
      </c>
      <c r="E604">
        <f t="shared" si="19"/>
        <v>1.2974097590206941</v>
      </c>
    </row>
    <row r="605" spans="1:5" x14ac:dyDescent="0.35">
      <c r="A605" t="s">
        <v>636</v>
      </c>
      <c r="B605">
        <f>IF(Final_Payroll!B605="Sales",Earnings!B605*3,
IF(Final_Payroll!B605="IT",Earnings!B605*2,
IF(Final_Payroll!B605="Finance",Earnings!B605*1.5,
IF(Final_Payroll!B605="HR",Earnings!B605*1.2,
Earnings!B605*1.3))))</f>
        <v>1067156.0899999999</v>
      </c>
      <c r="C605">
        <f>Earnings!B605 + Deductions!B605 + Deductions!C605 + Overtime!D605</f>
        <v>929404.90899999999</v>
      </c>
      <c r="D605">
        <f t="shared" si="18"/>
        <v>137751.18099999987</v>
      </c>
      <c r="E605">
        <f t="shared" si="19"/>
        <v>1.1482143893001537</v>
      </c>
    </row>
    <row r="606" spans="1:5" x14ac:dyDescent="0.35">
      <c r="A606" t="s">
        <v>637</v>
      </c>
      <c r="B606">
        <f>IF(Final_Payroll!B606="Sales",Earnings!B606*3,
IF(Final_Payroll!B606="IT",Earnings!B606*2,
IF(Final_Payroll!B606="Finance",Earnings!B606*1.5,
IF(Final_Payroll!B606="HR",Earnings!B606*1.2,
Earnings!B606*1.3))))</f>
        <v>2628422</v>
      </c>
      <c r="C606">
        <f>Earnings!B606 + Deductions!B606 + Deductions!C606 + Overtime!D606</f>
        <v>1316011</v>
      </c>
      <c r="D606">
        <f t="shared" si="18"/>
        <v>1312411</v>
      </c>
      <c r="E606">
        <f t="shared" si="19"/>
        <v>1.9972644605554208</v>
      </c>
    </row>
    <row r="607" spans="1:5" x14ac:dyDescent="0.35">
      <c r="A607" t="s">
        <v>638</v>
      </c>
      <c r="B607">
        <f>IF(Final_Payroll!B607="Sales",Earnings!B607*3,
IF(Final_Payroll!B607="IT",Earnings!B607*2,
IF(Final_Payroll!B607="Finance",Earnings!B607*1.5,
IF(Final_Payroll!B607="HR",Earnings!B607*1.2,
Earnings!B607*1.3))))</f>
        <v>2134199.7000000002</v>
      </c>
      <c r="C607">
        <f>Earnings!B607 + Deductions!B607 + Deductions!C607 + Overtime!D607</f>
        <v>1186280.8335000002</v>
      </c>
      <c r="D607">
        <f t="shared" si="18"/>
        <v>947918.8665</v>
      </c>
      <c r="E607">
        <f t="shared" si="19"/>
        <v>1.7990678427327047</v>
      </c>
    </row>
    <row r="608" spans="1:5" x14ac:dyDescent="0.35">
      <c r="A608" t="s">
        <v>639</v>
      </c>
      <c r="B608">
        <f>IF(Final_Payroll!B608="Sales",Earnings!B608*3,
IF(Final_Payroll!B608="IT",Earnings!B608*2,
IF(Final_Payroll!B608="Finance",Earnings!B608*1.5,
IF(Final_Payroll!B608="HR",Earnings!B608*1.2,
Earnings!B608*1.3))))</f>
        <v>1925832</v>
      </c>
      <c r="C608">
        <f>Earnings!B608 + Deductions!B608 + Deductions!C608 + Overtime!D608</f>
        <v>1027305.54</v>
      </c>
      <c r="D608">
        <f t="shared" si="18"/>
        <v>898526.46</v>
      </c>
      <c r="E608">
        <f t="shared" si="19"/>
        <v>1.8746438377038246</v>
      </c>
    </row>
    <row r="609" spans="1:5" x14ac:dyDescent="0.35">
      <c r="A609" t="s">
        <v>640</v>
      </c>
      <c r="B609">
        <f>IF(Final_Payroll!B609="Sales",Earnings!B609*3,
IF(Final_Payroll!B609="IT",Earnings!B609*2,
IF(Final_Payroll!B609="Finance",Earnings!B609*1.5,
IF(Final_Payroll!B609="HR",Earnings!B609*1.2,
Earnings!B609*1.3))))</f>
        <v>886103.4</v>
      </c>
      <c r="C609">
        <f>Earnings!B609 + Deductions!B609 + Deductions!C609 + Overtime!D609</f>
        <v>720906.99</v>
      </c>
      <c r="D609">
        <f t="shared" si="18"/>
        <v>165196.41000000003</v>
      </c>
      <c r="E609">
        <f t="shared" si="19"/>
        <v>1.2291507951670715</v>
      </c>
    </row>
    <row r="610" spans="1:5" x14ac:dyDescent="0.35">
      <c r="A610" t="s">
        <v>641</v>
      </c>
      <c r="B610">
        <f>IF(Final_Payroll!B610="Sales",Earnings!B610*3,
IF(Final_Payroll!B610="IT",Earnings!B610*2,
IF(Final_Payroll!B610="Finance",Earnings!B610*1.5,
IF(Final_Payroll!B610="HR",Earnings!B610*1.2,
Earnings!B610*1.3))))</f>
        <v>998046.72499999998</v>
      </c>
      <c r="C610">
        <f>Earnings!B610 + Deductions!B610 + Deductions!C610 + Overtime!D610</f>
        <v>807914.66249999998</v>
      </c>
      <c r="D610">
        <f t="shared" si="18"/>
        <v>190132.0625</v>
      </c>
      <c r="E610">
        <f t="shared" si="19"/>
        <v>1.235336813806124</v>
      </c>
    </row>
    <row r="611" spans="1:5" x14ac:dyDescent="0.35">
      <c r="A611" t="s">
        <v>642</v>
      </c>
      <c r="B611">
        <f>IF(Final_Payroll!B611="Sales",Earnings!B611*3,
IF(Final_Payroll!B611="IT",Earnings!B611*2,
IF(Final_Payroll!B611="Finance",Earnings!B611*1.5,
IF(Final_Payroll!B611="HR",Earnings!B611*1.2,
Earnings!B611*1.3))))</f>
        <v>1549830</v>
      </c>
      <c r="C611">
        <f>Earnings!B611 + Deductions!B611 + Deductions!C611 + Overtime!D611</f>
        <v>1035020</v>
      </c>
      <c r="D611">
        <f t="shared" si="18"/>
        <v>514810</v>
      </c>
      <c r="E611">
        <f t="shared" si="19"/>
        <v>1.4973913547564299</v>
      </c>
    </row>
    <row r="612" spans="1:5" x14ac:dyDescent="0.35">
      <c r="A612" t="s">
        <v>643</v>
      </c>
      <c r="B612">
        <f>IF(Final_Payroll!B612="Sales",Earnings!B612*3,
IF(Final_Payroll!B612="IT",Earnings!B612*2,
IF(Final_Payroll!B612="Finance",Earnings!B612*1.5,
IF(Final_Payroll!B612="HR",Earnings!B612*1.2,
Earnings!B612*1.3))))</f>
        <v>498853.74</v>
      </c>
      <c r="C612">
        <f>Earnings!B612 + Deductions!B612 + Deductions!C612 + Overtime!D612</f>
        <v>417511.45</v>
      </c>
      <c r="D612">
        <f t="shared" si="18"/>
        <v>81342.289999999979</v>
      </c>
      <c r="E612">
        <f t="shared" si="19"/>
        <v>1.1948264891896976</v>
      </c>
    </row>
    <row r="613" spans="1:5" x14ac:dyDescent="0.35">
      <c r="A613" t="s">
        <v>644</v>
      </c>
      <c r="B613">
        <f>IF(Final_Payroll!B613="Sales",Earnings!B613*3,
IF(Final_Payroll!B613="IT",Earnings!B613*2,
IF(Final_Payroll!B613="Finance",Earnings!B613*1.5,
IF(Final_Payroll!B613="HR",Earnings!B613*1.2,
Earnings!B613*1.3))))</f>
        <v>3198192</v>
      </c>
      <c r="C613">
        <f>Earnings!B613 + Deductions!B613 + Deductions!C613 + Overtime!D613</f>
        <v>1067864</v>
      </c>
      <c r="D613">
        <f t="shared" si="18"/>
        <v>2130328</v>
      </c>
      <c r="E613">
        <f t="shared" si="19"/>
        <v>2.9949431762846204</v>
      </c>
    </row>
    <row r="614" spans="1:5" x14ac:dyDescent="0.35">
      <c r="A614" t="s">
        <v>645</v>
      </c>
      <c r="B614">
        <f>IF(Final_Payroll!B614="Sales",Earnings!B614*3,
IF(Final_Payroll!B614="IT",Earnings!B614*2,
IF(Final_Payroll!B614="Finance",Earnings!B614*1.5,
IF(Final_Payroll!B614="HR",Earnings!B614*1.2,
Earnings!B614*1.3))))</f>
        <v>2116028.0999999996</v>
      </c>
      <c r="C614">
        <f>Earnings!B614 + Deductions!B614 + Deductions!C614 + Overtime!D614</f>
        <v>749463.26199999999</v>
      </c>
      <c r="D614">
        <f t="shared" si="18"/>
        <v>1366564.8379999995</v>
      </c>
      <c r="E614">
        <f t="shared" si="19"/>
        <v>2.8233913619104118</v>
      </c>
    </row>
    <row r="615" spans="1:5" x14ac:dyDescent="0.35">
      <c r="A615" t="s">
        <v>646</v>
      </c>
      <c r="B615">
        <f>IF(Final_Payroll!B615="Sales",Earnings!B615*3,
IF(Final_Payroll!B615="IT",Earnings!B615*2,
IF(Final_Payroll!B615="Finance",Earnings!B615*1.5,
IF(Final_Payroll!B615="HR",Earnings!B615*1.2,
Earnings!B615*1.3))))</f>
        <v>2061777.4</v>
      </c>
      <c r="C615">
        <f>Earnings!B615 + Deductions!B615 + Deductions!C615 + Overtime!D615</f>
        <v>1032688.7</v>
      </c>
      <c r="D615">
        <f t="shared" si="18"/>
        <v>1029088.7</v>
      </c>
      <c r="E615">
        <f t="shared" si="19"/>
        <v>1.9965139543020078</v>
      </c>
    </row>
    <row r="616" spans="1:5" x14ac:dyDescent="0.35">
      <c r="A616" t="s">
        <v>647</v>
      </c>
      <c r="B616">
        <f>IF(Final_Payroll!B616="Sales",Earnings!B616*3,
IF(Final_Payroll!B616="IT",Earnings!B616*2,
IF(Final_Payroll!B616="Finance",Earnings!B616*1.5,
IF(Final_Payroll!B616="HR",Earnings!B616*1.2,
Earnings!B616*1.3))))</f>
        <v>742207.83</v>
      </c>
      <c r="C616">
        <f>Earnings!B616 + Deductions!B616 + Deductions!C616 + Overtime!D616</f>
        <v>572729.1</v>
      </c>
      <c r="D616">
        <f t="shared" si="18"/>
        <v>169478.72999999998</v>
      </c>
      <c r="E616">
        <f t="shared" si="19"/>
        <v>1.2959142987496182</v>
      </c>
    </row>
    <row r="617" spans="1:5" x14ac:dyDescent="0.35">
      <c r="A617" t="s">
        <v>648</v>
      </c>
      <c r="B617">
        <f>IF(Final_Payroll!B617="Sales",Earnings!B617*3,
IF(Final_Payroll!B617="IT",Earnings!B617*2,
IF(Final_Payroll!B617="Finance",Earnings!B617*1.5,
IF(Final_Payroll!B617="HR",Earnings!B617*1.2,
Earnings!B617*1.3))))</f>
        <v>1859938.5</v>
      </c>
      <c r="C617">
        <f>Earnings!B617 + Deductions!B617 + Deductions!C617 + Overtime!D617</f>
        <v>1285157.5649999999</v>
      </c>
      <c r="D617">
        <f t="shared" si="18"/>
        <v>574780.93500000006</v>
      </c>
      <c r="E617">
        <f t="shared" si="19"/>
        <v>1.4472454978701386</v>
      </c>
    </row>
    <row r="618" spans="1:5" x14ac:dyDescent="0.35">
      <c r="A618" t="s">
        <v>649</v>
      </c>
      <c r="B618">
        <f>IF(Final_Payroll!B618="Sales",Earnings!B618*3,
IF(Final_Payroll!B618="IT",Earnings!B618*2,
IF(Final_Payroll!B618="Finance",Earnings!B618*1.5,
IF(Final_Payroll!B618="HR",Earnings!B618*1.2,
Earnings!B618*1.3))))</f>
        <v>907355.92499999993</v>
      </c>
      <c r="C618">
        <f>Earnings!B618 + Deductions!B618 + Deductions!C618 + Overtime!D618</f>
        <v>646022.7067499999</v>
      </c>
      <c r="D618">
        <f t="shared" si="18"/>
        <v>261333.21825000003</v>
      </c>
      <c r="E618">
        <f t="shared" si="19"/>
        <v>1.4045263665184631</v>
      </c>
    </row>
    <row r="619" spans="1:5" x14ac:dyDescent="0.35">
      <c r="A619" t="s">
        <v>650</v>
      </c>
      <c r="B619">
        <f>IF(Final_Payroll!B619="Sales",Earnings!B619*3,
IF(Final_Payroll!B619="IT",Earnings!B619*2,
IF(Final_Payroll!B619="Finance",Earnings!B619*1.5,
IF(Final_Payroll!B619="HR",Earnings!B619*1.2,
Earnings!B619*1.3))))</f>
        <v>1081208.7</v>
      </c>
      <c r="C619">
        <f>Earnings!B619 + Deductions!B619 + Deductions!C619 + Overtime!D619</f>
        <v>933302.88</v>
      </c>
      <c r="D619">
        <f t="shared" si="18"/>
        <v>147905.81999999995</v>
      </c>
      <c r="E619">
        <f t="shared" si="19"/>
        <v>1.158475692264016</v>
      </c>
    </row>
    <row r="620" spans="1:5" x14ac:dyDescent="0.35">
      <c r="A620" t="s">
        <v>651</v>
      </c>
      <c r="B620">
        <f>IF(Final_Payroll!B620="Sales",Earnings!B620*3,
IF(Final_Payroll!B620="IT",Earnings!B620*2,
IF(Final_Payroll!B620="Finance",Earnings!B620*1.5,
IF(Final_Payroll!B620="HR",Earnings!B620*1.2,
Earnings!B620*1.3))))</f>
        <v>655400.91500000004</v>
      </c>
      <c r="C620">
        <f>Earnings!B620 + Deductions!B620 + Deductions!C620 + Overtime!D620</f>
        <v>505954.55</v>
      </c>
      <c r="D620">
        <f t="shared" si="18"/>
        <v>149446.36500000005</v>
      </c>
      <c r="E620">
        <f t="shared" si="19"/>
        <v>1.2953750786508393</v>
      </c>
    </row>
    <row r="621" spans="1:5" x14ac:dyDescent="0.35">
      <c r="A621" t="s">
        <v>652</v>
      </c>
      <c r="B621">
        <f>IF(Final_Payroll!B621="Sales",Earnings!B621*3,
IF(Final_Payroll!B621="IT",Earnings!B621*2,
IF(Final_Payroll!B621="Finance",Earnings!B621*1.5,
IF(Final_Payroll!B621="HR",Earnings!B621*1.2,
Earnings!B621*1.3))))</f>
        <v>1199943.5999999999</v>
      </c>
      <c r="C621">
        <f>Earnings!B621 + Deductions!B621 + Deductions!C621 + Overtime!D621</f>
        <v>1101748.3</v>
      </c>
      <c r="D621">
        <f t="shared" si="18"/>
        <v>98195.299999999814</v>
      </c>
      <c r="E621">
        <f t="shared" si="19"/>
        <v>1.0891267996510634</v>
      </c>
    </row>
    <row r="622" spans="1:5" x14ac:dyDescent="0.35">
      <c r="A622" t="s">
        <v>653</v>
      </c>
      <c r="B622">
        <f>IF(Final_Payroll!B622="Sales",Earnings!B622*3,
IF(Final_Payroll!B622="IT",Earnings!B622*2,
IF(Final_Payroll!B622="Finance",Earnings!B622*1.5,
IF(Final_Payroll!B622="HR",Earnings!B622*1.2,
Earnings!B622*1.3))))</f>
        <v>2618158.1999999997</v>
      </c>
      <c r="C622">
        <f>Earnings!B622 + Deductions!B622 + Deductions!C622 + Overtime!D622</f>
        <v>974882.13099999994</v>
      </c>
      <c r="D622">
        <f t="shared" si="18"/>
        <v>1643276.0689999997</v>
      </c>
      <c r="E622">
        <f t="shared" si="19"/>
        <v>2.6856151289945021</v>
      </c>
    </row>
    <row r="623" spans="1:5" x14ac:dyDescent="0.35">
      <c r="A623" t="s">
        <v>654</v>
      </c>
      <c r="B623">
        <f>IF(Final_Payroll!B623="Sales",Earnings!B623*3,
IF(Final_Payroll!B623="IT",Earnings!B623*2,
IF(Final_Payroll!B623="Finance",Earnings!B623*1.5,
IF(Final_Payroll!B623="HR",Earnings!B623*1.2,
Earnings!B623*1.3))))</f>
        <v>1591246.5</v>
      </c>
      <c r="C623">
        <f>Earnings!B623 + Deductions!B623 + Deductions!C623 + Overtime!D623</f>
        <v>1062631</v>
      </c>
      <c r="D623">
        <f t="shared" si="18"/>
        <v>528615.5</v>
      </c>
      <c r="E623">
        <f t="shared" si="19"/>
        <v>1.4974591368028978</v>
      </c>
    </row>
    <row r="624" spans="1:5" x14ac:dyDescent="0.35">
      <c r="A624" t="s">
        <v>655</v>
      </c>
      <c r="B624">
        <f>IF(Final_Payroll!B624="Sales",Earnings!B624*3,
IF(Final_Payroll!B624="IT",Earnings!B624*2,
IF(Final_Payroll!B624="Finance",Earnings!B624*1.5,
IF(Final_Payroll!B624="HR",Earnings!B624*1.2,
Earnings!B624*1.3))))</f>
        <v>1624092.4500000002</v>
      </c>
      <c r="C624">
        <f>Earnings!B624 + Deductions!B624 + Deductions!C624 + Overtime!D624</f>
        <v>602714.20649999997</v>
      </c>
      <c r="D624">
        <f t="shared" si="18"/>
        <v>1021378.2435000002</v>
      </c>
      <c r="E624">
        <f t="shared" si="19"/>
        <v>2.6946311078864542</v>
      </c>
    </row>
    <row r="625" spans="1:5" x14ac:dyDescent="0.35">
      <c r="A625" t="s">
        <v>656</v>
      </c>
      <c r="B625">
        <f>IF(Final_Payroll!B625="Sales",Earnings!B625*3,
IF(Final_Payroll!B625="IT",Earnings!B625*2,
IF(Final_Payroll!B625="Finance",Earnings!B625*1.5,
IF(Final_Payroll!B625="HR",Earnings!B625*1.2,
Earnings!B625*1.3))))</f>
        <v>2420302</v>
      </c>
      <c r="C625">
        <f>Earnings!B625 + Deductions!B625 + Deductions!C625 + Overtime!D625</f>
        <v>1211951</v>
      </c>
      <c r="D625">
        <f t="shared" si="18"/>
        <v>1208351</v>
      </c>
      <c r="E625">
        <f t="shared" si="19"/>
        <v>1.9970295828791758</v>
      </c>
    </row>
    <row r="626" spans="1:5" x14ac:dyDescent="0.35">
      <c r="A626" t="s">
        <v>657</v>
      </c>
      <c r="B626">
        <f>IF(Final_Payroll!B626="Sales",Earnings!B626*3,
IF(Final_Payroll!B626="IT",Earnings!B626*2,
IF(Final_Payroll!B626="Finance",Earnings!B626*1.5,
IF(Final_Payroll!B626="HR",Earnings!B626*1.2,
Earnings!B626*1.3))))</f>
        <v>1562902.5</v>
      </c>
      <c r="C626">
        <f>Earnings!B626 + Deductions!B626 + Deductions!C626 + Overtime!D626</f>
        <v>1189605.8999999999</v>
      </c>
      <c r="D626">
        <f t="shared" si="18"/>
        <v>373296.60000000009</v>
      </c>
      <c r="E626">
        <f t="shared" si="19"/>
        <v>1.3137985445431972</v>
      </c>
    </row>
    <row r="627" spans="1:5" x14ac:dyDescent="0.35">
      <c r="A627" t="s">
        <v>658</v>
      </c>
      <c r="B627">
        <f>IF(Final_Payroll!B627="Sales",Earnings!B627*3,
IF(Final_Payroll!B627="IT",Earnings!B627*2,
IF(Final_Payroll!B627="Finance",Earnings!B627*1.5,
IF(Final_Payroll!B627="HR",Earnings!B627*1.2,
Earnings!B627*1.3))))</f>
        <v>1703304</v>
      </c>
      <c r="C627">
        <f>Earnings!B627 + Deductions!B627 + Deductions!C627 + Overtime!D627</f>
        <v>1137336</v>
      </c>
      <c r="D627">
        <f t="shared" si="18"/>
        <v>565968</v>
      </c>
      <c r="E627">
        <f t="shared" si="19"/>
        <v>1.4976260313574881</v>
      </c>
    </row>
    <row r="628" spans="1:5" x14ac:dyDescent="0.35">
      <c r="A628" t="s">
        <v>659</v>
      </c>
      <c r="B628">
        <f>IF(Final_Payroll!B628="Sales",Earnings!B628*3,
IF(Final_Payroll!B628="IT",Earnings!B628*2,
IF(Final_Payroll!B628="Finance",Earnings!B628*1.5,
IF(Final_Payroll!B628="HR",Earnings!B628*1.2,
Earnings!B628*1.3))))</f>
        <v>2710104</v>
      </c>
      <c r="C628">
        <f>Earnings!B628 + Deductions!B628 + Deductions!C628 + Overtime!D628</f>
        <v>1546559.28</v>
      </c>
      <c r="D628">
        <f t="shared" si="18"/>
        <v>1163544.72</v>
      </c>
      <c r="E628">
        <f t="shared" si="19"/>
        <v>1.7523440808554069</v>
      </c>
    </row>
    <row r="629" spans="1:5" x14ac:dyDescent="0.35">
      <c r="A629" t="s">
        <v>660</v>
      </c>
      <c r="B629">
        <f>IF(Final_Payroll!B629="Sales",Earnings!B629*3,
IF(Final_Payroll!B629="IT",Earnings!B629*2,
IF(Final_Payroll!B629="Finance",Earnings!B629*1.5,
IF(Final_Payroll!B629="HR",Earnings!B629*1.2,
Earnings!B629*1.3))))</f>
        <v>2882682</v>
      </c>
      <c r="C629">
        <f>Earnings!B629 + Deductions!B629 + Deductions!C629 + Overtime!D629</f>
        <v>1443141</v>
      </c>
      <c r="D629">
        <f t="shared" si="18"/>
        <v>1439541</v>
      </c>
      <c r="E629">
        <f t="shared" si="19"/>
        <v>1.9975054412562598</v>
      </c>
    </row>
    <row r="630" spans="1:5" x14ac:dyDescent="0.35">
      <c r="A630" t="s">
        <v>661</v>
      </c>
      <c r="B630">
        <f>IF(Final_Payroll!B630="Sales",Earnings!B630*3,
IF(Final_Payroll!B630="IT",Earnings!B630*2,
IF(Final_Payroll!B630="Finance",Earnings!B630*1.5,
IF(Final_Payroll!B630="HR",Earnings!B630*1.2,
Earnings!B630*1.3))))</f>
        <v>2859855.3</v>
      </c>
      <c r="C630">
        <f>Earnings!B630 + Deductions!B630 + Deductions!C630 + Overtime!D630</f>
        <v>1098077.865</v>
      </c>
      <c r="D630">
        <f t="shared" si="18"/>
        <v>1761777.4349999998</v>
      </c>
      <c r="E630">
        <f t="shared" si="19"/>
        <v>2.6044194051757885</v>
      </c>
    </row>
    <row r="631" spans="1:5" x14ac:dyDescent="0.35">
      <c r="A631" t="s">
        <v>662</v>
      </c>
      <c r="B631">
        <f>IF(Final_Payroll!B631="Sales",Earnings!B631*3,
IF(Final_Payroll!B631="IT",Earnings!B631*2,
IF(Final_Payroll!B631="Finance",Earnings!B631*1.5,
IF(Final_Payroll!B631="HR",Earnings!B631*1.2,
Earnings!B631*1.3))))</f>
        <v>1469554.5</v>
      </c>
      <c r="C631">
        <f>Earnings!B631 + Deductions!B631 + Deductions!C631 + Overtime!D631</f>
        <v>1054980.7250000001</v>
      </c>
      <c r="D631">
        <f t="shared" si="18"/>
        <v>414573.77499999991</v>
      </c>
      <c r="E631">
        <f t="shared" si="19"/>
        <v>1.3929681037537438</v>
      </c>
    </row>
    <row r="632" spans="1:5" x14ac:dyDescent="0.35">
      <c r="A632" t="s">
        <v>663</v>
      </c>
      <c r="B632">
        <f>IF(Final_Payroll!B632="Sales",Earnings!B632*3,
IF(Final_Payroll!B632="IT",Earnings!B632*2,
IF(Final_Payroll!B632="Finance",Earnings!B632*1.5,
IF(Final_Payroll!B632="HR",Earnings!B632*1.2,
Earnings!B632*1.3))))</f>
        <v>947918.4</v>
      </c>
      <c r="C632">
        <f>Earnings!B632 + Deductions!B632 + Deductions!C632 + Overtime!D632</f>
        <v>730968</v>
      </c>
      <c r="D632">
        <f t="shared" si="18"/>
        <v>216950.40000000002</v>
      </c>
      <c r="E632">
        <f t="shared" si="19"/>
        <v>1.2967987654726336</v>
      </c>
    </row>
    <row r="633" spans="1:5" x14ac:dyDescent="0.35">
      <c r="A633" t="s">
        <v>664</v>
      </c>
      <c r="B633">
        <f>IF(Final_Payroll!B633="Sales",Earnings!B633*3,
IF(Final_Payroll!B633="IT",Earnings!B633*2,
IF(Final_Payroll!B633="Finance",Earnings!B633*1.5,
IF(Final_Payroll!B633="HR",Earnings!B633*1.2,
Earnings!B633*1.3))))</f>
        <v>458894.45999999996</v>
      </c>
      <c r="C633">
        <f>Earnings!B633 + Deductions!B633 + Deductions!C633 + Overtime!D633</f>
        <v>412892.95374999999</v>
      </c>
      <c r="D633">
        <f t="shared" si="18"/>
        <v>46001.506249999977</v>
      </c>
      <c r="E633">
        <f t="shared" si="19"/>
        <v>1.1114126696331397</v>
      </c>
    </row>
    <row r="634" spans="1:5" x14ac:dyDescent="0.35">
      <c r="A634" t="s">
        <v>665</v>
      </c>
      <c r="B634">
        <f>IF(Final_Payroll!B634="Sales",Earnings!B634*3,
IF(Final_Payroll!B634="IT",Earnings!B634*2,
IF(Final_Payroll!B634="Finance",Earnings!B634*1.5,
IF(Final_Payroll!B634="HR",Earnings!B634*1.2,
Earnings!B634*1.3))))</f>
        <v>723196.62</v>
      </c>
      <c r="C634">
        <f>Earnings!B634 + Deductions!B634 + Deductions!C634 + Overtime!D634</f>
        <v>604463.85</v>
      </c>
      <c r="D634">
        <f t="shared" si="18"/>
        <v>118732.77000000002</v>
      </c>
      <c r="E634">
        <f t="shared" si="19"/>
        <v>1.1964265853119256</v>
      </c>
    </row>
    <row r="635" spans="1:5" x14ac:dyDescent="0.35">
      <c r="A635" t="s">
        <v>666</v>
      </c>
      <c r="B635">
        <f>IF(Final_Payroll!B635="Sales",Earnings!B635*3,
IF(Final_Payroll!B635="IT",Earnings!B635*2,
IF(Final_Payroll!B635="Finance",Earnings!B635*1.5,
IF(Final_Payroll!B635="HR",Earnings!B635*1.2,
Earnings!B635*1.3))))</f>
        <v>1624558.5</v>
      </c>
      <c r="C635">
        <f>Earnings!B635 + Deductions!B635 + Deductions!C635 + Overtime!D635</f>
        <v>1084839</v>
      </c>
      <c r="D635">
        <f t="shared" si="18"/>
        <v>539719.5</v>
      </c>
      <c r="E635">
        <f t="shared" si="19"/>
        <v>1.4975111514243127</v>
      </c>
    </row>
    <row r="636" spans="1:5" x14ac:dyDescent="0.35">
      <c r="A636" t="s">
        <v>667</v>
      </c>
      <c r="B636">
        <f>IF(Final_Payroll!B636="Sales",Earnings!B636*3,
IF(Final_Payroll!B636="IT",Earnings!B636*2,
IF(Final_Payroll!B636="Finance",Earnings!B636*1.5,
IF(Final_Payroll!B636="HR",Earnings!B636*1.2,
Earnings!B636*1.3))))</f>
        <v>964537.2</v>
      </c>
      <c r="C636">
        <f>Earnings!B636 + Deductions!B636 + Deductions!C636 + Overtime!D636</f>
        <v>906053.625</v>
      </c>
      <c r="D636">
        <f t="shared" si="18"/>
        <v>58483.574999999953</v>
      </c>
      <c r="E636">
        <f t="shared" si="19"/>
        <v>1.0645475867943246</v>
      </c>
    </row>
    <row r="637" spans="1:5" x14ac:dyDescent="0.35">
      <c r="A637" t="s">
        <v>668</v>
      </c>
      <c r="B637">
        <f>IF(Final_Payroll!B637="Sales",Earnings!B637*3,
IF(Final_Payroll!B637="IT",Earnings!B637*2,
IF(Final_Payroll!B637="Finance",Earnings!B637*1.5,
IF(Final_Payroll!B637="HR",Earnings!B637*1.2,
Earnings!B637*1.3))))</f>
        <v>757377.33499999996</v>
      </c>
      <c r="C637">
        <f>Earnings!B637 + Deductions!B637 + Deductions!C637 + Overtime!D637</f>
        <v>584397.94999999995</v>
      </c>
      <c r="D637">
        <f t="shared" si="18"/>
        <v>172979.38500000001</v>
      </c>
      <c r="E637">
        <f t="shared" si="19"/>
        <v>1.2959958791778787</v>
      </c>
    </row>
    <row r="638" spans="1:5" x14ac:dyDescent="0.35">
      <c r="A638" t="s">
        <v>669</v>
      </c>
      <c r="B638">
        <f>IF(Final_Payroll!B638="Sales",Earnings!B638*3,
IF(Final_Payroll!B638="IT",Earnings!B638*2,
IF(Final_Payroll!B638="Finance",Earnings!B638*1.5,
IF(Final_Payroll!B638="HR",Earnings!B638*1.2,
Earnings!B638*1.3))))</f>
        <v>657457.19000000006</v>
      </c>
      <c r="C638">
        <f>Earnings!B638 + Deductions!B638 + Deductions!C638 + Overtime!D638</f>
        <v>570753.33750000002</v>
      </c>
      <c r="D638">
        <f t="shared" si="18"/>
        <v>86703.852500000037</v>
      </c>
      <c r="E638">
        <f t="shared" si="19"/>
        <v>1.1519112492268169</v>
      </c>
    </row>
    <row r="639" spans="1:5" x14ac:dyDescent="0.35">
      <c r="A639" t="s">
        <v>670</v>
      </c>
      <c r="B639">
        <f>IF(Final_Payroll!B639="Sales",Earnings!B639*3,
IF(Final_Payroll!B639="IT",Earnings!B639*2,
IF(Final_Payroll!B639="Finance",Earnings!B639*1.5,
IF(Final_Payroll!B639="HR",Earnings!B639*1.2,
Earnings!B639*1.3))))</f>
        <v>1171455.45</v>
      </c>
      <c r="C639">
        <f>Earnings!B639 + Deductions!B639 + Deductions!C639 + Overtime!D639</f>
        <v>825723.66649999993</v>
      </c>
      <c r="D639">
        <f t="shared" si="18"/>
        <v>345731.78350000002</v>
      </c>
      <c r="E639">
        <f t="shared" si="19"/>
        <v>1.4187015554070959</v>
      </c>
    </row>
    <row r="640" spans="1:5" x14ac:dyDescent="0.35">
      <c r="A640" t="s">
        <v>671</v>
      </c>
      <c r="B640">
        <f>IF(Final_Payroll!B640="Sales",Earnings!B640*3,
IF(Final_Payroll!B640="IT",Earnings!B640*2,
IF(Final_Payroll!B640="Finance",Earnings!B640*1.5,
IF(Final_Payroll!B640="HR",Earnings!B640*1.2,
Earnings!B640*1.3))))</f>
        <v>1870041.75</v>
      </c>
      <c r="C640">
        <f>Earnings!B640 + Deductions!B640 + Deductions!C640 + Overtime!D640</f>
        <v>625147.25</v>
      </c>
      <c r="D640">
        <f t="shared" si="18"/>
        <v>1244894.5</v>
      </c>
      <c r="E640">
        <f t="shared" si="19"/>
        <v>2.9913620351045296</v>
      </c>
    </row>
    <row r="641" spans="1:5" x14ac:dyDescent="0.35">
      <c r="A641" t="s">
        <v>672</v>
      </c>
      <c r="B641">
        <f>IF(Final_Payroll!B641="Sales",Earnings!B641*3,
IF(Final_Payroll!B641="IT",Earnings!B641*2,
IF(Final_Payroll!B641="Finance",Earnings!B641*1.5,
IF(Final_Payroll!B641="HR",Earnings!B641*1.2,
Earnings!B641*1.3))))</f>
        <v>826625.02</v>
      </c>
      <c r="C641">
        <f>Earnings!B641 + Deductions!B641 + Deductions!C641 + Overtime!D641</f>
        <v>707610.59400000004</v>
      </c>
      <c r="D641">
        <f t="shared" si="18"/>
        <v>119014.42599999998</v>
      </c>
      <c r="E641">
        <f t="shared" si="19"/>
        <v>1.168191978765089</v>
      </c>
    </row>
    <row r="642" spans="1:5" x14ac:dyDescent="0.35">
      <c r="A642" t="s">
        <v>673</v>
      </c>
      <c r="B642">
        <f>IF(Final_Payroll!B642="Sales",Earnings!B642*3,
IF(Final_Payroll!B642="IT",Earnings!B642*2,
IF(Final_Payroll!B642="Finance",Earnings!B642*1.5,
IF(Final_Payroll!B642="HR",Earnings!B642*1.2,
Earnings!B642*1.3))))</f>
        <v>1765639.5</v>
      </c>
      <c r="C642">
        <f>Earnings!B642 + Deductions!B642 + Deductions!C642 + Overtime!D642</f>
        <v>1249518.58</v>
      </c>
      <c r="D642">
        <f t="shared" ref="D642:D705" si="20">B642-C642</f>
        <v>516120.91999999993</v>
      </c>
      <c r="E642">
        <f t="shared" ref="E642:E705" si="21">IF(C642=0,0,B642/C642)</f>
        <v>1.4130558186657776</v>
      </c>
    </row>
    <row r="643" spans="1:5" x14ac:dyDescent="0.35">
      <c r="A643" t="s">
        <v>674</v>
      </c>
      <c r="B643">
        <f>IF(Final_Payroll!B643="Sales",Earnings!B643*3,
IF(Final_Payroll!B643="IT",Earnings!B643*2,
IF(Final_Payroll!B643="Finance",Earnings!B643*1.5,
IF(Final_Payroll!B643="HR",Earnings!B643*1.2,
Earnings!B643*1.3))))</f>
        <v>2734504.7</v>
      </c>
      <c r="C643">
        <f>Earnings!B643 + Deductions!B643 + Deductions!C643 + Overtime!D643</f>
        <v>1369052.35</v>
      </c>
      <c r="D643">
        <f t="shared" si="20"/>
        <v>1365452.35</v>
      </c>
      <c r="E643">
        <f t="shared" si="21"/>
        <v>1.99737044386944</v>
      </c>
    </row>
    <row r="644" spans="1:5" x14ac:dyDescent="0.35">
      <c r="A644" t="s">
        <v>675</v>
      </c>
      <c r="B644">
        <f>IF(Final_Payroll!B644="Sales",Earnings!B644*3,
IF(Final_Payroll!B644="IT",Earnings!B644*2,
IF(Final_Payroll!B644="Finance",Earnings!B644*1.5,
IF(Final_Payroll!B644="HR",Earnings!B644*1.2,
Earnings!B644*1.3))))</f>
        <v>1163615.7649999999</v>
      </c>
      <c r="C644">
        <f>Earnings!B644 + Deductions!B644 + Deductions!C644 + Overtime!D644</f>
        <v>896889.04999999993</v>
      </c>
      <c r="D644">
        <f t="shared" si="20"/>
        <v>266726.71499999997</v>
      </c>
      <c r="E644">
        <f t="shared" si="21"/>
        <v>1.2973909816381413</v>
      </c>
    </row>
    <row r="645" spans="1:5" x14ac:dyDescent="0.35">
      <c r="A645" t="s">
        <v>676</v>
      </c>
      <c r="B645">
        <f>IF(Final_Payroll!B645="Sales",Earnings!B645*3,
IF(Final_Payroll!B645="IT",Earnings!B645*2,
IF(Final_Payroll!B645="Finance",Earnings!B645*1.5,
IF(Final_Payroll!B645="HR",Earnings!B645*1.2,
Earnings!B645*1.3))))</f>
        <v>931708.70000000007</v>
      </c>
      <c r="C645">
        <f>Earnings!B645 + Deductions!B645 + Deductions!C645 + Overtime!D645</f>
        <v>718499</v>
      </c>
      <c r="D645">
        <f t="shared" si="20"/>
        <v>213209.70000000007</v>
      </c>
      <c r="E645">
        <f t="shared" si="21"/>
        <v>1.2967432104985532</v>
      </c>
    </row>
    <row r="646" spans="1:5" x14ac:dyDescent="0.35">
      <c r="A646" t="s">
        <v>677</v>
      </c>
      <c r="B646">
        <f>IF(Final_Payroll!B646="Sales",Earnings!B646*3,
IF(Final_Payroll!B646="IT",Earnings!B646*2,
IF(Final_Payroll!B646="Finance",Earnings!B646*1.5,
IF(Final_Payroll!B646="HR",Earnings!B646*1.2,
Earnings!B646*1.3))))</f>
        <v>1718902.5</v>
      </c>
      <c r="C646">
        <f>Earnings!B646 + Deductions!B646 + Deductions!C646 + Overtime!D646</f>
        <v>1147735</v>
      </c>
      <c r="D646">
        <f t="shared" si="20"/>
        <v>571167.5</v>
      </c>
      <c r="E646">
        <f t="shared" si="21"/>
        <v>1.4976475405908158</v>
      </c>
    </row>
    <row r="647" spans="1:5" x14ac:dyDescent="0.35">
      <c r="A647" t="s">
        <v>678</v>
      </c>
      <c r="B647">
        <f>IF(Final_Payroll!B647="Sales",Earnings!B647*3,
IF(Final_Payroll!B647="IT",Earnings!B647*2,
IF(Final_Payroll!B647="Finance",Earnings!B647*1.5,
IF(Final_Payroll!B647="HR",Earnings!B647*1.2,
Earnings!B647*1.3))))</f>
        <v>1916930.9</v>
      </c>
      <c r="C647">
        <f>Earnings!B647 + Deductions!B647 + Deductions!C647 + Overtime!D647</f>
        <v>960265.45</v>
      </c>
      <c r="D647">
        <f t="shared" si="20"/>
        <v>956665.45</v>
      </c>
      <c r="E647">
        <f t="shared" si="21"/>
        <v>1.9962510366274242</v>
      </c>
    </row>
    <row r="648" spans="1:5" x14ac:dyDescent="0.35">
      <c r="A648" t="s">
        <v>679</v>
      </c>
      <c r="B648">
        <f>IF(Final_Payroll!B648="Sales",Earnings!B648*3,
IF(Final_Payroll!B648="IT",Earnings!B648*2,
IF(Final_Payroll!B648="Finance",Earnings!B648*1.5,
IF(Final_Payroll!B648="HR",Earnings!B648*1.2,
Earnings!B648*1.3))))</f>
        <v>2514986</v>
      </c>
      <c r="C648">
        <f>Earnings!B648 + Deductions!B648 + Deductions!C648 + Overtime!D648</f>
        <v>1259293</v>
      </c>
      <c r="D648">
        <f t="shared" si="20"/>
        <v>1255693</v>
      </c>
      <c r="E648">
        <f t="shared" si="21"/>
        <v>1.9971412530681898</v>
      </c>
    </row>
    <row r="649" spans="1:5" x14ac:dyDescent="0.35">
      <c r="A649" t="s">
        <v>680</v>
      </c>
      <c r="B649">
        <f>IF(Final_Payroll!B649="Sales",Earnings!B649*3,
IF(Final_Payroll!B649="IT",Earnings!B649*2,
IF(Final_Payroll!B649="Finance",Earnings!B649*1.5,
IF(Final_Payroll!B649="HR",Earnings!B649*1.2,
Earnings!B649*1.3))))</f>
        <v>2791956</v>
      </c>
      <c r="C649">
        <f>Earnings!B649 + Deductions!B649 + Deductions!C649 + Overtime!D649</f>
        <v>1551335.58</v>
      </c>
      <c r="D649">
        <f t="shared" si="20"/>
        <v>1240620.42</v>
      </c>
      <c r="E649">
        <f t="shared" si="21"/>
        <v>1.7997111882137067</v>
      </c>
    </row>
    <row r="650" spans="1:5" x14ac:dyDescent="0.35">
      <c r="A650" t="s">
        <v>681</v>
      </c>
      <c r="B650">
        <f>IF(Final_Payroll!B650="Sales",Earnings!B650*3,
IF(Final_Payroll!B650="IT",Earnings!B650*2,
IF(Final_Payroll!B650="Finance",Earnings!B650*1.5,
IF(Final_Payroll!B650="HR",Earnings!B650*1.2,
Earnings!B650*1.3))))</f>
        <v>1300254</v>
      </c>
      <c r="C650">
        <f>Earnings!B650 + Deductions!B650 + Deductions!C650 + Overtime!D650</f>
        <v>1242459.0249999999</v>
      </c>
      <c r="D650">
        <f t="shared" si="20"/>
        <v>57794.975000000093</v>
      </c>
      <c r="E650">
        <f t="shared" si="21"/>
        <v>1.0465166044409393</v>
      </c>
    </row>
    <row r="651" spans="1:5" x14ac:dyDescent="0.35">
      <c r="A651" t="s">
        <v>682</v>
      </c>
      <c r="B651">
        <f>IF(Final_Payroll!B651="Sales",Earnings!B651*3,
IF(Final_Payroll!B651="IT",Earnings!B651*2,
IF(Final_Payroll!B651="Finance",Earnings!B651*1.5,
IF(Final_Payroll!B651="HR",Earnings!B651*1.2,
Earnings!B651*1.3))))</f>
        <v>2832993.1</v>
      </c>
      <c r="C651">
        <f>Earnings!B651 + Deductions!B651 + Deductions!C651 + Overtime!D651</f>
        <v>1418296.55</v>
      </c>
      <c r="D651">
        <f t="shared" si="20"/>
        <v>1414696.55</v>
      </c>
      <c r="E651">
        <f t="shared" si="21"/>
        <v>1.9974617438080915</v>
      </c>
    </row>
    <row r="652" spans="1:5" x14ac:dyDescent="0.35">
      <c r="A652" t="s">
        <v>683</v>
      </c>
      <c r="B652">
        <f>IF(Final_Payroll!B652="Sales",Earnings!B652*3,
IF(Final_Payroll!B652="IT",Earnings!B652*2,
IF(Final_Payroll!B652="Finance",Earnings!B652*1.5,
IF(Final_Payroll!B652="HR",Earnings!B652*1.2,
Earnings!B652*1.3))))</f>
        <v>3197298</v>
      </c>
      <c r="C652">
        <f>Earnings!B652 + Deductions!B652 + Deductions!C652 + Overtime!D652</f>
        <v>1672388.2050000001</v>
      </c>
      <c r="D652">
        <f t="shared" si="20"/>
        <v>1524909.7949999999</v>
      </c>
      <c r="E652">
        <f t="shared" si="21"/>
        <v>1.9118156839667497</v>
      </c>
    </row>
    <row r="653" spans="1:5" x14ac:dyDescent="0.35">
      <c r="A653" t="s">
        <v>684</v>
      </c>
      <c r="B653">
        <f>IF(Final_Payroll!B653="Sales",Earnings!B653*3,
IF(Final_Payroll!B653="IT",Earnings!B653*2,
IF(Final_Payroll!B653="Finance",Earnings!B653*1.5,
IF(Final_Payroll!B653="HR",Earnings!B653*1.2,
Earnings!B653*1.3))))</f>
        <v>2573684.9</v>
      </c>
      <c r="C653">
        <f>Earnings!B653 + Deductions!B653 + Deductions!C653 + Overtime!D653</f>
        <v>1288642.45</v>
      </c>
      <c r="D653">
        <f t="shared" si="20"/>
        <v>1285042.45</v>
      </c>
      <c r="E653">
        <f t="shared" si="21"/>
        <v>1.9972063624009904</v>
      </c>
    </row>
    <row r="654" spans="1:5" x14ac:dyDescent="0.35">
      <c r="A654" t="s">
        <v>685</v>
      </c>
      <c r="B654">
        <f>IF(Final_Payroll!B654="Sales",Earnings!B654*3,
IF(Final_Payroll!B654="IT",Earnings!B654*2,
IF(Final_Payroll!B654="Finance",Earnings!B654*1.5,
IF(Final_Payroll!B654="HR",Earnings!B654*1.2,
Earnings!B654*1.3))))</f>
        <v>1661678</v>
      </c>
      <c r="C654">
        <f>Earnings!B654 + Deductions!B654 + Deductions!C654 + Overtime!D654</f>
        <v>865872.56</v>
      </c>
      <c r="D654">
        <f t="shared" si="20"/>
        <v>795805.44</v>
      </c>
      <c r="E654">
        <f t="shared" si="21"/>
        <v>1.9190791771943898</v>
      </c>
    </row>
    <row r="655" spans="1:5" x14ac:dyDescent="0.35">
      <c r="A655" t="s">
        <v>686</v>
      </c>
      <c r="B655">
        <f>IF(Final_Payroll!B655="Sales",Earnings!B655*3,
IF(Final_Payroll!B655="IT",Earnings!B655*2,
IF(Final_Payroll!B655="Finance",Earnings!B655*1.5,
IF(Final_Payroll!B655="HR",Earnings!B655*1.2,
Earnings!B655*1.3))))</f>
        <v>989615.47500000009</v>
      </c>
      <c r="C655">
        <f>Earnings!B655 + Deductions!B655 + Deductions!C655 + Overtime!D655</f>
        <v>678037.24125000008</v>
      </c>
      <c r="D655">
        <f t="shared" si="20"/>
        <v>311578.23375000001</v>
      </c>
      <c r="E655">
        <f t="shared" si="21"/>
        <v>1.459529675944625</v>
      </c>
    </row>
    <row r="656" spans="1:5" x14ac:dyDescent="0.35">
      <c r="A656" t="s">
        <v>687</v>
      </c>
      <c r="B656">
        <f>IF(Final_Payroll!B656="Sales",Earnings!B656*3,
IF(Final_Payroll!B656="IT",Earnings!B656*2,
IF(Final_Payroll!B656="Finance",Earnings!B656*1.5,
IF(Final_Payroll!B656="HR",Earnings!B656*1.2,
Earnings!B656*1.3))))</f>
        <v>2287449.9</v>
      </c>
      <c r="C656">
        <f>Earnings!B656 + Deductions!B656 + Deductions!C656 + Overtime!D656</f>
        <v>1145524.95</v>
      </c>
      <c r="D656">
        <f t="shared" si="20"/>
        <v>1141924.95</v>
      </c>
      <c r="E656">
        <f t="shared" si="21"/>
        <v>1.9968573360187396</v>
      </c>
    </row>
    <row r="657" spans="1:5" x14ac:dyDescent="0.35">
      <c r="A657" t="s">
        <v>688</v>
      </c>
      <c r="B657">
        <f>IF(Final_Payroll!B657="Sales",Earnings!B657*3,
IF(Final_Payroll!B657="IT",Earnings!B657*2,
IF(Final_Payroll!B657="Finance",Earnings!B657*1.5,
IF(Final_Payroll!B657="HR",Earnings!B657*1.2,
Earnings!B657*1.3))))</f>
        <v>2921727</v>
      </c>
      <c r="C657">
        <f>Earnings!B657 + Deductions!B657 + Deductions!C657 + Overtime!D657</f>
        <v>1029273.995</v>
      </c>
      <c r="D657">
        <f t="shared" si="20"/>
        <v>1892453.0049999999</v>
      </c>
      <c r="E657">
        <f t="shared" si="21"/>
        <v>2.8386289891643477</v>
      </c>
    </row>
    <row r="658" spans="1:5" x14ac:dyDescent="0.35">
      <c r="A658" t="s">
        <v>689</v>
      </c>
      <c r="B658">
        <f>IF(Final_Payroll!B658="Sales",Earnings!B658*3,
IF(Final_Payroll!B658="IT",Earnings!B658*2,
IF(Final_Payroll!B658="Finance",Earnings!B658*1.5,
IF(Final_Payroll!B658="HR",Earnings!B658*1.2,
Earnings!B658*1.3))))</f>
        <v>2959742.0999999996</v>
      </c>
      <c r="C658">
        <f>Earnings!B658 + Deductions!B658 + Deductions!C658 + Overtime!D658</f>
        <v>1072240.0595</v>
      </c>
      <c r="D658">
        <f t="shared" si="20"/>
        <v>1887502.0404999997</v>
      </c>
      <c r="E658">
        <f t="shared" si="21"/>
        <v>2.7603353127658439</v>
      </c>
    </row>
    <row r="659" spans="1:5" x14ac:dyDescent="0.35">
      <c r="A659" t="s">
        <v>690</v>
      </c>
      <c r="B659">
        <f>IF(Final_Payroll!B659="Sales",Earnings!B659*3,
IF(Final_Payroll!B659="IT",Earnings!B659*2,
IF(Final_Payroll!B659="Finance",Earnings!B659*1.5,
IF(Final_Payroll!B659="HR",Earnings!B659*1.2,
Earnings!B659*1.3))))</f>
        <v>975161.7</v>
      </c>
      <c r="C659">
        <f>Earnings!B659 + Deductions!B659 + Deductions!C659 + Overtime!D659</f>
        <v>814434.75</v>
      </c>
      <c r="D659">
        <f t="shared" si="20"/>
        <v>160726.94999999995</v>
      </c>
      <c r="E659">
        <f t="shared" si="21"/>
        <v>1.1973478538335944</v>
      </c>
    </row>
    <row r="660" spans="1:5" x14ac:dyDescent="0.35">
      <c r="A660" t="s">
        <v>691</v>
      </c>
      <c r="B660">
        <f>IF(Final_Payroll!B660="Sales",Earnings!B660*3,
IF(Final_Payroll!B660="IT",Earnings!B660*2,
IF(Final_Payroll!B660="Finance",Earnings!B660*1.5,
IF(Final_Payroll!B660="HR",Earnings!B660*1.2,
Earnings!B660*1.3))))</f>
        <v>2758098</v>
      </c>
      <c r="C660">
        <f>Earnings!B660 + Deductions!B660 + Deductions!C660 + Overtime!D660</f>
        <v>1546334.88</v>
      </c>
      <c r="D660">
        <f t="shared" si="20"/>
        <v>1211763.1200000001</v>
      </c>
      <c r="E660">
        <f t="shared" si="21"/>
        <v>1.7836356378380342</v>
      </c>
    </row>
    <row r="661" spans="1:5" x14ac:dyDescent="0.35">
      <c r="A661" t="s">
        <v>692</v>
      </c>
      <c r="B661">
        <f>IF(Final_Payroll!B661="Sales",Earnings!B661*3,
IF(Final_Payroll!B661="IT",Earnings!B661*2,
IF(Final_Payroll!B661="Finance",Earnings!B661*1.5,
IF(Final_Payroll!B661="HR",Earnings!B661*1.2,
Earnings!B661*1.3))))</f>
        <v>703910.1</v>
      </c>
      <c r="C661">
        <f>Earnings!B661 + Deductions!B661 + Deductions!C661 + Overtime!D661</f>
        <v>588391.75</v>
      </c>
      <c r="D661">
        <f t="shared" si="20"/>
        <v>115518.34999999998</v>
      </c>
      <c r="E661">
        <f t="shared" si="21"/>
        <v>1.1963289764005018</v>
      </c>
    </row>
    <row r="662" spans="1:5" x14ac:dyDescent="0.35">
      <c r="A662" t="s">
        <v>693</v>
      </c>
      <c r="B662">
        <f>IF(Final_Payroll!B662="Sales",Earnings!B662*3,
IF(Final_Payroll!B662="IT",Earnings!B662*2,
IF(Final_Payroll!B662="Finance",Earnings!B662*1.5,
IF(Final_Payroll!B662="HR",Earnings!B662*1.2,
Earnings!B662*1.3))))</f>
        <v>2361960.2999999998</v>
      </c>
      <c r="C662">
        <f>Earnings!B662 + Deductions!B662 + Deductions!C662 + Overtime!D662</f>
        <v>1182780.1499999999</v>
      </c>
      <c r="D662">
        <f t="shared" si="20"/>
        <v>1179180.1499999999</v>
      </c>
      <c r="E662">
        <f t="shared" si="21"/>
        <v>1.9969563236244707</v>
      </c>
    </row>
    <row r="663" spans="1:5" x14ac:dyDescent="0.35">
      <c r="A663" t="s">
        <v>694</v>
      </c>
      <c r="B663">
        <f>IF(Final_Payroll!B663="Sales",Earnings!B663*3,
IF(Final_Payroll!B663="IT",Earnings!B663*2,
IF(Final_Payroll!B663="Finance",Earnings!B663*1.5,
IF(Final_Payroll!B663="HR",Earnings!B663*1.2,
Earnings!B663*1.3))))</f>
        <v>3666552</v>
      </c>
      <c r="C663">
        <f>Earnings!B663 + Deductions!B663 + Deductions!C663 + Overtime!D663</f>
        <v>1223984</v>
      </c>
      <c r="D663">
        <f t="shared" si="20"/>
        <v>2442568</v>
      </c>
      <c r="E663">
        <f t="shared" si="21"/>
        <v>2.9955881776232367</v>
      </c>
    </row>
    <row r="664" spans="1:5" x14ac:dyDescent="0.35">
      <c r="A664" t="s">
        <v>695</v>
      </c>
      <c r="B664">
        <f>IF(Final_Payroll!B664="Sales",Earnings!B664*3,
IF(Final_Payroll!B664="IT",Earnings!B664*2,
IF(Final_Payroll!B664="Finance",Earnings!B664*1.5,
IF(Final_Payroll!B664="HR",Earnings!B664*1.2,
Earnings!B664*1.3))))</f>
        <v>908622.84500000009</v>
      </c>
      <c r="C664">
        <f>Earnings!B664 + Deductions!B664 + Deductions!C664 + Overtime!D664</f>
        <v>700740.65</v>
      </c>
      <c r="D664">
        <f t="shared" si="20"/>
        <v>207882.19500000007</v>
      </c>
      <c r="E664">
        <f t="shared" si="21"/>
        <v>1.2966606761003518</v>
      </c>
    </row>
    <row r="665" spans="1:5" x14ac:dyDescent="0.35">
      <c r="A665" t="s">
        <v>696</v>
      </c>
      <c r="B665">
        <f>IF(Final_Payroll!B665="Sales",Earnings!B665*3,
IF(Final_Payroll!B665="IT",Earnings!B665*2,
IF(Final_Payroll!B665="Finance",Earnings!B665*1.5,
IF(Final_Payroll!B665="HR",Earnings!B665*1.2,
Earnings!B665*1.3))))</f>
        <v>1013360.3999999999</v>
      </c>
      <c r="C665">
        <f>Earnings!B665 + Deductions!B665 + Deductions!C665 + Overtime!D665</f>
        <v>913824.36</v>
      </c>
      <c r="D665">
        <f t="shared" si="20"/>
        <v>99536.039999999921</v>
      </c>
      <c r="E665">
        <f t="shared" si="21"/>
        <v>1.1089225067276605</v>
      </c>
    </row>
    <row r="666" spans="1:5" x14ac:dyDescent="0.35">
      <c r="A666" t="s">
        <v>697</v>
      </c>
      <c r="B666">
        <f>IF(Final_Payroll!B666="Sales",Earnings!B666*3,
IF(Final_Payroll!B666="IT",Earnings!B666*2,
IF(Final_Payroll!B666="Finance",Earnings!B666*1.5,
IF(Final_Payroll!B666="HR",Earnings!B666*1.2,
Earnings!B666*1.3))))</f>
        <v>410191.38</v>
      </c>
      <c r="C666">
        <f>Earnings!B666 + Deductions!B666 + Deductions!C666 + Overtime!D666</f>
        <v>343626.15</v>
      </c>
      <c r="D666">
        <f t="shared" si="20"/>
        <v>66565.229999999981</v>
      </c>
      <c r="E666">
        <f t="shared" si="21"/>
        <v>1.1937140988833357</v>
      </c>
    </row>
    <row r="667" spans="1:5" x14ac:dyDescent="0.35">
      <c r="A667" t="s">
        <v>698</v>
      </c>
      <c r="B667">
        <f>IF(Final_Payroll!B667="Sales",Earnings!B667*3,
IF(Final_Payroll!B667="IT",Earnings!B667*2,
IF(Final_Payroll!B667="Finance",Earnings!B667*1.5,
IF(Final_Payroll!B667="HR",Earnings!B667*1.2,
Earnings!B667*1.3))))</f>
        <v>968173.70000000007</v>
      </c>
      <c r="C667">
        <f>Earnings!B667 + Deductions!B667 + Deductions!C667 + Overtime!D667</f>
        <v>768891.47</v>
      </c>
      <c r="D667">
        <f t="shared" si="20"/>
        <v>199282.2300000001</v>
      </c>
      <c r="E667">
        <f t="shared" si="21"/>
        <v>1.2591812209855835</v>
      </c>
    </row>
    <row r="668" spans="1:5" x14ac:dyDescent="0.35">
      <c r="A668" t="s">
        <v>699</v>
      </c>
      <c r="B668">
        <f>IF(Final_Payroll!B668="Sales",Earnings!B668*3,
IF(Final_Payroll!B668="IT",Earnings!B668*2,
IF(Final_Payroll!B668="Finance",Earnings!B668*1.5,
IF(Final_Payroll!B668="HR",Earnings!B668*1.2,
Earnings!B668*1.3))))</f>
        <v>1905273.4500000002</v>
      </c>
      <c r="C668">
        <f>Earnings!B668 + Deductions!B668 + Deductions!C668 + Overtime!D668</f>
        <v>1322789.5919999999</v>
      </c>
      <c r="D668">
        <f t="shared" si="20"/>
        <v>582483.85800000024</v>
      </c>
      <c r="E668">
        <f t="shared" si="21"/>
        <v>1.4403450567820919</v>
      </c>
    </row>
    <row r="669" spans="1:5" x14ac:dyDescent="0.35">
      <c r="A669" t="s">
        <v>700</v>
      </c>
      <c r="B669">
        <f>IF(Final_Payroll!B669="Sales",Earnings!B669*3,
IF(Final_Payroll!B669="IT",Earnings!B669*2,
IF(Final_Payroll!B669="Finance",Earnings!B669*1.5,
IF(Final_Payroll!B669="HR",Earnings!B669*1.2,
Earnings!B669*1.3))))</f>
        <v>1046306.25</v>
      </c>
      <c r="C669">
        <f>Earnings!B669 + Deductions!B669 + Deductions!C669 + Overtime!D669</f>
        <v>737702.0625</v>
      </c>
      <c r="D669">
        <f t="shared" si="20"/>
        <v>308604.1875</v>
      </c>
      <c r="E669">
        <f t="shared" si="21"/>
        <v>1.4183317401257773</v>
      </c>
    </row>
    <row r="670" spans="1:5" x14ac:dyDescent="0.35">
      <c r="A670" t="s">
        <v>701</v>
      </c>
      <c r="B670">
        <f>IF(Final_Payroll!B670="Sales",Earnings!B670*3,
IF(Final_Payroll!B670="IT",Earnings!B670*2,
IF(Final_Payroll!B670="Finance",Earnings!B670*1.5,
IF(Final_Payroll!B670="HR",Earnings!B670*1.2,
Earnings!B670*1.3))))</f>
        <v>943226.39999999991</v>
      </c>
      <c r="C670">
        <f>Earnings!B670 + Deductions!B670 + Deductions!C670 + Overtime!D670</f>
        <v>878214.53</v>
      </c>
      <c r="D670">
        <f t="shared" si="20"/>
        <v>65011.869999999879</v>
      </c>
      <c r="E670">
        <f t="shared" si="21"/>
        <v>1.0740273222307082</v>
      </c>
    </row>
    <row r="671" spans="1:5" x14ac:dyDescent="0.35">
      <c r="A671" t="s">
        <v>702</v>
      </c>
      <c r="B671">
        <f>IF(Final_Payroll!B671="Sales",Earnings!B671*3,
IF(Final_Payroll!B671="IT",Earnings!B671*2,
IF(Final_Payroll!B671="Finance",Earnings!B671*1.5,
IF(Final_Payroll!B671="HR",Earnings!B671*1.2,
Earnings!B671*1.3))))</f>
        <v>1087552.875</v>
      </c>
      <c r="C671">
        <f>Earnings!B671 + Deductions!B671 + Deductions!C671 + Overtime!D671</f>
        <v>726835.25</v>
      </c>
      <c r="D671">
        <f t="shared" si="20"/>
        <v>360717.625</v>
      </c>
      <c r="E671">
        <f t="shared" si="21"/>
        <v>1.4962852654710954</v>
      </c>
    </row>
    <row r="672" spans="1:5" x14ac:dyDescent="0.35">
      <c r="A672" t="s">
        <v>703</v>
      </c>
      <c r="B672">
        <f>IF(Final_Payroll!B672="Sales",Earnings!B672*3,
IF(Final_Payroll!B672="IT",Earnings!B672*2,
IF(Final_Payroll!B672="Finance",Earnings!B672*1.5,
IF(Final_Payroll!B672="HR",Earnings!B672*1.2,
Earnings!B672*1.3))))</f>
        <v>2224260</v>
      </c>
      <c r="C672">
        <f>Earnings!B672 + Deductions!B672 + Deductions!C672 + Overtime!D672</f>
        <v>743220</v>
      </c>
      <c r="D672">
        <f t="shared" si="20"/>
        <v>1481040</v>
      </c>
      <c r="E672">
        <f t="shared" si="21"/>
        <v>2.9927343182368613</v>
      </c>
    </row>
    <row r="673" spans="1:5" x14ac:dyDescent="0.35">
      <c r="A673" t="s">
        <v>704</v>
      </c>
      <c r="B673">
        <f>IF(Final_Payroll!B673="Sales",Earnings!B673*3,
IF(Final_Payroll!B673="IT",Earnings!B673*2,
IF(Final_Payroll!B673="Finance",Earnings!B673*1.5,
IF(Final_Payroll!B673="HR",Earnings!B673*1.2,
Earnings!B673*1.3))))</f>
        <v>1928760.2999999998</v>
      </c>
      <c r="C673">
        <f>Earnings!B673 + Deductions!B673 + Deductions!C673 + Overtime!D673</f>
        <v>644720.1</v>
      </c>
      <c r="D673">
        <f t="shared" si="20"/>
        <v>1284040.1999999997</v>
      </c>
      <c r="E673">
        <f t="shared" si="21"/>
        <v>2.9916242723004913</v>
      </c>
    </row>
    <row r="674" spans="1:5" x14ac:dyDescent="0.35">
      <c r="A674" t="s">
        <v>705</v>
      </c>
      <c r="B674">
        <f>IF(Final_Payroll!B674="Sales",Earnings!B674*3,
IF(Final_Payroll!B674="IT",Earnings!B674*2,
IF(Final_Payroll!B674="Finance",Earnings!B674*1.5,
IF(Final_Payroll!B674="HR",Earnings!B674*1.2,
Earnings!B674*1.3))))</f>
        <v>2745356.55</v>
      </c>
      <c r="C674">
        <f>Earnings!B674 + Deductions!B674 + Deductions!C674 + Overtime!D674</f>
        <v>948948.00974999997</v>
      </c>
      <c r="D674">
        <f t="shared" si="20"/>
        <v>1796408.5402499998</v>
      </c>
      <c r="E674">
        <f t="shared" si="21"/>
        <v>2.8930526454481558</v>
      </c>
    </row>
    <row r="675" spans="1:5" x14ac:dyDescent="0.35">
      <c r="A675" t="s">
        <v>706</v>
      </c>
      <c r="B675">
        <f>IF(Final_Payroll!B675="Sales",Earnings!B675*3,
IF(Final_Payroll!B675="IT",Earnings!B675*2,
IF(Final_Payroll!B675="Finance",Earnings!B675*1.5,
IF(Final_Payroll!B675="HR",Earnings!B675*1.2,
Earnings!B675*1.3))))</f>
        <v>607792.9</v>
      </c>
      <c r="C675">
        <f>Earnings!B675 + Deductions!B675 + Deductions!C675 + Overtime!D675</f>
        <v>469333</v>
      </c>
      <c r="D675">
        <f t="shared" si="20"/>
        <v>138459.90000000002</v>
      </c>
      <c r="E675">
        <f t="shared" si="21"/>
        <v>1.2950142010044041</v>
      </c>
    </row>
    <row r="676" spans="1:5" x14ac:dyDescent="0.35">
      <c r="A676" t="s">
        <v>707</v>
      </c>
      <c r="B676">
        <f>IF(Final_Payroll!B676="Sales",Earnings!B676*3,
IF(Final_Payroll!B676="IT",Earnings!B676*2,
IF(Final_Payroll!B676="Finance",Earnings!B676*1.5,
IF(Final_Payroll!B676="HR",Earnings!B676*1.2,
Earnings!B676*1.3))))</f>
        <v>1705263</v>
      </c>
      <c r="C676">
        <f>Earnings!B676 + Deductions!B676 + Deductions!C676 + Overtime!D676</f>
        <v>592957.84</v>
      </c>
      <c r="D676">
        <f t="shared" si="20"/>
        <v>1112305.1600000001</v>
      </c>
      <c r="E676">
        <f t="shared" si="21"/>
        <v>2.875858762572395</v>
      </c>
    </row>
    <row r="677" spans="1:5" x14ac:dyDescent="0.35">
      <c r="A677" t="s">
        <v>708</v>
      </c>
      <c r="B677">
        <f>IF(Final_Payroll!B677="Sales",Earnings!B677*3,
IF(Final_Payroll!B677="IT",Earnings!B677*2,
IF(Final_Payroll!B677="Finance",Earnings!B677*1.5,
IF(Final_Payroll!B677="HR",Earnings!B677*1.2,
Earnings!B677*1.3))))</f>
        <v>1396743</v>
      </c>
      <c r="C677">
        <f>Earnings!B677 + Deductions!B677 + Deductions!C677 + Overtime!D677</f>
        <v>970208.48</v>
      </c>
      <c r="D677">
        <f t="shared" si="20"/>
        <v>426534.52</v>
      </c>
      <c r="E677">
        <f t="shared" si="21"/>
        <v>1.4396318201630232</v>
      </c>
    </row>
    <row r="678" spans="1:5" x14ac:dyDescent="0.35">
      <c r="A678" t="s">
        <v>709</v>
      </c>
      <c r="B678">
        <f>IF(Final_Payroll!B678="Sales",Earnings!B678*3,
IF(Final_Payroll!B678="IT",Earnings!B678*2,
IF(Final_Payroll!B678="Finance",Earnings!B678*1.5,
IF(Final_Payroll!B678="HR",Earnings!B678*1.2,
Earnings!B678*1.3))))</f>
        <v>782589.6</v>
      </c>
      <c r="C678">
        <f>Earnings!B678 + Deductions!B678 + Deductions!C678 + Overtime!D678</f>
        <v>685060.92</v>
      </c>
      <c r="D678">
        <f t="shared" si="20"/>
        <v>97528.679999999935</v>
      </c>
      <c r="E678">
        <f t="shared" si="21"/>
        <v>1.1423649739062622</v>
      </c>
    </row>
    <row r="679" spans="1:5" x14ac:dyDescent="0.35">
      <c r="A679" t="s">
        <v>710</v>
      </c>
      <c r="B679">
        <f>IF(Final_Payroll!B679="Sales",Earnings!B679*3,
IF(Final_Payroll!B679="IT",Earnings!B679*2,
IF(Final_Payroll!B679="Finance",Earnings!B679*1.5,
IF(Final_Payroll!B679="HR",Earnings!B679*1.2,
Earnings!B679*1.3))))</f>
        <v>2109239.4</v>
      </c>
      <c r="C679">
        <f>Earnings!B679 + Deductions!B679 + Deductions!C679 + Overtime!D679</f>
        <v>789249.37599999993</v>
      </c>
      <c r="D679">
        <f t="shared" si="20"/>
        <v>1319990.024</v>
      </c>
      <c r="E679">
        <f t="shared" si="21"/>
        <v>2.6724625500369101</v>
      </c>
    </row>
    <row r="680" spans="1:5" x14ac:dyDescent="0.35">
      <c r="A680" t="s">
        <v>711</v>
      </c>
      <c r="B680">
        <f>IF(Final_Payroll!B680="Sales",Earnings!B680*3,
IF(Final_Payroll!B680="IT",Earnings!B680*2,
IF(Final_Payroll!B680="Finance",Earnings!B680*1.5,
IF(Final_Payroll!B680="HR",Earnings!B680*1.2,
Earnings!B680*1.3))))</f>
        <v>779132.9</v>
      </c>
      <c r="C680">
        <f>Earnings!B680 + Deductions!B680 + Deductions!C680 + Overtime!D680</f>
        <v>676049.625</v>
      </c>
      <c r="D680">
        <f t="shared" si="20"/>
        <v>103083.27500000002</v>
      </c>
      <c r="E680">
        <f t="shared" si="21"/>
        <v>1.152478858338247</v>
      </c>
    </row>
    <row r="681" spans="1:5" x14ac:dyDescent="0.35">
      <c r="A681" t="s">
        <v>712</v>
      </c>
      <c r="B681">
        <f>IF(Final_Payroll!B681="Sales",Earnings!B681*3,
IF(Final_Payroll!B681="IT",Earnings!B681*2,
IF(Final_Payroll!B681="Finance",Earnings!B681*1.5,
IF(Final_Payroll!B681="HR",Earnings!B681*1.2,
Earnings!B681*1.3))))</f>
        <v>851638.5</v>
      </c>
      <c r="C681">
        <f>Earnings!B681 + Deductions!B681 + Deductions!C681 + Overtime!D681</f>
        <v>632012.49</v>
      </c>
      <c r="D681">
        <f t="shared" si="20"/>
        <v>219626.01</v>
      </c>
      <c r="E681">
        <f t="shared" si="21"/>
        <v>1.3475026419177254</v>
      </c>
    </row>
    <row r="682" spans="1:5" x14ac:dyDescent="0.35">
      <c r="A682" t="s">
        <v>713</v>
      </c>
      <c r="B682">
        <f>IF(Final_Payroll!B682="Sales",Earnings!B682*3,
IF(Final_Payroll!B682="IT",Earnings!B682*2,
IF(Final_Payroll!B682="Finance",Earnings!B682*1.5,
IF(Final_Payroll!B682="HR",Earnings!B682*1.2,
Earnings!B682*1.3))))</f>
        <v>908514</v>
      </c>
      <c r="C682">
        <f>Earnings!B682 + Deductions!B682 + Deductions!C682 + Overtime!D682</f>
        <v>758895</v>
      </c>
      <c r="D682">
        <f t="shared" si="20"/>
        <v>149619</v>
      </c>
      <c r="E682">
        <f t="shared" si="21"/>
        <v>1.1971537564485206</v>
      </c>
    </row>
    <row r="683" spans="1:5" x14ac:dyDescent="0.35">
      <c r="A683" t="s">
        <v>714</v>
      </c>
      <c r="B683">
        <f>IF(Final_Payroll!B683="Sales",Earnings!B683*3,
IF(Final_Payroll!B683="IT",Earnings!B683*2,
IF(Final_Payroll!B683="Finance",Earnings!B683*1.5,
IF(Final_Payroll!B683="HR",Earnings!B683*1.2,
Earnings!B683*1.3))))</f>
        <v>1017029.9099999999</v>
      </c>
      <c r="C683">
        <f>Earnings!B683 + Deductions!B683 + Deductions!C683 + Overtime!D683</f>
        <v>784130.7</v>
      </c>
      <c r="D683">
        <f t="shared" si="20"/>
        <v>232899.20999999996</v>
      </c>
      <c r="E683">
        <f t="shared" si="21"/>
        <v>1.2970158036153923</v>
      </c>
    </row>
    <row r="684" spans="1:5" x14ac:dyDescent="0.35">
      <c r="A684" t="s">
        <v>715</v>
      </c>
      <c r="B684">
        <f>IF(Final_Payroll!B684="Sales",Earnings!B684*3,
IF(Final_Payroll!B684="IT",Earnings!B684*2,
IF(Final_Payroll!B684="Finance",Earnings!B684*1.5,
IF(Final_Payroll!B684="HR",Earnings!B684*1.2,
Earnings!B684*1.3))))</f>
        <v>915388.17500000005</v>
      </c>
      <c r="C684">
        <f>Earnings!B684 + Deductions!B684 + Deductions!C684 + Overtime!D684</f>
        <v>705944.75</v>
      </c>
      <c r="D684">
        <f t="shared" si="20"/>
        <v>209443.42500000005</v>
      </c>
      <c r="E684">
        <f t="shared" si="21"/>
        <v>1.2966852930062871</v>
      </c>
    </row>
    <row r="685" spans="1:5" x14ac:dyDescent="0.35">
      <c r="A685" t="s">
        <v>716</v>
      </c>
      <c r="B685">
        <f>IF(Final_Payroll!B685="Sales",Earnings!B685*3,
IF(Final_Payroll!B685="IT",Earnings!B685*2,
IF(Final_Payroll!B685="Finance",Earnings!B685*1.5,
IF(Final_Payroll!B685="HR",Earnings!B685*1.2,
Earnings!B685*1.3))))</f>
        <v>1075574.5</v>
      </c>
      <c r="C685">
        <f>Earnings!B685 + Deductions!B685 + Deductions!C685 + Overtime!D685</f>
        <v>829165</v>
      </c>
      <c r="D685">
        <f t="shared" si="20"/>
        <v>246409.5</v>
      </c>
      <c r="E685">
        <f t="shared" si="21"/>
        <v>1.2971778837746408</v>
      </c>
    </row>
    <row r="686" spans="1:5" x14ac:dyDescent="0.35">
      <c r="A686" t="s">
        <v>717</v>
      </c>
      <c r="B686">
        <f>IF(Final_Payroll!B686="Sales",Earnings!B686*3,
IF(Final_Payroll!B686="IT",Earnings!B686*2,
IF(Final_Payroll!B686="Finance",Earnings!B686*1.5,
IF(Final_Payroll!B686="HR",Earnings!B686*1.2,
Earnings!B686*1.3))))</f>
        <v>2069274.8</v>
      </c>
      <c r="C686">
        <f>Earnings!B686 + Deductions!B686 + Deductions!C686 + Overtime!D686</f>
        <v>1088169.27</v>
      </c>
      <c r="D686">
        <f t="shared" si="20"/>
        <v>981105.53</v>
      </c>
      <c r="E686">
        <f t="shared" si="21"/>
        <v>1.9016111344515363</v>
      </c>
    </row>
    <row r="687" spans="1:5" x14ac:dyDescent="0.35">
      <c r="A687" t="s">
        <v>718</v>
      </c>
      <c r="B687">
        <f>IF(Final_Payroll!B687="Sales",Earnings!B687*3,
IF(Final_Payroll!B687="IT",Earnings!B687*2,
IF(Final_Payroll!B687="Finance",Earnings!B687*1.5,
IF(Final_Payroll!B687="HR",Earnings!B687*1.2,
Earnings!B687*1.3))))</f>
        <v>835924.38</v>
      </c>
      <c r="C687">
        <f>Earnings!B687 + Deductions!B687 + Deductions!C687 + Overtime!D687</f>
        <v>698403.65</v>
      </c>
      <c r="D687">
        <f t="shared" si="20"/>
        <v>137520.72999999998</v>
      </c>
      <c r="E687">
        <f t="shared" si="21"/>
        <v>1.1969072326583632</v>
      </c>
    </row>
    <row r="688" spans="1:5" x14ac:dyDescent="0.35">
      <c r="A688" t="s">
        <v>719</v>
      </c>
      <c r="B688">
        <f>IF(Final_Payroll!B688="Sales",Earnings!B688*3,
IF(Final_Payroll!B688="IT",Earnings!B688*2,
IF(Final_Payroll!B688="Finance",Earnings!B688*1.5,
IF(Final_Payroll!B688="HR",Earnings!B688*1.2,
Earnings!B688*1.3))))</f>
        <v>985136.1</v>
      </c>
      <c r="C688">
        <f>Earnings!B688 + Deductions!B688 + Deductions!C688 + Overtime!D688</f>
        <v>759597</v>
      </c>
      <c r="D688">
        <f t="shared" si="20"/>
        <v>225539.09999999998</v>
      </c>
      <c r="E688">
        <f t="shared" si="21"/>
        <v>1.2969194191130295</v>
      </c>
    </row>
    <row r="689" spans="1:5" x14ac:dyDescent="0.35">
      <c r="A689" t="s">
        <v>720</v>
      </c>
      <c r="B689">
        <f>IF(Final_Payroll!B689="Sales",Earnings!B689*3,
IF(Final_Payroll!B689="IT",Earnings!B689*2,
IF(Final_Payroll!B689="Finance",Earnings!B689*1.5,
IF(Final_Payroll!B689="HR",Earnings!B689*1.2,
Earnings!B689*1.3))))</f>
        <v>2280168</v>
      </c>
      <c r="C689">
        <f>Earnings!B689 + Deductions!B689 + Deductions!C689 + Overtime!D689</f>
        <v>761856</v>
      </c>
      <c r="D689">
        <f t="shared" si="20"/>
        <v>1518312</v>
      </c>
      <c r="E689">
        <f t="shared" si="21"/>
        <v>2.9929120463709675</v>
      </c>
    </row>
    <row r="690" spans="1:5" x14ac:dyDescent="0.35">
      <c r="A690" t="s">
        <v>721</v>
      </c>
      <c r="B690">
        <f>IF(Final_Payroll!B690="Sales",Earnings!B690*3,
IF(Final_Payroll!B690="IT",Earnings!B690*2,
IF(Final_Payroll!B690="Finance",Earnings!B690*1.5,
IF(Final_Payroll!B690="HR",Earnings!B690*1.2,
Earnings!B690*1.3))))</f>
        <v>506115.54</v>
      </c>
      <c r="C690">
        <f>Earnings!B690 + Deductions!B690 + Deductions!C690 + Overtime!D690</f>
        <v>423562.95</v>
      </c>
      <c r="D690">
        <f t="shared" si="20"/>
        <v>82552.589999999967</v>
      </c>
      <c r="E690">
        <f t="shared" si="21"/>
        <v>1.1949004038242721</v>
      </c>
    </row>
    <row r="691" spans="1:5" x14ac:dyDescent="0.35">
      <c r="A691" t="s">
        <v>722</v>
      </c>
      <c r="B691">
        <f>IF(Final_Payroll!B691="Sales",Earnings!B691*3,
IF(Final_Payroll!B691="IT",Earnings!B691*2,
IF(Final_Payroll!B691="Finance",Earnings!B691*1.5,
IF(Final_Payroll!B691="HR",Earnings!B691*1.2,
Earnings!B691*1.3))))</f>
        <v>1194215.5499999998</v>
      </c>
      <c r="C691">
        <f>Earnings!B691 + Deductions!B691 + Deductions!C691 + Overtime!D691</f>
        <v>797943.7</v>
      </c>
      <c r="D691">
        <f t="shared" si="20"/>
        <v>396271.84999999986</v>
      </c>
      <c r="E691">
        <f t="shared" si="21"/>
        <v>1.4966163026288695</v>
      </c>
    </row>
    <row r="692" spans="1:5" x14ac:dyDescent="0.35">
      <c r="A692" t="s">
        <v>723</v>
      </c>
      <c r="B692">
        <f>IF(Final_Payroll!B692="Sales",Earnings!B692*3,
IF(Final_Payroll!B692="IT",Earnings!B692*2,
IF(Final_Payroll!B692="Finance",Earnings!B692*1.5,
IF(Final_Payroll!B692="HR",Earnings!B692*1.2,
Earnings!B692*1.3))))</f>
        <v>1174889.7000000002</v>
      </c>
      <c r="C692">
        <f>Earnings!B692 + Deductions!B692 + Deductions!C692 + Overtime!D692</f>
        <v>393429.9</v>
      </c>
      <c r="D692">
        <f t="shared" si="20"/>
        <v>781459.80000000016</v>
      </c>
      <c r="E692">
        <f t="shared" si="21"/>
        <v>2.98627455615346</v>
      </c>
    </row>
    <row r="693" spans="1:5" x14ac:dyDescent="0.35">
      <c r="A693" t="s">
        <v>724</v>
      </c>
      <c r="B693">
        <f>IF(Final_Payroll!B693="Sales",Earnings!B693*3,
IF(Final_Payroll!B693="IT",Earnings!B693*2,
IF(Final_Payroll!B693="Finance",Earnings!B693*1.5,
IF(Final_Payroll!B693="HR",Earnings!B693*1.2,
Earnings!B693*1.3))))</f>
        <v>745171.83</v>
      </c>
      <c r="C693">
        <f>Earnings!B693 + Deductions!B693 + Deductions!C693 + Overtime!D693</f>
        <v>575009.1</v>
      </c>
      <c r="D693">
        <f t="shared" si="20"/>
        <v>170162.72999999998</v>
      </c>
      <c r="E693">
        <f t="shared" si="21"/>
        <v>1.2959304991868825</v>
      </c>
    </row>
    <row r="694" spans="1:5" x14ac:dyDescent="0.35">
      <c r="A694" t="s">
        <v>725</v>
      </c>
      <c r="B694">
        <f>IF(Final_Payroll!B694="Sales",Earnings!B694*3,
IF(Final_Payroll!B694="IT",Earnings!B694*2,
IF(Final_Payroll!B694="Finance",Earnings!B694*1.5,
IF(Final_Payroll!B694="HR",Earnings!B694*1.2,
Earnings!B694*1.3))))</f>
        <v>542391.20000000007</v>
      </c>
      <c r="C694">
        <f>Earnings!B694 + Deductions!B694 + Deductions!C694 + Overtime!D694</f>
        <v>419024</v>
      </c>
      <c r="D694">
        <f t="shared" si="20"/>
        <v>123367.20000000007</v>
      </c>
      <c r="E694">
        <f t="shared" si="21"/>
        <v>1.294415594333499</v>
      </c>
    </row>
    <row r="695" spans="1:5" x14ac:dyDescent="0.35">
      <c r="A695" t="s">
        <v>726</v>
      </c>
      <c r="B695">
        <f>IF(Final_Payroll!B695="Sales",Earnings!B695*3,
IF(Final_Payroll!B695="IT",Earnings!B695*2,
IF(Final_Payroll!B695="Finance",Earnings!B695*1.5,
IF(Final_Payroll!B695="HR",Earnings!B695*1.2,
Earnings!B695*1.3))))</f>
        <v>2242704</v>
      </c>
      <c r="C695">
        <f>Earnings!B695 + Deductions!B695 + Deductions!C695 + Overtime!D695</f>
        <v>1268927.76</v>
      </c>
      <c r="D695">
        <f t="shared" si="20"/>
        <v>973776.24</v>
      </c>
      <c r="E695">
        <f t="shared" si="21"/>
        <v>1.7674008487291664</v>
      </c>
    </row>
    <row r="696" spans="1:5" x14ac:dyDescent="0.35">
      <c r="A696" t="s">
        <v>727</v>
      </c>
      <c r="B696">
        <f>IF(Final_Payroll!B696="Sales",Earnings!B696*3,
IF(Final_Payroll!B696="IT",Earnings!B696*2,
IF(Final_Payroll!B696="Finance",Earnings!B696*1.5,
IF(Final_Payroll!B696="HR",Earnings!B696*1.2,
Earnings!B696*1.3))))</f>
        <v>2209874</v>
      </c>
      <c r="C696">
        <f>Earnings!B696 + Deductions!B696 + Deductions!C696 + Overtime!D696</f>
        <v>1106737</v>
      </c>
      <c r="D696">
        <f t="shared" si="20"/>
        <v>1103137</v>
      </c>
      <c r="E696">
        <f t="shared" si="21"/>
        <v>1.9967471946813018</v>
      </c>
    </row>
    <row r="697" spans="1:5" x14ac:dyDescent="0.35">
      <c r="A697" t="s">
        <v>728</v>
      </c>
      <c r="B697">
        <f>IF(Final_Payroll!B697="Sales",Earnings!B697*3,
IF(Final_Payroll!B697="IT",Earnings!B697*2,
IF(Final_Payroll!B697="Finance",Earnings!B697*1.5,
IF(Final_Payroll!B697="HR",Earnings!B697*1.2,
Earnings!B697*1.3))))</f>
        <v>777481.2</v>
      </c>
      <c r="C697">
        <f>Earnings!B697 + Deductions!B697 + Deductions!C697 + Overtime!D697</f>
        <v>685335.55500000005</v>
      </c>
      <c r="D697">
        <f t="shared" si="20"/>
        <v>92145.644999999902</v>
      </c>
      <c r="E697">
        <f t="shared" si="21"/>
        <v>1.1344533262979475</v>
      </c>
    </row>
    <row r="698" spans="1:5" x14ac:dyDescent="0.35">
      <c r="A698" t="s">
        <v>729</v>
      </c>
      <c r="B698">
        <f>IF(Final_Payroll!B698="Sales",Earnings!B698*3,
IF(Final_Payroll!B698="IT",Earnings!B698*2,
IF(Final_Payroll!B698="Finance",Earnings!B698*1.5,
IF(Final_Payroll!B698="HR",Earnings!B698*1.2,
Earnings!B698*1.3))))</f>
        <v>1061559.2</v>
      </c>
      <c r="C698">
        <f>Earnings!B698 + Deductions!B698 + Deductions!C698 + Overtime!D698</f>
        <v>932705.76</v>
      </c>
      <c r="D698">
        <f t="shared" si="20"/>
        <v>128853.43999999994</v>
      </c>
      <c r="E698">
        <f t="shared" si="21"/>
        <v>1.1381501493032486</v>
      </c>
    </row>
    <row r="699" spans="1:5" x14ac:dyDescent="0.35">
      <c r="A699" t="s">
        <v>730</v>
      </c>
      <c r="B699">
        <f>IF(Final_Payroll!B699="Sales",Earnings!B699*3,
IF(Final_Payroll!B699="IT",Earnings!B699*2,
IF(Final_Payroll!B699="Finance",Earnings!B699*1.5,
IF(Final_Payroll!B699="HR",Earnings!B699*1.2,
Earnings!B699*1.3))))</f>
        <v>1694701.2000000002</v>
      </c>
      <c r="C699">
        <f>Earnings!B699 + Deductions!B699 + Deductions!C699 + Overtime!D699</f>
        <v>620365.93800000008</v>
      </c>
      <c r="D699">
        <f t="shared" si="20"/>
        <v>1074335.2620000001</v>
      </c>
      <c r="E699">
        <f t="shared" si="21"/>
        <v>2.7317766759786219</v>
      </c>
    </row>
    <row r="700" spans="1:5" x14ac:dyDescent="0.35">
      <c r="A700" t="s">
        <v>731</v>
      </c>
      <c r="B700">
        <f>IF(Final_Payroll!B700="Sales",Earnings!B700*3,
IF(Final_Payroll!B700="IT",Earnings!B700*2,
IF(Final_Payroll!B700="Finance",Earnings!B700*1.5,
IF(Final_Payroll!B700="HR",Earnings!B700*1.2,
Earnings!B700*1.3))))</f>
        <v>2735871.75</v>
      </c>
      <c r="C700">
        <f>Earnings!B700 + Deductions!B700 + Deductions!C700 + Overtime!D700</f>
        <v>913757.25</v>
      </c>
      <c r="D700">
        <f t="shared" si="20"/>
        <v>1822114.5</v>
      </c>
      <c r="E700">
        <f t="shared" si="21"/>
        <v>2.9940903341669793</v>
      </c>
    </row>
    <row r="701" spans="1:5" x14ac:dyDescent="0.35">
      <c r="A701" t="s">
        <v>732</v>
      </c>
      <c r="B701">
        <f>IF(Final_Payroll!B701="Sales",Earnings!B701*3,
IF(Final_Payroll!B701="IT",Earnings!B701*2,
IF(Final_Payroll!B701="Finance",Earnings!B701*1.5,
IF(Final_Payroll!B701="HR",Earnings!B701*1.2,
Earnings!B701*1.3))))</f>
        <v>1082192.8</v>
      </c>
      <c r="C701">
        <f>Earnings!B701 + Deductions!B701 + Deductions!C701 + Overtime!D701</f>
        <v>942475.28</v>
      </c>
      <c r="D701">
        <f t="shared" si="20"/>
        <v>139717.52000000002</v>
      </c>
      <c r="E701">
        <f t="shared" si="21"/>
        <v>1.1482452887252386</v>
      </c>
    </row>
    <row r="702" spans="1:5" x14ac:dyDescent="0.35">
      <c r="A702" t="s">
        <v>733</v>
      </c>
      <c r="B702">
        <f>IF(Final_Payroll!B702="Sales",Earnings!B702*3,
IF(Final_Payroll!B702="IT",Earnings!B702*2,
IF(Final_Payroll!B702="Finance",Earnings!B702*1.5,
IF(Final_Payroll!B702="HR",Earnings!B702*1.2,
Earnings!B702*1.3))))</f>
        <v>921233.3</v>
      </c>
      <c r="C702">
        <f>Earnings!B702 + Deductions!B702 + Deductions!C702 + Overtime!D702</f>
        <v>788391.51</v>
      </c>
      <c r="D702">
        <f t="shared" si="20"/>
        <v>132841.79000000004</v>
      </c>
      <c r="E702">
        <f t="shared" si="21"/>
        <v>1.1684972355930114</v>
      </c>
    </row>
    <row r="703" spans="1:5" x14ac:dyDescent="0.35">
      <c r="A703" t="s">
        <v>734</v>
      </c>
      <c r="B703">
        <f>IF(Final_Payroll!B703="Sales",Earnings!B703*3,
IF(Final_Payroll!B703="IT",Earnings!B703*2,
IF(Final_Payroll!B703="Finance",Earnings!B703*1.5,
IF(Final_Payroll!B703="HR",Earnings!B703*1.2,
Earnings!B703*1.3))))</f>
        <v>1382218.65</v>
      </c>
      <c r="C703">
        <f>Earnings!B703 + Deductions!B703 + Deductions!C703 + Overtime!D703</f>
        <v>923279.1</v>
      </c>
      <c r="D703">
        <f t="shared" si="20"/>
        <v>458939.54999999993</v>
      </c>
      <c r="E703">
        <f t="shared" si="21"/>
        <v>1.4970756405078378</v>
      </c>
    </row>
    <row r="704" spans="1:5" x14ac:dyDescent="0.35">
      <c r="A704" t="s">
        <v>735</v>
      </c>
      <c r="B704">
        <f>IF(Final_Payroll!B704="Sales",Earnings!B704*3,
IF(Final_Payroll!B704="IT",Earnings!B704*2,
IF(Final_Payroll!B704="Finance",Earnings!B704*1.5,
IF(Final_Payroll!B704="HR",Earnings!B704*1.2,
Earnings!B704*1.3))))</f>
        <v>3192242.25</v>
      </c>
      <c r="C704">
        <f>Earnings!B704 + Deductions!B704 + Deductions!C704 + Overtime!D704</f>
        <v>1119084.7875000001</v>
      </c>
      <c r="D704">
        <f t="shared" si="20"/>
        <v>2073157.4624999999</v>
      </c>
      <c r="E704">
        <f t="shared" si="21"/>
        <v>2.8525472651016623</v>
      </c>
    </row>
    <row r="705" spans="1:5" x14ac:dyDescent="0.35">
      <c r="A705" t="s">
        <v>736</v>
      </c>
      <c r="B705">
        <f>IF(Final_Payroll!B705="Sales",Earnings!B705*3,
IF(Final_Payroll!B705="IT",Earnings!B705*2,
IF(Final_Payroll!B705="Finance",Earnings!B705*1.5,
IF(Final_Payroll!B705="HR",Earnings!B705*1.2,
Earnings!B705*1.3))))</f>
        <v>811398.9</v>
      </c>
      <c r="C705">
        <f>Earnings!B705 + Deductions!B705 + Deductions!C705 + Overtime!D705</f>
        <v>716455.18500000006</v>
      </c>
      <c r="D705">
        <f t="shared" si="20"/>
        <v>94943.714999999967</v>
      </c>
      <c r="E705">
        <f t="shared" si="21"/>
        <v>1.1325187073633922</v>
      </c>
    </row>
    <row r="706" spans="1:5" x14ac:dyDescent="0.35">
      <c r="A706" t="s">
        <v>737</v>
      </c>
      <c r="B706">
        <f>IF(Final_Payroll!B706="Sales",Earnings!B706*3,
IF(Final_Payroll!B706="IT",Earnings!B706*2,
IF(Final_Payroll!B706="Finance",Earnings!B706*1.5,
IF(Final_Payroll!B706="HR",Earnings!B706*1.2,
Earnings!B706*1.3))))</f>
        <v>681742.1</v>
      </c>
      <c r="C706">
        <f>Earnings!B706 + Deductions!B706 + Deductions!C706 + Overtime!D706</f>
        <v>526217</v>
      </c>
      <c r="D706">
        <f t="shared" ref="D706:D769" si="22">B706-C706</f>
        <v>155525.09999999998</v>
      </c>
      <c r="E706">
        <f t="shared" ref="E706:E769" si="23">IF(C706=0,0,B706/C706)</f>
        <v>1.2955531653291323</v>
      </c>
    </row>
    <row r="707" spans="1:5" x14ac:dyDescent="0.35">
      <c r="A707" t="s">
        <v>738</v>
      </c>
      <c r="B707">
        <f>IF(Final_Payroll!B707="Sales",Earnings!B707*3,
IF(Final_Payroll!B707="IT",Earnings!B707*2,
IF(Final_Payroll!B707="Finance",Earnings!B707*1.5,
IF(Final_Payroll!B707="HR",Earnings!B707*1.2,
Earnings!B707*1.3))))</f>
        <v>2594202</v>
      </c>
      <c r="C707">
        <f>Earnings!B707 + Deductions!B707 + Deductions!C707 + Overtime!D707</f>
        <v>996244.1</v>
      </c>
      <c r="D707">
        <f t="shared" si="22"/>
        <v>1597957.9</v>
      </c>
      <c r="E707">
        <f t="shared" si="23"/>
        <v>2.6039822971097144</v>
      </c>
    </row>
    <row r="708" spans="1:5" x14ac:dyDescent="0.35">
      <c r="A708" t="s">
        <v>739</v>
      </c>
      <c r="B708">
        <f>IF(Final_Payroll!B708="Sales",Earnings!B708*3,
IF(Final_Payroll!B708="IT",Earnings!B708*2,
IF(Final_Payroll!B708="Finance",Earnings!B708*1.5,
IF(Final_Payroll!B708="HR",Earnings!B708*1.2,
Earnings!B708*1.3))))</f>
        <v>800848.5</v>
      </c>
      <c r="C708">
        <f>Earnings!B708 + Deductions!B708 + Deductions!C708 + Overtime!D708</f>
        <v>583749.91</v>
      </c>
      <c r="D708">
        <f t="shared" si="22"/>
        <v>217098.58999999997</v>
      </c>
      <c r="E708">
        <f t="shared" si="23"/>
        <v>1.3719034235054528</v>
      </c>
    </row>
    <row r="709" spans="1:5" x14ac:dyDescent="0.35">
      <c r="A709" t="s">
        <v>740</v>
      </c>
      <c r="B709">
        <f>IF(Final_Payroll!B709="Sales",Earnings!B709*3,
IF(Final_Payroll!B709="IT",Earnings!B709*2,
IF(Final_Payroll!B709="Finance",Earnings!B709*1.5,
IF(Final_Payroll!B709="HR",Earnings!B709*1.2,
Earnings!B709*1.3))))</f>
        <v>792152.4</v>
      </c>
      <c r="C709">
        <f>Earnings!B709 + Deductions!B709 + Deductions!C709 + Overtime!D709</f>
        <v>662942.57999999996</v>
      </c>
      <c r="D709">
        <f t="shared" si="22"/>
        <v>129209.82000000007</v>
      </c>
      <c r="E709">
        <f t="shared" si="23"/>
        <v>1.1949034862114303</v>
      </c>
    </row>
    <row r="710" spans="1:5" x14ac:dyDescent="0.35">
      <c r="A710" t="s">
        <v>741</v>
      </c>
      <c r="B710">
        <f>IF(Final_Payroll!B710="Sales",Earnings!B710*3,
IF(Final_Payroll!B710="IT",Earnings!B710*2,
IF(Final_Payroll!B710="Finance",Earnings!B710*1.5,
IF(Final_Payroll!B710="HR",Earnings!B710*1.2,
Earnings!B710*1.3))))</f>
        <v>2814892</v>
      </c>
      <c r="C710">
        <f>Earnings!B710 + Deductions!B710 + Deductions!C710 + Overtime!D710</f>
        <v>1451469.38</v>
      </c>
      <c r="D710">
        <f t="shared" si="22"/>
        <v>1363422.62</v>
      </c>
      <c r="E710">
        <f t="shared" si="23"/>
        <v>1.9393395677420355</v>
      </c>
    </row>
    <row r="711" spans="1:5" x14ac:dyDescent="0.35">
      <c r="A711" t="s">
        <v>742</v>
      </c>
      <c r="B711">
        <f>IF(Final_Payroll!B711="Sales",Earnings!B711*3,
IF(Final_Payroll!B711="IT",Earnings!B711*2,
IF(Final_Payroll!B711="Finance",Earnings!B711*1.5,
IF(Final_Payroll!B711="HR",Earnings!B711*1.2,
Earnings!B711*1.3))))</f>
        <v>990991.3</v>
      </c>
      <c r="C711">
        <f>Earnings!B711 + Deductions!B711 + Deductions!C711 + Overtime!D711</f>
        <v>764101</v>
      </c>
      <c r="D711">
        <f t="shared" si="22"/>
        <v>226890.30000000005</v>
      </c>
      <c r="E711">
        <f t="shared" si="23"/>
        <v>1.2969375776239005</v>
      </c>
    </row>
    <row r="712" spans="1:5" x14ac:dyDescent="0.35">
      <c r="A712" t="s">
        <v>743</v>
      </c>
      <c r="B712">
        <f>IF(Final_Payroll!B712="Sales",Earnings!B712*3,
IF(Final_Payroll!B712="IT",Earnings!B712*2,
IF(Final_Payroll!B712="Finance",Earnings!B712*1.5,
IF(Final_Payroll!B712="HR",Earnings!B712*1.2,
Earnings!B712*1.3))))</f>
        <v>1462797</v>
      </c>
      <c r="C712">
        <f>Earnings!B712 + Deductions!B712 + Deductions!C712 + Overtime!D712</f>
        <v>976998</v>
      </c>
      <c r="D712">
        <f t="shared" si="22"/>
        <v>485799</v>
      </c>
      <c r="E712">
        <f t="shared" si="23"/>
        <v>1.4972364324184901</v>
      </c>
    </row>
    <row r="713" spans="1:5" x14ac:dyDescent="0.35">
      <c r="A713" t="s">
        <v>744</v>
      </c>
      <c r="B713">
        <f>IF(Final_Payroll!B713="Sales",Earnings!B713*3,
IF(Final_Payroll!B713="IT",Earnings!B713*2,
IF(Final_Payroll!B713="Finance",Earnings!B713*1.5,
IF(Final_Payroll!B713="HR",Earnings!B713*1.2,
Earnings!B713*1.3))))</f>
        <v>1882404</v>
      </c>
      <c r="C713">
        <f>Earnings!B713 + Deductions!B713 + Deductions!C713 + Overtime!D713</f>
        <v>943002</v>
      </c>
      <c r="D713">
        <f t="shared" si="22"/>
        <v>939402</v>
      </c>
      <c r="E713">
        <f t="shared" si="23"/>
        <v>1.9961824047032775</v>
      </c>
    </row>
    <row r="714" spans="1:5" x14ac:dyDescent="0.35">
      <c r="A714" t="s">
        <v>745</v>
      </c>
      <c r="B714">
        <f>IF(Final_Payroll!B714="Sales",Earnings!B714*3,
IF(Final_Payroll!B714="IT",Earnings!B714*2,
IF(Final_Payroll!B714="Finance",Earnings!B714*1.5,
IF(Final_Payroll!B714="HR",Earnings!B714*1.2,
Earnings!B714*1.3))))</f>
        <v>884412</v>
      </c>
      <c r="C714">
        <f>Earnings!B714 + Deductions!B714 + Deductions!C714 + Overtime!D714</f>
        <v>738810</v>
      </c>
      <c r="D714">
        <f t="shared" si="22"/>
        <v>145602</v>
      </c>
      <c r="E714">
        <f t="shared" si="23"/>
        <v>1.1970763795833841</v>
      </c>
    </row>
    <row r="715" spans="1:5" x14ac:dyDescent="0.35">
      <c r="A715" t="s">
        <v>746</v>
      </c>
      <c r="B715">
        <f>IF(Final_Payroll!B715="Sales",Earnings!B715*3,
IF(Final_Payroll!B715="IT",Earnings!B715*2,
IF(Final_Payroll!B715="Finance",Earnings!B715*1.5,
IF(Final_Payroll!B715="HR",Earnings!B715*1.2,
Earnings!B715*1.3))))</f>
        <v>827842.79999999993</v>
      </c>
      <c r="C715">
        <f>Earnings!B715 + Deductions!B715 + Deductions!C715 + Overtime!D715</f>
        <v>777902.625</v>
      </c>
      <c r="D715">
        <f t="shared" si="22"/>
        <v>49940.17499999993</v>
      </c>
      <c r="E715">
        <f t="shared" si="23"/>
        <v>1.0641984914242961</v>
      </c>
    </row>
    <row r="716" spans="1:5" x14ac:dyDescent="0.35">
      <c r="A716" t="s">
        <v>747</v>
      </c>
      <c r="B716">
        <f>IF(Final_Payroll!B716="Sales",Earnings!B716*3,
IF(Final_Payroll!B716="IT",Earnings!B716*2,
IF(Final_Payroll!B716="Finance",Earnings!B716*1.5,
IF(Final_Payroll!B716="HR",Earnings!B716*1.2,
Earnings!B716*1.3))))</f>
        <v>996001.5</v>
      </c>
      <c r="C716">
        <f>Earnings!B716 + Deductions!B716 + Deductions!C716 + Overtime!D716</f>
        <v>715601.07499999995</v>
      </c>
      <c r="D716">
        <f t="shared" si="22"/>
        <v>280400.42500000005</v>
      </c>
      <c r="E716">
        <f t="shared" si="23"/>
        <v>1.3918390214827445</v>
      </c>
    </row>
    <row r="717" spans="1:5" x14ac:dyDescent="0.35">
      <c r="A717" t="s">
        <v>748</v>
      </c>
      <c r="B717">
        <f>IF(Final_Payroll!B717="Sales",Earnings!B717*3,
IF(Final_Payroll!B717="IT",Earnings!B717*2,
IF(Final_Payroll!B717="Finance",Earnings!B717*1.5,
IF(Final_Payroll!B717="HR",Earnings!B717*1.2,
Earnings!B717*1.3))))</f>
        <v>1862744.7999999998</v>
      </c>
      <c r="C717">
        <f>Earnings!B717 + Deductions!B717 + Deductions!C717 + Overtime!D717</f>
        <v>979741.0199999999</v>
      </c>
      <c r="D717">
        <f t="shared" si="22"/>
        <v>883003.77999999991</v>
      </c>
      <c r="E717">
        <f t="shared" si="23"/>
        <v>1.9012624377001179</v>
      </c>
    </row>
    <row r="718" spans="1:5" x14ac:dyDescent="0.35">
      <c r="A718" t="s">
        <v>749</v>
      </c>
      <c r="B718">
        <f>IF(Final_Payroll!B718="Sales",Earnings!B718*3,
IF(Final_Payroll!B718="IT",Earnings!B718*2,
IF(Final_Payroll!B718="Finance",Earnings!B718*1.5,
IF(Final_Payroll!B718="HR",Earnings!B718*1.2,
Earnings!B718*1.3))))</f>
        <v>1497397.125</v>
      </c>
      <c r="C718">
        <f>Earnings!B718 + Deductions!B718 + Deductions!C718 + Overtime!D718</f>
        <v>1000064.75</v>
      </c>
      <c r="D718">
        <f t="shared" si="22"/>
        <v>497332.375</v>
      </c>
      <c r="E718">
        <f t="shared" si="23"/>
        <v>1.4973001748136807</v>
      </c>
    </row>
    <row r="719" spans="1:5" x14ac:dyDescent="0.35">
      <c r="A719" t="s">
        <v>750</v>
      </c>
      <c r="B719">
        <f>IF(Final_Payroll!B719="Sales",Earnings!B719*3,
IF(Final_Payroll!B719="IT",Earnings!B719*2,
IF(Final_Payroll!B719="Finance",Earnings!B719*1.5,
IF(Final_Payroll!B719="HR",Earnings!B719*1.2,
Earnings!B719*1.3))))</f>
        <v>2709162</v>
      </c>
      <c r="C719">
        <f>Earnings!B719 + Deductions!B719 + Deductions!C719 + Overtime!D719</f>
        <v>904854</v>
      </c>
      <c r="D719">
        <f t="shared" si="22"/>
        <v>1804308</v>
      </c>
      <c r="E719">
        <f t="shared" si="23"/>
        <v>2.9940321864079729</v>
      </c>
    </row>
    <row r="720" spans="1:5" x14ac:dyDescent="0.35">
      <c r="A720" t="s">
        <v>751</v>
      </c>
      <c r="B720">
        <f>IF(Final_Payroll!B720="Sales",Earnings!B720*3,
IF(Final_Payroll!B720="IT",Earnings!B720*2,
IF(Final_Payroll!B720="Finance",Earnings!B720*1.5,
IF(Final_Payroll!B720="HR",Earnings!B720*1.2,
Earnings!B720*1.3))))</f>
        <v>962079.3</v>
      </c>
      <c r="C720">
        <f>Earnings!B720 + Deductions!B720 + Deductions!C720 + Overtime!D720</f>
        <v>741861</v>
      </c>
      <c r="D720">
        <f t="shared" si="22"/>
        <v>220218.30000000005</v>
      </c>
      <c r="E720">
        <f t="shared" si="23"/>
        <v>1.2968457702992879</v>
      </c>
    </row>
    <row r="721" spans="1:5" x14ac:dyDescent="0.35">
      <c r="A721" t="s">
        <v>752</v>
      </c>
      <c r="B721">
        <f>IF(Final_Payroll!B721="Sales",Earnings!B721*3,
IF(Final_Payroll!B721="IT",Earnings!B721*2,
IF(Final_Payroll!B721="Finance",Earnings!B721*1.5,
IF(Final_Payroll!B721="HR",Earnings!B721*1.2,
Earnings!B721*1.3))))</f>
        <v>1172176.8</v>
      </c>
      <c r="C721">
        <f>Earnings!B721 + Deductions!B721 + Deductions!C721 + Overtime!D721</f>
        <v>1051875.05</v>
      </c>
      <c r="D721">
        <f t="shared" si="22"/>
        <v>120301.75</v>
      </c>
      <c r="E721">
        <f t="shared" si="23"/>
        <v>1.114368859685378</v>
      </c>
    </row>
    <row r="722" spans="1:5" x14ac:dyDescent="0.35">
      <c r="A722" t="s">
        <v>753</v>
      </c>
      <c r="B722">
        <f>IF(Final_Payroll!B722="Sales",Earnings!B722*3,
IF(Final_Payroll!B722="IT",Earnings!B722*2,
IF(Final_Payroll!B722="Finance",Earnings!B722*1.5,
IF(Final_Payroll!B722="HR",Earnings!B722*1.2,
Earnings!B722*1.3))))</f>
        <v>2609568</v>
      </c>
      <c r="C722">
        <f>Earnings!B722 + Deductions!B722 + Deductions!C722 + Overtime!D722</f>
        <v>1306584</v>
      </c>
      <c r="D722">
        <f t="shared" si="22"/>
        <v>1302984</v>
      </c>
      <c r="E722">
        <f t="shared" si="23"/>
        <v>1.9972447236457818</v>
      </c>
    </row>
    <row r="723" spans="1:5" x14ac:dyDescent="0.35">
      <c r="A723" t="s">
        <v>754</v>
      </c>
      <c r="B723">
        <f>IF(Final_Payroll!B723="Sales",Earnings!B723*3,
IF(Final_Payroll!B723="IT",Earnings!B723*2,
IF(Final_Payroll!B723="Finance",Earnings!B723*1.5,
IF(Final_Payroll!B723="HR",Earnings!B723*1.2,
Earnings!B723*1.3))))</f>
        <v>721454.5</v>
      </c>
      <c r="C723">
        <f>Earnings!B723 + Deductions!B723 + Deductions!C723 + Overtime!D723</f>
        <v>556765</v>
      </c>
      <c r="D723">
        <f t="shared" si="22"/>
        <v>164689.5</v>
      </c>
      <c r="E723">
        <f t="shared" si="23"/>
        <v>1.2957971496053093</v>
      </c>
    </row>
    <row r="724" spans="1:5" x14ac:dyDescent="0.35">
      <c r="A724" t="s">
        <v>755</v>
      </c>
      <c r="B724">
        <f>IF(Final_Payroll!B724="Sales",Earnings!B724*3,
IF(Final_Payroll!B724="IT",Earnings!B724*2,
IF(Final_Payroll!B724="Finance",Earnings!B724*1.5,
IF(Final_Payroll!B724="HR",Earnings!B724*1.2,
Earnings!B724*1.3))))</f>
        <v>1178726.3999999999</v>
      </c>
      <c r="C724">
        <f>Earnings!B724 + Deductions!B724 + Deductions!C724 + Overtime!D724</f>
        <v>984072</v>
      </c>
      <c r="D724">
        <f t="shared" si="22"/>
        <v>194654.39999999991</v>
      </c>
      <c r="E724">
        <f t="shared" si="23"/>
        <v>1.197805038655708</v>
      </c>
    </row>
    <row r="725" spans="1:5" x14ac:dyDescent="0.35">
      <c r="A725" t="s">
        <v>756</v>
      </c>
      <c r="B725">
        <f>IF(Final_Payroll!B725="Sales",Earnings!B725*3,
IF(Final_Payroll!B725="IT",Earnings!B725*2,
IF(Final_Payroll!B725="Finance",Earnings!B725*1.5,
IF(Final_Payroll!B725="HR",Earnings!B725*1.2,
Earnings!B725*1.3))))</f>
        <v>3325824</v>
      </c>
      <c r="C725">
        <f>Earnings!B725 + Deductions!B725 + Deductions!C725 + Overtime!D725</f>
        <v>1110408</v>
      </c>
      <c r="D725">
        <f t="shared" si="22"/>
        <v>2215416</v>
      </c>
      <c r="E725">
        <f t="shared" si="23"/>
        <v>2.9951369226446496</v>
      </c>
    </row>
    <row r="726" spans="1:5" x14ac:dyDescent="0.35">
      <c r="A726" t="s">
        <v>757</v>
      </c>
      <c r="B726">
        <f>IF(Final_Payroll!B726="Sales",Earnings!B726*3,
IF(Final_Payroll!B726="IT",Earnings!B726*2,
IF(Final_Payroll!B726="Finance",Earnings!B726*1.5,
IF(Final_Payroll!B726="HR",Earnings!B726*1.2,
Earnings!B726*1.3))))</f>
        <v>1166222.8499999999</v>
      </c>
      <c r="C726">
        <f>Earnings!B726 + Deductions!B726 + Deductions!C726 + Overtime!D726</f>
        <v>779281.89999999991</v>
      </c>
      <c r="D726">
        <f t="shared" si="22"/>
        <v>386940.94999999995</v>
      </c>
      <c r="E726">
        <f t="shared" si="23"/>
        <v>1.496535271767508</v>
      </c>
    </row>
    <row r="727" spans="1:5" x14ac:dyDescent="0.35">
      <c r="A727" t="s">
        <v>758</v>
      </c>
      <c r="B727">
        <f>IF(Final_Payroll!B727="Sales",Earnings!B727*3,
IF(Final_Payroll!B727="IT",Earnings!B727*2,
IF(Final_Payroll!B727="Finance",Earnings!B727*1.5,
IF(Final_Payroll!B727="HR",Earnings!B727*1.2,
Earnings!B727*1.3))))</f>
        <v>2421947.1</v>
      </c>
      <c r="C727">
        <f>Earnings!B727 + Deductions!B727 + Deductions!C727 + Overtime!D727</f>
        <v>1212773.55</v>
      </c>
      <c r="D727">
        <f t="shared" si="22"/>
        <v>1209173.55</v>
      </c>
      <c r="E727">
        <f t="shared" si="23"/>
        <v>1.9970315975311301</v>
      </c>
    </row>
    <row r="728" spans="1:5" x14ac:dyDescent="0.35">
      <c r="A728" t="s">
        <v>759</v>
      </c>
      <c r="B728">
        <f>IF(Final_Payroll!B728="Sales",Earnings!B728*3,
IF(Final_Payroll!B728="IT",Earnings!B728*2,
IF(Final_Payroll!B728="Finance",Earnings!B728*1.5,
IF(Final_Payroll!B728="HR",Earnings!B728*1.2,
Earnings!B728*1.3))))</f>
        <v>3412923</v>
      </c>
      <c r="C728">
        <f>Earnings!B728 + Deductions!B728 + Deductions!C728 + Overtime!D728</f>
        <v>1190634.845</v>
      </c>
      <c r="D728">
        <f t="shared" si="22"/>
        <v>2222288.1550000003</v>
      </c>
      <c r="E728">
        <f t="shared" si="23"/>
        <v>2.8664733056758473</v>
      </c>
    </row>
    <row r="729" spans="1:5" x14ac:dyDescent="0.35">
      <c r="A729" t="s">
        <v>760</v>
      </c>
      <c r="B729">
        <f>IF(Final_Payroll!B729="Sales",Earnings!B729*3,
IF(Final_Payroll!B729="IT",Earnings!B729*2,
IF(Final_Payroll!B729="Finance",Earnings!B729*1.5,
IF(Final_Payroll!B729="HR",Earnings!B729*1.2,
Earnings!B729*1.3))))</f>
        <v>3346441.5</v>
      </c>
      <c r="C729">
        <f>Earnings!B729 + Deductions!B729 + Deductions!C729 + Overtime!D729</f>
        <v>1117280.5</v>
      </c>
      <c r="D729">
        <f t="shared" si="22"/>
        <v>2229161</v>
      </c>
      <c r="E729">
        <f t="shared" si="23"/>
        <v>2.9951668359019958</v>
      </c>
    </row>
    <row r="730" spans="1:5" x14ac:dyDescent="0.35">
      <c r="A730" t="s">
        <v>761</v>
      </c>
      <c r="B730">
        <f>IF(Final_Payroll!B730="Sales",Earnings!B730*3,
IF(Final_Payroll!B730="IT",Earnings!B730*2,
IF(Final_Payroll!B730="Finance",Earnings!B730*1.5,
IF(Final_Payroll!B730="HR",Earnings!B730*1.2,
Earnings!B730*1.3))))</f>
        <v>3076418.25</v>
      </c>
      <c r="C730">
        <f>Earnings!B730 + Deductions!B730 + Deductions!C730 + Overtime!D730</f>
        <v>1104183.20625</v>
      </c>
      <c r="D730">
        <f t="shared" si="22"/>
        <v>1972235.04375</v>
      </c>
      <c r="E730">
        <f t="shared" si="23"/>
        <v>2.786148378807586</v>
      </c>
    </row>
    <row r="731" spans="1:5" x14ac:dyDescent="0.35">
      <c r="A731" t="s">
        <v>762</v>
      </c>
      <c r="B731">
        <f>IF(Final_Payroll!B731="Sales",Earnings!B731*3,
IF(Final_Payroll!B731="IT",Earnings!B731*2,
IF(Final_Payroll!B731="Finance",Earnings!B731*1.5,
IF(Final_Payroll!B731="HR",Earnings!B731*1.2,
Earnings!B731*1.3))))</f>
        <v>1444110</v>
      </c>
      <c r="C731">
        <f>Earnings!B731 + Deductions!B731 + Deductions!C731 + Overtime!D731</f>
        <v>550561.80000000005</v>
      </c>
      <c r="D731">
        <f t="shared" si="22"/>
        <v>893548.2</v>
      </c>
      <c r="E731">
        <f t="shared" si="23"/>
        <v>2.6229752954164272</v>
      </c>
    </row>
    <row r="732" spans="1:5" x14ac:dyDescent="0.35">
      <c r="A732" t="s">
        <v>763</v>
      </c>
      <c r="B732">
        <f>IF(Final_Payroll!B732="Sales",Earnings!B732*3,
IF(Final_Payroll!B732="IT",Earnings!B732*2,
IF(Final_Payroll!B732="Finance",Earnings!B732*1.5,
IF(Final_Payroll!B732="HR",Earnings!B732*1.2,
Earnings!B732*1.3))))</f>
        <v>1170858</v>
      </c>
      <c r="C732">
        <f>Earnings!B732 + Deductions!B732 + Deductions!C732 + Overtime!D732</f>
        <v>902460</v>
      </c>
      <c r="D732">
        <f t="shared" si="22"/>
        <v>268398</v>
      </c>
      <c r="E732">
        <f t="shared" si="23"/>
        <v>1.2974070872947276</v>
      </c>
    </row>
    <row r="733" spans="1:5" x14ac:dyDescent="0.35">
      <c r="A733" t="s">
        <v>764</v>
      </c>
      <c r="B733">
        <f>IF(Final_Payroll!B733="Sales",Earnings!B733*3,
IF(Final_Payroll!B733="IT",Earnings!B733*2,
IF(Final_Payroll!B733="Finance",Earnings!B733*1.5,
IF(Final_Payroll!B733="HR",Earnings!B733*1.2,
Earnings!B733*1.3))))</f>
        <v>765798.8</v>
      </c>
      <c r="C733">
        <f>Earnings!B733 + Deductions!B733 + Deductions!C733 + Overtime!D733</f>
        <v>590876</v>
      </c>
      <c r="D733">
        <f t="shared" si="22"/>
        <v>174922.80000000005</v>
      </c>
      <c r="E733">
        <f t="shared" si="23"/>
        <v>1.2960397782275808</v>
      </c>
    </row>
    <row r="734" spans="1:5" x14ac:dyDescent="0.35">
      <c r="A734" t="s">
        <v>765</v>
      </c>
      <c r="B734">
        <f>IF(Final_Payroll!B734="Sales",Earnings!B734*3,
IF(Final_Payroll!B734="IT",Earnings!B734*2,
IF(Final_Payroll!B734="Finance",Earnings!B734*1.5,
IF(Final_Payroll!B734="HR",Earnings!B734*1.2,
Earnings!B734*1.3))))</f>
        <v>580496.80000000005</v>
      </c>
      <c r="C734">
        <f>Earnings!B734 + Deductions!B734 + Deductions!C734 + Overtime!D734</f>
        <v>448336</v>
      </c>
      <c r="D734">
        <f t="shared" si="22"/>
        <v>132160.80000000005</v>
      </c>
      <c r="E734">
        <f t="shared" si="23"/>
        <v>1.294780700189144</v>
      </c>
    </row>
    <row r="735" spans="1:5" x14ac:dyDescent="0.35">
      <c r="A735" t="s">
        <v>766</v>
      </c>
      <c r="B735">
        <f>IF(Final_Payroll!B735="Sales",Earnings!B735*3,
IF(Final_Payroll!B735="IT",Earnings!B735*2,
IF(Final_Payroll!B735="Finance",Earnings!B735*1.5,
IF(Final_Payroll!B735="HR",Earnings!B735*1.2,
Earnings!B735*1.3))))</f>
        <v>2442601.0499999998</v>
      </c>
      <c r="C735">
        <f>Earnings!B735 + Deductions!B735 + Deductions!C735 + Overtime!D735</f>
        <v>816000.35</v>
      </c>
      <c r="D735">
        <f t="shared" si="22"/>
        <v>1626600.6999999997</v>
      </c>
      <c r="E735">
        <f t="shared" si="23"/>
        <v>2.9933823557796266</v>
      </c>
    </row>
    <row r="736" spans="1:5" x14ac:dyDescent="0.35">
      <c r="A736" t="s">
        <v>767</v>
      </c>
      <c r="B736">
        <f>IF(Final_Payroll!B736="Sales",Earnings!B736*3,
IF(Final_Payroll!B736="IT",Earnings!B736*2,
IF(Final_Payroll!B736="Finance",Earnings!B736*1.5,
IF(Final_Payroll!B736="HR",Earnings!B736*1.2,
Earnings!B736*1.3))))</f>
        <v>2087218</v>
      </c>
      <c r="C736">
        <f>Earnings!B736 + Deductions!B736 + Deductions!C736 + Overtime!D736</f>
        <v>1045409</v>
      </c>
      <c r="D736">
        <f t="shared" si="22"/>
        <v>1041809</v>
      </c>
      <c r="E736">
        <f t="shared" si="23"/>
        <v>1.9965563717167156</v>
      </c>
    </row>
    <row r="737" spans="1:5" x14ac:dyDescent="0.35">
      <c r="A737" t="s">
        <v>768</v>
      </c>
      <c r="B737">
        <f>IF(Final_Payroll!B737="Sales",Earnings!B737*3,
IF(Final_Payroll!B737="IT",Earnings!B737*2,
IF(Final_Payroll!B737="Finance",Earnings!B737*1.5,
IF(Final_Payroll!B737="HR",Earnings!B737*1.2,
Earnings!B737*1.3))))</f>
        <v>434835.7</v>
      </c>
      <c r="C737">
        <f>Earnings!B737 + Deductions!B737 + Deductions!C737 + Overtime!D737</f>
        <v>336289</v>
      </c>
      <c r="D737">
        <f t="shared" si="22"/>
        <v>98546.700000000012</v>
      </c>
      <c r="E737">
        <f t="shared" si="23"/>
        <v>1.2930416992527261</v>
      </c>
    </row>
    <row r="738" spans="1:5" x14ac:dyDescent="0.35">
      <c r="A738" t="s">
        <v>769</v>
      </c>
      <c r="B738">
        <f>IF(Final_Payroll!B738="Sales",Earnings!B738*3,
IF(Final_Payroll!B738="IT",Earnings!B738*2,
IF(Final_Payroll!B738="Finance",Earnings!B738*1.5,
IF(Final_Payroll!B738="HR",Earnings!B738*1.2,
Earnings!B738*1.3))))</f>
        <v>2426264</v>
      </c>
      <c r="C738">
        <f>Earnings!B738 + Deductions!B738 + Deductions!C738 + Overtime!D738</f>
        <v>1251325.96</v>
      </c>
      <c r="D738">
        <f t="shared" si="22"/>
        <v>1174938.04</v>
      </c>
      <c r="E738">
        <f t="shared" si="23"/>
        <v>1.9389544191986556</v>
      </c>
    </row>
    <row r="739" spans="1:5" x14ac:dyDescent="0.35">
      <c r="A739" t="s">
        <v>770</v>
      </c>
      <c r="B739">
        <f>IF(Final_Payroll!B739="Sales",Earnings!B739*3,
IF(Final_Payroll!B739="IT",Earnings!B739*2,
IF(Final_Payroll!B739="Finance",Earnings!B739*1.5,
IF(Final_Payroll!B739="HR",Earnings!B739*1.2,
Earnings!B739*1.3))))</f>
        <v>2682870.2999999998</v>
      </c>
      <c r="C739">
        <f>Earnings!B739 + Deductions!B739 + Deductions!C739 + Overtime!D739</f>
        <v>1343235.15</v>
      </c>
      <c r="D739">
        <f t="shared" si="22"/>
        <v>1339635.1499999999</v>
      </c>
      <c r="E739">
        <f t="shared" si="23"/>
        <v>1.997319903369116</v>
      </c>
    </row>
    <row r="740" spans="1:5" x14ac:dyDescent="0.35">
      <c r="A740" t="s">
        <v>771</v>
      </c>
      <c r="B740">
        <f>IF(Final_Payroll!B740="Sales",Earnings!B740*3,
IF(Final_Payroll!B740="IT",Earnings!B740*2,
IF(Final_Payroll!B740="Finance",Earnings!B740*1.5,
IF(Final_Payroll!B740="HR",Earnings!B740*1.2,
Earnings!B740*1.3))))</f>
        <v>1150917.5999999999</v>
      </c>
      <c r="C740">
        <f>Earnings!B740 + Deductions!B740 + Deductions!C740 + Overtime!D740</f>
        <v>960898</v>
      </c>
      <c r="D740">
        <f t="shared" si="22"/>
        <v>190019.59999999986</v>
      </c>
      <c r="E740">
        <f t="shared" si="23"/>
        <v>1.19775210272058</v>
      </c>
    </row>
    <row r="741" spans="1:5" x14ac:dyDescent="0.35">
      <c r="A741" t="s">
        <v>772</v>
      </c>
      <c r="B741">
        <f>IF(Final_Payroll!B741="Sales",Earnings!B741*3,
IF(Final_Payroll!B741="IT",Earnings!B741*2,
IF(Final_Payroll!B741="Finance",Earnings!B741*1.5,
IF(Final_Payroll!B741="HR",Earnings!B741*1.2,
Earnings!B741*1.3))))</f>
        <v>1022918</v>
      </c>
      <c r="C741">
        <f>Earnings!B741 + Deductions!B741 + Deductions!C741 + Overtime!D741</f>
        <v>788660</v>
      </c>
      <c r="D741">
        <f t="shared" si="22"/>
        <v>234258</v>
      </c>
      <c r="E741">
        <f t="shared" si="23"/>
        <v>1.297032941952172</v>
      </c>
    </row>
    <row r="742" spans="1:5" x14ac:dyDescent="0.35">
      <c r="A742" t="s">
        <v>773</v>
      </c>
      <c r="B742">
        <f>IF(Final_Payroll!B742="Sales",Earnings!B742*3,
IF(Final_Payroll!B742="IT",Earnings!B742*2,
IF(Final_Payroll!B742="Finance",Earnings!B742*1.5,
IF(Final_Payroll!B742="HR",Earnings!B742*1.2,
Earnings!B742*1.3))))</f>
        <v>1947452.5</v>
      </c>
      <c r="C742">
        <f>Earnings!B742 + Deductions!B742 + Deductions!C742 + Overtime!D742</f>
        <v>1019343.93125</v>
      </c>
      <c r="D742">
        <f t="shared" si="22"/>
        <v>928108.56874999998</v>
      </c>
      <c r="E742">
        <f t="shared" si="23"/>
        <v>1.9104959967847948</v>
      </c>
    </row>
    <row r="743" spans="1:5" x14ac:dyDescent="0.35">
      <c r="A743" t="s">
        <v>774</v>
      </c>
      <c r="B743">
        <f>IF(Final_Payroll!B743="Sales",Earnings!B743*3,
IF(Final_Payroll!B743="IT",Earnings!B743*2,
IF(Final_Payroll!B743="Finance",Earnings!B743*1.5,
IF(Final_Payroll!B743="HR",Earnings!B743*1.2,
Earnings!B743*1.3))))</f>
        <v>993328.79999999993</v>
      </c>
      <c r="C743">
        <f>Earnings!B743 + Deductions!B743 + Deductions!C743 + Overtime!D743</f>
        <v>829574</v>
      </c>
      <c r="D743">
        <f t="shared" si="22"/>
        <v>163754.79999999993</v>
      </c>
      <c r="E743">
        <f t="shared" si="23"/>
        <v>1.1973962539809588</v>
      </c>
    </row>
    <row r="744" spans="1:5" x14ac:dyDescent="0.35">
      <c r="A744" t="s">
        <v>775</v>
      </c>
      <c r="B744">
        <f>IF(Final_Payroll!B744="Sales",Earnings!B744*3,
IF(Final_Payroll!B744="IT",Earnings!B744*2,
IF(Final_Payroll!B744="Finance",Earnings!B744*1.5,
IF(Final_Payroll!B744="HR",Earnings!B744*1.2,
Earnings!B744*1.3))))</f>
        <v>2410199.4</v>
      </c>
      <c r="C744">
        <f>Earnings!B744 + Deductions!B744 + Deductions!C744 + Overtime!D744</f>
        <v>1303307.676</v>
      </c>
      <c r="D744">
        <f t="shared" si="22"/>
        <v>1106891.7239999999</v>
      </c>
      <c r="E744">
        <f t="shared" si="23"/>
        <v>1.8492942567461714</v>
      </c>
    </row>
    <row r="745" spans="1:5" x14ac:dyDescent="0.35">
      <c r="A745" t="s">
        <v>776</v>
      </c>
      <c r="B745">
        <f>IF(Final_Payroll!B745="Sales",Earnings!B745*3,
IF(Final_Payroll!B745="IT",Earnings!B745*2,
IF(Final_Payroll!B745="Finance",Earnings!B745*1.5,
IF(Final_Payroll!B745="HR",Earnings!B745*1.2,
Earnings!B745*1.3))))</f>
        <v>1235123.8799999999</v>
      </c>
      <c r="C745">
        <f>Earnings!B745 + Deductions!B745 + Deductions!C745 + Overtime!D745</f>
        <v>1056801.6475</v>
      </c>
      <c r="D745">
        <f t="shared" si="22"/>
        <v>178322.23249999993</v>
      </c>
      <c r="E745">
        <f t="shared" si="23"/>
        <v>1.1687376556630509</v>
      </c>
    </row>
    <row r="746" spans="1:5" x14ac:dyDescent="0.35">
      <c r="A746" t="s">
        <v>777</v>
      </c>
      <c r="B746">
        <f>IF(Final_Payroll!B746="Sales",Earnings!B746*3,
IF(Final_Payroll!B746="IT",Earnings!B746*2,
IF(Final_Payroll!B746="Finance",Earnings!B746*1.5,
IF(Final_Payroll!B746="HR",Earnings!B746*1.2,
Earnings!B746*1.3))))</f>
        <v>1636851</v>
      </c>
      <c r="C746">
        <f>Earnings!B746 + Deductions!B746 + Deductions!C746 + Overtime!D746</f>
        <v>615619.125</v>
      </c>
      <c r="D746">
        <f t="shared" si="22"/>
        <v>1021231.875</v>
      </c>
      <c r="E746">
        <f t="shared" si="23"/>
        <v>2.6588696379437531</v>
      </c>
    </row>
    <row r="747" spans="1:5" x14ac:dyDescent="0.35">
      <c r="A747" t="s">
        <v>778</v>
      </c>
      <c r="B747">
        <f>IF(Final_Payroll!B747="Sales",Earnings!B747*3,
IF(Final_Payroll!B747="IT",Earnings!B747*2,
IF(Final_Payroll!B747="Finance",Earnings!B747*1.5,
IF(Final_Payroll!B747="HR",Earnings!B747*1.2,
Earnings!B747*1.3))))</f>
        <v>2592580</v>
      </c>
      <c r="C747">
        <f>Earnings!B747 + Deductions!B747 + Deductions!C747 + Overtime!D747</f>
        <v>1298090</v>
      </c>
      <c r="D747">
        <f t="shared" si="22"/>
        <v>1294490</v>
      </c>
      <c r="E747">
        <f t="shared" si="23"/>
        <v>1.9972266946051507</v>
      </c>
    </row>
    <row r="748" spans="1:5" x14ac:dyDescent="0.35">
      <c r="A748" t="s">
        <v>779</v>
      </c>
      <c r="B748">
        <f>IF(Final_Payroll!B748="Sales",Earnings!B748*3,
IF(Final_Payroll!B748="IT",Earnings!B748*2,
IF(Final_Payroll!B748="Finance",Earnings!B748*1.5,
IF(Final_Payroll!B748="HR",Earnings!B748*1.2,
Earnings!B748*1.3))))</f>
        <v>2449970.2000000002</v>
      </c>
      <c r="C748">
        <f>Earnings!B748 + Deductions!B748 + Deductions!C748 + Overtime!D748</f>
        <v>1226785.1000000001</v>
      </c>
      <c r="D748">
        <f t="shared" si="22"/>
        <v>1223185.1000000001</v>
      </c>
      <c r="E748">
        <f t="shared" si="23"/>
        <v>1.9970655007140208</v>
      </c>
    </row>
    <row r="749" spans="1:5" x14ac:dyDescent="0.35">
      <c r="A749" t="s">
        <v>780</v>
      </c>
      <c r="B749">
        <f>IF(Final_Payroll!B749="Sales",Earnings!B749*3,
IF(Final_Payroll!B749="IT",Earnings!B749*2,
IF(Final_Payroll!B749="Finance",Earnings!B749*1.5,
IF(Final_Payroll!B749="HR",Earnings!B749*1.2,
Earnings!B749*1.3))))</f>
        <v>2925522.15</v>
      </c>
      <c r="C749">
        <f>Earnings!B749 + Deductions!B749 + Deductions!C749 + Overtime!D749</f>
        <v>1098870.8062499999</v>
      </c>
      <c r="D749">
        <f t="shared" si="22"/>
        <v>1826651.34375</v>
      </c>
      <c r="E749">
        <f t="shared" si="23"/>
        <v>2.6622985462536946</v>
      </c>
    </row>
    <row r="750" spans="1:5" x14ac:dyDescent="0.35">
      <c r="A750" t="s">
        <v>781</v>
      </c>
      <c r="B750">
        <f>IF(Final_Payroll!B750="Sales",Earnings!B750*3,
IF(Final_Payroll!B750="IT",Earnings!B750*2,
IF(Final_Payroll!B750="Finance",Earnings!B750*1.5,
IF(Final_Payroll!B750="HR",Earnings!B750*1.2,
Earnings!B750*1.3))))</f>
        <v>709322.9</v>
      </c>
      <c r="C750">
        <f>Earnings!B750 + Deductions!B750 + Deductions!C750 + Overtime!D750</f>
        <v>574714.65</v>
      </c>
      <c r="D750">
        <f t="shared" si="22"/>
        <v>134608.25</v>
      </c>
      <c r="E750">
        <f t="shared" si="23"/>
        <v>1.2342175373465771</v>
      </c>
    </row>
    <row r="751" spans="1:5" x14ac:dyDescent="0.35">
      <c r="A751" t="s">
        <v>782</v>
      </c>
      <c r="B751">
        <f>IF(Final_Payroll!B751="Sales",Earnings!B751*3,
IF(Final_Payroll!B751="IT",Earnings!B751*2,
IF(Final_Payroll!B751="Finance",Earnings!B751*1.5,
IF(Final_Payroll!B751="HR",Earnings!B751*1.2,
Earnings!B751*1.3))))</f>
        <v>2198056.7999999998</v>
      </c>
      <c r="C751">
        <f>Earnings!B751 + Deductions!B751 + Deductions!C751 + Overtime!D751</f>
        <v>1144789.5359999998</v>
      </c>
      <c r="D751">
        <f t="shared" si="22"/>
        <v>1053267.264</v>
      </c>
      <c r="E751">
        <f t="shared" si="23"/>
        <v>1.9200531895847099</v>
      </c>
    </row>
    <row r="752" spans="1:5" x14ac:dyDescent="0.35">
      <c r="A752" t="s">
        <v>783</v>
      </c>
      <c r="B752">
        <f>IF(Final_Payroll!B752="Sales",Earnings!B752*3,
IF(Final_Payroll!B752="IT",Earnings!B752*2,
IF(Final_Payroll!B752="Finance",Earnings!B752*1.5,
IF(Final_Payroll!B752="HR",Earnings!B752*1.2,
Earnings!B752*1.3))))</f>
        <v>786361.55</v>
      </c>
      <c r="C752">
        <f>Earnings!B752 + Deductions!B752 + Deductions!C752 + Overtime!D752</f>
        <v>670207.3175</v>
      </c>
      <c r="D752">
        <f t="shared" si="22"/>
        <v>116154.23250000004</v>
      </c>
      <c r="E752">
        <f t="shared" si="23"/>
        <v>1.1733108986832272</v>
      </c>
    </row>
    <row r="753" spans="1:5" x14ac:dyDescent="0.35">
      <c r="A753" t="s">
        <v>784</v>
      </c>
      <c r="B753">
        <f>IF(Final_Payroll!B753="Sales",Earnings!B753*3,
IF(Final_Payroll!B753="IT",Earnings!B753*2,
IF(Final_Payroll!B753="Finance",Earnings!B753*1.5,
IF(Final_Payroll!B753="HR",Earnings!B753*1.2,
Earnings!B753*1.3))))</f>
        <v>572482.79999999993</v>
      </c>
      <c r="C753">
        <f>Earnings!B753 + Deductions!B753 + Deductions!C753 + Overtime!D753</f>
        <v>497951.76</v>
      </c>
      <c r="D753">
        <f t="shared" si="22"/>
        <v>74531.039999999921</v>
      </c>
      <c r="E753">
        <f t="shared" si="23"/>
        <v>1.1496752215515815</v>
      </c>
    </row>
    <row r="754" spans="1:5" x14ac:dyDescent="0.35">
      <c r="A754" t="s">
        <v>785</v>
      </c>
      <c r="B754">
        <f>IF(Final_Payroll!B754="Sales",Earnings!B754*3,
IF(Final_Payroll!B754="IT",Earnings!B754*2,
IF(Final_Payroll!B754="Finance",Earnings!B754*1.5,
IF(Final_Payroll!B754="HR",Earnings!B754*1.2,
Earnings!B754*1.3))))</f>
        <v>2290032</v>
      </c>
      <c r="C754">
        <f>Earnings!B754 + Deductions!B754 + Deductions!C754 + Overtime!D754</f>
        <v>765144</v>
      </c>
      <c r="D754">
        <f t="shared" si="22"/>
        <v>1524888</v>
      </c>
      <c r="E754">
        <f t="shared" si="23"/>
        <v>2.9929425049402467</v>
      </c>
    </row>
    <row r="755" spans="1:5" x14ac:dyDescent="0.35">
      <c r="A755" t="s">
        <v>786</v>
      </c>
      <c r="B755">
        <f>IF(Final_Payroll!B755="Sales",Earnings!B755*3,
IF(Final_Payroll!B755="IT",Earnings!B755*2,
IF(Final_Payroll!B755="Finance",Earnings!B755*1.5,
IF(Final_Payroll!B755="HR",Earnings!B755*1.2,
Earnings!B755*1.3))))</f>
        <v>2334837.7999999998</v>
      </c>
      <c r="C755">
        <f>Earnings!B755 + Deductions!B755 + Deductions!C755 + Overtime!D755</f>
        <v>1169218.8999999999</v>
      </c>
      <c r="D755">
        <f t="shared" si="22"/>
        <v>1165618.8999999999</v>
      </c>
      <c r="E755">
        <f t="shared" si="23"/>
        <v>1.9969210213758946</v>
      </c>
    </row>
    <row r="756" spans="1:5" x14ac:dyDescent="0.35">
      <c r="A756" t="s">
        <v>787</v>
      </c>
      <c r="B756">
        <f>IF(Final_Payroll!B756="Sales",Earnings!B756*3,
IF(Final_Payroll!B756="IT",Earnings!B756*2,
IF(Final_Payroll!B756="Finance",Earnings!B756*1.5,
IF(Final_Payroll!B756="HR",Earnings!B756*1.2,
Earnings!B756*1.3))))</f>
        <v>1258463.0999999999</v>
      </c>
      <c r="C756">
        <f>Earnings!B756 + Deductions!B756 + Deductions!C756 + Overtime!D756</f>
        <v>1050519.25</v>
      </c>
      <c r="D756">
        <f t="shared" si="22"/>
        <v>207943.84999999986</v>
      </c>
      <c r="E756">
        <f t="shared" si="23"/>
        <v>1.1979438739461461</v>
      </c>
    </row>
    <row r="757" spans="1:5" x14ac:dyDescent="0.35">
      <c r="A757" t="s">
        <v>788</v>
      </c>
      <c r="B757">
        <f>IF(Final_Payroll!B757="Sales",Earnings!B757*3,
IF(Final_Payroll!B757="IT",Earnings!B757*2,
IF(Final_Payroll!B757="Finance",Earnings!B757*1.5,
IF(Final_Payroll!B757="HR",Earnings!B757*1.2,
Earnings!B757*1.3))))</f>
        <v>734800.3</v>
      </c>
      <c r="C757">
        <f>Earnings!B757 + Deductions!B757 + Deductions!C757 + Overtime!D757</f>
        <v>567031</v>
      </c>
      <c r="D757">
        <f t="shared" si="22"/>
        <v>167769.30000000005</v>
      </c>
      <c r="E757">
        <f t="shared" si="23"/>
        <v>1.2958732414982603</v>
      </c>
    </row>
    <row r="758" spans="1:5" x14ac:dyDescent="0.35">
      <c r="A758" t="s">
        <v>789</v>
      </c>
      <c r="B758">
        <f>IF(Final_Payroll!B758="Sales",Earnings!B758*3,
IF(Final_Payroll!B758="IT",Earnings!B758*2,
IF(Final_Payroll!B758="Finance",Earnings!B758*1.5,
IF(Final_Payroll!B758="HR",Earnings!B758*1.2,
Earnings!B758*1.3))))</f>
        <v>1622083.5</v>
      </c>
      <c r="C758">
        <f>Earnings!B758 + Deductions!B758 + Deductions!C758 + Overtime!D758</f>
        <v>1234583.46</v>
      </c>
      <c r="D758">
        <f t="shared" si="22"/>
        <v>387500.04000000004</v>
      </c>
      <c r="E758">
        <f t="shared" si="23"/>
        <v>1.3138710768083675</v>
      </c>
    </row>
    <row r="759" spans="1:5" x14ac:dyDescent="0.35">
      <c r="A759" t="s">
        <v>790</v>
      </c>
      <c r="B759">
        <f>IF(Final_Payroll!B759="Sales",Earnings!B759*3,
IF(Final_Payroll!B759="IT",Earnings!B759*2,
IF(Final_Payroll!B759="Finance",Earnings!B759*1.5,
IF(Final_Payroll!B759="HR",Earnings!B759*1.2,
Earnings!B759*1.3))))</f>
        <v>1194246.8999999999</v>
      </c>
      <c r="C759">
        <f>Earnings!B759 + Deductions!B759 + Deductions!C759 + Overtime!D759</f>
        <v>797964.6</v>
      </c>
      <c r="D759">
        <f t="shared" si="22"/>
        <v>396282.29999999993</v>
      </c>
      <c r="E759">
        <f t="shared" si="23"/>
        <v>1.4966163912534465</v>
      </c>
    </row>
    <row r="760" spans="1:5" x14ac:dyDescent="0.35">
      <c r="A760" t="s">
        <v>791</v>
      </c>
      <c r="B760">
        <f>IF(Final_Payroll!B760="Sales",Earnings!B760*3,
IF(Final_Payroll!B760="IT",Earnings!B760*2,
IF(Final_Payroll!B760="Finance",Earnings!B760*1.5,
IF(Final_Payroll!B760="HR",Earnings!B760*1.2,
Earnings!B760*1.3))))</f>
        <v>1045663.2</v>
      </c>
      <c r="C760">
        <f>Earnings!B760 + Deductions!B760 + Deductions!C760 + Overtime!D760</f>
        <v>916755.3</v>
      </c>
      <c r="D760">
        <f t="shared" si="22"/>
        <v>128907.89999999991</v>
      </c>
      <c r="E760">
        <f t="shared" si="23"/>
        <v>1.1406132039814767</v>
      </c>
    </row>
    <row r="761" spans="1:5" x14ac:dyDescent="0.35">
      <c r="A761" t="s">
        <v>792</v>
      </c>
      <c r="B761">
        <f>IF(Final_Payroll!B761="Sales",Earnings!B761*3,
IF(Final_Payroll!B761="IT",Earnings!B761*2,
IF(Final_Payroll!B761="Finance",Earnings!B761*1.5,
IF(Final_Payroll!B761="HR",Earnings!B761*1.2,
Earnings!B761*1.3))))</f>
        <v>871633.36</v>
      </c>
      <c r="C761">
        <f>Earnings!B761 + Deductions!B761 + Deductions!C761 + Overtime!D761</f>
        <v>672287.2</v>
      </c>
      <c r="D761">
        <f t="shared" si="22"/>
        <v>199346.16000000003</v>
      </c>
      <c r="E761">
        <f t="shared" si="23"/>
        <v>1.2965193447086305</v>
      </c>
    </row>
    <row r="762" spans="1:5" x14ac:dyDescent="0.35">
      <c r="A762" t="s">
        <v>793</v>
      </c>
      <c r="B762">
        <f>IF(Final_Payroll!B762="Sales",Earnings!B762*3,
IF(Final_Payroll!B762="IT",Earnings!B762*2,
IF(Final_Payroll!B762="Finance",Earnings!B762*1.5,
IF(Final_Payroll!B762="HR",Earnings!B762*1.2,
Earnings!B762*1.3))))</f>
        <v>1191385.9750000001</v>
      </c>
      <c r="C762">
        <f>Earnings!B762 + Deductions!B762 + Deductions!C762 + Overtime!D762</f>
        <v>1023642.5862499999</v>
      </c>
      <c r="D762">
        <f t="shared" si="22"/>
        <v>167743.38875000016</v>
      </c>
      <c r="E762">
        <f t="shared" si="23"/>
        <v>1.1638690994329468</v>
      </c>
    </row>
    <row r="763" spans="1:5" x14ac:dyDescent="0.35">
      <c r="A763" t="s">
        <v>794</v>
      </c>
      <c r="B763">
        <f>IF(Final_Payroll!B763="Sales",Earnings!B763*3,
IF(Final_Payroll!B763="IT",Earnings!B763*2,
IF(Final_Payroll!B763="Finance",Earnings!B763*1.5,
IF(Final_Payroll!B763="HR",Earnings!B763*1.2,
Earnings!B763*1.3))))</f>
        <v>1484608.5</v>
      </c>
      <c r="C763">
        <f>Earnings!B763 + Deductions!B763 + Deductions!C763 + Overtime!D763</f>
        <v>991539</v>
      </c>
      <c r="D763">
        <f t="shared" si="22"/>
        <v>493069.5</v>
      </c>
      <c r="E763">
        <f t="shared" si="23"/>
        <v>1.4972769603616196</v>
      </c>
    </row>
    <row r="764" spans="1:5" x14ac:dyDescent="0.35">
      <c r="A764" t="s">
        <v>795</v>
      </c>
      <c r="B764">
        <f>IF(Final_Payroll!B764="Sales",Earnings!B764*3,
IF(Final_Payroll!B764="IT",Earnings!B764*2,
IF(Final_Payroll!B764="Finance",Earnings!B764*1.5,
IF(Final_Payroll!B764="HR",Earnings!B764*1.2,
Earnings!B764*1.3))))</f>
        <v>1063752.5249999999</v>
      </c>
      <c r="C764">
        <f>Earnings!B764 + Deductions!B764 + Deductions!C764 + Overtime!D764</f>
        <v>735789.24225000001</v>
      </c>
      <c r="D764">
        <f t="shared" si="22"/>
        <v>327963.2827499999</v>
      </c>
      <c r="E764">
        <f t="shared" si="23"/>
        <v>1.4457299236220247</v>
      </c>
    </row>
    <row r="765" spans="1:5" x14ac:dyDescent="0.35">
      <c r="A765" t="s">
        <v>796</v>
      </c>
      <c r="B765">
        <f>IF(Final_Payroll!B765="Sales",Earnings!B765*3,
IF(Final_Payroll!B765="IT",Earnings!B765*2,
IF(Final_Payroll!B765="Finance",Earnings!B765*1.5,
IF(Final_Payroll!B765="HR",Earnings!B765*1.2,
Earnings!B765*1.3))))</f>
        <v>1727668.0999999999</v>
      </c>
      <c r="C765">
        <f>Earnings!B765 + Deductions!B765 + Deductions!C765 + Overtime!D765</f>
        <v>865634.04999999993</v>
      </c>
      <c r="D765">
        <f t="shared" si="22"/>
        <v>862034.04999999993</v>
      </c>
      <c r="E765">
        <f t="shared" si="23"/>
        <v>1.9958411987143989</v>
      </c>
    </row>
    <row r="766" spans="1:5" x14ac:dyDescent="0.35">
      <c r="A766" t="s">
        <v>797</v>
      </c>
      <c r="B766">
        <f>IF(Final_Payroll!B766="Sales",Earnings!B766*3,
IF(Final_Payroll!B766="IT",Earnings!B766*2,
IF(Final_Payroll!B766="Finance",Earnings!B766*1.5,
IF(Final_Payroll!B766="HR",Earnings!B766*1.2,
Earnings!B766*1.3))))</f>
        <v>1548923.7</v>
      </c>
      <c r="C766">
        <f>Earnings!B766 + Deductions!B766 + Deductions!C766 + Overtime!D766</f>
        <v>776261.85</v>
      </c>
      <c r="D766">
        <f t="shared" si="22"/>
        <v>772661.85</v>
      </c>
      <c r="E766">
        <f t="shared" si="23"/>
        <v>1.9953623896369506</v>
      </c>
    </row>
    <row r="767" spans="1:5" x14ac:dyDescent="0.35">
      <c r="A767" t="s">
        <v>798</v>
      </c>
      <c r="B767">
        <f>IF(Final_Payroll!B767="Sales",Earnings!B767*3,
IF(Final_Payroll!B767="IT",Earnings!B767*2,
IF(Final_Payroll!B767="Finance",Earnings!B767*1.5,
IF(Final_Payroll!B767="HR",Earnings!B767*1.2,
Earnings!B767*1.3))))</f>
        <v>1150618.5</v>
      </c>
      <c r="C767">
        <f>Earnings!B767 + Deductions!B767 + Deductions!C767 + Overtime!D767</f>
        <v>853257.69</v>
      </c>
      <c r="D767">
        <f t="shared" si="22"/>
        <v>297360.81000000006</v>
      </c>
      <c r="E767">
        <f t="shared" si="23"/>
        <v>1.3485005918903585</v>
      </c>
    </row>
    <row r="768" spans="1:5" x14ac:dyDescent="0.35">
      <c r="A768" t="s">
        <v>799</v>
      </c>
      <c r="B768">
        <f>IF(Final_Payroll!B768="Sales",Earnings!B768*3,
IF(Final_Payroll!B768="IT",Earnings!B768*2,
IF(Final_Payroll!B768="Finance",Earnings!B768*1.5,
IF(Final_Payroll!B768="HR",Earnings!B768*1.2,
Earnings!B768*1.3))))</f>
        <v>1175659.5</v>
      </c>
      <c r="C768">
        <f>Earnings!B768 + Deductions!B768 + Deductions!C768 + Overtime!D768</f>
        <v>785573</v>
      </c>
      <c r="D768">
        <f t="shared" si="22"/>
        <v>390086.5</v>
      </c>
      <c r="E768">
        <f t="shared" si="23"/>
        <v>1.4965630183318419</v>
      </c>
    </row>
    <row r="769" spans="1:5" x14ac:dyDescent="0.35">
      <c r="A769" t="s">
        <v>800</v>
      </c>
      <c r="B769">
        <f>IF(Final_Payroll!B769="Sales",Earnings!B769*3,
IF(Final_Payroll!B769="IT",Earnings!B769*2,
IF(Final_Payroll!B769="Finance",Earnings!B769*1.5,
IF(Final_Payroll!B769="HR",Earnings!B769*1.2,
Earnings!B769*1.3))))</f>
        <v>760013.8</v>
      </c>
      <c r="C769">
        <f>Earnings!B769 + Deductions!B769 + Deductions!C769 + Overtime!D769</f>
        <v>586426</v>
      </c>
      <c r="D769">
        <f t="shared" si="22"/>
        <v>173587.80000000005</v>
      </c>
      <c r="E769">
        <f t="shared" si="23"/>
        <v>1.2960097267174375</v>
      </c>
    </row>
    <row r="770" spans="1:5" x14ac:dyDescent="0.35">
      <c r="A770" t="s">
        <v>801</v>
      </c>
      <c r="B770">
        <f>IF(Final_Payroll!B770="Sales",Earnings!B770*3,
IF(Final_Payroll!B770="IT",Earnings!B770*2,
IF(Final_Payroll!B770="Finance",Earnings!B770*1.5,
IF(Final_Payroll!B770="HR",Earnings!B770*1.2,
Earnings!B770*1.3))))</f>
        <v>2941117.3499999996</v>
      </c>
      <c r="C770">
        <f>Earnings!B770 + Deductions!B770 + Deductions!C770 + Overtime!D770</f>
        <v>1070405.9705000001</v>
      </c>
      <c r="D770">
        <f t="shared" ref="D770:D833" si="24">B770-C770</f>
        <v>1870711.3794999996</v>
      </c>
      <c r="E770">
        <f t="shared" ref="E770:E833" si="25">IF(C770=0,0,B770/C770)</f>
        <v>2.7476653074217876</v>
      </c>
    </row>
    <row r="771" spans="1:5" x14ac:dyDescent="0.35">
      <c r="A771" t="s">
        <v>802</v>
      </c>
      <c r="B771">
        <f>IF(Final_Payroll!B771="Sales",Earnings!B771*3,
IF(Final_Payroll!B771="IT",Earnings!B771*2,
IF(Final_Payroll!B771="Finance",Earnings!B771*1.5,
IF(Final_Payroll!B771="HR",Earnings!B771*1.2,
Earnings!B771*1.3))))</f>
        <v>558066.6</v>
      </c>
      <c r="C771">
        <f>Earnings!B771 + Deductions!B771 + Deductions!C771 + Overtime!D771</f>
        <v>431082</v>
      </c>
      <c r="D771">
        <f t="shared" si="24"/>
        <v>126984.59999999998</v>
      </c>
      <c r="E771">
        <f t="shared" si="25"/>
        <v>1.2945717984049439</v>
      </c>
    </row>
    <row r="772" spans="1:5" x14ac:dyDescent="0.35">
      <c r="A772" t="s">
        <v>803</v>
      </c>
      <c r="B772">
        <f>IF(Final_Payroll!B772="Sales",Earnings!B772*3,
IF(Final_Payroll!B772="IT",Earnings!B772*2,
IF(Final_Payroll!B772="Finance",Earnings!B772*1.5,
IF(Final_Payroll!B772="HR",Earnings!B772*1.2,
Earnings!B772*1.3))))</f>
        <v>1025810.7599999999</v>
      </c>
      <c r="C772">
        <f>Earnings!B772 + Deductions!B772 + Deductions!C772 + Overtime!D772</f>
        <v>882287.5689999999</v>
      </c>
      <c r="D772">
        <f t="shared" si="24"/>
        <v>143523.19099999999</v>
      </c>
      <c r="E772">
        <f t="shared" si="25"/>
        <v>1.1626716685611604</v>
      </c>
    </row>
    <row r="773" spans="1:5" x14ac:dyDescent="0.35">
      <c r="A773" t="s">
        <v>804</v>
      </c>
      <c r="B773">
        <f>IF(Final_Payroll!B773="Sales",Earnings!B773*3,
IF(Final_Payroll!B773="IT",Earnings!B773*2,
IF(Final_Payroll!B773="Finance",Earnings!B773*1.5,
IF(Final_Payroll!B773="HR",Earnings!B773*1.2,
Earnings!B773*1.3))))</f>
        <v>2500737</v>
      </c>
      <c r="C773">
        <f>Earnings!B773 + Deductions!B773 + Deductions!C773 + Overtime!D773</f>
        <v>835379</v>
      </c>
      <c r="D773">
        <f t="shared" si="24"/>
        <v>1665358</v>
      </c>
      <c r="E773">
        <f t="shared" si="25"/>
        <v>2.9935358681508633</v>
      </c>
    </row>
    <row r="774" spans="1:5" x14ac:dyDescent="0.35">
      <c r="A774" t="s">
        <v>805</v>
      </c>
      <c r="B774">
        <f>IF(Final_Payroll!B774="Sales",Earnings!B774*3,
IF(Final_Payroll!B774="IT",Earnings!B774*2,
IF(Final_Payroll!B774="Finance",Earnings!B774*1.5,
IF(Final_Payroll!B774="HR",Earnings!B774*1.2,
Earnings!B774*1.3))))</f>
        <v>1230172.575</v>
      </c>
      <c r="C774">
        <f>Earnings!B774 + Deductions!B774 + Deductions!C774 + Overtime!D774</f>
        <v>821915.04999999993</v>
      </c>
      <c r="D774">
        <f t="shared" si="24"/>
        <v>408257.52500000002</v>
      </c>
      <c r="E774">
        <f t="shared" si="25"/>
        <v>1.4967149889760505</v>
      </c>
    </row>
    <row r="775" spans="1:5" x14ac:dyDescent="0.35">
      <c r="A775" t="s">
        <v>806</v>
      </c>
      <c r="B775">
        <f>IF(Final_Payroll!B775="Sales",Earnings!B775*3,
IF(Final_Payroll!B775="IT",Earnings!B775*2,
IF(Final_Payroll!B775="Finance",Earnings!B775*1.5,
IF(Final_Payroll!B775="HR",Earnings!B775*1.2,
Earnings!B775*1.3))))</f>
        <v>3436481.5500000003</v>
      </c>
      <c r="C775">
        <f>Earnings!B775 + Deductions!B775 + Deductions!C775 + Overtime!D775</f>
        <v>1147293.8500000001</v>
      </c>
      <c r="D775">
        <f t="shared" si="24"/>
        <v>2289187.7000000002</v>
      </c>
      <c r="E775">
        <f t="shared" si="25"/>
        <v>2.9952932720767222</v>
      </c>
    </row>
    <row r="776" spans="1:5" x14ac:dyDescent="0.35">
      <c r="A776" t="s">
        <v>807</v>
      </c>
      <c r="B776">
        <f>IF(Final_Payroll!B776="Sales",Earnings!B776*3,
IF(Final_Payroll!B776="IT",Earnings!B776*2,
IF(Final_Payroll!B776="Finance",Earnings!B776*1.5,
IF(Final_Payroll!B776="HR",Earnings!B776*1.2,
Earnings!B776*1.3))))</f>
        <v>815123.4</v>
      </c>
      <c r="C776">
        <f>Earnings!B776 + Deductions!B776 + Deductions!C776 + Overtime!D776</f>
        <v>700925.07000000007</v>
      </c>
      <c r="D776">
        <f t="shared" si="24"/>
        <v>114198.32999999996</v>
      </c>
      <c r="E776">
        <f t="shared" si="25"/>
        <v>1.1629251611730764</v>
      </c>
    </row>
    <row r="777" spans="1:5" x14ac:dyDescent="0.35">
      <c r="A777" t="s">
        <v>808</v>
      </c>
      <c r="B777">
        <f>IF(Final_Payroll!B777="Sales",Earnings!B777*3,
IF(Final_Payroll!B777="IT",Earnings!B777*2,
IF(Final_Payroll!B777="Finance",Earnings!B777*1.5,
IF(Final_Payroll!B777="HR",Earnings!B777*1.2,
Earnings!B777*1.3))))</f>
        <v>1337918.25</v>
      </c>
      <c r="C777">
        <f>Earnings!B777 + Deductions!B777 + Deductions!C777 + Overtime!D777</f>
        <v>1027537.325</v>
      </c>
      <c r="D777">
        <f t="shared" si="24"/>
        <v>310380.92500000005</v>
      </c>
      <c r="E777">
        <f t="shared" si="25"/>
        <v>1.3020629201961107</v>
      </c>
    </row>
    <row r="778" spans="1:5" x14ac:dyDescent="0.35">
      <c r="A778" t="s">
        <v>809</v>
      </c>
      <c r="B778">
        <f>IF(Final_Payroll!B778="Sales",Earnings!B778*3,
IF(Final_Payroll!B778="IT",Earnings!B778*2,
IF(Final_Payroll!B778="Finance",Earnings!B778*1.5,
IF(Final_Payroll!B778="HR",Earnings!B778*1.2,
Earnings!B778*1.3))))</f>
        <v>2047051.5</v>
      </c>
      <c r="C778">
        <f>Earnings!B778 + Deductions!B778 + Deductions!C778 + Overtime!D778</f>
        <v>1434736.05</v>
      </c>
      <c r="D778">
        <f t="shared" si="24"/>
        <v>612315.44999999995</v>
      </c>
      <c r="E778">
        <f t="shared" si="25"/>
        <v>1.4267791626201907</v>
      </c>
    </row>
    <row r="779" spans="1:5" x14ac:dyDescent="0.35">
      <c r="A779" t="s">
        <v>810</v>
      </c>
      <c r="B779">
        <f>IF(Final_Payroll!B779="Sales",Earnings!B779*3,
IF(Final_Payroll!B779="IT",Earnings!B779*2,
IF(Final_Payroll!B779="Finance",Earnings!B779*1.5,
IF(Final_Payroll!B779="HR",Earnings!B779*1.2,
Earnings!B779*1.3))))</f>
        <v>643905.6</v>
      </c>
      <c r="C779">
        <f>Earnings!B779 + Deductions!B779 + Deductions!C779 + Overtime!D779</f>
        <v>546643.19999999995</v>
      </c>
      <c r="D779">
        <f t="shared" si="24"/>
        <v>97262.400000000023</v>
      </c>
      <c r="E779">
        <f t="shared" si="25"/>
        <v>1.1779266622176952</v>
      </c>
    </row>
    <row r="780" spans="1:5" x14ac:dyDescent="0.35">
      <c r="A780" t="s">
        <v>811</v>
      </c>
      <c r="B780">
        <f>IF(Final_Payroll!B780="Sales",Earnings!B780*3,
IF(Final_Payroll!B780="IT",Earnings!B780*2,
IF(Final_Payroll!B780="Finance",Earnings!B780*1.5,
IF(Final_Payroll!B780="HR",Earnings!B780*1.2,
Earnings!B780*1.3))))</f>
        <v>2378598.5999999996</v>
      </c>
      <c r="C780">
        <f>Earnings!B780 + Deductions!B780 + Deductions!C780 + Overtime!D780</f>
        <v>846202.50299999991</v>
      </c>
      <c r="D780">
        <f t="shared" si="24"/>
        <v>1532396.0969999996</v>
      </c>
      <c r="E780">
        <f t="shared" si="25"/>
        <v>2.8109094354687816</v>
      </c>
    </row>
    <row r="781" spans="1:5" x14ac:dyDescent="0.35">
      <c r="A781" t="s">
        <v>812</v>
      </c>
      <c r="B781">
        <f>IF(Final_Payroll!B781="Sales",Earnings!B781*3,
IF(Final_Payroll!B781="IT",Earnings!B781*2,
IF(Final_Payroll!B781="Finance",Earnings!B781*1.5,
IF(Final_Payroll!B781="HR",Earnings!B781*1.2,
Earnings!B781*1.3))))</f>
        <v>565900.4</v>
      </c>
      <c r="C781">
        <f>Earnings!B781 + Deductions!B781 + Deductions!C781 + Overtime!D781</f>
        <v>437108</v>
      </c>
      <c r="D781">
        <f t="shared" si="24"/>
        <v>128792.40000000002</v>
      </c>
      <c r="E781">
        <f t="shared" si="25"/>
        <v>1.2946466319536591</v>
      </c>
    </row>
    <row r="782" spans="1:5" x14ac:dyDescent="0.35">
      <c r="A782" t="s">
        <v>813</v>
      </c>
      <c r="B782">
        <f>IF(Final_Payroll!B782="Sales",Earnings!B782*3,
IF(Final_Payroll!B782="IT",Earnings!B782*2,
IF(Final_Payroll!B782="Finance",Earnings!B782*1.5,
IF(Final_Payroll!B782="HR",Earnings!B782*1.2,
Earnings!B782*1.3))))</f>
        <v>1911108</v>
      </c>
      <c r="C782">
        <f>Earnings!B782 + Deductions!B782 + Deductions!C782 + Overtime!D782</f>
        <v>957354</v>
      </c>
      <c r="D782">
        <f t="shared" si="24"/>
        <v>953754</v>
      </c>
      <c r="E782">
        <f t="shared" si="25"/>
        <v>1.996239635495334</v>
      </c>
    </row>
    <row r="783" spans="1:5" x14ac:dyDescent="0.35">
      <c r="A783" t="s">
        <v>814</v>
      </c>
      <c r="B783">
        <f>IF(Final_Payroll!B783="Sales",Earnings!B783*3,
IF(Final_Payroll!B783="IT",Earnings!B783*2,
IF(Final_Payroll!B783="Finance",Earnings!B783*1.5,
IF(Final_Payroll!B783="HR",Earnings!B783*1.2,
Earnings!B783*1.3))))</f>
        <v>2032977.2</v>
      </c>
      <c r="C783">
        <f>Earnings!B783 + Deductions!B783 + Deductions!C783 + Overtime!D783</f>
        <v>1018288.6</v>
      </c>
      <c r="D783">
        <f t="shared" si="24"/>
        <v>1014688.6</v>
      </c>
      <c r="E783">
        <f t="shared" si="25"/>
        <v>1.996464656483437</v>
      </c>
    </row>
    <row r="784" spans="1:5" x14ac:dyDescent="0.35">
      <c r="A784" t="s">
        <v>815</v>
      </c>
      <c r="B784">
        <f>IF(Final_Payroll!B784="Sales",Earnings!B784*3,
IF(Final_Payroll!B784="IT",Earnings!B784*2,
IF(Final_Payroll!B784="Finance",Earnings!B784*1.5,
IF(Final_Payroll!B784="HR",Earnings!B784*1.2,
Earnings!B784*1.3))))</f>
        <v>923279.5</v>
      </c>
      <c r="C784">
        <f>Earnings!B784 + Deductions!B784 + Deductions!C784 + Overtime!D784</f>
        <v>740423.6</v>
      </c>
      <c r="D784">
        <f t="shared" si="24"/>
        <v>182855.90000000002</v>
      </c>
      <c r="E784">
        <f t="shared" si="25"/>
        <v>1.2469611989677261</v>
      </c>
    </row>
    <row r="785" spans="1:5" x14ac:dyDescent="0.35">
      <c r="A785" t="s">
        <v>816</v>
      </c>
      <c r="B785">
        <f>IF(Final_Payroll!B785="Sales",Earnings!B785*3,
IF(Final_Payroll!B785="IT",Earnings!B785*2,
IF(Final_Payroll!B785="Finance",Earnings!B785*1.5,
IF(Final_Payroll!B785="HR",Earnings!B785*1.2,
Earnings!B785*1.3))))</f>
        <v>1001078.3999999999</v>
      </c>
      <c r="C785">
        <f>Earnings!B785 + Deductions!B785 + Deductions!C785 + Overtime!D785</f>
        <v>836032</v>
      </c>
      <c r="D785">
        <f t="shared" si="24"/>
        <v>165046.39999999991</v>
      </c>
      <c r="E785">
        <f t="shared" si="25"/>
        <v>1.197416366837633</v>
      </c>
    </row>
    <row r="786" spans="1:5" x14ac:dyDescent="0.35">
      <c r="A786" t="s">
        <v>817</v>
      </c>
      <c r="B786">
        <f>IF(Final_Payroll!B786="Sales",Earnings!B786*3,
IF(Final_Payroll!B786="IT",Earnings!B786*2,
IF(Final_Payroll!B786="Finance",Earnings!B786*1.5,
IF(Final_Payroll!B786="HR",Earnings!B786*1.2,
Earnings!B786*1.3))))</f>
        <v>805993.11</v>
      </c>
      <c r="C786">
        <f>Earnings!B786 + Deductions!B786 + Deductions!C786 + Overtime!D786</f>
        <v>646594.4879999999</v>
      </c>
      <c r="D786">
        <f t="shared" si="24"/>
        <v>159398.62200000009</v>
      </c>
      <c r="E786">
        <f t="shared" si="25"/>
        <v>1.2465202301569884</v>
      </c>
    </row>
    <row r="787" spans="1:5" x14ac:dyDescent="0.35">
      <c r="A787" t="s">
        <v>818</v>
      </c>
      <c r="B787">
        <f>IF(Final_Payroll!B787="Sales",Earnings!B787*3,
IF(Final_Payroll!B787="IT",Earnings!B787*2,
IF(Final_Payroll!B787="Finance",Earnings!B787*1.5,
IF(Final_Payroll!B787="HR",Earnings!B787*1.2,
Earnings!B787*1.3))))</f>
        <v>1179964.9799999997</v>
      </c>
      <c r="C787">
        <f>Earnings!B787 + Deductions!B787 + Deductions!C787 + Overtime!D787</f>
        <v>1132599.7725</v>
      </c>
      <c r="D787">
        <f t="shared" si="24"/>
        <v>47365.207499999786</v>
      </c>
      <c r="E787">
        <f t="shared" si="25"/>
        <v>1.0418198984760962</v>
      </c>
    </row>
    <row r="788" spans="1:5" x14ac:dyDescent="0.35">
      <c r="A788" t="s">
        <v>819</v>
      </c>
      <c r="B788">
        <f>IF(Final_Payroll!B788="Sales",Earnings!B788*3,
IF(Final_Payroll!B788="IT",Earnings!B788*2,
IF(Final_Payroll!B788="Finance",Earnings!B788*1.5,
IF(Final_Payroll!B788="HR",Earnings!B788*1.2,
Earnings!B788*1.3))))</f>
        <v>651841.73999999987</v>
      </c>
      <c r="C788">
        <f>Earnings!B788 + Deductions!B788 + Deductions!C788 + Overtime!D788</f>
        <v>610185.62399999995</v>
      </c>
      <c r="D788">
        <f t="shared" si="24"/>
        <v>41656.115999999922</v>
      </c>
      <c r="E788">
        <f t="shared" si="25"/>
        <v>1.0682679407078262</v>
      </c>
    </row>
    <row r="789" spans="1:5" x14ac:dyDescent="0.35">
      <c r="A789" t="s">
        <v>820</v>
      </c>
      <c r="B789">
        <f>IF(Final_Payroll!B789="Sales",Earnings!B789*3,
IF(Final_Payroll!B789="IT",Earnings!B789*2,
IF(Final_Payroll!B789="Finance",Earnings!B789*1.5,
IF(Final_Payroll!B789="HR",Earnings!B789*1.2,
Earnings!B789*1.3))))</f>
        <v>2234922.5</v>
      </c>
      <c r="C789">
        <f>Earnings!B789 + Deductions!B789 + Deductions!C789 + Overtime!D789</f>
        <v>1119261.25</v>
      </c>
      <c r="D789">
        <f t="shared" si="24"/>
        <v>1115661.25</v>
      </c>
      <c r="E789">
        <f t="shared" si="25"/>
        <v>1.9967835927492352</v>
      </c>
    </row>
    <row r="790" spans="1:5" x14ac:dyDescent="0.35">
      <c r="A790" t="s">
        <v>821</v>
      </c>
      <c r="B790">
        <f>IF(Final_Payroll!B790="Sales",Earnings!B790*3,
IF(Final_Payroll!B790="IT",Earnings!B790*2,
IF(Final_Payroll!B790="Finance",Earnings!B790*1.5,
IF(Final_Payroll!B790="HR",Earnings!B790*1.2,
Earnings!B790*1.3))))</f>
        <v>568326.48</v>
      </c>
      <c r="C790">
        <f>Earnings!B790 + Deductions!B790 + Deductions!C790 + Overtime!D790</f>
        <v>499085.67000000004</v>
      </c>
      <c r="D790">
        <f t="shared" si="24"/>
        <v>69240.809999999939</v>
      </c>
      <c r="E790">
        <f t="shared" si="25"/>
        <v>1.1387353197297769</v>
      </c>
    </row>
    <row r="791" spans="1:5" x14ac:dyDescent="0.35">
      <c r="A791" t="s">
        <v>822</v>
      </c>
      <c r="B791">
        <f>IF(Final_Payroll!B791="Sales",Earnings!B791*3,
IF(Final_Payroll!B791="IT",Earnings!B791*2,
IF(Final_Payroll!B791="Finance",Earnings!B791*1.5,
IF(Final_Payroll!B791="HR",Earnings!B791*1.2,
Earnings!B791*1.3))))</f>
        <v>986199.36999999988</v>
      </c>
      <c r="C791">
        <f>Earnings!B791 + Deductions!B791 + Deductions!C791 + Overtime!D791</f>
        <v>786966.42149999994</v>
      </c>
      <c r="D791">
        <f t="shared" si="24"/>
        <v>199232.94849999994</v>
      </c>
      <c r="E791">
        <f t="shared" si="25"/>
        <v>1.2531657553066258</v>
      </c>
    </row>
    <row r="792" spans="1:5" x14ac:dyDescent="0.35">
      <c r="A792" t="s">
        <v>823</v>
      </c>
      <c r="B792">
        <f>IF(Final_Payroll!B792="Sales",Earnings!B792*3,
IF(Final_Payroll!B792="IT",Earnings!B792*2,
IF(Final_Payroll!B792="Finance",Earnings!B792*1.5,
IF(Final_Payroll!B792="HR",Earnings!B792*1.2,
Earnings!B792*1.3))))</f>
        <v>1216843.125</v>
      </c>
      <c r="C792">
        <f>Earnings!B792 + Deductions!B792 + Deductions!C792 + Overtime!D792</f>
        <v>813028.75</v>
      </c>
      <c r="D792">
        <f t="shared" si="24"/>
        <v>403814.375</v>
      </c>
      <c r="E792">
        <f t="shared" si="25"/>
        <v>1.4966790842267264</v>
      </c>
    </row>
    <row r="793" spans="1:5" x14ac:dyDescent="0.35">
      <c r="A793" t="s">
        <v>824</v>
      </c>
      <c r="B793">
        <f>IF(Final_Payroll!B793="Sales",Earnings!B793*3,
IF(Final_Payroll!B793="IT",Earnings!B793*2,
IF(Final_Payroll!B793="Finance",Earnings!B793*1.5,
IF(Final_Payroll!B793="HR",Earnings!B793*1.2,
Earnings!B793*1.3))))</f>
        <v>2897874.3</v>
      </c>
      <c r="C793">
        <f>Earnings!B793 + Deductions!B793 + Deductions!C793 + Overtime!D793</f>
        <v>1566652.122</v>
      </c>
      <c r="D793">
        <f t="shared" si="24"/>
        <v>1331222.1779999998</v>
      </c>
      <c r="E793">
        <f t="shared" si="25"/>
        <v>1.8497241725243709</v>
      </c>
    </row>
    <row r="794" spans="1:5" x14ac:dyDescent="0.35">
      <c r="A794" t="s">
        <v>825</v>
      </c>
      <c r="B794">
        <f>IF(Final_Payroll!B794="Sales",Earnings!B794*3,
IF(Final_Payroll!B794="IT",Earnings!B794*2,
IF(Final_Payroll!B794="Finance",Earnings!B794*1.5,
IF(Final_Payroll!B794="HR",Earnings!B794*1.2,
Earnings!B794*1.3))))</f>
        <v>907745.99500000011</v>
      </c>
      <c r="C794">
        <f>Earnings!B794 + Deductions!B794 + Deductions!C794 + Overtime!D794</f>
        <v>700066.15</v>
      </c>
      <c r="D794">
        <f t="shared" si="24"/>
        <v>207679.84500000009</v>
      </c>
      <c r="E794">
        <f t="shared" si="25"/>
        <v>1.2966574587272932</v>
      </c>
    </row>
    <row r="795" spans="1:5" x14ac:dyDescent="0.35">
      <c r="A795" t="s">
        <v>826</v>
      </c>
      <c r="B795">
        <f>IF(Final_Payroll!B795="Sales",Earnings!B795*3,
IF(Final_Payroll!B795="IT",Earnings!B795*2,
IF(Final_Payroll!B795="Finance",Earnings!B795*1.5,
IF(Final_Payroll!B795="HR",Earnings!B795*1.2,
Earnings!B795*1.3))))</f>
        <v>766920.18</v>
      </c>
      <c r="C795">
        <f>Earnings!B795 + Deductions!B795 + Deductions!C795 + Overtime!D795</f>
        <v>674330.00399999996</v>
      </c>
      <c r="D795">
        <f t="shared" si="24"/>
        <v>92590.176000000094</v>
      </c>
      <c r="E795">
        <f t="shared" si="25"/>
        <v>1.1373069201292727</v>
      </c>
    </row>
    <row r="796" spans="1:5" x14ac:dyDescent="0.35">
      <c r="A796" t="s">
        <v>827</v>
      </c>
      <c r="B796">
        <f>IF(Final_Payroll!B796="Sales",Earnings!B796*3,
IF(Final_Payroll!B796="IT",Earnings!B796*2,
IF(Final_Payroll!B796="Finance",Earnings!B796*1.5,
IF(Final_Payroll!B796="HR",Earnings!B796*1.2,
Earnings!B796*1.3))))</f>
        <v>1004606.7599999999</v>
      </c>
      <c r="C796">
        <f>Earnings!B796 + Deductions!B796 + Deductions!C796 + Overtime!D796</f>
        <v>838972.29999999993</v>
      </c>
      <c r="D796">
        <f t="shared" si="24"/>
        <v>165634.45999999996</v>
      </c>
      <c r="E796">
        <f t="shared" si="25"/>
        <v>1.1974254215544422</v>
      </c>
    </row>
    <row r="797" spans="1:5" x14ac:dyDescent="0.35">
      <c r="A797" t="s">
        <v>828</v>
      </c>
      <c r="B797">
        <f>IF(Final_Payroll!B797="Sales",Earnings!B797*3,
IF(Final_Payroll!B797="IT",Earnings!B797*2,
IF(Final_Payroll!B797="Finance",Earnings!B797*1.5,
IF(Final_Payroll!B797="HR",Earnings!B797*1.2,
Earnings!B797*1.3))))</f>
        <v>622026.18000000005</v>
      </c>
      <c r="C797">
        <f>Earnings!B797 + Deductions!B797 + Deductions!C797 + Overtime!D797</f>
        <v>535705.80449999997</v>
      </c>
      <c r="D797">
        <f t="shared" si="24"/>
        <v>86320.375500000082</v>
      </c>
      <c r="E797">
        <f t="shared" si="25"/>
        <v>1.1611339186077461</v>
      </c>
    </row>
    <row r="798" spans="1:5" x14ac:dyDescent="0.35">
      <c r="A798" t="s">
        <v>829</v>
      </c>
      <c r="B798">
        <f>IF(Final_Payroll!B798="Sales",Earnings!B798*3,
IF(Final_Payroll!B798="IT",Earnings!B798*2,
IF(Final_Payroll!B798="Finance",Earnings!B798*1.5,
IF(Final_Payroll!B798="HR",Earnings!B798*1.2,
Earnings!B798*1.3))))</f>
        <v>1582276.5</v>
      </c>
      <c r="C798">
        <f>Earnings!B798 + Deductions!B798 + Deductions!C798 + Overtime!D798</f>
        <v>1056651</v>
      </c>
      <c r="D798">
        <f t="shared" si="24"/>
        <v>525625.5</v>
      </c>
      <c r="E798">
        <f t="shared" si="25"/>
        <v>1.4974447570673761</v>
      </c>
    </row>
    <row r="799" spans="1:5" x14ac:dyDescent="0.35">
      <c r="A799" t="s">
        <v>830</v>
      </c>
      <c r="B799">
        <f>IF(Final_Payroll!B799="Sales",Earnings!B799*3,
IF(Final_Payroll!B799="IT",Earnings!B799*2,
IF(Final_Payroll!B799="Finance",Earnings!B799*1.5,
IF(Final_Payroll!B799="HR",Earnings!B799*1.2,
Earnings!B799*1.3))))</f>
        <v>2746835.6999999997</v>
      </c>
      <c r="C799">
        <f>Earnings!B799 + Deductions!B799 + Deductions!C799 + Overtime!D799</f>
        <v>972348.61399999994</v>
      </c>
      <c r="D799">
        <f t="shared" si="24"/>
        <v>1774487.0859999997</v>
      </c>
      <c r="E799">
        <f t="shared" si="25"/>
        <v>2.8249494681750016</v>
      </c>
    </row>
    <row r="800" spans="1:5" x14ac:dyDescent="0.35">
      <c r="A800" t="s">
        <v>831</v>
      </c>
      <c r="B800">
        <f>IF(Final_Payroll!B800="Sales",Earnings!B800*3,
IF(Final_Payroll!B800="IT",Earnings!B800*2,
IF(Final_Payroll!B800="Finance",Earnings!B800*1.5,
IF(Final_Payroll!B800="HR",Earnings!B800*1.2,
Earnings!B800*1.3))))</f>
        <v>1484241</v>
      </c>
      <c r="C800">
        <f>Earnings!B800 + Deductions!B800 + Deductions!C800 + Overtime!D800</f>
        <v>1060558.58</v>
      </c>
      <c r="D800">
        <f t="shared" si="24"/>
        <v>423682.41999999993</v>
      </c>
      <c r="E800">
        <f t="shared" si="25"/>
        <v>1.3994898801346738</v>
      </c>
    </row>
    <row r="801" spans="1:5" x14ac:dyDescent="0.35">
      <c r="A801" t="s">
        <v>832</v>
      </c>
      <c r="B801">
        <f>IF(Final_Payroll!B801="Sales",Earnings!B801*3,
IF(Final_Payroll!B801="IT",Earnings!B801*2,
IF(Final_Payroll!B801="Finance",Earnings!B801*1.5,
IF(Final_Payroll!B801="HR",Earnings!B801*1.2,
Earnings!B801*1.3))))</f>
        <v>2322756</v>
      </c>
      <c r="C801">
        <f>Earnings!B801 + Deductions!B801 + Deductions!C801 + Overtime!D801</f>
        <v>1163178</v>
      </c>
      <c r="D801">
        <f t="shared" si="24"/>
        <v>1159578</v>
      </c>
      <c r="E801">
        <f t="shared" si="25"/>
        <v>1.9969050308723171</v>
      </c>
    </row>
    <row r="802" spans="1:5" x14ac:dyDescent="0.35">
      <c r="A802" t="s">
        <v>833</v>
      </c>
      <c r="B802">
        <f>IF(Final_Payroll!B802="Sales",Earnings!B802*3,
IF(Final_Payroll!B802="IT",Earnings!B802*2,
IF(Final_Payroll!B802="Finance",Earnings!B802*1.5,
IF(Final_Payroll!B802="HR",Earnings!B802*1.2,
Earnings!B802*1.3))))</f>
        <v>966795.52499999991</v>
      </c>
      <c r="C802">
        <f>Earnings!B802 + Deductions!B802 + Deductions!C802 + Overtime!D802</f>
        <v>646330.35</v>
      </c>
      <c r="D802">
        <f t="shared" si="24"/>
        <v>320465.17499999993</v>
      </c>
      <c r="E802">
        <f t="shared" si="25"/>
        <v>1.4958225696812781</v>
      </c>
    </row>
    <row r="803" spans="1:5" x14ac:dyDescent="0.35">
      <c r="A803" t="s">
        <v>834</v>
      </c>
      <c r="B803">
        <f>IF(Final_Payroll!B803="Sales",Earnings!B803*3,
IF(Final_Payroll!B803="IT",Earnings!B803*2,
IF(Final_Payroll!B803="Finance",Earnings!B803*1.5,
IF(Final_Payroll!B803="HR",Earnings!B803*1.2,
Earnings!B803*1.3))))</f>
        <v>3087927</v>
      </c>
      <c r="C803">
        <f>Earnings!B803 + Deductions!B803 + Deductions!C803 + Overtime!D803</f>
        <v>1031109</v>
      </c>
      <c r="D803">
        <f t="shared" si="24"/>
        <v>2056818</v>
      </c>
      <c r="E803">
        <f t="shared" si="25"/>
        <v>2.9947629203120134</v>
      </c>
    </row>
    <row r="804" spans="1:5" x14ac:dyDescent="0.35">
      <c r="A804" t="s">
        <v>835</v>
      </c>
      <c r="B804">
        <f>IF(Final_Payroll!B804="Sales",Earnings!B804*3,
IF(Final_Payroll!B804="IT",Earnings!B804*2,
IF(Final_Payroll!B804="Finance",Earnings!B804*1.5,
IF(Final_Payroll!B804="HR",Earnings!B804*1.2,
Earnings!B804*1.3))))</f>
        <v>1643906.5999999999</v>
      </c>
      <c r="C804">
        <f>Earnings!B804 + Deductions!B804 + Deductions!C804 + Overtime!D804</f>
        <v>823753.29999999993</v>
      </c>
      <c r="D804">
        <f t="shared" si="24"/>
        <v>820153.29999999993</v>
      </c>
      <c r="E804">
        <f t="shared" si="25"/>
        <v>1.9956297595408723</v>
      </c>
    </row>
    <row r="805" spans="1:5" x14ac:dyDescent="0.35">
      <c r="A805" t="s">
        <v>836</v>
      </c>
      <c r="B805">
        <f>IF(Final_Payroll!B805="Sales",Earnings!B805*3,
IF(Final_Payroll!B805="IT",Earnings!B805*2,
IF(Final_Payroll!B805="Finance",Earnings!B805*1.5,
IF(Final_Payroll!B805="HR",Earnings!B805*1.2,
Earnings!B805*1.3))))</f>
        <v>1929558.2999999998</v>
      </c>
      <c r="C805">
        <f>Earnings!B805 + Deductions!B805 + Deductions!C805 + Overtime!D805</f>
        <v>644986.1</v>
      </c>
      <c r="D805">
        <f t="shared" si="24"/>
        <v>1284572.1999999997</v>
      </c>
      <c r="E805">
        <f t="shared" si="25"/>
        <v>2.9916277265510063</v>
      </c>
    </row>
    <row r="806" spans="1:5" x14ac:dyDescent="0.35">
      <c r="A806" t="s">
        <v>837</v>
      </c>
      <c r="B806">
        <f>IF(Final_Payroll!B806="Sales",Earnings!B806*3,
IF(Final_Payroll!B806="IT",Earnings!B806*2,
IF(Final_Payroll!B806="Finance",Earnings!B806*1.5,
IF(Final_Payroll!B806="HR",Earnings!B806*1.2,
Earnings!B806*1.3))))</f>
        <v>640510.52</v>
      </c>
      <c r="C806">
        <f>Earnings!B806 + Deductions!B806 + Deductions!C806 + Overtime!D806</f>
        <v>568405.46</v>
      </c>
      <c r="D806">
        <f t="shared" si="24"/>
        <v>72105.060000000056</v>
      </c>
      <c r="E806">
        <f t="shared" si="25"/>
        <v>1.1268549742643219</v>
      </c>
    </row>
    <row r="807" spans="1:5" x14ac:dyDescent="0.35">
      <c r="A807" t="s">
        <v>838</v>
      </c>
      <c r="B807">
        <f>IF(Final_Payroll!B807="Sales",Earnings!B807*3,
IF(Final_Payroll!B807="IT",Earnings!B807*2,
IF(Final_Payroll!B807="Finance",Earnings!B807*1.5,
IF(Final_Payroll!B807="HR",Earnings!B807*1.2,
Earnings!B807*1.3))))</f>
        <v>1217241.9350000001</v>
      </c>
      <c r="C807">
        <f>Earnings!B807 + Deductions!B807 + Deductions!C807 + Overtime!D807</f>
        <v>961548.44874999998</v>
      </c>
      <c r="D807">
        <f t="shared" si="24"/>
        <v>255693.48625000007</v>
      </c>
      <c r="E807">
        <f t="shared" si="25"/>
        <v>1.2659184636846934</v>
      </c>
    </row>
    <row r="808" spans="1:5" x14ac:dyDescent="0.35">
      <c r="A808" t="s">
        <v>839</v>
      </c>
      <c r="B808">
        <f>IF(Final_Payroll!B808="Sales",Earnings!B808*3,
IF(Final_Payroll!B808="IT",Earnings!B808*2,
IF(Final_Payroll!B808="Finance",Earnings!B808*1.5,
IF(Final_Payroll!B808="HR",Earnings!B808*1.2,
Earnings!B808*1.3))))</f>
        <v>803746.64500000002</v>
      </c>
      <c r="C808">
        <f>Earnings!B808 + Deductions!B808 + Deductions!C808 + Overtime!D808</f>
        <v>620066.65</v>
      </c>
      <c r="D808">
        <f t="shared" si="24"/>
        <v>183679.995</v>
      </c>
      <c r="E808">
        <f t="shared" si="25"/>
        <v>1.2962262121338084</v>
      </c>
    </row>
    <row r="809" spans="1:5" x14ac:dyDescent="0.35">
      <c r="A809" t="s">
        <v>840</v>
      </c>
      <c r="B809">
        <f>IF(Final_Payroll!B809="Sales",Earnings!B809*3,
IF(Final_Payroll!B809="IT",Earnings!B809*2,
IF(Final_Payroll!B809="Finance",Earnings!B809*1.5,
IF(Final_Payroll!B809="HR",Earnings!B809*1.2,
Earnings!B809*1.3))))</f>
        <v>686304</v>
      </c>
      <c r="C809">
        <f>Earnings!B809 + Deductions!B809 + Deductions!C809 + Overtime!D809</f>
        <v>633771.6</v>
      </c>
      <c r="D809">
        <f t="shared" si="24"/>
        <v>52532.400000000023</v>
      </c>
      <c r="E809">
        <f t="shared" si="25"/>
        <v>1.08288853587002</v>
      </c>
    </row>
    <row r="810" spans="1:5" x14ac:dyDescent="0.35">
      <c r="A810" t="s">
        <v>841</v>
      </c>
      <c r="B810">
        <f>IF(Final_Payroll!B810="Sales",Earnings!B810*3,
IF(Final_Payroll!B810="IT",Earnings!B810*2,
IF(Final_Payroll!B810="Finance",Earnings!B810*1.5,
IF(Final_Payroll!B810="HR",Earnings!B810*1.2,
Earnings!B810*1.3))))</f>
        <v>2177613</v>
      </c>
      <c r="C810">
        <f>Earnings!B810 + Deductions!B810 + Deductions!C810 + Overtime!D810</f>
        <v>782111.32499999995</v>
      </c>
      <c r="D810">
        <f t="shared" si="24"/>
        <v>1395501.675</v>
      </c>
      <c r="E810">
        <f t="shared" si="25"/>
        <v>2.784274987962871</v>
      </c>
    </row>
    <row r="811" spans="1:5" x14ac:dyDescent="0.35">
      <c r="A811" t="s">
        <v>842</v>
      </c>
      <c r="B811">
        <f>IF(Final_Payroll!B811="Sales",Earnings!B811*3,
IF(Final_Payroll!B811="IT",Earnings!B811*2,
IF(Final_Payroll!B811="Finance",Earnings!B811*1.5,
IF(Final_Payroll!B811="HR",Earnings!B811*1.2,
Earnings!B811*1.3))))</f>
        <v>769200</v>
      </c>
      <c r="C811">
        <f>Earnings!B811 + Deductions!B811 + Deductions!C811 + Overtime!D811</f>
        <v>729335</v>
      </c>
      <c r="D811">
        <f t="shared" si="24"/>
        <v>39865</v>
      </c>
      <c r="E811">
        <f t="shared" si="25"/>
        <v>1.0546593814913585</v>
      </c>
    </row>
    <row r="812" spans="1:5" x14ac:dyDescent="0.35">
      <c r="A812" t="s">
        <v>843</v>
      </c>
      <c r="B812">
        <f>IF(Final_Payroll!B812="Sales",Earnings!B812*3,
IF(Final_Payroll!B812="IT",Earnings!B812*2,
IF(Final_Payroll!B812="Finance",Earnings!B812*1.5,
IF(Final_Payroll!B812="HR",Earnings!B812*1.2,
Earnings!B812*1.3))))</f>
        <v>2485410</v>
      </c>
      <c r="C812">
        <f>Earnings!B812 + Deductions!B812 + Deductions!C812 + Overtime!D812</f>
        <v>904832.3</v>
      </c>
      <c r="D812">
        <f t="shared" si="24"/>
        <v>1580577.7</v>
      </c>
      <c r="E812">
        <f t="shared" si="25"/>
        <v>2.7468183883356065</v>
      </c>
    </row>
    <row r="813" spans="1:5" x14ac:dyDescent="0.35">
      <c r="A813" t="s">
        <v>844</v>
      </c>
      <c r="B813">
        <f>IF(Final_Payroll!B813="Sales",Earnings!B813*3,
IF(Final_Payroll!B813="IT",Earnings!B813*2,
IF(Final_Payroll!B813="Finance",Earnings!B813*1.5,
IF(Final_Payroll!B813="HR",Earnings!B813*1.2,
Earnings!B813*1.3))))</f>
        <v>3619648.1999999997</v>
      </c>
      <c r="C813">
        <f>Earnings!B813 + Deductions!B813 + Deductions!C813 + Overtime!D813</f>
        <v>1208349.3999999999</v>
      </c>
      <c r="D813">
        <f t="shared" si="24"/>
        <v>2411298.7999999998</v>
      </c>
      <c r="E813">
        <f t="shared" si="25"/>
        <v>2.9955310939037996</v>
      </c>
    </row>
    <row r="814" spans="1:5" x14ac:dyDescent="0.35">
      <c r="A814" t="s">
        <v>845</v>
      </c>
      <c r="B814">
        <f>IF(Final_Payroll!B814="Sales",Earnings!B814*3,
IF(Final_Payroll!B814="IT",Earnings!B814*2,
IF(Final_Payroll!B814="Finance",Earnings!B814*1.5,
IF(Final_Payroll!B814="HR",Earnings!B814*1.2,
Earnings!B814*1.3))))</f>
        <v>849539.6</v>
      </c>
      <c r="C814">
        <f>Earnings!B814 + Deductions!B814 + Deductions!C814 + Overtime!D814</f>
        <v>704303.9</v>
      </c>
      <c r="D814">
        <f t="shared" si="24"/>
        <v>145235.69999999995</v>
      </c>
      <c r="E814">
        <f t="shared" si="25"/>
        <v>1.2062116935601237</v>
      </c>
    </row>
    <row r="815" spans="1:5" x14ac:dyDescent="0.35">
      <c r="A815" t="s">
        <v>846</v>
      </c>
      <c r="B815">
        <f>IF(Final_Payroll!B815="Sales",Earnings!B815*3,
IF(Final_Payroll!B815="IT",Earnings!B815*2,
IF(Final_Payroll!B815="Finance",Earnings!B815*1.5,
IF(Final_Payroll!B815="HR",Earnings!B815*1.2,
Earnings!B815*1.3))))</f>
        <v>2243328.1</v>
      </c>
      <c r="C815">
        <f>Earnings!B815 + Deductions!B815 + Deductions!C815 + Overtime!D815</f>
        <v>1123464.05</v>
      </c>
      <c r="D815">
        <f t="shared" si="24"/>
        <v>1119864.05</v>
      </c>
      <c r="E815">
        <f t="shared" si="25"/>
        <v>1.9967956251025567</v>
      </c>
    </row>
    <row r="816" spans="1:5" x14ac:dyDescent="0.35">
      <c r="A816" t="s">
        <v>847</v>
      </c>
      <c r="B816">
        <f>IF(Final_Payroll!B816="Sales",Earnings!B816*3,
IF(Final_Payroll!B816="IT",Earnings!B816*2,
IF(Final_Payroll!B816="Finance",Earnings!B816*1.5,
IF(Final_Payroll!B816="HR",Earnings!B816*1.2,
Earnings!B816*1.3))))</f>
        <v>617045.52</v>
      </c>
      <c r="C816">
        <f>Earnings!B816 + Deductions!B816 + Deductions!C816 + Overtime!D816</f>
        <v>514422.43200000003</v>
      </c>
      <c r="D816">
        <f t="shared" si="24"/>
        <v>102623.08799999999</v>
      </c>
      <c r="E816">
        <f t="shared" si="25"/>
        <v>1.19949186041716</v>
      </c>
    </row>
    <row r="817" spans="1:5" x14ac:dyDescent="0.35">
      <c r="A817" t="s">
        <v>848</v>
      </c>
      <c r="B817">
        <f>IF(Final_Payroll!B817="Sales",Earnings!B817*3,
IF(Final_Payroll!B817="IT",Earnings!B817*2,
IF(Final_Payroll!B817="Finance",Earnings!B817*1.5,
IF(Final_Payroll!B817="HR",Earnings!B817*1.2,
Earnings!B817*1.3))))</f>
        <v>913231.2</v>
      </c>
      <c r="C817">
        <f>Earnings!B817 + Deductions!B817 + Deductions!C817 + Overtime!D817</f>
        <v>827513.21</v>
      </c>
      <c r="D817">
        <f t="shared" si="24"/>
        <v>85717.989999999991</v>
      </c>
      <c r="E817">
        <f t="shared" si="25"/>
        <v>1.1035850412587371</v>
      </c>
    </row>
    <row r="818" spans="1:5" x14ac:dyDescent="0.35">
      <c r="A818" t="s">
        <v>849</v>
      </c>
      <c r="B818">
        <f>IF(Final_Payroll!B818="Sales",Earnings!B818*3,
IF(Final_Payroll!B818="IT",Earnings!B818*2,
IF(Final_Payroll!B818="Finance",Earnings!B818*1.5,
IF(Final_Payroll!B818="HR",Earnings!B818*1.2,
Earnings!B818*1.3))))</f>
        <v>2913462</v>
      </c>
      <c r="C818">
        <f>Earnings!B818 + Deductions!B818 + Deductions!C818 + Overtime!D818</f>
        <v>1611487.7549999999</v>
      </c>
      <c r="D818">
        <f t="shared" si="24"/>
        <v>1301974.2450000001</v>
      </c>
      <c r="E818">
        <f t="shared" si="25"/>
        <v>1.8079330674157064</v>
      </c>
    </row>
    <row r="819" spans="1:5" x14ac:dyDescent="0.35">
      <c r="A819" t="s">
        <v>850</v>
      </c>
      <c r="B819">
        <f>IF(Final_Payroll!B819="Sales",Earnings!B819*3,
IF(Final_Payroll!B819="IT",Earnings!B819*2,
IF(Final_Payroll!B819="Finance",Earnings!B819*1.5,
IF(Final_Payroll!B819="HR",Earnings!B819*1.2,
Earnings!B819*1.3))))</f>
        <v>2171067</v>
      </c>
      <c r="C819">
        <f>Earnings!B819 + Deductions!B819 + Deductions!C819 + Overtime!D819</f>
        <v>725489</v>
      </c>
      <c r="D819">
        <f t="shared" si="24"/>
        <v>1445578</v>
      </c>
      <c r="E819">
        <f t="shared" si="25"/>
        <v>2.9925567444854435</v>
      </c>
    </row>
    <row r="820" spans="1:5" x14ac:dyDescent="0.35">
      <c r="A820" t="s">
        <v>851</v>
      </c>
      <c r="B820">
        <f>IF(Final_Payroll!B820="Sales",Earnings!B820*3,
IF(Final_Payroll!B820="IT",Earnings!B820*2,
IF(Final_Payroll!B820="Finance",Earnings!B820*1.5,
IF(Final_Payroll!B820="HR",Earnings!B820*1.2,
Earnings!B820*1.3))))</f>
        <v>3068613</v>
      </c>
      <c r="C820">
        <f>Earnings!B820 + Deductions!B820 + Deductions!C820 + Overtime!D820</f>
        <v>1167872.94</v>
      </c>
      <c r="D820">
        <f t="shared" si="24"/>
        <v>1900740.06</v>
      </c>
      <c r="E820">
        <f t="shared" si="25"/>
        <v>2.627522990643143</v>
      </c>
    </row>
    <row r="821" spans="1:5" x14ac:dyDescent="0.35">
      <c r="A821" t="s">
        <v>852</v>
      </c>
      <c r="B821">
        <f>IF(Final_Payroll!B821="Sales",Earnings!B821*3,
IF(Final_Payroll!B821="IT",Earnings!B821*2,
IF(Final_Payroll!B821="Finance",Earnings!B821*1.5,
IF(Final_Payroll!B821="HR",Earnings!B821*1.2,
Earnings!B821*1.3))))</f>
        <v>1688547.0999999999</v>
      </c>
      <c r="C821">
        <f>Earnings!B821 + Deductions!B821 + Deductions!C821 + Overtime!D821</f>
        <v>846073.54999999993</v>
      </c>
      <c r="D821">
        <f t="shared" si="24"/>
        <v>842473.54999999993</v>
      </c>
      <c r="E821">
        <f t="shared" si="25"/>
        <v>1.9957450507701133</v>
      </c>
    </row>
    <row r="822" spans="1:5" x14ac:dyDescent="0.35">
      <c r="A822" t="s">
        <v>853</v>
      </c>
      <c r="B822">
        <f>IF(Final_Payroll!B822="Sales",Earnings!B822*3,
IF(Final_Payroll!B822="IT",Earnings!B822*2,
IF(Final_Payroll!B822="Finance",Earnings!B822*1.5,
IF(Final_Payroll!B822="HR",Earnings!B822*1.2,
Earnings!B822*1.3))))</f>
        <v>1380925.5</v>
      </c>
      <c r="C822">
        <f>Earnings!B822 + Deductions!B822 + Deductions!C822 + Overtime!D822</f>
        <v>922417</v>
      </c>
      <c r="D822">
        <f t="shared" si="24"/>
        <v>458508.5</v>
      </c>
      <c r="E822">
        <f t="shared" si="25"/>
        <v>1.4970729073726958</v>
      </c>
    </row>
    <row r="823" spans="1:5" x14ac:dyDescent="0.35">
      <c r="A823" t="s">
        <v>854</v>
      </c>
      <c r="B823">
        <f>IF(Final_Payroll!B823="Sales",Earnings!B823*3,
IF(Final_Payroll!B823="IT",Earnings!B823*2,
IF(Final_Payroll!B823="Finance",Earnings!B823*1.5,
IF(Final_Payroll!B823="HR",Earnings!B823*1.2,
Earnings!B823*1.3))))</f>
        <v>2862561</v>
      </c>
      <c r="C823">
        <f>Earnings!B823 + Deductions!B823 + Deductions!C823 + Overtime!D823</f>
        <v>955987</v>
      </c>
      <c r="D823">
        <f t="shared" si="24"/>
        <v>1906574</v>
      </c>
      <c r="E823">
        <f t="shared" si="25"/>
        <v>2.994351387623472</v>
      </c>
    </row>
    <row r="824" spans="1:5" x14ac:dyDescent="0.35">
      <c r="A824" t="s">
        <v>855</v>
      </c>
      <c r="B824">
        <f>IF(Final_Payroll!B824="Sales",Earnings!B824*3,
IF(Final_Payroll!B824="IT",Earnings!B824*2,
IF(Final_Payroll!B824="Finance",Earnings!B824*1.5,
IF(Final_Payroll!B824="HR",Earnings!B824*1.2,
Earnings!B824*1.3))))</f>
        <v>909155.7</v>
      </c>
      <c r="C824">
        <f>Earnings!B824 + Deductions!B824 + Deductions!C824 + Overtime!D824</f>
        <v>782158.64249999996</v>
      </c>
      <c r="D824">
        <f t="shared" si="24"/>
        <v>126997.0575</v>
      </c>
      <c r="E824">
        <f t="shared" si="25"/>
        <v>1.1623673901934799</v>
      </c>
    </row>
    <row r="825" spans="1:5" x14ac:dyDescent="0.35">
      <c r="A825" t="s">
        <v>856</v>
      </c>
      <c r="B825">
        <f>IF(Final_Payroll!B825="Sales",Earnings!B825*3,
IF(Final_Payroll!B825="IT",Earnings!B825*2,
IF(Final_Payroll!B825="Finance",Earnings!B825*1.5,
IF(Final_Payroll!B825="HR",Earnings!B825*1.2,
Earnings!B825*1.3))))</f>
        <v>1642960.4</v>
      </c>
      <c r="C825">
        <f>Earnings!B825 + Deductions!B825 + Deductions!C825 + Overtime!D825</f>
        <v>823280.2</v>
      </c>
      <c r="D825">
        <f t="shared" si="24"/>
        <v>819680.2</v>
      </c>
      <c r="E825">
        <f t="shared" si="25"/>
        <v>1.9956272481714001</v>
      </c>
    </row>
    <row r="826" spans="1:5" x14ac:dyDescent="0.35">
      <c r="A826" t="s">
        <v>857</v>
      </c>
      <c r="B826">
        <f>IF(Final_Payroll!B826="Sales",Earnings!B826*3,
IF(Final_Payroll!B826="IT",Earnings!B826*2,
IF(Final_Payroll!B826="Finance",Earnings!B826*1.5,
IF(Final_Payroll!B826="HR",Earnings!B826*1.2,
Earnings!B826*1.3))))</f>
        <v>2866739</v>
      </c>
      <c r="C826">
        <f>Earnings!B826 + Deductions!B826 + Deductions!C826 + Overtime!D826</f>
        <v>1549839.06</v>
      </c>
      <c r="D826">
        <f t="shared" si="24"/>
        <v>1316899.94</v>
      </c>
      <c r="E826">
        <f t="shared" si="25"/>
        <v>1.849701090899077</v>
      </c>
    </row>
    <row r="827" spans="1:5" x14ac:dyDescent="0.35">
      <c r="A827" t="s">
        <v>858</v>
      </c>
      <c r="B827">
        <f>IF(Final_Payroll!B827="Sales",Earnings!B827*3,
IF(Final_Payroll!B827="IT",Earnings!B827*2,
IF(Final_Payroll!B827="Finance",Earnings!B827*1.5,
IF(Final_Payroll!B827="HR",Earnings!B827*1.2,
Earnings!B827*1.3))))</f>
        <v>2738311.3499999996</v>
      </c>
      <c r="C827">
        <f>Earnings!B827 + Deductions!B827 + Deductions!C827 + Overtime!D827</f>
        <v>914570.45</v>
      </c>
      <c r="D827">
        <f t="shared" si="24"/>
        <v>1823740.8999999997</v>
      </c>
      <c r="E827">
        <f t="shared" si="25"/>
        <v>2.994095588808932</v>
      </c>
    </row>
    <row r="828" spans="1:5" x14ac:dyDescent="0.35">
      <c r="A828" t="s">
        <v>859</v>
      </c>
      <c r="B828">
        <f>IF(Final_Payroll!B828="Sales",Earnings!B828*3,
IF(Final_Payroll!B828="IT",Earnings!B828*2,
IF(Final_Payroll!B828="Finance",Earnings!B828*1.5,
IF(Final_Payroll!B828="HR",Earnings!B828*1.2,
Earnings!B828*1.3))))</f>
        <v>3830910</v>
      </c>
      <c r="C828">
        <f>Earnings!B828 + Deductions!B828 + Deductions!C828 + Overtime!D828</f>
        <v>1438391.25</v>
      </c>
      <c r="D828">
        <f t="shared" si="24"/>
        <v>2392518.75</v>
      </c>
      <c r="E828">
        <f t="shared" si="25"/>
        <v>2.6633296052099871</v>
      </c>
    </row>
    <row r="829" spans="1:5" x14ac:dyDescent="0.35">
      <c r="A829" t="s">
        <v>860</v>
      </c>
      <c r="B829">
        <f>IF(Final_Payroll!B829="Sales",Earnings!B829*3,
IF(Final_Payroll!B829="IT",Earnings!B829*2,
IF(Final_Payroll!B829="Finance",Earnings!B829*1.5,
IF(Final_Payroll!B829="HR",Earnings!B829*1.2,
Earnings!B829*1.3))))</f>
        <v>1732902.5999999999</v>
      </c>
      <c r="C829">
        <f>Earnings!B829 + Deductions!B829 + Deductions!C829 + Overtime!D829</f>
        <v>868251.29999999993</v>
      </c>
      <c r="D829">
        <f t="shared" si="24"/>
        <v>864651.29999999993</v>
      </c>
      <c r="E829">
        <f t="shared" si="25"/>
        <v>1.9958537349728125</v>
      </c>
    </row>
    <row r="830" spans="1:5" x14ac:dyDescent="0.35">
      <c r="A830" t="s">
        <v>861</v>
      </c>
      <c r="B830">
        <f>IF(Final_Payroll!B830="Sales",Earnings!B830*3,
IF(Final_Payroll!B830="IT",Earnings!B830*2,
IF(Final_Payroll!B830="Finance",Earnings!B830*1.5,
IF(Final_Payroll!B830="HR",Earnings!B830*1.2,
Earnings!B830*1.3))))</f>
        <v>2848520.8499999996</v>
      </c>
      <c r="C830">
        <f>Earnings!B830 + Deductions!B830 + Deductions!C830 + Overtime!D830</f>
        <v>951306.95</v>
      </c>
      <c r="D830">
        <f t="shared" si="24"/>
        <v>1897213.8999999997</v>
      </c>
      <c r="E830">
        <f t="shared" si="25"/>
        <v>2.9943235987080716</v>
      </c>
    </row>
    <row r="831" spans="1:5" x14ac:dyDescent="0.35">
      <c r="A831" t="s">
        <v>862</v>
      </c>
      <c r="B831">
        <f>IF(Final_Payroll!B831="Sales",Earnings!B831*3,
IF(Final_Payroll!B831="IT",Earnings!B831*2,
IF(Final_Payroll!B831="Finance",Earnings!B831*1.5,
IF(Final_Payroll!B831="HR",Earnings!B831*1.2,
Earnings!B831*1.3))))</f>
        <v>778696.38</v>
      </c>
      <c r="C831">
        <f>Earnings!B831 + Deductions!B831 + Deductions!C831 + Overtime!D831</f>
        <v>715605.01500000001</v>
      </c>
      <c r="D831">
        <f t="shared" si="24"/>
        <v>63091.364999999991</v>
      </c>
      <c r="E831">
        <f t="shared" si="25"/>
        <v>1.0881650682674435</v>
      </c>
    </row>
    <row r="832" spans="1:5" x14ac:dyDescent="0.35">
      <c r="A832" t="s">
        <v>863</v>
      </c>
      <c r="B832">
        <f>IF(Final_Payroll!B832="Sales",Earnings!B832*3,
IF(Final_Payroll!B832="IT",Earnings!B832*2,
IF(Final_Payroll!B832="Finance",Earnings!B832*1.5,
IF(Final_Payroll!B832="HR",Earnings!B832*1.2,
Earnings!B832*1.3))))</f>
        <v>1166819.9249999998</v>
      </c>
      <c r="C832">
        <f>Earnings!B832 + Deductions!B832 + Deductions!C832 + Overtime!D832</f>
        <v>803016.34849999996</v>
      </c>
      <c r="D832">
        <f t="shared" si="24"/>
        <v>363803.57649999985</v>
      </c>
      <c r="E832">
        <f t="shared" si="25"/>
        <v>1.4530462887580924</v>
      </c>
    </row>
    <row r="833" spans="1:5" x14ac:dyDescent="0.35">
      <c r="A833" t="s">
        <v>864</v>
      </c>
      <c r="B833">
        <f>IF(Final_Payroll!B833="Sales",Earnings!B833*3,
IF(Final_Payroll!B833="IT",Earnings!B833*2,
IF(Final_Payroll!B833="Finance",Earnings!B833*1.5,
IF(Final_Payroll!B833="HR",Earnings!B833*1.2,
Earnings!B833*1.3))))</f>
        <v>1080189.8999999999</v>
      </c>
      <c r="C833">
        <f>Earnings!B833 + Deductions!B833 + Deductions!C833 + Overtime!D833</f>
        <v>721926.6</v>
      </c>
      <c r="D833">
        <f t="shared" si="24"/>
        <v>358263.29999999993</v>
      </c>
      <c r="E833">
        <f t="shared" si="25"/>
        <v>1.4962600075963401</v>
      </c>
    </row>
    <row r="834" spans="1:5" x14ac:dyDescent="0.35">
      <c r="A834" t="s">
        <v>865</v>
      </c>
      <c r="B834">
        <f>IF(Final_Payroll!B834="Sales",Earnings!B834*3,
IF(Final_Payroll!B834="IT",Earnings!B834*2,
IF(Final_Payroll!B834="Finance",Earnings!B834*1.5,
IF(Final_Payroll!B834="HR",Earnings!B834*1.2,
Earnings!B834*1.3))))</f>
        <v>1691266.5</v>
      </c>
      <c r="C834">
        <f>Earnings!B834 + Deductions!B834 + Deductions!C834 + Overtime!D834</f>
        <v>1163136.33</v>
      </c>
      <c r="D834">
        <f t="shared" ref="D834:D897" si="26">B834-C834</f>
        <v>528130.16999999993</v>
      </c>
      <c r="E834">
        <f t="shared" ref="E834:E901" si="27">IF(C834=0,0,B834/C834)</f>
        <v>1.4540569805776764</v>
      </c>
    </row>
    <row r="835" spans="1:5" x14ac:dyDescent="0.35">
      <c r="A835" t="s">
        <v>866</v>
      </c>
      <c r="B835">
        <f>IF(Final_Payroll!B835="Sales",Earnings!B835*3,
IF(Final_Payroll!B835="IT",Earnings!B835*2,
IF(Final_Payroll!B835="Finance",Earnings!B835*1.5,
IF(Final_Payroll!B835="HR",Earnings!B835*1.2,
Earnings!B835*1.3))))</f>
        <v>935281.55500000005</v>
      </c>
      <c r="C835">
        <f>Earnings!B835 + Deductions!B835 + Deductions!C835 + Overtime!D835</f>
        <v>721247.35</v>
      </c>
      <c r="D835">
        <f t="shared" si="26"/>
        <v>214034.20500000007</v>
      </c>
      <c r="E835">
        <f t="shared" si="27"/>
        <v>1.2967556206618993</v>
      </c>
    </row>
    <row r="836" spans="1:5" x14ac:dyDescent="0.35">
      <c r="A836" t="s">
        <v>867</v>
      </c>
      <c r="B836">
        <f>IF(Final_Payroll!B836="Sales",Earnings!B836*3,
IF(Final_Payroll!B836="IT",Earnings!B836*2,
IF(Final_Payroll!B836="Finance",Earnings!B836*1.5,
IF(Final_Payroll!B836="HR",Earnings!B836*1.2,
Earnings!B836*1.3))))</f>
        <v>1877361</v>
      </c>
      <c r="C836">
        <f>Earnings!B836 + Deductions!B836 + Deductions!C836 + Overtime!D836</f>
        <v>1253374</v>
      </c>
      <c r="D836">
        <f t="shared" si="26"/>
        <v>623987</v>
      </c>
      <c r="E836">
        <f t="shared" si="27"/>
        <v>1.497845814577293</v>
      </c>
    </row>
    <row r="837" spans="1:5" x14ac:dyDescent="0.35">
      <c r="A837" t="s">
        <v>868</v>
      </c>
      <c r="B837">
        <f>IF(Final_Payroll!B837="Sales",Earnings!B837*3,
IF(Final_Payroll!B837="IT",Earnings!B837*2,
IF(Final_Payroll!B837="Finance",Earnings!B837*1.5,
IF(Final_Payroll!B837="HR",Earnings!B837*1.2,
Earnings!B837*1.3))))</f>
        <v>942056.7649999999</v>
      </c>
      <c r="C837">
        <f>Earnings!B837 + Deductions!B837 + Deductions!C837 + Overtime!D837</f>
        <v>798924.95499999996</v>
      </c>
      <c r="D837">
        <f t="shared" si="26"/>
        <v>143131.80999999994</v>
      </c>
      <c r="E837">
        <f t="shared" si="27"/>
        <v>1.1791555127978195</v>
      </c>
    </row>
    <row r="838" spans="1:5" x14ac:dyDescent="0.35">
      <c r="A838" t="s">
        <v>869</v>
      </c>
      <c r="B838">
        <f>IF(Final_Payroll!B838="Sales",Earnings!B838*3,
IF(Final_Payroll!B838="IT",Earnings!B838*2,
IF(Final_Payroll!B838="Finance",Earnings!B838*1.5,
IF(Final_Payroll!B838="HR",Earnings!B838*1.2,
Earnings!B838*1.3))))</f>
        <v>1920327</v>
      </c>
      <c r="C838">
        <f>Earnings!B838 + Deductions!B838 + Deductions!C838 + Overtime!D838</f>
        <v>641909</v>
      </c>
      <c r="D838">
        <f t="shared" si="26"/>
        <v>1278418</v>
      </c>
      <c r="E838">
        <f t="shared" si="27"/>
        <v>2.9915875926338469</v>
      </c>
    </row>
    <row r="839" spans="1:5" x14ac:dyDescent="0.35">
      <c r="A839" t="s">
        <v>870</v>
      </c>
      <c r="B839">
        <f>IF(Final_Payroll!B839="Sales",Earnings!B839*3,
IF(Final_Payroll!B839="IT",Earnings!B839*2,
IF(Final_Payroll!B839="Finance",Earnings!B839*1.5,
IF(Final_Payroll!B839="HR",Earnings!B839*1.2,
Earnings!B839*1.3))))</f>
        <v>1352181</v>
      </c>
      <c r="C839">
        <f>Earnings!B839 + Deductions!B839 + Deductions!C839 + Overtime!D839</f>
        <v>943819.42999999993</v>
      </c>
      <c r="D839">
        <f t="shared" si="26"/>
        <v>408361.57000000007</v>
      </c>
      <c r="E839">
        <f t="shared" si="27"/>
        <v>1.4326691706272672</v>
      </c>
    </row>
    <row r="840" spans="1:5" x14ac:dyDescent="0.35">
      <c r="A840" t="s">
        <v>871</v>
      </c>
      <c r="B840">
        <f>IF(Final_Payroll!B840="Sales",Earnings!B840*3,
IF(Final_Payroll!B840="IT",Earnings!B840*2,
IF(Final_Payroll!B840="Finance",Earnings!B840*1.5,
IF(Final_Payroll!B840="HR",Earnings!B840*1.2,
Earnings!B840*1.3))))</f>
        <v>2171234</v>
      </c>
      <c r="C840">
        <f>Earnings!B840 + Deductions!B840 + Deductions!C840 + Overtime!D840</f>
        <v>1244831.4650000001</v>
      </c>
      <c r="D840">
        <f t="shared" si="26"/>
        <v>926402.53499999992</v>
      </c>
      <c r="E840">
        <f t="shared" si="27"/>
        <v>1.7441991635389775</v>
      </c>
    </row>
    <row r="841" spans="1:5" x14ac:dyDescent="0.35">
      <c r="A841" t="s">
        <v>872</v>
      </c>
      <c r="B841">
        <f>IF(Final_Payroll!B841="Sales",Earnings!B841*3,
IF(Final_Payroll!B841="IT",Earnings!B841*2,
IF(Final_Payroll!B841="Finance",Earnings!B841*1.5,
IF(Final_Payroll!B841="HR",Earnings!B841*1.2,
Earnings!B841*1.3))))</f>
        <v>966776.20000000007</v>
      </c>
      <c r="C841">
        <f>Earnings!B841 + Deductions!B841 + Deductions!C841 + Overtime!D841</f>
        <v>771502.59</v>
      </c>
      <c r="D841">
        <f t="shared" si="26"/>
        <v>195273.6100000001</v>
      </c>
      <c r="E841">
        <f t="shared" si="27"/>
        <v>1.253108171678335</v>
      </c>
    </row>
    <row r="842" spans="1:5" x14ac:dyDescent="0.35">
      <c r="A842" t="s">
        <v>873</v>
      </c>
      <c r="B842">
        <f>IF(Final_Payroll!B842="Sales",Earnings!B842*3,
IF(Final_Payroll!B842="IT",Earnings!B842*2,
IF(Final_Payroll!B842="Finance",Earnings!B842*1.5,
IF(Final_Payroll!B842="HR",Earnings!B842*1.2,
Earnings!B842*1.3))))</f>
        <v>1985509.5</v>
      </c>
      <c r="C842">
        <f>Earnings!B842 + Deductions!B842 + Deductions!C842 + Overtime!D842</f>
        <v>1029301.16625</v>
      </c>
      <c r="D842">
        <f t="shared" si="26"/>
        <v>956208.33374999999</v>
      </c>
      <c r="E842">
        <f t="shared" si="27"/>
        <v>1.9289879047098573</v>
      </c>
    </row>
    <row r="843" spans="1:5" x14ac:dyDescent="0.35">
      <c r="A843" t="s">
        <v>874</v>
      </c>
      <c r="B843">
        <f>IF(Final_Payroll!B843="Sales",Earnings!B843*3,
IF(Final_Payroll!B843="IT",Earnings!B843*2,
IF(Final_Payroll!B843="Finance",Earnings!B843*1.5,
IF(Final_Payroll!B843="HR",Earnings!B843*1.2,
Earnings!B843*1.3))))</f>
        <v>1583859</v>
      </c>
      <c r="C843">
        <f>Earnings!B843 + Deductions!B843 + Deductions!C843 + Overtime!D843</f>
        <v>1057706</v>
      </c>
      <c r="D843">
        <f t="shared" si="26"/>
        <v>526153</v>
      </c>
      <c r="E843">
        <f t="shared" si="27"/>
        <v>1.4974473057730597</v>
      </c>
    </row>
    <row r="844" spans="1:5" x14ac:dyDescent="0.35">
      <c r="A844" t="s">
        <v>875</v>
      </c>
      <c r="B844">
        <f>IF(Final_Payroll!B844="Sales",Earnings!B844*3,
IF(Final_Payroll!B844="IT",Earnings!B844*2,
IF(Final_Payroll!B844="Finance",Earnings!B844*1.5,
IF(Final_Payroll!B844="HR",Earnings!B844*1.2,
Earnings!B844*1.3))))</f>
        <v>2022708</v>
      </c>
      <c r="C844">
        <f>Earnings!B844 + Deductions!B844 + Deductions!C844 + Overtime!D844</f>
        <v>767057.86</v>
      </c>
      <c r="D844">
        <f t="shared" si="26"/>
        <v>1255650.1400000001</v>
      </c>
      <c r="E844">
        <f t="shared" si="27"/>
        <v>2.6369692633095503</v>
      </c>
    </row>
    <row r="845" spans="1:5" x14ac:dyDescent="0.35">
      <c r="A845" t="s">
        <v>876</v>
      </c>
      <c r="B845">
        <f>IF(Final_Payroll!B845="Sales",Earnings!B845*3,
IF(Final_Payroll!B845="IT",Earnings!B845*2,
IF(Final_Payroll!B845="Finance",Earnings!B845*1.5,
IF(Final_Payroll!B845="HR",Earnings!B845*1.2,
Earnings!B845*1.3))))</f>
        <v>652370.22499999998</v>
      </c>
      <c r="C845">
        <f>Earnings!B845 + Deductions!B845 + Deductions!C845 + Overtime!D845</f>
        <v>503623.25</v>
      </c>
      <c r="D845">
        <f t="shared" si="26"/>
        <v>148746.97499999998</v>
      </c>
      <c r="E845">
        <f t="shared" si="27"/>
        <v>1.2953536696330044</v>
      </c>
    </row>
    <row r="846" spans="1:5" x14ac:dyDescent="0.35">
      <c r="A846" t="s">
        <v>877</v>
      </c>
      <c r="B846">
        <f>IF(Final_Payroll!B846="Sales",Earnings!B846*3,
IF(Final_Payroll!B846="IT",Earnings!B846*2,
IF(Final_Payroll!B846="Finance",Earnings!B846*1.5,
IF(Final_Payroll!B846="HR",Earnings!B846*1.2,
Earnings!B846*1.3))))</f>
        <v>797582.76</v>
      </c>
      <c r="C846">
        <f>Earnings!B846 + Deductions!B846 + Deductions!C846 + Overtime!D846</f>
        <v>615325.19999999995</v>
      </c>
      <c r="D846">
        <f t="shared" si="26"/>
        <v>182257.56000000006</v>
      </c>
      <c r="E846">
        <f t="shared" si="27"/>
        <v>1.2961971328331752</v>
      </c>
    </row>
    <row r="847" spans="1:5" x14ac:dyDescent="0.35">
      <c r="A847" t="s">
        <v>878</v>
      </c>
      <c r="B847">
        <f>IF(Final_Payroll!B847="Sales",Earnings!B847*3,
IF(Final_Payroll!B847="IT",Earnings!B847*2,
IF(Final_Payroll!B847="Finance",Earnings!B847*1.5,
IF(Final_Payroll!B847="HR",Earnings!B847*1.2,
Earnings!B847*1.3))))</f>
        <v>2787777</v>
      </c>
      <c r="C847">
        <f>Earnings!B847 + Deductions!B847 + Deductions!C847 + Overtime!D847</f>
        <v>931059</v>
      </c>
      <c r="D847">
        <f t="shared" si="26"/>
        <v>1856718</v>
      </c>
      <c r="E847">
        <f t="shared" si="27"/>
        <v>2.9942001527293116</v>
      </c>
    </row>
    <row r="848" spans="1:5" x14ac:dyDescent="0.35">
      <c r="A848" t="s">
        <v>879</v>
      </c>
      <c r="B848">
        <f>IF(Final_Payroll!B848="Sales",Earnings!B848*3,
IF(Final_Payroll!B848="IT",Earnings!B848*2,
IF(Final_Payroll!B848="Finance",Earnings!B848*1.5,
IF(Final_Payroll!B848="HR",Earnings!B848*1.2,
Earnings!B848*1.3))))</f>
        <v>1105071.825</v>
      </c>
      <c r="C848">
        <f>Earnings!B848 + Deductions!B848 + Deductions!C848 + Overtime!D848</f>
        <v>775350.27749999997</v>
      </c>
      <c r="D848">
        <f t="shared" si="26"/>
        <v>329721.54749999999</v>
      </c>
      <c r="E848">
        <f t="shared" si="27"/>
        <v>1.4252549551708904</v>
      </c>
    </row>
    <row r="849" spans="1:5" x14ac:dyDescent="0.35">
      <c r="A849" t="s">
        <v>880</v>
      </c>
      <c r="B849">
        <f>IF(Final_Payroll!B849="Sales",Earnings!B849*3,
IF(Final_Payroll!B849="IT",Earnings!B849*2,
IF(Final_Payroll!B849="Finance",Earnings!B849*1.5,
IF(Final_Payroll!B849="HR",Earnings!B849*1.2,
Earnings!B849*1.3))))</f>
        <v>680690.01</v>
      </c>
      <c r="C849">
        <f>Earnings!B849 + Deductions!B849 + Deductions!C849 + Overtime!D849</f>
        <v>585622.58549999993</v>
      </c>
      <c r="D849">
        <f t="shared" si="26"/>
        <v>95067.424500000081</v>
      </c>
      <c r="E849">
        <f t="shared" si="27"/>
        <v>1.1623356524387327</v>
      </c>
    </row>
    <row r="850" spans="1:5" x14ac:dyDescent="0.35">
      <c r="A850" t="s">
        <v>881</v>
      </c>
      <c r="B850">
        <f>IF(Final_Payroll!B850="Sales",Earnings!B850*3,
IF(Final_Payroll!B850="IT",Earnings!B850*2,
IF(Final_Payroll!B850="Finance",Earnings!B850*1.5,
IF(Final_Payroll!B850="HR",Earnings!B850*1.2,
Earnings!B850*1.3))))</f>
        <v>1135382.43</v>
      </c>
      <c r="C850">
        <f>Earnings!B850 + Deductions!B850 + Deductions!C850 + Overtime!D850</f>
        <v>875171.1</v>
      </c>
      <c r="D850">
        <f t="shared" si="26"/>
        <v>260211.32999999996</v>
      </c>
      <c r="E850">
        <f t="shared" si="27"/>
        <v>1.2973262371209469</v>
      </c>
    </row>
    <row r="851" spans="1:5" x14ac:dyDescent="0.35">
      <c r="A851" t="s">
        <v>882</v>
      </c>
      <c r="B851">
        <f>IF(Final_Payroll!B851="Sales",Earnings!B851*3,
IF(Final_Payroll!B851="IT",Earnings!B851*2,
IF(Final_Payroll!B851="Finance",Earnings!B851*1.5,
IF(Final_Payroll!B851="HR",Earnings!B851*1.2,
Earnings!B851*1.3))))</f>
        <v>2270412.6</v>
      </c>
      <c r="C851">
        <f>Earnings!B851 + Deductions!B851 + Deductions!C851 + Overtime!D851</f>
        <v>1137006.3</v>
      </c>
      <c r="D851">
        <f t="shared" si="26"/>
        <v>1133406.3</v>
      </c>
      <c r="E851">
        <f t="shared" si="27"/>
        <v>1.9968337906307116</v>
      </c>
    </row>
    <row r="852" spans="1:5" x14ac:dyDescent="0.35">
      <c r="A852" t="s">
        <v>883</v>
      </c>
      <c r="B852">
        <f>IF(Final_Payroll!B852="Sales",Earnings!B852*3,
IF(Final_Payroll!B852="IT",Earnings!B852*2,
IF(Final_Payroll!B852="Finance",Earnings!B852*1.5,
IF(Final_Payroll!B852="HR",Earnings!B852*1.2,
Earnings!B852*1.3))))</f>
        <v>1977978</v>
      </c>
      <c r="C852">
        <f>Earnings!B852 + Deductions!B852 + Deductions!C852 + Overtime!D852</f>
        <v>740245.12</v>
      </c>
      <c r="D852">
        <f t="shared" si="26"/>
        <v>1237732.8799999999</v>
      </c>
      <c r="E852">
        <f t="shared" si="27"/>
        <v>2.6720581420381402</v>
      </c>
    </row>
    <row r="853" spans="1:5" x14ac:dyDescent="0.35">
      <c r="A853" t="s">
        <v>884</v>
      </c>
      <c r="B853">
        <f>IF(Final_Payroll!B853="Sales",Earnings!B853*3,
IF(Final_Payroll!B853="IT",Earnings!B853*2,
IF(Final_Payroll!B853="Finance",Earnings!B853*1.5,
IF(Final_Payroll!B853="HR",Earnings!B853*1.2,
Earnings!B853*1.3))))</f>
        <v>1746347.4749999999</v>
      </c>
      <c r="C853">
        <f>Earnings!B853 + Deductions!B853 + Deductions!C853 + Overtime!D853</f>
        <v>1166031.6499999999</v>
      </c>
      <c r="D853">
        <f t="shared" si="26"/>
        <v>580315.82499999995</v>
      </c>
      <c r="E853">
        <f t="shared" si="27"/>
        <v>1.4976844539339906</v>
      </c>
    </row>
    <row r="854" spans="1:5" x14ac:dyDescent="0.35">
      <c r="A854" t="s">
        <v>885</v>
      </c>
      <c r="B854">
        <f>IF(Final_Payroll!B854="Sales",Earnings!B854*3,
IF(Final_Payroll!B854="IT",Earnings!B854*2,
IF(Final_Payroll!B854="Finance",Earnings!B854*1.5,
IF(Final_Payroll!B854="HR",Earnings!B854*1.2,
Earnings!B854*1.3))))</f>
        <v>1102027.2</v>
      </c>
      <c r="C854">
        <f>Earnings!B854 + Deductions!B854 + Deductions!C854 + Overtime!D854</f>
        <v>1021175.16</v>
      </c>
      <c r="D854">
        <f t="shared" si="26"/>
        <v>80852.039999999921</v>
      </c>
      <c r="E854">
        <f t="shared" si="27"/>
        <v>1.0791754864072487</v>
      </c>
    </row>
    <row r="855" spans="1:5" x14ac:dyDescent="0.35">
      <c r="A855" t="s">
        <v>886</v>
      </c>
      <c r="B855">
        <f>IF(Final_Payroll!B855="Sales",Earnings!B855*3,
IF(Final_Payroll!B855="IT",Earnings!B855*2,
IF(Final_Payroll!B855="Finance",Earnings!B855*1.5,
IF(Final_Payroll!B855="HR",Earnings!B855*1.2,
Earnings!B855*1.3))))</f>
        <v>1729132.0499999998</v>
      </c>
      <c r="C855">
        <f>Earnings!B855 + Deductions!B855 + Deductions!C855 + Overtime!D855</f>
        <v>1154554.7</v>
      </c>
      <c r="D855">
        <f t="shared" si="26"/>
        <v>574577.34999999986</v>
      </c>
      <c r="E855">
        <f t="shared" si="27"/>
        <v>1.49766143604976</v>
      </c>
    </row>
    <row r="856" spans="1:5" x14ac:dyDescent="0.35">
      <c r="A856" t="s">
        <v>887</v>
      </c>
      <c r="B856">
        <f>IF(Final_Payroll!B856="Sales",Earnings!B856*3,
IF(Final_Payroll!B856="IT",Earnings!B856*2,
IF(Final_Payroll!B856="Finance",Earnings!B856*1.5,
IF(Final_Payroll!B856="HR",Earnings!B856*1.2,
Earnings!B856*1.3))))</f>
        <v>2081119.4</v>
      </c>
      <c r="C856">
        <f>Earnings!B856 + Deductions!B856 + Deductions!C856 + Overtime!D856</f>
        <v>1042359.7</v>
      </c>
      <c r="D856">
        <f t="shared" si="26"/>
        <v>1038759.7</v>
      </c>
      <c r="E856">
        <f t="shared" si="27"/>
        <v>1.996546297789525</v>
      </c>
    </row>
    <row r="857" spans="1:5" x14ac:dyDescent="0.35">
      <c r="A857" t="s">
        <v>888</v>
      </c>
      <c r="B857">
        <f>IF(Final_Payroll!B857="Sales",Earnings!B857*3,
IF(Final_Payroll!B857="IT",Earnings!B857*2,
IF(Final_Payroll!B857="Finance",Earnings!B857*1.5,
IF(Final_Payroll!B857="HR",Earnings!B857*1.2,
Earnings!B857*1.3))))</f>
        <v>1922989.0499999998</v>
      </c>
      <c r="C857">
        <f>Earnings!B857 + Deductions!B857 + Deductions!C857 + Overtime!D857</f>
        <v>1456861.7145</v>
      </c>
      <c r="D857">
        <f t="shared" si="26"/>
        <v>466127.33549999981</v>
      </c>
      <c r="E857">
        <f t="shared" si="27"/>
        <v>1.3199530407455153</v>
      </c>
    </row>
    <row r="858" spans="1:5" x14ac:dyDescent="0.35">
      <c r="A858" t="s">
        <v>889</v>
      </c>
      <c r="B858">
        <f>IF(Final_Payroll!B858="Sales",Earnings!B858*3,
IF(Final_Payroll!B858="IT",Earnings!B858*2,
IF(Final_Payroll!B858="Finance",Earnings!B858*1.5,
IF(Final_Payroll!B858="HR",Earnings!B858*1.2,
Earnings!B858*1.3))))</f>
        <v>1146895.5</v>
      </c>
      <c r="C858">
        <f>Earnings!B858 + Deductions!B858 + Deductions!C858 + Overtime!D858</f>
        <v>846679.68500000006</v>
      </c>
      <c r="D858">
        <f t="shared" si="26"/>
        <v>300215.81499999994</v>
      </c>
      <c r="E858">
        <f t="shared" si="27"/>
        <v>1.354580156248818</v>
      </c>
    </row>
    <row r="859" spans="1:5" x14ac:dyDescent="0.35">
      <c r="A859" t="s">
        <v>890</v>
      </c>
      <c r="B859">
        <f>IF(Final_Payroll!B859="Sales",Earnings!B859*3,
IF(Final_Payroll!B859="IT",Earnings!B859*2,
IF(Final_Payroll!B859="Finance",Earnings!B859*1.5,
IF(Final_Payroll!B859="HR",Earnings!B859*1.2,
Earnings!B859*1.3))))</f>
        <v>885314.4</v>
      </c>
      <c r="C859">
        <f>Earnings!B859 + Deductions!B859 + Deductions!C859 + Overtime!D859</f>
        <v>739562</v>
      </c>
      <c r="D859">
        <f t="shared" si="26"/>
        <v>145752.40000000002</v>
      </c>
      <c r="E859">
        <f t="shared" si="27"/>
        <v>1.1970793523734318</v>
      </c>
    </row>
    <row r="860" spans="1:5" x14ac:dyDescent="0.35">
      <c r="A860" t="s">
        <v>891</v>
      </c>
      <c r="B860">
        <f>IF(Final_Payroll!B860="Sales",Earnings!B860*3,
IF(Final_Payroll!B860="IT",Earnings!B860*2,
IF(Final_Payroll!B860="Finance",Earnings!B860*1.5,
IF(Final_Payroll!B860="HR",Earnings!B860*1.2,
Earnings!B860*1.3))))</f>
        <v>745428.71</v>
      </c>
      <c r="C860">
        <f>Earnings!B860 + Deductions!B860 + Deductions!C860 + Overtime!D860</f>
        <v>646882.53749999998</v>
      </c>
      <c r="D860">
        <f t="shared" si="26"/>
        <v>98546.172499999986</v>
      </c>
      <c r="E860">
        <f t="shared" si="27"/>
        <v>1.1523401340850077</v>
      </c>
    </row>
    <row r="861" spans="1:5" x14ac:dyDescent="0.35">
      <c r="A861" t="s">
        <v>892</v>
      </c>
      <c r="B861">
        <f>IF(Final_Payroll!B861="Sales",Earnings!B861*3,
IF(Final_Payroll!B861="IT",Earnings!B861*2,
IF(Final_Payroll!B861="Finance",Earnings!B861*1.5,
IF(Final_Payroll!B861="HR",Earnings!B861*1.2,
Earnings!B861*1.3))))</f>
        <v>886321.2</v>
      </c>
      <c r="C861">
        <f>Earnings!B861 + Deductions!B861 + Deductions!C861 + Overtime!D861</f>
        <v>740401</v>
      </c>
      <c r="D861">
        <f t="shared" si="26"/>
        <v>145920.19999999995</v>
      </c>
      <c r="E861">
        <f t="shared" si="27"/>
        <v>1.1970826619629091</v>
      </c>
    </row>
    <row r="862" spans="1:5" x14ac:dyDescent="0.35">
      <c r="A862" t="s">
        <v>893</v>
      </c>
      <c r="B862">
        <f>IF(Final_Payroll!B862="Sales",Earnings!B862*3,
IF(Final_Payroll!B862="IT",Earnings!B862*2,
IF(Final_Payroll!B862="Finance",Earnings!B862*1.5,
IF(Final_Payroll!B862="HR",Earnings!B862*1.2,
Earnings!B862*1.3))))</f>
        <v>1676346</v>
      </c>
      <c r="C862">
        <f>Earnings!B862 + Deductions!B862 + Deductions!C862 + Overtime!D862</f>
        <v>839973</v>
      </c>
      <c r="D862">
        <f t="shared" si="26"/>
        <v>836373</v>
      </c>
      <c r="E862">
        <f t="shared" si="27"/>
        <v>1.9957141479547558</v>
      </c>
    </row>
    <row r="863" spans="1:5" x14ac:dyDescent="0.35">
      <c r="A863" t="s">
        <v>894</v>
      </c>
      <c r="B863">
        <f>IF(Final_Payroll!B863="Sales",Earnings!B863*3,
IF(Final_Payroll!B863="IT",Earnings!B863*2,
IF(Final_Payroll!B863="Finance",Earnings!B863*1.5,
IF(Final_Payroll!B863="HR",Earnings!B863*1.2,
Earnings!B863*1.3))))</f>
        <v>2362178.7999999998</v>
      </c>
      <c r="C863">
        <f>Earnings!B863 + Deductions!B863 + Deductions!C863 + Overtime!D863</f>
        <v>1330525.575</v>
      </c>
      <c r="D863">
        <f t="shared" si="26"/>
        <v>1031653.2249999999</v>
      </c>
      <c r="E863">
        <f t="shared" si="27"/>
        <v>1.7753727131475845</v>
      </c>
    </row>
    <row r="864" spans="1:5" x14ac:dyDescent="0.35">
      <c r="A864" t="s">
        <v>895</v>
      </c>
      <c r="B864">
        <f>IF(Final_Payroll!B864="Sales",Earnings!B864*3,
IF(Final_Payroll!B864="IT",Earnings!B864*2,
IF(Final_Payroll!B864="Finance",Earnings!B864*1.5,
IF(Final_Payroll!B864="HR",Earnings!B864*1.2,
Earnings!B864*1.3))))</f>
        <v>2360422</v>
      </c>
      <c r="C864">
        <f>Earnings!B864 + Deductions!B864 + Deductions!C864 + Overtime!D864</f>
        <v>1270526.825</v>
      </c>
      <c r="D864">
        <f t="shared" si="26"/>
        <v>1089895.175</v>
      </c>
      <c r="E864">
        <f t="shared" si="27"/>
        <v>1.8578293299710535</v>
      </c>
    </row>
    <row r="865" spans="1:5" x14ac:dyDescent="0.35">
      <c r="A865" t="s">
        <v>896</v>
      </c>
      <c r="B865">
        <f>IF(Final_Payroll!B865="Sales",Earnings!B865*3,
IF(Final_Payroll!B865="IT",Earnings!B865*2,
IF(Final_Payroll!B865="Finance",Earnings!B865*1.5,
IF(Final_Payroll!B865="HR",Earnings!B865*1.2,
Earnings!B865*1.3))))</f>
        <v>1028811.8099999999</v>
      </c>
      <c r="C865">
        <f>Earnings!B865 + Deductions!B865 + Deductions!C865 + Overtime!D865</f>
        <v>868376.10149999999</v>
      </c>
      <c r="D865">
        <f t="shared" si="26"/>
        <v>160435.70849999995</v>
      </c>
      <c r="E865">
        <f t="shared" si="27"/>
        <v>1.1847537123866829</v>
      </c>
    </row>
    <row r="866" spans="1:5" x14ac:dyDescent="0.35">
      <c r="A866" t="s">
        <v>897</v>
      </c>
      <c r="B866">
        <f>IF(Final_Payroll!B866="Sales",Earnings!B866*3,
IF(Final_Payroll!B866="IT",Earnings!B866*2,
IF(Final_Payroll!B866="Finance",Earnings!B866*1.5,
IF(Final_Payroll!B866="HR",Earnings!B866*1.2,
Earnings!B866*1.3))))</f>
        <v>2808866</v>
      </c>
      <c r="C866">
        <f>Earnings!B866 + Deductions!B866 + Deductions!C866 + Overtime!D866</f>
        <v>1406233</v>
      </c>
      <c r="D866">
        <f t="shared" si="26"/>
        <v>1402633</v>
      </c>
      <c r="E866">
        <f t="shared" si="27"/>
        <v>1.9974399690520703</v>
      </c>
    </row>
    <row r="867" spans="1:5" x14ac:dyDescent="0.35">
      <c r="A867" t="s">
        <v>898</v>
      </c>
      <c r="B867">
        <f>IF(Final_Payroll!B867="Sales",Earnings!B867*3,
IF(Final_Payroll!B867="IT",Earnings!B867*2,
IF(Final_Payroll!B867="Finance",Earnings!B867*1.5,
IF(Final_Payroll!B867="HR",Earnings!B867*1.2,
Earnings!B867*1.3))))</f>
        <v>1718988</v>
      </c>
      <c r="C867">
        <f>Earnings!B867 + Deductions!B867 + Deductions!C867 + Overtime!D867</f>
        <v>861294</v>
      </c>
      <c r="D867">
        <f t="shared" si="26"/>
        <v>857694</v>
      </c>
      <c r="E867">
        <f t="shared" si="27"/>
        <v>1.9958202425652565</v>
      </c>
    </row>
    <row r="868" spans="1:5" x14ac:dyDescent="0.35">
      <c r="A868" t="s">
        <v>899</v>
      </c>
      <c r="B868">
        <f>IF(Final_Payroll!B868="Sales",Earnings!B868*3,
IF(Final_Payroll!B868="IT",Earnings!B868*2,
IF(Final_Payroll!B868="Finance",Earnings!B868*1.5,
IF(Final_Payroll!B868="HR",Earnings!B868*1.2,
Earnings!B868*1.3))))</f>
        <v>1101145.5</v>
      </c>
      <c r="C868">
        <f>Earnings!B868 + Deductions!B868 + Deductions!C868 + Overtime!D868</f>
        <v>848835</v>
      </c>
      <c r="D868">
        <f t="shared" si="26"/>
        <v>252310.5</v>
      </c>
      <c r="E868">
        <f t="shared" si="27"/>
        <v>1.2972432804962095</v>
      </c>
    </row>
    <row r="869" spans="1:5" x14ac:dyDescent="0.35">
      <c r="A869" t="s">
        <v>900</v>
      </c>
      <c r="B869">
        <f>IF(Final_Payroll!B869="Sales",Earnings!B869*3,
IF(Final_Payroll!B869="IT",Earnings!B869*2,
IF(Final_Payroll!B869="Finance",Earnings!B869*1.5,
IF(Final_Payroll!B869="HR",Earnings!B869*1.2,
Earnings!B869*1.3))))</f>
        <v>1441039.5</v>
      </c>
      <c r="C869">
        <f>Earnings!B869 + Deductions!B869 + Deductions!C869 + Overtime!D869</f>
        <v>1101793.4850000001</v>
      </c>
      <c r="D869">
        <f t="shared" si="26"/>
        <v>339246.0149999999</v>
      </c>
      <c r="E869">
        <f t="shared" si="27"/>
        <v>1.3079034498012119</v>
      </c>
    </row>
    <row r="870" spans="1:5" x14ac:dyDescent="0.35">
      <c r="A870" t="s">
        <v>901</v>
      </c>
      <c r="B870">
        <f>IF(Final_Payroll!B870="Sales",Earnings!B870*3,
IF(Final_Payroll!B870="IT",Earnings!B870*2,
IF(Final_Payroll!B870="Finance",Earnings!B870*1.5,
IF(Final_Payroll!B870="HR",Earnings!B870*1.2,
Earnings!B870*1.3))))</f>
        <v>3179094</v>
      </c>
      <c r="C870">
        <f>Earnings!B870 + Deductions!B870 + Deductions!C870 + Overtime!D870</f>
        <v>1130378.3700000001</v>
      </c>
      <c r="D870">
        <f t="shared" si="26"/>
        <v>2048715.63</v>
      </c>
      <c r="E870">
        <f t="shared" si="27"/>
        <v>2.8124158108227069</v>
      </c>
    </row>
    <row r="871" spans="1:5" x14ac:dyDescent="0.35">
      <c r="A871" t="s">
        <v>902</v>
      </c>
      <c r="B871">
        <f>IF(Final_Payroll!B871="Sales",Earnings!B871*3,
IF(Final_Payroll!B871="IT",Earnings!B871*2,
IF(Final_Payroll!B871="Finance",Earnings!B871*1.5,
IF(Final_Payroll!B871="HR",Earnings!B871*1.2,
Earnings!B871*1.3))))</f>
        <v>1586082</v>
      </c>
      <c r="C871">
        <f>Earnings!B871 + Deductions!B871 + Deductions!C871 + Overtime!D871</f>
        <v>794841</v>
      </c>
      <c r="D871">
        <f t="shared" si="26"/>
        <v>791241</v>
      </c>
      <c r="E871">
        <f t="shared" si="27"/>
        <v>1.9954707922716619</v>
      </c>
    </row>
    <row r="872" spans="1:5" x14ac:dyDescent="0.35">
      <c r="A872" t="s">
        <v>903</v>
      </c>
      <c r="B872">
        <f>IF(Final_Payroll!B872="Sales",Earnings!B872*3,
IF(Final_Payroll!B872="IT",Earnings!B872*2,
IF(Final_Payroll!B872="Finance",Earnings!B872*1.5,
IF(Final_Payroll!B872="HR",Earnings!B872*1.2,
Earnings!B872*1.3))))</f>
        <v>2047170</v>
      </c>
      <c r="C872">
        <f>Earnings!B872 + Deductions!B872 + Deductions!C872 + Overtime!D872</f>
        <v>1076564.25</v>
      </c>
      <c r="D872">
        <f t="shared" si="26"/>
        <v>970605.75</v>
      </c>
      <c r="E872">
        <f t="shared" si="27"/>
        <v>1.9015771701503186</v>
      </c>
    </row>
    <row r="873" spans="1:5" x14ac:dyDescent="0.35">
      <c r="A873" t="s">
        <v>904</v>
      </c>
      <c r="B873">
        <f>IF(Final_Payroll!B873="Sales",Earnings!B873*3,
IF(Final_Payroll!B873="IT",Earnings!B873*2,
IF(Final_Payroll!B873="Finance",Earnings!B873*1.5,
IF(Final_Payroll!B873="HR",Earnings!B873*1.2,
Earnings!B873*1.3))))</f>
        <v>989444.39999999991</v>
      </c>
      <c r="C873">
        <f>Earnings!B873 + Deductions!B873 + Deductions!C873 + Overtime!D873</f>
        <v>929404.125</v>
      </c>
      <c r="D873">
        <f t="shared" si="26"/>
        <v>60040.274999999907</v>
      </c>
      <c r="E873">
        <f t="shared" si="27"/>
        <v>1.0646008269007843</v>
      </c>
    </row>
    <row r="874" spans="1:5" x14ac:dyDescent="0.35">
      <c r="A874" t="s">
        <v>905</v>
      </c>
      <c r="B874">
        <f>IF(Final_Payroll!B874="Sales",Earnings!B874*3,
IF(Final_Payroll!B874="IT",Earnings!B874*2,
IF(Final_Payroll!B874="Finance",Earnings!B874*1.5,
IF(Final_Payroll!B874="HR",Earnings!B874*1.2,
Earnings!B874*1.3))))</f>
        <v>2087773.2000000002</v>
      </c>
      <c r="C874">
        <f>Earnings!B874 + Deductions!B874 + Deductions!C874 + Overtime!D874</f>
        <v>697724.4</v>
      </c>
      <c r="D874">
        <f t="shared" si="26"/>
        <v>1390048.8000000003</v>
      </c>
      <c r="E874">
        <f t="shared" si="27"/>
        <v>2.9922605544538792</v>
      </c>
    </row>
    <row r="875" spans="1:5" x14ac:dyDescent="0.35">
      <c r="A875" t="s">
        <v>906</v>
      </c>
      <c r="B875">
        <f>IF(Final_Payroll!B875="Sales",Earnings!B875*3,
IF(Final_Payroll!B875="IT",Earnings!B875*2,
IF(Final_Payroll!B875="Finance",Earnings!B875*1.5,
IF(Final_Payroll!B875="HR",Earnings!B875*1.2,
Earnings!B875*1.3))))</f>
        <v>905652.47999999986</v>
      </c>
      <c r="C875">
        <f>Earnings!B875 + Deductions!B875 + Deductions!C875 + Overtime!D875</f>
        <v>779151.71199999994</v>
      </c>
      <c r="D875">
        <f t="shared" si="26"/>
        <v>126500.76799999992</v>
      </c>
      <c r="E875">
        <f t="shared" si="27"/>
        <v>1.1623570429888241</v>
      </c>
    </row>
    <row r="876" spans="1:5" x14ac:dyDescent="0.35">
      <c r="A876" t="s">
        <v>907</v>
      </c>
      <c r="B876">
        <f>IF(Final_Payroll!B876="Sales",Earnings!B876*3,
IF(Final_Payroll!B876="IT",Earnings!B876*2,
IF(Final_Payroll!B876="Finance",Earnings!B876*1.5,
IF(Final_Payroll!B876="HR",Earnings!B876*1.2,
Earnings!B876*1.3))))</f>
        <v>1239919.0050000001</v>
      </c>
      <c r="C876">
        <f>Earnings!B876 + Deductions!B876 + Deductions!C876 + Overtime!D876</f>
        <v>1036655.47725</v>
      </c>
      <c r="D876">
        <f t="shared" si="26"/>
        <v>203263.52775000012</v>
      </c>
      <c r="E876">
        <f t="shared" si="27"/>
        <v>1.1960762589025331</v>
      </c>
    </row>
    <row r="877" spans="1:5" x14ac:dyDescent="0.35">
      <c r="A877" t="s">
        <v>908</v>
      </c>
      <c r="B877">
        <f>IF(Final_Payroll!B877="Sales",Earnings!B877*3,
IF(Final_Payroll!B877="IT",Earnings!B877*2,
IF(Final_Payroll!B877="Finance",Earnings!B877*1.5,
IF(Final_Payroll!B877="HR",Earnings!B877*1.2,
Earnings!B877*1.3))))</f>
        <v>1329556.3499999999</v>
      </c>
      <c r="C877">
        <f>Earnings!B877 + Deductions!B877 + Deductions!C877 + Overtime!D877</f>
        <v>914762.02699999989</v>
      </c>
      <c r="D877">
        <f t="shared" si="26"/>
        <v>414794.32299999997</v>
      </c>
      <c r="E877">
        <f t="shared" si="27"/>
        <v>1.4534450608540619</v>
      </c>
    </row>
    <row r="878" spans="1:5" x14ac:dyDescent="0.35">
      <c r="A878" t="s">
        <v>909</v>
      </c>
      <c r="B878">
        <f>IF(Final_Payroll!B878="Sales",Earnings!B878*3,
IF(Final_Payroll!B878="IT",Earnings!B878*2,
IF(Final_Payroll!B878="Finance",Earnings!B878*1.5,
IF(Final_Payroll!B878="HR",Earnings!B878*1.2,
Earnings!B878*1.3))))</f>
        <v>2471700</v>
      </c>
      <c r="C878">
        <f>Earnings!B878 + Deductions!B878 + Deductions!C878 + Overtime!D878</f>
        <v>1237650</v>
      </c>
      <c r="D878">
        <f t="shared" si="26"/>
        <v>1234050</v>
      </c>
      <c r="E878">
        <f t="shared" si="27"/>
        <v>1.9970912616652527</v>
      </c>
    </row>
    <row r="879" spans="1:5" x14ac:dyDescent="0.35">
      <c r="A879" t="s">
        <v>910</v>
      </c>
      <c r="B879">
        <f>IF(Final_Payroll!B879="Sales",Earnings!B879*3,
IF(Final_Payroll!B879="IT",Earnings!B879*2,
IF(Final_Payroll!B879="Finance",Earnings!B879*1.5,
IF(Final_Payroll!B879="HR",Earnings!B879*1.2,
Earnings!B879*1.3))))</f>
        <v>1322310.6000000001</v>
      </c>
      <c r="C879">
        <f>Earnings!B879 + Deductions!B879 + Deductions!C879 + Overtime!D879</f>
        <v>1110506.58</v>
      </c>
      <c r="D879">
        <f t="shared" si="26"/>
        <v>211804.02000000002</v>
      </c>
      <c r="E879">
        <f t="shared" si="27"/>
        <v>1.1907273885761218</v>
      </c>
    </row>
    <row r="880" spans="1:5" x14ac:dyDescent="0.35">
      <c r="A880" t="s">
        <v>911</v>
      </c>
      <c r="B880">
        <f>IF(Final_Payroll!B880="Sales",Earnings!B880*3,
IF(Final_Payroll!B880="IT",Earnings!B880*2,
IF(Final_Payroll!B880="Finance",Earnings!B880*1.5,
IF(Final_Payroll!B880="HR",Earnings!B880*1.2,
Earnings!B880*1.3))))</f>
        <v>1347268.5</v>
      </c>
      <c r="C880">
        <f>Earnings!B880 + Deductions!B880 + Deductions!C880 + Overtime!D880</f>
        <v>1025724.0599999999</v>
      </c>
      <c r="D880">
        <f t="shared" si="26"/>
        <v>321544.44000000006</v>
      </c>
      <c r="E880">
        <f t="shared" si="27"/>
        <v>1.3134804500929813</v>
      </c>
    </row>
    <row r="881" spans="1:5" x14ac:dyDescent="0.35">
      <c r="A881" t="s">
        <v>912</v>
      </c>
      <c r="B881">
        <f>IF(Final_Payroll!B881="Sales",Earnings!B881*3,
IF(Final_Payroll!B881="IT",Earnings!B881*2,
IF(Final_Payroll!B881="Finance",Earnings!B881*1.5,
IF(Final_Payroll!B881="HR",Earnings!B881*1.2,
Earnings!B881*1.3))))</f>
        <v>780218.28</v>
      </c>
      <c r="C881">
        <f>Earnings!B881 + Deductions!B881 + Deductions!C881 + Overtime!D881</f>
        <v>651981.9</v>
      </c>
      <c r="D881">
        <f t="shared" si="26"/>
        <v>128236.38</v>
      </c>
      <c r="E881">
        <f t="shared" si="27"/>
        <v>1.1966870245937808</v>
      </c>
    </row>
    <row r="882" spans="1:5" x14ac:dyDescent="0.35">
      <c r="A882" t="s">
        <v>913</v>
      </c>
      <c r="B882">
        <f>IF(Final_Payroll!B882="Sales",Earnings!B882*3,
IF(Final_Payroll!B882="IT",Earnings!B882*2,
IF(Final_Payroll!B882="Finance",Earnings!B882*1.5,
IF(Final_Payroll!B882="HR",Earnings!B882*1.2,
Earnings!B882*1.3))))</f>
        <v>733183.1</v>
      </c>
      <c r="C882">
        <f>Earnings!B882 + Deductions!B882 + Deductions!C882 + Overtime!D882</f>
        <v>565787</v>
      </c>
      <c r="D882">
        <f t="shared" si="26"/>
        <v>167396.09999999998</v>
      </c>
      <c r="E882">
        <f t="shared" si="27"/>
        <v>1.2958641679642693</v>
      </c>
    </row>
    <row r="883" spans="1:5" x14ac:dyDescent="0.35">
      <c r="A883" t="s">
        <v>914</v>
      </c>
      <c r="B883">
        <f>IF(Final_Payroll!B883="Sales",Earnings!B883*3,
IF(Final_Payroll!B883="IT",Earnings!B883*2,
IF(Final_Payroll!B883="Finance",Earnings!B883*1.5,
IF(Final_Payroll!B883="HR",Earnings!B883*1.2,
Earnings!B883*1.3))))</f>
        <v>2230309.2999999998</v>
      </c>
      <c r="C883">
        <f>Earnings!B883 + Deductions!B883 + Deductions!C883 + Overtime!D883</f>
        <v>1200591.2487499998</v>
      </c>
      <c r="D883">
        <f t="shared" si="26"/>
        <v>1029718.05125</v>
      </c>
      <c r="E883">
        <f t="shared" si="27"/>
        <v>1.8576757929246068</v>
      </c>
    </row>
    <row r="884" spans="1:5" x14ac:dyDescent="0.35">
      <c r="A884" t="s">
        <v>915</v>
      </c>
      <c r="B884">
        <f>IF(Final_Payroll!B884="Sales",Earnings!B884*3,
IF(Final_Payroll!B884="IT",Earnings!B884*2,
IF(Final_Payroll!B884="Finance",Earnings!B884*1.5,
IF(Final_Payroll!B884="HR",Earnings!B884*1.2,
Earnings!B884*1.3))))</f>
        <v>2001278.5499999998</v>
      </c>
      <c r="C884">
        <f>Earnings!B884 + Deductions!B884 + Deductions!C884 + Overtime!D884</f>
        <v>735602.13500000001</v>
      </c>
      <c r="D884">
        <f t="shared" si="26"/>
        <v>1265676.4149999998</v>
      </c>
      <c r="E884">
        <f t="shared" si="27"/>
        <v>2.7205991592180463</v>
      </c>
    </row>
    <row r="885" spans="1:5" x14ac:dyDescent="0.35">
      <c r="A885" t="s">
        <v>916</v>
      </c>
      <c r="B885">
        <f>IF(Final_Payroll!B885="Sales",Earnings!B885*3,
IF(Final_Payroll!B885="IT",Earnings!B885*2,
IF(Final_Payroll!B885="Finance",Earnings!B885*1.5,
IF(Final_Payroll!B885="HR",Earnings!B885*1.2,
Earnings!B885*1.3))))</f>
        <v>2589048.2999999998</v>
      </c>
      <c r="C885">
        <f>Earnings!B885 + Deductions!B885 + Deductions!C885 + Overtime!D885</f>
        <v>1393413.4612499999</v>
      </c>
      <c r="D885">
        <f t="shared" si="26"/>
        <v>1195634.8387499999</v>
      </c>
      <c r="E885">
        <f t="shared" si="27"/>
        <v>1.8580617828088317</v>
      </c>
    </row>
    <row r="886" spans="1:5" x14ac:dyDescent="0.35">
      <c r="A886" t="s">
        <v>917</v>
      </c>
      <c r="B886">
        <f>IF(Final_Payroll!B886="Sales",Earnings!B886*3,
IF(Final_Payroll!B886="IT",Earnings!B886*2,
IF(Final_Payroll!B886="Finance",Earnings!B886*1.5,
IF(Final_Payroll!B886="HR",Earnings!B886*1.2,
Earnings!B886*1.3))))</f>
        <v>1152651.4350000001</v>
      </c>
      <c r="C886">
        <f>Earnings!B886 + Deductions!B886 + Deductions!C886 + Overtime!D886</f>
        <v>910621.32374999998</v>
      </c>
      <c r="D886">
        <f t="shared" si="26"/>
        <v>242030.11125000007</v>
      </c>
      <c r="E886">
        <f t="shared" si="27"/>
        <v>1.2657856838376063</v>
      </c>
    </row>
    <row r="887" spans="1:5" x14ac:dyDescent="0.35">
      <c r="A887" t="s">
        <v>918</v>
      </c>
      <c r="B887">
        <f>IF(Final_Payroll!B887="Sales",Earnings!B887*3,
IF(Final_Payroll!B887="IT",Earnings!B887*2,
IF(Final_Payroll!B887="Finance",Earnings!B887*1.5,
IF(Final_Payroll!B887="HR",Earnings!B887*1.2,
Earnings!B887*1.3))))</f>
        <v>1854645</v>
      </c>
      <c r="C887">
        <f>Earnings!B887 + Deductions!B887 + Deductions!C887 + Overtime!D887</f>
        <v>620015</v>
      </c>
      <c r="D887">
        <f t="shared" si="26"/>
        <v>1234630</v>
      </c>
      <c r="E887">
        <f t="shared" si="27"/>
        <v>2.9912905332935495</v>
      </c>
    </row>
    <row r="888" spans="1:5" x14ac:dyDescent="0.35">
      <c r="A888" t="s">
        <v>919</v>
      </c>
      <c r="B888">
        <f>IF(Final_Payroll!B888="Sales",Earnings!B888*3,
IF(Final_Payroll!B888="IT",Earnings!B888*2,
IF(Final_Payroll!B888="Finance",Earnings!B888*1.5,
IF(Final_Payroll!B888="HR",Earnings!B888*1.2,
Earnings!B888*1.3))))</f>
        <v>1270205.0999999999</v>
      </c>
      <c r="C888">
        <f>Earnings!B888 + Deductions!B888 + Deductions!C888 + Overtime!D888</f>
        <v>848603.39999999991</v>
      </c>
      <c r="D888">
        <f t="shared" si="26"/>
        <v>421601.69999999995</v>
      </c>
      <c r="E888">
        <f t="shared" si="27"/>
        <v>1.4968183016942898</v>
      </c>
    </row>
    <row r="889" spans="1:5" x14ac:dyDescent="0.35">
      <c r="A889" t="s">
        <v>920</v>
      </c>
      <c r="B889">
        <f>IF(Final_Payroll!B889="Sales",Earnings!B889*3,
IF(Final_Payroll!B889="IT",Earnings!B889*2,
IF(Final_Payroll!B889="Finance",Earnings!B889*1.5,
IF(Final_Payroll!B889="HR",Earnings!B889*1.2,
Earnings!B889*1.3))))</f>
        <v>676444.08</v>
      </c>
      <c r="C889">
        <f>Earnings!B889 + Deductions!B889 + Deductions!C889 + Overtime!D889</f>
        <v>565503.4</v>
      </c>
      <c r="D889">
        <f t="shared" si="26"/>
        <v>110940.67999999993</v>
      </c>
      <c r="E889">
        <f t="shared" si="27"/>
        <v>1.1961803943176998</v>
      </c>
    </row>
    <row r="890" spans="1:5" x14ac:dyDescent="0.35">
      <c r="A890" t="s">
        <v>921</v>
      </c>
      <c r="B890">
        <f>IF(Final_Payroll!B890="Sales",Earnings!B890*3,
IF(Final_Payroll!B890="IT",Earnings!B890*2,
IF(Final_Payroll!B890="Finance",Earnings!B890*1.5,
IF(Final_Payroll!B890="HR",Earnings!B890*1.2,
Earnings!B890*1.3))))</f>
        <v>684642.01</v>
      </c>
      <c r="C890">
        <f>Earnings!B890 + Deductions!B890 + Deductions!C890 + Overtime!D890</f>
        <v>596911.90099999995</v>
      </c>
      <c r="D890">
        <f t="shared" si="26"/>
        <v>87730.109000000055</v>
      </c>
      <c r="E890">
        <f t="shared" si="27"/>
        <v>1.1469732951429294</v>
      </c>
    </row>
    <row r="891" spans="1:5" x14ac:dyDescent="0.35">
      <c r="A891" t="s">
        <v>922</v>
      </c>
      <c r="B891">
        <f>IF(Final_Payroll!B891="Sales",Earnings!B891*3,
IF(Final_Payroll!B891="IT",Earnings!B891*2,
IF(Final_Payroll!B891="Finance",Earnings!B891*1.5,
IF(Final_Payroll!B891="HR",Earnings!B891*1.2,
Earnings!B891*1.3))))</f>
        <v>1722122</v>
      </c>
      <c r="C891">
        <f>Earnings!B891 + Deductions!B891 + Deductions!C891 + Overtime!D891</f>
        <v>961883.01500000001</v>
      </c>
      <c r="D891">
        <f t="shared" si="26"/>
        <v>760238.98499999999</v>
      </c>
      <c r="E891">
        <f t="shared" si="27"/>
        <v>1.7903653283658407</v>
      </c>
    </row>
    <row r="892" spans="1:5" x14ac:dyDescent="0.35">
      <c r="A892" t="s">
        <v>923</v>
      </c>
      <c r="B892">
        <f>IF(Final_Payroll!B892="Sales",Earnings!B892*3,
IF(Final_Payroll!B892="IT",Earnings!B892*2,
IF(Final_Payroll!B892="Finance",Earnings!B892*1.5,
IF(Final_Payroll!B892="HR",Earnings!B892*1.2,
Earnings!B892*1.3))))</f>
        <v>935961.59999999998</v>
      </c>
      <c r="C892">
        <f>Earnings!B892 + Deductions!B892 + Deductions!C892 + Overtime!D892</f>
        <v>781768</v>
      </c>
      <c r="D892">
        <f t="shared" si="26"/>
        <v>154193.59999999998</v>
      </c>
      <c r="E892">
        <f t="shared" si="27"/>
        <v>1.1972370319583303</v>
      </c>
    </row>
    <row r="893" spans="1:5" x14ac:dyDescent="0.35">
      <c r="A893" t="s">
        <v>924</v>
      </c>
      <c r="B893">
        <f>IF(Final_Payroll!B893="Sales",Earnings!B893*3,
IF(Final_Payroll!B893="IT",Earnings!B893*2,
IF(Final_Payroll!B893="Finance",Earnings!B893*1.5,
IF(Final_Payroll!B893="HR",Earnings!B893*1.2,
Earnings!B893*1.3))))</f>
        <v>2067258.9</v>
      </c>
      <c r="C893">
        <f>Earnings!B893 + Deductions!B893 + Deductions!C893 + Overtime!D893</f>
        <v>787358.38199999998</v>
      </c>
      <c r="D893">
        <f t="shared" si="26"/>
        <v>1279900.5179999999</v>
      </c>
      <c r="E893">
        <f t="shared" si="27"/>
        <v>2.6255628278813448</v>
      </c>
    </row>
    <row r="894" spans="1:5" x14ac:dyDescent="0.35">
      <c r="A894" t="s">
        <v>925</v>
      </c>
      <c r="B894">
        <f>IF(Final_Payroll!B894="Sales",Earnings!B894*3,
IF(Final_Payroll!B894="IT",Earnings!B894*2,
IF(Final_Payroll!B894="Finance",Earnings!B894*1.5,
IF(Final_Payroll!B894="HR",Earnings!B894*1.2,
Earnings!B894*1.3))))</f>
        <v>1128732.8</v>
      </c>
      <c r="C894">
        <f>Earnings!B894 + Deductions!B894 + Deductions!C894 + Overtime!D894</f>
        <v>926492.64</v>
      </c>
      <c r="D894">
        <f t="shared" si="26"/>
        <v>202240.16000000003</v>
      </c>
      <c r="E894">
        <f t="shared" si="27"/>
        <v>1.2182857707320804</v>
      </c>
    </row>
    <row r="895" spans="1:5" x14ac:dyDescent="0.35">
      <c r="A895" t="s">
        <v>926</v>
      </c>
      <c r="B895">
        <f>IF(Final_Payroll!B895="Sales",Earnings!B895*3,
IF(Final_Payroll!B895="IT",Earnings!B895*2,
IF(Final_Payroll!B895="Finance",Earnings!B895*1.5,
IF(Final_Payroll!B895="HR",Earnings!B895*1.2,
Earnings!B895*1.3))))</f>
        <v>1786998</v>
      </c>
      <c r="C895">
        <f>Earnings!B895 + Deductions!B895 + Deductions!C895 + Overtime!D895</f>
        <v>1228871.96</v>
      </c>
      <c r="D895">
        <f t="shared" si="26"/>
        <v>558126.04</v>
      </c>
      <c r="E895">
        <f t="shared" si="27"/>
        <v>1.4541775369339536</v>
      </c>
    </row>
    <row r="896" spans="1:5" x14ac:dyDescent="0.35">
      <c r="A896" t="s">
        <v>927</v>
      </c>
      <c r="B896">
        <f>IF(Final_Payroll!B896="Sales",Earnings!B896*3,
IF(Final_Payroll!B896="IT",Earnings!B896*2,
IF(Final_Payroll!B896="Finance",Earnings!B896*1.5,
IF(Final_Payroll!B896="HR",Earnings!B896*1.2,
Earnings!B896*1.3))))</f>
        <v>1621926</v>
      </c>
      <c r="C896">
        <f>Earnings!B896 + Deductions!B896 + Deductions!C896 + Overtime!D896</f>
        <v>612725.46</v>
      </c>
      <c r="D896">
        <f t="shared" si="26"/>
        <v>1009200.54</v>
      </c>
      <c r="E896">
        <f t="shared" si="27"/>
        <v>2.6470680686257104</v>
      </c>
    </row>
    <row r="897" spans="1:5" x14ac:dyDescent="0.35">
      <c r="A897" t="s">
        <v>928</v>
      </c>
      <c r="B897">
        <f>IF(Final_Payroll!B897="Sales",Earnings!B897*3,
IF(Final_Payroll!B897="IT",Earnings!B897*2,
IF(Final_Payroll!B897="Finance",Earnings!B897*1.5,
IF(Final_Payroll!B897="HR",Earnings!B897*1.2,
Earnings!B897*1.3))))</f>
        <v>2321114.0999999996</v>
      </c>
      <c r="C897">
        <f>Earnings!B897 + Deductions!B897 + Deductions!C897 + Overtime!D897</f>
        <v>775504.7</v>
      </c>
      <c r="D897">
        <f t="shared" si="26"/>
        <v>1545609.3999999997</v>
      </c>
      <c r="E897">
        <f t="shared" si="27"/>
        <v>2.9930367926848152</v>
      </c>
    </row>
    <row r="898" spans="1:5" x14ac:dyDescent="0.35">
      <c r="A898" t="s">
        <v>929</v>
      </c>
      <c r="B898">
        <f>IF(Final_Payroll!B898="Sales",Earnings!B898*3,
IF(Final_Payroll!B898="IT",Earnings!B898*2,
IF(Final_Payroll!B898="Finance",Earnings!B898*1.5,
IF(Final_Payroll!B898="HR",Earnings!B898*1.2,
Earnings!B898*1.3))))</f>
        <v>676521.88500000001</v>
      </c>
      <c r="C898">
        <f>Earnings!B898 + Deductions!B898 + Deductions!C898 + Overtime!D898</f>
        <v>522201.45</v>
      </c>
      <c r="D898">
        <f t="shared" ref="D898:D961" si="28">B898-C898</f>
        <v>154320.435</v>
      </c>
      <c r="E898">
        <f t="shared" si="27"/>
        <v>1.295518970696079</v>
      </c>
    </row>
    <row r="899" spans="1:5" x14ac:dyDescent="0.35">
      <c r="A899" t="s">
        <v>930</v>
      </c>
      <c r="B899">
        <f>IF(Final_Payroll!B899="Sales",Earnings!B899*3,
IF(Final_Payroll!B899="IT",Earnings!B899*2,
IF(Final_Payroll!B899="Finance",Earnings!B899*1.5,
IF(Final_Payroll!B899="HR",Earnings!B899*1.2,
Earnings!B899*1.3))))</f>
        <v>957102</v>
      </c>
      <c r="C899">
        <f>Earnings!B899 + Deductions!B899 + Deductions!C899 + Overtime!D899</f>
        <v>799385</v>
      </c>
      <c r="D899">
        <f t="shared" si="28"/>
        <v>157717</v>
      </c>
      <c r="E899">
        <f t="shared" si="27"/>
        <v>1.1972979227781357</v>
      </c>
    </row>
    <row r="900" spans="1:5" x14ac:dyDescent="0.35">
      <c r="A900" t="s">
        <v>931</v>
      </c>
      <c r="B900">
        <f>IF(Final_Payroll!B900="Sales",Earnings!B900*3,
IF(Final_Payroll!B900="IT",Earnings!B900*2,
IF(Final_Payroll!B900="Finance",Earnings!B900*1.5,
IF(Final_Payroll!B900="HR",Earnings!B900*1.2,
Earnings!B900*1.3))))</f>
        <v>650495.4</v>
      </c>
      <c r="C900">
        <f>Earnings!B900 + Deductions!B900 + Deductions!C900 + Overtime!D900</f>
        <v>543879.5</v>
      </c>
      <c r="D900">
        <f t="shared" si="28"/>
        <v>106615.90000000002</v>
      </c>
      <c r="E900">
        <f t="shared" si="27"/>
        <v>1.1960285320553543</v>
      </c>
    </row>
    <row r="901" spans="1:5" x14ac:dyDescent="0.35">
      <c r="A901" t="s">
        <v>932</v>
      </c>
      <c r="B901">
        <f>IF(Final_Payroll!B901="Sales",Earnings!B901*3,
IF(Final_Payroll!B901="IT",Earnings!B901*2,
IF(Final_Payroll!B901="Finance",Earnings!B901*1.5,
IF(Final_Payroll!B901="HR",Earnings!B901*1.2,
Earnings!B901*1.3))))</f>
        <v>2761102.8</v>
      </c>
      <c r="C901">
        <f>Earnings!B901 + Deductions!B901 + Deductions!C901 + Overtime!D901</f>
        <v>922167.6</v>
      </c>
      <c r="D901">
        <f t="shared" si="28"/>
        <v>1838935.1999999997</v>
      </c>
      <c r="E901">
        <f t="shared" si="27"/>
        <v>2.9941442314824331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1"/>
  <sheetViews>
    <sheetView topLeftCell="I1" workbookViewId="0"/>
  </sheetViews>
  <sheetFormatPr defaultRowHeight="14.5" x14ac:dyDescent="0.35"/>
  <sheetData>
    <row r="1" spans="1:2" x14ac:dyDescent="0.35">
      <c r="A1" t="s">
        <v>950</v>
      </c>
      <c r="B1" t="s">
        <v>951</v>
      </c>
    </row>
    <row r="2" spans="1:2" x14ac:dyDescent="0.35">
      <c r="A2" t="s">
        <v>952</v>
      </c>
      <c r="B2" t="s">
        <v>953</v>
      </c>
    </row>
    <row r="3" spans="1:2" x14ac:dyDescent="0.35">
      <c r="A3" t="s">
        <v>954</v>
      </c>
      <c r="B3" t="s">
        <v>955</v>
      </c>
    </row>
    <row r="4" spans="1:2" x14ac:dyDescent="0.35">
      <c r="A4" t="s">
        <v>956</v>
      </c>
      <c r="B4" t="s">
        <v>957</v>
      </c>
    </row>
    <row r="5" spans="1:2" x14ac:dyDescent="0.35">
      <c r="A5" t="s">
        <v>958</v>
      </c>
      <c r="B5" t="s">
        <v>959</v>
      </c>
    </row>
    <row r="6" spans="1:2" x14ac:dyDescent="0.35">
      <c r="A6" t="s">
        <v>944</v>
      </c>
      <c r="B6" t="s">
        <v>960</v>
      </c>
    </row>
    <row r="7" spans="1:2" x14ac:dyDescent="0.35">
      <c r="A7" t="s">
        <v>945</v>
      </c>
      <c r="B7" t="s">
        <v>961</v>
      </c>
    </row>
    <row r="8" spans="1:2" x14ac:dyDescent="0.35">
      <c r="A8" t="s">
        <v>962</v>
      </c>
      <c r="B8" t="s">
        <v>963</v>
      </c>
    </row>
    <row r="9" spans="1:2" x14ac:dyDescent="0.35">
      <c r="A9" t="s">
        <v>964</v>
      </c>
      <c r="B9" t="s">
        <v>965</v>
      </c>
    </row>
    <row r="10" spans="1:2" x14ac:dyDescent="0.35">
      <c r="A10" t="s">
        <v>966</v>
      </c>
      <c r="B10" t="s">
        <v>967</v>
      </c>
    </row>
    <row r="11" spans="1:2" x14ac:dyDescent="0.35">
      <c r="A11" t="s">
        <v>968</v>
      </c>
    </row>
    <row r="12" spans="1:2" x14ac:dyDescent="0.35">
      <c r="A12" t="s">
        <v>969</v>
      </c>
      <c r="B12" t="s">
        <v>970</v>
      </c>
    </row>
    <row r="13" spans="1:2" x14ac:dyDescent="0.35">
      <c r="A13" t="s">
        <v>971</v>
      </c>
      <c r="B13" t="s">
        <v>972</v>
      </c>
    </row>
    <row r="14" spans="1:2" x14ac:dyDescent="0.35">
      <c r="A14" t="s">
        <v>973</v>
      </c>
      <c r="B14" t="s">
        <v>974</v>
      </c>
    </row>
    <row r="15" spans="1:2" x14ac:dyDescent="0.35">
      <c r="A15" t="s">
        <v>975</v>
      </c>
      <c r="B15" t="s">
        <v>976</v>
      </c>
    </row>
    <row r="16" spans="1:2" x14ac:dyDescent="0.35">
      <c r="A16" t="s">
        <v>977</v>
      </c>
      <c r="B16" t="s">
        <v>978</v>
      </c>
    </row>
    <row r="17" spans="1:2" x14ac:dyDescent="0.35">
      <c r="A17" t="s">
        <v>979</v>
      </c>
      <c r="B17" t="s">
        <v>980</v>
      </c>
    </row>
    <row r="18" spans="1:2" x14ac:dyDescent="0.35">
      <c r="A18" t="s">
        <v>981</v>
      </c>
      <c r="B18" t="s">
        <v>982</v>
      </c>
    </row>
    <row r="19" spans="1:2" x14ac:dyDescent="0.35">
      <c r="A19" t="s">
        <v>983</v>
      </c>
      <c r="B19" t="s">
        <v>984</v>
      </c>
    </row>
    <row r="20" spans="1:2" x14ac:dyDescent="0.35">
      <c r="A20" t="s">
        <v>985</v>
      </c>
      <c r="B20" t="s">
        <v>986</v>
      </c>
    </row>
    <row r="21" spans="1:2" x14ac:dyDescent="0.35">
      <c r="A21" t="s">
        <v>987</v>
      </c>
      <c r="B21" t="s">
        <v>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Employee_Info</vt:lpstr>
      <vt:lpstr>Final_Payroll</vt:lpstr>
      <vt:lpstr>Earnings</vt:lpstr>
      <vt:lpstr>Deductions</vt:lpstr>
      <vt:lpstr>Tax</vt:lpstr>
      <vt:lpstr>Overtime</vt:lpstr>
      <vt:lpstr>Performance</vt:lpstr>
      <vt:lpstr>Labour_Law_Rules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Anvi Jain</cp:lastModifiedBy>
  <dcterms:created xsi:type="dcterms:W3CDTF">2026-03-28T15:21:40Z</dcterms:created>
  <dcterms:modified xsi:type="dcterms:W3CDTF">2026-04-07T17:54:37Z</dcterms:modified>
</cp:coreProperties>
</file>