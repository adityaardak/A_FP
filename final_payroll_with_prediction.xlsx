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prsh\Downloads\"/>
    </mc:Choice>
  </mc:AlternateContent>
  <xr:revisionPtr revIDLastSave="0" documentId="13_ncr:1_{DC743E86-EAE4-45DC-AA86-259D2014F697}" xr6:coauthVersionLast="47" xr6:coauthVersionMax="47" xr10:uidLastSave="{00000000-0000-0000-0000-000000000000}"/>
  <bookViews>
    <workbookView xWindow="-110" yWindow="-110" windowWidth="19420" windowHeight="10300" firstSheet="2" activeTab="6" xr2:uid="{00000000-000D-0000-FFFF-FFFF00000000}"/>
  </bookViews>
  <sheets>
    <sheet name="Employee_Info" sheetId="2" r:id="rId1"/>
    <sheet name="Final_Payroll" sheetId="1" r:id="rId2"/>
    <sheet name="Earnings" sheetId="3" r:id="rId3"/>
    <sheet name="Deductions" sheetId="4" r:id="rId4"/>
    <sheet name="Tax" sheetId="5" r:id="rId5"/>
    <sheet name="Overtime" sheetId="7" r:id="rId6"/>
    <sheet name="Performance" sheetId="8" r:id="rId7"/>
    <sheet name="Labour_Law_Rules" sheetId="6" r:id="rId8"/>
  </sheets>
  <externalReferences>
    <externalReference r:id="rId9"/>
  </externalReferences>
  <definedNames>
    <definedName name="_xlnm._FilterDatabase" localSheetId="1" hidden="1">Final_Payroll!$A$1:$N$1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8" l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E38" i="8" s="1"/>
  <c r="L38" i="1" s="1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E90" i="8" s="1"/>
  <c r="L90" i="1" s="1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E114" i="8" s="1"/>
  <c r="L114" i="1" s="1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E162" i="8" s="1"/>
  <c r="L162" i="1" s="1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E210" i="8" s="1"/>
  <c r="L210" i="1" s="1"/>
  <c r="C211" i="8"/>
  <c r="C212" i="8"/>
  <c r="C213" i="8"/>
  <c r="C214" i="8"/>
  <c r="C215" i="8"/>
  <c r="C216" i="8"/>
  <c r="C217" i="8"/>
  <c r="C218" i="8"/>
  <c r="E218" i="8" s="1"/>
  <c r="L218" i="1" s="1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E286" i="8" s="1"/>
  <c r="L286" i="1" s="1"/>
  <c r="C287" i="8"/>
  <c r="C288" i="8"/>
  <c r="C289" i="8"/>
  <c r="C290" i="8"/>
  <c r="C291" i="8"/>
  <c r="C292" i="8"/>
  <c r="C293" i="8"/>
  <c r="C294" i="8"/>
  <c r="C295" i="8"/>
  <c r="C296" i="8"/>
  <c r="C297" i="8"/>
  <c r="C298" i="8"/>
  <c r="E298" i="8" s="1"/>
  <c r="L298" i="1" s="1"/>
  <c r="C299" i="8"/>
  <c r="C300" i="8"/>
  <c r="C301" i="8"/>
  <c r="C302" i="8"/>
  <c r="C303" i="8"/>
  <c r="C304" i="8"/>
  <c r="C305" i="8"/>
  <c r="C306" i="8"/>
  <c r="C307" i="8"/>
  <c r="C308" i="8"/>
  <c r="C309" i="8"/>
  <c r="C310" i="8"/>
  <c r="E310" i="8" s="1"/>
  <c r="L310" i="1" s="1"/>
  <c r="C311" i="8"/>
  <c r="C312" i="8"/>
  <c r="C313" i="8"/>
  <c r="C314" i="8"/>
  <c r="E314" i="8" s="1"/>
  <c r="L314" i="1" s="1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D354" i="8" s="1"/>
  <c r="C355" i="8"/>
  <c r="C356" i="8"/>
  <c r="C357" i="8"/>
  <c r="C358" i="8"/>
  <c r="C359" i="8"/>
  <c r="C360" i="8"/>
  <c r="C361" i="8"/>
  <c r="C362" i="8"/>
  <c r="C363" i="8"/>
  <c r="C364" i="8"/>
  <c r="C365" i="8"/>
  <c r="C366" i="8"/>
  <c r="D366" i="8" s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E390" i="8" s="1"/>
  <c r="L390" i="1" s="1"/>
  <c r="C391" i="8"/>
  <c r="C392" i="8"/>
  <c r="C393" i="8"/>
  <c r="C394" i="8"/>
  <c r="E394" i="8" s="1"/>
  <c r="L394" i="1" s="1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E422" i="8" s="1"/>
  <c r="L422" i="1" s="1"/>
  <c r="C423" i="8"/>
  <c r="C424" i="8"/>
  <c r="C425" i="8"/>
  <c r="C426" i="8"/>
  <c r="E426" i="8" s="1"/>
  <c r="L426" i="1" s="1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E454" i="8" s="1"/>
  <c r="L454" i="1" s="1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E494" i="8" s="1"/>
  <c r="L494" i="1" s="1"/>
  <c r="C495" i="8"/>
  <c r="C496" i="8"/>
  <c r="C497" i="8"/>
  <c r="C498" i="8"/>
  <c r="C499" i="8"/>
  <c r="C500" i="8"/>
  <c r="C501" i="8"/>
  <c r="C502" i="8"/>
  <c r="C503" i="8"/>
  <c r="C504" i="8"/>
  <c r="C505" i="8"/>
  <c r="C506" i="8"/>
  <c r="E506" i="8" s="1"/>
  <c r="L506" i="1" s="1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E522" i="8" s="1"/>
  <c r="L522" i="1" s="1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E566" i="8" s="1"/>
  <c r="L566" i="1" s="1"/>
  <c r="C567" i="8"/>
  <c r="C568" i="8"/>
  <c r="C569" i="8"/>
  <c r="C570" i="8"/>
  <c r="E570" i="8" s="1"/>
  <c r="L570" i="1" s="1"/>
  <c r="C571" i="8"/>
  <c r="C572" i="8"/>
  <c r="C573" i="8"/>
  <c r="C574" i="8"/>
  <c r="E574" i="8" s="1"/>
  <c r="L574" i="1" s="1"/>
  <c r="C575" i="8"/>
  <c r="C576" i="8"/>
  <c r="C577" i="8"/>
  <c r="C578" i="8"/>
  <c r="C579" i="8"/>
  <c r="C580" i="8"/>
  <c r="C581" i="8"/>
  <c r="C582" i="8"/>
  <c r="C583" i="8"/>
  <c r="C584" i="8"/>
  <c r="C585" i="8"/>
  <c r="C586" i="8"/>
  <c r="E586" i="8" s="1"/>
  <c r="L586" i="1" s="1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E630" i="8" s="1"/>
  <c r="L630" i="1" s="1"/>
  <c r="C631" i="8"/>
  <c r="C632" i="8"/>
  <c r="C633" i="8"/>
  <c r="C634" i="8"/>
  <c r="C635" i="8"/>
  <c r="C636" i="8"/>
  <c r="C637" i="8"/>
  <c r="C638" i="8"/>
  <c r="E638" i="8" s="1"/>
  <c r="L638" i="1" s="1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E694" i="8" s="1"/>
  <c r="L694" i="1" s="1"/>
  <c r="C695" i="8"/>
  <c r="C696" i="8"/>
  <c r="C697" i="8"/>
  <c r="C698" i="8"/>
  <c r="C699" i="8"/>
  <c r="C700" i="8"/>
  <c r="C701" i="8"/>
  <c r="C702" i="8"/>
  <c r="E702" i="8" s="1"/>
  <c r="L702" i="1" s="1"/>
  <c r="C703" i="8"/>
  <c r="C704" i="8"/>
  <c r="C705" i="8"/>
  <c r="C706" i="8"/>
  <c r="C707" i="8"/>
  <c r="C708" i="8"/>
  <c r="C709" i="8"/>
  <c r="C710" i="8"/>
  <c r="E710" i="8" s="1"/>
  <c r="L710" i="1" s="1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E758" i="8" s="1"/>
  <c r="L758" i="1" s="1"/>
  <c r="C759" i="8"/>
  <c r="C760" i="8"/>
  <c r="C761" i="8"/>
  <c r="C762" i="8"/>
  <c r="C763" i="8"/>
  <c r="C764" i="8"/>
  <c r="C765" i="8"/>
  <c r="C766" i="8"/>
  <c r="E766" i="8" s="1"/>
  <c r="L766" i="1" s="1"/>
  <c r="C767" i="8"/>
  <c r="C768" i="8"/>
  <c r="C769" i="8"/>
  <c r="C770" i="8"/>
  <c r="C771" i="8"/>
  <c r="C772" i="8"/>
  <c r="C773" i="8"/>
  <c r="C774" i="8"/>
  <c r="D774" i="8" s="1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E810" i="8" s="1"/>
  <c r="L810" i="1" s="1"/>
  <c r="C811" i="8"/>
  <c r="C812" i="8"/>
  <c r="C813" i="8"/>
  <c r="C814" i="8"/>
  <c r="C815" i="8"/>
  <c r="C816" i="8"/>
  <c r="C817" i="8"/>
  <c r="C818" i="8"/>
  <c r="E818" i="8" s="1"/>
  <c r="L818" i="1" s="1"/>
  <c r="C819" i="8"/>
  <c r="C820" i="8"/>
  <c r="C821" i="8"/>
  <c r="C822" i="8"/>
  <c r="E822" i="8" s="1"/>
  <c r="L822" i="1" s="1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E838" i="8" s="1"/>
  <c r="L838" i="1" s="1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2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E780" i="8" s="1"/>
  <c r="L780" i="1" s="1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8" i="8"/>
  <c r="B6" i="8"/>
  <c r="B7" i="8"/>
  <c r="B3" i="8"/>
  <c r="B4" i="8"/>
  <c r="B5" i="8"/>
  <c r="B2" i="8"/>
  <c r="C900" i="7"/>
  <c r="C901" i="7"/>
  <c r="C3" i="7"/>
  <c r="C4" i="7"/>
  <c r="C5" i="7"/>
  <c r="D5" i="7" s="1"/>
  <c r="J5" i="1" s="1"/>
  <c r="C6" i="7"/>
  <c r="C7" i="7"/>
  <c r="C8" i="7"/>
  <c r="C9" i="7"/>
  <c r="D9" i="7" s="1"/>
  <c r="J9" i="1" s="1"/>
  <c r="C10" i="7"/>
  <c r="C11" i="7"/>
  <c r="C12" i="7"/>
  <c r="C13" i="7"/>
  <c r="D13" i="7" s="1"/>
  <c r="J13" i="1" s="1"/>
  <c r="C14" i="7"/>
  <c r="C15" i="7"/>
  <c r="C16" i="7"/>
  <c r="C17" i="7"/>
  <c r="D17" i="7" s="1"/>
  <c r="J17" i="1" s="1"/>
  <c r="C18" i="7"/>
  <c r="C19" i="7"/>
  <c r="C20" i="7"/>
  <c r="C21" i="7"/>
  <c r="D21" i="7" s="1"/>
  <c r="J21" i="1" s="1"/>
  <c r="C22" i="7"/>
  <c r="C23" i="7"/>
  <c r="C24" i="7"/>
  <c r="C25" i="7"/>
  <c r="D25" i="7" s="1"/>
  <c r="J25" i="1" s="1"/>
  <c r="C26" i="7"/>
  <c r="C27" i="7"/>
  <c r="C28" i="7"/>
  <c r="C29" i="7"/>
  <c r="D29" i="7" s="1"/>
  <c r="J29" i="1" s="1"/>
  <c r="C30" i="7"/>
  <c r="C31" i="7"/>
  <c r="C32" i="7"/>
  <c r="C33" i="7"/>
  <c r="D33" i="7" s="1"/>
  <c r="J33" i="1" s="1"/>
  <c r="C34" i="7"/>
  <c r="C35" i="7"/>
  <c r="C36" i="7"/>
  <c r="C37" i="7"/>
  <c r="D37" i="7" s="1"/>
  <c r="J37" i="1" s="1"/>
  <c r="C38" i="7"/>
  <c r="C39" i="7"/>
  <c r="C40" i="7"/>
  <c r="C41" i="7"/>
  <c r="D41" i="7" s="1"/>
  <c r="J41" i="1" s="1"/>
  <c r="C42" i="7"/>
  <c r="C43" i="7"/>
  <c r="C44" i="7"/>
  <c r="C45" i="7"/>
  <c r="D45" i="7" s="1"/>
  <c r="J45" i="1" s="1"/>
  <c r="C46" i="7"/>
  <c r="C47" i="7"/>
  <c r="C48" i="7"/>
  <c r="C49" i="7"/>
  <c r="D49" i="7" s="1"/>
  <c r="J49" i="1" s="1"/>
  <c r="C50" i="7"/>
  <c r="C51" i="7"/>
  <c r="C52" i="7"/>
  <c r="C53" i="7"/>
  <c r="D53" i="7" s="1"/>
  <c r="J53" i="1" s="1"/>
  <c r="C54" i="7"/>
  <c r="C55" i="7"/>
  <c r="C56" i="7"/>
  <c r="C57" i="7"/>
  <c r="D57" i="7" s="1"/>
  <c r="J57" i="1" s="1"/>
  <c r="C58" i="7"/>
  <c r="C59" i="7"/>
  <c r="C60" i="7"/>
  <c r="C61" i="7"/>
  <c r="D61" i="7" s="1"/>
  <c r="J61" i="1" s="1"/>
  <c r="C62" i="7"/>
  <c r="C63" i="7"/>
  <c r="C64" i="7"/>
  <c r="C65" i="7"/>
  <c r="D65" i="7" s="1"/>
  <c r="J65" i="1" s="1"/>
  <c r="C66" i="7"/>
  <c r="C67" i="7"/>
  <c r="C68" i="7"/>
  <c r="C69" i="7"/>
  <c r="D69" i="7" s="1"/>
  <c r="J69" i="1" s="1"/>
  <c r="C70" i="7"/>
  <c r="C71" i="7"/>
  <c r="C72" i="7"/>
  <c r="C73" i="7"/>
  <c r="D73" i="7" s="1"/>
  <c r="J73" i="1" s="1"/>
  <c r="C74" i="7"/>
  <c r="C75" i="7"/>
  <c r="C76" i="7"/>
  <c r="C77" i="7"/>
  <c r="D77" i="7" s="1"/>
  <c r="J77" i="1" s="1"/>
  <c r="C78" i="7"/>
  <c r="C79" i="7"/>
  <c r="C80" i="7"/>
  <c r="C81" i="7"/>
  <c r="D81" i="7" s="1"/>
  <c r="J81" i="1" s="1"/>
  <c r="C82" i="7"/>
  <c r="C83" i="7"/>
  <c r="C84" i="7"/>
  <c r="C85" i="7"/>
  <c r="D85" i="7" s="1"/>
  <c r="J85" i="1" s="1"/>
  <c r="C86" i="7"/>
  <c r="C87" i="7"/>
  <c r="C88" i="7"/>
  <c r="C89" i="7"/>
  <c r="D89" i="7" s="1"/>
  <c r="J89" i="1" s="1"/>
  <c r="C90" i="7"/>
  <c r="C91" i="7"/>
  <c r="C92" i="7"/>
  <c r="C93" i="7"/>
  <c r="D93" i="7" s="1"/>
  <c r="J93" i="1" s="1"/>
  <c r="C94" i="7"/>
  <c r="C95" i="7"/>
  <c r="C96" i="7"/>
  <c r="C97" i="7"/>
  <c r="D97" i="7" s="1"/>
  <c r="J97" i="1" s="1"/>
  <c r="C98" i="7"/>
  <c r="C99" i="7"/>
  <c r="C100" i="7"/>
  <c r="C101" i="7"/>
  <c r="D101" i="7" s="1"/>
  <c r="J101" i="1" s="1"/>
  <c r="C102" i="7"/>
  <c r="C103" i="7"/>
  <c r="C104" i="7"/>
  <c r="C105" i="7"/>
  <c r="D105" i="7" s="1"/>
  <c r="J105" i="1" s="1"/>
  <c r="C106" i="7"/>
  <c r="C107" i="7"/>
  <c r="C108" i="7"/>
  <c r="C109" i="7"/>
  <c r="D109" i="7" s="1"/>
  <c r="J109" i="1" s="1"/>
  <c r="C110" i="7"/>
  <c r="C111" i="7"/>
  <c r="C112" i="7"/>
  <c r="C113" i="7"/>
  <c r="D113" i="7" s="1"/>
  <c r="J113" i="1" s="1"/>
  <c r="C114" i="7"/>
  <c r="C115" i="7"/>
  <c r="C116" i="7"/>
  <c r="C117" i="7"/>
  <c r="D117" i="7" s="1"/>
  <c r="J117" i="1" s="1"/>
  <c r="C118" i="7"/>
  <c r="C119" i="7"/>
  <c r="C120" i="7"/>
  <c r="C121" i="7"/>
  <c r="D121" i="7" s="1"/>
  <c r="J121" i="1" s="1"/>
  <c r="C122" i="7"/>
  <c r="C123" i="7"/>
  <c r="C124" i="7"/>
  <c r="C125" i="7"/>
  <c r="D125" i="7" s="1"/>
  <c r="J125" i="1" s="1"/>
  <c r="C126" i="7"/>
  <c r="C127" i="7"/>
  <c r="C128" i="7"/>
  <c r="C129" i="7"/>
  <c r="D129" i="7" s="1"/>
  <c r="J129" i="1" s="1"/>
  <c r="C130" i="7"/>
  <c r="C131" i="7"/>
  <c r="C132" i="7"/>
  <c r="C133" i="7"/>
  <c r="D133" i="7" s="1"/>
  <c r="J133" i="1" s="1"/>
  <c r="C134" i="7"/>
  <c r="C135" i="7"/>
  <c r="C136" i="7"/>
  <c r="C137" i="7"/>
  <c r="D137" i="7" s="1"/>
  <c r="J137" i="1" s="1"/>
  <c r="C138" i="7"/>
  <c r="C139" i="7"/>
  <c r="C140" i="7"/>
  <c r="C141" i="7"/>
  <c r="D141" i="7" s="1"/>
  <c r="J141" i="1" s="1"/>
  <c r="C142" i="7"/>
  <c r="C143" i="7"/>
  <c r="C144" i="7"/>
  <c r="C145" i="7"/>
  <c r="D145" i="7" s="1"/>
  <c r="J145" i="1" s="1"/>
  <c r="C146" i="7"/>
  <c r="C147" i="7"/>
  <c r="C148" i="7"/>
  <c r="C149" i="7"/>
  <c r="D149" i="7" s="1"/>
  <c r="J149" i="1" s="1"/>
  <c r="C150" i="7"/>
  <c r="C151" i="7"/>
  <c r="C152" i="7"/>
  <c r="C153" i="7"/>
  <c r="D153" i="7" s="1"/>
  <c r="J153" i="1" s="1"/>
  <c r="C154" i="7"/>
  <c r="C155" i="7"/>
  <c r="C156" i="7"/>
  <c r="C157" i="7"/>
  <c r="D157" i="7" s="1"/>
  <c r="J157" i="1" s="1"/>
  <c r="C158" i="7"/>
  <c r="C159" i="7"/>
  <c r="C160" i="7"/>
  <c r="C161" i="7"/>
  <c r="D161" i="7" s="1"/>
  <c r="J161" i="1" s="1"/>
  <c r="C162" i="7"/>
  <c r="C163" i="7"/>
  <c r="C164" i="7"/>
  <c r="C165" i="7"/>
  <c r="D165" i="7" s="1"/>
  <c r="J165" i="1" s="1"/>
  <c r="C166" i="7"/>
  <c r="C167" i="7"/>
  <c r="C168" i="7"/>
  <c r="C169" i="7"/>
  <c r="D169" i="7" s="1"/>
  <c r="J169" i="1" s="1"/>
  <c r="C170" i="7"/>
  <c r="C171" i="7"/>
  <c r="C172" i="7"/>
  <c r="C173" i="7"/>
  <c r="D173" i="7" s="1"/>
  <c r="J173" i="1" s="1"/>
  <c r="C174" i="7"/>
  <c r="C175" i="7"/>
  <c r="C176" i="7"/>
  <c r="C177" i="7"/>
  <c r="D177" i="7" s="1"/>
  <c r="J177" i="1" s="1"/>
  <c r="C178" i="7"/>
  <c r="C179" i="7"/>
  <c r="C180" i="7"/>
  <c r="C181" i="7"/>
  <c r="D181" i="7" s="1"/>
  <c r="J181" i="1" s="1"/>
  <c r="C182" i="7"/>
  <c r="C183" i="7"/>
  <c r="C184" i="7"/>
  <c r="C185" i="7"/>
  <c r="D185" i="7" s="1"/>
  <c r="J185" i="1" s="1"/>
  <c r="C186" i="7"/>
  <c r="C187" i="7"/>
  <c r="C188" i="7"/>
  <c r="C189" i="7"/>
  <c r="D189" i="7" s="1"/>
  <c r="J189" i="1" s="1"/>
  <c r="C190" i="7"/>
  <c r="C191" i="7"/>
  <c r="C192" i="7"/>
  <c r="C193" i="7"/>
  <c r="D193" i="7" s="1"/>
  <c r="J193" i="1" s="1"/>
  <c r="C194" i="7"/>
  <c r="C195" i="7"/>
  <c r="C196" i="7"/>
  <c r="C197" i="7"/>
  <c r="D197" i="7" s="1"/>
  <c r="J197" i="1" s="1"/>
  <c r="C198" i="7"/>
  <c r="C199" i="7"/>
  <c r="C200" i="7"/>
  <c r="C201" i="7"/>
  <c r="D201" i="7" s="1"/>
  <c r="J201" i="1" s="1"/>
  <c r="C202" i="7"/>
  <c r="C203" i="7"/>
  <c r="C204" i="7"/>
  <c r="C205" i="7"/>
  <c r="D205" i="7" s="1"/>
  <c r="J205" i="1" s="1"/>
  <c r="C206" i="7"/>
  <c r="C207" i="7"/>
  <c r="C208" i="7"/>
  <c r="C209" i="7"/>
  <c r="D209" i="7" s="1"/>
  <c r="J209" i="1" s="1"/>
  <c r="C210" i="7"/>
  <c r="C211" i="7"/>
  <c r="C212" i="7"/>
  <c r="C213" i="7"/>
  <c r="D213" i="7" s="1"/>
  <c r="J213" i="1" s="1"/>
  <c r="C214" i="7"/>
  <c r="C215" i="7"/>
  <c r="C216" i="7"/>
  <c r="C217" i="7"/>
  <c r="D217" i="7" s="1"/>
  <c r="J217" i="1" s="1"/>
  <c r="C218" i="7"/>
  <c r="C219" i="7"/>
  <c r="C220" i="7"/>
  <c r="C221" i="7"/>
  <c r="D221" i="7" s="1"/>
  <c r="J221" i="1" s="1"/>
  <c r="C222" i="7"/>
  <c r="C223" i="7"/>
  <c r="C224" i="7"/>
  <c r="C225" i="7"/>
  <c r="D225" i="7" s="1"/>
  <c r="J225" i="1" s="1"/>
  <c r="C226" i="7"/>
  <c r="C227" i="7"/>
  <c r="C228" i="7"/>
  <c r="C229" i="7"/>
  <c r="D229" i="7" s="1"/>
  <c r="J229" i="1" s="1"/>
  <c r="C230" i="7"/>
  <c r="C231" i="7"/>
  <c r="C232" i="7"/>
  <c r="C233" i="7"/>
  <c r="D233" i="7" s="1"/>
  <c r="J233" i="1" s="1"/>
  <c r="C234" i="7"/>
  <c r="C235" i="7"/>
  <c r="C236" i="7"/>
  <c r="C237" i="7"/>
  <c r="D237" i="7" s="1"/>
  <c r="J237" i="1" s="1"/>
  <c r="C238" i="7"/>
  <c r="C239" i="7"/>
  <c r="C240" i="7"/>
  <c r="C241" i="7"/>
  <c r="D241" i="7" s="1"/>
  <c r="J241" i="1" s="1"/>
  <c r="C242" i="7"/>
  <c r="C243" i="7"/>
  <c r="C244" i="7"/>
  <c r="C245" i="7"/>
  <c r="D245" i="7" s="1"/>
  <c r="J245" i="1" s="1"/>
  <c r="C246" i="7"/>
  <c r="C247" i="7"/>
  <c r="C248" i="7"/>
  <c r="C249" i="7"/>
  <c r="D249" i="7" s="1"/>
  <c r="J249" i="1" s="1"/>
  <c r="C250" i="7"/>
  <c r="C251" i="7"/>
  <c r="C252" i="7"/>
  <c r="C253" i="7"/>
  <c r="D253" i="7" s="1"/>
  <c r="J253" i="1" s="1"/>
  <c r="C254" i="7"/>
  <c r="C255" i="7"/>
  <c r="C256" i="7"/>
  <c r="C257" i="7"/>
  <c r="D257" i="7" s="1"/>
  <c r="J257" i="1" s="1"/>
  <c r="C258" i="7"/>
  <c r="C259" i="7"/>
  <c r="C260" i="7"/>
  <c r="C261" i="7"/>
  <c r="D261" i="7" s="1"/>
  <c r="J261" i="1" s="1"/>
  <c r="C262" i="7"/>
  <c r="C263" i="7"/>
  <c r="C264" i="7"/>
  <c r="C265" i="7"/>
  <c r="D265" i="7" s="1"/>
  <c r="J265" i="1" s="1"/>
  <c r="C266" i="7"/>
  <c r="C267" i="7"/>
  <c r="C268" i="7"/>
  <c r="C269" i="7"/>
  <c r="D269" i="7" s="1"/>
  <c r="J269" i="1" s="1"/>
  <c r="C270" i="7"/>
  <c r="C271" i="7"/>
  <c r="C272" i="7"/>
  <c r="C273" i="7"/>
  <c r="D273" i="7" s="1"/>
  <c r="J273" i="1" s="1"/>
  <c r="C274" i="7"/>
  <c r="C275" i="7"/>
  <c r="C276" i="7"/>
  <c r="C277" i="7"/>
  <c r="D277" i="7" s="1"/>
  <c r="J277" i="1" s="1"/>
  <c r="C278" i="7"/>
  <c r="C279" i="7"/>
  <c r="C280" i="7"/>
  <c r="C281" i="7"/>
  <c r="D281" i="7" s="1"/>
  <c r="J281" i="1" s="1"/>
  <c r="C282" i="7"/>
  <c r="C283" i="7"/>
  <c r="C284" i="7"/>
  <c r="C285" i="7"/>
  <c r="D285" i="7" s="1"/>
  <c r="J285" i="1" s="1"/>
  <c r="C286" i="7"/>
  <c r="C287" i="7"/>
  <c r="C288" i="7"/>
  <c r="C289" i="7"/>
  <c r="D289" i="7" s="1"/>
  <c r="J289" i="1" s="1"/>
  <c r="C290" i="7"/>
  <c r="C291" i="7"/>
  <c r="C292" i="7"/>
  <c r="C293" i="7"/>
  <c r="D293" i="7" s="1"/>
  <c r="J293" i="1" s="1"/>
  <c r="C294" i="7"/>
  <c r="C295" i="7"/>
  <c r="C296" i="7"/>
  <c r="C297" i="7"/>
  <c r="D297" i="7" s="1"/>
  <c r="J297" i="1" s="1"/>
  <c r="C298" i="7"/>
  <c r="C299" i="7"/>
  <c r="C300" i="7"/>
  <c r="C301" i="7"/>
  <c r="D301" i="7" s="1"/>
  <c r="J301" i="1" s="1"/>
  <c r="C302" i="7"/>
  <c r="C303" i="7"/>
  <c r="C304" i="7"/>
  <c r="C305" i="7"/>
  <c r="D305" i="7" s="1"/>
  <c r="J305" i="1" s="1"/>
  <c r="C306" i="7"/>
  <c r="C307" i="7"/>
  <c r="C308" i="7"/>
  <c r="C309" i="7"/>
  <c r="D309" i="7" s="1"/>
  <c r="J309" i="1" s="1"/>
  <c r="C310" i="7"/>
  <c r="C311" i="7"/>
  <c r="C312" i="7"/>
  <c r="C313" i="7"/>
  <c r="D313" i="7" s="1"/>
  <c r="J313" i="1" s="1"/>
  <c r="C314" i="7"/>
  <c r="C315" i="7"/>
  <c r="C316" i="7"/>
  <c r="C317" i="7"/>
  <c r="D317" i="7" s="1"/>
  <c r="J317" i="1" s="1"/>
  <c r="C318" i="7"/>
  <c r="C319" i="7"/>
  <c r="C320" i="7"/>
  <c r="C321" i="7"/>
  <c r="D321" i="7" s="1"/>
  <c r="J321" i="1" s="1"/>
  <c r="C322" i="7"/>
  <c r="C323" i="7"/>
  <c r="C324" i="7"/>
  <c r="C325" i="7"/>
  <c r="D325" i="7" s="1"/>
  <c r="J325" i="1" s="1"/>
  <c r="C326" i="7"/>
  <c r="C327" i="7"/>
  <c r="C328" i="7"/>
  <c r="C329" i="7"/>
  <c r="D329" i="7" s="1"/>
  <c r="J329" i="1" s="1"/>
  <c r="C330" i="7"/>
  <c r="C331" i="7"/>
  <c r="C332" i="7"/>
  <c r="C333" i="7"/>
  <c r="D333" i="7" s="1"/>
  <c r="J333" i="1" s="1"/>
  <c r="C334" i="7"/>
  <c r="C335" i="7"/>
  <c r="C336" i="7"/>
  <c r="C337" i="7"/>
  <c r="D337" i="7" s="1"/>
  <c r="J337" i="1" s="1"/>
  <c r="C338" i="7"/>
  <c r="C339" i="7"/>
  <c r="C340" i="7"/>
  <c r="C341" i="7"/>
  <c r="D341" i="7" s="1"/>
  <c r="J341" i="1" s="1"/>
  <c r="C342" i="7"/>
  <c r="C343" i="7"/>
  <c r="C344" i="7"/>
  <c r="C345" i="7"/>
  <c r="D345" i="7" s="1"/>
  <c r="J345" i="1" s="1"/>
  <c r="C346" i="7"/>
  <c r="C347" i="7"/>
  <c r="C348" i="7"/>
  <c r="C349" i="7"/>
  <c r="D349" i="7" s="1"/>
  <c r="J349" i="1" s="1"/>
  <c r="C350" i="7"/>
  <c r="C351" i="7"/>
  <c r="C352" i="7"/>
  <c r="C353" i="7"/>
  <c r="D353" i="7" s="1"/>
  <c r="J353" i="1" s="1"/>
  <c r="C354" i="7"/>
  <c r="C355" i="7"/>
  <c r="C356" i="7"/>
  <c r="C357" i="7"/>
  <c r="D357" i="7" s="1"/>
  <c r="J357" i="1" s="1"/>
  <c r="C358" i="7"/>
  <c r="C359" i="7"/>
  <c r="C360" i="7"/>
  <c r="C361" i="7"/>
  <c r="D361" i="7" s="1"/>
  <c r="J361" i="1" s="1"/>
  <c r="C362" i="7"/>
  <c r="C363" i="7"/>
  <c r="C364" i="7"/>
  <c r="C365" i="7"/>
  <c r="D365" i="7" s="1"/>
  <c r="J365" i="1" s="1"/>
  <c r="C366" i="7"/>
  <c r="C367" i="7"/>
  <c r="C368" i="7"/>
  <c r="C369" i="7"/>
  <c r="D369" i="7" s="1"/>
  <c r="J369" i="1" s="1"/>
  <c r="C370" i="7"/>
  <c r="C371" i="7"/>
  <c r="C372" i="7"/>
  <c r="C373" i="7"/>
  <c r="D373" i="7" s="1"/>
  <c r="J373" i="1" s="1"/>
  <c r="C374" i="7"/>
  <c r="C375" i="7"/>
  <c r="C376" i="7"/>
  <c r="C377" i="7"/>
  <c r="D377" i="7" s="1"/>
  <c r="J377" i="1" s="1"/>
  <c r="C378" i="7"/>
  <c r="C379" i="7"/>
  <c r="C380" i="7"/>
  <c r="C381" i="7"/>
  <c r="D381" i="7" s="1"/>
  <c r="J381" i="1" s="1"/>
  <c r="C382" i="7"/>
  <c r="C383" i="7"/>
  <c r="C384" i="7"/>
  <c r="C385" i="7"/>
  <c r="D385" i="7" s="1"/>
  <c r="J385" i="1" s="1"/>
  <c r="C386" i="7"/>
  <c r="C387" i="7"/>
  <c r="C388" i="7"/>
  <c r="C389" i="7"/>
  <c r="D389" i="7" s="1"/>
  <c r="J389" i="1" s="1"/>
  <c r="C390" i="7"/>
  <c r="C391" i="7"/>
  <c r="C392" i="7"/>
  <c r="C393" i="7"/>
  <c r="D393" i="7" s="1"/>
  <c r="J393" i="1" s="1"/>
  <c r="C394" i="7"/>
  <c r="C395" i="7"/>
  <c r="C396" i="7"/>
  <c r="C397" i="7"/>
  <c r="D397" i="7" s="1"/>
  <c r="J397" i="1" s="1"/>
  <c r="C398" i="7"/>
  <c r="C399" i="7"/>
  <c r="C400" i="7"/>
  <c r="C401" i="7"/>
  <c r="D401" i="7" s="1"/>
  <c r="J401" i="1" s="1"/>
  <c r="C402" i="7"/>
  <c r="C403" i="7"/>
  <c r="C404" i="7"/>
  <c r="C405" i="7"/>
  <c r="D405" i="7" s="1"/>
  <c r="J405" i="1" s="1"/>
  <c r="C406" i="7"/>
  <c r="C407" i="7"/>
  <c r="C408" i="7"/>
  <c r="C409" i="7"/>
  <c r="D409" i="7" s="1"/>
  <c r="J409" i="1" s="1"/>
  <c r="C410" i="7"/>
  <c r="C411" i="7"/>
  <c r="C412" i="7"/>
  <c r="C413" i="7"/>
  <c r="D413" i="7" s="1"/>
  <c r="J413" i="1" s="1"/>
  <c r="C414" i="7"/>
  <c r="C415" i="7"/>
  <c r="C416" i="7"/>
  <c r="C417" i="7"/>
  <c r="D417" i="7" s="1"/>
  <c r="J417" i="1" s="1"/>
  <c r="C418" i="7"/>
  <c r="C419" i="7"/>
  <c r="C420" i="7"/>
  <c r="C421" i="7"/>
  <c r="D421" i="7" s="1"/>
  <c r="J421" i="1" s="1"/>
  <c r="C422" i="7"/>
  <c r="C423" i="7"/>
  <c r="C424" i="7"/>
  <c r="C425" i="7"/>
  <c r="D425" i="7" s="1"/>
  <c r="J425" i="1" s="1"/>
  <c r="C426" i="7"/>
  <c r="C427" i="7"/>
  <c r="C428" i="7"/>
  <c r="C429" i="7"/>
  <c r="D429" i="7" s="1"/>
  <c r="J429" i="1" s="1"/>
  <c r="C430" i="7"/>
  <c r="C431" i="7"/>
  <c r="C432" i="7"/>
  <c r="C433" i="7"/>
  <c r="D433" i="7" s="1"/>
  <c r="J433" i="1" s="1"/>
  <c r="C434" i="7"/>
  <c r="C435" i="7"/>
  <c r="C436" i="7"/>
  <c r="C437" i="7"/>
  <c r="D437" i="7" s="1"/>
  <c r="J437" i="1" s="1"/>
  <c r="C438" i="7"/>
  <c r="C439" i="7"/>
  <c r="C440" i="7"/>
  <c r="C441" i="7"/>
  <c r="D441" i="7" s="1"/>
  <c r="J441" i="1" s="1"/>
  <c r="C442" i="7"/>
  <c r="C443" i="7"/>
  <c r="C444" i="7"/>
  <c r="C445" i="7"/>
  <c r="D445" i="7" s="1"/>
  <c r="J445" i="1" s="1"/>
  <c r="C446" i="7"/>
  <c r="C447" i="7"/>
  <c r="C448" i="7"/>
  <c r="C449" i="7"/>
  <c r="D449" i="7" s="1"/>
  <c r="J449" i="1" s="1"/>
  <c r="C450" i="7"/>
  <c r="C451" i="7"/>
  <c r="C452" i="7"/>
  <c r="C453" i="7"/>
  <c r="D453" i="7" s="1"/>
  <c r="J453" i="1" s="1"/>
  <c r="C454" i="7"/>
  <c r="C455" i="7"/>
  <c r="C456" i="7"/>
  <c r="C457" i="7"/>
  <c r="D457" i="7" s="1"/>
  <c r="J457" i="1" s="1"/>
  <c r="C458" i="7"/>
  <c r="C459" i="7"/>
  <c r="C460" i="7"/>
  <c r="C461" i="7"/>
  <c r="D461" i="7" s="1"/>
  <c r="J461" i="1" s="1"/>
  <c r="C462" i="7"/>
  <c r="C463" i="7"/>
  <c r="C464" i="7"/>
  <c r="C465" i="7"/>
  <c r="D465" i="7" s="1"/>
  <c r="J465" i="1" s="1"/>
  <c r="C466" i="7"/>
  <c r="C467" i="7"/>
  <c r="C468" i="7"/>
  <c r="C469" i="7"/>
  <c r="D469" i="7" s="1"/>
  <c r="J469" i="1" s="1"/>
  <c r="C470" i="7"/>
  <c r="C471" i="7"/>
  <c r="C472" i="7"/>
  <c r="C473" i="7"/>
  <c r="D473" i="7" s="1"/>
  <c r="J473" i="1" s="1"/>
  <c r="C474" i="7"/>
  <c r="C475" i="7"/>
  <c r="C476" i="7"/>
  <c r="C477" i="7"/>
  <c r="D477" i="7" s="1"/>
  <c r="J477" i="1" s="1"/>
  <c r="C478" i="7"/>
  <c r="C479" i="7"/>
  <c r="C480" i="7"/>
  <c r="C481" i="7"/>
  <c r="D481" i="7" s="1"/>
  <c r="J481" i="1" s="1"/>
  <c r="C482" i="7"/>
  <c r="C483" i="7"/>
  <c r="C484" i="7"/>
  <c r="C485" i="7"/>
  <c r="D485" i="7" s="1"/>
  <c r="J485" i="1" s="1"/>
  <c r="C486" i="7"/>
  <c r="C487" i="7"/>
  <c r="C488" i="7"/>
  <c r="C489" i="7"/>
  <c r="D489" i="7" s="1"/>
  <c r="J489" i="1" s="1"/>
  <c r="C490" i="7"/>
  <c r="C491" i="7"/>
  <c r="C492" i="7"/>
  <c r="C493" i="7"/>
  <c r="D493" i="7" s="1"/>
  <c r="J493" i="1" s="1"/>
  <c r="C494" i="7"/>
  <c r="C495" i="7"/>
  <c r="C496" i="7"/>
  <c r="C497" i="7"/>
  <c r="D497" i="7" s="1"/>
  <c r="J497" i="1" s="1"/>
  <c r="C498" i="7"/>
  <c r="C499" i="7"/>
  <c r="C500" i="7"/>
  <c r="C501" i="7"/>
  <c r="D501" i="7" s="1"/>
  <c r="J501" i="1" s="1"/>
  <c r="C502" i="7"/>
  <c r="C503" i="7"/>
  <c r="C504" i="7"/>
  <c r="C505" i="7"/>
  <c r="D505" i="7" s="1"/>
  <c r="J505" i="1" s="1"/>
  <c r="C506" i="7"/>
  <c r="C507" i="7"/>
  <c r="C508" i="7"/>
  <c r="C509" i="7"/>
  <c r="D509" i="7" s="1"/>
  <c r="J509" i="1" s="1"/>
  <c r="C510" i="7"/>
  <c r="C511" i="7"/>
  <c r="C512" i="7"/>
  <c r="C513" i="7"/>
  <c r="D513" i="7" s="1"/>
  <c r="J513" i="1" s="1"/>
  <c r="C514" i="7"/>
  <c r="C515" i="7"/>
  <c r="C516" i="7"/>
  <c r="C517" i="7"/>
  <c r="D517" i="7" s="1"/>
  <c r="J517" i="1" s="1"/>
  <c r="C518" i="7"/>
  <c r="C519" i="7"/>
  <c r="C520" i="7"/>
  <c r="C521" i="7"/>
  <c r="D521" i="7" s="1"/>
  <c r="J521" i="1" s="1"/>
  <c r="C522" i="7"/>
  <c r="C523" i="7"/>
  <c r="C524" i="7"/>
  <c r="C525" i="7"/>
  <c r="D525" i="7" s="1"/>
  <c r="J525" i="1" s="1"/>
  <c r="C526" i="7"/>
  <c r="C527" i="7"/>
  <c r="C528" i="7"/>
  <c r="C529" i="7"/>
  <c r="D529" i="7" s="1"/>
  <c r="J529" i="1" s="1"/>
  <c r="C530" i="7"/>
  <c r="C531" i="7"/>
  <c r="C532" i="7"/>
  <c r="C533" i="7"/>
  <c r="D533" i="7" s="1"/>
  <c r="J533" i="1" s="1"/>
  <c r="C534" i="7"/>
  <c r="C535" i="7"/>
  <c r="C536" i="7"/>
  <c r="C537" i="7"/>
  <c r="D537" i="7" s="1"/>
  <c r="J537" i="1" s="1"/>
  <c r="C538" i="7"/>
  <c r="C539" i="7"/>
  <c r="C540" i="7"/>
  <c r="C541" i="7"/>
  <c r="D541" i="7" s="1"/>
  <c r="J541" i="1" s="1"/>
  <c r="C542" i="7"/>
  <c r="C543" i="7"/>
  <c r="C544" i="7"/>
  <c r="C545" i="7"/>
  <c r="D545" i="7" s="1"/>
  <c r="J545" i="1" s="1"/>
  <c r="C546" i="7"/>
  <c r="C547" i="7"/>
  <c r="C548" i="7"/>
  <c r="C549" i="7"/>
  <c r="D549" i="7" s="1"/>
  <c r="J549" i="1" s="1"/>
  <c r="C550" i="7"/>
  <c r="C551" i="7"/>
  <c r="C552" i="7"/>
  <c r="C553" i="7"/>
  <c r="D553" i="7" s="1"/>
  <c r="J553" i="1" s="1"/>
  <c r="C554" i="7"/>
  <c r="C555" i="7"/>
  <c r="C556" i="7"/>
  <c r="C557" i="7"/>
  <c r="D557" i="7" s="1"/>
  <c r="J557" i="1" s="1"/>
  <c r="C558" i="7"/>
  <c r="C559" i="7"/>
  <c r="C560" i="7"/>
  <c r="C561" i="7"/>
  <c r="D561" i="7" s="1"/>
  <c r="J561" i="1" s="1"/>
  <c r="C562" i="7"/>
  <c r="C563" i="7"/>
  <c r="C564" i="7"/>
  <c r="C565" i="7"/>
  <c r="D565" i="7" s="1"/>
  <c r="J565" i="1" s="1"/>
  <c r="C566" i="7"/>
  <c r="C567" i="7"/>
  <c r="C568" i="7"/>
  <c r="C569" i="7"/>
  <c r="D569" i="7" s="1"/>
  <c r="J569" i="1" s="1"/>
  <c r="C570" i="7"/>
  <c r="C571" i="7"/>
  <c r="C572" i="7"/>
  <c r="C573" i="7"/>
  <c r="D573" i="7" s="1"/>
  <c r="J573" i="1" s="1"/>
  <c r="C574" i="7"/>
  <c r="C575" i="7"/>
  <c r="C576" i="7"/>
  <c r="C577" i="7"/>
  <c r="D577" i="7" s="1"/>
  <c r="J577" i="1" s="1"/>
  <c r="C578" i="7"/>
  <c r="C579" i="7"/>
  <c r="C580" i="7"/>
  <c r="C581" i="7"/>
  <c r="D581" i="7" s="1"/>
  <c r="J581" i="1" s="1"/>
  <c r="C582" i="7"/>
  <c r="C583" i="7"/>
  <c r="C584" i="7"/>
  <c r="C585" i="7"/>
  <c r="D585" i="7" s="1"/>
  <c r="J585" i="1" s="1"/>
  <c r="C586" i="7"/>
  <c r="C587" i="7"/>
  <c r="C588" i="7"/>
  <c r="C589" i="7"/>
  <c r="D589" i="7" s="1"/>
  <c r="J589" i="1" s="1"/>
  <c r="C590" i="7"/>
  <c r="C591" i="7"/>
  <c r="C592" i="7"/>
  <c r="C593" i="7"/>
  <c r="D593" i="7" s="1"/>
  <c r="J593" i="1" s="1"/>
  <c r="C594" i="7"/>
  <c r="C595" i="7"/>
  <c r="C596" i="7"/>
  <c r="C597" i="7"/>
  <c r="D597" i="7" s="1"/>
  <c r="J597" i="1" s="1"/>
  <c r="C598" i="7"/>
  <c r="C599" i="7"/>
  <c r="C600" i="7"/>
  <c r="C601" i="7"/>
  <c r="D601" i="7" s="1"/>
  <c r="J601" i="1" s="1"/>
  <c r="C602" i="7"/>
  <c r="C603" i="7"/>
  <c r="C604" i="7"/>
  <c r="C605" i="7"/>
  <c r="D605" i="7" s="1"/>
  <c r="J605" i="1" s="1"/>
  <c r="C606" i="7"/>
  <c r="C607" i="7"/>
  <c r="C608" i="7"/>
  <c r="C609" i="7"/>
  <c r="D609" i="7" s="1"/>
  <c r="J609" i="1" s="1"/>
  <c r="C610" i="7"/>
  <c r="C611" i="7"/>
  <c r="C612" i="7"/>
  <c r="C613" i="7"/>
  <c r="D613" i="7" s="1"/>
  <c r="J613" i="1" s="1"/>
  <c r="C614" i="7"/>
  <c r="C615" i="7"/>
  <c r="C616" i="7"/>
  <c r="C617" i="7"/>
  <c r="D617" i="7" s="1"/>
  <c r="J617" i="1" s="1"/>
  <c r="C618" i="7"/>
  <c r="C619" i="7"/>
  <c r="C620" i="7"/>
  <c r="C621" i="7"/>
  <c r="D621" i="7" s="1"/>
  <c r="J621" i="1" s="1"/>
  <c r="C622" i="7"/>
  <c r="D622" i="7" s="1"/>
  <c r="J622" i="1" s="1"/>
  <c r="C623" i="7"/>
  <c r="C624" i="7"/>
  <c r="C625" i="7"/>
  <c r="D625" i="7" s="1"/>
  <c r="J625" i="1" s="1"/>
  <c r="C626" i="7"/>
  <c r="D626" i="7" s="1"/>
  <c r="J626" i="1" s="1"/>
  <c r="C627" i="7"/>
  <c r="C628" i="7"/>
  <c r="C629" i="7"/>
  <c r="C630" i="7"/>
  <c r="D630" i="7" s="1"/>
  <c r="J630" i="1" s="1"/>
  <c r="C631" i="7"/>
  <c r="C632" i="7"/>
  <c r="C633" i="7"/>
  <c r="C634" i="7"/>
  <c r="D634" i="7" s="1"/>
  <c r="J634" i="1" s="1"/>
  <c r="C635" i="7"/>
  <c r="C636" i="7"/>
  <c r="C637" i="7"/>
  <c r="D637" i="7" s="1"/>
  <c r="J637" i="1" s="1"/>
  <c r="C638" i="7"/>
  <c r="D638" i="7" s="1"/>
  <c r="J638" i="1" s="1"/>
  <c r="C639" i="7"/>
  <c r="C640" i="7"/>
  <c r="C641" i="7"/>
  <c r="D641" i="7" s="1"/>
  <c r="J641" i="1" s="1"/>
  <c r="C642" i="7"/>
  <c r="D642" i="7" s="1"/>
  <c r="J642" i="1" s="1"/>
  <c r="C643" i="7"/>
  <c r="C644" i="7"/>
  <c r="C645" i="7"/>
  <c r="C646" i="7"/>
  <c r="D646" i="7" s="1"/>
  <c r="J646" i="1" s="1"/>
  <c r="C647" i="7"/>
  <c r="C648" i="7"/>
  <c r="C649" i="7"/>
  <c r="C650" i="7"/>
  <c r="D650" i="7" s="1"/>
  <c r="J650" i="1" s="1"/>
  <c r="C651" i="7"/>
  <c r="C652" i="7"/>
  <c r="C653" i="7"/>
  <c r="D653" i="7" s="1"/>
  <c r="J653" i="1" s="1"/>
  <c r="C654" i="7"/>
  <c r="D654" i="7" s="1"/>
  <c r="J654" i="1" s="1"/>
  <c r="C655" i="7"/>
  <c r="C656" i="7"/>
  <c r="C657" i="7"/>
  <c r="D657" i="7" s="1"/>
  <c r="J657" i="1" s="1"/>
  <c r="C658" i="7"/>
  <c r="D658" i="7" s="1"/>
  <c r="J658" i="1" s="1"/>
  <c r="C659" i="7"/>
  <c r="C660" i="7"/>
  <c r="C661" i="7"/>
  <c r="C662" i="7"/>
  <c r="D662" i="7" s="1"/>
  <c r="J662" i="1" s="1"/>
  <c r="C663" i="7"/>
  <c r="C664" i="7"/>
  <c r="C665" i="7"/>
  <c r="C666" i="7"/>
  <c r="D666" i="7" s="1"/>
  <c r="J666" i="1" s="1"/>
  <c r="C667" i="7"/>
  <c r="C668" i="7"/>
  <c r="C669" i="7"/>
  <c r="D669" i="7" s="1"/>
  <c r="J669" i="1" s="1"/>
  <c r="C670" i="7"/>
  <c r="D670" i="7" s="1"/>
  <c r="J670" i="1" s="1"/>
  <c r="C671" i="7"/>
  <c r="C672" i="7"/>
  <c r="C673" i="7"/>
  <c r="D673" i="7" s="1"/>
  <c r="J673" i="1" s="1"/>
  <c r="C674" i="7"/>
  <c r="D674" i="7" s="1"/>
  <c r="J674" i="1" s="1"/>
  <c r="C675" i="7"/>
  <c r="C676" i="7"/>
  <c r="C677" i="7"/>
  <c r="C678" i="7"/>
  <c r="D678" i="7" s="1"/>
  <c r="J678" i="1" s="1"/>
  <c r="C679" i="7"/>
  <c r="C680" i="7"/>
  <c r="C681" i="7"/>
  <c r="C682" i="7"/>
  <c r="D682" i="7" s="1"/>
  <c r="J682" i="1" s="1"/>
  <c r="C683" i="7"/>
  <c r="C684" i="7"/>
  <c r="C685" i="7"/>
  <c r="D685" i="7" s="1"/>
  <c r="J685" i="1" s="1"/>
  <c r="C686" i="7"/>
  <c r="D686" i="7" s="1"/>
  <c r="J686" i="1" s="1"/>
  <c r="C687" i="7"/>
  <c r="C688" i="7"/>
  <c r="C689" i="7"/>
  <c r="D689" i="7" s="1"/>
  <c r="J689" i="1" s="1"/>
  <c r="C690" i="7"/>
  <c r="D690" i="7" s="1"/>
  <c r="J690" i="1" s="1"/>
  <c r="C691" i="7"/>
  <c r="C692" i="7"/>
  <c r="C693" i="7"/>
  <c r="C694" i="7"/>
  <c r="D694" i="7" s="1"/>
  <c r="J694" i="1" s="1"/>
  <c r="C695" i="7"/>
  <c r="C696" i="7"/>
  <c r="C697" i="7"/>
  <c r="C698" i="7"/>
  <c r="D698" i="7" s="1"/>
  <c r="J698" i="1" s="1"/>
  <c r="C699" i="7"/>
  <c r="C700" i="7"/>
  <c r="C701" i="7"/>
  <c r="D701" i="7" s="1"/>
  <c r="J701" i="1" s="1"/>
  <c r="C702" i="7"/>
  <c r="D702" i="7" s="1"/>
  <c r="J702" i="1" s="1"/>
  <c r="C703" i="7"/>
  <c r="C704" i="7"/>
  <c r="C705" i="7"/>
  <c r="D705" i="7" s="1"/>
  <c r="J705" i="1" s="1"/>
  <c r="C706" i="7"/>
  <c r="D706" i="7" s="1"/>
  <c r="J706" i="1" s="1"/>
  <c r="C707" i="7"/>
  <c r="C708" i="7"/>
  <c r="C709" i="7"/>
  <c r="C710" i="7"/>
  <c r="D710" i="7" s="1"/>
  <c r="J710" i="1" s="1"/>
  <c r="C711" i="7"/>
  <c r="C712" i="7"/>
  <c r="C713" i="7"/>
  <c r="C714" i="7"/>
  <c r="D714" i="7" s="1"/>
  <c r="J714" i="1" s="1"/>
  <c r="C715" i="7"/>
  <c r="C716" i="7"/>
  <c r="C717" i="7"/>
  <c r="D717" i="7" s="1"/>
  <c r="J717" i="1" s="1"/>
  <c r="C718" i="7"/>
  <c r="D718" i="7" s="1"/>
  <c r="J718" i="1" s="1"/>
  <c r="C719" i="7"/>
  <c r="C720" i="7"/>
  <c r="C721" i="7"/>
  <c r="D721" i="7" s="1"/>
  <c r="J721" i="1" s="1"/>
  <c r="C722" i="7"/>
  <c r="D722" i="7" s="1"/>
  <c r="J722" i="1" s="1"/>
  <c r="C723" i="7"/>
  <c r="C724" i="7"/>
  <c r="C725" i="7"/>
  <c r="C726" i="7"/>
  <c r="D726" i="7" s="1"/>
  <c r="J726" i="1" s="1"/>
  <c r="C727" i="7"/>
  <c r="C728" i="7"/>
  <c r="C729" i="7"/>
  <c r="C730" i="7"/>
  <c r="D730" i="7" s="1"/>
  <c r="J730" i="1" s="1"/>
  <c r="C731" i="7"/>
  <c r="C732" i="7"/>
  <c r="C733" i="7"/>
  <c r="D733" i="7" s="1"/>
  <c r="J733" i="1" s="1"/>
  <c r="C734" i="7"/>
  <c r="D734" i="7" s="1"/>
  <c r="J734" i="1" s="1"/>
  <c r="C735" i="7"/>
  <c r="C736" i="7"/>
  <c r="C737" i="7"/>
  <c r="D737" i="7" s="1"/>
  <c r="J737" i="1" s="1"/>
  <c r="C738" i="7"/>
  <c r="D738" i="7" s="1"/>
  <c r="J738" i="1" s="1"/>
  <c r="C739" i="7"/>
  <c r="C740" i="7"/>
  <c r="C741" i="7"/>
  <c r="C742" i="7"/>
  <c r="D742" i="7" s="1"/>
  <c r="J742" i="1" s="1"/>
  <c r="C743" i="7"/>
  <c r="C744" i="7"/>
  <c r="C745" i="7"/>
  <c r="C746" i="7"/>
  <c r="D746" i="7" s="1"/>
  <c r="J746" i="1" s="1"/>
  <c r="C747" i="7"/>
  <c r="C748" i="7"/>
  <c r="C749" i="7"/>
  <c r="D749" i="7" s="1"/>
  <c r="J749" i="1" s="1"/>
  <c r="C750" i="7"/>
  <c r="D750" i="7" s="1"/>
  <c r="J750" i="1" s="1"/>
  <c r="C751" i="7"/>
  <c r="C752" i="7"/>
  <c r="C753" i="7"/>
  <c r="D753" i="7" s="1"/>
  <c r="J753" i="1" s="1"/>
  <c r="C754" i="7"/>
  <c r="D754" i="7" s="1"/>
  <c r="J754" i="1" s="1"/>
  <c r="C755" i="7"/>
  <c r="C756" i="7"/>
  <c r="C757" i="7"/>
  <c r="C758" i="7"/>
  <c r="D758" i="7" s="1"/>
  <c r="J758" i="1" s="1"/>
  <c r="C759" i="7"/>
  <c r="C760" i="7"/>
  <c r="C761" i="7"/>
  <c r="C762" i="7"/>
  <c r="D762" i="7" s="1"/>
  <c r="J762" i="1" s="1"/>
  <c r="C763" i="7"/>
  <c r="C764" i="7"/>
  <c r="C765" i="7"/>
  <c r="D765" i="7" s="1"/>
  <c r="J765" i="1" s="1"/>
  <c r="C766" i="7"/>
  <c r="D766" i="7" s="1"/>
  <c r="J766" i="1" s="1"/>
  <c r="C767" i="7"/>
  <c r="C768" i="7"/>
  <c r="C769" i="7"/>
  <c r="D769" i="7" s="1"/>
  <c r="J769" i="1" s="1"/>
  <c r="C770" i="7"/>
  <c r="D770" i="7" s="1"/>
  <c r="J770" i="1" s="1"/>
  <c r="C771" i="7"/>
  <c r="C772" i="7"/>
  <c r="C773" i="7"/>
  <c r="C774" i="7"/>
  <c r="D774" i="7" s="1"/>
  <c r="J774" i="1" s="1"/>
  <c r="C775" i="7"/>
  <c r="C776" i="7"/>
  <c r="C777" i="7"/>
  <c r="C778" i="7"/>
  <c r="D778" i="7" s="1"/>
  <c r="J778" i="1" s="1"/>
  <c r="C779" i="7"/>
  <c r="C780" i="7"/>
  <c r="C781" i="7"/>
  <c r="D781" i="7" s="1"/>
  <c r="J781" i="1" s="1"/>
  <c r="C782" i="7"/>
  <c r="D782" i="7" s="1"/>
  <c r="J782" i="1" s="1"/>
  <c r="C783" i="7"/>
  <c r="C784" i="7"/>
  <c r="C785" i="7"/>
  <c r="D785" i="7" s="1"/>
  <c r="J785" i="1" s="1"/>
  <c r="C786" i="7"/>
  <c r="D786" i="7" s="1"/>
  <c r="J786" i="1" s="1"/>
  <c r="C787" i="7"/>
  <c r="C788" i="7"/>
  <c r="C789" i="7"/>
  <c r="C790" i="7"/>
  <c r="D790" i="7" s="1"/>
  <c r="J790" i="1" s="1"/>
  <c r="C791" i="7"/>
  <c r="C792" i="7"/>
  <c r="C793" i="7"/>
  <c r="C794" i="7"/>
  <c r="D794" i="7" s="1"/>
  <c r="J794" i="1" s="1"/>
  <c r="C795" i="7"/>
  <c r="C796" i="7"/>
  <c r="C797" i="7"/>
  <c r="D797" i="7" s="1"/>
  <c r="J797" i="1" s="1"/>
  <c r="C798" i="7"/>
  <c r="D798" i="7" s="1"/>
  <c r="J798" i="1" s="1"/>
  <c r="C799" i="7"/>
  <c r="C800" i="7"/>
  <c r="C801" i="7"/>
  <c r="D801" i="7" s="1"/>
  <c r="J801" i="1" s="1"/>
  <c r="C802" i="7"/>
  <c r="D802" i="7" s="1"/>
  <c r="J802" i="1" s="1"/>
  <c r="C803" i="7"/>
  <c r="C804" i="7"/>
  <c r="C805" i="7"/>
  <c r="C806" i="7"/>
  <c r="D806" i="7" s="1"/>
  <c r="J806" i="1" s="1"/>
  <c r="C807" i="7"/>
  <c r="C808" i="7"/>
  <c r="C809" i="7"/>
  <c r="C810" i="7"/>
  <c r="D810" i="7" s="1"/>
  <c r="J810" i="1" s="1"/>
  <c r="C811" i="7"/>
  <c r="C812" i="7"/>
  <c r="C813" i="7"/>
  <c r="D813" i="7" s="1"/>
  <c r="J813" i="1" s="1"/>
  <c r="C814" i="7"/>
  <c r="D814" i="7" s="1"/>
  <c r="J814" i="1" s="1"/>
  <c r="C815" i="7"/>
  <c r="C816" i="7"/>
  <c r="C817" i="7"/>
  <c r="D817" i="7" s="1"/>
  <c r="J817" i="1" s="1"/>
  <c r="C818" i="7"/>
  <c r="D818" i="7" s="1"/>
  <c r="J818" i="1" s="1"/>
  <c r="C819" i="7"/>
  <c r="C820" i="7"/>
  <c r="C821" i="7"/>
  <c r="C822" i="7"/>
  <c r="D822" i="7" s="1"/>
  <c r="J822" i="1" s="1"/>
  <c r="C823" i="7"/>
  <c r="C824" i="7"/>
  <c r="C825" i="7"/>
  <c r="C826" i="7"/>
  <c r="D826" i="7" s="1"/>
  <c r="J826" i="1" s="1"/>
  <c r="C827" i="7"/>
  <c r="C828" i="7"/>
  <c r="C829" i="7"/>
  <c r="D829" i="7" s="1"/>
  <c r="J829" i="1" s="1"/>
  <c r="C830" i="7"/>
  <c r="D830" i="7" s="1"/>
  <c r="J830" i="1" s="1"/>
  <c r="C831" i="7"/>
  <c r="C832" i="7"/>
  <c r="C833" i="7"/>
  <c r="D833" i="7" s="1"/>
  <c r="J833" i="1" s="1"/>
  <c r="C834" i="7"/>
  <c r="D834" i="7" s="1"/>
  <c r="J834" i="1" s="1"/>
  <c r="C835" i="7"/>
  <c r="C836" i="7"/>
  <c r="C837" i="7"/>
  <c r="C838" i="7"/>
  <c r="D838" i="7" s="1"/>
  <c r="J838" i="1" s="1"/>
  <c r="C839" i="7"/>
  <c r="C840" i="7"/>
  <c r="C841" i="7"/>
  <c r="C842" i="7"/>
  <c r="D842" i="7" s="1"/>
  <c r="J842" i="1" s="1"/>
  <c r="C843" i="7"/>
  <c r="C844" i="7"/>
  <c r="C845" i="7"/>
  <c r="D845" i="7" s="1"/>
  <c r="J845" i="1" s="1"/>
  <c r="C846" i="7"/>
  <c r="D846" i="7" s="1"/>
  <c r="J846" i="1" s="1"/>
  <c r="C847" i="7"/>
  <c r="C848" i="7"/>
  <c r="C849" i="7"/>
  <c r="D849" i="7" s="1"/>
  <c r="J849" i="1" s="1"/>
  <c r="C850" i="7"/>
  <c r="D850" i="7" s="1"/>
  <c r="J850" i="1" s="1"/>
  <c r="C851" i="7"/>
  <c r="C852" i="7"/>
  <c r="C853" i="7"/>
  <c r="C854" i="7"/>
  <c r="D854" i="7" s="1"/>
  <c r="J854" i="1" s="1"/>
  <c r="C855" i="7"/>
  <c r="C856" i="7"/>
  <c r="C857" i="7"/>
  <c r="C858" i="7"/>
  <c r="D858" i="7" s="1"/>
  <c r="J858" i="1" s="1"/>
  <c r="C859" i="7"/>
  <c r="C860" i="7"/>
  <c r="C861" i="7"/>
  <c r="D861" i="7" s="1"/>
  <c r="J861" i="1" s="1"/>
  <c r="C862" i="7"/>
  <c r="D862" i="7" s="1"/>
  <c r="J862" i="1" s="1"/>
  <c r="C863" i="7"/>
  <c r="C864" i="7"/>
  <c r="C865" i="7"/>
  <c r="D865" i="7" s="1"/>
  <c r="J865" i="1" s="1"/>
  <c r="C866" i="7"/>
  <c r="D866" i="7" s="1"/>
  <c r="J866" i="1" s="1"/>
  <c r="C867" i="7"/>
  <c r="C868" i="7"/>
  <c r="C869" i="7"/>
  <c r="C870" i="7"/>
  <c r="D870" i="7" s="1"/>
  <c r="J870" i="1" s="1"/>
  <c r="C871" i="7"/>
  <c r="C872" i="7"/>
  <c r="C873" i="7"/>
  <c r="C874" i="7"/>
  <c r="D874" i="7" s="1"/>
  <c r="J874" i="1" s="1"/>
  <c r="C875" i="7"/>
  <c r="C876" i="7"/>
  <c r="C877" i="7"/>
  <c r="D877" i="7" s="1"/>
  <c r="J877" i="1" s="1"/>
  <c r="C878" i="7"/>
  <c r="D878" i="7" s="1"/>
  <c r="J878" i="1" s="1"/>
  <c r="C879" i="7"/>
  <c r="C880" i="7"/>
  <c r="C881" i="7"/>
  <c r="D881" i="7" s="1"/>
  <c r="J881" i="1" s="1"/>
  <c r="C882" i="7"/>
  <c r="D882" i="7" s="1"/>
  <c r="J882" i="1" s="1"/>
  <c r="C883" i="7"/>
  <c r="C884" i="7"/>
  <c r="C885" i="7"/>
  <c r="C886" i="7"/>
  <c r="D886" i="7" s="1"/>
  <c r="J886" i="1" s="1"/>
  <c r="C887" i="7"/>
  <c r="C888" i="7"/>
  <c r="C889" i="7"/>
  <c r="C890" i="7"/>
  <c r="D890" i="7" s="1"/>
  <c r="J890" i="1" s="1"/>
  <c r="C891" i="7"/>
  <c r="C892" i="7"/>
  <c r="C893" i="7"/>
  <c r="D893" i="7" s="1"/>
  <c r="J893" i="1" s="1"/>
  <c r="C894" i="7"/>
  <c r="D894" i="7" s="1"/>
  <c r="J894" i="1" s="1"/>
  <c r="C895" i="7"/>
  <c r="C896" i="7"/>
  <c r="C897" i="7"/>
  <c r="D897" i="7" s="1"/>
  <c r="J897" i="1" s="1"/>
  <c r="C898" i="7"/>
  <c r="D898" i="7" s="1"/>
  <c r="J898" i="1" s="1"/>
  <c r="C899" i="7"/>
  <c r="C2" i="7"/>
  <c r="B3" i="5"/>
  <c r="B4" i="5"/>
  <c r="B5" i="5"/>
  <c r="B6" i="5"/>
  <c r="C6" i="5" s="1"/>
  <c r="D6" i="5" s="1"/>
  <c r="B7" i="5"/>
  <c r="B8" i="5"/>
  <c r="B9" i="5"/>
  <c r="B10" i="5"/>
  <c r="C10" i="5" s="1"/>
  <c r="D10" i="5" s="1"/>
  <c r="B11" i="5"/>
  <c r="B12" i="5"/>
  <c r="B13" i="5"/>
  <c r="B14" i="5"/>
  <c r="C14" i="5" s="1"/>
  <c r="D14" i="5" s="1"/>
  <c r="B15" i="5"/>
  <c r="B16" i="5"/>
  <c r="B17" i="5"/>
  <c r="B18" i="5"/>
  <c r="C18" i="5" s="1"/>
  <c r="D18" i="5" s="1"/>
  <c r="B19" i="5"/>
  <c r="B20" i="5"/>
  <c r="B21" i="5"/>
  <c r="B22" i="5"/>
  <c r="C22" i="5" s="1"/>
  <c r="D22" i="5" s="1"/>
  <c r="B23" i="5"/>
  <c r="B24" i="5"/>
  <c r="B25" i="5"/>
  <c r="B26" i="5"/>
  <c r="C26" i="5" s="1"/>
  <c r="D26" i="5" s="1"/>
  <c r="B27" i="5"/>
  <c r="B28" i="5"/>
  <c r="B29" i="5"/>
  <c r="B30" i="5"/>
  <c r="C30" i="5" s="1"/>
  <c r="D30" i="5" s="1"/>
  <c r="B31" i="5"/>
  <c r="B32" i="5"/>
  <c r="B33" i="5"/>
  <c r="B34" i="5"/>
  <c r="C34" i="5" s="1"/>
  <c r="D34" i="5" s="1"/>
  <c r="B35" i="5"/>
  <c r="B36" i="5"/>
  <c r="B37" i="5"/>
  <c r="B38" i="5"/>
  <c r="C38" i="5" s="1"/>
  <c r="D38" i="5" s="1"/>
  <c r="B39" i="5"/>
  <c r="B40" i="5"/>
  <c r="B41" i="5"/>
  <c r="B42" i="5"/>
  <c r="C42" i="5" s="1"/>
  <c r="D42" i="5" s="1"/>
  <c r="B43" i="5"/>
  <c r="B44" i="5"/>
  <c r="B45" i="5"/>
  <c r="B46" i="5"/>
  <c r="C46" i="5" s="1"/>
  <c r="D46" i="5" s="1"/>
  <c r="B47" i="5"/>
  <c r="B48" i="5"/>
  <c r="B49" i="5"/>
  <c r="B50" i="5"/>
  <c r="C50" i="5" s="1"/>
  <c r="D50" i="5" s="1"/>
  <c r="B51" i="5"/>
  <c r="B52" i="5"/>
  <c r="B53" i="5"/>
  <c r="B54" i="5"/>
  <c r="C54" i="5" s="1"/>
  <c r="D54" i="5" s="1"/>
  <c r="B55" i="5"/>
  <c r="B56" i="5"/>
  <c r="B57" i="5"/>
  <c r="B58" i="5"/>
  <c r="C58" i="5" s="1"/>
  <c r="D58" i="5" s="1"/>
  <c r="B59" i="5"/>
  <c r="B60" i="5"/>
  <c r="B61" i="5"/>
  <c r="B62" i="5"/>
  <c r="C62" i="5" s="1"/>
  <c r="D62" i="5" s="1"/>
  <c r="B63" i="5"/>
  <c r="B64" i="5"/>
  <c r="B65" i="5"/>
  <c r="B66" i="5"/>
  <c r="C66" i="5" s="1"/>
  <c r="D66" i="5" s="1"/>
  <c r="B67" i="5"/>
  <c r="B68" i="5"/>
  <c r="B69" i="5"/>
  <c r="B70" i="5"/>
  <c r="C70" i="5" s="1"/>
  <c r="D70" i="5" s="1"/>
  <c r="B71" i="5"/>
  <c r="B72" i="5"/>
  <c r="B73" i="5"/>
  <c r="B74" i="5"/>
  <c r="C74" i="5" s="1"/>
  <c r="D74" i="5" s="1"/>
  <c r="B75" i="5"/>
  <c r="B76" i="5"/>
  <c r="B77" i="5"/>
  <c r="B78" i="5"/>
  <c r="C78" i="5" s="1"/>
  <c r="D78" i="5" s="1"/>
  <c r="B79" i="5"/>
  <c r="B80" i="5"/>
  <c r="B81" i="5"/>
  <c r="B82" i="5"/>
  <c r="C82" i="5" s="1"/>
  <c r="D82" i="5" s="1"/>
  <c r="B83" i="5"/>
  <c r="B84" i="5"/>
  <c r="B85" i="5"/>
  <c r="B86" i="5"/>
  <c r="C86" i="5" s="1"/>
  <c r="D86" i="5" s="1"/>
  <c r="B87" i="5"/>
  <c r="B88" i="5"/>
  <c r="B89" i="5"/>
  <c r="B90" i="5"/>
  <c r="C90" i="5" s="1"/>
  <c r="D90" i="5" s="1"/>
  <c r="B91" i="5"/>
  <c r="B92" i="5"/>
  <c r="B93" i="5"/>
  <c r="B94" i="5"/>
  <c r="C94" i="5" s="1"/>
  <c r="D94" i="5" s="1"/>
  <c r="B95" i="5"/>
  <c r="B96" i="5"/>
  <c r="B97" i="5"/>
  <c r="B98" i="5"/>
  <c r="C98" i="5" s="1"/>
  <c r="D98" i="5" s="1"/>
  <c r="B99" i="5"/>
  <c r="B100" i="5"/>
  <c r="B101" i="5"/>
  <c r="B102" i="5"/>
  <c r="C102" i="5" s="1"/>
  <c r="D102" i="5" s="1"/>
  <c r="B103" i="5"/>
  <c r="B104" i="5"/>
  <c r="B105" i="5"/>
  <c r="B106" i="5"/>
  <c r="C106" i="5" s="1"/>
  <c r="D106" i="5" s="1"/>
  <c r="B107" i="5"/>
  <c r="B108" i="5"/>
  <c r="B109" i="5"/>
  <c r="B110" i="5"/>
  <c r="C110" i="5" s="1"/>
  <c r="D110" i="5" s="1"/>
  <c r="B111" i="5"/>
  <c r="B112" i="5"/>
  <c r="B113" i="5"/>
  <c r="B114" i="5"/>
  <c r="C114" i="5" s="1"/>
  <c r="D114" i="5" s="1"/>
  <c r="B115" i="5"/>
  <c r="B116" i="5"/>
  <c r="B117" i="5"/>
  <c r="B118" i="5"/>
  <c r="C118" i="5" s="1"/>
  <c r="D118" i="5" s="1"/>
  <c r="B119" i="5"/>
  <c r="B120" i="5"/>
  <c r="B121" i="5"/>
  <c r="B122" i="5"/>
  <c r="C122" i="5" s="1"/>
  <c r="D122" i="5" s="1"/>
  <c r="B123" i="5"/>
  <c r="B124" i="5"/>
  <c r="B125" i="5"/>
  <c r="B126" i="5"/>
  <c r="C126" i="5" s="1"/>
  <c r="D126" i="5" s="1"/>
  <c r="B127" i="5"/>
  <c r="B128" i="5"/>
  <c r="B129" i="5"/>
  <c r="B130" i="5"/>
  <c r="C130" i="5" s="1"/>
  <c r="D130" i="5" s="1"/>
  <c r="B131" i="5"/>
  <c r="B132" i="5"/>
  <c r="B133" i="5"/>
  <c r="B134" i="5"/>
  <c r="C134" i="5" s="1"/>
  <c r="D134" i="5" s="1"/>
  <c r="B135" i="5"/>
  <c r="B136" i="5"/>
  <c r="B137" i="5"/>
  <c r="B138" i="5"/>
  <c r="C138" i="5" s="1"/>
  <c r="D138" i="5" s="1"/>
  <c r="B139" i="5"/>
  <c r="B140" i="5"/>
  <c r="B141" i="5"/>
  <c r="B142" i="5"/>
  <c r="C142" i="5" s="1"/>
  <c r="D142" i="5" s="1"/>
  <c r="B143" i="5"/>
  <c r="B144" i="5"/>
  <c r="B145" i="5"/>
  <c r="B146" i="5"/>
  <c r="C146" i="5" s="1"/>
  <c r="D146" i="5" s="1"/>
  <c r="B147" i="5"/>
  <c r="B148" i="5"/>
  <c r="B149" i="5"/>
  <c r="B150" i="5"/>
  <c r="C150" i="5" s="1"/>
  <c r="D150" i="5" s="1"/>
  <c r="B151" i="5"/>
  <c r="B152" i="5"/>
  <c r="B153" i="5"/>
  <c r="B154" i="5"/>
  <c r="C154" i="5" s="1"/>
  <c r="D154" i="5" s="1"/>
  <c r="B155" i="5"/>
  <c r="B156" i="5"/>
  <c r="B157" i="5"/>
  <c r="B158" i="5"/>
  <c r="C158" i="5" s="1"/>
  <c r="D158" i="5" s="1"/>
  <c r="B159" i="5"/>
  <c r="B160" i="5"/>
  <c r="B161" i="5"/>
  <c r="B162" i="5"/>
  <c r="C162" i="5" s="1"/>
  <c r="D162" i="5" s="1"/>
  <c r="B163" i="5"/>
  <c r="B164" i="5"/>
  <c r="B165" i="5"/>
  <c r="B166" i="5"/>
  <c r="C166" i="5" s="1"/>
  <c r="D166" i="5" s="1"/>
  <c r="B167" i="5"/>
  <c r="B168" i="5"/>
  <c r="B169" i="5"/>
  <c r="B170" i="5"/>
  <c r="C170" i="5" s="1"/>
  <c r="D170" i="5" s="1"/>
  <c r="B171" i="5"/>
  <c r="B172" i="5"/>
  <c r="B173" i="5"/>
  <c r="B174" i="5"/>
  <c r="C174" i="5" s="1"/>
  <c r="D174" i="5" s="1"/>
  <c r="B175" i="5"/>
  <c r="B176" i="5"/>
  <c r="B177" i="5"/>
  <c r="B178" i="5"/>
  <c r="C178" i="5" s="1"/>
  <c r="D178" i="5" s="1"/>
  <c r="B179" i="5"/>
  <c r="B180" i="5"/>
  <c r="B181" i="5"/>
  <c r="B182" i="5"/>
  <c r="C182" i="5" s="1"/>
  <c r="D182" i="5" s="1"/>
  <c r="B183" i="5"/>
  <c r="B184" i="5"/>
  <c r="B185" i="5"/>
  <c r="B186" i="5"/>
  <c r="C186" i="5" s="1"/>
  <c r="D186" i="5" s="1"/>
  <c r="B187" i="5"/>
  <c r="B188" i="5"/>
  <c r="B189" i="5"/>
  <c r="B190" i="5"/>
  <c r="C190" i="5" s="1"/>
  <c r="D190" i="5" s="1"/>
  <c r="B191" i="5"/>
  <c r="B192" i="5"/>
  <c r="B193" i="5"/>
  <c r="B194" i="5"/>
  <c r="C194" i="5" s="1"/>
  <c r="D194" i="5" s="1"/>
  <c r="B195" i="5"/>
  <c r="B196" i="5"/>
  <c r="B197" i="5"/>
  <c r="B198" i="5"/>
  <c r="C198" i="5" s="1"/>
  <c r="D198" i="5" s="1"/>
  <c r="B199" i="5"/>
  <c r="B200" i="5"/>
  <c r="B201" i="5"/>
  <c r="B202" i="5"/>
  <c r="C202" i="5" s="1"/>
  <c r="D202" i="5" s="1"/>
  <c r="B203" i="5"/>
  <c r="B204" i="5"/>
  <c r="B205" i="5"/>
  <c r="B206" i="5"/>
  <c r="C206" i="5" s="1"/>
  <c r="D206" i="5" s="1"/>
  <c r="B207" i="5"/>
  <c r="B208" i="5"/>
  <c r="B209" i="5"/>
  <c r="B210" i="5"/>
  <c r="C210" i="5" s="1"/>
  <c r="D210" i="5" s="1"/>
  <c r="B211" i="5"/>
  <c r="B212" i="5"/>
  <c r="B213" i="5"/>
  <c r="B214" i="5"/>
  <c r="C214" i="5" s="1"/>
  <c r="D214" i="5" s="1"/>
  <c r="B215" i="5"/>
  <c r="B216" i="5"/>
  <c r="B217" i="5"/>
  <c r="B218" i="5"/>
  <c r="C218" i="5" s="1"/>
  <c r="D218" i="5" s="1"/>
  <c r="B219" i="5"/>
  <c r="B220" i="5"/>
  <c r="B221" i="5"/>
  <c r="B222" i="5"/>
  <c r="C222" i="5" s="1"/>
  <c r="D222" i="5" s="1"/>
  <c r="B223" i="5"/>
  <c r="B224" i="5"/>
  <c r="B225" i="5"/>
  <c r="B226" i="5"/>
  <c r="C226" i="5" s="1"/>
  <c r="D226" i="5" s="1"/>
  <c r="B227" i="5"/>
  <c r="B228" i="5"/>
  <c r="B229" i="5"/>
  <c r="B230" i="5"/>
  <c r="C230" i="5" s="1"/>
  <c r="D230" i="5" s="1"/>
  <c r="B231" i="5"/>
  <c r="B232" i="5"/>
  <c r="B233" i="5"/>
  <c r="B234" i="5"/>
  <c r="C234" i="5" s="1"/>
  <c r="D234" i="5" s="1"/>
  <c r="B235" i="5"/>
  <c r="B236" i="5"/>
  <c r="B237" i="5"/>
  <c r="B238" i="5"/>
  <c r="C238" i="5" s="1"/>
  <c r="D238" i="5" s="1"/>
  <c r="B239" i="5"/>
  <c r="B240" i="5"/>
  <c r="B241" i="5"/>
  <c r="B242" i="5"/>
  <c r="C242" i="5" s="1"/>
  <c r="D242" i="5" s="1"/>
  <c r="B243" i="5"/>
  <c r="B244" i="5"/>
  <c r="B245" i="5"/>
  <c r="B246" i="5"/>
  <c r="C246" i="5" s="1"/>
  <c r="D246" i="5" s="1"/>
  <c r="B247" i="5"/>
  <c r="B248" i="5"/>
  <c r="B249" i="5"/>
  <c r="B250" i="5"/>
  <c r="C250" i="5" s="1"/>
  <c r="D250" i="5" s="1"/>
  <c r="B251" i="5"/>
  <c r="B252" i="5"/>
  <c r="B253" i="5"/>
  <c r="B254" i="5"/>
  <c r="C254" i="5" s="1"/>
  <c r="D254" i="5" s="1"/>
  <c r="B255" i="5"/>
  <c r="B256" i="5"/>
  <c r="B257" i="5"/>
  <c r="B258" i="5"/>
  <c r="C258" i="5" s="1"/>
  <c r="D258" i="5" s="1"/>
  <c r="B259" i="5"/>
  <c r="B260" i="5"/>
  <c r="B261" i="5"/>
  <c r="B262" i="5"/>
  <c r="C262" i="5" s="1"/>
  <c r="D262" i="5" s="1"/>
  <c r="B263" i="5"/>
  <c r="B264" i="5"/>
  <c r="B265" i="5"/>
  <c r="B266" i="5"/>
  <c r="C266" i="5" s="1"/>
  <c r="D266" i="5" s="1"/>
  <c r="B267" i="5"/>
  <c r="B268" i="5"/>
  <c r="B269" i="5"/>
  <c r="B270" i="5"/>
  <c r="C270" i="5" s="1"/>
  <c r="D270" i="5" s="1"/>
  <c r="B271" i="5"/>
  <c r="B272" i="5"/>
  <c r="B273" i="5"/>
  <c r="B274" i="5"/>
  <c r="C274" i="5" s="1"/>
  <c r="D274" i="5" s="1"/>
  <c r="B275" i="5"/>
  <c r="B276" i="5"/>
  <c r="B277" i="5"/>
  <c r="B278" i="5"/>
  <c r="C278" i="5" s="1"/>
  <c r="D278" i="5" s="1"/>
  <c r="B279" i="5"/>
  <c r="B280" i="5"/>
  <c r="B281" i="5"/>
  <c r="B282" i="5"/>
  <c r="C282" i="5" s="1"/>
  <c r="D282" i="5" s="1"/>
  <c r="B283" i="5"/>
  <c r="B284" i="5"/>
  <c r="B285" i="5"/>
  <c r="B286" i="5"/>
  <c r="C286" i="5" s="1"/>
  <c r="D286" i="5" s="1"/>
  <c r="B287" i="5"/>
  <c r="B288" i="5"/>
  <c r="B289" i="5"/>
  <c r="B290" i="5"/>
  <c r="C290" i="5" s="1"/>
  <c r="D290" i="5" s="1"/>
  <c r="B291" i="5"/>
  <c r="B292" i="5"/>
  <c r="B293" i="5"/>
  <c r="B294" i="5"/>
  <c r="C294" i="5" s="1"/>
  <c r="D294" i="5" s="1"/>
  <c r="B295" i="5"/>
  <c r="B296" i="5"/>
  <c r="B297" i="5"/>
  <c r="B298" i="5"/>
  <c r="C298" i="5" s="1"/>
  <c r="D298" i="5" s="1"/>
  <c r="B299" i="5"/>
  <c r="B300" i="5"/>
  <c r="B301" i="5"/>
  <c r="B302" i="5"/>
  <c r="C302" i="5" s="1"/>
  <c r="D302" i="5" s="1"/>
  <c r="B303" i="5"/>
  <c r="B304" i="5"/>
  <c r="B305" i="5"/>
  <c r="B306" i="5"/>
  <c r="C306" i="5" s="1"/>
  <c r="D306" i="5" s="1"/>
  <c r="B307" i="5"/>
  <c r="B308" i="5"/>
  <c r="B309" i="5"/>
  <c r="B310" i="5"/>
  <c r="C310" i="5" s="1"/>
  <c r="D310" i="5" s="1"/>
  <c r="B311" i="5"/>
  <c r="B312" i="5"/>
  <c r="B313" i="5"/>
  <c r="B314" i="5"/>
  <c r="C314" i="5" s="1"/>
  <c r="D314" i="5" s="1"/>
  <c r="B315" i="5"/>
  <c r="B316" i="5"/>
  <c r="B317" i="5"/>
  <c r="B318" i="5"/>
  <c r="C318" i="5" s="1"/>
  <c r="D318" i="5" s="1"/>
  <c r="B319" i="5"/>
  <c r="B320" i="5"/>
  <c r="B321" i="5"/>
  <c r="B322" i="5"/>
  <c r="C322" i="5" s="1"/>
  <c r="D322" i="5" s="1"/>
  <c r="B323" i="5"/>
  <c r="B324" i="5"/>
  <c r="B325" i="5"/>
  <c r="B326" i="5"/>
  <c r="C326" i="5" s="1"/>
  <c r="D326" i="5" s="1"/>
  <c r="B327" i="5"/>
  <c r="B328" i="5"/>
  <c r="B329" i="5"/>
  <c r="B330" i="5"/>
  <c r="C330" i="5" s="1"/>
  <c r="D330" i="5" s="1"/>
  <c r="B331" i="5"/>
  <c r="B332" i="5"/>
  <c r="B333" i="5"/>
  <c r="B334" i="5"/>
  <c r="C334" i="5" s="1"/>
  <c r="D334" i="5" s="1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C398" i="5" s="1"/>
  <c r="D398" i="5" s="1"/>
  <c r="H398" i="1" s="1"/>
  <c r="B399" i="5"/>
  <c r="B400" i="5"/>
  <c r="B401" i="5"/>
  <c r="B402" i="5"/>
  <c r="C402" i="5" s="1"/>
  <c r="D402" i="5" s="1"/>
  <c r="H402" i="1" s="1"/>
  <c r="B403" i="5"/>
  <c r="B404" i="5"/>
  <c r="B405" i="5"/>
  <c r="B406" i="5"/>
  <c r="C406" i="5" s="1"/>
  <c r="D406" i="5" s="1"/>
  <c r="H406" i="1" s="1"/>
  <c r="B407" i="5"/>
  <c r="B408" i="5"/>
  <c r="B409" i="5"/>
  <c r="B410" i="5"/>
  <c r="C410" i="5" s="1"/>
  <c r="D410" i="5" s="1"/>
  <c r="H410" i="1" s="1"/>
  <c r="B411" i="5"/>
  <c r="B412" i="5"/>
  <c r="B413" i="5"/>
  <c r="B414" i="5"/>
  <c r="C414" i="5" s="1"/>
  <c r="D414" i="5" s="1"/>
  <c r="H414" i="1" s="1"/>
  <c r="B415" i="5"/>
  <c r="B416" i="5"/>
  <c r="B417" i="5"/>
  <c r="B418" i="5"/>
  <c r="C418" i="5" s="1"/>
  <c r="D418" i="5" s="1"/>
  <c r="H418" i="1" s="1"/>
  <c r="B419" i="5"/>
  <c r="B420" i="5"/>
  <c r="B421" i="5"/>
  <c r="B422" i="5"/>
  <c r="C422" i="5" s="1"/>
  <c r="D422" i="5" s="1"/>
  <c r="H422" i="1" s="1"/>
  <c r="B423" i="5"/>
  <c r="B424" i="5"/>
  <c r="B425" i="5"/>
  <c r="B426" i="5"/>
  <c r="C426" i="5" s="1"/>
  <c r="D426" i="5" s="1"/>
  <c r="H426" i="1" s="1"/>
  <c r="B427" i="5"/>
  <c r="B428" i="5"/>
  <c r="B429" i="5"/>
  <c r="B430" i="5"/>
  <c r="C430" i="5" s="1"/>
  <c r="D430" i="5" s="1"/>
  <c r="H430" i="1" s="1"/>
  <c r="B431" i="5"/>
  <c r="B432" i="5"/>
  <c r="B433" i="5"/>
  <c r="B434" i="5"/>
  <c r="C434" i="5" s="1"/>
  <c r="D434" i="5" s="1"/>
  <c r="H434" i="1" s="1"/>
  <c r="B435" i="5"/>
  <c r="B436" i="5"/>
  <c r="B437" i="5"/>
  <c r="B438" i="5"/>
  <c r="B439" i="5"/>
  <c r="B440" i="5"/>
  <c r="B441" i="5"/>
  <c r="B442" i="5"/>
  <c r="B443" i="5"/>
  <c r="B444" i="5"/>
  <c r="B445" i="5"/>
  <c r="B446" i="5"/>
  <c r="C446" i="5" s="1"/>
  <c r="D446" i="5" s="1"/>
  <c r="H446" i="1" s="1"/>
  <c r="B447" i="5"/>
  <c r="B448" i="5"/>
  <c r="B449" i="5"/>
  <c r="B450" i="5"/>
  <c r="C450" i="5" s="1"/>
  <c r="D450" i="5" s="1"/>
  <c r="H450" i="1" s="1"/>
  <c r="B451" i="5"/>
  <c r="B452" i="5"/>
  <c r="B453" i="5"/>
  <c r="B454" i="5"/>
  <c r="C454" i="5" s="1"/>
  <c r="D454" i="5" s="1"/>
  <c r="H454" i="1" s="1"/>
  <c r="B455" i="5"/>
  <c r="B456" i="5"/>
  <c r="B457" i="5"/>
  <c r="B458" i="5"/>
  <c r="C458" i="5" s="1"/>
  <c r="D458" i="5" s="1"/>
  <c r="H458" i="1" s="1"/>
  <c r="B459" i="5"/>
  <c r="B460" i="5"/>
  <c r="B461" i="5"/>
  <c r="B462" i="5"/>
  <c r="C462" i="5" s="1"/>
  <c r="D462" i="5" s="1"/>
  <c r="H462" i="1" s="1"/>
  <c r="B463" i="5"/>
  <c r="B464" i="5"/>
  <c r="B465" i="5"/>
  <c r="B466" i="5"/>
  <c r="C466" i="5" s="1"/>
  <c r="D466" i="5" s="1"/>
  <c r="H466" i="1" s="1"/>
  <c r="B467" i="5"/>
  <c r="B468" i="5"/>
  <c r="B469" i="5"/>
  <c r="B470" i="5"/>
  <c r="C470" i="5" s="1"/>
  <c r="D470" i="5" s="1"/>
  <c r="H470" i="1" s="1"/>
  <c r="B471" i="5"/>
  <c r="B472" i="5"/>
  <c r="B473" i="5"/>
  <c r="B474" i="5"/>
  <c r="C474" i="5" s="1"/>
  <c r="D474" i="5" s="1"/>
  <c r="H474" i="1" s="1"/>
  <c r="B475" i="5"/>
  <c r="B476" i="5"/>
  <c r="B477" i="5"/>
  <c r="B478" i="5"/>
  <c r="C478" i="5" s="1"/>
  <c r="D478" i="5" s="1"/>
  <c r="H478" i="1" s="1"/>
  <c r="B479" i="5"/>
  <c r="B480" i="5"/>
  <c r="B481" i="5"/>
  <c r="B482" i="5"/>
  <c r="C482" i="5" s="1"/>
  <c r="D482" i="5" s="1"/>
  <c r="H482" i="1" s="1"/>
  <c r="B483" i="5"/>
  <c r="B484" i="5"/>
  <c r="B485" i="5"/>
  <c r="B486" i="5"/>
  <c r="C486" i="5" s="1"/>
  <c r="D486" i="5" s="1"/>
  <c r="H486" i="1" s="1"/>
  <c r="B487" i="5"/>
  <c r="B488" i="5"/>
  <c r="B489" i="5"/>
  <c r="B490" i="5"/>
  <c r="C490" i="5" s="1"/>
  <c r="D490" i="5" s="1"/>
  <c r="H490" i="1" s="1"/>
  <c r="B491" i="5"/>
  <c r="B492" i="5"/>
  <c r="B493" i="5"/>
  <c r="B494" i="5"/>
  <c r="C494" i="5" s="1"/>
  <c r="D494" i="5" s="1"/>
  <c r="H494" i="1" s="1"/>
  <c r="B495" i="5"/>
  <c r="B496" i="5"/>
  <c r="B497" i="5"/>
  <c r="B498" i="5"/>
  <c r="C498" i="5" s="1"/>
  <c r="D498" i="5" s="1"/>
  <c r="H498" i="1" s="1"/>
  <c r="B499" i="5"/>
  <c r="B500" i="5"/>
  <c r="B501" i="5"/>
  <c r="B502" i="5"/>
  <c r="C502" i="5" s="1"/>
  <c r="D502" i="5" s="1"/>
  <c r="H502" i="1" s="1"/>
  <c r="B503" i="5"/>
  <c r="B504" i="5"/>
  <c r="B505" i="5"/>
  <c r="B506" i="5"/>
  <c r="C506" i="5" s="1"/>
  <c r="D506" i="5" s="1"/>
  <c r="H506" i="1" s="1"/>
  <c r="B507" i="5"/>
  <c r="B508" i="5"/>
  <c r="B509" i="5"/>
  <c r="B510" i="5"/>
  <c r="C510" i="5" s="1"/>
  <c r="D510" i="5" s="1"/>
  <c r="H510" i="1" s="1"/>
  <c r="B511" i="5"/>
  <c r="B512" i="5"/>
  <c r="B513" i="5"/>
  <c r="B514" i="5"/>
  <c r="C514" i="5" s="1"/>
  <c r="D514" i="5" s="1"/>
  <c r="H514" i="1" s="1"/>
  <c r="B515" i="5"/>
  <c r="B516" i="5"/>
  <c r="B517" i="5"/>
  <c r="B518" i="5"/>
  <c r="C518" i="5" s="1"/>
  <c r="D518" i="5" s="1"/>
  <c r="H518" i="1" s="1"/>
  <c r="B519" i="5"/>
  <c r="B520" i="5"/>
  <c r="B521" i="5"/>
  <c r="B522" i="5"/>
  <c r="C522" i="5" s="1"/>
  <c r="D522" i="5" s="1"/>
  <c r="H522" i="1" s="1"/>
  <c r="B523" i="5"/>
  <c r="B524" i="5"/>
  <c r="B525" i="5"/>
  <c r="B526" i="5"/>
  <c r="C526" i="5" s="1"/>
  <c r="D526" i="5" s="1"/>
  <c r="H526" i="1" s="1"/>
  <c r="B527" i="5"/>
  <c r="B528" i="5"/>
  <c r="B529" i="5"/>
  <c r="B530" i="5"/>
  <c r="C530" i="5" s="1"/>
  <c r="D530" i="5" s="1"/>
  <c r="H530" i="1" s="1"/>
  <c r="B531" i="5"/>
  <c r="B532" i="5"/>
  <c r="B533" i="5"/>
  <c r="B534" i="5"/>
  <c r="C534" i="5" s="1"/>
  <c r="D534" i="5" s="1"/>
  <c r="H534" i="1" s="1"/>
  <c r="B535" i="5"/>
  <c r="B536" i="5"/>
  <c r="B537" i="5"/>
  <c r="B538" i="5"/>
  <c r="C538" i="5" s="1"/>
  <c r="D538" i="5" s="1"/>
  <c r="H538" i="1" s="1"/>
  <c r="B539" i="5"/>
  <c r="B540" i="5"/>
  <c r="B541" i="5"/>
  <c r="B542" i="5"/>
  <c r="C542" i="5" s="1"/>
  <c r="D542" i="5" s="1"/>
  <c r="H542" i="1" s="1"/>
  <c r="B543" i="5"/>
  <c r="B544" i="5"/>
  <c r="B545" i="5"/>
  <c r="B546" i="5"/>
  <c r="C546" i="5" s="1"/>
  <c r="D546" i="5" s="1"/>
  <c r="H546" i="1" s="1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C562" i="5" s="1"/>
  <c r="D562" i="5" s="1"/>
  <c r="H562" i="1" s="1"/>
  <c r="B563" i="5"/>
  <c r="B564" i="5"/>
  <c r="B565" i="5"/>
  <c r="B566" i="5"/>
  <c r="C566" i="5" s="1"/>
  <c r="D566" i="5" s="1"/>
  <c r="H566" i="1" s="1"/>
  <c r="B567" i="5"/>
  <c r="B568" i="5"/>
  <c r="B569" i="5"/>
  <c r="B570" i="5"/>
  <c r="C570" i="5" s="1"/>
  <c r="D570" i="5" s="1"/>
  <c r="H570" i="1" s="1"/>
  <c r="B571" i="5"/>
  <c r="B572" i="5"/>
  <c r="B573" i="5"/>
  <c r="B574" i="5"/>
  <c r="C574" i="5" s="1"/>
  <c r="D574" i="5" s="1"/>
  <c r="H574" i="1" s="1"/>
  <c r="B575" i="5"/>
  <c r="B576" i="5"/>
  <c r="B577" i="5"/>
  <c r="B578" i="5"/>
  <c r="C578" i="5" s="1"/>
  <c r="D578" i="5" s="1"/>
  <c r="H578" i="1" s="1"/>
  <c r="B579" i="5"/>
  <c r="B580" i="5"/>
  <c r="B581" i="5"/>
  <c r="B582" i="5"/>
  <c r="C582" i="5" s="1"/>
  <c r="D582" i="5" s="1"/>
  <c r="H582" i="1" s="1"/>
  <c r="B583" i="5"/>
  <c r="B584" i="5"/>
  <c r="B585" i="5"/>
  <c r="B586" i="5"/>
  <c r="B587" i="5"/>
  <c r="B588" i="5"/>
  <c r="B589" i="5"/>
  <c r="B590" i="5"/>
  <c r="B591" i="5"/>
  <c r="B592" i="5"/>
  <c r="B593" i="5"/>
  <c r="B594" i="5"/>
  <c r="C594" i="5" s="1"/>
  <c r="D594" i="5" s="1"/>
  <c r="H594" i="1" s="1"/>
  <c r="B595" i="5"/>
  <c r="B596" i="5"/>
  <c r="B597" i="5"/>
  <c r="B598" i="5"/>
  <c r="C598" i="5" s="1"/>
  <c r="D598" i="5" s="1"/>
  <c r="H598" i="1" s="1"/>
  <c r="B599" i="5"/>
  <c r="B600" i="5"/>
  <c r="B601" i="5"/>
  <c r="B602" i="5"/>
  <c r="C602" i="5" s="1"/>
  <c r="D602" i="5" s="1"/>
  <c r="H602" i="1" s="1"/>
  <c r="B603" i="5"/>
  <c r="B604" i="5"/>
  <c r="B605" i="5"/>
  <c r="B606" i="5"/>
  <c r="C606" i="5" s="1"/>
  <c r="D606" i="5" s="1"/>
  <c r="H606" i="1" s="1"/>
  <c r="B607" i="5"/>
  <c r="B608" i="5"/>
  <c r="B609" i="5"/>
  <c r="B610" i="5"/>
  <c r="C610" i="5" s="1"/>
  <c r="D610" i="5" s="1"/>
  <c r="H610" i="1" s="1"/>
  <c r="B611" i="5"/>
  <c r="B612" i="5"/>
  <c r="B613" i="5"/>
  <c r="B614" i="5"/>
  <c r="C614" i="5" s="1"/>
  <c r="D614" i="5" s="1"/>
  <c r="H614" i="1" s="1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C650" i="5" s="1"/>
  <c r="D650" i="5" s="1"/>
  <c r="H650" i="1" s="1"/>
  <c r="B651" i="5"/>
  <c r="B652" i="5"/>
  <c r="B653" i="5"/>
  <c r="B654" i="5"/>
  <c r="C654" i="5" s="1"/>
  <c r="D654" i="5" s="1"/>
  <c r="H654" i="1" s="1"/>
  <c r="B655" i="5"/>
  <c r="B656" i="5"/>
  <c r="B657" i="5"/>
  <c r="B658" i="5"/>
  <c r="C658" i="5" s="1"/>
  <c r="D658" i="5" s="1"/>
  <c r="H658" i="1" s="1"/>
  <c r="B659" i="5"/>
  <c r="B660" i="5"/>
  <c r="B661" i="5"/>
  <c r="B662" i="5"/>
  <c r="C662" i="5" s="1"/>
  <c r="D662" i="5" s="1"/>
  <c r="H662" i="1" s="1"/>
  <c r="B663" i="5"/>
  <c r="B664" i="5"/>
  <c r="B665" i="5"/>
  <c r="B666" i="5"/>
  <c r="C666" i="5" s="1"/>
  <c r="D666" i="5" s="1"/>
  <c r="H666" i="1" s="1"/>
  <c r="B667" i="5"/>
  <c r="B668" i="5"/>
  <c r="B669" i="5"/>
  <c r="B670" i="5"/>
  <c r="C670" i="5" s="1"/>
  <c r="D670" i="5" s="1"/>
  <c r="H670" i="1" s="1"/>
  <c r="B671" i="5"/>
  <c r="B672" i="5"/>
  <c r="B673" i="5"/>
  <c r="B674" i="5"/>
  <c r="C674" i="5" s="1"/>
  <c r="D674" i="5" s="1"/>
  <c r="H674" i="1" s="1"/>
  <c r="B675" i="5"/>
  <c r="B676" i="5"/>
  <c r="B677" i="5"/>
  <c r="B678" i="5"/>
  <c r="C678" i="5" s="1"/>
  <c r="D678" i="5" s="1"/>
  <c r="H678" i="1" s="1"/>
  <c r="B679" i="5"/>
  <c r="B680" i="5"/>
  <c r="B681" i="5"/>
  <c r="B682" i="5"/>
  <c r="C682" i="5" s="1"/>
  <c r="D682" i="5" s="1"/>
  <c r="H682" i="1" s="1"/>
  <c r="B683" i="5"/>
  <c r="B684" i="5"/>
  <c r="B685" i="5"/>
  <c r="B686" i="5"/>
  <c r="C686" i="5" s="1"/>
  <c r="D686" i="5" s="1"/>
  <c r="H686" i="1" s="1"/>
  <c r="B687" i="5"/>
  <c r="B688" i="5"/>
  <c r="B689" i="5"/>
  <c r="B690" i="5"/>
  <c r="C690" i="5" s="1"/>
  <c r="D690" i="5" s="1"/>
  <c r="H690" i="1" s="1"/>
  <c r="B691" i="5"/>
  <c r="B692" i="5"/>
  <c r="B693" i="5"/>
  <c r="B694" i="5"/>
  <c r="C694" i="5" s="1"/>
  <c r="D694" i="5" s="1"/>
  <c r="H694" i="1" s="1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C822" i="5" s="1"/>
  <c r="D822" i="5" s="1"/>
  <c r="H822" i="1" s="1"/>
  <c r="B823" i="5"/>
  <c r="B824" i="5"/>
  <c r="B825" i="5"/>
  <c r="B826" i="5"/>
  <c r="C826" i="5" s="1"/>
  <c r="D826" i="5" s="1"/>
  <c r="H826" i="1" s="1"/>
  <c r="B827" i="5"/>
  <c r="B828" i="5"/>
  <c r="B829" i="5"/>
  <c r="B830" i="5"/>
  <c r="C830" i="5" s="1"/>
  <c r="D830" i="5" s="1"/>
  <c r="H830" i="1" s="1"/>
  <c r="B831" i="5"/>
  <c r="B832" i="5"/>
  <c r="B833" i="5"/>
  <c r="B834" i="5"/>
  <c r="C834" i="5" s="1"/>
  <c r="D834" i="5" s="1"/>
  <c r="H834" i="1" s="1"/>
  <c r="B835" i="5"/>
  <c r="B836" i="5"/>
  <c r="B837" i="5"/>
  <c r="B838" i="5"/>
  <c r="C838" i="5" s="1"/>
  <c r="D838" i="5" s="1"/>
  <c r="H838" i="1" s="1"/>
  <c r="B839" i="5"/>
  <c r="B840" i="5"/>
  <c r="B841" i="5"/>
  <c r="B842" i="5"/>
  <c r="C842" i="5" s="1"/>
  <c r="D842" i="5" s="1"/>
  <c r="H842" i="1" s="1"/>
  <c r="B843" i="5"/>
  <c r="B844" i="5"/>
  <c r="B845" i="5"/>
  <c r="B846" i="5"/>
  <c r="C846" i="5" s="1"/>
  <c r="D846" i="5" s="1"/>
  <c r="H846" i="1" s="1"/>
  <c r="B847" i="5"/>
  <c r="B848" i="5"/>
  <c r="B849" i="5"/>
  <c r="B850" i="5"/>
  <c r="C850" i="5" s="1"/>
  <c r="D850" i="5" s="1"/>
  <c r="H850" i="1" s="1"/>
  <c r="B851" i="5"/>
  <c r="B852" i="5"/>
  <c r="B853" i="5"/>
  <c r="B854" i="5"/>
  <c r="C854" i="5" s="1"/>
  <c r="D854" i="5" s="1"/>
  <c r="H854" i="1" s="1"/>
  <c r="B855" i="5"/>
  <c r="B856" i="5"/>
  <c r="B857" i="5"/>
  <c r="B858" i="5"/>
  <c r="C858" i="5" s="1"/>
  <c r="D858" i="5" s="1"/>
  <c r="H858" i="1" s="1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C878" i="5" s="1"/>
  <c r="D878" i="5" s="1"/>
  <c r="H878" i="1" s="1"/>
  <c r="B879" i="5"/>
  <c r="B880" i="5"/>
  <c r="B881" i="5"/>
  <c r="B882" i="5"/>
  <c r="C882" i="5" s="1"/>
  <c r="D882" i="5" s="1"/>
  <c r="H882" i="1" s="1"/>
  <c r="B883" i="5"/>
  <c r="B884" i="5"/>
  <c r="B885" i="5"/>
  <c r="B886" i="5"/>
  <c r="C886" i="5" s="1"/>
  <c r="D886" i="5" s="1"/>
  <c r="H886" i="1" s="1"/>
  <c r="B887" i="5"/>
  <c r="B888" i="5"/>
  <c r="B889" i="5"/>
  <c r="B890" i="5"/>
  <c r="C890" i="5" s="1"/>
  <c r="D890" i="5" s="1"/>
  <c r="H890" i="1" s="1"/>
  <c r="B891" i="5"/>
  <c r="B892" i="5"/>
  <c r="B893" i="5"/>
  <c r="B894" i="5"/>
  <c r="C894" i="5" s="1"/>
  <c r="D894" i="5" s="1"/>
  <c r="H894" i="1" s="1"/>
  <c r="B895" i="5"/>
  <c r="B896" i="5"/>
  <c r="B897" i="5"/>
  <c r="B898" i="5"/>
  <c r="C898" i="5" s="1"/>
  <c r="D898" i="5" s="1"/>
  <c r="H898" i="1" s="1"/>
  <c r="B899" i="5"/>
  <c r="B900" i="5"/>
  <c r="B901" i="5"/>
  <c r="B2" i="5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H74" i="1" s="1"/>
  <c r="B75" i="4"/>
  <c r="B76" i="4"/>
  <c r="B77" i="4"/>
  <c r="B78" i="4"/>
  <c r="H78" i="1" s="1"/>
  <c r="B79" i="4"/>
  <c r="B80" i="4"/>
  <c r="B81" i="4"/>
  <c r="B82" i="4"/>
  <c r="H82" i="1" s="1"/>
  <c r="B83" i="4"/>
  <c r="B84" i="4"/>
  <c r="B85" i="4"/>
  <c r="B86" i="4"/>
  <c r="H86" i="1" s="1"/>
  <c r="B87" i="4"/>
  <c r="B88" i="4"/>
  <c r="B89" i="4"/>
  <c r="B90" i="4"/>
  <c r="H90" i="1" s="1"/>
  <c r="B91" i="4"/>
  <c r="B92" i="4"/>
  <c r="B93" i="4"/>
  <c r="B94" i="4"/>
  <c r="H94" i="1" s="1"/>
  <c r="B95" i="4"/>
  <c r="B96" i="4"/>
  <c r="B97" i="4"/>
  <c r="B98" i="4"/>
  <c r="H98" i="1" s="1"/>
  <c r="B99" i="4"/>
  <c r="B100" i="4"/>
  <c r="B101" i="4"/>
  <c r="B102" i="4"/>
  <c r="H102" i="1" s="1"/>
  <c r="B103" i="4"/>
  <c r="B104" i="4"/>
  <c r="B105" i="4"/>
  <c r="B106" i="4"/>
  <c r="H106" i="1" s="1"/>
  <c r="B107" i="4"/>
  <c r="B108" i="4"/>
  <c r="B109" i="4"/>
  <c r="B110" i="4"/>
  <c r="H110" i="1" s="1"/>
  <c r="B111" i="4"/>
  <c r="B112" i="4"/>
  <c r="B113" i="4"/>
  <c r="B114" i="4"/>
  <c r="H114" i="1" s="1"/>
  <c r="B115" i="4"/>
  <c r="B116" i="4"/>
  <c r="B117" i="4"/>
  <c r="B118" i="4"/>
  <c r="H118" i="1" s="1"/>
  <c r="B119" i="4"/>
  <c r="B120" i="4"/>
  <c r="B121" i="4"/>
  <c r="B122" i="4"/>
  <c r="H122" i="1" s="1"/>
  <c r="B123" i="4"/>
  <c r="B124" i="4"/>
  <c r="B125" i="4"/>
  <c r="B126" i="4"/>
  <c r="H126" i="1" s="1"/>
  <c r="B127" i="4"/>
  <c r="B128" i="4"/>
  <c r="B129" i="4"/>
  <c r="B130" i="4"/>
  <c r="H130" i="1" s="1"/>
  <c r="B131" i="4"/>
  <c r="B132" i="4"/>
  <c r="B133" i="4"/>
  <c r="B134" i="4"/>
  <c r="H134" i="1" s="1"/>
  <c r="B135" i="4"/>
  <c r="B136" i="4"/>
  <c r="B137" i="4"/>
  <c r="B138" i="4"/>
  <c r="H138" i="1" s="1"/>
  <c r="B139" i="4"/>
  <c r="B140" i="4"/>
  <c r="B141" i="4"/>
  <c r="B142" i="4"/>
  <c r="H142" i="1" s="1"/>
  <c r="B143" i="4"/>
  <c r="B144" i="4"/>
  <c r="B145" i="4"/>
  <c r="B146" i="4"/>
  <c r="H146" i="1" s="1"/>
  <c r="B147" i="4"/>
  <c r="B148" i="4"/>
  <c r="B149" i="4"/>
  <c r="B150" i="4"/>
  <c r="H150" i="1" s="1"/>
  <c r="B151" i="4"/>
  <c r="B152" i="4"/>
  <c r="B153" i="4"/>
  <c r="B154" i="4"/>
  <c r="H154" i="1" s="1"/>
  <c r="B155" i="4"/>
  <c r="B156" i="4"/>
  <c r="B157" i="4"/>
  <c r="B158" i="4"/>
  <c r="H158" i="1" s="1"/>
  <c r="B159" i="4"/>
  <c r="B160" i="4"/>
  <c r="B161" i="4"/>
  <c r="B162" i="4"/>
  <c r="H162" i="1" s="1"/>
  <c r="B163" i="4"/>
  <c r="B164" i="4"/>
  <c r="B165" i="4"/>
  <c r="B166" i="4"/>
  <c r="H166" i="1" s="1"/>
  <c r="B167" i="4"/>
  <c r="B168" i="4"/>
  <c r="B169" i="4"/>
  <c r="B170" i="4"/>
  <c r="H170" i="1" s="1"/>
  <c r="B171" i="4"/>
  <c r="B172" i="4"/>
  <c r="B173" i="4"/>
  <c r="B174" i="4"/>
  <c r="H174" i="1" s="1"/>
  <c r="B175" i="4"/>
  <c r="B176" i="4"/>
  <c r="B177" i="4"/>
  <c r="B178" i="4"/>
  <c r="H178" i="1" s="1"/>
  <c r="B179" i="4"/>
  <c r="B180" i="4"/>
  <c r="B181" i="4"/>
  <c r="B182" i="4"/>
  <c r="H182" i="1" s="1"/>
  <c r="B183" i="4"/>
  <c r="B184" i="4"/>
  <c r="B185" i="4"/>
  <c r="B186" i="4"/>
  <c r="H186" i="1" s="1"/>
  <c r="B187" i="4"/>
  <c r="B188" i="4"/>
  <c r="B189" i="4"/>
  <c r="B190" i="4"/>
  <c r="H190" i="1" s="1"/>
  <c r="B191" i="4"/>
  <c r="B192" i="4"/>
  <c r="B193" i="4"/>
  <c r="B194" i="4"/>
  <c r="H194" i="1" s="1"/>
  <c r="B195" i="4"/>
  <c r="B196" i="4"/>
  <c r="B197" i="4"/>
  <c r="B198" i="4"/>
  <c r="H198" i="1" s="1"/>
  <c r="B199" i="4"/>
  <c r="B200" i="4"/>
  <c r="B201" i="4"/>
  <c r="B202" i="4"/>
  <c r="H202" i="1" s="1"/>
  <c r="B203" i="4"/>
  <c r="B204" i="4"/>
  <c r="B205" i="4"/>
  <c r="B206" i="4"/>
  <c r="H206" i="1" s="1"/>
  <c r="B207" i="4"/>
  <c r="B208" i="4"/>
  <c r="B209" i="4"/>
  <c r="B210" i="4"/>
  <c r="H210" i="1" s="1"/>
  <c r="B211" i="4"/>
  <c r="B212" i="4"/>
  <c r="B213" i="4"/>
  <c r="B214" i="4"/>
  <c r="H214" i="1" s="1"/>
  <c r="B215" i="4"/>
  <c r="B216" i="4"/>
  <c r="B217" i="4"/>
  <c r="B218" i="4"/>
  <c r="H218" i="1" s="1"/>
  <c r="B219" i="4"/>
  <c r="B220" i="4"/>
  <c r="B221" i="4"/>
  <c r="B222" i="4"/>
  <c r="H222" i="1" s="1"/>
  <c r="B223" i="4"/>
  <c r="B224" i="4"/>
  <c r="B225" i="4"/>
  <c r="B226" i="4"/>
  <c r="H226" i="1" s="1"/>
  <c r="B227" i="4"/>
  <c r="B228" i="4"/>
  <c r="B229" i="4"/>
  <c r="B230" i="4"/>
  <c r="H230" i="1" s="1"/>
  <c r="B231" i="4"/>
  <c r="B232" i="4"/>
  <c r="B233" i="4"/>
  <c r="B234" i="4"/>
  <c r="H234" i="1" s="1"/>
  <c r="B235" i="4"/>
  <c r="B236" i="4"/>
  <c r="B237" i="4"/>
  <c r="B238" i="4"/>
  <c r="H238" i="1" s="1"/>
  <c r="B239" i="4"/>
  <c r="B240" i="4"/>
  <c r="B241" i="4"/>
  <c r="B242" i="4"/>
  <c r="H242" i="1" s="1"/>
  <c r="B243" i="4"/>
  <c r="B244" i="4"/>
  <c r="B245" i="4"/>
  <c r="B246" i="4"/>
  <c r="H246" i="1" s="1"/>
  <c r="B247" i="4"/>
  <c r="B248" i="4"/>
  <c r="B249" i="4"/>
  <c r="B250" i="4"/>
  <c r="H250" i="1" s="1"/>
  <c r="B251" i="4"/>
  <c r="B252" i="4"/>
  <c r="B253" i="4"/>
  <c r="B254" i="4"/>
  <c r="H254" i="1" s="1"/>
  <c r="B255" i="4"/>
  <c r="B256" i="4"/>
  <c r="B257" i="4"/>
  <c r="B258" i="4"/>
  <c r="H258" i="1" s="1"/>
  <c r="B259" i="4"/>
  <c r="B260" i="4"/>
  <c r="B261" i="4"/>
  <c r="B262" i="4"/>
  <c r="H262" i="1" s="1"/>
  <c r="B263" i="4"/>
  <c r="B264" i="4"/>
  <c r="B265" i="4"/>
  <c r="B266" i="4"/>
  <c r="H266" i="1" s="1"/>
  <c r="B267" i="4"/>
  <c r="B268" i="4"/>
  <c r="B269" i="4"/>
  <c r="B270" i="4"/>
  <c r="H270" i="1" s="1"/>
  <c r="B271" i="4"/>
  <c r="B272" i="4"/>
  <c r="B273" i="4"/>
  <c r="B274" i="4"/>
  <c r="H274" i="1" s="1"/>
  <c r="B275" i="4"/>
  <c r="B276" i="4"/>
  <c r="B277" i="4"/>
  <c r="B278" i="4"/>
  <c r="H278" i="1" s="1"/>
  <c r="B279" i="4"/>
  <c r="B280" i="4"/>
  <c r="B281" i="4"/>
  <c r="B282" i="4"/>
  <c r="H282" i="1" s="1"/>
  <c r="B283" i="4"/>
  <c r="B284" i="4"/>
  <c r="B285" i="4"/>
  <c r="B286" i="4"/>
  <c r="H286" i="1" s="1"/>
  <c r="B287" i="4"/>
  <c r="B288" i="4"/>
  <c r="B289" i="4"/>
  <c r="B290" i="4"/>
  <c r="H290" i="1" s="1"/>
  <c r="B291" i="4"/>
  <c r="B292" i="4"/>
  <c r="B293" i="4"/>
  <c r="B294" i="4"/>
  <c r="H294" i="1" s="1"/>
  <c r="B295" i="4"/>
  <c r="B296" i="4"/>
  <c r="B297" i="4"/>
  <c r="B298" i="4"/>
  <c r="H298" i="1" s="1"/>
  <c r="B299" i="4"/>
  <c r="B300" i="4"/>
  <c r="B301" i="4"/>
  <c r="B302" i="4"/>
  <c r="H302" i="1" s="1"/>
  <c r="B303" i="4"/>
  <c r="B304" i="4"/>
  <c r="B305" i="4"/>
  <c r="B306" i="4"/>
  <c r="H306" i="1" s="1"/>
  <c r="B307" i="4"/>
  <c r="B308" i="4"/>
  <c r="B309" i="4"/>
  <c r="B310" i="4"/>
  <c r="H310" i="1" s="1"/>
  <c r="B311" i="4"/>
  <c r="B312" i="4"/>
  <c r="B313" i="4"/>
  <c r="B314" i="4"/>
  <c r="H314" i="1" s="1"/>
  <c r="B315" i="4"/>
  <c r="B316" i="4"/>
  <c r="B317" i="4"/>
  <c r="B318" i="4"/>
  <c r="H318" i="1" s="1"/>
  <c r="B319" i="4"/>
  <c r="B320" i="4"/>
  <c r="B321" i="4"/>
  <c r="B322" i="4"/>
  <c r="H322" i="1" s="1"/>
  <c r="B323" i="4"/>
  <c r="B324" i="4"/>
  <c r="B325" i="4"/>
  <c r="B326" i="4"/>
  <c r="H326" i="1" s="1"/>
  <c r="B327" i="4"/>
  <c r="B328" i="4"/>
  <c r="B329" i="4"/>
  <c r="B330" i="4"/>
  <c r="H330" i="1" s="1"/>
  <c r="B331" i="4"/>
  <c r="B332" i="4"/>
  <c r="B333" i="4"/>
  <c r="B334" i="4"/>
  <c r="H334" i="1" s="1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2" i="4"/>
  <c r="L775" i="1"/>
  <c r="L799" i="1"/>
  <c r="L827" i="1"/>
  <c r="J184" i="1"/>
  <c r="J212" i="1"/>
  <c r="J240" i="1"/>
  <c r="J243" i="1"/>
  <c r="J271" i="1"/>
  <c r="J299" i="1"/>
  <c r="J328" i="1"/>
  <c r="J356" i="1"/>
  <c r="J384" i="1"/>
  <c r="J440" i="1"/>
  <c r="J468" i="1"/>
  <c r="J491" i="1"/>
  <c r="J512" i="1"/>
  <c r="J532" i="1"/>
  <c r="J555" i="1"/>
  <c r="J576" i="1"/>
  <c r="J596" i="1"/>
  <c r="J619" i="1"/>
  <c r="J640" i="1"/>
  <c r="J661" i="1"/>
  <c r="J677" i="1"/>
  <c r="J691" i="1"/>
  <c r="J699" i="1"/>
  <c r="J707" i="1"/>
  <c r="J719" i="1"/>
  <c r="J720" i="1"/>
  <c r="J735" i="1"/>
  <c r="J747" i="1"/>
  <c r="J755" i="1"/>
  <c r="J763" i="1"/>
  <c r="J771" i="1"/>
  <c r="J776" i="1"/>
  <c r="J783" i="1"/>
  <c r="J792" i="1"/>
  <c r="J799" i="1"/>
  <c r="J805" i="1"/>
  <c r="J811" i="1"/>
  <c r="J819" i="1"/>
  <c r="J827" i="1"/>
  <c r="J835" i="1"/>
  <c r="J847" i="1"/>
  <c r="J848" i="1"/>
  <c r="J863" i="1"/>
  <c r="J875" i="1"/>
  <c r="J883" i="1"/>
  <c r="J891" i="1"/>
  <c r="J895" i="1"/>
  <c r="J128" i="1"/>
  <c r="J28" i="1"/>
  <c r="J40" i="1"/>
  <c r="J60" i="1"/>
  <c r="J72" i="1"/>
  <c r="J92" i="1"/>
  <c r="J104" i="1"/>
  <c r="J8" i="1"/>
  <c r="H5" i="1"/>
  <c r="H48" i="1"/>
  <c r="H133" i="1"/>
  <c r="H176" i="1"/>
  <c r="H261" i="1"/>
  <c r="H304" i="1"/>
  <c r="H436" i="1"/>
  <c r="H452" i="1"/>
  <c r="H468" i="1"/>
  <c r="H516" i="1"/>
  <c r="H532" i="1"/>
  <c r="H548" i="1"/>
  <c r="H564" i="1"/>
  <c r="H580" i="1"/>
  <c r="H596" i="1"/>
  <c r="H607" i="1"/>
  <c r="H623" i="1"/>
  <c r="H631" i="1"/>
  <c r="H639" i="1"/>
  <c r="H647" i="1"/>
  <c r="H655" i="1"/>
  <c r="H663" i="1"/>
  <c r="H671" i="1"/>
  <c r="H679" i="1"/>
  <c r="H687" i="1"/>
  <c r="H703" i="1"/>
  <c r="H711" i="1"/>
  <c r="H719" i="1"/>
  <c r="H727" i="1"/>
  <c r="H735" i="1"/>
  <c r="H743" i="1"/>
  <c r="H751" i="1"/>
  <c r="H759" i="1"/>
  <c r="H767" i="1"/>
  <c r="H775" i="1"/>
  <c r="H783" i="1"/>
  <c r="H791" i="1"/>
  <c r="H799" i="1"/>
  <c r="H807" i="1"/>
  <c r="H815" i="1"/>
  <c r="H823" i="1"/>
  <c r="H831" i="1"/>
  <c r="H839" i="1"/>
  <c r="H847" i="1"/>
  <c r="H855" i="1"/>
  <c r="H863" i="1"/>
  <c r="H871" i="1"/>
  <c r="H879" i="1"/>
  <c r="H887" i="1"/>
  <c r="H895" i="1"/>
  <c r="H4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816" i="1"/>
  <c r="G817" i="1"/>
  <c r="G818" i="1"/>
  <c r="G819" i="1"/>
  <c r="G820" i="1"/>
  <c r="G821" i="1"/>
  <c r="G822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134" i="1"/>
  <c r="G135" i="1"/>
  <c r="G136" i="1"/>
  <c r="G137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3" i="1"/>
  <c r="G2" i="1"/>
  <c r="E843" i="8"/>
  <c r="L843" i="1" s="1"/>
  <c r="E841" i="8"/>
  <c r="L841" i="1" s="1"/>
  <c r="E839" i="8"/>
  <c r="L839" i="1" s="1"/>
  <c r="E834" i="8"/>
  <c r="L834" i="1" s="1"/>
  <c r="E831" i="8"/>
  <c r="L831" i="1" s="1"/>
  <c r="E827" i="8"/>
  <c r="E825" i="8"/>
  <c r="L825" i="1" s="1"/>
  <c r="E823" i="8"/>
  <c r="L823" i="1" s="1"/>
  <c r="D821" i="8"/>
  <c r="E815" i="8"/>
  <c r="L815" i="1" s="1"/>
  <c r="D813" i="8"/>
  <c r="E811" i="8"/>
  <c r="L811" i="1" s="1"/>
  <c r="E809" i="8"/>
  <c r="L809" i="1" s="1"/>
  <c r="E807" i="8"/>
  <c r="L807" i="1" s="1"/>
  <c r="D801" i="8"/>
  <c r="E799" i="8"/>
  <c r="E797" i="8"/>
  <c r="L797" i="1" s="1"/>
  <c r="E795" i="8"/>
  <c r="L795" i="1" s="1"/>
  <c r="E791" i="8"/>
  <c r="L791" i="1" s="1"/>
  <c r="E789" i="8"/>
  <c r="L789" i="1" s="1"/>
  <c r="E787" i="8"/>
  <c r="L787" i="1" s="1"/>
  <c r="D777" i="8"/>
  <c r="E775" i="8"/>
  <c r="D771" i="8"/>
  <c r="E767" i="8"/>
  <c r="L767" i="1" s="1"/>
  <c r="D751" i="8"/>
  <c r="D747" i="8"/>
  <c r="E739" i="8"/>
  <c r="L739" i="1" s="1"/>
  <c r="D739" i="8"/>
  <c r="D735" i="8"/>
  <c r="D731" i="8"/>
  <c r="D727" i="8"/>
  <c r="E719" i="8"/>
  <c r="L719" i="1" s="1"/>
  <c r="E711" i="8"/>
  <c r="L711" i="1" s="1"/>
  <c r="D707" i="8"/>
  <c r="E703" i="8"/>
  <c r="L703" i="1" s="1"/>
  <c r="D703" i="8"/>
  <c r="D687" i="8"/>
  <c r="D683" i="8"/>
  <c r="E675" i="8"/>
  <c r="L675" i="1" s="1"/>
  <c r="D671" i="8"/>
  <c r="D667" i="8"/>
  <c r="D663" i="8"/>
  <c r="E655" i="8"/>
  <c r="L655" i="1" s="1"/>
  <c r="D655" i="8"/>
  <c r="E647" i="8"/>
  <c r="L647" i="1" s="1"/>
  <c r="E646" i="8"/>
  <c r="L646" i="1" s="1"/>
  <c r="D643" i="8"/>
  <c r="E639" i="8"/>
  <c r="L639" i="1" s="1"/>
  <c r="E632" i="8"/>
  <c r="L632" i="1" s="1"/>
  <c r="E628" i="8"/>
  <c r="L628" i="1" s="1"/>
  <c r="D623" i="8"/>
  <c r="D621" i="8"/>
  <c r="E613" i="8"/>
  <c r="L613" i="1" s="1"/>
  <c r="D613" i="8"/>
  <c r="E611" i="8"/>
  <c r="L611" i="1" s="1"/>
  <c r="D609" i="8"/>
  <c r="D605" i="8"/>
  <c r="D601" i="8"/>
  <c r="E593" i="8"/>
  <c r="L593" i="1" s="1"/>
  <c r="E591" i="8"/>
  <c r="L591" i="1" s="1"/>
  <c r="E585" i="8"/>
  <c r="L585" i="1" s="1"/>
  <c r="E583" i="8"/>
  <c r="L583" i="1" s="1"/>
  <c r="E582" i="8"/>
  <c r="L582" i="1" s="1"/>
  <c r="D581" i="8"/>
  <c r="E577" i="8"/>
  <c r="L577" i="1" s="1"/>
  <c r="D577" i="8"/>
  <c r="E575" i="8"/>
  <c r="L575" i="1" s="1"/>
  <c r="E563" i="8"/>
  <c r="L563" i="1" s="1"/>
  <c r="D561" i="8"/>
  <c r="D557" i="8"/>
  <c r="E549" i="8"/>
  <c r="L549" i="1" s="1"/>
  <c r="E547" i="8"/>
  <c r="L547" i="1" s="1"/>
  <c r="D545" i="8"/>
  <c r="D541" i="8"/>
  <c r="D537" i="8"/>
  <c r="E529" i="8"/>
  <c r="L529" i="1" s="1"/>
  <c r="D529" i="8"/>
  <c r="E527" i="8"/>
  <c r="L527" i="1" s="1"/>
  <c r="E518" i="8"/>
  <c r="L518" i="1" s="1"/>
  <c r="E517" i="8"/>
  <c r="L517" i="1" s="1"/>
  <c r="E515" i="8"/>
  <c r="L515" i="1" s="1"/>
  <c r="D513" i="8"/>
  <c r="D509" i="8"/>
  <c r="E505" i="8"/>
  <c r="L505" i="1" s="1"/>
  <c r="E503" i="8"/>
  <c r="L503" i="1" s="1"/>
  <c r="E502" i="8"/>
  <c r="L502" i="1" s="1"/>
  <c r="E495" i="8"/>
  <c r="L495" i="1" s="1"/>
  <c r="D493" i="8"/>
  <c r="E485" i="8"/>
  <c r="L485" i="1" s="1"/>
  <c r="D485" i="8"/>
  <c r="E483" i="8"/>
  <c r="L483" i="1" s="1"/>
  <c r="D481" i="8"/>
  <c r="D477" i="8"/>
  <c r="D473" i="8"/>
  <c r="E465" i="8"/>
  <c r="L465" i="1" s="1"/>
  <c r="E463" i="8"/>
  <c r="L463" i="1" s="1"/>
  <c r="E458" i="8"/>
  <c r="L458" i="1" s="1"/>
  <c r="E451" i="8"/>
  <c r="L451" i="1" s="1"/>
  <c r="D449" i="8"/>
  <c r="D445" i="8"/>
  <c r="D441" i="8"/>
  <c r="E433" i="8"/>
  <c r="L433" i="1" s="1"/>
  <c r="D433" i="8"/>
  <c r="E431" i="8"/>
  <c r="L431" i="1" s="1"/>
  <c r="E421" i="8"/>
  <c r="L421" i="1" s="1"/>
  <c r="E419" i="8"/>
  <c r="L419" i="1" s="1"/>
  <c r="D417" i="8"/>
  <c r="D413" i="8"/>
  <c r="D409" i="8"/>
  <c r="E401" i="8"/>
  <c r="L401" i="1" s="1"/>
  <c r="E399" i="8"/>
  <c r="L399" i="1" s="1"/>
  <c r="E393" i="8"/>
  <c r="L393" i="1" s="1"/>
  <c r="E391" i="8"/>
  <c r="L391" i="1" s="1"/>
  <c r="D389" i="8"/>
  <c r="E385" i="8"/>
  <c r="L385" i="1" s="1"/>
  <c r="D385" i="8"/>
  <c r="D373" i="8"/>
  <c r="D369" i="8"/>
  <c r="D365" i="8"/>
  <c r="D363" i="8"/>
  <c r="D361" i="8"/>
  <c r="D353" i="8"/>
  <c r="E351" i="8"/>
  <c r="L351" i="1" s="1"/>
  <c r="D341" i="8"/>
  <c r="D337" i="8"/>
  <c r="D334" i="8"/>
  <c r="D333" i="8"/>
  <c r="D329" i="8"/>
  <c r="E321" i="8"/>
  <c r="L321" i="1" s="1"/>
  <c r="D321" i="8"/>
  <c r="E319" i="8"/>
  <c r="L319" i="1" s="1"/>
  <c r="E316" i="8"/>
  <c r="L316" i="1" s="1"/>
  <c r="E312" i="8"/>
  <c r="L312" i="1" s="1"/>
  <c r="E307" i="8"/>
  <c r="L307" i="1" s="1"/>
  <c r="D305" i="8"/>
  <c r="D301" i="8"/>
  <c r="E297" i="8"/>
  <c r="L297" i="1" s="1"/>
  <c r="E295" i="8"/>
  <c r="L295" i="1" s="1"/>
  <c r="E294" i="8"/>
  <c r="L294" i="1" s="1"/>
  <c r="E287" i="8"/>
  <c r="L287" i="1" s="1"/>
  <c r="D285" i="8"/>
  <c r="E277" i="8"/>
  <c r="L277" i="1" s="1"/>
  <c r="D277" i="8"/>
  <c r="E275" i="8"/>
  <c r="L275" i="1" s="1"/>
  <c r="D273" i="8"/>
  <c r="D269" i="8"/>
  <c r="D265" i="8"/>
  <c r="D261" i="8"/>
  <c r="D253" i="8"/>
  <c r="E246" i="8"/>
  <c r="L246" i="1" s="1"/>
  <c r="E235" i="8"/>
  <c r="L235" i="1" s="1"/>
  <c r="D233" i="8"/>
  <c r="D225" i="8"/>
  <c r="E221" i="8"/>
  <c r="L221" i="1" s="1"/>
  <c r="E219" i="8"/>
  <c r="L219" i="1" s="1"/>
  <c r="E207" i="8"/>
  <c r="L207" i="1" s="1"/>
  <c r="D205" i="8"/>
  <c r="D201" i="8"/>
  <c r="D197" i="8"/>
  <c r="E189" i="8"/>
  <c r="L189" i="1" s="1"/>
  <c r="E187" i="8"/>
  <c r="L187" i="1" s="1"/>
  <c r="D185" i="8"/>
  <c r="D181" i="8"/>
  <c r="D177" i="8"/>
  <c r="D169" i="8"/>
  <c r="E165" i="8"/>
  <c r="L165" i="1" s="1"/>
  <c r="E164" i="8"/>
  <c r="L164" i="1" s="1"/>
  <c r="E163" i="8"/>
  <c r="L163" i="1" s="1"/>
  <c r="D161" i="8"/>
  <c r="D153" i="8"/>
  <c r="E145" i="8"/>
  <c r="L145" i="1" s="1"/>
  <c r="E143" i="8"/>
  <c r="L143" i="1" s="1"/>
  <c r="D141" i="8"/>
  <c r="D137" i="8"/>
  <c r="D133" i="8"/>
  <c r="D129" i="8"/>
  <c r="D121" i="8"/>
  <c r="E107" i="8"/>
  <c r="L107" i="1" s="1"/>
  <c r="D105" i="8"/>
  <c r="D97" i="8"/>
  <c r="E93" i="8"/>
  <c r="L93" i="1" s="1"/>
  <c r="E92" i="8"/>
  <c r="L92" i="1" s="1"/>
  <c r="E91" i="8"/>
  <c r="L91" i="1" s="1"/>
  <c r="E84" i="8"/>
  <c r="L84" i="1" s="1"/>
  <c r="E82" i="8"/>
  <c r="L82" i="1" s="1"/>
  <c r="E79" i="8"/>
  <c r="L79" i="1" s="1"/>
  <c r="D77" i="8"/>
  <c r="D73" i="8"/>
  <c r="E65" i="8"/>
  <c r="L65" i="1" s="1"/>
  <c r="D65" i="8"/>
  <c r="E63" i="8"/>
  <c r="L63" i="1" s="1"/>
  <c r="D61" i="8"/>
  <c r="D57" i="8"/>
  <c r="D53" i="8"/>
  <c r="D45" i="8"/>
  <c r="E37" i="8"/>
  <c r="L37" i="1" s="1"/>
  <c r="E35" i="8"/>
  <c r="L35" i="1" s="1"/>
  <c r="D33" i="8"/>
  <c r="D29" i="8"/>
  <c r="D25" i="8"/>
  <c r="D21" i="8"/>
  <c r="D13" i="8"/>
  <c r="E8" i="8"/>
  <c r="L8" i="1" s="1"/>
  <c r="D901" i="7"/>
  <c r="J901" i="1" s="1"/>
  <c r="D900" i="7"/>
  <c r="J900" i="1" s="1"/>
  <c r="D899" i="7"/>
  <c r="J899" i="1" s="1"/>
  <c r="D896" i="7"/>
  <c r="J896" i="1" s="1"/>
  <c r="D895" i="7"/>
  <c r="D892" i="7"/>
  <c r="J892" i="1" s="1"/>
  <c r="D891" i="7"/>
  <c r="D889" i="7"/>
  <c r="J889" i="1" s="1"/>
  <c r="D888" i="7"/>
  <c r="J888" i="1" s="1"/>
  <c r="D887" i="7"/>
  <c r="J887" i="1" s="1"/>
  <c r="D885" i="7"/>
  <c r="J885" i="1" s="1"/>
  <c r="D884" i="7"/>
  <c r="J884" i="1" s="1"/>
  <c r="D883" i="7"/>
  <c r="D880" i="7"/>
  <c r="J880" i="1" s="1"/>
  <c r="D879" i="7"/>
  <c r="J879" i="1" s="1"/>
  <c r="D876" i="7"/>
  <c r="J876" i="1" s="1"/>
  <c r="D875" i="7"/>
  <c r="D873" i="7"/>
  <c r="J873" i="1" s="1"/>
  <c r="D872" i="7"/>
  <c r="J872" i="1" s="1"/>
  <c r="D871" i="7"/>
  <c r="J871" i="1" s="1"/>
  <c r="D869" i="7"/>
  <c r="J869" i="1" s="1"/>
  <c r="D868" i="7"/>
  <c r="J868" i="1" s="1"/>
  <c r="D867" i="7"/>
  <c r="J867" i="1" s="1"/>
  <c r="D864" i="7"/>
  <c r="J864" i="1" s="1"/>
  <c r="D863" i="7"/>
  <c r="D860" i="7"/>
  <c r="J860" i="1" s="1"/>
  <c r="D859" i="7"/>
  <c r="J859" i="1" s="1"/>
  <c r="D857" i="7"/>
  <c r="J857" i="1" s="1"/>
  <c r="D856" i="7"/>
  <c r="J856" i="1" s="1"/>
  <c r="D855" i="7"/>
  <c r="J855" i="1" s="1"/>
  <c r="D853" i="7"/>
  <c r="J853" i="1" s="1"/>
  <c r="D852" i="7"/>
  <c r="J852" i="1" s="1"/>
  <c r="D851" i="7"/>
  <c r="J851" i="1" s="1"/>
  <c r="D848" i="7"/>
  <c r="D847" i="7"/>
  <c r="D844" i="7"/>
  <c r="J844" i="1" s="1"/>
  <c r="D843" i="7"/>
  <c r="J843" i="1" s="1"/>
  <c r="D841" i="7"/>
  <c r="J841" i="1" s="1"/>
  <c r="D840" i="7"/>
  <c r="J840" i="1" s="1"/>
  <c r="D839" i="7"/>
  <c r="J839" i="1" s="1"/>
  <c r="D837" i="7"/>
  <c r="J837" i="1" s="1"/>
  <c r="D836" i="7"/>
  <c r="J836" i="1" s="1"/>
  <c r="D835" i="7"/>
  <c r="D832" i="7"/>
  <c r="J832" i="1" s="1"/>
  <c r="D831" i="7"/>
  <c r="J831" i="1" s="1"/>
  <c r="D828" i="7"/>
  <c r="J828" i="1" s="1"/>
  <c r="D827" i="7"/>
  <c r="D825" i="7"/>
  <c r="J825" i="1" s="1"/>
  <c r="D824" i="7"/>
  <c r="J824" i="1" s="1"/>
  <c r="D823" i="7"/>
  <c r="J823" i="1" s="1"/>
  <c r="D821" i="7"/>
  <c r="J821" i="1" s="1"/>
  <c r="D820" i="7"/>
  <c r="J820" i="1" s="1"/>
  <c r="D819" i="7"/>
  <c r="D816" i="7"/>
  <c r="J816" i="1" s="1"/>
  <c r="D815" i="7"/>
  <c r="J815" i="1" s="1"/>
  <c r="D812" i="7"/>
  <c r="J812" i="1" s="1"/>
  <c r="D811" i="7"/>
  <c r="D809" i="7"/>
  <c r="J809" i="1" s="1"/>
  <c r="D808" i="7"/>
  <c r="J808" i="1" s="1"/>
  <c r="D807" i="7"/>
  <c r="J807" i="1" s="1"/>
  <c r="D805" i="7"/>
  <c r="D804" i="7"/>
  <c r="J804" i="1" s="1"/>
  <c r="D803" i="7"/>
  <c r="J803" i="1" s="1"/>
  <c r="D800" i="7"/>
  <c r="J800" i="1" s="1"/>
  <c r="D799" i="7"/>
  <c r="D796" i="7"/>
  <c r="J796" i="1" s="1"/>
  <c r="D795" i="7"/>
  <c r="J795" i="1" s="1"/>
  <c r="D793" i="7"/>
  <c r="J793" i="1" s="1"/>
  <c r="D792" i="7"/>
  <c r="D791" i="7"/>
  <c r="J791" i="1" s="1"/>
  <c r="D789" i="7"/>
  <c r="J789" i="1" s="1"/>
  <c r="D788" i="7"/>
  <c r="J788" i="1" s="1"/>
  <c r="D787" i="7"/>
  <c r="J787" i="1" s="1"/>
  <c r="D784" i="7"/>
  <c r="J784" i="1" s="1"/>
  <c r="D783" i="7"/>
  <c r="D780" i="7"/>
  <c r="J780" i="1" s="1"/>
  <c r="D779" i="7"/>
  <c r="J779" i="1" s="1"/>
  <c r="D777" i="7"/>
  <c r="J777" i="1" s="1"/>
  <c r="D776" i="7"/>
  <c r="D775" i="7"/>
  <c r="J775" i="1" s="1"/>
  <c r="D773" i="7"/>
  <c r="J773" i="1" s="1"/>
  <c r="D772" i="7"/>
  <c r="J772" i="1" s="1"/>
  <c r="D771" i="7"/>
  <c r="D768" i="7"/>
  <c r="J768" i="1" s="1"/>
  <c r="D767" i="7"/>
  <c r="J767" i="1" s="1"/>
  <c r="D764" i="7"/>
  <c r="J764" i="1" s="1"/>
  <c r="D763" i="7"/>
  <c r="D761" i="7"/>
  <c r="J761" i="1" s="1"/>
  <c r="D760" i="7"/>
  <c r="J760" i="1" s="1"/>
  <c r="D759" i="7"/>
  <c r="J759" i="1" s="1"/>
  <c r="D757" i="7"/>
  <c r="J757" i="1" s="1"/>
  <c r="D756" i="7"/>
  <c r="J756" i="1" s="1"/>
  <c r="D755" i="7"/>
  <c r="D752" i="7"/>
  <c r="J752" i="1" s="1"/>
  <c r="D751" i="7"/>
  <c r="J751" i="1" s="1"/>
  <c r="D748" i="7"/>
  <c r="J748" i="1" s="1"/>
  <c r="D747" i="7"/>
  <c r="D745" i="7"/>
  <c r="J745" i="1" s="1"/>
  <c r="D744" i="7"/>
  <c r="J744" i="1" s="1"/>
  <c r="D743" i="7"/>
  <c r="J743" i="1" s="1"/>
  <c r="D741" i="7"/>
  <c r="J741" i="1" s="1"/>
  <c r="D740" i="7"/>
  <c r="J740" i="1" s="1"/>
  <c r="D739" i="7"/>
  <c r="J739" i="1" s="1"/>
  <c r="D736" i="7"/>
  <c r="J736" i="1" s="1"/>
  <c r="D735" i="7"/>
  <c r="D732" i="7"/>
  <c r="J732" i="1" s="1"/>
  <c r="D731" i="7"/>
  <c r="J731" i="1" s="1"/>
  <c r="D729" i="7"/>
  <c r="J729" i="1" s="1"/>
  <c r="D728" i="7"/>
  <c r="J728" i="1" s="1"/>
  <c r="D727" i="7"/>
  <c r="J727" i="1" s="1"/>
  <c r="D725" i="7"/>
  <c r="J725" i="1" s="1"/>
  <c r="D724" i="7"/>
  <c r="J724" i="1" s="1"/>
  <c r="D723" i="7"/>
  <c r="J723" i="1" s="1"/>
  <c r="D720" i="7"/>
  <c r="D719" i="7"/>
  <c r="D716" i="7"/>
  <c r="J716" i="1" s="1"/>
  <c r="D715" i="7"/>
  <c r="J715" i="1" s="1"/>
  <c r="D713" i="7"/>
  <c r="J713" i="1" s="1"/>
  <c r="D712" i="7"/>
  <c r="J712" i="1" s="1"/>
  <c r="D711" i="7"/>
  <c r="J711" i="1" s="1"/>
  <c r="D709" i="7"/>
  <c r="J709" i="1" s="1"/>
  <c r="D708" i="7"/>
  <c r="J708" i="1" s="1"/>
  <c r="D707" i="7"/>
  <c r="D704" i="7"/>
  <c r="J704" i="1" s="1"/>
  <c r="D703" i="7"/>
  <c r="J703" i="1" s="1"/>
  <c r="D700" i="7"/>
  <c r="J700" i="1" s="1"/>
  <c r="D699" i="7"/>
  <c r="D697" i="7"/>
  <c r="J697" i="1" s="1"/>
  <c r="D696" i="7"/>
  <c r="J696" i="1" s="1"/>
  <c r="D695" i="7"/>
  <c r="J695" i="1" s="1"/>
  <c r="D693" i="7"/>
  <c r="J693" i="1" s="1"/>
  <c r="D692" i="7"/>
  <c r="J692" i="1" s="1"/>
  <c r="D691" i="7"/>
  <c r="D688" i="7"/>
  <c r="J688" i="1" s="1"/>
  <c r="D687" i="7"/>
  <c r="J687" i="1" s="1"/>
  <c r="D684" i="7"/>
  <c r="J684" i="1" s="1"/>
  <c r="D683" i="7"/>
  <c r="J683" i="1" s="1"/>
  <c r="D681" i="7"/>
  <c r="J681" i="1" s="1"/>
  <c r="D680" i="7"/>
  <c r="J680" i="1" s="1"/>
  <c r="D679" i="7"/>
  <c r="J679" i="1" s="1"/>
  <c r="D677" i="7"/>
  <c r="D676" i="7"/>
  <c r="J676" i="1" s="1"/>
  <c r="D675" i="7"/>
  <c r="J675" i="1" s="1"/>
  <c r="D672" i="7"/>
  <c r="J672" i="1" s="1"/>
  <c r="D671" i="7"/>
  <c r="J671" i="1" s="1"/>
  <c r="D668" i="7"/>
  <c r="J668" i="1" s="1"/>
  <c r="D667" i="7"/>
  <c r="J667" i="1" s="1"/>
  <c r="D665" i="7"/>
  <c r="J665" i="1" s="1"/>
  <c r="D664" i="7"/>
  <c r="J664" i="1" s="1"/>
  <c r="D663" i="7"/>
  <c r="J663" i="1" s="1"/>
  <c r="D661" i="7"/>
  <c r="D660" i="7"/>
  <c r="J660" i="1" s="1"/>
  <c r="D659" i="7"/>
  <c r="J659" i="1" s="1"/>
  <c r="D656" i="7"/>
  <c r="J656" i="1" s="1"/>
  <c r="D655" i="7"/>
  <c r="J655" i="1" s="1"/>
  <c r="D652" i="7"/>
  <c r="J652" i="1" s="1"/>
  <c r="D651" i="7"/>
  <c r="J651" i="1" s="1"/>
  <c r="D649" i="7"/>
  <c r="J649" i="1" s="1"/>
  <c r="D648" i="7"/>
  <c r="J648" i="1" s="1"/>
  <c r="D647" i="7"/>
  <c r="J647" i="1" s="1"/>
  <c r="D645" i="7"/>
  <c r="J645" i="1" s="1"/>
  <c r="D644" i="7"/>
  <c r="J644" i="1" s="1"/>
  <c r="D643" i="7"/>
  <c r="J643" i="1" s="1"/>
  <c r="D640" i="7"/>
  <c r="D639" i="7"/>
  <c r="J639" i="1" s="1"/>
  <c r="D636" i="7"/>
  <c r="J636" i="1" s="1"/>
  <c r="D635" i="7"/>
  <c r="J635" i="1" s="1"/>
  <c r="D633" i="7"/>
  <c r="J633" i="1" s="1"/>
  <c r="D632" i="7"/>
  <c r="J632" i="1" s="1"/>
  <c r="D631" i="7"/>
  <c r="J631" i="1" s="1"/>
  <c r="D629" i="7"/>
  <c r="J629" i="1" s="1"/>
  <c r="D628" i="7"/>
  <c r="J628" i="1" s="1"/>
  <c r="D627" i="7"/>
  <c r="J627" i="1" s="1"/>
  <c r="D624" i="7"/>
  <c r="J624" i="1" s="1"/>
  <c r="D623" i="7"/>
  <c r="J623" i="1" s="1"/>
  <c r="D620" i="7"/>
  <c r="J620" i="1" s="1"/>
  <c r="D619" i="7"/>
  <c r="D618" i="7"/>
  <c r="J618" i="1" s="1"/>
  <c r="D616" i="7"/>
  <c r="J616" i="1" s="1"/>
  <c r="D615" i="7"/>
  <c r="J615" i="1" s="1"/>
  <c r="D614" i="7"/>
  <c r="J614" i="1" s="1"/>
  <c r="D612" i="7"/>
  <c r="J612" i="1" s="1"/>
  <c r="D611" i="7"/>
  <c r="J611" i="1" s="1"/>
  <c r="D610" i="7"/>
  <c r="J610" i="1" s="1"/>
  <c r="D608" i="7"/>
  <c r="J608" i="1" s="1"/>
  <c r="D607" i="7"/>
  <c r="J607" i="1" s="1"/>
  <c r="D606" i="7"/>
  <c r="J606" i="1" s="1"/>
  <c r="D604" i="7"/>
  <c r="J604" i="1" s="1"/>
  <c r="D603" i="7"/>
  <c r="J603" i="1" s="1"/>
  <c r="D602" i="7"/>
  <c r="J602" i="1" s="1"/>
  <c r="D600" i="7"/>
  <c r="J600" i="1" s="1"/>
  <c r="D599" i="7"/>
  <c r="J599" i="1" s="1"/>
  <c r="D598" i="7"/>
  <c r="J598" i="1" s="1"/>
  <c r="D596" i="7"/>
  <c r="D595" i="7"/>
  <c r="J595" i="1" s="1"/>
  <c r="D594" i="7"/>
  <c r="J594" i="1" s="1"/>
  <c r="D592" i="7"/>
  <c r="J592" i="1" s="1"/>
  <c r="D591" i="7"/>
  <c r="J591" i="1" s="1"/>
  <c r="D590" i="7"/>
  <c r="J590" i="1" s="1"/>
  <c r="D588" i="7"/>
  <c r="J588" i="1" s="1"/>
  <c r="D587" i="7"/>
  <c r="J587" i="1" s="1"/>
  <c r="D586" i="7"/>
  <c r="J586" i="1" s="1"/>
  <c r="D584" i="7"/>
  <c r="J584" i="1" s="1"/>
  <c r="D583" i="7"/>
  <c r="J583" i="1" s="1"/>
  <c r="D582" i="7"/>
  <c r="J582" i="1" s="1"/>
  <c r="D580" i="7"/>
  <c r="J580" i="1" s="1"/>
  <c r="D579" i="7"/>
  <c r="J579" i="1" s="1"/>
  <c r="D578" i="7"/>
  <c r="J578" i="1" s="1"/>
  <c r="D576" i="7"/>
  <c r="D575" i="7"/>
  <c r="J575" i="1" s="1"/>
  <c r="D574" i="7"/>
  <c r="J574" i="1" s="1"/>
  <c r="D572" i="7"/>
  <c r="J572" i="1" s="1"/>
  <c r="D571" i="7"/>
  <c r="J571" i="1" s="1"/>
  <c r="D570" i="7"/>
  <c r="J570" i="1" s="1"/>
  <c r="D568" i="7"/>
  <c r="J568" i="1" s="1"/>
  <c r="D567" i="7"/>
  <c r="J567" i="1" s="1"/>
  <c r="D566" i="7"/>
  <c r="J566" i="1" s="1"/>
  <c r="D564" i="7"/>
  <c r="J564" i="1" s="1"/>
  <c r="D563" i="7"/>
  <c r="J563" i="1" s="1"/>
  <c r="D562" i="7"/>
  <c r="J562" i="1" s="1"/>
  <c r="D560" i="7"/>
  <c r="J560" i="1" s="1"/>
  <c r="D559" i="7"/>
  <c r="J559" i="1" s="1"/>
  <c r="D558" i="7"/>
  <c r="J558" i="1" s="1"/>
  <c r="D556" i="7"/>
  <c r="J556" i="1" s="1"/>
  <c r="D555" i="7"/>
  <c r="D554" i="7"/>
  <c r="J554" i="1" s="1"/>
  <c r="D552" i="7"/>
  <c r="J552" i="1" s="1"/>
  <c r="D551" i="7"/>
  <c r="J551" i="1" s="1"/>
  <c r="D550" i="7"/>
  <c r="J550" i="1" s="1"/>
  <c r="D548" i="7"/>
  <c r="J548" i="1" s="1"/>
  <c r="D547" i="7"/>
  <c r="J547" i="1" s="1"/>
  <c r="D546" i="7"/>
  <c r="J546" i="1" s="1"/>
  <c r="D544" i="7"/>
  <c r="J544" i="1" s="1"/>
  <c r="D543" i="7"/>
  <c r="J543" i="1" s="1"/>
  <c r="D542" i="7"/>
  <c r="J542" i="1" s="1"/>
  <c r="D540" i="7"/>
  <c r="J540" i="1" s="1"/>
  <c r="D539" i="7"/>
  <c r="J539" i="1" s="1"/>
  <c r="D538" i="7"/>
  <c r="J538" i="1" s="1"/>
  <c r="D536" i="7"/>
  <c r="J536" i="1" s="1"/>
  <c r="D535" i="7"/>
  <c r="J535" i="1" s="1"/>
  <c r="D534" i="7"/>
  <c r="J534" i="1" s="1"/>
  <c r="D532" i="7"/>
  <c r="D531" i="7"/>
  <c r="J531" i="1" s="1"/>
  <c r="D530" i="7"/>
  <c r="J530" i="1" s="1"/>
  <c r="D528" i="7"/>
  <c r="J528" i="1" s="1"/>
  <c r="D527" i="7"/>
  <c r="J527" i="1" s="1"/>
  <c r="D526" i="7"/>
  <c r="J526" i="1" s="1"/>
  <c r="D524" i="7"/>
  <c r="J524" i="1" s="1"/>
  <c r="D523" i="7"/>
  <c r="J523" i="1" s="1"/>
  <c r="D522" i="7"/>
  <c r="J522" i="1" s="1"/>
  <c r="D520" i="7"/>
  <c r="J520" i="1" s="1"/>
  <c r="D519" i="7"/>
  <c r="J519" i="1" s="1"/>
  <c r="D518" i="7"/>
  <c r="J518" i="1" s="1"/>
  <c r="D516" i="7"/>
  <c r="J516" i="1" s="1"/>
  <c r="D515" i="7"/>
  <c r="J515" i="1" s="1"/>
  <c r="D514" i="7"/>
  <c r="J514" i="1" s="1"/>
  <c r="D512" i="7"/>
  <c r="D511" i="7"/>
  <c r="J511" i="1" s="1"/>
  <c r="D510" i="7"/>
  <c r="J510" i="1" s="1"/>
  <c r="D508" i="7"/>
  <c r="J508" i="1" s="1"/>
  <c r="D507" i="7"/>
  <c r="J507" i="1" s="1"/>
  <c r="D506" i="7"/>
  <c r="J506" i="1" s="1"/>
  <c r="D504" i="7"/>
  <c r="J504" i="1" s="1"/>
  <c r="D503" i="7"/>
  <c r="J503" i="1" s="1"/>
  <c r="D502" i="7"/>
  <c r="J502" i="1" s="1"/>
  <c r="D500" i="7"/>
  <c r="J500" i="1" s="1"/>
  <c r="D499" i="7"/>
  <c r="J499" i="1" s="1"/>
  <c r="D498" i="7"/>
  <c r="J498" i="1" s="1"/>
  <c r="D496" i="7"/>
  <c r="J496" i="1" s="1"/>
  <c r="D495" i="7"/>
  <c r="J495" i="1" s="1"/>
  <c r="D494" i="7"/>
  <c r="J494" i="1" s="1"/>
  <c r="D492" i="7"/>
  <c r="J492" i="1" s="1"/>
  <c r="D491" i="7"/>
  <c r="D490" i="7"/>
  <c r="J490" i="1" s="1"/>
  <c r="D488" i="7"/>
  <c r="J488" i="1" s="1"/>
  <c r="D487" i="7"/>
  <c r="J487" i="1" s="1"/>
  <c r="D486" i="7"/>
  <c r="J486" i="1" s="1"/>
  <c r="D484" i="7"/>
  <c r="J484" i="1" s="1"/>
  <c r="D483" i="7"/>
  <c r="J483" i="1" s="1"/>
  <c r="D482" i="7"/>
  <c r="J482" i="1" s="1"/>
  <c r="D480" i="7"/>
  <c r="J480" i="1" s="1"/>
  <c r="D479" i="7"/>
  <c r="J479" i="1" s="1"/>
  <c r="D478" i="7"/>
  <c r="J478" i="1" s="1"/>
  <c r="D476" i="7"/>
  <c r="J476" i="1" s="1"/>
  <c r="D475" i="7"/>
  <c r="J475" i="1" s="1"/>
  <c r="D474" i="7"/>
  <c r="J474" i="1" s="1"/>
  <c r="D472" i="7"/>
  <c r="J472" i="1" s="1"/>
  <c r="D471" i="7"/>
  <c r="J471" i="1" s="1"/>
  <c r="D470" i="7"/>
  <c r="J470" i="1" s="1"/>
  <c r="D468" i="7"/>
  <c r="D467" i="7"/>
  <c r="J467" i="1" s="1"/>
  <c r="D466" i="7"/>
  <c r="J466" i="1" s="1"/>
  <c r="D464" i="7"/>
  <c r="J464" i="1" s="1"/>
  <c r="D463" i="7"/>
  <c r="J463" i="1" s="1"/>
  <c r="D462" i="7"/>
  <c r="J462" i="1" s="1"/>
  <c r="D460" i="7"/>
  <c r="J460" i="1" s="1"/>
  <c r="D459" i="7"/>
  <c r="J459" i="1" s="1"/>
  <c r="D458" i="7"/>
  <c r="J458" i="1" s="1"/>
  <c r="D456" i="7"/>
  <c r="J456" i="1" s="1"/>
  <c r="D455" i="7"/>
  <c r="J455" i="1" s="1"/>
  <c r="D454" i="7"/>
  <c r="J454" i="1" s="1"/>
  <c r="D452" i="7"/>
  <c r="J452" i="1" s="1"/>
  <c r="D451" i="7"/>
  <c r="J451" i="1" s="1"/>
  <c r="D450" i="7"/>
  <c r="J450" i="1" s="1"/>
  <c r="D448" i="7"/>
  <c r="J448" i="1" s="1"/>
  <c r="D447" i="7"/>
  <c r="J447" i="1" s="1"/>
  <c r="D446" i="7"/>
  <c r="J446" i="1" s="1"/>
  <c r="D444" i="7"/>
  <c r="J444" i="1" s="1"/>
  <c r="D443" i="7"/>
  <c r="J443" i="1" s="1"/>
  <c r="D442" i="7"/>
  <c r="J442" i="1" s="1"/>
  <c r="D440" i="7"/>
  <c r="D439" i="7"/>
  <c r="J439" i="1" s="1"/>
  <c r="D438" i="7"/>
  <c r="J438" i="1" s="1"/>
  <c r="D436" i="7"/>
  <c r="J436" i="1" s="1"/>
  <c r="D435" i="7"/>
  <c r="J435" i="1" s="1"/>
  <c r="D434" i="7"/>
  <c r="J434" i="1" s="1"/>
  <c r="D432" i="7"/>
  <c r="J432" i="1" s="1"/>
  <c r="D431" i="7"/>
  <c r="J431" i="1" s="1"/>
  <c r="D430" i="7"/>
  <c r="J430" i="1" s="1"/>
  <c r="D428" i="7"/>
  <c r="J428" i="1" s="1"/>
  <c r="D427" i="7"/>
  <c r="J427" i="1" s="1"/>
  <c r="D426" i="7"/>
  <c r="J426" i="1" s="1"/>
  <c r="D424" i="7"/>
  <c r="J424" i="1" s="1"/>
  <c r="D423" i="7"/>
  <c r="J423" i="1" s="1"/>
  <c r="D422" i="7"/>
  <c r="J422" i="1" s="1"/>
  <c r="D420" i="7"/>
  <c r="J420" i="1" s="1"/>
  <c r="D419" i="7"/>
  <c r="J419" i="1" s="1"/>
  <c r="D418" i="7"/>
  <c r="J418" i="1" s="1"/>
  <c r="D416" i="7"/>
  <c r="J416" i="1" s="1"/>
  <c r="D415" i="7"/>
  <c r="J415" i="1" s="1"/>
  <c r="D414" i="7"/>
  <c r="J414" i="1" s="1"/>
  <c r="D412" i="7"/>
  <c r="J412" i="1" s="1"/>
  <c r="D411" i="7"/>
  <c r="J411" i="1" s="1"/>
  <c r="D410" i="7"/>
  <c r="J410" i="1" s="1"/>
  <c r="D408" i="7"/>
  <c r="J408" i="1" s="1"/>
  <c r="D407" i="7"/>
  <c r="J407" i="1" s="1"/>
  <c r="D406" i="7"/>
  <c r="J406" i="1" s="1"/>
  <c r="D404" i="7"/>
  <c r="J404" i="1" s="1"/>
  <c r="D403" i="7"/>
  <c r="J403" i="1" s="1"/>
  <c r="D402" i="7"/>
  <c r="J402" i="1" s="1"/>
  <c r="D400" i="7"/>
  <c r="J400" i="1" s="1"/>
  <c r="D399" i="7"/>
  <c r="J399" i="1" s="1"/>
  <c r="D398" i="7"/>
  <c r="J398" i="1" s="1"/>
  <c r="D396" i="7"/>
  <c r="J396" i="1" s="1"/>
  <c r="D395" i="7"/>
  <c r="J395" i="1" s="1"/>
  <c r="D394" i="7"/>
  <c r="J394" i="1" s="1"/>
  <c r="D392" i="7"/>
  <c r="J392" i="1" s="1"/>
  <c r="D391" i="7"/>
  <c r="J391" i="1" s="1"/>
  <c r="D390" i="7"/>
  <c r="J390" i="1" s="1"/>
  <c r="D388" i="7"/>
  <c r="J388" i="1" s="1"/>
  <c r="D387" i="7"/>
  <c r="J387" i="1" s="1"/>
  <c r="D386" i="7"/>
  <c r="J386" i="1" s="1"/>
  <c r="D384" i="7"/>
  <c r="D383" i="7"/>
  <c r="J383" i="1" s="1"/>
  <c r="D382" i="7"/>
  <c r="J382" i="1" s="1"/>
  <c r="D380" i="7"/>
  <c r="J380" i="1" s="1"/>
  <c r="D379" i="7"/>
  <c r="J379" i="1" s="1"/>
  <c r="D378" i="7"/>
  <c r="J378" i="1" s="1"/>
  <c r="D376" i="7"/>
  <c r="J376" i="1" s="1"/>
  <c r="D375" i="7"/>
  <c r="J375" i="1" s="1"/>
  <c r="D374" i="7"/>
  <c r="J374" i="1" s="1"/>
  <c r="D372" i="7"/>
  <c r="J372" i="1" s="1"/>
  <c r="D371" i="7"/>
  <c r="J371" i="1" s="1"/>
  <c r="D370" i="7"/>
  <c r="J370" i="1" s="1"/>
  <c r="D368" i="7"/>
  <c r="J368" i="1" s="1"/>
  <c r="D367" i="7"/>
  <c r="J367" i="1" s="1"/>
  <c r="D366" i="7"/>
  <c r="J366" i="1" s="1"/>
  <c r="D364" i="7"/>
  <c r="J364" i="1" s="1"/>
  <c r="D363" i="7"/>
  <c r="J363" i="1" s="1"/>
  <c r="D362" i="7"/>
  <c r="J362" i="1" s="1"/>
  <c r="D360" i="7"/>
  <c r="J360" i="1" s="1"/>
  <c r="D359" i="7"/>
  <c r="J359" i="1" s="1"/>
  <c r="D358" i="7"/>
  <c r="J358" i="1" s="1"/>
  <c r="D356" i="7"/>
  <c r="D355" i="7"/>
  <c r="J355" i="1" s="1"/>
  <c r="D354" i="7"/>
  <c r="J354" i="1" s="1"/>
  <c r="D352" i="7"/>
  <c r="J352" i="1" s="1"/>
  <c r="D351" i="7"/>
  <c r="J351" i="1" s="1"/>
  <c r="D350" i="7"/>
  <c r="J350" i="1" s="1"/>
  <c r="D348" i="7"/>
  <c r="J348" i="1" s="1"/>
  <c r="D347" i="7"/>
  <c r="J347" i="1" s="1"/>
  <c r="D346" i="7"/>
  <c r="J346" i="1" s="1"/>
  <c r="D344" i="7"/>
  <c r="J344" i="1" s="1"/>
  <c r="D343" i="7"/>
  <c r="J343" i="1" s="1"/>
  <c r="D342" i="7"/>
  <c r="J342" i="1" s="1"/>
  <c r="D340" i="7"/>
  <c r="J340" i="1" s="1"/>
  <c r="D339" i="7"/>
  <c r="J339" i="1" s="1"/>
  <c r="D338" i="7"/>
  <c r="J338" i="1" s="1"/>
  <c r="D336" i="7"/>
  <c r="J336" i="1" s="1"/>
  <c r="D335" i="7"/>
  <c r="J335" i="1" s="1"/>
  <c r="D334" i="7"/>
  <c r="J334" i="1" s="1"/>
  <c r="D332" i="7"/>
  <c r="J332" i="1" s="1"/>
  <c r="D331" i="7"/>
  <c r="J331" i="1" s="1"/>
  <c r="D330" i="7"/>
  <c r="J330" i="1" s="1"/>
  <c r="D328" i="7"/>
  <c r="D327" i="7"/>
  <c r="J327" i="1" s="1"/>
  <c r="D326" i="7"/>
  <c r="J326" i="1" s="1"/>
  <c r="D324" i="7"/>
  <c r="J324" i="1" s="1"/>
  <c r="D323" i="7"/>
  <c r="J323" i="1" s="1"/>
  <c r="D322" i="7"/>
  <c r="J322" i="1" s="1"/>
  <c r="D320" i="7"/>
  <c r="J320" i="1" s="1"/>
  <c r="D319" i="7"/>
  <c r="J319" i="1" s="1"/>
  <c r="D318" i="7"/>
  <c r="J318" i="1" s="1"/>
  <c r="D316" i="7"/>
  <c r="J316" i="1" s="1"/>
  <c r="D315" i="7"/>
  <c r="J315" i="1" s="1"/>
  <c r="D314" i="7"/>
  <c r="J314" i="1" s="1"/>
  <c r="D312" i="7"/>
  <c r="J312" i="1" s="1"/>
  <c r="D311" i="7"/>
  <c r="J311" i="1" s="1"/>
  <c r="D310" i="7"/>
  <c r="J310" i="1" s="1"/>
  <c r="D308" i="7"/>
  <c r="J308" i="1" s="1"/>
  <c r="D307" i="7"/>
  <c r="J307" i="1" s="1"/>
  <c r="D306" i="7"/>
  <c r="J306" i="1" s="1"/>
  <c r="D304" i="7"/>
  <c r="J304" i="1" s="1"/>
  <c r="D303" i="7"/>
  <c r="J303" i="1" s="1"/>
  <c r="D302" i="7"/>
  <c r="J302" i="1" s="1"/>
  <c r="D300" i="7"/>
  <c r="J300" i="1" s="1"/>
  <c r="D299" i="7"/>
  <c r="D298" i="7"/>
  <c r="J298" i="1" s="1"/>
  <c r="D296" i="7"/>
  <c r="J296" i="1" s="1"/>
  <c r="D295" i="7"/>
  <c r="J295" i="1" s="1"/>
  <c r="D294" i="7"/>
  <c r="J294" i="1" s="1"/>
  <c r="D292" i="7"/>
  <c r="J292" i="1" s="1"/>
  <c r="D291" i="7"/>
  <c r="J291" i="1" s="1"/>
  <c r="D290" i="7"/>
  <c r="J290" i="1" s="1"/>
  <c r="D288" i="7"/>
  <c r="J288" i="1" s="1"/>
  <c r="D287" i="7"/>
  <c r="J287" i="1" s="1"/>
  <c r="D286" i="7"/>
  <c r="J286" i="1" s="1"/>
  <c r="D284" i="7"/>
  <c r="J284" i="1" s="1"/>
  <c r="D283" i="7"/>
  <c r="J283" i="1" s="1"/>
  <c r="D282" i="7"/>
  <c r="J282" i="1" s="1"/>
  <c r="D280" i="7"/>
  <c r="J280" i="1" s="1"/>
  <c r="D279" i="7"/>
  <c r="J279" i="1" s="1"/>
  <c r="D278" i="7"/>
  <c r="J278" i="1" s="1"/>
  <c r="D276" i="7"/>
  <c r="J276" i="1" s="1"/>
  <c r="D275" i="7"/>
  <c r="J275" i="1" s="1"/>
  <c r="D274" i="7"/>
  <c r="J274" i="1" s="1"/>
  <c r="D272" i="7"/>
  <c r="J272" i="1" s="1"/>
  <c r="D271" i="7"/>
  <c r="D270" i="7"/>
  <c r="J270" i="1" s="1"/>
  <c r="D268" i="7"/>
  <c r="J268" i="1" s="1"/>
  <c r="D267" i="7"/>
  <c r="J267" i="1" s="1"/>
  <c r="D266" i="7"/>
  <c r="J266" i="1" s="1"/>
  <c r="D264" i="7"/>
  <c r="J264" i="1" s="1"/>
  <c r="D263" i="7"/>
  <c r="J263" i="1" s="1"/>
  <c r="D262" i="7"/>
  <c r="J262" i="1" s="1"/>
  <c r="D260" i="7"/>
  <c r="J260" i="1" s="1"/>
  <c r="D259" i="7"/>
  <c r="J259" i="1" s="1"/>
  <c r="D258" i="7"/>
  <c r="J258" i="1" s="1"/>
  <c r="D256" i="7"/>
  <c r="J256" i="1" s="1"/>
  <c r="D255" i="7"/>
  <c r="J255" i="1" s="1"/>
  <c r="D254" i="7"/>
  <c r="J254" i="1" s="1"/>
  <c r="D252" i="7"/>
  <c r="J252" i="1" s="1"/>
  <c r="D251" i="7"/>
  <c r="J251" i="1" s="1"/>
  <c r="D250" i="7"/>
  <c r="J250" i="1" s="1"/>
  <c r="D248" i="7"/>
  <c r="J248" i="1" s="1"/>
  <c r="D247" i="7"/>
  <c r="J247" i="1" s="1"/>
  <c r="D246" i="7"/>
  <c r="J246" i="1" s="1"/>
  <c r="D244" i="7"/>
  <c r="J244" i="1" s="1"/>
  <c r="D243" i="7"/>
  <c r="D242" i="7"/>
  <c r="J242" i="1" s="1"/>
  <c r="D240" i="7"/>
  <c r="D239" i="7"/>
  <c r="J239" i="1" s="1"/>
  <c r="D238" i="7"/>
  <c r="J238" i="1" s="1"/>
  <c r="D236" i="7"/>
  <c r="J236" i="1" s="1"/>
  <c r="D235" i="7"/>
  <c r="J235" i="1" s="1"/>
  <c r="D234" i="7"/>
  <c r="J234" i="1" s="1"/>
  <c r="D232" i="7"/>
  <c r="J232" i="1" s="1"/>
  <c r="D231" i="7"/>
  <c r="J231" i="1" s="1"/>
  <c r="D230" i="7"/>
  <c r="J230" i="1" s="1"/>
  <c r="D228" i="7"/>
  <c r="J228" i="1" s="1"/>
  <c r="D227" i="7"/>
  <c r="J227" i="1" s="1"/>
  <c r="D226" i="7"/>
  <c r="J226" i="1" s="1"/>
  <c r="D224" i="7"/>
  <c r="J224" i="1" s="1"/>
  <c r="D223" i="7"/>
  <c r="J223" i="1" s="1"/>
  <c r="D222" i="7"/>
  <c r="J222" i="1" s="1"/>
  <c r="D220" i="7"/>
  <c r="J220" i="1" s="1"/>
  <c r="D219" i="7"/>
  <c r="J219" i="1" s="1"/>
  <c r="D218" i="7"/>
  <c r="J218" i="1" s="1"/>
  <c r="D216" i="7"/>
  <c r="J216" i="1" s="1"/>
  <c r="D215" i="7"/>
  <c r="J215" i="1" s="1"/>
  <c r="D214" i="7"/>
  <c r="J214" i="1" s="1"/>
  <c r="D212" i="7"/>
  <c r="D211" i="7"/>
  <c r="J211" i="1" s="1"/>
  <c r="D210" i="7"/>
  <c r="J210" i="1" s="1"/>
  <c r="D208" i="7"/>
  <c r="J208" i="1" s="1"/>
  <c r="D207" i="7"/>
  <c r="J207" i="1" s="1"/>
  <c r="D206" i="7"/>
  <c r="J206" i="1" s="1"/>
  <c r="D204" i="7"/>
  <c r="J204" i="1" s="1"/>
  <c r="D203" i="7"/>
  <c r="J203" i="1" s="1"/>
  <c r="D202" i="7"/>
  <c r="J202" i="1" s="1"/>
  <c r="D200" i="7"/>
  <c r="J200" i="1" s="1"/>
  <c r="D199" i="7"/>
  <c r="J199" i="1" s="1"/>
  <c r="D198" i="7"/>
  <c r="J198" i="1" s="1"/>
  <c r="D196" i="7"/>
  <c r="J196" i="1" s="1"/>
  <c r="D195" i="7"/>
  <c r="J195" i="1" s="1"/>
  <c r="D194" i="7"/>
  <c r="J194" i="1" s="1"/>
  <c r="D192" i="7"/>
  <c r="J192" i="1" s="1"/>
  <c r="D191" i="7"/>
  <c r="J191" i="1" s="1"/>
  <c r="D190" i="7"/>
  <c r="J190" i="1" s="1"/>
  <c r="D188" i="7"/>
  <c r="J188" i="1" s="1"/>
  <c r="D187" i="7"/>
  <c r="J187" i="1" s="1"/>
  <c r="D186" i="7"/>
  <c r="J186" i="1" s="1"/>
  <c r="D184" i="7"/>
  <c r="D183" i="7"/>
  <c r="J183" i="1" s="1"/>
  <c r="D182" i="7"/>
  <c r="J182" i="1" s="1"/>
  <c r="D180" i="7"/>
  <c r="J180" i="1" s="1"/>
  <c r="D179" i="7"/>
  <c r="J179" i="1" s="1"/>
  <c r="D178" i="7"/>
  <c r="J178" i="1" s="1"/>
  <c r="D176" i="7"/>
  <c r="J176" i="1" s="1"/>
  <c r="D175" i="7"/>
  <c r="J175" i="1" s="1"/>
  <c r="D174" i="7"/>
  <c r="J174" i="1" s="1"/>
  <c r="D172" i="7"/>
  <c r="J172" i="1" s="1"/>
  <c r="D171" i="7"/>
  <c r="J171" i="1" s="1"/>
  <c r="D170" i="7"/>
  <c r="J170" i="1" s="1"/>
  <c r="D168" i="7"/>
  <c r="J168" i="1" s="1"/>
  <c r="D167" i="7"/>
  <c r="J167" i="1" s="1"/>
  <c r="D166" i="7"/>
  <c r="J166" i="1" s="1"/>
  <c r="D164" i="7"/>
  <c r="J164" i="1" s="1"/>
  <c r="D163" i="7"/>
  <c r="J163" i="1" s="1"/>
  <c r="D162" i="7"/>
  <c r="J162" i="1" s="1"/>
  <c r="D160" i="7"/>
  <c r="J160" i="1" s="1"/>
  <c r="D159" i="7"/>
  <c r="J159" i="1" s="1"/>
  <c r="D158" i="7"/>
  <c r="J158" i="1" s="1"/>
  <c r="D156" i="7"/>
  <c r="J156" i="1" s="1"/>
  <c r="D155" i="7"/>
  <c r="J155" i="1" s="1"/>
  <c r="D154" i="7"/>
  <c r="J154" i="1" s="1"/>
  <c r="D152" i="7"/>
  <c r="J152" i="1" s="1"/>
  <c r="D151" i="7"/>
  <c r="J151" i="1" s="1"/>
  <c r="D150" i="7"/>
  <c r="J150" i="1" s="1"/>
  <c r="D148" i="7"/>
  <c r="J148" i="1" s="1"/>
  <c r="D147" i="7"/>
  <c r="J147" i="1" s="1"/>
  <c r="D146" i="7"/>
  <c r="J146" i="1" s="1"/>
  <c r="D144" i="7"/>
  <c r="J144" i="1" s="1"/>
  <c r="D143" i="7"/>
  <c r="J143" i="1" s="1"/>
  <c r="D142" i="7"/>
  <c r="J142" i="1" s="1"/>
  <c r="D140" i="7"/>
  <c r="J140" i="1" s="1"/>
  <c r="D139" i="7"/>
  <c r="J139" i="1" s="1"/>
  <c r="D138" i="7"/>
  <c r="J138" i="1" s="1"/>
  <c r="D136" i="7"/>
  <c r="J136" i="1" s="1"/>
  <c r="D135" i="7"/>
  <c r="J135" i="1" s="1"/>
  <c r="D134" i="7"/>
  <c r="J134" i="1" s="1"/>
  <c r="D132" i="7"/>
  <c r="J132" i="1" s="1"/>
  <c r="D131" i="7"/>
  <c r="J131" i="1" s="1"/>
  <c r="D130" i="7"/>
  <c r="J130" i="1" s="1"/>
  <c r="D128" i="7"/>
  <c r="D127" i="7"/>
  <c r="J127" i="1" s="1"/>
  <c r="D126" i="7"/>
  <c r="J126" i="1" s="1"/>
  <c r="D124" i="7"/>
  <c r="J124" i="1" s="1"/>
  <c r="D123" i="7"/>
  <c r="J123" i="1" s="1"/>
  <c r="D122" i="7"/>
  <c r="J122" i="1" s="1"/>
  <c r="D120" i="7"/>
  <c r="J120" i="1" s="1"/>
  <c r="D119" i="7"/>
  <c r="J119" i="1" s="1"/>
  <c r="D118" i="7"/>
  <c r="J118" i="1" s="1"/>
  <c r="D116" i="7"/>
  <c r="J116" i="1" s="1"/>
  <c r="D115" i="7"/>
  <c r="J115" i="1" s="1"/>
  <c r="D114" i="7"/>
  <c r="J114" i="1" s="1"/>
  <c r="D112" i="7"/>
  <c r="J112" i="1" s="1"/>
  <c r="D111" i="7"/>
  <c r="J111" i="1" s="1"/>
  <c r="D110" i="7"/>
  <c r="J110" i="1" s="1"/>
  <c r="D108" i="7"/>
  <c r="J108" i="1" s="1"/>
  <c r="D107" i="7"/>
  <c r="J107" i="1" s="1"/>
  <c r="D106" i="7"/>
  <c r="J106" i="1" s="1"/>
  <c r="D104" i="7"/>
  <c r="D103" i="7"/>
  <c r="J103" i="1" s="1"/>
  <c r="D102" i="7"/>
  <c r="J102" i="1" s="1"/>
  <c r="D100" i="7"/>
  <c r="J100" i="1" s="1"/>
  <c r="D99" i="7"/>
  <c r="J99" i="1" s="1"/>
  <c r="D98" i="7"/>
  <c r="J98" i="1" s="1"/>
  <c r="D96" i="7"/>
  <c r="J96" i="1" s="1"/>
  <c r="D95" i="7"/>
  <c r="J95" i="1" s="1"/>
  <c r="D94" i="7"/>
  <c r="J94" i="1" s="1"/>
  <c r="D92" i="7"/>
  <c r="D91" i="7"/>
  <c r="J91" i="1" s="1"/>
  <c r="D90" i="7"/>
  <c r="J90" i="1" s="1"/>
  <c r="D88" i="7"/>
  <c r="J88" i="1" s="1"/>
  <c r="D87" i="7"/>
  <c r="J87" i="1" s="1"/>
  <c r="D86" i="7"/>
  <c r="J86" i="1" s="1"/>
  <c r="D84" i="7"/>
  <c r="J84" i="1" s="1"/>
  <c r="D83" i="7"/>
  <c r="J83" i="1" s="1"/>
  <c r="D82" i="7"/>
  <c r="J82" i="1" s="1"/>
  <c r="D80" i="7"/>
  <c r="J80" i="1" s="1"/>
  <c r="D79" i="7"/>
  <c r="J79" i="1" s="1"/>
  <c r="D78" i="7"/>
  <c r="J78" i="1" s="1"/>
  <c r="D76" i="7"/>
  <c r="J76" i="1" s="1"/>
  <c r="D75" i="7"/>
  <c r="J75" i="1" s="1"/>
  <c r="D74" i="7"/>
  <c r="J74" i="1" s="1"/>
  <c r="D72" i="7"/>
  <c r="D71" i="7"/>
  <c r="J71" i="1" s="1"/>
  <c r="D70" i="7"/>
  <c r="J70" i="1" s="1"/>
  <c r="D68" i="7"/>
  <c r="J68" i="1" s="1"/>
  <c r="D67" i="7"/>
  <c r="J67" i="1" s="1"/>
  <c r="D66" i="7"/>
  <c r="J66" i="1" s="1"/>
  <c r="D64" i="7"/>
  <c r="J64" i="1" s="1"/>
  <c r="D63" i="7"/>
  <c r="J63" i="1" s="1"/>
  <c r="D62" i="7"/>
  <c r="J62" i="1" s="1"/>
  <c r="D60" i="7"/>
  <c r="D59" i="7"/>
  <c r="J59" i="1" s="1"/>
  <c r="D58" i="7"/>
  <c r="J58" i="1" s="1"/>
  <c r="D56" i="7"/>
  <c r="J56" i="1" s="1"/>
  <c r="D55" i="7"/>
  <c r="J55" i="1" s="1"/>
  <c r="D54" i="7"/>
  <c r="J54" i="1" s="1"/>
  <c r="D52" i="7"/>
  <c r="J52" i="1" s="1"/>
  <c r="D51" i="7"/>
  <c r="J51" i="1" s="1"/>
  <c r="D50" i="7"/>
  <c r="J50" i="1" s="1"/>
  <c r="D48" i="7"/>
  <c r="J48" i="1" s="1"/>
  <c r="D47" i="7"/>
  <c r="J47" i="1" s="1"/>
  <c r="D46" i="7"/>
  <c r="J46" i="1" s="1"/>
  <c r="D44" i="7"/>
  <c r="J44" i="1" s="1"/>
  <c r="D43" i="7"/>
  <c r="J43" i="1" s="1"/>
  <c r="D42" i="7"/>
  <c r="J42" i="1" s="1"/>
  <c r="D40" i="7"/>
  <c r="D39" i="7"/>
  <c r="J39" i="1" s="1"/>
  <c r="D38" i="7"/>
  <c r="J38" i="1" s="1"/>
  <c r="D36" i="7"/>
  <c r="J36" i="1" s="1"/>
  <c r="D35" i="7"/>
  <c r="J35" i="1" s="1"/>
  <c r="D34" i="7"/>
  <c r="J34" i="1" s="1"/>
  <c r="D32" i="7"/>
  <c r="J32" i="1" s="1"/>
  <c r="D31" i="7"/>
  <c r="J31" i="1" s="1"/>
  <c r="D30" i="7"/>
  <c r="J30" i="1" s="1"/>
  <c r="D28" i="7"/>
  <c r="D27" i="7"/>
  <c r="J27" i="1" s="1"/>
  <c r="D26" i="7"/>
  <c r="J26" i="1" s="1"/>
  <c r="D24" i="7"/>
  <c r="J24" i="1" s="1"/>
  <c r="D23" i="7"/>
  <c r="J23" i="1" s="1"/>
  <c r="D22" i="7"/>
  <c r="J22" i="1" s="1"/>
  <c r="D20" i="7"/>
  <c r="J20" i="1" s="1"/>
  <c r="D19" i="7"/>
  <c r="J19" i="1" s="1"/>
  <c r="D18" i="7"/>
  <c r="J18" i="1" s="1"/>
  <c r="D16" i="7"/>
  <c r="J16" i="1" s="1"/>
  <c r="D15" i="7"/>
  <c r="J15" i="1" s="1"/>
  <c r="D14" i="7"/>
  <c r="J14" i="1" s="1"/>
  <c r="D12" i="7"/>
  <c r="J12" i="1" s="1"/>
  <c r="D11" i="7"/>
  <c r="J11" i="1" s="1"/>
  <c r="D10" i="7"/>
  <c r="J10" i="1" s="1"/>
  <c r="D8" i="7"/>
  <c r="D7" i="7"/>
  <c r="J7" i="1" s="1"/>
  <c r="D6" i="7"/>
  <c r="J6" i="1" s="1"/>
  <c r="D4" i="7"/>
  <c r="J4" i="1" s="1"/>
  <c r="D3" i="7"/>
  <c r="J3" i="1" s="1"/>
  <c r="D2" i="7"/>
  <c r="J2" i="1" s="1"/>
  <c r="C901" i="5"/>
  <c r="D901" i="5" s="1"/>
  <c r="H901" i="1" s="1"/>
  <c r="C900" i="5"/>
  <c r="D900" i="5" s="1"/>
  <c r="H900" i="1" s="1"/>
  <c r="C899" i="5"/>
  <c r="D899" i="5" s="1"/>
  <c r="H899" i="1" s="1"/>
  <c r="C897" i="5"/>
  <c r="D897" i="5" s="1"/>
  <c r="H897" i="1" s="1"/>
  <c r="C896" i="5"/>
  <c r="D896" i="5" s="1"/>
  <c r="H896" i="1" s="1"/>
  <c r="C895" i="5"/>
  <c r="D895" i="5" s="1"/>
  <c r="C893" i="5"/>
  <c r="D893" i="5" s="1"/>
  <c r="H893" i="1" s="1"/>
  <c r="C892" i="5"/>
  <c r="D892" i="5" s="1"/>
  <c r="H892" i="1" s="1"/>
  <c r="C891" i="5"/>
  <c r="D891" i="5" s="1"/>
  <c r="H891" i="1" s="1"/>
  <c r="C889" i="5"/>
  <c r="D889" i="5" s="1"/>
  <c r="H889" i="1" s="1"/>
  <c r="C888" i="5"/>
  <c r="D888" i="5" s="1"/>
  <c r="H888" i="1" s="1"/>
  <c r="C887" i="5"/>
  <c r="D887" i="5" s="1"/>
  <c r="C885" i="5"/>
  <c r="D885" i="5" s="1"/>
  <c r="H885" i="1" s="1"/>
  <c r="C884" i="5"/>
  <c r="D884" i="5" s="1"/>
  <c r="H884" i="1" s="1"/>
  <c r="C883" i="5"/>
  <c r="D883" i="5" s="1"/>
  <c r="H883" i="1" s="1"/>
  <c r="C881" i="5"/>
  <c r="D881" i="5" s="1"/>
  <c r="H881" i="1" s="1"/>
  <c r="C880" i="5"/>
  <c r="D880" i="5" s="1"/>
  <c r="H880" i="1" s="1"/>
  <c r="C879" i="5"/>
  <c r="D879" i="5" s="1"/>
  <c r="C877" i="5"/>
  <c r="D877" i="5" s="1"/>
  <c r="H877" i="1" s="1"/>
  <c r="D876" i="5"/>
  <c r="H876" i="1" s="1"/>
  <c r="C876" i="5"/>
  <c r="C875" i="5"/>
  <c r="D875" i="5" s="1"/>
  <c r="H875" i="1" s="1"/>
  <c r="C874" i="5"/>
  <c r="D874" i="5" s="1"/>
  <c r="H874" i="1" s="1"/>
  <c r="C873" i="5"/>
  <c r="D873" i="5" s="1"/>
  <c r="H873" i="1" s="1"/>
  <c r="C872" i="5"/>
  <c r="D872" i="5" s="1"/>
  <c r="H872" i="1" s="1"/>
  <c r="C871" i="5"/>
  <c r="D871" i="5" s="1"/>
  <c r="C870" i="5"/>
  <c r="D870" i="5" s="1"/>
  <c r="H870" i="1" s="1"/>
  <c r="C869" i="5"/>
  <c r="D869" i="5" s="1"/>
  <c r="H869" i="1" s="1"/>
  <c r="C868" i="5"/>
  <c r="D868" i="5" s="1"/>
  <c r="H868" i="1" s="1"/>
  <c r="C867" i="5"/>
  <c r="D867" i="5" s="1"/>
  <c r="H867" i="1" s="1"/>
  <c r="C866" i="5"/>
  <c r="D866" i="5" s="1"/>
  <c r="H866" i="1" s="1"/>
  <c r="C865" i="5"/>
  <c r="D865" i="5" s="1"/>
  <c r="H865" i="1" s="1"/>
  <c r="C864" i="5"/>
  <c r="D864" i="5" s="1"/>
  <c r="H864" i="1" s="1"/>
  <c r="C863" i="5"/>
  <c r="D863" i="5" s="1"/>
  <c r="C862" i="5"/>
  <c r="D862" i="5" s="1"/>
  <c r="H862" i="1" s="1"/>
  <c r="C861" i="5"/>
  <c r="D861" i="5" s="1"/>
  <c r="H861" i="1" s="1"/>
  <c r="D860" i="5"/>
  <c r="H860" i="1" s="1"/>
  <c r="C860" i="5"/>
  <c r="C859" i="5"/>
  <c r="D859" i="5" s="1"/>
  <c r="H859" i="1" s="1"/>
  <c r="C857" i="5"/>
  <c r="D857" i="5" s="1"/>
  <c r="H857" i="1" s="1"/>
  <c r="C856" i="5"/>
  <c r="D856" i="5" s="1"/>
  <c r="H856" i="1" s="1"/>
  <c r="C855" i="5"/>
  <c r="D855" i="5" s="1"/>
  <c r="C853" i="5"/>
  <c r="D853" i="5" s="1"/>
  <c r="H853" i="1" s="1"/>
  <c r="C852" i="5"/>
  <c r="D852" i="5" s="1"/>
  <c r="H852" i="1" s="1"/>
  <c r="C851" i="5"/>
  <c r="D851" i="5" s="1"/>
  <c r="H851" i="1" s="1"/>
  <c r="C849" i="5"/>
  <c r="D849" i="5" s="1"/>
  <c r="H849" i="1" s="1"/>
  <c r="C848" i="5"/>
  <c r="D848" i="5" s="1"/>
  <c r="H848" i="1" s="1"/>
  <c r="C847" i="5"/>
  <c r="D847" i="5" s="1"/>
  <c r="C845" i="5"/>
  <c r="D845" i="5" s="1"/>
  <c r="H845" i="1" s="1"/>
  <c r="C844" i="5"/>
  <c r="D844" i="5" s="1"/>
  <c r="H844" i="1" s="1"/>
  <c r="C843" i="5"/>
  <c r="D843" i="5" s="1"/>
  <c r="H843" i="1" s="1"/>
  <c r="C841" i="5"/>
  <c r="D841" i="5" s="1"/>
  <c r="H841" i="1" s="1"/>
  <c r="C840" i="5"/>
  <c r="D840" i="5" s="1"/>
  <c r="H840" i="1" s="1"/>
  <c r="C839" i="5"/>
  <c r="D839" i="5" s="1"/>
  <c r="C837" i="5"/>
  <c r="D837" i="5" s="1"/>
  <c r="H837" i="1" s="1"/>
  <c r="C836" i="5"/>
  <c r="D836" i="5" s="1"/>
  <c r="H836" i="1" s="1"/>
  <c r="C835" i="5"/>
  <c r="D835" i="5" s="1"/>
  <c r="H835" i="1" s="1"/>
  <c r="C833" i="5"/>
  <c r="D833" i="5" s="1"/>
  <c r="H833" i="1" s="1"/>
  <c r="C832" i="5"/>
  <c r="D832" i="5" s="1"/>
  <c r="H832" i="1" s="1"/>
  <c r="C831" i="5"/>
  <c r="D831" i="5" s="1"/>
  <c r="C829" i="5"/>
  <c r="D829" i="5" s="1"/>
  <c r="H829" i="1" s="1"/>
  <c r="C828" i="5"/>
  <c r="D828" i="5" s="1"/>
  <c r="H828" i="1" s="1"/>
  <c r="C827" i="5"/>
  <c r="D827" i="5" s="1"/>
  <c r="H827" i="1" s="1"/>
  <c r="C825" i="5"/>
  <c r="D825" i="5" s="1"/>
  <c r="H825" i="1" s="1"/>
  <c r="C824" i="5"/>
  <c r="D824" i="5" s="1"/>
  <c r="H824" i="1" s="1"/>
  <c r="C823" i="5"/>
  <c r="D823" i="5" s="1"/>
  <c r="C821" i="5"/>
  <c r="D821" i="5" s="1"/>
  <c r="H821" i="1" s="1"/>
  <c r="D820" i="5"/>
  <c r="H820" i="1" s="1"/>
  <c r="C820" i="5"/>
  <c r="C819" i="5"/>
  <c r="D819" i="5" s="1"/>
  <c r="H819" i="1" s="1"/>
  <c r="C818" i="5"/>
  <c r="D818" i="5" s="1"/>
  <c r="H818" i="1" s="1"/>
  <c r="C817" i="5"/>
  <c r="D817" i="5" s="1"/>
  <c r="H817" i="1" s="1"/>
  <c r="C816" i="5"/>
  <c r="D816" i="5" s="1"/>
  <c r="H816" i="1" s="1"/>
  <c r="C815" i="5"/>
  <c r="D815" i="5" s="1"/>
  <c r="C814" i="5"/>
  <c r="D814" i="5" s="1"/>
  <c r="H814" i="1" s="1"/>
  <c r="C813" i="5"/>
  <c r="D813" i="5" s="1"/>
  <c r="H813" i="1" s="1"/>
  <c r="C812" i="5"/>
  <c r="D812" i="5" s="1"/>
  <c r="H812" i="1" s="1"/>
  <c r="C811" i="5"/>
  <c r="D811" i="5" s="1"/>
  <c r="H811" i="1" s="1"/>
  <c r="C810" i="5"/>
  <c r="D810" i="5" s="1"/>
  <c r="H810" i="1" s="1"/>
  <c r="C809" i="5"/>
  <c r="D809" i="5" s="1"/>
  <c r="H809" i="1" s="1"/>
  <c r="C808" i="5"/>
  <c r="D808" i="5" s="1"/>
  <c r="H808" i="1" s="1"/>
  <c r="C807" i="5"/>
  <c r="D807" i="5" s="1"/>
  <c r="C806" i="5"/>
  <c r="D806" i="5" s="1"/>
  <c r="H806" i="1" s="1"/>
  <c r="C805" i="5"/>
  <c r="D805" i="5" s="1"/>
  <c r="H805" i="1" s="1"/>
  <c r="C804" i="5"/>
  <c r="D804" i="5" s="1"/>
  <c r="H804" i="1" s="1"/>
  <c r="C803" i="5"/>
  <c r="D803" i="5" s="1"/>
  <c r="H803" i="1" s="1"/>
  <c r="C802" i="5"/>
  <c r="D802" i="5" s="1"/>
  <c r="H802" i="1" s="1"/>
  <c r="C801" i="5"/>
  <c r="D801" i="5" s="1"/>
  <c r="H801" i="1" s="1"/>
  <c r="C800" i="5"/>
  <c r="D800" i="5" s="1"/>
  <c r="H800" i="1" s="1"/>
  <c r="C799" i="5"/>
  <c r="D799" i="5" s="1"/>
  <c r="C798" i="5"/>
  <c r="D798" i="5" s="1"/>
  <c r="H798" i="1" s="1"/>
  <c r="C797" i="5"/>
  <c r="D797" i="5" s="1"/>
  <c r="H797" i="1" s="1"/>
  <c r="C796" i="5"/>
  <c r="D796" i="5" s="1"/>
  <c r="H796" i="1" s="1"/>
  <c r="C795" i="5"/>
  <c r="D795" i="5" s="1"/>
  <c r="H795" i="1" s="1"/>
  <c r="C794" i="5"/>
  <c r="D794" i="5" s="1"/>
  <c r="H794" i="1" s="1"/>
  <c r="C793" i="5"/>
  <c r="D793" i="5" s="1"/>
  <c r="H793" i="1" s="1"/>
  <c r="C792" i="5"/>
  <c r="D792" i="5" s="1"/>
  <c r="H792" i="1" s="1"/>
  <c r="C791" i="5"/>
  <c r="D791" i="5" s="1"/>
  <c r="C790" i="5"/>
  <c r="D790" i="5" s="1"/>
  <c r="H790" i="1" s="1"/>
  <c r="C789" i="5"/>
  <c r="D789" i="5" s="1"/>
  <c r="H789" i="1" s="1"/>
  <c r="C788" i="5"/>
  <c r="D788" i="5" s="1"/>
  <c r="H788" i="1" s="1"/>
  <c r="C787" i="5"/>
  <c r="D787" i="5" s="1"/>
  <c r="H787" i="1" s="1"/>
  <c r="C786" i="5"/>
  <c r="D786" i="5" s="1"/>
  <c r="H786" i="1" s="1"/>
  <c r="C785" i="5"/>
  <c r="D785" i="5" s="1"/>
  <c r="H785" i="1" s="1"/>
  <c r="C784" i="5"/>
  <c r="D784" i="5" s="1"/>
  <c r="H784" i="1" s="1"/>
  <c r="C783" i="5"/>
  <c r="D783" i="5" s="1"/>
  <c r="C782" i="5"/>
  <c r="D782" i="5" s="1"/>
  <c r="H782" i="1" s="1"/>
  <c r="C781" i="5"/>
  <c r="D781" i="5" s="1"/>
  <c r="H781" i="1" s="1"/>
  <c r="C780" i="5"/>
  <c r="D780" i="5" s="1"/>
  <c r="H780" i="1" s="1"/>
  <c r="C779" i="5"/>
  <c r="D779" i="5" s="1"/>
  <c r="H779" i="1" s="1"/>
  <c r="C778" i="5"/>
  <c r="D778" i="5" s="1"/>
  <c r="H778" i="1" s="1"/>
  <c r="C777" i="5"/>
  <c r="D777" i="5" s="1"/>
  <c r="H777" i="1" s="1"/>
  <c r="C776" i="5"/>
  <c r="D776" i="5" s="1"/>
  <c r="H776" i="1" s="1"/>
  <c r="C775" i="5"/>
  <c r="D775" i="5" s="1"/>
  <c r="C774" i="5"/>
  <c r="D774" i="5" s="1"/>
  <c r="H774" i="1" s="1"/>
  <c r="C773" i="5"/>
  <c r="D773" i="5" s="1"/>
  <c r="H773" i="1" s="1"/>
  <c r="C772" i="5"/>
  <c r="D772" i="5" s="1"/>
  <c r="H772" i="1" s="1"/>
  <c r="C771" i="5"/>
  <c r="D771" i="5" s="1"/>
  <c r="H771" i="1" s="1"/>
  <c r="C770" i="5"/>
  <c r="D770" i="5" s="1"/>
  <c r="H770" i="1" s="1"/>
  <c r="C769" i="5"/>
  <c r="D769" i="5" s="1"/>
  <c r="H769" i="1" s="1"/>
  <c r="C768" i="5"/>
  <c r="D768" i="5" s="1"/>
  <c r="H768" i="1" s="1"/>
  <c r="C767" i="5"/>
  <c r="D767" i="5" s="1"/>
  <c r="C766" i="5"/>
  <c r="D766" i="5" s="1"/>
  <c r="H766" i="1" s="1"/>
  <c r="C765" i="5"/>
  <c r="D765" i="5" s="1"/>
  <c r="H765" i="1" s="1"/>
  <c r="C764" i="5"/>
  <c r="D764" i="5" s="1"/>
  <c r="H764" i="1" s="1"/>
  <c r="C763" i="5"/>
  <c r="D763" i="5" s="1"/>
  <c r="H763" i="1" s="1"/>
  <c r="C762" i="5"/>
  <c r="D762" i="5" s="1"/>
  <c r="H762" i="1" s="1"/>
  <c r="C761" i="5"/>
  <c r="D761" i="5" s="1"/>
  <c r="H761" i="1" s="1"/>
  <c r="C760" i="5"/>
  <c r="D760" i="5" s="1"/>
  <c r="H760" i="1" s="1"/>
  <c r="C759" i="5"/>
  <c r="D759" i="5" s="1"/>
  <c r="C758" i="5"/>
  <c r="D758" i="5" s="1"/>
  <c r="H758" i="1" s="1"/>
  <c r="C757" i="5"/>
  <c r="D757" i="5" s="1"/>
  <c r="H757" i="1" s="1"/>
  <c r="C756" i="5"/>
  <c r="D756" i="5" s="1"/>
  <c r="H756" i="1" s="1"/>
  <c r="C755" i="5"/>
  <c r="D755" i="5" s="1"/>
  <c r="H755" i="1" s="1"/>
  <c r="C754" i="5"/>
  <c r="D754" i="5" s="1"/>
  <c r="H754" i="1" s="1"/>
  <c r="C753" i="5"/>
  <c r="D753" i="5" s="1"/>
  <c r="H753" i="1" s="1"/>
  <c r="C752" i="5"/>
  <c r="D752" i="5" s="1"/>
  <c r="H752" i="1" s="1"/>
  <c r="C751" i="5"/>
  <c r="D751" i="5" s="1"/>
  <c r="C750" i="5"/>
  <c r="D750" i="5" s="1"/>
  <c r="H750" i="1" s="1"/>
  <c r="C749" i="5"/>
  <c r="D749" i="5" s="1"/>
  <c r="H749" i="1" s="1"/>
  <c r="C748" i="5"/>
  <c r="D748" i="5" s="1"/>
  <c r="H748" i="1" s="1"/>
  <c r="C747" i="5"/>
  <c r="D747" i="5" s="1"/>
  <c r="H747" i="1" s="1"/>
  <c r="C746" i="5"/>
  <c r="D746" i="5" s="1"/>
  <c r="H746" i="1" s="1"/>
  <c r="C745" i="5"/>
  <c r="D745" i="5" s="1"/>
  <c r="H745" i="1" s="1"/>
  <c r="C744" i="5"/>
  <c r="D744" i="5" s="1"/>
  <c r="H744" i="1" s="1"/>
  <c r="C743" i="5"/>
  <c r="D743" i="5" s="1"/>
  <c r="C742" i="5"/>
  <c r="D742" i="5" s="1"/>
  <c r="H742" i="1" s="1"/>
  <c r="C741" i="5"/>
  <c r="D741" i="5" s="1"/>
  <c r="H741" i="1" s="1"/>
  <c r="C740" i="5"/>
  <c r="D740" i="5" s="1"/>
  <c r="H740" i="1" s="1"/>
  <c r="C739" i="5"/>
  <c r="D739" i="5" s="1"/>
  <c r="H739" i="1" s="1"/>
  <c r="C738" i="5"/>
  <c r="D738" i="5" s="1"/>
  <c r="H738" i="1" s="1"/>
  <c r="C737" i="5"/>
  <c r="D737" i="5" s="1"/>
  <c r="H737" i="1" s="1"/>
  <c r="C736" i="5"/>
  <c r="D736" i="5" s="1"/>
  <c r="H736" i="1" s="1"/>
  <c r="C735" i="5"/>
  <c r="D735" i="5" s="1"/>
  <c r="C734" i="5"/>
  <c r="D734" i="5" s="1"/>
  <c r="H734" i="1" s="1"/>
  <c r="C733" i="5"/>
  <c r="D733" i="5" s="1"/>
  <c r="H733" i="1" s="1"/>
  <c r="C732" i="5"/>
  <c r="D732" i="5" s="1"/>
  <c r="H732" i="1" s="1"/>
  <c r="C731" i="5"/>
  <c r="D731" i="5" s="1"/>
  <c r="H731" i="1" s="1"/>
  <c r="C730" i="5"/>
  <c r="D730" i="5" s="1"/>
  <c r="H730" i="1" s="1"/>
  <c r="C729" i="5"/>
  <c r="D729" i="5" s="1"/>
  <c r="H729" i="1" s="1"/>
  <c r="C728" i="5"/>
  <c r="D728" i="5" s="1"/>
  <c r="H728" i="1" s="1"/>
  <c r="C727" i="5"/>
  <c r="D727" i="5" s="1"/>
  <c r="C726" i="5"/>
  <c r="D726" i="5" s="1"/>
  <c r="H726" i="1" s="1"/>
  <c r="C725" i="5"/>
  <c r="D725" i="5" s="1"/>
  <c r="H725" i="1" s="1"/>
  <c r="C724" i="5"/>
  <c r="D724" i="5" s="1"/>
  <c r="H724" i="1" s="1"/>
  <c r="C723" i="5"/>
  <c r="D723" i="5" s="1"/>
  <c r="H723" i="1" s="1"/>
  <c r="C722" i="5"/>
  <c r="D722" i="5" s="1"/>
  <c r="H722" i="1" s="1"/>
  <c r="C721" i="5"/>
  <c r="D721" i="5" s="1"/>
  <c r="H721" i="1" s="1"/>
  <c r="C720" i="5"/>
  <c r="D720" i="5" s="1"/>
  <c r="H720" i="1" s="1"/>
  <c r="C719" i="5"/>
  <c r="D719" i="5" s="1"/>
  <c r="C718" i="5"/>
  <c r="D718" i="5" s="1"/>
  <c r="H718" i="1" s="1"/>
  <c r="C717" i="5"/>
  <c r="D717" i="5" s="1"/>
  <c r="H717" i="1" s="1"/>
  <c r="C716" i="5"/>
  <c r="D716" i="5" s="1"/>
  <c r="H716" i="1" s="1"/>
  <c r="C715" i="5"/>
  <c r="D715" i="5" s="1"/>
  <c r="H715" i="1" s="1"/>
  <c r="C714" i="5"/>
  <c r="D714" i="5" s="1"/>
  <c r="H714" i="1" s="1"/>
  <c r="C713" i="5"/>
  <c r="D713" i="5" s="1"/>
  <c r="H713" i="1" s="1"/>
  <c r="C712" i="5"/>
  <c r="D712" i="5" s="1"/>
  <c r="H712" i="1" s="1"/>
  <c r="C711" i="5"/>
  <c r="D711" i="5" s="1"/>
  <c r="C710" i="5"/>
  <c r="D710" i="5" s="1"/>
  <c r="H710" i="1" s="1"/>
  <c r="C709" i="5"/>
  <c r="D709" i="5" s="1"/>
  <c r="H709" i="1" s="1"/>
  <c r="C708" i="5"/>
  <c r="D708" i="5" s="1"/>
  <c r="H708" i="1" s="1"/>
  <c r="C707" i="5"/>
  <c r="D707" i="5" s="1"/>
  <c r="H707" i="1" s="1"/>
  <c r="C706" i="5"/>
  <c r="D706" i="5" s="1"/>
  <c r="H706" i="1" s="1"/>
  <c r="C705" i="5"/>
  <c r="D705" i="5" s="1"/>
  <c r="H705" i="1" s="1"/>
  <c r="C704" i="5"/>
  <c r="D704" i="5" s="1"/>
  <c r="H704" i="1" s="1"/>
  <c r="C703" i="5"/>
  <c r="D703" i="5" s="1"/>
  <c r="C702" i="5"/>
  <c r="D702" i="5" s="1"/>
  <c r="H702" i="1" s="1"/>
  <c r="C701" i="5"/>
  <c r="D701" i="5" s="1"/>
  <c r="H701" i="1" s="1"/>
  <c r="C700" i="5"/>
  <c r="D700" i="5" s="1"/>
  <c r="H700" i="1" s="1"/>
  <c r="C699" i="5"/>
  <c r="D699" i="5" s="1"/>
  <c r="H699" i="1" s="1"/>
  <c r="C698" i="5"/>
  <c r="D698" i="5" s="1"/>
  <c r="H698" i="1" s="1"/>
  <c r="C697" i="5"/>
  <c r="D697" i="5" s="1"/>
  <c r="H697" i="1" s="1"/>
  <c r="C696" i="5"/>
  <c r="D696" i="5" s="1"/>
  <c r="H696" i="1" s="1"/>
  <c r="C695" i="5"/>
  <c r="D695" i="5" s="1"/>
  <c r="H695" i="1" s="1"/>
  <c r="C693" i="5"/>
  <c r="D693" i="5" s="1"/>
  <c r="H693" i="1" s="1"/>
  <c r="C692" i="5"/>
  <c r="D692" i="5" s="1"/>
  <c r="H692" i="1" s="1"/>
  <c r="C691" i="5"/>
  <c r="D691" i="5" s="1"/>
  <c r="H691" i="1" s="1"/>
  <c r="D689" i="5"/>
  <c r="H689" i="1" s="1"/>
  <c r="C689" i="5"/>
  <c r="C688" i="5"/>
  <c r="D688" i="5" s="1"/>
  <c r="H688" i="1" s="1"/>
  <c r="C687" i="5"/>
  <c r="D687" i="5" s="1"/>
  <c r="C685" i="5"/>
  <c r="D685" i="5" s="1"/>
  <c r="H685" i="1" s="1"/>
  <c r="C684" i="5"/>
  <c r="D684" i="5" s="1"/>
  <c r="H684" i="1" s="1"/>
  <c r="C683" i="5"/>
  <c r="D683" i="5" s="1"/>
  <c r="H683" i="1" s="1"/>
  <c r="C681" i="5"/>
  <c r="D681" i="5" s="1"/>
  <c r="H681" i="1" s="1"/>
  <c r="C680" i="5"/>
  <c r="D680" i="5" s="1"/>
  <c r="H680" i="1" s="1"/>
  <c r="C679" i="5"/>
  <c r="D679" i="5" s="1"/>
  <c r="C677" i="5"/>
  <c r="D677" i="5" s="1"/>
  <c r="H677" i="1" s="1"/>
  <c r="C676" i="5"/>
  <c r="D676" i="5" s="1"/>
  <c r="H676" i="1" s="1"/>
  <c r="C675" i="5"/>
  <c r="D675" i="5" s="1"/>
  <c r="H675" i="1" s="1"/>
  <c r="C673" i="5"/>
  <c r="D673" i="5" s="1"/>
  <c r="H673" i="1" s="1"/>
  <c r="C672" i="5"/>
  <c r="D672" i="5" s="1"/>
  <c r="H672" i="1" s="1"/>
  <c r="C671" i="5"/>
  <c r="D671" i="5" s="1"/>
  <c r="C669" i="5"/>
  <c r="D669" i="5" s="1"/>
  <c r="H669" i="1" s="1"/>
  <c r="C668" i="5"/>
  <c r="D668" i="5" s="1"/>
  <c r="H668" i="1" s="1"/>
  <c r="C667" i="5"/>
  <c r="D667" i="5" s="1"/>
  <c r="H667" i="1" s="1"/>
  <c r="C665" i="5"/>
  <c r="D665" i="5" s="1"/>
  <c r="H665" i="1" s="1"/>
  <c r="C664" i="5"/>
  <c r="D664" i="5" s="1"/>
  <c r="H664" i="1" s="1"/>
  <c r="C663" i="5"/>
  <c r="D663" i="5" s="1"/>
  <c r="C661" i="5"/>
  <c r="D661" i="5" s="1"/>
  <c r="H661" i="1" s="1"/>
  <c r="C660" i="5"/>
  <c r="D660" i="5" s="1"/>
  <c r="H660" i="1" s="1"/>
  <c r="C659" i="5"/>
  <c r="D659" i="5" s="1"/>
  <c r="H659" i="1" s="1"/>
  <c r="C657" i="5"/>
  <c r="D657" i="5" s="1"/>
  <c r="H657" i="1" s="1"/>
  <c r="C656" i="5"/>
  <c r="D656" i="5" s="1"/>
  <c r="H656" i="1" s="1"/>
  <c r="C655" i="5"/>
  <c r="D655" i="5" s="1"/>
  <c r="C653" i="5"/>
  <c r="D653" i="5" s="1"/>
  <c r="H653" i="1" s="1"/>
  <c r="C652" i="5"/>
  <c r="D652" i="5" s="1"/>
  <c r="H652" i="1" s="1"/>
  <c r="C651" i="5"/>
  <c r="D651" i="5" s="1"/>
  <c r="H651" i="1" s="1"/>
  <c r="D649" i="5"/>
  <c r="H649" i="1" s="1"/>
  <c r="C649" i="5"/>
  <c r="C648" i="5"/>
  <c r="D648" i="5" s="1"/>
  <c r="H648" i="1" s="1"/>
  <c r="C647" i="5"/>
  <c r="D647" i="5" s="1"/>
  <c r="C646" i="5"/>
  <c r="D646" i="5" s="1"/>
  <c r="H646" i="1" s="1"/>
  <c r="C645" i="5"/>
  <c r="D645" i="5" s="1"/>
  <c r="H645" i="1" s="1"/>
  <c r="C644" i="5"/>
  <c r="D644" i="5" s="1"/>
  <c r="H644" i="1" s="1"/>
  <c r="C643" i="5"/>
  <c r="D643" i="5" s="1"/>
  <c r="H643" i="1" s="1"/>
  <c r="C642" i="5"/>
  <c r="D642" i="5" s="1"/>
  <c r="H642" i="1" s="1"/>
  <c r="C641" i="5"/>
  <c r="D641" i="5" s="1"/>
  <c r="H641" i="1" s="1"/>
  <c r="C640" i="5"/>
  <c r="D640" i="5" s="1"/>
  <c r="H640" i="1" s="1"/>
  <c r="C639" i="5"/>
  <c r="D639" i="5" s="1"/>
  <c r="C638" i="5"/>
  <c r="D638" i="5" s="1"/>
  <c r="H638" i="1" s="1"/>
  <c r="C637" i="5"/>
  <c r="D637" i="5" s="1"/>
  <c r="H637" i="1" s="1"/>
  <c r="C636" i="5"/>
  <c r="D636" i="5" s="1"/>
  <c r="H636" i="1" s="1"/>
  <c r="C635" i="5"/>
  <c r="D635" i="5" s="1"/>
  <c r="H635" i="1" s="1"/>
  <c r="C634" i="5"/>
  <c r="D634" i="5" s="1"/>
  <c r="H634" i="1" s="1"/>
  <c r="C633" i="5"/>
  <c r="D633" i="5" s="1"/>
  <c r="H633" i="1" s="1"/>
  <c r="C632" i="5"/>
  <c r="D632" i="5" s="1"/>
  <c r="H632" i="1" s="1"/>
  <c r="C631" i="5"/>
  <c r="D631" i="5" s="1"/>
  <c r="C630" i="5"/>
  <c r="D630" i="5" s="1"/>
  <c r="H630" i="1" s="1"/>
  <c r="C629" i="5"/>
  <c r="D629" i="5" s="1"/>
  <c r="H629" i="1" s="1"/>
  <c r="C628" i="5"/>
  <c r="D628" i="5" s="1"/>
  <c r="H628" i="1" s="1"/>
  <c r="C627" i="5"/>
  <c r="D627" i="5" s="1"/>
  <c r="H627" i="1" s="1"/>
  <c r="C626" i="5"/>
  <c r="D626" i="5" s="1"/>
  <c r="H626" i="1" s="1"/>
  <c r="C625" i="5"/>
  <c r="D625" i="5" s="1"/>
  <c r="H625" i="1" s="1"/>
  <c r="C624" i="5"/>
  <c r="D624" i="5" s="1"/>
  <c r="H624" i="1" s="1"/>
  <c r="C623" i="5"/>
  <c r="D623" i="5" s="1"/>
  <c r="C622" i="5"/>
  <c r="D622" i="5" s="1"/>
  <c r="H622" i="1" s="1"/>
  <c r="C621" i="5"/>
  <c r="D621" i="5" s="1"/>
  <c r="H621" i="1" s="1"/>
  <c r="C620" i="5"/>
  <c r="D620" i="5" s="1"/>
  <c r="H620" i="1" s="1"/>
  <c r="C619" i="5"/>
  <c r="D619" i="5" s="1"/>
  <c r="H619" i="1" s="1"/>
  <c r="C618" i="5"/>
  <c r="D618" i="5" s="1"/>
  <c r="H618" i="1" s="1"/>
  <c r="D617" i="5"/>
  <c r="H617" i="1" s="1"/>
  <c r="C617" i="5"/>
  <c r="C616" i="5"/>
  <c r="D616" i="5" s="1"/>
  <c r="H616" i="1" s="1"/>
  <c r="C615" i="5"/>
  <c r="D615" i="5" s="1"/>
  <c r="H615" i="1" s="1"/>
  <c r="C613" i="5"/>
  <c r="D613" i="5" s="1"/>
  <c r="H613" i="1" s="1"/>
  <c r="C612" i="5"/>
  <c r="D612" i="5" s="1"/>
  <c r="H612" i="1" s="1"/>
  <c r="C611" i="5"/>
  <c r="D611" i="5" s="1"/>
  <c r="H611" i="1" s="1"/>
  <c r="D609" i="5"/>
  <c r="H609" i="1" s="1"/>
  <c r="C609" i="5"/>
  <c r="C608" i="5"/>
  <c r="D608" i="5" s="1"/>
  <c r="H608" i="1" s="1"/>
  <c r="D607" i="5"/>
  <c r="C607" i="5"/>
  <c r="C605" i="5"/>
  <c r="D605" i="5" s="1"/>
  <c r="H605" i="1" s="1"/>
  <c r="C604" i="5"/>
  <c r="D604" i="5" s="1"/>
  <c r="H604" i="1" s="1"/>
  <c r="C603" i="5"/>
  <c r="D603" i="5" s="1"/>
  <c r="H603" i="1" s="1"/>
  <c r="C601" i="5"/>
  <c r="D601" i="5" s="1"/>
  <c r="H601" i="1" s="1"/>
  <c r="C600" i="5"/>
  <c r="D600" i="5" s="1"/>
  <c r="H600" i="1" s="1"/>
  <c r="C599" i="5"/>
  <c r="D599" i="5" s="1"/>
  <c r="H599" i="1" s="1"/>
  <c r="C597" i="5"/>
  <c r="D597" i="5" s="1"/>
  <c r="H597" i="1" s="1"/>
  <c r="C596" i="5"/>
  <c r="D596" i="5" s="1"/>
  <c r="C595" i="5"/>
  <c r="D595" i="5" s="1"/>
  <c r="H595" i="1" s="1"/>
  <c r="D593" i="5"/>
  <c r="H593" i="1" s="1"/>
  <c r="C593" i="5"/>
  <c r="C592" i="5"/>
  <c r="D592" i="5" s="1"/>
  <c r="H592" i="1" s="1"/>
  <c r="C591" i="5"/>
  <c r="D591" i="5" s="1"/>
  <c r="H591" i="1" s="1"/>
  <c r="C590" i="5"/>
  <c r="D590" i="5" s="1"/>
  <c r="H590" i="1" s="1"/>
  <c r="C589" i="5"/>
  <c r="D589" i="5" s="1"/>
  <c r="H589" i="1" s="1"/>
  <c r="C588" i="5"/>
  <c r="D588" i="5" s="1"/>
  <c r="H588" i="1" s="1"/>
  <c r="C587" i="5"/>
  <c r="D587" i="5" s="1"/>
  <c r="H587" i="1" s="1"/>
  <c r="C586" i="5"/>
  <c r="D586" i="5" s="1"/>
  <c r="H586" i="1" s="1"/>
  <c r="D585" i="5"/>
  <c r="H585" i="1" s="1"/>
  <c r="C585" i="5"/>
  <c r="C584" i="5"/>
  <c r="D584" i="5" s="1"/>
  <c r="H584" i="1" s="1"/>
  <c r="C583" i="5"/>
  <c r="D583" i="5" s="1"/>
  <c r="H583" i="1" s="1"/>
  <c r="C581" i="5"/>
  <c r="D581" i="5" s="1"/>
  <c r="H581" i="1" s="1"/>
  <c r="C580" i="5"/>
  <c r="D580" i="5" s="1"/>
  <c r="C579" i="5"/>
  <c r="D579" i="5" s="1"/>
  <c r="H579" i="1" s="1"/>
  <c r="D577" i="5"/>
  <c r="H577" i="1" s="1"/>
  <c r="C577" i="5"/>
  <c r="C576" i="5"/>
  <c r="D576" i="5" s="1"/>
  <c r="H576" i="1" s="1"/>
  <c r="D575" i="5"/>
  <c r="H575" i="1" s="1"/>
  <c r="C575" i="5"/>
  <c r="C573" i="5"/>
  <c r="D573" i="5" s="1"/>
  <c r="H573" i="1" s="1"/>
  <c r="C572" i="5"/>
  <c r="D572" i="5" s="1"/>
  <c r="H572" i="1" s="1"/>
  <c r="C571" i="5"/>
  <c r="D571" i="5" s="1"/>
  <c r="H571" i="1" s="1"/>
  <c r="C569" i="5"/>
  <c r="D569" i="5" s="1"/>
  <c r="H569" i="1" s="1"/>
  <c r="C568" i="5"/>
  <c r="D568" i="5" s="1"/>
  <c r="H568" i="1" s="1"/>
  <c r="C567" i="5"/>
  <c r="D567" i="5" s="1"/>
  <c r="H567" i="1" s="1"/>
  <c r="C565" i="5"/>
  <c r="D565" i="5" s="1"/>
  <c r="H565" i="1" s="1"/>
  <c r="C564" i="5"/>
  <c r="D564" i="5" s="1"/>
  <c r="C563" i="5"/>
  <c r="D563" i="5" s="1"/>
  <c r="H563" i="1" s="1"/>
  <c r="C561" i="5"/>
  <c r="D561" i="5" s="1"/>
  <c r="H561" i="1" s="1"/>
  <c r="C560" i="5"/>
  <c r="D560" i="5" s="1"/>
  <c r="H560" i="1" s="1"/>
  <c r="D559" i="5"/>
  <c r="H559" i="1" s="1"/>
  <c r="C559" i="5"/>
  <c r="C558" i="5"/>
  <c r="D558" i="5" s="1"/>
  <c r="H558" i="1" s="1"/>
  <c r="C557" i="5"/>
  <c r="D557" i="5" s="1"/>
  <c r="H557" i="1" s="1"/>
  <c r="C556" i="5"/>
  <c r="D556" i="5" s="1"/>
  <c r="H556" i="1" s="1"/>
  <c r="C555" i="5"/>
  <c r="D555" i="5" s="1"/>
  <c r="H555" i="1" s="1"/>
  <c r="C554" i="5"/>
  <c r="D554" i="5" s="1"/>
  <c r="H554" i="1" s="1"/>
  <c r="C553" i="5"/>
  <c r="D553" i="5" s="1"/>
  <c r="H553" i="1" s="1"/>
  <c r="C552" i="5"/>
  <c r="D552" i="5" s="1"/>
  <c r="H552" i="1" s="1"/>
  <c r="C551" i="5"/>
  <c r="D551" i="5" s="1"/>
  <c r="H551" i="1" s="1"/>
  <c r="C550" i="5"/>
  <c r="D550" i="5" s="1"/>
  <c r="H550" i="1" s="1"/>
  <c r="D549" i="5"/>
  <c r="H549" i="1" s="1"/>
  <c r="C549" i="5"/>
  <c r="C548" i="5"/>
  <c r="D548" i="5" s="1"/>
  <c r="C547" i="5"/>
  <c r="D547" i="5" s="1"/>
  <c r="H547" i="1" s="1"/>
  <c r="C545" i="5"/>
  <c r="D545" i="5" s="1"/>
  <c r="H545" i="1" s="1"/>
  <c r="C544" i="5"/>
  <c r="D544" i="5" s="1"/>
  <c r="H544" i="1" s="1"/>
  <c r="C543" i="5"/>
  <c r="D543" i="5" s="1"/>
  <c r="H543" i="1" s="1"/>
  <c r="C541" i="5"/>
  <c r="D541" i="5" s="1"/>
  <c r="H541" i="1" s="1"/>
  <c r="C540" i="5"/>
  <c r="D540" i="5" s="1"/>
  <c r="H540" i="1" s="1"/>
  <c r="C539" i="5"/>
  <c r="D539" i="5" s="1"/>
  <c r="H539" i="1" s="1"/>
  <c r="C537" i="5"/>
  <c r="D537" i="5" s="1"/>
  <c r="H537" i="1" s="1"/>
  <c r="C536" i="5"/>
  <c r="D536" i="5" s="1"/>
  <c r="H536" i="1" s="1"/>
  <c r="C535" i="5"/>
  <c r="D535" i="5" s="1"/>
  <c r="H535" i="1" s="1"/>
  <c r="C533" i="5"/>
  <c r="D533" i="5" s="1"/>
  <c r="H533" i="1" s="1"/>
  <c r="C532" i="5"/>
  <c r="D532" i="5" s="1"/>
  <c r="C531" i="5"/>
  <c r="D531" i="5" s="1"/>
  <c r="H531" i="1" s="1"/>
  <c r="C529" i="5"/>
  <c r="D529" i="5" s="1"/>
  <c r="H529" i="1" s="1"/>
  <c r="C528" i="5"/>
  <c r="D528" i="5" s="1"/>
  <c r="H528" i="1" s="1"/>
  <c r="C527" i="5"/>
  <c r="D527" i="5" s="1"/>
  <c r="H527" i="1" s="1"/>
  <c r="D525" i="5"/>
  <c r="H525" i="1" s="1"/>
  <c r="C525" i="5"/>
  <c r="C524" i="5"/>
  <c r="D524" i="5" s="1"/>
  <c r="H524" i="1" s="1"/>
  <c r="C523" i="5"/>
  <c r="D523" i="5" s="1"/>
  <c r="H523" i="1" s="1"/>
  <c r="C521" i="5"/>
  <c r="D521" i="5" s="1"/>
  <c r="H521" i="1" s="1"/>
  <c r="C520" i="5"/>
  <c r="D520" i="5" s="1"/>
  <c r="H520" i="1" s="1"/>
  <c r="C519" i="5"/>
  <c r="D519" i="5" s="1"/>
  <c r="H519" i="1" s="1"/>
  <c r="C517" i="5"/>
  <c r="D517" i="5" s="1"/>
  <c r="H517" i="1" s="1"/>
  <c r="C516" i="5"/>
  <c r="D516" i="5" s="1"/>
  <c r="C515" i="5"/>
  <c r="D515" i="5" s="1"/>
  <c r="H515" i="1" s="1"/>
  <c r="C513" i="5"/>
  <c r="D513" i="5" s="1"/>
  <c r="H513" i="1" s="1"/>
  <c r="C512" i="5"/>
  <c r="D512" i="5" s="1"/>
  <c r="H512" i="1" s="1"/>
  <c r="C511" i="5"/>
  <c r="D511" i="5" s="1"/>
  <c r="H511" i="1" s="1"/>
  <c r="C509" i="5"/>
  <c r="D509" i="5" s="1"/>
  <c r="H509" i="1" s="1"/>
  <c r="C508" i="5"/>
  <c r="D508" i="5" s="1"/>
  <c r="H508" i="1" s="1"/>
  <c r="C507" i="5"/>
  <c r="D507" i="5" s="1"/>
  <c r="H507" i="1" s="1"/>
  <c r="C505" i="5"/>
  <c r="D505" i="5" s="1"/>
  <c r="H505" i="1" s="1"/>
  <c r="C504" i="5"/>
  <c r="D504" i="5" s="1"/>
  <c r="H504" i="1" s="1"/>
  <c r="C503" i="5"/>
  <c r="D503" i="5" s="1"/>
  <c r="H503" i="1" s="1"/>
  <c r="C501" i="5"/>
  <c r="D501" i="5" s="1"/>
  <c r="H501" i="1" s="1"/>
  <c r="C500" i="5"/>
  <c r="D500" i="5" s="1"/>
  <c r="H500" i="1" s="1"/>
  <c r="C499" i="5"/>
  <c r="D499" i="5" s="1"/>
  <c r="H499" i="1" s="1"/>
  <c r="C497" i="5"/>
  <c r="D497" i="5" s="1"/>
  <c r="H497" i="1" s="1"/>
  <c r="C496" i="5"/>
  <c r="D496" i="5" s="1"/>
  <c r="H496" i="1" s="1"/>
  <c r="C495" i="5"/>
  <c r="D495" i="5" s="1"/>
  <c r="H495" i="1" s="1"/>
  <c r="C493" i="5"/>
  <c r="D493" i="5" s="1"/>
  <c r="H493" i="1" s="1"/>
  <c r="C492" i="5"/>
  <c r="D492" i="5" s="1"/>
  <c r="H492" i="1" s="1"/>
  <c r="C491" i="5"/>
  <c r="D491" i="5" s="1"/>
  <c r="H491" i="1" s="1"/>
  <c r="C489" i="5"/>
  <c r="D489" i="5" s="1"/>
  <c r="H489" i="1" s="1"/>
  <c r="C488" i="5"/>
  <c r="D488" i="5" s="1"/>
  <c r="H488" i="1" s="1"/>
  <c r="C487" i="5"/>
  <c r="D487" i="5" s="1"/>
  <c r="H487" i="1" s="1"/>
  <c r="C485" i="5"/>
  <c r="D485" i="5" s="1"/>
  <c r="H485" i="1" s="1"/>
  <c r="C484" i="5"/>
  <c r="D484" i="5" s="1"/>
  <c r="H484" i="1" s="1"/>
  <c r="C483" i="5"/>
  <c r="D483" i="5" s="1"/>
  <c r="H483" i="1" s="1"/>
  <c r="C481" i="5"/>
  <c r="D481" i="5" s="1"/>
  <c r="H481" i="1" s="1"/>
  <c r="C480" i="5"/>
  <c r="D480" i="5" s="1"/>
  <c r="H480" i="1" s="1"/>
  <c r="C479" i="5"/>
  <c r="D479" i="5" s="1"/>
  <c r="H479" i="1" s="1"/>
  <c r="C477" i="5"/>
  <c r="D477" i="5" s="1"/>
  <c r="H477" i="1" s="1"/>
  <c r="C476" i="5"/>
  <c r="D476" i="5" s="1"/>
  <c r="H476" i="1" s="1"/>
  <c r="C475" i="5"/>
  <c r="D475" i="5" s="1"/>
  <c r="H475" i="1" s="1"/>
  <c r="C473" i="5"/>
  <c r="D473" i="5" s="1"/>
  <c r="H473" i="1" s="1"/>
  <c r="C472" i="5"/>
  <c r="D472" i="5" s="1"/>
  <c r="H472" i="1" s="1"/>
  <c r="C471" i="5"/>
  <c r="D471" i="5" s="1"/>
  <c r="H471" i="1" s="1"/>
  <c r="C469" i="5"/>
  <c r="D469" i="5" s="1"/>
  <c r="H469" i="1" s="1"/>
  <c r="C468" i="5"/>
  <c r="D468" i="5" s="1"/>
  <c r="C467" i="5"/>
  <c r="D467" i="5" s="1"/>
  <c r="H467" i="1" s="1"/>
  <c r="C465" i="5"/>
  <c r="D465" i="5" s="1"/>
  <c r="H465" i="1" s="1"/>
  <c r="C464" i="5"/>
  <c r="D464" i="5" s="1"/>
  <c r="H464" i="1" s="1"/>
  <c r="C463" i="5"/>
  <c r="D463" i="5" s="1"/>
  <c r="H463" i="1" s="1"/>
  <c r="C461" i="5"/>
  <c r="D461" i="5" s="1"/>
  <c r="H461" i="1" s="1"/>
  <c r="C460" i="5"/>
  <c r="D460" i="5" s="1"/>
  <c r="H460" i="1" s="1"/>
  <c r="C459" i="5"/>
  <c r="D459" i="5" s="1"/>
  <c r="H459" i="1" s="1"/>
  <c r="C457" i="5"/>
  <c r="D457" i="5" s="1"/>
  <c r="H457" i="1" s="1"/>
  <c r="C456" i="5"/>
  <c r="D456" i="5" s="1"/>
  <c r="H456" i="1" s="1"/>
  <c r="C455" i="5"/>
  <c r="D455" i="5" s="1"/>
  <c r="H455" i="1" s="1"/>
  <c r="C453" i="5"/>
  <c r="D453" i="5" s="1"/>
  <c r="H453" i="1" s="1"/>
  <c r="C452" i="5"/>
  <c r="D452" i="5" s="1"/>
  <c r="C451" i="5"/>
  <c r="D451" i="5" s="1"/>
  <c r="H451" i="1" s="1"/>
  <c r="C449" i="5"/>
  <c r="D449" i="5" s="1"/>
  <c r="H449" i="1" s="1"/>
  <c r="C448" i="5"/>
  <c r="D448" i="5" s="1"/>
  <c r="H448" i="1" s="1"/>
  <c r="C447" i="5"/>
  <c r="D447" i="5" s="1"/>
  <c r="H447" i="1" s="1"/>
  <c r="D445" i="5"/>
  <c r="H445" i="1" s="1"/>
  <c r="C445" i="5"/>
  <c r="C444" i="5"/>
  <c r="D444" i="5" s="1"/>
  <c r="H444" i="1" s="1"/>
  <c r="C443" i="5"/>
  <c r="D443" i="5" s="1"/>
  <c r="H443" i="1" s="1"/>
  <c r="C442" i="5"/>
  <c r="D442" i="5" s="1"/>
  <c r="H442" i="1" s="1"/>
  <c r="C441" i="5"/>
  <c r="D441" i="5" s="1"/>
  <c r="H441" i="1" s="1"/>
  <c r="C440" i="5"/>
  <c r="D440" i="5" s="1"/>
  <c r="H440" i="1" s="1"/>
  <c r="C439" i="5"/>
  <c r="D439" i="5" s="1"/>
  <c r="H439" i="1" s="1"/>
  <c r="C438" i="5"/>
  <c r="D438" i="5" s="1"/>
  <c r="H438" i="1" s="1"/>
  <c r="D437" i="5"/>
  <c r="H437" i="1" s="1"/>
  <c r="C437" i="5"/>
  <c r="C436" i="5"/>
  <c r="D436" i="5" s="1"/>
  <c r="C435" i="5"/>
  <c r="D435" i="5" s="1"/>
  <c r="H435" i="1" s="1"/>
  <c r="C433" i="5"/>
  <c r="D433" i="5" s="1"/>
  <c r="H433" i="1" s="1"/>
  <c r="C432" i="5"/>
  <c r="D432" i="5" s="1"/>
  <c r="H432" i="1" s="1"/>
  <c r="C431" i="5"/>
  <c r="D431" i="5" s="1"/>
  <c r="H431" i="1" s="1"/>
  <c r="C429" i="5"/>
  <c r="D429" i="5" s="1"/>
  <c r="H429" i="1" s="1"/>
  <c r="C428" i="5"/>
  <c r="D428" i="5" s="1"/>
  <c r="H428" i="1" s="1"/>
  <c r="C427" i="5"/>
  <c r="D427" i="5" s="1"/>
  <c r="H427" i="1" s="1"/>
  <c r="C425" i="5"/>
  <c r="D425" i="5" s="1"/>
  <c r="H425" i="1" s="1"/>
  <c r="C424" i="5"/>
  <c r="D424" i="5" s="1"/>
  <c r="H424" i="1" s="1"/>
  <c r="C423" i="5"/>
  <c r="D423" i="5" s="1"/>
  <c r="H423" i="1" s="1"/>
  <c r="C421" i="5"/>
  <c r="D421" i="5" s="1"/>
  <c r="H421" i="1" s="1"/>
  <c r="C420" i="5"/>
  <c r="D420" i="5" s="1"/>
  <c r="H420" i="1" s="1"/>
  <c r="C419" i="5"/>
  <c r="D419" i="5" s="1"/>
  <c r="H419" i="1" s="1"/>
  <c r="C417" i="5"/>
  <c r="D417" i="5" s="1"/>
  <c r="H417" i="1" s="1"/>
  <c r="C416" i="5"/>
  <c r="D416" i="5" s="1"/>
  <c r="H416" i="1" s="1"/>
  <c r="C415" i="5"/>
  <c r="D415" i="5" s="1"/>
  <c r="H415" i="1" s="1"/>
  <c r="C413" i="5"/>
  <c r="D413" i="5" s="1"/>
  <c r="H413" i="1" s="1"/>
  <c r="C412" i="5"/>
  <c r="D412" i="5" s="1"/>
  <c r="H412" i="1" s="1"/>
  <c r="C411" i="5"/>
  <c r="D411" i="5" s="1"/>
  <c r="H411" i="1" s="1"/>
  <c r="C409" i="5"/>
  <c r="D409" i="5" s="1"/>
  <c r="H409" i="1" s="1"/>
  <c r="C408" i="5"/>
  <c r="D408" i="5" s="1"/>
  <c r="H408" i="1" s="1"/>
  <c r="C407" i="5"/>
  <c r="D407" i="5" s="1"/>
  <c r="H407" i="1" s="1"/>
  <c r="D405" i="5"/>
  <c r="H405" i="1" s="1"/>
  <c r="C405" i="5"/>
  <c r="C404" i="5"/>
  <c r="D404" i="5" s="1"/>
  <c r="H404" i="1" s="1"/>
  <c r="C403" i="5"/>
  <c r="D403" i="5" s="1"/>
  <c r="H403" i="1" s="1"/>
  <c r="C401" i="5"/>
  <c r="D401" i="5" s="1"/>
  <c r="H401" i="1" s="1"/>
  <c r="C400" i="5"/>
  <c r="D400" i="5" s="1"/>
  <c r="H400" i="1" s="1"/>
  <c r="C399" i="5"/>
  <c r="D399" i="5" s="1"/>
  <c r="H399" i="1" s="1"/>
  <c r="C397" i="5"/>
  <c r="D397" i="5" s="1"/>
  <c r="H397" i="1" s="1"/>
  <c r="C396" i="5"/>
  <c r="D396" i="5" s="1"/>
  <c r="H396" i="1" s="1"/>
  <c r="C395" i="5"/>
  <c r="D395" i="5" s="1"/>
  <c r="H395" i="1" s="1"/>
  <c r="C394" i="5"/>
  <c r="D394" i="5" s="1"/>
  <c r="H394" i="1" s="1"/>
  <c r="C393" i="5"/>
  <c r="D393" i="5" s="1"/>
  <c r="H393" i="1" s="1"/>
  <c r="C392" i="5"/>
  <c r="D392" i="5" s="1"/>
  <c r="H392" i="1" s="1"/>
  <c r="C391" i="5"/>
  <c r="D391" i="5" s="1"/>
  <c r="H391" i="1" s="1"/>
  <c r="C390" i="5"/>
  <c r="D390" i="5" s="1"/>
  <c r="H390" i="1" s="1"/>
  <c r="C389" i="5"/>
  <c r="D389" i="5" s="1"/>
  <c r="H389" i="1" s="1"/>
  <c r="C388" i="5"/>
  <c r="D388" i="5" s="1"/>
  <c r="H388" i="1" s="1"/>
  <c r="C387" i="5"/>
  <c r="D387" i="5" s="1"/>
  <c r="H387" i="1" s="1"/>
  <c r="C386" i="5"/>
  <c r="D386" i="5" s="1"/>
  <c r="H386" i="1" s="1"/>
  <c r="C385" i="5"/>
  <c r="D385" i="5" s="1"/>
  <c r="H385" i="1" s="1"/>
  <c r="C384" i="5"/>
  <c r="D384" i="5" s="1"/>
  <c r="H384" i="1" s="1"/>
  <c r="C383" i="5"/>
  <c r="D383" i="5" s="1"/>
  <c r="H383" i="1" s="1"/>
  <c r="C382" i="5"/>
  <c r="D382" i="5" s="1"/>
  <c r="H382" i="1" s="1"/>
  <c r="C381" i="5"/>
  <c r="D381" i="5" s="1"/>
  <c r="H381" i="1" s="1"/>
  <c r="C380" i="5"/>
  <c r="D380" i="5" s="1"/>
  <c r="H380" i="1" s="1"/>
  <c r="C379" i="5"/>
  <c r="D379" i="5" s="1"/>
  <c r="H379" i="1" s="1"/>
  <c r="C378" i="5"/>
  <c r="D378" i="5" s="1"/>
  <c r="H378" i="1" s="1"/>
  <c r="C377" i="5"/>
  <c r="D377" i="5" s="1"/>
  <c r="H377" i="1" s="1"/>
  <c r="C376" i="5"/>
  <c r="D376" i="5" s="1"/>
  <c r="H376" i="1" s="1"/>
  <c r="C375" i="5"/>
  <c r="D375" i="5" s="1"/>
  <c r="H375" i="1" s="1"/>
  <c r="C374" i="5"/>
  <c r="D374" i="5" s="1"/>
  <c r="H374" i="1" s="1"/>
  <c r="C373" i="5"/>
  <c r="D373" i="5" s="1"/>
  <c r="H373" i="1" s="1"/>
  <c r="C372" i="5"/>
  <c r="D372" i="5" s="1"/>
  <c r="H372" i="1" s="1"/>
  <c r="C371" i="5"/>
  <c r="D371" i="5" s="1"/>
  <c r="H371" i="1" s="1"/>
  <c r="C370" i="5"/>
  <c r="D370" i="5" s="1"/>
  <c r="H370" i="1" s="1"/>
  <c r="C369" i="5"/>
  <c r="D369" i="5" s="1"/>
  <c r="H369" i="1" s="1"/>
  <c r="C368" i="5"/>
  <c r="D368" i="5" s="1"/>
  <c r="H368" i="1" s="1"/>
  <c r="C367" i="5"/>
  <c r="D367" i="5" s="1"/>
  <c r="H367" i="1" s="1"/>
  <c r="C366" i="5"/>
  <c r="D366" i="5" s="1"/>
  <c r="H366" i="1" s="1"/>
  <c r="C365" i="5"/>
  <c r="D365" i="5" s="1"/>
  <c r="H365" i="1" s="1"/>
  <c r="C364" i="5"/>
  <c r="D364" i="5" s="1"/>
  <c r="H364" i="1" s="1"/>
  <c r="C363" i="5"/>
  <c r="D363" i="5" s="1"/>
  <c r="H363" i="1" s="1"/>
  <c r="C362" i="5"/>
  <c r="D362" i="5" s="1"/>
  <c r="H362" i="1" s="1"/>
  <c r="C361" i="5"/>
  <c r="D361" i="5" s="1"/>
  <c r="H361" i="1" s="1"/>
  <c r="C360" i="5"/>
  <c r="D360" i="5" s="1"/>
  <c r="H360" i="1" s="1"/>
  <c r="C359" i="5"/>
  <c r="D359" i="5" s="1"/>
  <c r="H359" i="1" s="1"/>
  <c r="C358" i="5"/>
  <c r="D358" i="5" s="1"/>
  <c r="H358" i="1" s="1"/>
  <c r="C357" i="5"/>
  <c r="D357" i="5" s="1"/>
  <c r="H357" i="1" s="1"/>
  <c r="C356" i="5"/>
  <c r="D356" i="5" s="1"/>
  <c r="H356" i="1" s="1"/>
  <c r="C355" i="5"/>
  <c r="D355" i="5" s="1"/>
  <c r="H355" i="1" s="1"/>
  <c r="C354" i="5"/>
  <c r="D354" i="5" s="1"/>
  <c r="H354" i="1" s="1"/>
  <c r="C353" i="5"/>
  <c r="D353" i="5" s="1"/>
  <c r="H353" i="1" s="1"/>
  <c r="C352" i="5"/>
  <c r="D352" i="5" s="1"/>
  <c r="H352" i="1" s="1"/>
  <c r="C351" i="5"/>
  <c r="D351" i="5" s="1"/>
  <c r="H351" i="1" s="1"/>
  <c r="C350" i="5"/>
  <c r="D350" i="5" s="1"/>
  <c r="H350" i="1" s="1"/>
  <c r="C349" i="5"/>
  <c r="D349" i="5" s="1"/>
  <c r="H349" i="1" s="1"/>
  <c r="C348" i="5"/>
  <c r="D348" i="5" s="1"/>
  <c r="H348" i="1" s="1"/>
  <c r="C347" i="5"/>
  <c r="D347" i="5" s="1"/>
  <c r="H347" i="1" s="1"/>
  <c r="C346" i="5"/>
  <c r="D346" i="5" s="1"/>
  <c r="H346" i="1" s="1"/>
  <c r="C345" i="5"/>
  <c r="D345" i="5" s="1"/>
  <c r="H345" i="1" s="1"/>
  <c r="C344" i="5"/>
  <c r="D344" i="5" s="1"/>
  <c r="H344" i="1" s="1"/>
  <c r="C343" i="5"/>
  <c r="D343" i="5" s="1"/>
  <c r="H343" i="1" s="1"/>
  <c r="C342" i="5"/>
  <c r="D342" i="5" s="1"/>
  <c r="C341" i="5"/>
  <c r="D341" i="5" s="1"/>
  <c r="H341" i="1" s="1"/>
  <c r="C340" i="5"/>
  <c r="D340" i="5" s="1"/>
  <c r="H340" i="1" s="1"/>
  <c r="C339" i="5"/>
  <c r="D339" i="5" s="1"/>
  <c r="H339" i="1" s="1"/>
  <c r="C338" i="5"/>
  <c r="D338" i="5" s="1"/>
  <c r="C337" i="5"/>
  <c r="D337" i="5" s="1"/>
  <c r="H337" i="1" s="1"/>
  <c r="D336" i="5"/>
  <c r="H336" i="1" s="1"/>
  <c r="C336" i="5"/>
  <c r="C335" i="5"/>
  <c r="D335" i="5" s="1"/>
  <c r="H335" i="1" s="1"/>
  <c r="C333" i="5"/>
  <c r="D333" i="5" s="1"/>
  <c r="H333" i="1" s="1"/>
  <c r="C332" i="5"/>
  <c r="D332" i="5" s="1"/>
  <c r="H332" i="1" s="1"/>
  <c r="C331" i="5"/>
  <c r="D331" i="5" s="1"/>
  <c r="H331" i="1" s="1"/>
  <c r="C329" i="5"/>
  <c r="D329" i="5" s="1"/>
  <c r="H329" i="1" s="1"/>
  <c r="C328" i="5"/>
  <c r="D328" i="5" s="1"/>
  <c r="H328" i="1" s="1"/>
  <c r="C327" i="5"/>
  <c r="D327" i="5" s="1"/>
  <c r="H327" i="1" s="1"/>
  <c r="C325" i="5"/>
  <c r="D325" i="5" s="1"/>
  <c r="H325" i="1" s="1"/>
  <c r="C324" i="5"/>
  <c r="D324" i="5" s="1"/>
  <c r="H324" i="1" s="1"/>
  <c r="C323" i="5"/>
  <c r="D323" i="5" s="1"/>
  <c r="H323" i="1" s="1"/>
  <c r="C321" i="5"/>
  <c r="D321" i="5" s="1"/>
  <c r="H321" i="1" s="1"/>
  <c r="C320" i="5"/>
  <c r="D320" i="5" s="1"/>
  <c r="H320" i="1" s="1"/>
  <c r="C319" i="5"/>
  <c r="D319" i="5" s="1"/>
  <c r="H319" i="1" s="1"/>
  <c r="C317" i="5"/>
  <c r="D317" i="5" s="1"/>
  <c r="H317" i="1" s="1"/>
  <c r="C316" i="5"/>
  <c r="D316" i="5" s="1"/>
  <c r="H316" i="1" s="1"/>
  <c r="C315" i="5"/>
  <c r="D315" i="5" s="1"/>
  <c r="H315" i="1" s="1"/>
  <c r="C313" i="5"/>
  <c r="D313" i="5" s="1"/>
  <c r="H313" i="1" s="1"/>
  <c r="C312" i="5"/>
  <c r="D312" i="5" s="1"/>
  <c r="H312" i="1" s="1"/>
  <c r="C311" i="5"/>
  <c r="D311" i="5" s="1"/>
  <c r="H311" i="1" s="1"/>
  <c r="C309" i="5"/>
  <c r="D309" i="5" s="1"/>
  <c r="H309" i="1" s="1"/>
  <c r="C308" i="5"/>
  <c r="D308" i="5" s="1"/>
  <c r="H308" i="1" s="1"/>
  <c r="C307" i="5"/>
  <c r="D307" i="5" s="1"/>
  <c r="H307" i="1" s="1"/>
  <c r="C305" i="5"/>
  <c r="D305" i="5" s="1"/>
  <c r="H305" i="1" s="1"/>
  <c r="C304" i="5"/>
  <c r="D304" i="5" s="1"/>
  <c r="C303" i="5"/>
  <c r="D303" i="5" s="1"/>
  <c r="H303" i="1" s="1"/>
  <c r="C301" i="5"/>
  <c r="D301" i="5" s="1"/>
  <c r="H301" i="1" s="1"/>
  <c r="C300" i="5"/>
  <c r="D300" i="5" s="1"/>
  <c r="H300" i="1" s="1"/>
  <c r="C299" i="5"/>
  <c r="D299" i="5" s="1"/>
  <c r="H299" i="1" s="1"/>
  <c r="C297" i="5"/>
  <c r="D297" i="5" s="1"/>
  <c r="H297" i="1" s="1"/>
  <c r="C296" i="5"/>
  <c r="D296" i="5" s="1"/>
  <c r="H296" i="1" s="1"/>
  <c r="C295" i="5"/>
  <c r="D295" i="5" s="1"/>
  <c r="H295" i="1" s="1"/>
  <c r="C293" i="5"/>
  <c r="D293" i="5" s="1"/>
  <c r="H293" i="1" s="1"/>
  <c r="C292" i="5"/>
  <c r="D292" i="5" s="1"/>
  <c r="H292" i="1" s="1"/>
  <c r="C291" i="5"/>
  <c r="D291" i="5" s="1"/>
  <c r="H291" i="1" s="1"/>
  <c r="C289" i="5"/>
  <c r="D289" i="5" s="1"/>
  <c r="H289" i="1" s="1"/>
  <c r="C288" i="5"/>
  <c r="D288" i="5" s="1"/>
  <c r="H288" i="1" s="1"/>
  <c r="C287" i="5"/>
  <c r="D287" i="5" s="1"/>
  <c r="H287" i="1" s="1"/>
  <c r="C285" i="5"/>
  <c r="D285" i="5" s="1"/>
  <c r="H285" i="1" s="1"/>
  <c r="C284" i="5"/>
  <c r="D284" i="5" s="1"/>
  <c r="H284" i="1" s="1"/>
  <c r="C283" i="5"/>
  <c r="D283" i="5" s="1"/>
  <c r="H283" i="1" s="1"/>
  <c r="C281" i="5"/>
  <c r="D281" i="5" s="1"/>
  <c r="H281" i="1" s="1"/>
  <c r="C280" i="5"/>
  <c r="D280" i="5" s="1"/>
  <c r="H280" i="1" s="1"/>
  <c r="C279" i="5"/>
  <c r="D279" i="5" s="1"/>
  <c r="H279" i="1" s="1"/>
  <c r="C277" i="5"/>
  <c r="D277" i="5" s="1"/>
  <c r="H277" i="1" s="1"/>
  <c r="C276" i="5"/>
  <c r="D276" i="5" s="1"/>
  <c r="H276" i="1" s="1"/>
  <c r="C275" i="5"/>
  <c r="D275" i="5" s="1"/>
  <c r="H275" i="1" s="1"/>
  <c r="C273" i="5"/>
  <c r="D273" i="5" s="1"/>
  <c r="H273" i="1" s="1"/>
  <c r="C272" i="5"/>
  <c r="D272" i="5" s="1"/>
  <c r="H272" i="1" s="1"/>
  <c r="C271" i="5"/>
  <c r="D271" i="5" s="1"/>
  <c r="H271" i="1" s="1"/>
  <c r="C269" i="5"/>
  <c r="D269" i="5" s="1"/>
  <c r="H269" i="1" s="1"/>
  <c r="C268" i="5"/>
  <c r="D268" i="5" s="1"/>
  <c r="H268" i="1" s="1"/>
  <c r="C267" i="5"/>
  <c r="D267" i="5" s="1"/>
  <c r="H267" i="1" s="1"/>
  <c r="C265" i="5"/>
  <c r="D265" i="5" s="1"/>
  <c r="H265" i="1" s="1"/>
  <c r="C264" i="5"/>
  <c r="D264" i="5" s="1"/>
  <c r="H264" i="1" s="1"/>
  <c r="C263" i="5"/>
  <c r="D263" i="5" s="1"/>
  <c r="H263" i="1" s="1"/>
  <c r="C261" i="5"/>
  <c r="D261" i="5" s="1"/>
  <c r="C260" i="5"/>
  <c r="D260" i="5" s="1"/>
  <c r="H260" i="1" s="1"/>
  <c r="C259" i="5"/>
  <c r="D259" i="5" s="1"/>
  <c r="H259" i="1" s="1"/>
  <c r="C257" i="5"/>
  <c r="D257" i="5" s="1"/>
  <c r="H257" i="1" s="1"/>
  <c r="C256" i="5"/>
  <c r="D256" i="5" s="1"/>
  <c r="H256" i="1" s="1"/>
  <c r="C255" i="5"/>
  <c r="D255" i="5" s="1"/>
  <c r="H255" i="1" s="1"/>
  <c r="C253" i="5"/>
  <c r="D253" i="5" s="1"/>
  <c r="H253" i="1" s="1"/>
  <c r="C252" i="5"/>
  <c r="D252" i="5" s="1"/>
  <c r="H252" i="1" s="1"/>
  <c r="C251" i="5"/>
  <c r="D251" i="5" s="1"/>
  <c r="H251" i="1" s="1"/>
  <c r="C249" i="5"/>
  <c r="D249" i="5" s="1"/>
  <c r="H249" i="1" s="1"/>
  <c r="C248" i="5"/>
  <c r="D248" i="5" s="1"/>
  <c r="H248" i="1" s="1"/>
  <c r="C247" i="5"/>
  <c r="D247" i="5" s="1"/>
  <c r="H247" i="1" s="1"/>
  <c r="C245" i="5"/>
  <c r="D245" i="5" s="1"/>
  <c r="H245" i="1" s="1"/>
  <c r="C244" i="5"/>
  <c r="D244" i="5" s="1"/>
  <c r="H244" i="1" s="1"/>
  <c r="C243" i="5"/>
  <c r="D243" i="5" s="1"/>
  <c r="H243" i="1" s="1"/>
  <c r="C241" i="5"/>
  <c r="D241" i="5" s="1"/>
  <c r="H241" i="1" s="1"/>
  <c r="C240" i="5"/>
  <c r="D240" i="5" s="1"/>
  <c r="H240" i="1" s="1"/>
  <c r="C239" i="5"/>
  <c r="D239" i="5" s="1"/>
  <c r="H239" i="1" s="1"/>
  <c r="C237" i="5"/>
  <c r="D237" i="5" s="1"/>
  <c r="H237" i="1" s="1"/>
  <c r="C236" i="5"/>
  <c r="D236" i="5" s="1"/>
  <c r="H236" i="1" s="1"/>
  <c r="C235" i="5"/>
  <c r="D235" i="5" s="1"/>
  <c r="H235" i="1" s="1"/>
  <c r="C233" i="5"/>
  <c r="D233" i="5" s="1"/>
  <c r="H233" i="1" s="1"/>
  <c r="C232" i="5"/>
  <c r="D232" i="5" s="1"/>
  <c r="H232" i="1" s="1"/>
  <c r="C231" i="5"/>
  <c r="D231" i="5" s="1"/>
  <c r="H231" i="1" s="1"/>
  <c r="C229" i="5"/>
  <c r="D229" i="5" s="1"/>
  <c r="H229" i="1" s="1"/>
  <c r="C228" i="5"/>
  <c r="D228" i="5" s="1"/>
  <c r="H228" i="1" s="1"/>
  <c r="C227" i="5"/>
  <c r="D227" i="5" s="1"/>
  <c r="H227" i="1" s="1"/>
  <c r="C225" i="5"/>
  <c r="D225" i="5" s="1"/>
  <c r="H225" i="1" s="1"/>
  <c r="C224" i="5"/>
  <c r="D224" i="5" s="1"/>
  <c r="H224" i="1" s="1"/>
  <c r="C223" i="5"/>
  <c r="D223" i="5" s="1"/>
  <c r="H223" i="1" s="1"/>
  <c r="C221" i="5"/>
  <c r="D221" i="5" s="1"/>
  <c r="H221" i="1" s="1"/>
  <c r="C220" i="5"/>
  <c r="D220" i="5" s="1"/>
  <c r="H220" i="1" s="1"/>
  <c r="C219" i="5"/>
  <c r="D219" i="5" s="1"/>
  <c r="H219" i="1" s="1"/>
  <c r="C217" i="5"/>
  <c r="D217" i="5" s="1"/>
  <c r="H217" i="1" s="1"/>
  <c r="C216" i="5"/>
  <c r="D216" i="5" s="1"/>
  <c r="H216" i="1" s="1"/>
  <c r="C215" i="5"/>
  <c r="D215" i="5" s="1"/>
  <c r="H215" i="1" s="1"/>
  <c r="C213" i="5"/>
  <c r="D213" i="5" s="1"/>
  <c r="H213" i="1" s="1"/>
  <c r="C212" i="5"/>
  <c r="D212" i="5" s="1"/>
  <c r="H212" i="1" s="1"/>
  <c r="C211" i="5"/>
  <c r="D211" i="5" s="1"/>
  <c r="H211" i="1" s="1"/>
  <c r="C209" i="5"/>
  <c r="D209" i="5" s="1"/>
  <c r="H209" i="1" s="1"/>
  <c r="C208" i="5"/>
  <c r="D208" i="5" s="1"/>
  <c r="H208" i="1" s="1"/>
  <c r="C207" i="5"/>
  <c r="D207" i="5" s="1"/>
  <c r="H207" i="1" s="1"/>
  <c r="C205" i="5"/>
  <c r="D205" i="5" s="1"/>
  <c r="H205" i="1" s="1"/>
  <c r="C204" i="5"/>
  <c r="D204" i="5" s="1"/>
  <c r="H204" i="1" s="1"/>
  <c r="C203" i="5"/>
  <c r="D203" i="5" s="1"/>
  <c r="H203" i="1" s="1"/>
  <c r="C201" i="5"/>
  <c r="D201" i="5" s="1"/>
  <c r="H201" i="1" s="1"/>
  <c r="C200" i="5"/>
  <c r="D200" i="5" s="1"/>
  <c r="H200" i="1" s="1"/>
  <c r="C199" i="5"/>
  <c r="D199" i="5" s="1"/>
  <c r="H199" i="1" s="1"/>
  <c r="C197" i="5"/>
  <c r="D197" i="5" s="1"/>
  <c r="H197" i="1" s="1"/>
  <c r="C196" i="5"/>
  <c r="D196" i="5" s="1"/>
  <c r="H196" i="1" s="1"/>
  <c r="C195" i="5"/>
  <c r="D195" i="5" s="1"/>
  <c r="H195" i="1" s="1"/>
  <c r="C193" i="5"/>
  <c r="D193" i="5" s="1"/>
  <c r="H193" i="1" s="1"/>
  <c r="C192" i="5"/>
  <c r="D192" i="5" s="1"/>
  <c r="H192" i="1" s="1"/>
  <c r="C191" i="5"/>
  <c r="D191" i="5" s="1"/>
  <c r="H191" i="1" s="1"/>
  <c r="C189" i="5"/>
  <c r="D189" i="5" s="1"/>
  <c r="H189" i="1" s="1"/>
  <c r="C188" i="5"/>
  <c r="D188" i="5" s="1"/>
  <c r="H188" i="1" s="1"/>
  <c r="C187" i="5"/>
  <c r="D187" i="5" s="1"/>
  <c r="H187" i="1" s="1"/>
  <c r="C185" i="5"/>
  <c r="D185" i="5" s="1"/>
  <c r="H185" i="1" s="1"/>
  <c r="C184" i="5"/>
  <c r="D184" i="5" s="1"/>
  <c r="H184" i="1" s="1"/>
  <c r="C183" i="5"/>
  <c r="D183" i="5" s="1"/>
  <c r="H183" i="1" s="1"/>
  <c r="C181" i="5"/>
  <c r="D181" i="5" s="1"/>
  <c r="H181" i="1" s="1"/>
  <c r="C180" i="5"/>
  <c r="D180" i="5" s="1"/>
  <c r="H180" i="1" s="1"/>
  <c r="C179" i="5"/>
  <c r="D179" i="5" s="1"/>
  <c r="H179" i="1" s="1"/>
  <c r="C177" i="5"/>
  <c r="D177" i="5" s="1"/>
  <c r="H177" i="1" s="1"/>
  <c r="C176" i="5"/>
  <c r="D176" i="5" s="1"/>
  <c r="C175" i="5"/>
  <c r="D175" i="5" s="1"/>
  <c r="H175" i="1" s="1"/>
  <c r="C173" i="5"/>
  <c r="D173" i="5" s="1"/>
  <c r="H173" i="1" s="1"/>
  <c r="C172" i="5"/>
  <c r="D172" i="5" s="1"/>
  <c r="H172" i="1" s="1"/>
  <c r="C171" i="5"/>
  <c r="D171" i="5" s="1"/>
  <c r="H171" i="1" s="1"/>
  <c r="C169" i="5"/>
  <c r="D169" i="5" s="1"/>
  <c r="H169" i="1" s="1"/>
  <c r="C168" i="5"/>
  <c r="D168" i="5" s="1"/>
  <c r="H168" i="1" s="1"/>
  <c r="C167" i="5"/>
  <c r="D167" i="5" s="1"/>
  <c r="H167" i="1" s="1"/>
  <c r="C165" i="5"/>
  <c r="D165" i="5" s="1"/>
  <c r="H165" i="1" s="1"/>
  <c r="C164" i="5"/>
  <c r="D164" i="5" s="1"/>
  <c r="H164" i="1" s="1"/>
  <c r="C163" i="5"/>
  <c r="D163" i="5" s="1"/>
  <c r="H163" i="1" s="1"/>
  <c r="C161" i="5"/>
  <c r="D161" i="5" s="1"/>
  <c r="H161" i="1" s="1"/>
  <c r="C160" i="5"/>
  <c r="D160" i="5" s="1"/>
  <c r="H160" i="1" s="1"/>
  <c r="C159" i="5"/>
  <c r="D159" i="5" s="1"/>
  <c r="H159" i="1" s="1"/>
  <c r="C157" i="5"/>
  <c r="D157" i="5" s="1"/>
  <c r="H157" i="1" s="1"/>
  <c r="C156" i="5"/>
  <c r="D156" i="5" s="1"/>
  <c r="H156" i="1" s="1"/>
  <c r="C155" i="5"/>
  <c r="D155" i="5" s="1"/>
  <c r="H155" i="1" s="1"/>
  <c r="C153" i="5"/>
  <c r="D153" i="5" s="1"/>
  <c r="H153" i="1" s="1"/>
  <c r="C152" i="5"/>
  <c r="D152" i="5" s="1"/>
  <c r="H152" i="1" s="1"/>
  <c r="C151" i="5"/>
  <c r="D151" i="5" s="1"/>
  <c r="H151" i="1" s="1"/>
  <c r="C149" i="5"/>
  <c r="D149" i="5" s="1"/>
  <c r="H149" i="1" s="1"/>
  <c r="C148" i="5"/>
  <c r="D148" i="5" s="1"/>
  <c r="H148" i="1" s="1"/>
  <c r="C147" i="5"/>
  <c r="D147" i="5" s="1"/>
  <c r="H147" i="1" s="1"/>
  <c r="C145" i="5"/>
  <c r="D145" i="5" s="1"/>
  <c r="H145" i="1" s="1"/>
  <c r="C144" i="5"/>
  <c r="D144" i="5" s="1"/>
  <c r="H144" i="1" s="1"/>
  <c r="C143" i="5"/>
  <c r="D143" i="5" s="1"/>
  <c r="H143" i="1" s="1"/>
  <c r="C141" i="5"/>
  <c r="D141" i="5" s="1"/>
  <c r="H141" i="1" s="1"/>
  <c r="C140" i="5"/>
  <c r="D140" i="5" s="1"/>
  <c r="H140" i="1" s="1"/>
  <c r="C139" i="5"/>
  <c r="D139" i="5" s="1"/>
  <c r="H139" i="1" s="1"/>
  <c r="C137" i="5"/>
  <c r="D137" i="5" s="1"/>
  <c r="H137" i="1" s="1"/>
  <c r="C136" i="5"/>
  <c r="D136" i="5" s="1"/>
  <c r="H136" i="1" s="1"/>
  <c r="C135" i="5"/>
  <c r="D135" i="5" s="1"/>
  <c r="H135" i="1" s="1"/>
  <c r="C133" i="5"/>
  <c r="D133" i="5" s="1"/>
  <c r="C132" i="5"/>
  <c r="D132" i="5" s="1"/>
  <c r="H132" i="1" s="1"/>
  <c r="C131" i="5"/>
  <c r="D131" i="5" s="1"/>
  <c r="H131" i="1" s="1"/>
  <c r="C129" i="5"/>
  <c r="D129" i="5" s="1"/>
  <c r="H129" i="1" s="1"/>
  <c r="C128" i="5"/>
  <c r="D128" i="5" s="1"/>
  <c r="H128" i="1" s="1"/>
  <c r="C127" i="5"/>
  <c r="D127" i="5" s="1"/>
  <c r="H127" i="1" s="1"/>
  <c r="C125" i="5"/>
  <c r="D125" i="5" s="1"/>
  <c r="H125" i="1" s="1"/>
  <c r="C124" i="5"/>
  <c r="D124" i="5" s="1"/>
  <c r="H124" i="1" s="1"/>
  <c r="C123" i="5"/>
  <c r="D123" i="5" s="1"/>
  <c r="H123" i="1" s="1"/>
  <c r="C121" i="5"/>
  <c r="D121" i="5" s="1"/>
  <c r="H121" i="1" s="1"/>
  <c r="C120" i="5"/>
  <c r="D120" i="5" s="1"/>
  <c r="H120" i="1" s="1"/>
  <c r="C119" i="5"/>
  <c r="D119" i="5" s="1"/>
  <c r="H119" i="1" s="1"/>
  <c r="C117" i="5"/>
  <c r="D117" i="5" s="1"/>
  <c r="H117" i="1" s="1"/>
  <c r="C116" i="5"/>
  <c r="D116" i="5" s="1"/>
  <c r="H116" i="1" s="1"/>
  <c r="C115" i="5"/>
  <c r="D115" i="5" s="1"/>
  <c r="H115" i="1" s="1"/>
  <c r="C113" i="5"/>
  <c r="D113" i="5" s="1"/>
  <c r="H113" i="1" s="1"/>
  <c r="C112" i="5"/>
  <c r="D112" i="5" s="1"/>
  <c r="H112" i="1" s="1"/>
  <c r="C111" i="5"/>
  <c r="D111" i="5" s="1"/>
  <c r="H111" i="1" s="1"/>
  <c r="C109" i="5"/>
  <c r="D109" i="5" s="1"/>
  <c r="H109" i="1" s="1"/>
  <c r="C108" i="5"/>
  <c r="D108" i="5" s="1"/>
  <c r="H108" i="1" s="1"/>
  <c r="C107" i="5"/>
  <c r="D107" i="5" s="1"/>
  <c r="H107" i="1" s="1"/>
  <c r="C105" i="5"/>
  <c r="D105" i="5" s="1"/>
  <c r="H105" i="1" s="1"/>
  <c r="C104" i="5"/>
  <c r="D104" i="5" s="1"/>
  <c r="H104" i="1" s="1"/>
  <c r="C103" i="5"/>
  <c r="D103" i="5" s="1"/>
  <c r="H103" i="1" s="1"/>
  <c r="C101" i="5"/>
  <c r="D101" i="5" s="1"/>
  <c r="H101" i="1" s="1"/>
  <c r="C100" i="5"/>
  <c r="D100" i="5" s="1"/>
  <c r="H100" i="1" s="1"/>
  <c r="C99" i="5"/>
  <c r="D99" i="5" s="1"/>
  <c r="H99" i="1" s="1"/>
  <c r="C97" i="5"/>
  <c r="D97" i="5" s="1"/>
  <c r="H97" i="1" s="1"/>
  <c r="C96" i="5"/>
  <c r="D96" i="5" s="1"/>
  <c r="H96" i="1" s="1"/>
  <c r="C95" i="5"/>
  <c r="D95" i="5" s="1"/>
  <c r="H95" i="1" s="1"/>
  <c r="C93" i="5"/>
  <c r="D93" i="5" s="1"/>
  <c r="H93" i="1" s="1"/>
  <c r="C92" i="5"/>
  <c r="D92" i="5" s="1"/>
  <c r="H92" i="1" s="1"/>
  <c r="C91" i="5"/>
  <c r="D91" i="5" s="1"/>
  <c r="H91" i="1" s="1"/>
  <c r="C89" i="5"/>
  <c r="D89" i="5" s="1"/>
  <c r="H89" i="1" s="1"/>
  <c r="C88" i="5"/>
  <c r="D88" i="5" s="1"/>
  <c r="H88" i="1" s="1"/>
  <c r="C87" i="5"/>
  <c r="D87" i="5" s="1"/>
  <c r="H87" i="1" s="1"/>
  <c r="C85" i="5"/>
  <c r="D85" i="5" s="1"/>
  <c r="H85" i="1" s="1"/>
  <c r="C84" i="5"/>
  <c r="D84" i="5" s="1"/>
  <c r="H84" i="1" s="1"/>
  <c r="C83" i="5"/>
  <c r="D83" i="5" s="1"/>
  <c r="H83" i="1" s="1"/>
  <c r="C81" i="5"/>
  <c r="D81" i="5" s="1"/>
  <c r="H81" i="1" s="1"/>
  <c r="C80" i="5"/>
  <c r="D80" i="5" s="1"/>
  <c r="H80" i="1" s="1"/>
  <c r="C79" i="5"/>
  <c r="D79" i="5" s="1"/>
  <c r="H79" i="1" s="1"/>
  <c r="C77" i="5"/>
  <c r="D77" i="5" s="1"/>
  <c r="H77" i="1" s="1"/>
  <c r="C76" i="5"/>
  <c r="D76" i="5" s="1"/>
  <c r="H76" i="1" s="1"/>
  <c r="C75" i="5"/>
  <c r="D75" i="5" s="1"/>
  <c r="H75" i="1" s="1"/>
  <c r="C73" i="5"/>
  <c r="D73" i="5" s="1"/>
  <c r="H73" i="1" s="1"/>
  <c r="C72" i="5"/>
  <c r="D72" i="5" s="1"/>
  <c r="H72" i="1" s="1"/>
  <c r="C71" i="5"/>
  <c r="D71" i="5" s="1"/>
  <c r="H71" i="1" s="1"/>
  <c r="C69" i="5"/>
  <c r="D69" i="5" s="1"/>
  <c r="H69" i="1" s="1"/>
  <c r="C68" i="5"/>
  <c r="D68" i="5" s="1"/>
  <c r="H68" i="1" s="1"/>
  <c r="C67" i="5"/>
  <c r="D67" i="5" s="1"/>
  <c r="H67" i="1" s="1"/>
  <c r="C65" i="5"/>
  <c r="D65" i="5" s="1"/>
  <c r="H65" i="1" s="1"/>
  <c r="C64" i="5"/>
  <c r="D64" i="5" s="1"/>
  <c r="H64" i="1" s="1"/>
  <c r="C63" i="5"/>
  <c r="D63" i="5" s="1"/>
  <c r="H63" i="1" s="1"/>
  <c r="C61" i="5"/>
  <c r="D61" i="5" s="1"/>
  <c r="H61" i="1" s="1"/>
  <c r="C60" i="5"/>
  <c r="D60" i="5" s="1"/>
  <c r="H60" i="1" s="1"/>
  <c r="C59" i="5"/>
  <c r="D59" i="5" s="1"/>
  <c r="H59" i="1" s="1"/>
  <c r="C57" i="5"/>
  <c r="D57" i="5" s="1"/>
  <c r="H57" i="1" s="1"/>
  <c r="C56" i="5"/>
  <c r="D56" i="5" s="1"/>
  <c r="H56" i="1" s="1"/>
  <c r="C55" i="5"/>
  <c r="D55" i="5" s="1"/>
  <c r="H55" i="1" s="1"/>
  <c r="C53" i="5"/>
  <c r="D53" i="5" s="1"/>
  <c r="H53" i="1" s="1"/>
  <c r="C52" i="5"/>
  <c r="D52" i="5" s="1"/>
  <c r="H52" i="1" s="1"/>
  <c r="C51" i="5"/>
  <c r="D51" i="5" s="1"/>
  <c r="H51" i="1" s="1"/>
  <c r="C49" i="5"/>
  <c r="D49" i="5" s="1"/>
  <c r="H49" i="1" s="1"/>
  <c r="C48" i="5"/>
  <c r="D48" i="5" s="1"/>
  <c r="C47" i="5"/>
  <c r="D47" i="5" s="1"/>
  <c r="H47" i="1" s="1"/>
  <c r="C45" i="5"/>
  <c r="D45" i="5" s="1"/>
  <c r="H45" i="1" s="1"/>
  <c r="C44" i="5"/>
  <c r="D44" i="5" s="1"/>
  <c r="H44" i="1" s="1"/>
  <c r="C43" i="5"/>
  <c r="D43" i="5" s="1"/>
  <c r="H43" i="1" s="1"/>
  <c r="C41" i="5"/>
  <c r="D41" i="5" s="1"/>
  <c r="H41" i="1" s="1"/>
  <c r="C40" i="5"/>
  <c r="D40" i="5" s="1"/>
  <c r="H40" i="1" s="1"/>
  <c r="C39" i="5"/>
  <c r="D39" i="5" s="1"/>
  <c r="H39" i="1" s="1"/>
  <c r="C37" i="5"/>
  <c r="D37" i="5" s="1"/>
  <c r="H37" i="1" s="1"/>
  <c r="C36" i="5"/>
  <c r="D36" i="5" s="1"/>
  <c r="H36" i="1" s="1"/>
  <c r="C35" i="5"/>
  <c r="D35" i="5" s="1"/>
  <c r="H35" i="1" s="1"/>
  <c r="C33" i="5"/>
  <c r="D33" i="5" s="1"/>
  <c r="H33" i="1" s="1"/>
  <c r="C32" i="5"/>
  <c r="D32" i="5" s="1"/>
  <c r="H32" i="1" s="1"/>
  <c r="C31" i="5"/>
  <c r="D31" i="5" s="1"/>
  <c r="H31" i="1" s="1"/>
  <c r="C29" i="5"/>
  <c r="D29" i="5" s="1"/>
  <c r="H29" i="1" s="1"/>
  <c r="C28" i="5"/>
  <c r="D28" i="5" s="1"/>
  <c r="H28" i="1" s="1"/>
  <c r="C27" i="5"/>
  <c r="D27" i="5" s="1"/>
  <c r="H27" i="1" s="1"/>
  <c r="C25" i="5"/>
  <c r="D25" i="5" s="1"/>
  <c r="H25" i="1" s="1"/>
  <c r="C24" i="5"/>
  <c r="D24" i="5" s="1"/>
  <c r="H24" i="1" s="1"/>
  <c r="C23" i="5"/>
  <c r="D23" i="5" s="1"/>
  <c r="H23" i="1" s="1"/>
  <c r="C21" i="5"/>
  <c r="D21" i="5" s="1"/>
  <c r="H21" i="1" s="1"/>
  <c r="C20" i="5"/>
  <c r="D20" i="5" s="1"/>
  <c r="H20" i="1" s="1"/>
  <c r="C19" i="5"/>
  <c r="D19" i="5" s="1"/>
  <c r="H19" i="1" s="1"/>
  <c r="C17" i="5"/>
  <c r="D17" i="5" s="1"/>
  <c r="H17" i="1" s="1"/>
  <c r="C16" i="5"/>
  <c r="D16" i="5" s="1"/>
  <c r="H16" i="1" s="1"/>
  <c r="C15" i="5"/>
  <c r="D15" i="5" s="1"/>
  <c r="H15" i="1" s="1"/>
  <c r="C13" i="5"/>
  <c r="D13" i="5" s="1"/>
  <c r="H13" i="1" s="1"/>
  <c r="C12" i="5"/>
  <c r="D12" i="5" s="1"/>
  <c r="H12" i="1" s="1"/>
  <c r="C11" i="5"/>
  <c r="D11" i="5" s="1"/>
  <c r="H11" i="1" s="1"/>
  <c r="C9" i="5"/>
  <c r="D9" i="5" s="1"/>
  <c r="H9" i="1" s="1"/>
  <c r="C8" i="5"/>
  <c r="D8" i="5" s="1"/>
  <c r="H8" i="1" s="1"/>
  <c r="C7" i="5"/>
  <c r="D7" i="5" s="1"/>
  <c r="H7" i="1" s="1"/>
  <c r="C5" i="5"/>
  <c r="D5" i="5" s="1"/>
  <c r="C4" i="5"/>
  <c r="D4" i="5" s="1"/>
  <c r="C3" i="5"/>
  <c r="D3" i="5" s="1"/>
  <c r="H3" i="1" s="1"/>
  <c r="C2" i="5"/>
  <c r="D2" i="5" s="1"/>
  <c r="H2" i="1" s="1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E116" i="8" l="1"/>
  <c r="L116" i="1" s="1"/>
  <c r="E248" i="8"/>
  <c r="L248" i="1" s="1"/>
  <c r="E344" i="8"/>
  <c r="L344" i="1" s="1"/>
  <c r="E348" i="8"/>
  <c r="L348" i="1" s="1"/>
  <c r="E40" i="8"/>
  <c r="L40" i="1" s="1"/>
  <c r="E792" i="8"/>
  <c r="L792" i="1" s="1"/>
  <c r="E800" i="8"/>
  <c r="L800" i="1" s="1"/>
  <c r="E212" i="8"/>
  <c r="L212" i="1" s="1"/>
  <c r="E220" i="8"/>
  <c r="L220" i="1" s="1"/>
  <c r="E288" i="8"/>
  <c r="L288" i="1" s="1"/>
  <c r="E296" i="8"/>
  <c r="L296" i="1" s="1"/>
  <c r="E300" i="8"/>
  <c r="L300" i="1" s="1"/>
  <c r="M300" i="1" s="1"/>
  <c r="N300" i="1" s="1"/>
  <c r="E692" i="8"/>
  <c r="L692" i="1" s="1"/>
  <c r="E696" i="8"/>
  <c r="L696" i="1" s="1"/>
  <c r="E700" i="8"/>
  <c r="L700" i="1" s="1"/>
  <c r="E756" i="8"/>
  <c r="L756" i="1" s="1"/>
  <c r="E760" i="8"/>
  <c r="L760" i="1" s="1"/>
  <c r="E764" i="8"/>
  <c r="L764" i="1" s="1"/>
  <c r="E636" i="8"/>
  <c r="L636" i="1" s="1"/>
  <c r="E772" i="8"/>
  <c r="L772" i="1" s="1"/>
  <c r="E644" i="8"/>
  <c r="L644" i="1" s="1"/>
  <c r="E648" i="8"/>
  <c r="L648" i="1" s="1"/>
  <c r="E708" i="8"/>
  <c r="L708" i="1" s="1"/>
  <c r="E712" i="8"/>
  <c r="L712" i="1" s="1"/>
  <c r="E812" i="8"/>
  <c r="L812" i="1" s="1"/>
  <c r="E828" i="8"/>
  <c r="L828" i="1" s="1"/>
  <c r="E6" i="8"/>
  <c r="L6" i="1" s="1"/>
  <c r="H342" i="1"/>
  <c r="H338" i="1"/>
  <c r="H70" i="1"/>
  <c r="H58" i="1"/>
  <c r="H50" i="1"/>
  <c r="H38" i="1"/>
  <c r="H30" i="1"/>
  <c r="H22" i="1"/>
  <c r="H6" i="1"/>
  <c r="H66" i="1"/>
  <c r="H46" i="1"/>
  <c r="H10" i="1"/>
  <c r="H62" i="1"/>
  <c r="H54" i="1"/>
  <c r="H42" i="1"/>
  <c r="H34" i="1"/>
  <c r="H26" i="1"/>
  <c r="H18" i="1"/>
  <c r="H14" i="1"/>
  <c r="M827" i="1"/>
  <c r="N827" i="1" s="1"/>
  <c r="M789" i="1"/>
  <c r="N789" i="1" s="1"/>
  <c r="M644" i="1"/>
  <c r="N644" i="1" s="1"/>
  <c r="M739" i="1"/>
  <c r="N739" i="1" s="1"/>
  <c r="M767" i="1"/>
  <c r="N767" i="1" s="1"/>
  <c r="M711" i="1"/>
  <c r="N711" i="1" s="1"/>
  <c r="M35" i="1"/>
  <c r="N35" i="1" s="1"/>
  <c r="M107" i="1"/>
  <c r="N107" i="1" s="1"/>
  <c r="M387" i="1"/>
  <c r="N387" i="1" s="1"/>
  <c r="M6" i="1"/>
  <c r="N6" i="1" s="1"/>
  <c r="M38" i="1"/>
  <c r="N38" i="1" s="1"/>
  <c r="M114" i="1"/>
  <c r="N114" i="1" s="1"/>
  <c r="M162" i="1"/>
  <c r="N162" i="1" s="1"/>
  <c r="M298" i="1"/>
  <c r="N298" i="1" s="1"/>
  <c r="M314" i="1"/>
  <c r="N314" i="1" s="1"/>
  <c r="M393" i="1"/>
  <c r="N393" i="1" s="1"/>
  <c r="M583" i="1"/>
  <c r="N583" i="1" s="1"/>
  <c r="M611" i="1"/>
  <c r="N611" i="1" s="1"/>
  <c r="M135" i="1"/>
  <c r="N135" i="1" s="1"/>
  <c r="M143" i="1"/>
  <c r="N143" i="1" s="1"/>
  <c r="M287" i="1"/>
  <c r="N287" i="1" s="1"/>
  <c r="M485" i="1"/>
  <c r="N485" i="1" s="1"/>
  <c r="M549" i="1"/>
  <c r="N549" i="1" s="1"/>
  <c r="M25" i="1"/>
  <c r="N25" i="1" s="1"/>
  <c r="M37" i="1"/>
  <c r="N37" i="1" s="1"/>
  <c r="M65" i="1"/>
  <c r="N65" i="1" s="1"/>
  <c r="M145" i="1"/>
  <c r="N145" i="1" s="1"/>
  <c r="M165" i="1"/>
  <c r="N165" i="1" s="1"/>
  <c r="M189" i="1"/>
  <c r="N189" i="1" s="1"/>
  <c r="M221" i="1"/>
  <c r="N221" i="1" s="1"/>
  <c r="M297" i="1"/>
  <c r="N297" i="1" s="1"/>
  <c r="M84" i="1"/>
  <c r="N84" i="1" s="1"/>
  <c r="M164" i="1"/>
  <c r="N164" i="1" s="1"/>
  <c r="M248" i="1"/>
  <c r="N248" i="1" s="1"/>
  <c r="M316" i="1"/>
  <c r="N316" i="1" s="1"/>
  <c r="M344" i="1"/>
  <c r="N344" i="1" s="1"/>
  <c r="M385" i="1"/>
  <c r="N385" i="1" s="1"/>
  <c r="M401" i="1"/>
  <c r="N401" i="1" s="1"/>
  <c r="M431" i="1"/>
  <c r="N431" i="1" s="1"/>
  <c r="M433" i="1"/>
  <c r="N433" i="1" s="1"/>
  <c r="M463" i="1"/>
  <c r="N463" i="1" s="1"/>
  <c r="M465" i="1"/>
  <c r="N465" i="1" s="1"/>
  <c r="M527" i="1"/>
  <c r="N527" i="1" s="1"/>
  <c r="M575" i="1"/>
  <c r="N575" i="1" s="1"/>
  <c r="M577" i="1"/>
  <c r="N577" i="1" s="1"/>
  <c r="M639" i="1"/>
  <c r="N639" i="1" s="1"/>
  <c r="M494" i="1"/>
  <c r="N494" i="1" s="1"/>
  <c r="M809" i="1"/>
  <c r="N809" i="1" s="1"/>
  <c r="M841" i="1"/>
  <c r="N841" i="1" s="1"/>
  <c r="E15" i="8"/>
  <c r="L15" i="1" s="1"/>
  <c r="E17" i="8"/>
  <c r="L17" i="1" s="1"/>
  <c r="E31" i="8"/>
  <c r="L31" i="1" s="1"/>
  <c r="M31" i="1" s="1"/>
  <c r="N31" i="1" s="1"/>
  <c r="E33" i="8"/>
  <c r="L33" i="1" s="1"/>
  <c r="M33" i="1" s="1"/>
  <c r="N33" i="1" s="1"/>
  <c r="D41" i="8"/>
  <c r="E54" i="8"/>
  <c r="L54" i="1" s="1"/>
  <c r="M54" i="1" s="1"/>
  <c r="N54" i="1" s="1"/>
  <c r="E56" i="8"/>
  <c r="L56" i="1" s="1"/>
  <c r="M56" i="1" s="1"/>
  <c r="N56" i="1" s="1"/>
  <c r="E58" i="8"/>
  <c r="L58" i="1" s="1"/>
  <c r="M58" i="1" s="1"/>
  <c r="N58" i="1" s="1"/>
  <c r="E60" i="8"/>
  <c r="L60" i="1" s="1"/>
  <c r="M60" i="1" s="1"/>
  <c r="N60" i="1" s="1"/>
  <c r="E67" i="8"/>
  <c r="L67" i="1" s="1"/>
  <c r="E69" i="8"/>
  <c r="L69" i="1" s="1"/>
  <c r="D85" i="8"/>
  <c r="D89" i="8"/>
  <c r="E98" i="8"/>
  <c r="L98" i="1" s="1"/>
  <c r="E100" i="8"/>
  <c r="L100" i="1" s="1"/>
  <c r="E123" i="8"/>
  <c r="L123" i="1" s="1"/>
  <c r="E139" i="8"/>
  <c r="L139" i="1" s="1"/>
  <c r="E141" i="8"/>
  <c r="L141" i="1" s="1"/>
  <c r="M141" i="1" s="1"/>
  <c r="N141" i="1" s="1"/>
  <c r="E146" i="8"/>
  <c r="L146" i="1" s="1"/>
  <c r="E148" i="8"/>
  <c r="L148" i="1" s="1"/>
  <c r="E154" i="8"/>
  <c r="L154" i="1" s="1"/>
  <c r="M154" i="1" s="1"/>
  <c r="N154" i="1" s="1"/>
  <c r="E156" i="8"/>
  <c r="L156" i="1" s="1"/>
  <c r="M156" i="1" s="1"/>
  <c r="N156" i="1" s="1"/>
  <c r="E171" i="8"/>
  <c r="L171" i="1" s="1"/>
  <c r="M171" i="1" s="1"/>
  <c r="N171" i="1" s="1"/>
  <c r="E194" i="8"/>
  <c r="L194" i="1" s="1"/>
  <c r="M194" i="1" s="1"/>
  <c r="N194" i="1" s="1"/>
  <c r="E196" i="8"/>
  <c r="L196" i="1" s="1"/>
  <c r="E198" i="8"/>
  <c r="L198" i="1" s="1"/>
  <c r="E200" i="8"/>
  <c r="L200" i="1" s="1"/>
  <c r="E227" i="8"/>
  <c r="L227" i="1" s="1"/>
  <c r="E229" i="8"/>
  <c r="L229" i="1" s="1"/>
  <c r="M229" i="1" s="1"/>
  <c r="N229" i="1" s="1"/>
  <c r="D241" i="8"/>
  <c r="D245" i="8"/>
  <c r="D249" i="8"/>
  <c r="E262" i="8"/>
  <c r="L262" i="1" s="1"/>
  <c r="E264" i="8"/>
  <c r="L264" i="1" s="1"/>
  <c r="E266" i="8"/>
  <c r="L266" i="1" s="1"/>
  <c r="E268" i="8"/>
  <c r="L268" i="1" s="1"/>
  <c r="E270" i="8"/>
  <c r="L270" i="1" s="1"/>
  <c r="E272" i="8"/>
  <c r="L272" i="1" s="1"/>
  <c r="E279" i="8"/>
  <c r="L279" i="1" s="1"/>
  <c r="M279" i="1" s="1"/>
  <c r="N279" i="1" s="1"/>
  <c r="E281" i="8"/>
  <c r="L281" i="1" s="1"/>
  <c r="M281" i="1" s="1"/>
  <c r="N281" i="1" s="1"/>
  <c r="D293" i="8"/>
  <c r="E323" i="8"/>
  <c r="L323" i="1" s="1"/>
  <c r="E335" i="8"/>
  <c r="L335" i="1" s="1"/>
  <c r="D345" i="8"/>
  <c r="D347" i="8"/>
  <c r="D349" i="8"/>
  <c r="E360" i="8"/>
  <c r="L360" i="1" s="1"/>
  <c r="E364" i="8"/>
  <c r="L364" i="1" s="1"/>
  <c r="D370" i="8"/>
  <c r="E387" i="8"/>
  <c r="L387" i="1" s="1"/>
  <c r="E389" i="8"/>
  <c r="L389" i="1" s="1"/>
  <c r="D397" i="8"/>
  <c r="E406" i="8"/>
  <c r="L406" i="1" s="1"/>
  <c r="E410" i="8"/>
  <c r="L410" i="1" s="1"/>
  <c r="E435" i="8"/>
  <c r="L435" i="1" s="1"/>
  <c r="M435" i="1" s="1"/>
  <c r="N435" i="1" s="1"/>
  <c r="E447" i="8"/>
  <c r="L447" i="1" s="1"/>
  <c r="E449" i="8"/>
  <c r="L449" i="1" s="1"/>
  <c r="D457" i="8"/>
  <c r="D461" i="8"/>
  <c r="E470" i="8"/>
  <c r="L470" i="1" s="1"/>
  <c r="E474" i="8"/>
  <c r="L474" i="1" s="1"/>
  <c r="E478" i="8"/>
  <c r="L478" i="1" s="1"/>
  <c r="E487" i="8"/>
  <c r="L487" i="1" s="1"/>
  <c r="M487" i="1" s="1"/>
  <c r="N487" i="1" s="1"/>
  <c r="E489" i="8"/>
  <c r="L489" i="1" s="1"/>
  <c r="D501" i="8"/>
  <c r="E531" i="8"/>
  <c r="L531" i="1" s="1"/>
  <c r="E543" i="8"/>
  <c r="L543" i="1" s="1"/>
  <c r="E545" i="8"/>
  <c r="L545" i="1" s="1"/>
  <c r="E550" i="8"/>
  <c r="L550" i="1" s="1"/>
  <c r="E554" i="8"/>
  <c r="L554" i="1" s="1"/>
  <c r="E579" i="8"/>
  <c r="L579" i="1" s="1"/>
  <c r="E581" i="8"/>
  <c r="L581" i="1" s="1"/>
  <c r="D589" i="8"/>
  <c r="E598" i="8"/>
  <c r="L598" i="1" s="1"/>
  <c r="E602" i="8"/>
  <c r="L602" i="1" s="1"/>
  <c r="E606" i="8"/>
  <c r="L606" i="1" s="1"/>
  <c r="M606" i="1" s="1"/>
  <c r="N606" i="1" s="1"/>
  <c r="E615" i="8"/>
  <c r="L615" i="1" s="1"/>
  <c r="M615" i="1" s="1"/>
  <c r="N615" i="1" s="1"/>
  <c r="E617" i="8"/>
  <c r="L617" i="1" s="1"/>
  <c r="E623" i="8"/>
  <c r="L623" i="1" s="1"/>
  <c r="D631" i="8"/>
  <c r="D635" i="8"/>
  <c r="E671" i="8"/>
  <c r="L671" i="1" s="1"/>
  <c r="E676" i="8"/>
  <c r="L676" i="1" s="1"/>
  <c r="E678" i="8"/>
  <c r="L678" i="1" s="1"/>
  <c r="E680" i="8"/>
  <c r="L680" i="1" s="1"/>
  <c r="E707" i="8"/>
  <c r="L707" i="1" s="1"/>
  <c r="D715" i="8"/>
  <c r="E724" i="8"/>
  <c r="L724" i="1" s="1"/>
  <c r="E726" i="8"/>
  <c r="L726" i="1" s="1"/>
  <c r="E728" i="8"/>
  <c r="L728" i="1" s="1"/>
  <c r="E732" i="8"/>
  <c r="L732" i="1" s="1"/>
  <c r="E734" i="8"/>
  <c r="L734" i="1" s="1"/>
  <c r="E743" i="8"/>
  <c r="L743" i="1" s="1"/>
  <c r="E751" i="8"/>
  <c r="L751" i="1" s="1"/>
  <c r="D759" i="8"/>
  <c r="D763" i="8"/>
  <c r="E778" i="8"/>
  <c r="L778" i="1" s="1"/>
  <c r="D784" i="8"/>
  <c r="D796" i="8"/>
  <c r="D798" i="8"/>
  <c r="E805" i="8"/>
  <c r="L805" i="1" s="1"/>
  <c r="E816" i="8"/>
  <c r="L816" i="1" s="1"/>
  <c r="D830" i="8"/>
  <c r="D842" i="8"/>
  <c r="D844" i="8"/>
  <c r="D846" i="8"/>
  <c r="D848" i="8"/>
  <c r="D850" i="8"/>
  <c r="D852" i="8"/>
  <c r="D854" i="8"/>
  <c r="D856" i="8"/>
  <c r="D858" i="8"/>
  <c r="D860" i="8"/>
  <c r="D862" i="8"/>
  <c r="D864" i="8"/>
  <c r="D866" i="8"/>
  <c r="D868" i="8"/>
  <c r="D870" i="8"/>
  <c r="D872" i="8"/>
  <c r="D874" i="8"/>
  <c r="D876" i="8"/>
  <c r="D878" i="8"/>
  <c r="D880" i="8"/>
  <c r="D882" i="8"/>
  <c r="D884" i="8"/>
  <c r="D886" i="8"/>
  <c r="D888" i="8"/>
  <c r="D890" i="8"/>
  <c r="D892" i="8"/>
  <c r="D894" i="8"/>
  <c r="D896" i="8"/>
  <c r="D898" i="8"/>
  <c r="D900" i="8"/>
  <c r="M285" i="1"/>
  <c r="N285" i="1" s="1"/>
  <c r="M495" i="1"/>
  <c r="N495" i="1" s="1"/>
  <c r="M598" i="1"/>
  <c r="N598" i="1" s="1"/>
  <c r="M394" i="1"/>
  <c r="N394" i="1" s="1"/>
  <c r="M422" i="1"/>
  <c r="N422" i="1" s="1"/>
  <c r="M518" i="1"/>
  <c r="N518" i="1" s="1"/>
  <c r="M550" i="1"/>
  <c r="N550" i="1" s="1"/>
  <c r="M582" i="1"/>
  <c r="N582" i="1" s="1"/>
  <c r="M426" i="1"/>
  <c r="N426" i="1" s="1"/>
  <c r="M522" i="1"/>
  <c r="N522" i="1" s="1"/>
  <c r="M574" i="1"/>
  <c r="N574" i="1" s="1"/>
  <c r="D5" i="8"/>
  <c r="D9" i="8"/>
  <c r="E22" i="8"/>
  <c r="L22" i="1" s="1"/>
  <c r="E24" i="8"/>
  <c r="L24" i="1" s="1"/>
  <c r="E26" i="8"/>
  <c r="L26" i="1" s="1"/>
  <c r="M26" i="1" s="1"/>
  <c r="N26" i="1" s="1"/>
  <c r="E28" i="8"/>
  <c r="L28" i="1" s="1"/>
  <c r="M28" i="1" s="1"/>
  <c r="N28" i="1" s="1"/>
  <c r="E30" i="8"/>
  <c r="L30" i="1" s="1"/>
  <c r="M30" i="1" s="1"/>
  <c r="N30" i="1" s="1"/>
  <c r="E32" i="8"/>
  <c r="L32" i="1" s="1"/>
  <c r="E47" i="8"/>
  <c r="L47" i="1" s="1"/>
  <c r="M47" i="1" s="1"/>
  <c r="N47" i="1" s="1"/>
  <c r="E70" i="8"/>
  <c r="L70" i="1" s="1"/>
  <c r="E72" i="8"/>
  <c r="L72" i="1" s="1"/>
  <c r="E99" i="8"/>
  <c r="L99" i="1" s="1"/>
  <c r="E101" i="8"/>
  <c r="L101" i="1" s="1"/>
  <c r="D113" i="8"/>
  <c r="D117" i="8"/>
  <c r="E130" i="8"/>
  <c r="L130" i="1" s="1"/>
  <c r="E132" i="8"/>
  <c r="L132" i="1" s="1"/>
  <c r="E134" i="8"/>
  <c r="L134" i="1" s="1"/>
  <c r="E136" i="8"/>
  <c r="L136" i="1" s="1"/>
  <c r="E138" i="8"/>
  <c r="L138" i="1" s="1"/>
  <c r="E140" i="8"/>
  <c r="L140" i="1" s="1"/>
  <c r="M140" i="1" s="1"/>
  <c r="N140" i="1" s="1"/>
  <c r="D145" i="8"/>
  <c r="E147" i="8"/>
  <c r="L147" i="1" s="1"/>
  <c r="E149" i="8"/>
  <c r="L149" i="1" s="1"/>
  <c r="M149" i="1" s="1"/>
  <c r="N149" i="1" s="1"/>
  <c r="E155" i="8"/>
  <c r="L155" i="1" s="1"/>
  <c r="E157" i="8"/>
  <c r="L157" i="1" s="1"/>
  <c r="M157" i="1" s="1"/>
  <c r="N157" i="1" s="1"/>
  <c r="E178" i="8"/>
  <c r="L178" i="1" s="1"/>
  <c r="M178" i="1" s="1"/>
  <c r="N178" i="1" s="1"/>
  <c r="E180" i="8"/>
  <c r="L180" i="1" s="1"/>
  <c r="M180" i="1" s="1"/>
  <c r="N180" i="1" s="1"/>
  <c r="E182" i="8"/>
  <c r="L182" i="1" s="1"/>
  <c r="E184" i="8"/>
  <c r="L184" i="1" s="1"/>
  <c r="D189" i="8"/>
  <c r="E191" i="8"/>
  <c r="L191" i="1" s="1"/>
  <c r="E193" i="8"/>
  <c r="L193" i="1" s="1"/>
  <c r="M193" i="1" s="1"/>
  <c r="N193" i="1" s="1"/>
  <c r="E203" i="8"/>
  <c r="L203" i="1" s="1"/>
  <c r="E205" i="8"/>
  <c r="L205" i="1" s="1"/>
  <c r="D213" i="8"/>
  <c r="D217" i="8"/>
  <c r="E226" i="8"/>
  <c r="L226" i="1" s="1"/>
  <c r="E228" i="8"/>
  <c r="L228" i="1" s="1"/>
  <c r="E255" i="8"/>
  <c r="L255" i="1" s="1"/>
  <c r="E271" i="8"/>
  <c r="L271" i="1" s="1"/>
  <c r="E273" i="8"/>
  <c r="L273" i="1" s="1"/>
  <c r="E278" i="8"/>
  <c r="L278" i="1" s="1"/>
  <c r="E280" i="8"/>
  <c r="L280" i="1" s="1"/>
  <c r="E303" i="8"/>
  <c r="L303" i="1" s="1"/>
  <c r="E305" i="8"/>
  <c r="L305" i="1" s="1"/>
  <c r="D313" i="8"/>
  <c r="D317" i="8"/>
  <c r="E326" i="8"/>
  <c r="L326" i="1" s="1"/>
  <c r="E328" i="8"/>
  <c r="L328" i="1" s="1"/>
  <c r="M328" i="1" s="1"/>
  <c r="N328" i="1" s="1"/>
  <c r="E330" i="8"/>
  <c r="L330" i="1" s="1"/>
  <c r="M330" i="1" s="1"/>
  <c r="N330" i="1" s="1"/>
  <c r="E332" i="8"/>
  <c r="L332" i="1" s="1"/>
  <c r="D338" i="8"/>
  <c r="D350" i="8"/>
  <c r="D357" i="8"/>
  <c r="E367" i="8"/>
  <c r="L367" i="1" s="1"/>
  <c r="M367" i="1" s="1"/>
  <c r="N367" i="1" s="1"/>
  <c r="D377" i="8"/>
  <c r="D379" i="8"/>
  <c r="D381" i="8"/>
  <c r="D401" i="8"/>
  <c r="E403" i="8"/>
  <c r="L403" i="1" s="1"/>
  <c r="E415" i="8"/>
  <c r="L415" i="1" s="1"/>
  <c r="E417" i="8"/>
  <c r="L417" i="1" s="1"/>
  <c r="M417" i="1" s="1"/>
  <c r="N417" i="1" s="1"/>
  <c r="D425" i="8"/>
  <c r="D429" i="8"/>
  <c r="E438" i="8"/>
  <c r="L438" i="1" s="1"/>
  <c r="E442" i="8"/>
  <c r="L442" i="1" s="1"/>
  <c r="M442" i="1" s="1"/>
  <c r="N442" i="1" s="1"/>
  <c r="D465" i="8"/>
  <c r="E467" i="8"/>
  <c r="L467" i="1" s="1"/>
  <c r="E479" i="8"/>
  <c r="L479" i="1" s="1"/>
  <c r="E481" i="8"/>
  <c r="L481" i="1" s="1"/>
  <c r="E486" i="8"/>
  <c r="L486" i="1" s="1"/>
  <c r="M486" i="1" s="1"/>
  <c r="N486" i="1" s="1"/>
  <c r="E511" i="8"/>
  <c r="L511" i="1" s="1"/>
  <c r="M511" i="1" s="1"/>
  <c r="N511" i="1" s="1"/>
  <c r="E513" i="8"/>
  <c r="L513" i="1" s="1"/>
  <c r="D521" i="8"/>
  <c r="D525" i="8"/>
  <c r="E534" i="8"/>
  <c r="L534" i="1" s="1"/>
  <c r="E538" i="8"/>
  <c r="L538" i="1" s="1"/>
  <c r="E542" i="8"/>
  <c r="L542" i="1" s="1"/>
  <c r="D549" i="8"/>
  <c r="E551" i="8"/>
  <c r="L551" i="1" s="1"/>
  <c r="E553" i="8"/>
  <c r="L553" i="1" s="1"/>
  <c r="E559" i="8"/>
  <c r="L559" i="1" s="1"/>
  <c r="M559" i="1" s="1"/>
  <c r="N559" i="1" s="1"/>
  <c r="E561" i="8"/>
  <c r="L561" i="1" s="1"/>
  <c r="M561" i="1" s="1"/>
  <c r="N561" i="1" s="1"/>
  <c r="D569" i="8"/>
  <c r="D573" i="8"/>
  <c r="D593" i="8"/>
  <c r="E595" i="8"/>
  <c r="L595" i="1" s="1"/>
  <c r="M595" i="1" s="1"/>
  <c r="N595" i="1" s="1"/>
  <c r="E607" i="8"/>
  <c r="L607" i="1" s="1"/>
  <c r="M607" i="1" s="1"/>
  <c r="N607" i="1" s="1"/>
  <c r="E609" i="8"/>
  <c r="L609" i="1" s="1"/>
  <c r="M609" i="1" s="1"/>
  <c r="N609" i="1" s="1"/>
  <c r="E614" i="8"/>
  <c r="L614" i="1" s="1"/>
  <c r="E618" i="8"/>
  <c r="L618" i="1" s="1"/>
  <c r="D639" i="8"/>
  <c r="E643" i="8"/>
  <c r="L643" i="1" s="1"/>
  <c r="D651" i="8"/>
  <c r="E660" i="8"/>
  <c r="L660" i="1" s="1"/>
  <c r="E662" i="8"/>
  <c r="L662" i="1" s="1"/>
  <c r="E664" i="8"/>
  <c r="L664" i="1" s="1"/>
  <c r="E668" i="8"/>
  <c r="L668" i="1" s="1"/>
  <c r="E670" i="8"/>
  <c r="L670" i="1" s="1"/>
  <c r="D675" i="8"/>
  <c r="E679" i="8"/>
  <c r="L679" i="1" s="1"/>
  <c r="E687" i="8"/>
  <c r="L687" i="1" s="1"/>
  <c r="D695" i="8"/>
  <c r="D699" i="8"/>
  <c r="D719" i="8"/>
  <c r="E735" i="8"/>
  <c r="L735" i="1" s="1"/>
  <c r="E740" i="8"/>
  <c r="L740" i="1" s="1"/>
  <c r="E742" i="8"/>
  <c r="L742" i="1" s="1"/>
  <c r="E744" i="8"/>
  <c r="L744" i="1" s="1"/>
  <c r="D767" i="8"/>
  <c r="E771" i="8"/>
  <c r="L771" i="1" s="1"/>
  <c r="D772" i="8"/>
  <c r="E774" i="8"/>
  <c r="L774" i="1" s="1"/>
  <c r="D781" i="8"/>
  <c r="E783" i="8"/>
  <c r="L783" i="1" s="1"/>
  <c r="E802" i="8"/>
  <c r="L802" i="1" s="1"/>
  <c r="E804" i="8"/>
  <c r="L804" i="1" s="1"/>
  <c r="D833" i="8"/>
  <c r="D837" i="8"/>
  <c r="M98" i="1"/>
  <c r="N98" i="1" s="1"/>
  <c r="M591" i="1"/>
  <c r="N591" i="1" s="1"/>
  <c r="M399" i="1"/>
  <c r="N399" i="1" s="1"/>
  <c r="M783" i="1"/>
  <c r="N783" i="1" s="1"/>
  <c r="M646" i="1"/>
  <c r="N646" i="1" s="1"/>
  <c r="E12" i="8"/>
  <c r="L12" i="1" s="1"/>
  <c r="M12" i="1" s="1"/>
  <c r="N12" i="1" s="1"/>
  <c r="E21" i="8"/>
  <c r="L21" i="1" s="1"/>
  <c r="E533" i="8"/>
  <c r="L533" i="1" s="1"/>
  <c r="D533" i="8"/>
  <c r="E659" i="8"/>
  <c r="L659" i="1" s="1"/>
  <c r="D659" i="8"/>
  <c r="D788" i="8"/>
  <c r="E788" i="8"/>
  <c r="L788" i="1" s="1"/>
  <c r="E806" i="8"/>
  <c r="L806" i="1" s="1"/>
  <c r="E819" i="8"/>
  <c r="L819" i="1" s="1"/>
  <c r="E842" i="8"/>
  <c r="L842" i="1" s="1"/>
  <c r="E109" i="8"/>
  <c r="L109" i="1" s="1"/>
  <c r="D109" i="8"/>
  <c r="E209" i="8"/>
  <c r="L209" i="1" s="1"/>
  <c r="D209" i="8"/>
  <c r="E565" i="8"/>
  <c r="L565" i="1" s="1"/>
  <c r="D565" i="8"/>
  <c r="E691" i="8"/>
  <c r="L691" i="1" s="1"/>
  <c r="D691" i="8"/>
  <c r="E10" i="8"/>
  <c r="L10" i="1" s="1"/>
  <c r="D17" i="8"/>
  <c r="E19" i="8"/>
  <c r="L19" i="1" s="1"/>
  <c r="E125" i="8"/>
  <c r="L125" i="1" s="1"/>
  <c r="M125" i="1" s="1"/>
  <c r="N125" i="1" s="1"/>
  <c r="D125" i="8"/>
  <c r="E325" i="8"/>
  <c r="L325" i="1" s="1"/>
  <c r="D325" i="8"/>
  <c r="E437" i="8"/>
  <c r="L437" i="1" s="1"/>
  <c r="D437" i="8"/>
  <c r="D808" i="8"/>
  <c r="E808" i="8"/>
  <c r="L808" i="1" s="1"/>
  <c r="E844" i="8"/>
  <c r="L844" i="1" s="1"/>
  <c r="E81" i="8"/>
  <c r="L81" i="1" s="1"/>
  <c r="D81" i="8"/>
  <c r="E237" i="8"/>
  <c r="L237" i="1" s="1"/>
  <c r="M237" i="1" s="1"/>
  <c r="N237" i="1" s="1"/>
  <c r="D237" i="8"/>
  <c r="E289" i="8"/>
  <c r="L289" i="1" s="1"/>
  <c r="D289" i="8"/>
  <c r="E49" i="8"/>
  <c r="L49" i="1" s="1"/>
  <c r="D49" i="8"/>
  <c r="E257" i="8"/>
  <c r="L257" i="1" s="1"/>
  <c r="D257" i="8"/>
  <c r="E3" i="8"/>
  <c r="L3" i="1" s="1"/>
  <c r="E5" i="8"/>
  <c r="L5" i="1" s="1"/>
  <c r="M5" i="1" s="1"/>
  <c r="N5" i="1" s="1"/>
  <c r="E14" i="8"/>
  <c r="L14" i="1" s="1"/>
  <c r="E16" i="8"/>
  <c r="L16" i="1" s="1"/>
  <c r="M16" i="1" s="1"/>
  <c r="N16" i="1" s="1"/>
  <c r="E23" i="8"/>
  <c r="L23" i="1" s="1"/>
  <c r="E25" i="8"/>
  <c r="L25" i="1" s="1"/>
  <c r="E42" i="8"/>
  <c r="L42" i="1" s="1"/>
  <c r="M42" i="1" s="1"/>
  <c r="N42" i="1" s="1"/>
  <c r="E44" i="8"/>
  <c r="L44" i="1" s="1"/>
  <c r="E51" i="8"/>
  <c r="L51" i="1" s="1"/>
  <c r="E53" i="8"/>
  <c r="L53" i="1" s="1"/>
  <c r="E74" i="8"/>
  <c r="L74" i="1" s="1"/>
  <c r="E76" i="8"/>
  <c r="L76" i="1" s="1"/>
  <c r="M76" i="1" s="1"/>
  <c r="N76" i="1" s="1"/>
  <c r="E83" i="8"/>
  <c r="L83" i="1" s="1"/>
  <c r="E85" i="8"/>
  <c r="L85" i="1" s="1"/>
  <c r="E118" i="8"/>
  <c r="L118" i="1" s="1"/>
  <c r="E120" i="8"/>
  <c r="L120" i="1" s="1"/>
  <c r="E127" i="8"/>
  <c r="L127" i="1" s="1"/>
  <c r="E129" i="8"/>
  <c r="L129" i="1" s="1"/>
  <c r="E173" i="8"/>
  <c r="L173" i="1" s="1"/>
  <c r="M173" i="1" s="1"/>
  <c r="N173" i="1" s="1"/>
  <c r="D173" i="8"/>
  <c r="E202" i="8"/>
  <c r="L202" i="1" s="1"/>
  <c r="E204" i="8"/>
  <c r="L204" i="1" s="1"/>
  <c r="M204" i="1" s="1"/>
  <c r="N204" i="1" s="1"/>
  <c r="E211" i="8"/>
  <c r="L211" i="1" s="1"/>
  <c r="M211" i="1" s="1"/>
  <c r="N211" i="1" s="1"/>
  <c r="E213" i="8"/>
  <c r="L213" i="1" s="1"/>
  <c r="E250" i="8"/>
  <c r="L250" i="1" s="1"/>
  <c r="E252" i="8"/>
  <c r="L252" i="1" s="1"/>
  <c r="M252" i="1" s="1"/>
  <c r="N252" i="1" s="1"/>
  <c r="E259" i="8"/>
  <c r="L259" i="1" s="1"/>
  <c r="E261" i="8"/>
  <c r="L261" i="1" s="1"/>
  <c r="E453" i="8"/>
  <c r="L453" i="1" s="1"/>
  <c r="D453" i="8"/>
  <c r="E627" i="8"/>
  <c r="L627" i="1" s="1"/>
  <c r="D627" i="8"/>
  <c r="E7" i="8"/>
  <c r="L7" i="1" s="1"/>
  <c r="E9" i="8"/>
  <c r="L9" i="1" s="1"/>
  <c r="D37" i="8"/>
  <c r="D69" i="8"/>
  <c r="D149" i="8"/>
  <c r="D193" i="8"/>
  <c r="E309" i="8"/>
  <c r="L309" i="1" s="1"/>
  <c r="D309" i="8"/>
  <c r="E352" i="8"/>
  <c r="L352" i="1" s="1"/>
  <c r="E359" i="8"/>
  <c r="L359" i="1" s="1"/>
  <c r="E405" i="8"/>
  <c r="L405" i="1" s="1"/>
  <c r="M405" i="1" s="1"/>
  <c r="N405" i="1" s="1"/>
  <c r="D405" i="8"/>
  <c r="E597" i="8"/>
  <c r="L597" i="1" s="1"/>
  <c r="D597" i="8"/>
  <c r="E39" i="8"/>
  <c r="L39" i="1" s="1"/>
  <c r="E41" i="8"/>
  <c r="L41" i="1" s="1"/>
  <c r="M41" i="1" s="1"/>
  <c r="N41" i="1" s="1"/>
  <c r="E46" i="8"/>
  <c r="L46" i="1" s="1"/>
  <c r="E48" i="8"/>
  <c r="L48" i="1" s="1"/>
  <c r="E55" i="8"/>
  <c r="L55" i="1" s="1"/>
  <c r="E57" i="8"/>
  <c r="L57" i="1" s="1"/>
  <c r="M57" i="1" s="1"/>
  <c r="N57" i="1" s="1"/>
  <c r="E62" i="8"/>
  <c r="L62" i="1" s="1"/>
  <c r="E64" i="8"/>
  <c r="L64" i="1" s="1"/>
  <c r="E71" i="8"/>
  <c r="L71" i="1" s="1"/>
  <c r="E73" i="8"/>
  <c r="L73" i="1" s="1"/>
  <c r="E78" i="8"/>
  <c r="L78" i="1" s="1"/>
  <c r="E102" i="8"/>
  <c r="L102" i="1" s="1"/>
  <c r="E104" i="8"/>
  <c r="L104" i="1" s="1"/>
  <c r="E111" i="8"/>
  <c r="L111" i="1" s="1"/>
  <c r="M111" i="1" s="1"/>
  <c r="N111" i="1" s="1"/>
  <c r="E113" i="8"/>
  <c r="L113" i="1" s="1"/>
  <c r="E122" i="8"/>
  <c r="L122" i="1" s="1"/>
  <c r="E124" i="8"/>
  <c r="L124" i="1" s="1"/>
  <c r="M124" i="1" s="1"/>
  <c r="N124" i="1" s="1"/>
  <c r="E131" i="8"/>
  <c r="L131" i="1" s="1"/>
  <c r="E133" i="8"/>
  <c r="L133" i="1" s="1"/>
  <c r="E166" i="8"/>
  <c r="L166" i="1" s="1"/>
  <c r="E168" i="8"/>
  <c r="L168" i="1" s="1"/>
  <c r="M168" i="1" s="1"/>
  <c r="N168" i="1" s="1"/>
  <c r="E175" i="8"/>
  <c r="L175" i="1" s="1"/>
  <c r="E177" i="8"/>
  <c r="L177" i="1" s="1"/>
  <c r="E186" i="8"/>
  <c r="L186" i="1" s="1"/>
  <c r="E188" i="8"/>
  <c r="L188" i="1" s="1"/>
  <c r="M188" i="1" s="1"/>
  <c r="N188" i="1" s="1"/>
  <c r="E195" i="8"/>
  <c r="L195" i="1" s="1"/>
  <c r="M195" i="1" s="1"/>
  <c r="N195" i="1" s="1"/>
  <c r="E197" i="8"/>
  <c r="L197" i="1" s="1"/>
  <c r="E230" i="8"/>
  <c r="L230" i="1" s="1"/>
  <c r="E232" i="8"/>
  <c r="L232" i="1" s="1"/>
  <c r="E239" i="8"/>
  <c r="L239" i="1" s="1"/>
  <c r="E241" i="8"/>
  <c r="L241" i="1" s="1"/>
  <c r="M241" i="1" s="1"/>
  <c r="N241" i="1" s="1"/>
  <c r="E254" i="8"/>
  <c r="L254" i="1" s="1"/>
  <c r="E256" i="8"/>
  <c r="L256" i="1" s="1"/>
  <c r="E263" i="8"/>
  <c r="L263" i="1" s="1"/>
  <c r="E265" i="8"/>
  <c r="L265" i="1" s="1"/>
  <c r="E318" i="8"/>
  <c r="L318" i="1" s="1"/>
  <c r="E320" i="8"/>
  <c r="L320" i="1" s="1"/>
  <c r="M320" i="1" s="1"/>
  <c r="N320" i="1" s="1"/>
  <c r="E327" i="8"/>
  <c r="L327" i="1" s="1"/>
  <c r="M327" i="1" s="1"/>
  <c r="N327" i="1" s="1"/>
  <c r="E329" i="8"/>
  <c r="L329" i="1" s="1"/>
  <c r="M329" i="1" s="1"/>
  <c r="N329" i="1" s="1"/>
  <c r="E446" i="8"/>
  <c r="L446" i="1" s="1"/>
  <c r="M446" i="1" s="1"/>
  <c r="N446" i="1" s="1"/>
  <c r="E455" i="8"/>
  <c r="L455" i="1" s="1"/>
  <c r="E457" i="8"/>
  <c r="L457" i="1" s="1"/>
  <c r="E497" i="8"/>
  <c r="L497" i="1" s="1"/>
  <c r="M497" i="1" s="1"/>
  <c r="N497" i="1" s="1"/>
  <c r="D497" i="8"/>
  <c r="E526" i="8"/>
  <c r="L526" i="1" s="1"/>
  <c r="M526" i="1" s="1"/>
  <c r="N526" i="1" s="1"/>
  <c r="E535" i="8"/>
  <c r="L535" i="1" s="1"/>
  <c r="E537" i="8"/>
  <c r="L537" i="1" s="1"/>
  <c r="E558" i="8"/>
  <c r="L558" i="1" s="1"/>
  <c r="E567" i="8"/>
  <c r="L567" i="1" s="1"/>
  <c r="E569" i="8"/>
  <c r="L569" i="1" s="1"/>
  <c r="E590" i="8"/>
  <c r="L590" i="1" s="1"/>
  <c r="E599" i="8"/>
  <c r="L599" i="1" s="1"/>
  <c r="E601" i="8"/>
  <c r="L601" i="1" s="1"/>
  <c r="E622" i="8"/>
  <c r="L622" i="1" s="1"/>
  <c r="M622" i="1" s="1"/>
  <c r="N622" i="1" s="1"/>
  <c r="E631" i="8"/>
  <c r="L631" i="1" s="1"/>
  <c r="E652" i="8"/>
  <c r="L652" i="1" s="1"/>
  <c r="E654" i="8"/>
  <c r="L654" i="1" s="1"/>
  <c r="M654" i="1" s="1"/>
  <c r="N654" i="1" s="1"/>
  <c r="E755" i="8"/>
  <c r="L755" i="1" s="1"/>
  <c r="D755" i="8"/>
  <c r="E2" i="8"/>
  <c r="L2" i="1" s="1"/>
  <c r="M2" i="1" s="1"/>
  <c r="N2" i="1" s="1"/>
  <c r="E4" i="8"/>
  <c r="L4" i="1" s="1"/>
  <c r="E11" i="8"/>
  <c r="L11" i="1" s="1"/>
  <c r="M11" i="1" s="1"/>
  <c r="N11" i="1" s="1"/>
  <c r="E13" i="8"/>
  <c r="L13" i="1" s="1"/>
  <c r="M13" i="1" s="1"/>
  <c r="N13" i="1" s="1"/>
  <c r="E18" i="8"/>
  <c r="L18" i="1" s="1"/>
  <c r="E20" i="8"/>
  <c r="L20" i="1" s="1"/>
  <c r="M20" i="1" s="1"/>
  <c r="N20" i="1" s="1"/>
  <c r="E27" i="8"/>
  <c r="L27" i="1" s="1"/>
  <c r="E29" i="8"/>
  <c r="L29" i="1" s="1"/>
  <c r="E34" i="8"/>
  <c r="L34" i="1" s="1"/>
  <c r="M34" i="1" s="1"/>
  <c r="N34" i="1" s="1"/>
  <c r="E36" i="8"/>
  <c r="L36" i="1" s="1"/>
  <c r="E43" i="8"/>
  <c r="L43" i="1" s="1"/>
  <c r="E45" i="8"/>
  <c r="L45" i="1" s="1"/>
  <c r="M45" i="1" s="1"/>
  <c r="N45" i="1" s="1"/>
  <c r="E50" i="8"/>
  <c r="L50" i="1" s="1"/>
  <c r="E52" i="8"/>
  <c r="L52" i="1" s="1"/>
  <c r="E59" i="8"/>
  <c r="L59" i="1" s="1"/>
  <c r="E61" i="8"/>
  <c r="L61" i="1" s="1"/>
  <c r="E66" i="8"/>
  <c r="L66" i="1" s="1"/>
  <c r="M66" i="1" s="1"/>
  <c r="N66" i="1" s="1"/>
  <c r="E68" i="8"/>
  <c r="L68" i="1" s="1"/>
  <c r="M68" i="1" s="1"/>
  <c r="N68" i="1" s="1"/>
  <c r="E75" i="8"/>
  <c r="L75" i="1" s="1"/>
  <c r="E77" i="8"/>
  <c r="L77" i="1" s="1"/>
  <c r="E86" i="8"/>
  <c r="L86" i="1" s="1"/>
  <c r="M86" i="1" s="1"/>
  <c r="N86" i="1" s="1"/>
  <c r="E88" i="8"/>
  <c r="L88" i="1" s="1"/>
  <c r="D93" i="8"/>
  <c r="E95" i="8"/>
  <c r="L95" i="1" s="1"/>
  <c r="E97" i="8"/>
  <c r="L97" i="1" s="1"/>
  <c r="M97" i="1" s="1"/>
  <c r="N97" i="1" s="1"/>
  <c r="D101" i="8"/>
  <c r="E106" i="8"/>
  <c r="L106" i="1" s="1"/>
  <c r="E108" i="8"/>
  <c r="L108" i="1" s="1"/>
  <c r="E115" i="8"/>
  <c r="L115" i="1" s="1"/>
  <c r="E117" i="8"/>
  <c r="L117" i="1" s="1"/>
  <c r="E150" i="8"/>
  <c r="L150" i="1" s="1"/>
  <c r="E152" i="8"/>
  <c r="L152" i="1" s="1"/>
  <c r="D157" i="8"/>
  <c r="E159" i="8"/>
  <c r="L159" i="1" s="1"/>
  <c r="E161" i="8"/>
  <c r="L161" i="1" s="1"/>
  <c r="M161" i="1" s="1"/>
  <c r="N161" i="1" s="1"/>
  <c r="D165" i="8"/>
  <c r="E170" i="8"/>
  <c r="L170" i="1" s="1"/>
  <c r="E172" i="8"/>
  <c r="L172" i="1" s="1"/>
  <c r="M172" i="1" s="1"/>
  <c r="N172" i="1" s="1"/>
  <c r="E179" i="8"/>
  <c r="L179" i="1" s="1"/>
  <c r="E181" i="8"/>
  <c r="L181" i="1" s="1"/>
  <c r="E214" i="8"/>
  <c r="L214" i="1" s="1"/>
  <c r="E216" i="8"/>
  <c r="L216" i="1" s="1"/>
  <c r="D221" i="8"/>
  <c r="E223" i="8"/>
  <c r="L223" i="1" s="1"/>
  <c r="E225" i="8"/>
  <c r="L225" i="1" s="1"/>
  <c r="M225" i="1" s="1"/>
  <c r="N225" i="1" s="1"/>
  <c r="D229" i="8"/>
  <c r="E234" i="8"/>
  <c r="L234" i="1" s="1"/>
  <c r="M234" i="1" s="1"/>
  <c r="N234" i="1" s="1"/>
  <c r="E236" i="8"/>
  <c r="L236" i="1" s="1"/>
  <c r="E243" i="8"/>
  <c r="L243" i="1" s="1"/>
  <c r="E245" i="8"/>
  <c r="L245" i="1" s="1"/>
  <c r="M245" i="1" s="1"/>
  <c r="N245" i="1" s="1"/>
  <c r="D281" i="8"/>
  <c r="D382" i="8"/>
  <c r="D393" i="8"/>
  <c r="E414" i="8"/>
  <c r="L414" i="1" s="1"/>
  <c r="M414" i="1" s="1"/>
  <c r="N414" i="1" s="1"/>
  <c r="D421" i="8"/>
  <c r="E423" i="8"/>
  <c r="L423" i="1" s="1"/>
  <c r="E425" i="8"/>
  <c r="L425" i="1" s="1"/>
  <c r="M425" i="1" s="1"/>
  <c r="N425" i="1" s="1"/>
  <c r="E469" i="8"/>
  <c r="L469" i="1" s="1"/>
  <c r="D469" i="8"/>
  <c r="E723" i="8"/>
  <c r="L723" i="1" s="1"/>
  <c r="D723" i="8"/>
  <c r="E663" i="8"/>
  <c r="L663" i="1" s="1"/>
  <c r="E684" i="8"/>
  <c r="L684" i="1" s="1"/>
  <c r="E686" i="8"/>
  <c r="L686" i="1" s="1"/>
  <c r="E695" i="8"/>
  <c r="L695" i="1" s="1"/>
  <c r="E716" i="8"/>
  <c r="L716" i="1" s="1"/>
  <c r="E718" i="8"/>
  <c r="L718" i="1" s="1"/>
  <c r="E727" i="8"/>
  <c r="L727" i="1" s="1"/>
  <c r="E748" i="8"/>
  <c r="L748" i="1" s="1"/>
  <c r="E750" i="8"/>
  <c r="L750" i="1" s="1"/>
  <c r="E759" i="8"/>
  <c r="L759" i="1" s="1"/>
  <c r="E784" i="8"/>
  <c r="L784" i="1" s="1"/>
  <c r="E80" i="8"/>
  <c r="L80" i="1" s="1"/>
  <c r="E87" i="8"/>
  <c r="L87" i="1" s="1"/>
  <c r="E89" i="8"/>
  <c r="L89" i="1" s="1"/>
  <c r="E94" i="8"/>
  <c r="L94" i="1" s="1"/>
  <c r="M94" i="1" s="1"/>
  <c r="N94" i="1" s="1"/>
  <c r="E96" i="8"/>
  <c r="L96" i="1" s="1"/>
  <c r="E103" i="8"/>
  <c r="L103" i="1" s="1"/>
  <c r="E105" i="8"/>
  <c r="L105" i="1" s="1"/>
  <c r="M105" i="1" s="1"/>
  <c r="N105" i="1" s="1"/>
  <c r="E110" i="8"/>
  <c r="L110" i="1" s="1"/>
  <c r="E112" i="8"/>
  <c r="L112" i="1" s="1"/>
  <c r="E119" i="8"/>
  <c r="L119" i="1" s="1"/>
  <c r="M119" i="1" s="1"/>
  <c r="N119" i="1" s="1"/>
  <c r="E121" i="8"/>
  <c r="L121" i="1" s="1"/>
  <c r="M121" i="1" s="1"/>
  <c r="N121" i="1" s="1"/>
  <c r="E126" i="8"/>
  <c r="L126" i="1" s="1"/>
  <c r="E128" i="8"/>
  <c r="L128" i="1" s="1"/>
  <c r="M128" i="1" s="1"/>
  <c r="N128" i="1" s="1"/>
  <c r="E135" i="8"/>
  <c r="L135" i="1" s="1"/>
  <c r="E137" i="8"/>
  <c r="L137" i="1" s="1"/>
  <c r="M137" i="1" s="1"/>
  <c r="N137" i="1" s="1"/>
  <c r="E142" i="8"/>
  <c r="L142" i="1" s="1"/>
  <c r="E144" i="8"/>
  <c r="L144" i="1" s="1"/>
  <c r="M144" i="1" s="1"/>
  <c r="N144" i="1" s="1"/>
  <c r="E151" i="8"/>
  <c r="L151" i="1" s="1"/>
  <c r="E153" i="8"/>
  <c r="L153" i="1" s="1"/>
  <c r="E158" i="8"/>
  <c r="L158" i="1" s="1"/>
  <c r="E160" i="8"/>
  <c r="L160" i="1" s="1"/>
  <c r="M160" i="1" s="1"/>
  <c r="N160" i="1" s="1"/>
  <c r="E167" i="8"/>
  <c r="L167" i="1" s="1"/>
  <c r="E169" i="8"/>
  <c r="L169" i="1" s="1"/>
  <c r="E174" i="8"/>
  <c r="L174" i="1" s="1"/>
  <c r="E176" i="8"/>
  <c r="L176" i="1" s="1"/>
  <c r="M176" i="1" s="1"/>
  <c r="N176" i="1" s="1"/>
  <c r="E183" i="8"/>
  <c r="L183" i="1" s="1"/>
  <c r="M183" i="1" s="1"/>
  <c r="N183" i="1" s="1"/>
  <c r="E185" i="8"/>
  <c r="L185" i="1" s="1"/>
  <c r="M185" i="1" s="1"/>
  <c r="N185" i="1" s="1"/>
  <c r="E190" i="8"/>
  <c r="L190" i="1" s="1"/>
  <c r="E192" i="8"/>
  <c r="L192" i="1" s="1"/>
  <c r="M192" i="1" s="1"/>
  <c r="N192" i="1" s="1"/>
  <c r="E199" i="8"/>
  <c r="L199" i="1" s="1"/>
  <c r="M199" i="1" s="1"/>
  <c r="N199" i="1" s="1"/>
  <c r="E201" i="8"/>
  <c r="L201" i="1" s="1"/>
  <c r="E206" i="8"/>
  <c r="L206" i="1" s="1"/>
  <c r="M206" i="1" s="1"/>
  <c r="N206" i="1" s="1"/>
  <c r="E208" i="8"/>
  <c r="L208" i="1" s="1"/>
  <c r="E215" i="8"/>
  <c r="L215" i="1" s="1"/>
  <c r="E217" i="8"/>
  <c r="L217" i="1" s="1"/>
  <c r="E222" i="8"/>
  <c r="L222" i="1" s="1"/>
  <c r="M222" i="1" s="1"/>
  <c r="N222" i="1" s="1"/>
  <c r="E224" i="8"/>
  <c r="L224" i="1" s="1"/>
  <c r="E231" i="8"/>
  <c r="L231" i="1" s="1"/>
  <c r="E233" i="8"/>
  <c r="L233" i="1" s="1"/>
  <c r="E238" i="8"/>
  <c r="L238" i="1" s="1"/>
  <c r="E240" i="8"/>
  <c r="L240" i="1" s="1"/>
  <c r="M240" i="1" s="1"/>
  <c r="N240" i="1" s="1"/>
  <c r="E247" i="8"/>
  <c r="L247" i="1" s="1"/>
  <c r="E249" i="8"/>
  <c r="L249" i="1" s="1"/>
  <c r="E282" i="8"/>
  <c r="L282" i="1" s="1"/>
  <c r="M282" i="1" s="1"/>
  <c r="N282" i="1" s="1"/>
  <c r="E284" i="8"/>
  <c r="L284" i="1" s="1"/>
  <c r="E291" i="8"/>
  <c r="L291" i="1" s="1"/>
  <c r="E293" i="8"/>
  <c r="L293" i="1" s="1"/>
  <c r="D297" i="8"/>
  <c r="E302" i="8"/>
  <c r="L302" i="1" s="1"/>
  <c r="E304" i="8"/>
  <c r="L304" i="1" s="1"/>
  <c r="E311" i="8"/>
  <c r="L311" i="1" s="1"/>
  <c r="E313" i="8"/>
  <c r="L313" i="1" s="1"/>
  <c r="M313" i="1" s="1"/>
  <c r="N313" i="1" s="1"/>
  <c r="E336" i="8"/>
  <c r="L336" i="1" s="1"/>
  <c r="E343" i="8"/>
  <c r="L343" i="1" s="1"/>
  <c r="E368" i="8"/>
  <c r="L368" i="1" s="1"/>
  <c r="E375" i="8"/>
  <c r="L375" i="1" s="1"/>
  <c r="M375" i="1" s="1"/>
  <c r="N375" i="1" s="1"/>
  <c r="E398" i="8"/>
  <c r="L398" i="1" s="1"/>
  <c r="E407" i="8"/>
  <c r="L407" i="1" s="1"/>
  <c r="E409" i="8"/>
  <c r="L409" i="1" s="1"/>
  <c r="M409" i="1" s="1"/>
  <c r="N409" i="1" s="1"/>
  <c r="E430" i="8"/>
  <c r="L430" i="1" s="1"/>
  <c r="E439" i="8"/>
  <c r="L439" i="1" s="1"/>
  <c r="E441" i="8"/>
  <c r="L441" i="1" s="1"/>
  <c r="E462" i="8"/>
  <c r="L462" i="1" s="1"/>
  <c r="E471" i="8"/>
  <c r="L471" i="1" s="1"/>
  <c r="E473" i="8"/>
  <c r="L473" i="1" s="1"/>
  <c r="D517" i="8"/>
  <c r="E242" i="8"/>
  <c r="L242" i="1" s="1"/>
  <c r="E244" i="8"/>
  <c r="L244" i="1" s="1"/>
  <c r="M244" i="1" s="1"/>
  <c r="N244" i="1" s="1"/>
  <c r="E251" i="8"/>
  <c r="L251" i="1" s="1"/>
  <c r="M251" i="1" s="1"/>
  <c r="N251" i="1" s="1"/>
  <c r="E253" i="8"/>
  <c r="L253" i="1" s="1"/>
  <c r="E258" i="8"/>
  <c r="L258" i="1" s="1"/>
  <c r="M258" i="1" s="1"/>
  <c r="N258" i="1" s="1"/>
  <c r="E260" i="8"/>
  <c r="L260" i="1" s="1"/>
  <c r="E267" i="8"/>
  <c r="L267" i="1" s="1"/>
  <c r="E269" i="8"/>
  <c r="L269" i="1" s="1"/>
  <c r="E274" i="8"/>
  <c r="L274" i="1" s="1"/>
  <c r="M274" i="1" s="1"/>
  <c r="N274" i="1" s="1"/>
  <c r="E276" i="8"/>
  <c r="L276" i="1" s="1"/>
  <c r="E283" i="8"/>
  <c r="L283" i="1" s="1"/>
  <c r="E285" i="8"/>
  <c r="L285" i="1" s="1"/>
  <c r="E290" i="8"/>
  <c r="L290" i="1" s="1"/>
  <c r="E292" i="8"/>
  <c r="L292" i="1" s="1"/>
  <c r="E299" i="8"/>
  <c r="L299" i="1" s="1"/>
  <c r="E301" i="8"/>
  <c r="L301" i="1" s="1"/>
  <c r="E306" i="8"/>
  <c r="L306" i="1" s="1"/>
  <c r="E308" i="8"/>
  <c r="L308" i="1" s="1"/>
  <c r="M308" i="1" s="1"/>
  <c r="N308" i="1" s="1"/>
  <c r="E315" i="8"/>
  <c r="L315" i="1" s="1"/>
  <c r="E317" i="8"/>
  <c r="L317" i="1" s="1"/>
  <c r="E322" i="8"/>
  <c r="L322" i="1" s="1"/>
  <c r="E324" i="8"/>
  <c r="L324" i="1" s="1"/>
  <c r="M324" i="1" s="1"/>
  <c r="N324" i="1" s="1"/>
  <c r="E331" i="8"/>
  <c r="L331" i="1" s="1"/>
  <c r="M331" i="1" s="1"/>
  <c r="N331" i="1" s="1"/>
  <c r="E340" i="8"/>
  <c r="L340" i="1" s="1"/>
  <c r="D342" i="8"/>
  <c r="E356" i="8"/>
  <c r="L356" i="1" s="1"/>
  <c r="D358" i="8"/>
  <c r="E372" i="8"/>
  <c r="L372" i="1" s="1"/>
  <c r="D374" i="8"/>
  <c r="D383" i="8"/>
  <c r="E386" i="8"/>
  <c r="L386" i="1" s="1"/>
  <c r="E395" i="8"/>
  <c r="L395" i="1" s="1"/>
  <c r="E397" i="8"/>
  <c r="L397" i="1" s="1"/>
  <c r="E402" i="8"/>
  <c r="L402" i="1" s="1"/>
  <c r="E411" i="8"/>
  <c r="L411" i="1" s="1"/>
  <c r="E413" i="8"/>
  <c r="L413" i="1" s="1"/>
  <c r="E418" i="8"/>
  <c r="L418" i="1" s="1"/>
  <c r="E427" i="8"/>
  <c r="L427" i="1" s="1"/>
  <c r="E429" i="8"/>
  <c r="L429" i="1" s="1"/>
  <c r="E434" i="8"/>
  <c r="L434" i="1" s="1"/>
  <c r="M434" i="1" s="1"/>
  <c r="N434" i="1" s="1"/>
  <c r="E443" i="8"/>
  <c r="L443" i="1" s="1"/>
  <c r="E445" i="8"/>
  <c r="L445" i="1" s="1"/>
  <c r="E450" i="8"/>
  <c r="L450" i="1" s="1"/>
  <c r="E459" i="8"/>
  <c r="L459" i="1" s="1"/>
  <c r="E461" i="8"/>
  <c r="L461" i="1" s="1"/>
  <c r="E466" i="8"/>
  <c r="L466" i="1" s="1"/>
  <c r="M466" i="1" s="1"/>
  <c r="N466" i="1" s="1"/>
  <c r="E490" i="8"/>
  <c r="L490" i="1" s="1"/>
  <c r="E499" i="8"/>
  <c r="L499" i="1" s="1"/>
  <c r="E501" i="8"/>
  <c r="L501" i="1" s="1"/>
  <c r="M501" i="1" s="1"/>
  <c r="N501" i="1" s="1"/>
  <c r="D505" i="8"/>
  <c r="E510" i="8"/>
  <c r="L510" i="1" s="1"/>
  <c r="E519" i="8"/>
  <c r="L519" i="1" s="1"/>
  <c r="M519" i="1" s="1"/>
  <c r="N519" i="1" s="1"/>
  <c r="E521" i="8"/>
  <c r="L521" i="1" s="1"/>
  <c r="D553" i="8"/>
  <c r="D585" i="8"/>
  <c r="D617" i="8"/>
  <c r="D647" i="8"/>
  <c r="D679" i="8"/>
  <c r="D711" i="8"/>
  <c r="D743" i="8"/>
  <c r="E777" i="8"/>
  <c r="L777" i="1" s="1"/>
  <c r="E779" i="8"/>
  <c r="L779" i="1" s="1"/>
  <c r="D789" i="8"/>
  <c r="E794" i="8"/>
  <c r="L794" i="1" s="1"/>
  <c r="E796" i="8"/>
  <c r="L796" i="1" s="1"/>
  <c r="D816" i="8"/>
  <c r="E835" i="8"/>
  <c r="L835" i="1" s="1"/>
  <c r="D339" i="8"/>
  <c r="D346" i="8"/>
  <c r="D355" i="8"/>
  <c r="D362" i="8"/>
  <c r="D371" i="8"/>
  <c r="D378" i="8"/>
  <c r="D489" i="8"/>
  <c r="D776" i="8"/>
  <c r="E776" i="8"/>
  <c r="L776" i="1" s="1"/>
  <c r="D809" i="8"/>
  <c r="D826" i="8"/>
  <c r="D828" i="8"/>
  <c r="D832" i="8"/>
  <c r="E832" i="8"/>
  <c r="L832" i="1" s="1"/>
  <c r="E475" i="8"/>
  <c r="L475" i="1" s="1"/>
  <c r="E477" i="8"/>
  <c r="L477" i="1" s="1"/>
  <c r="E482" i="8"/>
  <c r="L482" i="1" s="1"/>
  <c r="E491" i="8"/>
  <c r="L491" i="1" s="1"/>
  <c r="E493" i="8"/>
  <c r="L493" i="1" s="1"/>
  <c r="E498" i="8"/>
  <c r="L498" i="1" s="1"/>
  <c r="M498" i="1" s="1"/>
  <c r="N498" i="1" s="1"/>
  <c r="E507" i="8"/>
  <c r="L507" i="1" s="1"/>
  <c r="E509" i="8"/>
  <c r="L509" i="1" s="1"/>
  <c r="M509" i="1" s="1"/>
  <c r="N509" i="1" s="1"/>
  <c r="E514" i="8"/>
  <c r="L514" i="1" s="1"/>
  <c r="E523" i="8"/>
  <c r="L523" i="1" s="1"/>
  <c r="E525" i="8"/>
  <c r="L525" i="1" s="1"/>
  <c r="E530" i="8"/>
  <c r="L530" i="1" s="1"/>
  <c r="M530" i="1" s="1"/>
  <c r="N530" i="1" s="1"/>
  <c r="E539" i="8"/>
  <c r="L539" i="1" s="1"/>
  <c r="M539" i="1" s="1"/>
  <c r="N539" i="1" s="1"/>
  <c r="E541" i="8"/>
  <c r="L541" i="1" s="1"/>
  <c r="M541" i="1" s="1"/>
  <c r="N541" i="1" s="1"/>
  <c r="E546" i="8"/>
  <c r="L546" i="1" s="1"/>
  <c r="E555" i="8"/>
  <c r="L555" i="1" s="1"/>
  <c r="E557" i="8"/>
  <c r="L557" i="1" s="1"/>
  <c r="E562" i="8"/>
  <c r="L562" i="1" s="1"/>
  <c r="E571" i="8"/>
  <c r="L571" i="1" s="1"/>
  <c r="E573" i="8"/>
  <c r="L573" i="1" s="1"/>
  <c r="M573" i="1" s="1"/>
  <c r="N573" i="1" s="1"/>
  <c r="E578" i="8"/>
  <c r="L578" i="1" s="1"/>
  <c r="E587" i="8"/>
  <c r="L587" i="1" s="1"/>
  <c r="M587" i="1" s="1"/>
  <c r="N587" i="1" s="1"/>
  <c r="E589" i="8"/>
  <c r="L589" i="1" s="1"/>
  <c r="M589" i="1" s="1"/>
  <c r="N589" i="1" s="1"/>
  <c r="E594" i="8"/>
  <c r="L594" i="1" s="1"/>
  <c r="M594" i="1" s="1"/>
  <c r="N594" i="1" s="1"/>
  <c r="E603" i="8"/>
  <c r="L603" i="1" s="1"/>
  <c r="M603" i="1" s="1"/>
  <c r="N603" i="1" s="1"/>
  <c r="E605" i="8"/>
  <c r="L605" i="1" s="1"/>
  <c r="E610" i="8"/>
  <c r="L610" i="1" s="1"/>
  <c r="E619" i="8"/>
  <c r="L619" i="1" s="1"/>
  <c r="E621" i="8"/>
  <c r="L621" i="1" s="1"/>
  <c r="E624" i="8"/>
  <c r="L624" i="1" s="1"/>
  <c r="E635" i="8"/>
  <c r="L635" i="1" s="1"/>
  <c r="E640" i="8"/>
  <c r="L640" i="1" s="1"/>
  <c r="E651" i="8"/>
  <c r="L651" i="1" s="1"/>
  <c r="E656" i="8"/>
  <c r="L656" i="1" s="1"/>
  <c r="E667" i="8"/>
  <c r="L667" i="1" s="1"/>
  <c r="E672" i="8"/>
  <c r="L672" i="1" s="1"/>
  <c r="E683" i="8"/>
  <c r="L683" i="1" s="1"/>
  <c r="E688" i="8"/>
  <c r="L688" i="1" s="1"/>
  <c r="E699" i="8"/>
  <c r="L699" i="1" s="1"/>
  <c r="E704" i="8"/>
  <c r="L704" i="1" s="1"/>
  <c r="E715" i="8"/>
  <c r="L715" i="1" s="1"/>
  <c r="M715" i="1" s="1"/>
  <c r="N715" i="1" s="1"/>
  <c r="E720" i="8"/>
  <c r="L720" i="1" s="1"/>
  <c r="E731" i="8"/>
  <c r="L731" i="1" s="1"/>
  <c r="E736" i="8"/>
  <c r="L736" i="1" s="1"/>
  <c r="E747" i="8"/>
  <c r="L747" i="1" s="1"/>
  <c r="E752" i="8"/>
  <c r="L752" i="1" s="1"/>
  <c r="E763" i="8"/>
  <c r="L763" i="1" s="1"/>
  <c r="E768" i="8"/>
  <c r="L768" i="1" s="1"/>
  <c r="D780" i="8"/>
  <c r="E781" i="8"/>
  <c r="L781" i="1" s="1"/>
  <c r="E786" i="8"/>
  <c r="L786" i="1" s="1"/>
  <c r="D790" i="8"/>
  <c r="D793" i="8"/>
  <c r="D800" i="8"/>
  <c r="E803" i="8"/>
  <c r="L803" i="1" s="1"/>
  <c r="D805" i="8"/>
  <c r="D812" i="8"/>
  <c r="E813" i="8"/>
  <c r="L813" i="1" s="1"/>
  <c r="D782" i="8"/>
  <c r="D785" i="8"/>
  <c r="D792" i="8"/>
  <c r="D797" i="8"/>
  <c r="D804" i="8"/>
  <c r="D814" i="8"/>
  <c r="D817" i="8"/>
  <c r="D822" i="8"/>
  <c r="D829" i="8"/>
  <c r="D838" i="8"/>
  <c r="D845" i="8"/>
  <c r="D847" i="8"/>
  <c r="D849" i="8"/>
  <c r="D851" i="8"/>
  <c r="D853" i="8"/>
  <c r="D855" i="8"/>
  <c r="D857" i="8"/>
  <c r="D859" i="8"/>
  <c r="D861" i="8"/>
  <c r="D863" i="8"/>
  <c r="D865" i="8"/>
  <c r="D867" i="8"/>
  <c r="D869" i="8"/>
  <c r="D871" i="8"/>
  <c r="D873" i="8"/>
  <c r="D875" i="8"/>
  <c r="D877" i="8"/>
  <c r="D879" i="8"/>
  <c r="D881" i="8"/>
  <c r="D883" i="8"/>
  <c r="D885" i="8"/>
  <c r="D887" i="8"/>
  <c r="D889" i="8"/>
  <c r="D891" i="8"/>
  <c r="D893" i="8"/>
  <c r="D895" i="8"/>
  <c r="D897" i="8"/>
  <c r="D899" i="8"/>
  <c r="D901" i="8"/>
  <c r="E384" i="8"/>
  <c r="L384" i="1" s="1"/>
  <c r="D384" i="8"/>
  <c r="E400" i="8"/>
  <c r="L400" i="1" s="1"/>
  <c r="D400" i="8"/>
  <c r="E416" i="8"/>
  <c r="L416" i="1" s="1"/>
  <c r="D416" i="8"/>
  <c r="E432" i="8"/>
  <c r="L432" i="1" s="1"/>
  <c r="D432" i="8"/>
  <c r="E448" i="8"/>
  <c r="L448" i="1" s="1"/>
  <c r="D448" i="8"/>
  <c r="E464" i="8"/>
  <c r="L464" i="1" s="1"/>
  <c r="D464" i="8"/>
  <c r="E496" i="8"/>
  <c r="L496" i="1" s="1"/>
  <c r="D496" i="8"/>
  <c r="E512" i="8"/>
  <c r="L512" i="1" s="1"/>
  <c r="D512" i="8"/>
  <c r="E560" i="8"/>
  <c r="L560" i="1" s="1"/>
  <c r="D560" i="8"/>
  <c r="E576" i="8"/>
  <c r="L576" i="1" s="1"/>
  <c r="D576" i="8"/>
  <c r="E608" i="8"/>
  <c r="L608" i="1" s="1"/>
  <c r="D608" i="8"/>
  <c r="E645" i="8"/>
  <c r="L645" i="1" s="1"/>
  <c r="D645" i="8"/>
  <c r="E693" i="8"/>
  <c r="L693" i="1" s="1"/>
  <c r="D693" i="8"/>
  <c r="E725" i="8"/>
  <c r="L725" i="1" s="1"/>
  <c r="D725" i="8"/>
  <c r="E757" i="8"/>
  <c r="L757" i="1" s="1"/>
  <c r="D757" i="8"/>
  <c r="D12" i="8"/>
  <c r="D16" i="8"/>
  <c r="D20" i="8"/>
  <c r="D28" i="8"/>
  <c r="D36" i="8"/>
  <c r="D40" i="8"/>
  <c r="D44" i="8"/>
  <c r="D52" i="8"/>
  <c r="D56" i="8"/>
  <c r="D64" i="8"/>
  <c r="D72" i="8"/>
  <c r="D84" i="8"/>
  <c r="D92" i="8"/>
  <c r="D104" i="8"/>
  <c r="D112" i="8"/>
  <c r="D124" i="8"/>
  <c r="D128" i="8"/>
  <c r="D132" i="8"/>
  <c r="D140" i="8"/>
  <c r="D152" i="8"/>
  <c r="D160" i="8"/>
  <c r="D172" i="8"/>
  <c r="D180" i="8"/>
  <c r="D184" i="8"/>
  <c r="D192" i="8"/>
  <c r="D200" i="8"/>
  <c r="D208" i="8"/>
  <c r="D220" i="8"/>
  <c r="D228" i="8"/>
  <c r="D240" i="8"/>
  <c r="D248" i="8"/>
  <c r="D260" i="8"/>
  <c r="D272" i="8"/>
  <c r="D276" i="8"/>
  <c r="D280" i="8"/>
  <c r="D284" i="8"/>
  <c r="D296" i="8"/>
  <c r="D304" i="8"/>
  <c r="D312" i="8"/>
  <c r="D320" i="8"/>
  <c r="D328" i="8"/>
  <c r="D332" i="8"/>
  <c r="D340" i="8"/>
  <c r="D348" i="8"/>
  <c r="D364" i="8"/>
  <c r="E388" i="8"/>
  <c r="L388" i="1" s="1"/>
  <c r="D388" i="8"/>
  <c r="E404" i="8"/>
  <c r="L404" i="1" s="1"/>
  <c r="D404" i="8"/>
  <c r="E436" i="8"/>
  <c r="L436" i="1" s="1"/>
  <c r="D436" i="8"/>
  <c r="E452" i="8"/>
  <c r="L452" i="1" s="1"/>
  <c r="D452" i="8"/>
  <c r="E468" i="8"/>
  <c r="L468" i="1" s="1"/>
  <c r="D468" i="8"/>
  <c r="E484" i="8"/>
  <c r="L484" i="1" s="1"/>
  <c r="D484" i="8"/>
  <c r="E500" i="8"/>
  <c r="L500" i="1" s="1"/>
  <c r="D500" i="8"/>
  <c r="E516" i="8"/>
  <c r="L516" i="1" s="1"/>
  <c r="D516" i="8"/>
  <c r="E532" i="8"/>
  <c r="L532" i="1" s="1"/>
  <c r="D532" i="8"/>
  <c r="E548" i="8"/>
  <c r="L548" i="1" s="1"/>
  <c r="D548" i="8"/>
  <c r="E564" i="8"/>
  <c r="L564" i="1" s="1"/>
  <c r="D564" i="8"/>
  <c r="E580" i="8"/>
  <c r="L580" i="1" s="1"/>
  <c r="D580" i="8"/>
  <c r="E596" i="8"/>
  <c r="L596" i="1" s="1"/>
  <c r="D596" i="8"/>
  <c r="E612" i="8"/>
  <c r="L612" i="1" s="1"/>
  <c r="D612" i="8"/>
  <c r="E626" i="8"/>
  <c r="L626" i="1" s="1"/>
  <c r="D626" i="8"/>
  <c r="E642" i="8"/>
  <c r="L642" i="1" s="1"/>
  <c r="M642" i="1" s="1"/>
  <c r="N642" i="1" s="1"/>
  <c r="D642" i="8"/>
  <c r="E658" i="8"/>
  <c r="L658" i="1" s="1"/>
  <c r="M658" i="1" s="1"/>
  <c r="N658" i="1" s="1"/>
  <c r="D658" i="8"/>
  <c r="E674" i="8"/>
  <c r="L674" i="1" s="1"/>
  <c r="D674" i="8"/>
  <c r="E690" i="8"/>
  <c r="L690" i="1" s="1"/>
  <c r="D690" i="8"/>
  <c r="E706" i="8"/>
  <c r="L706" i="1" s="1"/>
  <c r="D706" i="8"/>
  <c r="E722" i="8"/>
  <c r="L722" i="1" s="1"/>
  <c r="D722" i="8"/>
  <c r="E738" i="8"/>
  <c r="L738" i="1" s="1"/>
  <c r="D738" i="8"/>
  <c r="E754" i="8"/>
  <c r="L754" i="1" s="1"/>
  <c r="D754" i="8"/>
  <c r="E770" i="8"/>
  <c r="L770" i="1" s="1"/>
  <c r="D770" i="8"/>
  <c r="D3" i="8"/>
  <c r="D7" i="8"/>
  <c r="D11" i="8"/>
  <c r="D15" i="8"/>
  <c r="D19" i="8"/>
  <c r="D23" i="8"/>
  <c r="D27" i="8"/>
  <c r="D31" i="8"/>
  <c r="D35" i="8"/>
  <c r="D39" i="8"/>
  <c r="D43" i="8"/>
  <c r="D47" i="8"/>
  <c r="D51" i="8"/>
  <c r="D55" i="8"/>
  <c r="D59" i="8"/>
  <c r="D63" i="8"/>
  <c r="D67" i="8"/>
  <c r="D71" i="8"/>
  <c r="D75" i="8"/>
  <c r="D79" i="8"/>
  <c r="D83" i="8"/>
  <c r="D87" i="8"/>
  <c r="D91" i="8"/>
  <c r="D95" i="8"/>
  <c r="D99" i="8"/>
  <c r="D103" i="8"/>
  <c r="D107" i="8"/>
  <c r="D111" i="8"/>
  <c r="D115" i="8"/>
  <c r="D119" i="8"/>
  <c r="D123" i="8"/>
  <c r="D127" i="8"/>
  <c r="D131" i="8"/>
  <c r="D135" i="8"/>
  <c r="D139" i="8"/>
  <c r="D143" i="8"/>
  <c r="D147" i="8"/>
  <c r="D151" i="8"/>
  <c r="D155" i="8"/>
  <c r="D159" i="8"/>
  <c r="D163" i="8"/>
  <c r="D167" i="8"/>
  <c r="D171" i="8"/>
  <c r="D175" i="8"/>
  <c r="D179" i="8"/>
  <c r="D183" i="8"/>
  <c r="D187" i="8"/>
  <c r="D191" i="8"/>
  <c r="D195" i="8"/>
  <c r="D199" i="8"/>
  <c r="D203" i="8"/>
  <c r="D207" i="8"/>
  <c r="D211" i="8"/>
  <c r="D215" i="8"/>
  <c r="D219" i="8"/>
  <c r="D223" i="8"/>
  <c r="D227" i="8"/>
  <c r="D231" i="8"/>
  <c r="D235" i="8"/>
  <c r="D239" i="8"/>
  <c r="D243" i="8"/>
  <c r="D247" i="8"/>
  <c r="D251" i="8"/>
  <c r="D255" i="8"/>
  <c r="D259" i="8"/>
  <c r="D263" i="8"/>
  <c r="D267" i="8"/>
  <c r="D271" i="8"/>
  <c r="D275" i="8"/>
  <c r="D279" i="8"/>
  <c r="D283" i="8"/>
  <c r="D287" i="8"/>
  <c r="D291" i="8"/>
  <c r="D295" i="8"/>
  <c r="D299" i="8"/>
  <c r="D303" i="8"/>
  <c r="D307" i="8"/>
  <c r="D311" i="8"/>
  <c r="D315" i="8"/>
  <c r="D319" i="8"/>
  <c r="D323" i="8"/>
  <c r="D327" i="8"/>
  <c r="D331" i="8"/>
  <c r="E339" i="8"/>
  <c r="L339" i="1" s="1"/>
  <c r="E347" i="8"/>
  <c r="L347" i="1" s="1"/>
  <c r="E355" i="8"/>
  <c r="L355" i="1" s="1"/>
  <c r="E363" i="8"/>
  <c r="L363" i="1" s="1"/>
  <c r="M363" i="1" s="1"/>
  <c r="N363" i="1" s="1"/>
  <c r="E371" i="8"/>
  <c r="L371" i="1" s="1"/>
  <c r="E376" i="8"/>
  <c r="L376" i="1" s="1"/>
  <c r="D376" i="8"/>
  <c r="E392" i="8"/>
  <c r="L392" i="1" s="1"/>
  <c r="D392" i="8"/>
  <c r="E408" i="8"/>
  <c r="L408" i="1" s="1"/>
  <c r="D408" i="8"/>
  <c r="E424" i="8"/>
  <c r="L424" i="1" s="1"/>
  <c r="D424" i="8"/>
  <c r="E440" i="8"/>
  <c r="L440" i="1" s="1"/>
  <c r="D440" i="8"/>
  <c r="E456" i="8"/>
  <c r="L456" i="1" s="1"/>
  <c r="D456" i="8"/>
  <c r="E472" i="8"/>
  <c r="L472" i="1" s="1"/>
  <c r="D472" i="8"/>
  <c r="E488" i="8"/>
  <c r="L488" i="1" s="1"/>
  <c r="D488" i="8"/>
  <c r="E504" i="8"/>
  <c r="L504" i="1" s="1"/>
  <c r="D504" i="8"/>
  <c r="E520" i="8"/>
  <c r="L520" i="1" s="1"/>
  <c r="D520" i="8"/>
  <c r="E536" i="8"/>
  <c r="L536" i="1" s="1"/>
  <c r="D536" i="8"/>
  <c r="E552" i="8"/>
  <c r="L552" i="1" s="1"/>
  <c r="D552" i="8"/>
  <c r="E568" i="8"/>
  <c r="L568" i="1" s="1"/>
  <c r="D568" i="8"/>
  <c r="E584" i="8"/>
  <c r="L584" i="1" s="1"/>
  <c r="D584" i="8"/>
  <c r="E600" i="8"/>
  <c r="L600" i="1" s="1"/>
  <c r="D600" i="8"/>
  <c r="E616" i="8"/>
  <c r="L616" i="1" s="1"/>
  <c r="D616" i="8"/>
  <c r="E637" i="8"/>
  <c r="L637" i="1" s="1"/>
  <c r="D637" i="8"/>
  <c r="E653" i="8"/>
  <c r="L653" i="1" s="1"/>
  <c r="D653" i="8"/>
  <c r="E669" i="8"/>
  <c r="L669" i="1" s="1"/>
  <c r="D669" i="8"/>
  <c r="E685" i="8"/>
  <c r="L685" i="1" s="1"/>
  <c r="D685" i="8"/>
  <c r="E701" i="8"/>
  <c r="L701" i="1" s="1"/>
  <c r="D701" i="8"/>
  <c r="E717" i="8"/>
  <c r="L717" i="1" s="1"/>
  <c r="D717" i="8"/>
  <c r="E733" i="8"/>
  <c r="L733" i="1" s="1"/>
  <c r="D733" i="8"/>
  <c r="E749" i="8"/>
  <c r="L749" i="1" s="1"/>
  <c r="M749" i="1" s="1"/>
  <c r="N749" i="1" s="1"/>
  <c r="D749" i="8"/>
  <c r="E765" i="8"/>
  <c r="L765" i="1" s="1"/>
  <c r="D765" i="8"/>
  <c r="E480" i="8"/>
  <c r="L480" i="1" s="1"/>
  <c r="D480" i="8"/>
  <c r="E528" i="8"/>
  <c r="L528" i="1" s="1"/>
  <c r="D528" i="8"/>
  <c r="E544" i="8"/>
  <c r="L544" i="1" s="1"/>
  <c r="D544" i="8"/>
  <c r="E592" i="8"/>
  <c r="L592" i="1" s="1"/>
  <c r="D592" i="8"/>
  <c r="E629" i="8"/>
  <c r="L629" i="1" s="1"/>
  <c r="M629" i="1" s="1"/>
  <c r="N629" i="1" s="1"/>
  <c r="D629" i="8"/>
  <c r="E661" i="8"/>
  <c r="L661" i="1" s="1"/>
  <c r="D661" i="8"/>
  <c r="E677" i="8"/>
  <c r="L677" i="1" s="1"/>
  <c r="D677" i="8"/>
  <c r="E709" i="8"/>
  <c r="L709" i="1" s="1"/>
  <c r="D709" i="8"/>
  <c r="E741" i="8"/>
  <c r="L741" i="1" s="1"/>
  <c r="D741" i="8"/>
  <c r="D4" i="8"/>
  <c r="D8" i="8"/>
  <c r="D24" i="8"/>
  <c r="D32" i="8"/>
  <c r="D48" i="8"/>
  <c r="D60" i="8"/>
  <c r="D68" i="8"/>
  <c r="D76" i="8"/>
  <c r="D80" i="8"/>
  <c r="D88" i="8"/>
  <c r="D96" i="8"/>
  <c r="D100" i="8"/>
  <c r="D108" i="8"/>
  <c r="D116" i="8"/>
  <c r="D120" i="8"/>
  <c r="D136" i="8"/>
  <c r="D144" i="8"/>
  <c r="D148" i="8"/>
  <c r="D156" i="8"/>
  <c r="D164" i="8"/>
  <c r="D168" i="8"/>
  <c r="D176" i="8"/>
  <c r="D188" i="8"/>
  <c r="D196" i="8"/>
  <c r="D204" i="8"/>
  <c r="D212" i="8"/>
  <c r="D216" i="8"/>
  <c r="D224" i="8"/>
  <c r="D232" i="8"/>
  <c r="D236" i="8"/>
  <c r="D244" i="8"/>
  <c r="D252" i="8"/>
  <c r="D256" i="8"/>
  <c r="D264" i="8"/>
  <c r="D268" i="8"/>
  <c r="D288" i="8"/>
  <c r="D292" i="8"/>
  <c r="D300" i="8"/>
  <c r="D308" i="8"/>
  <c r="D316" i="8"/>
  <c r="D324" i="8"/>
  <c r="D356" i="8"/>
  <c r="D372" i="8"/>
  <c r="E420" i="8"/>
  <c r="L420" i="1" s="1"/>
  <c r="D420" i="8"/>
  <c r="D2" i="8"/>
  <c r="D6" i="8"/>
  <c r="D10" i="8"/>
  <c r="D14" i="8"/>
  <c r="D18" i="8"/>
  <c r="D22" i="8"/>
  <c r="D26" i="8"/>
  <c r="D30" i="8"/>
  <c r="D34" i="8"/>
  <c r="D38" i="8"/>
  <c r="D42" i="8"/>
  <c r="D46" i="8"/>
  <c r="D50" i="8"/>
  <c r="D54" i="8"/>
  <c r="D58" i="8"/>
  <c r="D62" i="8"/>
  <c r="D66" i="8"/>
  <c r="D70" i="8"/>
  <c r="D74" i="8"/>
  <c r="D78" i="8"/>
  <c r="D82" i="8"/>
  <c r="D86" i="8"/>
  <c r="D90" i="8"/>
  <c r="D94" i="8"/>
  <c r="D98" i="8"/>
  <c r="D102" i="8"/>
  <c r="D106" i="8"/>
  <c r="D110" i="8"/>
  <c r="D114" i="8"/>
  <c r="D118" i="8"/>
  <c r="D122" i="8"/>
  <c r="D126" i="8"/>
  <c r="D130" i="8"/>
  <c r="D134" i="8"/>
  <c r="D138" i="8"/>
  <c r="D142" i="8"/>
  <c r="D146" i="8"/>
  <c r="D150" i="8"/>
  <c r="D154" i="8"/>
  <c r="D158" i="8"/>
  <c r="D162" i="8"/>
  <c r="D166" i="8"/>
  <c r="D170" i="8"/>
  <c r="D174" i="8"/>
  <c r="D178" i="8"/>
  <c r="D182" i="8"/>
  <c r="D186" i="8"/>
  <c r="D190" i="8"/>
  <c r="D194" i="8"/>
  <c r="D198" i="8"/>
  <c r="D202" i="8"/>
  <c r="D206" i="8"/>
  <c r="D210" i="8"/>
  <c r="D214" i="8"/>
  <c r="D218" i="8"/>
  <c r="D222" i="8"/>
  <c r="D226" i="8"/>
  <c r="D230" i="8"/>
  <c r="D234" i="8"/>
  <c r="D238" i="8"/>
  <c r="D242" i="8"/>
  <c r="D246" i="8"/>
  <c r="D250" i="8"/>
  <c r="D254" i="8"/>
  <c r="D258" i="8"/>
  <c r="D262" i="8"/>
  <c r="D266" i="8"/>
  <c r="D270" i="8"/>
  <c r="D274" i="8"/>
  <c r="D278" i="8"/>
  <c r="D282" i="8"/>
  <c r="D286" i="8"/>
  <c r="D290" i="8"/>
  <c r="D294" i="8"/>
  <c r="D298" i="8"/>
  <c r="D302" i="8"/>
  <c r="D306" i="8"/>
  <c r="D310" i="8"/>
  <c r="D314" i="8"/>
  <c r="D318" i="8"/>
  <c r="D322" i="8"/>
  <c r="D326" i="8"/>
  <c r="D330" i="8"/>
  <c r="D335" i="8"/>
  <c r="D336" i="8"/>
  <c r="D343" i="8"/>
  <c r="D344" i="8"/>
  <c r="D351" i="8"/>
  <c r="D352" i="8"/>
  <c r="D359" i="8"/>
  <c r="D360" i="8"/>
  <c r="D367" i="8"/>
  <c r="D368" i="8"/>
  <c r="D375" i="8"/>
  <c r="E380" i="8"/>
  <c r="L380" i="1" s="1"/>
  <c r="D380" i="8"/>
  <c r="E396" i="8"/>
  <c r="L396" i="1" s="1"/>
  <c r="D396" i="8"/>
  <c r="E412" i="8"/>
  <c r="L412" i="1" s="1"/>
  <c r="D412" i="8"/>
  <c r="E428" i="8"/>
  <c r="L428" i="1" s="1"/>
  <c r="D428" i="8"/>
  <c r="E444" i="8"/>
  <c r="L444" i="1" s="1"/>
  <c r="D444" i="8"/>
  <c r="E460" i="8"/>
  <c r="L460" i="1" s="1"/>
  <c r="D460" i="8"/>
  <c r="E476" i="8"/>
  <c r="L476" i="1" s="1"/>
  <c r="D476" i="8"/>
  <c r="E492" i="8"/>
  <c r="L492" i="1" s="1"/>
  <c r="D492" i="8"/>
  <c r="E508" i="8"/>
  <c r="L508" i="1" s="1"/>
  <c r="D508" i="8"/>
  <c r="E524" i="8"/>
  <c r="L524" i="1" s="1"/>
  <c r="D524" i="8"/>
  <c r="E540" i="8"/>
  <c r="L540" i="1" s="1"/>
  <c r="D540" i="8"/>
  <c r="E556" i="8"/>
  <c r="L556" i="1" s="1"/>
  <c r="D556" i="8"/>
  <c r="E572" i="8"/>
  <c r="L572" i="1" s="1"/>
  <c r="D572" i="8"/>
  <c r="E588" i="8"/>
  <c r="L588" i="1" s="1"/>
  <c r="D588" i="8"/>
  <c r="E604" i="8"/>
  <c r="L604" i="1" s="1"/>
  <c r="D604" i="8"/>
  <c r="E620" i="8"/>
  <c r="L620" i="1" s="1"/>
  <c r="D620" i="8"/>
  <c r="E634" i="8"/>
  <c r="L634" i="1" s="1"/>
  <c r="D634" i="8"/>
  <c r="E650" i="8"/>
  <c r="L650" i="1" s="1"/>
  <c r="M650" i="1" s="1"/>
  <c r="N650" i="1" s="1"/>
  <c r="D650" i="8"/>
  <c r="E666" i="8"/>
  <c r="L666" i="1" s="1"/>
  <c r="D666" i="8"/>
  <c r="E682" i="8"/>
  <c r="L682" i="1" s="1"/>
  <c r="D682" i="8"/>
  <c r="E698" i="8"/>
  <c r="L698" i="1" s="1"/>
  <c r="D698" i="8"/>
  <c r="E714" i="8"/>
  <c r="L714" i="1" s="1"/>
  <c r="D714" i="8"/>
  <c r="E730" i="8"/>
  <c r="L730" i="1" s="1"/>
  <c r="D730" i="8"/>
  <c r="E746" i="8"/>
  <c r="L746" i="1" s="1"/>
  <c r="D746" i="8"/>
  <c r="E762" i="8"/>
  <c r="L762" i="1" s="1"/>
  <c r="D762" i="8"/>
  <c r="E798" i="8"/>
  <c r="L798" i="1" s="1"/>
  <c r="E801" i="8"/>
  <c r="L801" i="1" s="1"/>
  <c r="E837" i="8"/>
  <c r="L837" i="1" s="1"/>
  <c r="M837" i="1" s="1"/>
  <c r="N837" i="1" s="1"/>
  <c r="E848" i="8"/>
  <c r="L848" i="1" s="1"/>
  <c r="E854" i="8"/>
  <c r="L854" i="1" s="1"/>
  <c r="E858" i="8"/>
  <c r="L858" i="1" s="1"/>
  <c r="E862" i="8"/>
  <c r="L862" i="1" s="1"/>
  <c r="E866" i="8"/>
  <c r="L866" i="1" s="1"/>
  <c r="E872" i="8"/>
  <c r="L872" i="1" s="1"/>
  <c r="E876" i="8"/>
  <c r="L876" i="1" s="1"/>
  <c r="E882" i="8"/>
  <c r="L882" i="1" s="1"/>
  <c r="E886" i="8"/>
  <c r="L886" i="1" s="1"/>
  <c r="E890" i="8"/>
  <c r="L890" i="1" s="1"/>
  <c r="E896" i="8"/>
  <c r="L896" i="1" s="1"/>
  <c r="E900" i="8"/>
  <c r="L900" i="1" s="1"/>
  <c r="E334" i="8"/>
  <c r="L334" i="1" s="1"/>
  <c r="M334" i="1" s="1"/>
  <c r="N334" i="1" s="1"/>
  <c r="E338" i="8"/>
  <c r="L338" i="1" s="1"/>
  <c r="E342" i="8"/>
  <c r="L342" i="1" s="1"/>
  <c r="M342" i="1" s="1"/>
  <c r="N342" i="1" s="1"/>
  <c r="E346" i="8"/>
  <c r="L346" i="1" s="1"/>
  <c r="E350" i="8"/>
  <c r="L350" i="1" s="1"/>
  <c r="E354" i="8"/>
  <c r="L354" i="1" s="1"/>
  <c r="M354" i="1" s="1"/>
  <c r="N354" i="1" s="1"/>
  <c r="E358" i="8"/>
  <c r="L358" i="1" s="1"/>
  <c r="E362" i="8"/>
  <c r="L362" i="1" s="1"/>
  <c r="M362" i="1" s="1"/>
  <c r="N362" i="1" s="1"/>
  <c r="E366" i="8"/>
  <c r="L366" i="1" s="1"/>
  <c r="E370" i="8"/>
  <c r="L370" i="1" s="1"/>
  <c r="E374" i="8"/>
  <c r="L374" i="1" s="1"/>
  <c r="E378" i="8"/>
  <c r="L378" i="1" s="1"/>
  <c r="E382" i="8"/>
  <c r="L382" i="1" s="1"/>
  <c r="D387" i="8"/>
  <c r="D391" i="8"/>
  <c r="D395" i="8"/>
  <c r="D399" i="8"/>
  <c r="D403" i="8"/>
  <c r="D407" i="8"/>
  <c r="D411" i="8"/>
  <c r="D415" i="8"/>
  <c r="D419" i="8"/>
  <c r="D423" i="8"/>
  <c r="D427" i="8"/>
  <c r="D431" i="8"/>
  <c r="D435" i="8"/>
  <c r="D439" i="8"/>
  <c r="D443" i="8"/>
  <c r="D447" i="8"/>
  <c r="D451" i="8"/>
  <c r="D455" i="8"/>
  <c r="D459" i="8"/>
  <c r="D463" i="8"/>
  <c r="D467" i="8"/>
  <c r="D471" i="8"/>
  <c r="D475" i="8"/>
  <c r="D479" i="8"/>
  <c r="D483" i="8"/>
  <c r="D487" i="8"/>
  <c r="D491" i="8"/>
  <c r="D495" i="8"/>
  <c r="D499" i="8"/>
  <c r="D503" i="8"/>
  <c r="D507" i="8"/>
  <c r="D511" i="8"/>
  <c r="D515" i="8"/>
  <c r="D519" i="8"/>
  <c r="D523" i="8"/>
  <c r="D527" i="8"/>
  <c r="D531" i="8"/>
  <c r="D535" i="8"/>
  <c r="D539" i="8"/>
  <c r="D543" i="8"/>
  <c r="D547" i="8"/>
  <c r="D551" i="8"/>
  <c r="D555" i="8"/>
  <c r="D559" i="8"/>
  <c r="D563" i="8"/>
  <c r="D567" i="8"/>
  <c r="D571" i="8"/>
  <c r="D575" i="8"/>
  <c r="D579" i="8"/>
  <c r="D583" i="8"/>
  <c r="D587" i="8"/>
  <c r="D591" i="8"/>
  <c r="D595" i="8"/>
  <c r="D599" i="8"/>
  <c r="D603" i="8"/>
  <c r="D607" i="8"/>
  <c r="D611" i="8"/>
  <c r="D615" i="8"/>
  <c r="D619" i="8"/>
  <c r="E625" i="8"/>
  <c r="L625" i="1" s="1"/>
  <c r="D625" i="8"/>
  <c r="E633" i="8"/>
  <c r="L633" i="1" s="1"/>
  <c r="D633" i="8"/>
  <c r="E641" i="8"/>
  <c r="L641" i="1" s="1"/>
  <c r="D641" i="8"/>
  <c r="E649" i="8"/>
  <c r="L649" i="1" s="1"/>
  <c r="D649" i="8"/>
  <c r="E657" i="8"/>
  <c r="L657" i="1" s="1"/>
  <c r="D657" i="8"/>
  <c r="E665" i="8"/>
  <c r="L665" i="1" s="1"/>
  <c r="D665" i="8"/>
  <c r="E673" i="8"/>
  <c r="L673" i="1" s="1"/>
  <c r="D673" i="8"/>
  <c r="E681" i="8"/>
  <c r="L681" i="1" s="1"/>
  <c r="D681" i="8"/>
  <c r="E689" i="8"/>
  <c r="L689" i="1" s="1"/>
  <c r="D689" i="8"/>
  <c r="E697" i="8"/>
  <c r="L697" i="1" s="1"/>
  <c r="M697" i="1" s="1"/>
  <c r="N697" i="1" s="1"/>
  <c r="D697" i="8"/>
  <c r="E705" i="8"/>
  <c r="L705" i="1" s="1"/>
  <c r="D705" i="8"/>
  <c r="E713" i="8"/>
  <c r="L713" i="1" s="1"/>
  <c r="M713" i="1" s="1"/>
  <c r="N713" i="1" s="1"/>
  <c r="D713" i="8"/>
  <c r="E721" i="8"/>
  <c r="L721" i="1" s="1"/>
  <c r="D721" i="8"/>
  <c r="E729" i="8"/>
  <c r="L729" i="1" s="1"/>
  <c r="D729" i="8"/>
  <c r="E737" i="8"/>
  <c r="L737" i="1" s="1"/>
  <c r="D737" i="8"/>
  <c r="E745" i="8"/>
  <c r="L745" i="1" s="1"/>
  <c r="D745" i="8"/>
  <c r="E753" i="8"/>
  <c r="L753" i="1" s="1"/>
  <c r="D753" i="8"/>
  <c r="E761" i="8"/>
  <c r="L761" i="1" s="1"/>
  <c r="D761" i="8"/>
  <c r="E769" i="8"/>
  <c r="L769" i="1" s="1"/>
  <c r="D769" i="8"/>
  <c r="E790" i="8"/>
  <c r="L790" i="1" s="1"/>
  <c r="E793" i="8"/>
  <c r="L793" i="1" s="1"/>
  <c r="D820" i="8"/>
  <c r="E820" i="8"/>
  <c r="L820" i="1" s="1"/>
  <c r="E379" i="8"/>
  <c r="L379" i="1" s="1"/>
  <c r="E383" i="8"/>
  <c r="L383" i="1" s="1"/>
  <c r="E773" i="8"/>
  <c r="L773" i="1" s="1"/>
  <c r="D773" i="8"/>
  <c r="E846" i="8"/>
  <c r="L846" i="1" s="1"/>
  <c r="E850" i="8"/>
  <c r="L850" i="1" s="1"/>
  <c r="E852" i="8"/>
  <c r="L852" i="1" s="1"/>
  <c r="E856" i="8"/>
  <c r="L856" i="1" s="1"/>
  <c r="E860" i="8"/>
  <c r="L860" i="1" s="1"/>
  <c r="E864" i="8"/>
  <c r="L864" i="1" s="1"/>
  <c r="E868" i="8"/>
  <c r="L868" i="1" s="1"/>
  <c r="E870" i="8"/>
  <c r="L870" i="1" s="1"/>
  <c r="E874" i="8"/>
  <c r="L874" i="1" s="1"/>
  <c r="E878" i="8"/>
  <c r="L878" i="1" s="1"/>
  <c r="E880" i="8"/>
  <c r="L880" i="1" s="1"/>
  <c r="E884" i="8"/>
  <c r="L884" i="1" s="1"/>
  <c r="E888" i="8"/>
  <c r="L888" i="1" s="1"/>
  <c r="E892" i="8"/>
  <c r="L892" i="1" s="1"/>
  <c r="E894" i="8"/>
  <c r="L894" i="1" s="1"/>
  <c r="E898" i="8"/>
  <c r="L898" i="1" s="1"/>
  <c r="E333" i="8"/>
  <c r="L333" i="1" s="1"/>
  <c r="E337" i="8"/>
  <c r="L337" i="1" s="1"/>
  <c r="E341" i="8"/>
  <c r="L341" i="1" s="1"/>
  <c r="E345" i="8"/>
  <c r="L345" i="1" s="1"/>
  <c r="E349" i="8"/>
  <c r="L349" i="1" s="1"/>
  <c r="E353" i="8"/>
  <c r="L353" i="1" s="1"/>
  <c r="E357" i="8"/>
  <c r="L357" i="1" s="1"/>
  <c r="M357" i="1" s="1"/>
  <c r="N357" i="1" s="1"/>
  <c r="E361" i="8"/>
  <c r="L361" i="1" s="1"/>
  <c r="E365" i="8"/>
  <c r="L365" i="1" s="1"/>
  <c r="M365" i="1" s="1"/>
  <c r="N365" i="1" s="1"/>
  <c r="E369" i="8"/>
  <c r="L369" i="1" s="1"/>
  <c r="M369" i="1" s="1"/>
  <c r="N369" i="1" s="1"/>
  <c r="E373" i="8"/>
  <c r="L373" i="1" s="1"/>
  <c r="E377" i="8"/>
  <c r="L377" i="1" s="1"/>
  <c r="M377" i="1" s="1"/>
  <c r="N377" i="1" s="1"/>
  <c r="E381" i="8"/>
  <c r="L381" i="1" s="1"/>
  <c r="M381" i="1" s="1"/>
  <c r="N381" i="1" s="1"/>
  <c r="D386" i="8"/>
  <c r="D390" i="8"/>
  <c r="D394" i="8"/>
  <c r="D398" i="8"/>
  <c r="D402" i="8"/>
  <c r="D406" i="8"/>
  <c r="D410" i="8"/>
  <c r="D414" i="8"/>
  <c r="D418" i="8"/>
  <c r="D422" i="8"/>
  <c r="D426" i="8"/>
  <c r="D430" i="8"/>
  <c r="D434" i="8"/>
  <c r="D438" i="8"/>
  <c r="D442" i="8"/>
  <c r="D446" i="8"/>
  <c r="D450" i="8"/>
  <c r="D454" i="8"/>
  <c r="D458" i="8"/>
  <c r="D462" i="8"/>
  <c r="D466" i="8"/>
  <c r="D470" i="8"/>
  <c r="D474" i="8"/>
  <c r="D478" i="8"/>
  <c r="D482" i="8"/>
  <c r="D486" i="8"/>
  <c r="D490" i="8"/>
  <c r="D494" i="8"/>
  <c r="D498" i="8"/>
  <c r="D502" i="8"/>
  <c r="D506" i="8"/>
  <c r="D510" i="8"/>
  <c r="D514" i="8"/>
  <c r="D518" i="8"/>
  <c r="D522" i="8"/>
  <c r="D526" i="8"/>
  <c r="D530" i="8"/>
  <c r="D534" i="8"/>
  <c r="D538" i="8"/>
  <c r="D542" i="8"/>
  <c r="D546" i="8"/>
  <c r="D550" i="8"/>
  <c r="D554" i="8"/>
  <c r="D558" i="8"/>
  <c r="D562" i="8"/>
  <c r="D566" i="8"/>
  <c r="D570" i="8"/>
  <c r="D574" i="8"/>
  <c r="D578" i="8"/>
  <c r="D582" i="8"/>
  <c r="D586" i="8"/>
  <c r="D590" i="8"/>
  <c r="D594" i="8"/>
  <c r="D598" i="8"/>
  <c r="D602" i="8"/>
  <c r="D606" i="8"/>
  <c r="D610" i="8"/>
  <c r="D614" i="8"/>
  <c r="D618" i="8"/>
  <c r="D622" i="8"/>
  <c r="D630" i="8"/>
  <c r="D638" i="8"/>
  <c r="D646" i="8"/>
  <c r="D654" i="8"/>
  <c r="D662" i="8"/>
  <c r="D670" i="8"/>
  <c r="D678" i="8"/>
  <c r="D686" i="8"/>
  <c r="D694" i="8"/>
  <c r="D702" i="8"/>
  <c r="D710" i="8"/>
  <c r="D718" i="8"/>
  <c r="D726" i="8"/>
  <c r="D734" i="8"/>
  <c r="D742" i="8"/>
  <c r="D750" i="8"/>
  <c r="D758" i="8"/>
  <c r="D766" i="8"/>
  <c r="E782" i="8"/>
  <c r="L782" i="1" s="1"/>
  <c r="E785" i="8"/>
  <c r="L785" i="1" s="1"/>
  <c r="D806" i="8"/>
  <c r="E814" i="8"/>
  <c r="L814" i="1" s="1"/>
  <c r="D824" i="8"/>
  <c r="E824" i="8"/>
  <c r="L824" i="1" s="1"/>
  <c r="D778" i="8"/>
  <c r="D786" i="8"/>
  <c r="D794" i="8"/>
  <c r="D802" i="8"/>
  <c r="D810" i="8"/>
  <c r="E826" i="8"/>
  <c r="L826" i="1" s="1"/>
  <c r="D836" i="8"/>
  <c r="E836" i="8"/>
  <c r="L836" i="1" s="1"/>
  <c r="D624" i="8"/>
  <c r="D628" i="8"/>
  <c r="D632" i="8"/>
  <c r="D636" i="8"/>
  <c r="D640" i="8"/>
  <c r="D644" i="8"/>
  <c r="D648" i="8"/>
  <c r="D652" i="8"/>
  <c r="D656" i="8"/>
  <c r="D660" i="8"/>
  <c r="D664" i="8"/>
  <c r="D668" i="8"/>
  <c r="D672" i="8"/>
  <c r="D676" i="8"/>
  <c r="D680" i="8"/>
  <c r="D684" i="8"/>
  <c r="D688" i="8"/>
  <c r="D692" i="8"/>
  <c r="D696" i="8"/>
  <c r="D700" i="8"/>
  <c r="D704" i="8"/>
  <c r="D708" i="8"/>
  <c r="D712" i="8"/>
  <c r="D716" i="8"/>
  <c r="D720" i="8"/>
  <c r="D724" i="8"/>
  <c r="D728" i="8"/>
  <c r="D732" i="8"/>
  <c r="D736" i="8"/>
  <c r="D740" i="8"/>
  <c r="D744" i="8"/>
  <c r="D748" i="8"/>
  <c r="D752" i="8"/>
  <c r="D756" i="8"/>
  <c r="D760" i="8"/>
  <c r="D764" i="8"/>
  <c r="D768" i="8"/>
  <c r="E821" i="8"/>
  <c r="L821" i="1" s="1"/>
  <c r="E830" i="8"/>
  <c r="L830" i="1" s="1"/>
  <c r="D840" i="8"/>
  <c r="E840" i="8"/>
  <c r="L840" i="1" s="1"/>
  <c r="E817" i="8"/>
  <c r="L817" i="1" s="1"/>
  <c r="E833" i="8"/>
  <c r="L833" i="1" s="1"/>
  <c r="D775" i="8"/>
  <c r="D779" i="8"/>
  <c r="D783" i="8"/>
  <c r="D787" i="8"/>
  <c r="D791" i="8"/>
  <c r="D795" i="8"/>
  <c r="D799" i="8"/>
  <c r="D803" i="8"/>
  <c r="D807" i="8"/>
  <c r="D811" i="8"/>
  <c r="D815" i="8"/>
  <c r="D818" i="8"/>
  <c r="D825" i="8"/>
  <c r="E829" i="8"/>
  <c r="L829" i="1" s="1"/>
  <c r="D834" i="8"/>
  <c r="D841" i="8"/>
  <c r="E845" i="8"/>
  <c r="L845" i="1" s="1"/>
  <c r="D819" i="8"/>
  <c r="D823" i="8"/>
  <c r="D827" i="8"/>
  <c r="D831" i="8"/>
  <c r="D835" i="8"/>
  <c r="D839" i="8"/>
  <c r="D843" i="8"/>
  <c r="E847" i="8"/>
  <c r="L847" i="1" s="1"/>
  <c r="E849" i="8"/>
  <c r="L849" i="1" s="1"/>
  <c r="E851" i="8"/>
  <c r="L851" i="1" s="1"/>
  <c r="E853" i="8"/>
  <c r="L853" i="1" s="1"/>
  <c r="E855" i="8"/>
  <c r="L855" i="1" s="1"/>
  <c r="E857" i="8"/>
  <c r="L857" i="1" s="1"/>
  <c r="E859" i="8"/>
  <c r="L859" i="1" s="1"/>
  <c r="E861" i="8"/>
  <c r="L861" i="1" s="1"/>
  <c r="E863" i="8"/>
  <c r="L863" i="1" s="1"/>
  <c r="E865" i="8"/>
  <c r="L865" i="1" s="1"/>
  <c r="E867" i="8"/>
  <c r="L867" i="1" s="1"/>
  <c r="E869" i="8"/>
  <c r="L869" i="1" s="1"/>
  <c r="E871" i="8"/>
  <c r="L871" i="1" s="1"/>
  <c r="E873" i="8"/>
  <c r="L873" i="1" s="1"/>
  <c r="E875" i="8"/>
  <c r="L875" i="1" s="1"/>
  <c r="E877" i="8"/>
  <c r="L877" i="1" s="1"/>
  <c r="E879" i="8"/>
  <c r="L879" i="1" s="1"/>
  <c r="E881" i="8"/>
  <c r="L881" i="1" s="1"/>
  <c r="E883" i="8"/>
  <c r="L883" i="1" s="1"/>
  <c r="M883" i="1" s="1"/>
  <c r="N883" i="1" s="1"/>
  <c r="E885" i="8"/>
  <c r="L885" i="1" s="1"/>
  <c r="E887" i="8"/>
  <c r="L887" i="1" s="1"/>
  <c r="E889" i="8"/>
  <c r="L889" i="1" s="1"/>
  <c r="E891" i="8"/>
  <c r="L891" i="1" s="1"/>
  <c r="E893" i="8"/>
  <c r="L893" i="1" s="1"/>
  <c r="E895" i="8"/>
  <c r="L895" i="1" s="1"/>
  <c r="E897" i="8"/>
  <c r="L897" i="1" s="1"/>
  <c r="E899" i="8"/>
  <c r="L899" i="1" s="1"/>
  <c r="E901" i="8"/>
  <c r="L901" i="1" s="1"/>
  <c r="M403" i="1" l="1"/>
  <c r="N403" i="1" s="1"/>
  <c r="M358" i="1"/>
  <c r="N358" i="1" s="1"/>
  <c r="M102" i="1"/>
  <c r="N102" i="1" s="1"/>
  <c r="M53" i="1"/>
  <c r="N53" i="1" s="1"/>
  <c r="M103" i="1"/>
  <c r="N103" i="1" s="1"/>
  <c r="M14" i="1"/>
  <c r="N14" i="1" s="1"/>
  <c r="M383" i="1"/>
  <c r="N383" i="1" s="1"/>
  <c r="M182" i="1"/>
  <c r="N182" i="1" s="1"/>
  <c r="M853" i="1"/>
  <c r="N853" i="1" s="1"/>
  <c r="M122" i="1"/>
  <c r="N122" i="1" s="1"/>
  <c r="M389" i="1"/>
  <c r="N389" i="1" s="1"/>
  <c r="M370" i="1"/>
  <c r="N370" i="1" s="1"/>
  <c r="M731" i="1"/>
  <c r="N731" i="1" s="1"/>
  <c r="M534" i="1"/>
  <c r="N534" i="1" s="1"/>
  <c r="M147" i="1"/>
  <c r="N147" i="1" s="1"/>
  <c r="M153" i="1"/>
  <c r="N153" i="1" s="1"/>
  <c r="M555" i="1"/>
  <c r="N555" i="1" s="1"/>
  <c r="M418" i="1"/>
  <c r="N418" i="1" s="1"/>
  <c r="M118" i="1"/>
  <c r="N118" i="1" s="1"/>
  <c r="M821" i="1"/>
  <c r="N821" i="1" s="1"/>
  <c r="M346" i="1"/>
  <c r="N346" i="1" s="1"/>
  <c r="M612" i="1"/>
  <c r="N612" i="1" s="1"/>
  <c r="M723" i="1"/>
  <c r="N723" i="1" s="1"/>
  <c r="M438" i="1"/>
  <c r="N438" i="1" s="1"/>
  <c r="M601" i="1"/>
  <c r="N601" i="1" s="1"/>
  <c r="M150" i="1"/>
  <c r="N150" i="1" s="1"/>
  <c r="M23" i="1"/>
  <c r="N23" i="1" s="1"/>
  <c r="M493" i="1"/>
  <c r="N493" i="1" s="1"/>
  <c r="M190" i="1"/>
  <c r="N190" i="1" s="1"/>
  <c r="M673" i="1"/>
  <c r="N673" i="1" s="1"/>
  <c r="M691" i="1"/>
  <c r="N691" i="1" s="1"/>
  <c r="M61" i="1"/>
  <c r="N61" i="1" s="1"/>
  <c r="M640" i="1"/>
  <c r="N640" i="1" s="1"/>
  <c r="M77" i="1"/>
  <c r="N77" i="1" s="1"/>
  <c r="M256" i="1"/>
  <c r="N256" i="1" s="1"/>
  <c r="M109" i="1"/>
  <c r="N109" i="1" s="1"/>
  <c r="M238" i="1"/>
  <c r="N238" i="1" s="1"/>
  <c r="M87" i="1"/>
  <c r="N87" i="1" s="1"/>
  <c r="M735" i="1"/>
  <c r="N735" i="1" s="1"/>
  <c r="M398" i="1"/>
  <c r="N398" i="1" s="1"/>
  <c r="M110" i="1"/>
  <c r="N110" i="1" s="1"/>
  <c r="M558" i="1"/>
  <c r="N558" i="1" s="1"/>
  <c r="M701" i="1"/>
  <c r="N701" i="1" s="1"/>
  <c r="M250" i="1"/>
  <c r="N250" i="1" s="1"/>
  <c r="M600" i="1"/>
  <c r="N600" i="1" s="1"/>
  <c r="M709" i="1"/>
  <c r="N709" i="1" s="1"/>
  <c r="M201" i="1"/>
  <c r="N201" i="1" s="1"/>
  <c r="M80" i="1"/>
  <c r="N80" i="1" s="1"/>
  <c r="M276" i="1"/>
  <c r="N276" i="1" s="1"/>
  <c r="M773" i="1"/>
  <c r="N773" i="1" s="1"/>
  <c r="M763" i="1"/>
  <c r="N763" i="1" s="1"/>
  <c r="M471" i="1"/>
  <c r="N471" i="1" s="1"/>
  <c r="M292" i="1"/>
  <c r="N292" i="1" s="1"/>
  <c r="M133" i="1"/>
  <c r="N133" i="1" s="1"/>
  <c r="M231" i="1"/>
  <c r="N231" i="1" s="1"/>
  <c r="M158" i="1"/>
  <c r="N158" i="1" s="1"/>
  <c r="M679" i="1"/>
  <c r="N679" i="1" s="1"/>
  <c r="M350" i="1"/>
  <c r="N350" i="1" s="1"/>
  <c r="M142" i="1"/>
  <c r="N142" i="1" s="1"/>
  <c r="M55" i="1"/>
  <c r="N55" i="1" s="1"/>
  <c r="M743" i="1"/>
  <c r="N743" i="1" s="1"/>
  <c r="M309" i="1"/>
  <c r="N309" i="1" s="1"/>
  <c r="M725" i="1"/>
  <c r="N725" i="1" s="1"/>
  <c r="M605" i="1"/>
  <c r="N605" i="1" s="1"/>
  <c r="M249" i="1"/>
  <c r="N249" i="1" s="1"/>
  <c r="M747" i="1"/>
  <c r="N747" i="1" s="1"/>
  <c r="M71" i="1"/>
  <c r="N71" i="1" s="1"/>
  <c r="M579" i="1"/>
  <c r="N579" i="1" s="1"/>
  <c r="M626" i="1"/>
  <c r="N626" i="1" s="1"/>
  <c r="M280" i="1"/>
  <c r="N280" i="1" s="1"/>
  <c r="M901" i="1"/>
  <c r="N901" i="1" s="1"/>
  <c r="M264" i="1"/>
  <c r="N264" i="1" s="1"/>
  <c r="M130" i="1"/>
  <c r="N130" i="1" s="1"/>
  <c r="M656" i="1"/>
  <c r="N656" i="1" s="1"/>
  <c r="M885" i="1"/>
  <c r="N885" i="1" s="1"/>
  <c r="M741" i="1"/>
  <c r="N741" i="1" s="1"/>
  <c r="M7" i="1"/>
  <c r="N7" i="1" s="1"/>
  <c r="M857" i="1"/>
  <c r="N857" i="1" s="1"/>
  <c r="M302" i="1"/>
  <c r="N302" i="1" s="1"/>
  <c r="M326" i="1"/>
  <c r="N326" i="1" s="1"/>
  <c r="M590" i="1"/>
  <c r="N590" i="1" s="1"/>
  <c r="M825" i="1"/>
  <c r="N825" i="1" s="1"/>
  <c r="M253" i="1"/>
  <c r="N253" i="1" s="1"/>
  <c r="M10" i="1"/>
  <c r="N10" i="1" s="1"/>
  <c r="M325" i="1"/>
  <c r="N325" i="1" s="1"/>
  <c r="M867" i="1"/>
  <c r="N867" i="1" s="1"/>
  <c r="M873" i="1"/>
  <c r="N873" i="1" s="1"/>
  <c r="M181" i="1"/>
  <c r="N181" i="1" s="1"/>
  <c r="M139" i="1"/>
  <c r="N139" i="1" s="1"/>
  <c r="M875" i="1"/>
  <c r="N875" i="1" s="1"/>
  <c r="M455" i="1"/>
  <c r="N455" i="1" s="1"/>
  <c r="M75" i="1"/>
  <c r="N75" i="1" s="1"/>
  <c r="M835" i="1"/>
  <c r="N835" i="1" s="1"/>
  <c r="M861" i="1"/>
  <c r="N861" i="1" s="1"/>
  <c r="M117" i="1"/>
  <c r="N117" i="1" s="1"/>
  <c r="M85" i="1"/>
  <c r="N85" i="1" s="1"/>
  <c r="M36" i="1"/>
  <c r="N36" i="1" s="1"/>
  <c r="M272" i="1"/>
  <c r="N272" i="1" s="1"/>
  <c r="M259" i="1"/>
  <c r="N259" i="1" s="1"/>
  <c r="M681" i="1"/>
  <c r="N681" i="1" s="1"/>
  <c r="M475" i="1"/>
  <c r="N475" i="1" s="1"/>
  <c r="M8" i="1"/>
  <c r="N8" i="1" s="1"/>
  <c r="M437" i="1"/>
  <c r="N437" i="1" s="1"/>
  <c r="M209" i="1"/>
  <c r="N209" i="1" s="1"/>
  <c r="M219" i="1"/>
  <c r="N219" i="1" s="1"/>
  <c r="M311" i="1"/>
  <c r="N311" i="1" s="1"/>
  <c r="M294" i="1"/>
  <c r="N294" i="1" s="1"/>
  <c r="M303" i="1"/>
  <c r="N303" i="1" s="1"/>
  <c r="M406" i="1"/>
  <c r="N406" i="1" s="1"/>
  <c r="M48" i="1"/>
  <c r="N48" i="1" s="1"/>
  <c r="M261" i="1"/>
  <c r="N261" i="1" s="1"/>
  <c r="M159" i="1"/>
  <c r="N159" i="1" s="1"/>
  <c r="M131" i="1"/>
  <c r="N131" i="1" s="1"/>
  <c r="M847" i="1"/>
  <c r="N847" i="1" s="1"/>
  <c r="M349" i="1"/>
  <c r="N349" i="1" s="1"/>
  <c r="M441" i="1"/>
  <c r="N441" i="1" s="1"/>
  <c r="M230" i="1"/>
  <c r="N230" i="1" s="1"/>
  <c r="M79" i="1"/>
  <c r="N79" i="1" s="1"/>
  <c r="M59" i="1"/>
  <c r="N59" i="1" s="1"/>
  <c r="M319" i="1"/>
  <c r="N319" i="1" s="1"/>
  <c r="M450" i="1"/>
  <c r="N450" i="1" s="1"/>
  <c r="M510" i="1"/>
  <c r="N510" i="1" s="1"/>
  <c r="M321" i="1"/>
  <c r="N321" i="1" s="1"/>
  <c r="M531" i="1"/>
  <c r="N531" i="1" s="1"/>
  <c r="M62" i="1"/>
  <c r="N62" i="1" s="1"/>
  <c r="M483" i="1"/>
  <c r="N483" i="1" s="1"/>
  <c r="M717" i="1"/>
  <c r="N717" i="1" s="1"/>
  <c r="M254" i="1"/>
  <c r="N254" i="1" s="1"/>
  <c r="M289" i="1"/>
  <c r="N289" i="1" s="1"/>
  <c r="M351" i="1"/>
  <c r="N351" i="1" s="1"/>
  <c r="M391" i="1"/>
  <c r="N391" i="1" s="1"/>
  <c r="M52" i="1"/>
  <c r="N52" i="1" s="1"/>
  <c r="M44" i="1"/>
  <c r="N44" i="1" s="1"/>
  <c r="M242" i="1"/>
  <c r="N242" i="1" s="1"/>
  <c r="M499" i="1"/>
  <c r="N499" i="1" s="1"/>
  <c r="M447" i="1"/>
  <c r="N447" i="1" s="1"/>
  <c r="M871" i="1"/>
  <c r="N871" i="1" s="1"/>
  <c r="M239" i="1"/>
  <c r="N239" i="1" s="1"/>
  <c r="M779" i="1"/>
  <c r="N779" i="1" s="1"/>
  <c r="M93" i="1"/>
  <c r="N93" i="1" s="1"/>
  <c r="M793" i="1"/>
  <c r="N793" i="1" s="1"/>
  <c r="M200" i="1"/>
  <c r="N200" i="1" s="1"/>
  <c r="M283" i="1"/>
  <c r="N283" i="1" s="1"/>
  <c r="M247" i="1"/>
  <c r="N247" i="1" s="1"/>
  <c r="M621" i="1"/>
  <c r="N621" i="1" s="1"/>
  <c r="M469" i="1"/>
  <c r="N469" i="1" s="1"/>
  <c r="M419" i="1"/>
  <c r="N419" i="1" s="1"/>
  <c r="M218" i="1"/>
  <c r="N218" i="1" s="1"/>
  <c r="M202" i="1"/>
  <c r="N202" i="1" s="1"/>
  <c r="M166" i="1"/>
  <c r="N166" i="1" s="1"/>
  <c r="M18" i="1"/>
  <c r="N18" i="1" s="1"/>
  <c r="M223" i="1"/>
  <c r="N223" i="1" s="1"/>
  <c r="M578" i="1"/>
  <c r="N578" i="1" s="1"/>
  <c r="M819" i="1"/>
  <c r="N819" i="1" s="1"/>
  <c r="M799" i="1"/>
  <c r="N799" i="1" s="1"/>
  <c r="M757" i="1"/>
  <c r="N757" i="1" s="1"/>
  <c r="M755" i="1"/>
  <c r="N755" i="1" s="1"/>
  <c r="M462" i="1"/>
  <c r="N462" i="1" s="1"/>
  <c r="M623" i="1"/>
  <c r="N623" i="1" s="1"/>
  <c r="M481" i="1"/>
  <c r="N481" i="1" s="1"/>
  <c r="M415" i="1"/>
  <c r="N415" i="1" s="1"/>
  <c r="M533" i="1"/>
  <c r="N533" i="1" s="1"/>
  <c r="M507" i="1"/>
  <c r="N507" i="1" s="1"/>
  <c r="M395" i="1"/>
  <c r="N395" i="1" s="1"/>
  <c r="M353" i="1"/>
  <c r="N353" i="1" s="1"/>
  <c r="M265" i="1"/>
  <c r="N265" i="1" s="1"/>
  <c r="M271" i="1"/>
  <c r="N271" i="1" s="1"/>
  <c r="M569" i="1"/>
  <c r="N569" i="1" s="1"/>
  <c r="M457" i="1"/>
  <c r="N457" i="1" s="1"/>
  <c r="M467" i="1"/>
  <c r="N467" i="1" s="1"/>
  <c r="M699" i="1"/>
  <c r="N699" i="1" s="1"/>
  <c r="M220" i="1"/>
  <c r="N220" i="1" s="1"/>
  <c r="M299" i="1"/>
  <c r="N299" i="1" s="1"/>
  <c r="M345" i="1"/>
  <c r="N345" i="1" s="1"/>
  <c r="M335" i="1"/>
  <c r="N335" i="1" s="1"/>
  <c r="M855" i="1"/>
  <c r="N855" i="1" s="1"/>
  <c r="M795" i="1"/>
  <c r="N795" i="1" s="1"/>
  <c r="M402" i="1"/>
  <c r="N402" i="1" s="1"/>
  <c r="M624" i="1"/>
  <c r="N624" i="1" s="1"/>
  <c r="M895" i="1"/>
  <c r="N895" i="1" s="1"/>
  <c r="M775" i="1"/>
  <c r="N775" i="1" s="1"/>
  <c r="M727" i="1"/>
  <c r="N727" i="1" s="1"/>
  <c r="M703" i="1"/>
  <c r="N703" i="1" s="1"/>
  <c r="M632" i="1"/>
  <c r="N632" i="1" s="1"/>
  <c r="M546" i="1"/>
  <c r="N546" i="1" s="1"/>
  <c r="M759" i="1"/>
  <c r="N759" i="1" s="1"/>
  <c r="M737" i="1"/>
  <c r="N737" i="1" s="1"/>
  <c r="M669" i="1"/>
  <c r="N669" i="1" s="1"/>
  <c r="M592" i="1"/>
  <c r="N592" i="1" s="1"/>
  <c r="M887" i="1"/>
  <c r="N887" i="1" s="1"/>
  <c r="M785" i="1"/>
  <c r="N785" i="1" s="1"/>
  <c r="M695" i="1"/>
  <c r="N695" i="1" s="1"/>
  <c r="M817" i="1"/>
  <c r="N817" i="1" s="1"/>
  <c r="M897" i="1"/>
  <c r="N897" i="1" s="1"/>
  <c r="M753" i="1"/>
  <c r="N753" i="1" s="1"/>
  <c r="M505" i="1"/>
  <c r="N505" i="1" s="1"/>
  <c r="M179" i="1"/>
  <c r="N179" i="1" s="1"/>
  <c r="M823" i="1"/>
  <c r="N823" i="1" s="1"/>
  <c r="M67" i="1"/>
  <c r="N67" i="1" s="1"/>
  <c r="M863" i="1"/>
  <c r="N863" i="1" s="1"/>
  <c r="M571" i="1"/>
  <c r="N571" i="1" s="1"/>
  <c r="M566" i="1"/>
  <c r="N566" i="1" s="1"/>
  <c r="M616" i="1"/>
  <c r="N616" i="1" s="1"/>
  <c r="M893" i="1"/>
  <c r="N893" i="1" s="1"/>
  <c r="M235" i="1"/>
  <c r="N235" i="1" s="1"/>
  <c r="M19" i="1"/>
  <c r="N19" i="1" s="1"/>
  <c r="M542" i="1"/>
  <c r="N542" i="1" s="1"/>
  <c r="M729" i="1"/>
  <c r="N729" i="1" s="1"/>
  <c r="M390" i="1"/>
  <c r="N390" i="1" s="1"/>
  <c r="M277" i="1"/>
  <c r="N277" i="1" s="1"/>
  <c r="M635" i="1"/>
  <c r="N635" i="1" s="1"/>
  <c r="M687" i="1"/>
  <c r="N687" i="1" s="1"/>
  <c r="M81" i="1"/>
  <c r="N81" i="1" s="1"/>
  <c r="M347" i="1"/>
  <c r="N347" i="1" s="1"/>
  <c r="M411" i="1"/>
  <c r="N411" i="1" s="1"/>
  <c r="M797" i="1"/>
  <c r="N797" i="1" s="1"/>
  <c r="M336" i="1"/>
  <c r="N336" i="1" s="1"/>
  <c r="M136" i="1"/>
  <c r="N136" i="1" s="1"/>
  <c r="M337" i="1"/>
  <c r="N337" i="1" s="1"/>
  <c r="M39" i="1"/>
  <c r="N39" i="1" s="1"/>
  <c r="M246" i="1"/>
  <c r="N246" i="1" s="1"/>
  <c r="M489" i="1"/>
  <c r="N489" i="1" s="1"/>
  <c r="M355" i="1"/>
  <c r="N355" i="1" s="1"/>
  <c r="M228" i="1"/>
  <c r="N228" i="1" s="1"/>
  <c r="M631" i="1"/>
  <c r="N631" i="1" s="1"/>
  <c r="M296" i="1"/>
  <c r="N296" i="1" s="1"/>
  <c r="M288" i="1"/>
  <c r="N288" i="1" s="1"/>
  <c r="M477" i="1"/>
  <c r="N477" i="1" s="1"/>
  <c r="M113" i="1"/>
  <c r="N113" i="1" s="1"/>
  <c r="M565" i="1"/>
  <c r="N565" i="1" s="1"/>
  <c r="M627" i="1"/>
  <c r="N627" i="1" s="1"/>
  <c r="M503" i="1"/>
  <c r="N503" i="1" s="1"/>
  <c r="M186" i="1"/>
  <c r="N186" i="1" s="1"/>
  <c r="M78" i="1"/>
  <c r="N78" i="1" s="1"/>
  <c r="M22" i="1"/>
  <c r="N22" i="1" s="1"/>
  <c r="M685" i="1"/>
  <c r="N685" i="1" s="1"/>
  <c r="M83" i="1"/>
  <c r="N83" i="1" s="1"/>
  <c r="M593" i="1"/>
  <c r="N593" i="1" s="1"/>
  <c r="M169" i="1"/>
  <c r="N169" i="1" s="1"/>
  <c r="M382" i="1"/>
  <c r="N382" i="1" s="1"/>
  <c r="M155" i="1"/>
  <c r="N155" i="1" s="1"/>
  <c r="M899" i="1"/>
  <c r="N899" i="1" s="1"/>
  <c r="M332" i="1"/>
  <c r="N332" i="1" s="1"/>
  <c r="M108" i="1"/>
  <c r="N108" i="1" s="1"/>
  <c r="M333" i="1"/>
  <c r="N333" i="1" s="1"/>
  <c r="M833" i="1"/>
  <c r="N833" i="1" s="1"/>
  <c r="M151" i="1"/>
  <c r="N151" i="1" s="1"/>
  <c r="M127" i="1"/>
  <c r="N127" i="1" s="1"/>
  <c r="M260" i="1"/>
  <c r="N260" i="1" s="1"/>
  <c r="M643" i="1"/>
  <c r="N643" i="1" s="1"/>
  <c r="M217" i="1"/>
  <c r="N217" i="1" s="1"/>
  <c r="M608" i="1"/>
  <c r="N608" i="1" s="1"/>
  <c r="M295" i="1"/>
  <c r="N295" i="1" s="1"/>
  <c r="M17" i="1"/>
  <c r="N17" i="1" s="1"/>
  <c r="M491" i="1"/>
  <c r="N491" i="1" s="1"/>
  <c r="M613" i="1"/>
  <c r="N613" i="1" s="1"/>
  <c r="M617" i="1"/>
  <c r="N617" i="1" s="1"/>
  <c r="M286" i="1"/>
  <c r="N286" i="1" s="1"/>
  <c r="M207" i="1"/>
  <c r="N207" i="1" s="1"/>
  <c r="M100" i="1"/>
  <c r="N100" i="1" s="1"/>
  <c r="M803" i="1"/>
  <c r="N803" i="1" s="1"/>
  <c r="M99" i="1"/>
  <c r="N99" i="1" s="1"/>
  <c r="M660" i="1"/>
  <c r="N660" i="1" s="1"/>
  <c r="M791" i="1"/>
  <c r="N791" i="1" s="1"/>
  <c r="M630" i="1"/>
  <c r="N630" i="1" s="1"/>
  <c r="M43" i="1"/>
  <c r="N43" i="1" s="1"/>
  <c r="M547" i="1"/>
  <c r="N547" i="1" s="1"/>
  <c r="M21" i="1"/>
  <c r="N21" i="1" s="1"/>
  <c r="M581" i="1"/>
  <c r="N581" i="1" s="1"/>
  <c r="M352" i="1"/>
  <c r="N352" i="1" s="1"/>
  <c r="M212" i="1"/>
  <c r="N212" i="1" s="1"/>
  <c r="M461" i="1"/>
  <c r="N461" i="1" s="1"/>
  <c r="M227" i="1"/>
  <c r="N227" i="1" s="1"/>
  <c r="M51" i="1"/>
  <c r="N51" i="1" s="1"/>
  <c r="M811" i="1"/>
  <c r="N811" i="1" s="1"/>
  <c r="M92" i="1"/>
  <c r="N92" i="1" s="1"/>
  <c r="M733" i="1"/>
  <c r="N733" i="1" s="1"/>
  <c r="M693" i="1"/>
  <c r="N693" i="1" s="1"/>
  <c r="M210" i="1"/>
  <c r="N210" i="1" s="1"/>
  <c r="M777" i="1"/>
  <c r="N777" i="1" s="1"/>
  <c r="M719" i="1"/>
  <c r="N719" i="1" s="1"/>
  <c r="M318" i="1"/>
  <c r="N318" i="1" s="1"/>
  <c r="M585" i="1"/>
  <c r="N585" i="1" s="1"/>
  <c r="M545" i="1"/>
  <c r="N545" i="1" s="1"/>
  <c r="M268" i="1"/>
  <c r="N268" i="1" s="1"/>
  <c r="M115" i="1"/>
  <c r="N115" i="1" s="1"/>
  <c r="M70" i="1"/>
  <c r="N70" i="1" s="1"/>
  <c r="M625" i="1"/>
  <c r="N625" i="1" s="1"/>
  <c r="M278" i="1"/>
  <c r="N278" i="1" s="1"/>
  <c r="M307" i="1"/>
  <c r="N307" i="1" s="1"/>
  <c r="M596" i="1"/>
  <c r="N596" i="1" s="1"/>
  <c r="M361" i="1"/>
  <c r="N361" i="1" s="1"/>
  <c r="M636" i="1"/>
  <c r="N636" i="1" s="1"/>
  <c r="M267" i="1"/>
  <c r="N267" i="1" s="1"/>
  <c r="M839" i="1"/>
  <c r="N839" i="1" s="1"/>
  <c r="M610" i="1"/>
  <c r="N610" i="1" s="1"/>
  <c r="M293" i="1"/>
  <c r="N293" i="1" s="1"/>
  <c r="M515" i="1"/>
  <c r="N515" i="1" s="1"/>
  <c r="M771" i="1"/>
  <c r="N771" i="1" s="1"/>
  <c r="M132" i="1"/>
  <c r="N132" i="1" s="1"/>
  <c r="M761" i="1"/>
  <c r="N761" i="1" s="1"/>
  <c r="M378" i="1"/>
  <c r="N378" i="1" s="1"/>
  <c r="M310" i="1"/>
  <c r="N310" i="1" s="1"/>
  <c r="M831" i="1"/>
  <c r="N831" i="1" s="1"/>
  <c r="M236" i="1"/>
  <c r="N236" i="1" s="1"/>
  <c r="M284" i="1"/>
  <c r="N284" i="1" s="1"/>
  <c r="M619" i="1"/>
  <c r="N619" i="1" s="1"/>
  <c r="M815" i="1"/>
  <c r="N815" i="1" s="1"/>
  <c r="M175" i="1"/>
  <c r="N175" i="1" s="1"/>
  <c r="M543" i="1"/>
  <c r="N543" i="1" s="1"/>
  <c r="M513" i="1"/>
  <c r="N513" i="1" s="1"/>
  <c r="M148" i="1"/>
  <c r="N148" i="1" s="1"/>
  <c r="M120" i="1"/>
  <c r="N120" i="1" s="1"/>
  <c r="M69" i="1"/>
  <c r="N69" i="1" s="1"/>
  <c r="M602" i="1"/>
  <c r="N602" i="1" s="1"/>
  <c r="M301" i="1"/>
  <c r="N301" i="1" s="1"/>
  <c r="M877" i="1"/>
  <c r="N877" i="1" s="1"/>
  <c r="M879" i="1"/>
  <c r="N879" i="1" s="1"/>
  <c r="M24" i="1"/>
  <c r="N24" i="1" s="1"/>
  <c r="M781" i="1"/>
  <c r="N781" i="1" s="1"/>
  <c r="M174" i="1"/>
  <c r="N174" i="1" s="1"/>
  <c r="M198" i="1"/>
  <c r="N198" i="1" s="1"/>
  <c r="M705" i="1"/>
  <c r="N705" i="1" s="1"/>
  <c r="M787" i="1"/>
  <c r="N787" i="1" s="1"/>
  <c r="M459" i="1"/>
  <c r="N459" i="1" s="1"/>
  <c r="M386" i="1"/>
  <c r="N386" i="1" s="1"/>
  <c r="M517" i="1"/>
  <c r="N517" i="1" s="1"/>
  <c r="M765" i="1"/>
  <c r="N765" i="1" s="1"/>
  <c r="M138" i="1"/>
  <c r="N138" i="1" s="1"/>
  <c r="M430" i="1"/>
  <c r="N430" i="1" s="1"/>
  <c r="M473" i="1"/>
  <c r="N473" i="1" s="1"/>
  <c r="M134" i="1"/>
  <c r="N134" i="1" s="1"/>
  <c r="M769" i="1"/>
  <c r="N769" i="1" s="1"/>
  <c r="M458" i="1"/>
  <c r="N458" i="1" s="1"/>
  <c r="M454" i="1"/>
  <c r="N454" i="1" s="1"/>
  <c r="M801" i="1"/>
  <c r="N801" i="1" s="1"/>
  <c r="M813" i="1"/>
  <c r="N813" i="1" s="1"/>
  <c r="M90" i="1"/>
  <c r="N90" i="1" s="1"/>
  <c r="M95" i="1"/>
  <c r="N95" i="1" s="1"/>
  <c r="M689" i="1"/>
  <c r="N689" i="1" s="1"/>
  <c r="M270" i="1"/>
  <c r="N270" i="1" s="1"/>
  <c r="M262" i="1"/>
  <c r="N262" i="1" s="1"/>
  <c r="M641" i="1"/>
  <c r="N641" i="1" s="1"/>
  <c r="M597" i="1"/>
  <c r="N597" i="1" s="1"/>
  <c r="M889" i="1"/>
  <c r="N889" i="1" s="1"/>
  <c r="M745" i="1"/>
  <c r="N745" i="1" s="1"/>
  <c r="M506" i="1"/>
  <c r="N506" i="1" s="1"/>
  <c r="M348" i="1"/>
  <c r="N348" i="1" s="1"/>
  <c r="M340" i="1"/>
  <c r="N340" i="1" s="1"/>
  <c r="M304" i="1"/>
  <c r="N304" i="1" s="1"/>
  <c r="M224" i="1"/>
  <c r="N224" i="1" s="1"/>
  <c r="M317" i="1"/>
  <c r="N317" i="1" s="1"/>
  <c r="M315" i="1"/>
  <c r="N315" i="1" s="1"/>
  <c r="M213" i="1"/>
  <c r="N213" i="1" s="1"/>
  <c r="M535" i="1"/>
  <c r="N535" i="1" s="1"/>
  <c r="M707" i="1"/>
  <c r="N707" i="1" s="1"/>
  <c r="M163" i="1"/>
  <c r="N163" i="1" s="1"/>
  <c r="M29" i="1"/>
  <c r="N29" i="1" s="1"/>
  <c r="M338" i="1"/>
  <c r="N338" i="1" s="1"/>
  <c r="M869" i="1"/>
  <c r="N869" i="1" s="1"/>
  <c r="M167" i="1"/>
  <c r="N167" i="1" s="1"/>
  <c r="M652" i="1"/>
  <c r="N652" i="1" s="1"/>
  <c r="M829" i="1"/>
  <c r="N829" i="1" s="1"/>
  <c r="M205" i="1"/>
  <c r="N205" i="1" s="1"/>
  <c r="M482" i="1"/>
  <c r="N482" i="1" s="1"/>
  <c r="M126" i="1"/>
  <c r="N126" i="1" s="1"/>
  <c r="M751" i="1"/>
  <c r="N751" i="1" s="1"/>
  <c r="M214" i="1"/>
  <c r="N214" i="1" s="1"/>
  <c r="M562" i="1"/>
  <c r="N562" i="1" s="1"/>
  <c r="M203" i="1"/>
  <c r="N203" i="1" s="1"/>
  <c r="M666" i="1"/>
  <c r="N666" i="1" s="1"/>
  <c r="M421" i="1"/>
  <c r="N421" i="1" s="1"/>
  <c r="M191" i="1"/>
  <c r="N191" i="1" s="1"/>
  <c r="M3" i="1"/>
  <c r="N3" i="1" s="1"/>
  <c r="M648" i="1"/>
  <c r="N648" i="1" s="1"/>
  <c r="M807" i="1"/>
  <c r="N807" i="1" s="1"/>
  <c r="M683" i="1"/>
  <c r="N683" i="1" s="1"/>
  <c r="M677" i="1"/>
  <c r="N677" i="1" s="1"/>
  <c r="M123" i="1"/>
  <c r="N123" i="1" s="1"/>
  <c r="M427" i="1"/>
  <c r="N427" i="1" s="1"/>
  <c r="M845" i="1"/>
  <c r="N845" i="1" s="1"/>
  <c r="M843" i="1"/>
  <c r="N843" i="1" s="1"/>
  <c r="M849" i="1"/>
  <c r="N849" i="1" s="1"/>
  <c r="M865" i="1"/>
  <c r="N865" i="1" s="1"/>
  <c r="M371" i="1"/>
  <c r="N371" i="1" s="1"/>
  <c r="M46" i="1"/>
  <c r="N46" i="1" s="1"/>
  <c r="M479" i="1"/>
  <c r="N479" i="1" s="1"/>
  <c r="M881" i="1"/>
  <c r="N881" i="1" s="1"/>
  <c r="M269" i="1"/>
  <c r="N269" i="1" s="1"/>
  <c r="M4" i="1"/>
  <c r="N4" i="1" s="1"/>
  <c r="M521" i="1"/>
  <c r="N521" i="1" s="1"/>
  <c r="M638" i="1"/>
  <c r="N638" i="1" s="1"/>
  <c r="M215" i="1"/>
  <c r="N215" i="1" s="1"/>
  <c r="M216" i="1"/>
  <c r="N216" i="1" s="1"/>
  <c r="M662" i="1"/>
  <c r="N662" i="1" s="1"/>
  <c r="M443" i="1"/>
  <c r="N443" i="1" s="1"/>
  <c r="M266" i="1"/>
  <c r="N266" i="1" s="1"/>
  <c r="M257" i="1"/>
  <c r="N257" i="1" s="1"/>
  <c r="M553" i="1"/>
  <c r="N553" i="1" s="1"/>
  <c r="M379" i="1"/>
  <c r="N379" i="1" s="1"/>
  <c r="M554" i="1"/>
  <c r="N554" i="1" s="1"/>
  <c r="M15" i="1"/>
  <c r="N15" i="1" s="1"/>
  <c r="M63" i="1"/>
  <c r="N63" i="1" s="1"/>
  <c r="M570" i="1"/>
  <c r="N570" i="1" s="1"/>
  <c r="M423" i="1"/>
  <c r="N423" i="1" s="1"/>
  <c r="M567" i="1"/>
  <c r="N567" i="1" s="1"/>
  <c r="M106" i="1"/>
  <c r="N106" i="1" s="1"/>
  <c r="M40" i="1"/>
  <c r="N40" i="1" s="1"/>
  <c r="M9" i="1"/>
  <c r="N9" i="1" s="1"/>
  <c r="M805" i="1"/>
  <c r="N805" i="1" s="1"/>
  <c r="M891" i="1"/>
  <c r="N891" i="1" s="1"/>
  <c r="M197" i="1"/>
  <c r="N197" i="1" s="1"/>
  <c r="M341" i="1"/>
  <c r="N341" i="1" s="1"/>
  <c r="M453" i="1"/>
  <c r="N453" i="1" s="1"/>
  <c r="M373" i="1"/>
  <c r="N373" i="1" s="1"/>
  <c r="M273" i="1"/>
  <c r="N273" i="1" s="1"/>
  <c r="M618" i="1"/>
  <c r="N618" i="1" s="1"/>
  <c r="M233" i="1"/>
  <c r="N233" i="1" s="1"/>
  <c r="M410" i="1"/>
  <c r="N410" i="1" s="1"/>
  <c r="M634" i="1"/>
  <c r="N634" i="1" s="1"/>
  <c r="M366" i="1"/>
  <c r="N366" i="1" s="1"/>
  <c r="M116" i="1"/>
  <c r="N116" i="1" s="1"/>
  <c r="M721" i="1"/>
  <c r="N721" i="1" s="1"/>
  <c r="M628" i="1"/>
  <c r="N628" i="1" s="1"/>
  <c r="M859" i="1"/>
  <c r="N859" i="1" s="1"/>
  <c r="M851" i="1"/>
  <c r="N851" i="1" s="1"/>
  <c r="M537" i="1"/>
  <c r="N537" i="1" s="1"/>
  <c r="M196" i="1"/>
  <c r="N196" i="1" s="1"/>
  <c r="M101" i="1"/>
  <c r="N101" i="1" s="1"/>
  <c r="M523" i="1"/>
  <c r="N523" i="1" s="1"/>
  <c r="M290" i="1"/>
  <c r="N290" i="1" s="1"/>
  <c r="M478" i="1"/>
  <c r="N478" i="1" s="1"/>
  <c r="M50" i="1"/>
  <c r="N50" i="1" s="1"/>
  <c r="M255" i="1"/>
  <c r="N255" i="1" s="1"/>
  <c r="M359" i="1"/>
  <c r="N359" i="1" s="1"/>
  <c r="M32" i="1"/>
  <c r="N32" i="1" s="1"/>
  <c r="M614" i="1"/>
  <c r="N614" i="1" s="1"/>
  <c r="M73" i="1"/>
  <c r="N73" i="1" s="1"/>
  <c r="M502" i="1"/>
  <c r="N502" i="1" s="1"/>
  <c r="M538" i="1"/>
  <c r="N538" i="1" s="1"/>
  <c r="M89" i="1"/>
  <c r="N89" i="1" s="1"/>
  <c r="M82" i="1"/>
  <c r="N82" i="1" s="1"/>
  <c r="M208" i="1"/>
  <c r="N208" i="1" s="1"/>
  <c r="M557" i="1"/>
  <c r="N557" i="1" s="1"/>
  <c r="M291" i="1"/>
  <c r="N291" i="1" s="1"/>
  <c r="M439" i="1"/>
  <c r="N439" i="1" s="1"/>
  <c r="M586" i="1"/>
  <c r="N586" i="1" s="1"/>
  <c r="M374" i="1"/>
  <c r="N374" i="1" s="1"/>
  <c r="M599" i="1"/>
  <c r="N599" i="1" s="1"/>
  <c r="M529" i="1"/>
  <c r="N529" i="1" s="1"/>
  <c r="M449" i="1"/>
  <c r="N449" i="1" s="1"/>
  <c r="M312" i="1"/>
  <c r="N312" i="1" s="1"/>
  <c r="M232" i="1"/>
  <c r="N232" i="1" s="1"/>
  <c r="M184" i="1"/>
  <c r="N184" i="1" s="1"/>
  <c r="M152" i="1"/>
  <c r="N152" i="1" s="1"/>
  <c r="M112" i="1"/>
  <c r="N112" i="1" s="1"/>
  <c r="M104" i="1"/>
  <c r="N104" i="1" s="1"/>
  <c r="M96" i="1"/>
  <c r="N96" i="1" s="1"/>
  <c r="M88" i="1"/>
  <c r="N88" i="1" s="1"/>
  <c r="M72" i="1"/>
  <c r="N72" i="1" s="1"/>
  <c r="M64" i="1"/>
  <c r="N64" i="1" s="1"/>
  <c r="M633" i="1"/>
  <c r="N633" i="1" s="1"/>
  <c r="M563" i="1"/>
  <c r="N563" i="1" s="1"/>
  <c r="M275" i="1"/>
  <c r="N275" i="1" s="1"/>
  <c r="M243" i="1"/>
  <c r="N243" i="1" s="1"/>
  <c r="M637" i="1"/>
  <c r="N637" i="1" s="1"/>
  <c r="M525" i="1"/>
  <c r="N525" i="1" s="1"/>
  <c r="M445" i="1"/>
  <c r="N445" i="1" s="1"/>
  <c r="M429" i="1"/>
  <c r="N429" i="1" s="1"/>
  <c r="M413" i="1"/>
  <c r="N413" i="1" s="1"/>
  <c r="M397" i="1"/>
  <c r="N397" i="1" s="1"/>
  <c r="M305" i="1"/>
  <c r="N305" i="1" s="1"/>
  <c r="M177" i="1"/>
  <c r="N177" i="1" s="1"/>
  <c r="M129" i="1"/>
  <c r="N129" i="1" s="1"/>
  <c r="M49" i="1"/>
  <c r="N49" i="1" s="1"/>
  <c r="M451" i="1"/>
  <c r="N451" i="1" s="1"/>
  <c r="M343" i="1"/>
  <c r="N343" i="1" s="1"/>
  <c r="M323" i="1"/>
  <c r="N323" i="1" s="1"/>
  <c r="M263" i="1"/>
  <c r="N263" i="1" s="1"/>
  <c r="M187" i="1"/>
  <c r="N187" i="1" s="1"/>
  <c r="M551" i="1"/>
  <c r="N551" i="1" s="1"/>
  <c r="M407" i="1"/>
  <c r="N407" i="1" s="1"/>
  <c r="M322" i="1"/>
  <c r="N322" i="1" s="1"/>
  <c r="M306" i="1"/>
  <c r="N306" i="1" s="1"/>
  <c r="M226" i="1"/>
  <c r="N226" i="1" s="1"/>
  <c r="M170" i="1"/>
  <c r="N170" i="1" s="1"/>
  <c r="M146" i="1"/>
  <c r="N146" i="1" s="1"/>
  <c r="M74" i="1"/>
  <c r="N74" i="1" s="1"/>
  <c r="M339" i="1"/>
  <c r="N339" i="1" s="1"/>
  <c r="M91" i="1"/>
  <c r="N91" i="1" s="1"/>
  <c r="M27" i="1"/>
  <c r="N27" i="1" s="1"/>
  <c r="M604" i="1"/>
  <c r="N604" i="1" s="1"/>
  <c r="M490" i="1"/>
  <c r="N490" i="1" s="1"/>
  <c r="M474" i="1"/>
  <c r="N474" i="1" s="1"/>
  <c r="M664" i="1"/>
  <c r="N664" i="1" s="1"/>
  <c r="M470" i="1"/>
  <c r="N470" i="1" s="1"/>
  <c r="M620" i="1"/>
  <c r="N620" i="1" s="1"/>
  <c r="M514" i="1"/>
  <c r="N514" i="1" s="1"/>
  <c r="M894" i="1"/>
  <c r="N894" i="1" s="1"/>
  <c r="M886" i="1"/>
  <c r="N886" i="1" s="1"/>
  <c r="M878" i="1"/>
  <c r="N878" i="1" s="1"/>
  <c r="M870" i="1"/>
  <c r="N870" i="1" s="1"/>
  <c r="M862" i="1"/>
  <c r="N862" i="1" s="1"/>
  <c r="M854" i="1"/>
  <c r="N854" i="1" s="1"/>
  <c r="M846" i="1"/>
  <c r="N846" i="1" s="1"/>
  <c r="M838" i="1"/>
  <c r="N838" i="1" s="1"/>
  <c r="M830" i="1"/>
  <c r="N830" i="1" s="1"/>
  <c r="M822" i="1"/>
  <c r="N822" i="1" s="1"/>
  <c r="M814" i="1"/>
  <c r="N814" i="1" s="1"/>
  <c r="M806" i="1"/>
  <c r="N806" i="1" s="1"/>
  <c r="M798" i="1"/>
  <c r="N798" i="1" s="1"/>
  <c r="M790" i="1"/>
  <c r="N790" i="1" s="1"/>
  <c r="M782" i="1"/>
  <c r="N782" i="1" s="1"/>
  <c r="M774" i="1"/>
  <c r="N774" i="1" s="1"/>
  <c r="M766" i="1"/>
  <c r="N766" i="1" s="1"/>
  <c r="M758" i="1"/>
  <c r="N758" i="1" s="1"/>
  <c r="M750" i="1"/>
  <c r="N750" i="1" s="1"/>
  <c r="M742" i="1"/>
  <c r="N742" i="1" s="1"/>
  <c r="M734" i="1"/>
  <c r="N734" i="1" s="1"/>
  <c r="M726" i="1"/>
  <c r="N726" i="1" s="1"/>
  <c r="M718" i="1"/>
  <c r="N718" i="1" s="1"/>
  <c r="M710" i="1"/>
  <c r="N710" i="1" s="1"/>
  <c r="M702" i="1"/>
  <c r="N702" i="1" s="1"/>
  <c r="M694" i="1"/>
  <c r="N694" i="1" s="1"/>
  <c r="M686" i="1"/>
  <c r="N686" i="1" s="1"/>
  <c r="M678" i="1"/>
  <c r="N678" i="1" s="1"/>
  <c r="M896" i="1"/>
  <c r="N896" i="1" s="1"/>
  <c r="M880" i="1"/>
  <c r="N880" i="1" s="1"/>
  <c r="M864" i="1"/>
  <c r="N864" i="1" s="1"/>
  <c r="M848" i="1"/>
  <c r="N848" i="1" s="1"/>
  <c r="M832" i="1"/>
  <c r="N832" i="1" s="1"/>
  <c r="M816" i="1"/>
  <c r="N816" i="1" s="1"/>
  <c r="M800" i="1"/>
  <c r="N800" i="1" s="1"/>
  <c r="M784" i="1"/>
  <c r="N784" i="1" s="1"/>
  <c r="M768" i="1"/>
  <c r="N768" i="1" s="1"/>
  <c r="M752" i="1"/>
  <c r="N752" i="1" s="1"/>
  <c r="M736" i="1"/>
  <c r="N736" i="1" s="1"/>
  <c r="M720" i="1"/>
  <c r="N720" i="1" s="1"/>
  <c r="M704" i="1"/>
  <c r="N704" i="1" s="1"/>
  <c r="M688" i="1"/>
  <c r="N688" i="1" s="1"/>
  <c r="M672" i="1"/>
  <c r="N672" i="1" s="1"/>
  <c r="M663" i="1"/>
  <c r="N663" i="1" s="1"/>
  <c r="M647" i="1"/>
  <c r="N647" i="1" s="1"/>
  <c r="M667" i="1"/>
  <c r="N667" i="1" s="1"/>
  <c r="M576" i="1"/>
  <c r="N576" i="1" s="1"/>
  <c r="M560" i="1"/>
  <c r="N560" i="1" s="1"/>
  <c r="M544" i="1"/>
  <c r="N544" i="1" s="1"/>
  <c r="M528" i="1"/>
  <c r="N528" i="1" s="1"/>
  <c r="M512" i="1"/>
  <c r="N512" i="1" s="1"/>
  <c r="M496" i="1"/>
  <c r="N496" i="1" s="1"/>
  <c r="M480" i="1"/>
  <c r="N480" i="1" s="1"/>
  <c r="M464" i="1"/>
  <c r="N464" i="1" s="1"/>
  <c r="M448" i="1"/>
  <c r="N448" i="1" s="1"/>
  <c r="M432" i="1"/>
  <c r="N432" i="1" s="1"/>
  <c r="M416" i="1"/>
  <c r="N416" i="1" s="1"/>
  <c r="M400" i="1"/>
  <c r="N400" i="1" s="1"/>
  <c r="M384" i="1"/>
  <c r="N384" i="1" s="1"/>
  <c r="M368" i="1"/>
  <c r="N368" i="1" s="1"/>
  <c r="M657" i="1"/>
  <c r="N657" i="1" s="1"/>
  <c r="M674" i="1"/>
  <c r="N674" i="1" s="1"/>
  <c r="M892" i="1"/>
  <c r="N892" i="1" s="1"/>
  <c r="M876" i="1"/>
  <c r="N876" i="1" s="1"/>
  <c r="M860" i="1"/>
  <c r="N860" i="1" s="1"/>
  <c r="M844" i="1"/>
  <c r="N844" i="1" s="1"/>
  <c r="M828" i="1"/>
  <c r="N828" i="1" s="1"/>
  <c r="M812" i="1"/>
  <c r="N812" i="1" s="1"/>
  <c r="M796" i="1"/>
  <c r="N796" i="1" s="1"/>
  <c r="M780" i="1"/>
  <c r="N780" i="1" s="1"/>
  <c r="M764" i="1"/>
  <c r="N764" i="1" s="1"/>
  <c r="M748" i="1"/>
  <c r="N748" i="1" s="1"/>
  <c r="M732" i="1"/>
  <c r="N732" i="1" s="1"/>
  <c r="M716" i="1"/>
  <c r="N716" i="1" s="1"/>
  <c r="M700" i="1"/>
  <c r="N700" i="1" s="1"/>
  <c r="M684" i="1"/>
  <c r="N684" i="1" s="1"/>
  <c r="M668" i="1"/>
  <c r="N668" i="1" s="1"/>
  <c r="M659" i="1"/>
  <c r="N659" i="1" s="1"/>
  <c r="M588" i="1"/>
  <c r="N588" i="1" s="1"/>
  <c r="M572" i="1"/>
  <c r="N572" i="1" s="1"/>
  <c r="M556" i="1"/>
  <c r="N556" i="1" s="1"/>
  <c r="M540" i="1"/>
  <c r="N540" i="1" s="1"/>
  <c r="M524" i="1"/>
  <c r="N524" i="1" s="1"/>
  <c r="M508" i="1"/>
  <c r="N508" i="1" s="1"/>
  <c r="M492" i="1"/>
  <c r="N492" i="1" s="1"/>
  <c r="M476" i="1"/>
  <c r="N476" i="1" s="1"/>
  <c r="M460" i="1"/>
  <c r="N460" i="1" s="1"/>
  <c r="M444" i="1"/>
  <c r="N444" i="1" s="1"/>
  <c r="M428" i="1"/>
  <c r="N428" i="1" s="1"/>
  <c r="M412" i="1"/>
  <c r="N412" i="1" s="1"/>
  <c r="M396" i="1"/>
  <c r="N396" i="1" s="1"/>
  <c r="M380" i="1"/>
  <c r="N380" i="1" s="1"/>
  <c r="M364" i="1"/>
  <c r="N364" i="1" s="1"/>
  <c r="M653" i="1"/>
  <c r="N653" i="1" s="1"/>
  <c r="M671" i="1"/>
  <c r="N671" i="1" s="1"/>
  <c r="M890" i="1"/>
  <c r="N890" i="1" s="1"/>
  <c r="M882" i="1"/>
  <c r="N882" i="1" s="1"/>
  <c r="M874" i="1"/>
  <c r="N874" i="1" s="1"/>
  <c r="M866" i="1"/>
  <c r="N866" i="1" s="1"/>
  <c r="M858" i="1"/>
  <c r="N858" i="1" s="1"/>
  <c r="M850" i="1"/>
  <c r="N850" i="1" s="1"/>
  <c r="M842" i="1"/>
  <c r="N842" i="1" s="1"/>
  <c r="M834" i="1"/>
  <c r="N834" i="1" s="1"/>
  <c r="M826" i="1"/>
  <c r="N826" i="1" s="1"/>
  <c r="M818" i="1"/>
  <c r="N818" i="1" s="1"/>
  <c r="M810" i="1"/>
  <c r="N810" i="1" s="1"/>
  <c r="M802" i="1"/>
  <c r="N802" i="1" s="1"/>
  <c r="M794" i="1"/>
  <c r="N794" i="1" s="1"/>
  <c r="M786" i="1"/>
  <c r="N786" i="1" s="1"/>
  <c r="M778" i="1"/>
  <c r="N778" i="1" s="1"/>
  <c r="M770" i="1"/>
  <c r="N770" i="1" s="1"/>
  <c r="M762" i="1"/>
  <c r="N762" i="1" s="1"/>
  <c r="M754" i="1"/>
  <c r="N754" i="1" s="1"/>
  <c r="M746" i="1"/>
  <c r="N746" i="1" s="1"/>
  <c r="M738" i="1"/>
  <c r="N738" i="1" s="1"/>
  <c r="M730" i="1"/>
  <c r="N730" i="1" s="1"/>
  <c r="M722" i="1"/>
  <c r="N722" i="1" s="1"/>
  <c r="M714" i="1"/>
  <c r="N714" i="1" s="1"/>
  <c r="M706" i="1"/>
  <c r="N706" i="1" s="1"/>
  <c r="M698" i="1"/>
  <c r="N698" i="1" s="1"/>
  <c r="M690" i="1"/>
  <c r="N690" i="1" s="1"/>
  <c r="M682" i="1"/>
  <c r="N682" i="1" s="1"/>
  <c r="M670" i="1"/>
  <c r="N670" i="1" s="1"/>
  <c r="M888" i="1"/>
  <c r="N888" i="1" s="1"/>
  <c r="M872" i="1"/>
  <c r="N872" i="1" s="1"/>
  <c r="M856" i="1"/>
  <c r="N856" i="1" s="1"/>
  <c r="M840" i="1"/>
  <c r="N840" i="1" s="1"/>
  <c r="M824" i="1"/>
  <c r="N824" i="1" s="1"/>
  <c r="M808" i="1"/>
  <c r="N808" i="1" s="1"/>
  <c r="M792" i="1"/>
  <c r="N792" i="1" s="1"/>
  <c r="M776" i="1"/>
  <c r="N776" i="1" s="1"/>
  <c r="M760" i="1"/>
  <c r="N760" i="1" s="1"/>
  <c r="M744" i="1"/>
  <c r="N744" i="1" s="1"/>
  <c r="M728" i="1"/>
  <c r="N728" i="1" s="1"/>
  <c r="M712" i="1"/>
  <c r="N712" i="1" s="1"/>
  <c r="M696" i="1"/>
  <c r="N696" i="1" s="1"/>
  <c r="M680" i="1"/>
  <c r="N680" i="1" s="1"/>
  <c r="M655" i="1"/>
  <c r="N655" i="1" s="1"/>
  <c r="M675" i="1"/>
  <c r="N675" i="1" s="1"/>
  <c r="M584" i="1"/>
  <c r="N584" i="1" s="1"/>
  <c r="M568" i="1"/>
  <c r="N568" i="1" s="1"/>
  <c r="M552" i="1"/>
  <c r="N552" i="1" s="1"/>
  <c r="M536" i="1"/>
  <c r="N536" i="1" s="1"/>
  <c r="M520" i="1"/>
  <c r="N520" i="1" s="1"/>
  <c r="M504" i="1"/>
  <c r="N504" i="1" s="1"/>
  <c r="M488" i="1"/>
  <c r="N488" i="1" s="1"/>
  <c r="M472" i="1"/>
  <c r="N472" i="1" s="1"/>
  <c r="M456" i="1"/>
  <c r="N456" i="1" s="1"/>
  <c r="M440" i="1"/>
  <c r="N440" i="1" s="1"/>
  <c r="M424" i="1"/>
  <c r="N424" i="1" s="1"/>
  <c r="M408" i="1"/>
  <c r="N408" i="1" s="1"/>
  <c r="M392" i="1"/>
  <c r="N392" i="1" s="1"/>
  <c r="M376" i="1"/>
  <c r="N376" i="1" s="1"/>
  <c r="M360" i="1"/>
  <c r="N360" i="1" s="1"/>
  <c r="M665" i="1"/>
  <c r="N665" i="1" s="1"/>
  <c r="M649" i="1"/>
  <c r="N649" i="1" s="1"/>
  <c r="M898" i="1"/>
  <c r="N898" i="1" s="1"/>
  <c r="M900" i="1"/>
  <c r="N900" i="1" s="1"/>
  <c r="M884" i="1"/>
  <c r="N884" i="1" s="1"/>
  <c r="M868" i="1"/>
  <c r="N868" i="1" s="1"/>
  <c r="M852" i="1"/>
  <c r="N852" i="1" s="1"/>
  <c r="M836" i="1"/>
  <c r="N836" i="1" s="1"/>
  <c r="M820" i="1"/>
  <c r="N820" i="1" s="1"/>
  <c r="M804" i="1"/>
  <c r="N804" i="1" s="1"/>
  <c r="M788" i="1"/>
  <c r="N788" i="1" s="1"/>
  <c r="M772" i="1"/>
  <c r="N772" i="1" s="1"/>
  <c r="M756" i="1"/>
  <c r="N756" i="1" s="1"/>
  <c r="M740" i="1"/>
  <c r="N740" i="1" s="1"/>
  <c r="M724" i="1"/>
  <c r="N724" i="1" s="1"/>
  <c r="M708" i="1"/>
  <c r="N708" i="1" s="1"/>
  <c r="M692" i="1"/>
  <c r="N692" i="1" s="1"/>
  <c r="M676" i="1"/>
  <c r="N676" i="1" s="1"/>
  <c r="M651" i="1"/>
  <c r="N651" i="1" s="1"/>
  <c r="M580" i="1"/>
  <c r="N580" i="1" s="1"/>
  <c r="M564" i="1"/>
  <c r="N564" i="1" s="1"/>
  <c r="M548" i="1"/>
  <c r="N548" i="1" s="1"/>
  <c r="M532" i="1"/>
  <c r="N532" i="1" s="1"/>
  <c r="M516" i="1"/>
  <c r="N516" i="1" s="1"/>
  <c r="M500" i="1"/>
  <c r="N500" i="1" s="1"/>
  <c r="M484" i="1"/>
  <c r="N484" i="1" s="1"/>
  <c r="M468" i="1"/>
  <c r="N468" i="1" s="1"/>
  <c r="M452" i="1"/>
  <c r="N452" i="1" s="1"/>
  <c r="M436" i="1"/>
  <c r="N436" i="1" s="1"/>
  <c r="M420" i="1"/>
  <c r="N420" i="1" s="1"/>
  <c r="M404" i="1"/>
  <c r="N404" i="1" s="1"/>
  <c r="M388" i="1"/>
  <c r="N388" i="1" s="1"/>
  <c r="M372" i="1"/>
  <c r="N372" i="1" s="1"/>
  <c r="M356" i="1"/>
  <c r="N356" i="1" s="1"/>
  <c r="M661" i="1"/>
  <c r="N661" i="1" s="1"/>
  <c r="M645" i="1"/>
  <c r="N645" i="1" s="1"/>
  <c r="I2" i="1"/>
  <c r="I9" i="1"/>
  <c r="I13" i="1"/>
  <c r="I16" i="1"/>
  <c r="I15" i="1"/>
  <c r="I17" i="1"/>
  <c r="I12" i="1"/>
  <c r="I11" i="1"/>
  <c r="I14" i="1"/>
  <c r="I4" i="1"/>
  <c r="I10" i="1"/>
  <c r="I8" i="1"/>
  <c r="I6" i="1"/>
  <c r="I3" i="1"/>
  <c r="I7" i="1"/>
  <c r="I5" i="1"/>
  <c r="I45" i="1"/>
  <c r="I99" i="1"/>
  <c r="I30" i="1"/>
  <c r="I47" i="1"/>
  <c r="I36" i="1"/>
  <c r="I57" i="1"/>
  <c r="I68" i="1"/>
  <c r="I62" i="1"/>
  <c r="I46" i="1"/>
  <c r="I55" i="1"/>
  <c r="I28" i="1"/>
  <c r="I113" i="1"/>
  <c r="I83" i="1"/>
  <c r="I60" i="1"/>
  <c r="I41" i="1"/>
  <c r="I18" i="1"/>
  <c r="I92" i="1"/>
  <c r="I53" i="1"/>
  <c r="I111" i="1"/>
  <c r="I119" i="1"/>
  <c r="I40" i="1"/>
  <c r="I85" i="1"/>
  <c r="I32" i="1"/>
  <c r="I24" i="1"/>
  <c r="I26" i="1"/>
  <c r="I35" i="1"/>
  <c r="I56" i="1"/>
  <c r="I43" i="1"/>
  <c r="I105" i="1"/>
  <c r="I96" i="1"/>
  <c r="I64" i="1"/>
  <c r="I104" i="1"/>
  <c r="I48" i="1"/>
  <c r="I109" i="1"/>
  <c r="I39" i="1"/>
  <c r="I98" i="1"/>
  <c r="I95" i="1"/>
  <c r="I19" i="1"/>
  <c r="I20" i="1"/>
  <c r="I100" i="1"/>
  <c r="I116" i="1"/>
  <c r="I112" i="1"/>
  <c r="I102" i="1"/>
  <c r="I33" i="1"/>
  <c r="I74" i="1"/>
  <c r="I77" i="1"/>
  <c r="I106" i="1"/>
  <c r="I86" i="1"/>
  <c r="I52" i="1"/>
  <c r="I34" i="1"/>
  <c r="I114" i="1"/>
  <c r="I117" i="1"/>
  <c r="I93" i="1"/>
  <c r="I120" i="1"/>
  <c r="I89" i="1"/>
  <c r="I49" i="1"/>
  <c r="I103" i="1"/>
  <c r="I101" i="1"/>
  <c r="I70" i="1"/>
  <c r="I76" i="1"/>
  <c r="I97" i="1"/>
  <c r="I69" i="1"/>
  <c r="I51" i="1"/>
  <c r="I81" i="1"/>
  <c r="I27" i="1"/>
  <c r="I54" i="1"/>
  <c r="I107" i="1"/>
  <c r="I91" i="1"/>
  <c r="I79" i="1"/>
  <c r="I94" i="1"/>
  <c r="I72" i="1"/>
  <c r="I115" i="1"/>
  <c r="I118" i="1"/>
  <c r="I84" i="1"/>
  <c r="I90" i="1"/>
  <c r="I63" i="1"/>
  <c r="I110" i="1"/>
  <c r="I23" i="1"/>
  <c r="I38" i="1"/>
  <c r="I108" i="1"/>
  <c r="I71" i="1"/>
  <c r="I80" i="1"/>
  <c r="I22" i="1"/>
  <c r="I66" i="1"/>
  <c r="I21" i="1"/>
  <c r="I61" i="1"/>
  <c r="I59" i="1"/>
  <c r="I88" i="1"/>
  <c r="I75" i="1"/>
  <c r="I65" i="1"/>
  <c r="I73" i="1"/>
  <c r="I44" i="1"/>
  <c r="I78" i="1"/>
  <c r="I29" i="1"/>
  <c r="I25" i="1"/>
  <c r="I58" i="1"/>
  <c r="I37" i="1"/>
  <c r="I50" i="1"/>
  <c r="I82" i="1"/>
  <c r="I87" i="1"/>
  <c r="I67" i="1"/>
  <c r="I42" i="1"/>
  <c r="I31" i="1"/>
  <c r="I127" i="1"/>
  <c r="I126" i="1"/>
  <c r="I121" i="1"/>
  <c r="I124" i="1"/>
  <c r="I125" i="1"/>
  <c r="I128" i="1"/>
  <c r="I122" i="1"/>
  <c r="I123" i="1"/>
  <c r="I528" i="1"/>
  <c r="I415" i="1"/>
  <c r="I280" i="1"/>
  <c r="I578" i="1"/>
  <c r="I706" i="1"/>
  <c r="I217" i="1"/>
  <c r="I630" i="1"/>
  <c r="I854" i="1"/>
  <c r="I682" i="1"/>
  <c r="I538" i="1"/>
  <c r="I301" i="1"/>
  <c r="I195" i="1"/>
  <c r="I355" i="1"/>
  <c r="I899" i="1"/>
  <c r="I674" i="1"/>
  <c r="I485" i="1"/>
  <c r="I394" i="1"/>
  <c r="I501" i="1"/>
  <c r="I564" i="1"/>
  <c r="I330" i="1"/>
  <c r="I660" i="1"/>
  <c r="I754" i="1"/>
  <c r="I719" i="1"/>
  <c r="I360" i="1"/>
  <c r="I775" i="1"/>
  <c r="I833" i="1"/>
  <c r="I860" i="1"/>
  <c r="I745" i="1"/>
  <c r="I319" i="1"/>
  <c r="I478" i="1"/>
  <c r="I570" i="1"/>
  <c r="I781" i="1"/>
  <c r="I447" i="1"/>
  <c r="I576" i="1"/>
  <c r="I135" i="1"/>
  <c r="I429" i="1"/>
  <c r="I876" i="1"/>
  <c r="I369" i="1"/>
  <c r="I846" i="1"/>
  <c r="I820" i="1"/>
  <c r="I845" i="1"/>
  <c r="I677" i="1"/>
  <c r="I487" i="1"/>
  <c r="I522" i="1"/>
  <c r="I748" i="1"/>
  <c r="I736" i="1"/>
  <c r="I511" i="1"/>
  <c r="I163" i="1"/>
  <c r="I861" i="1"/>
  <c r="I445" i="1"/>
  <c r="I483" i="1"/>
  <c r="I410" i="1"/>
  <c r="I750" i="1"/>
  <c r="I387" i="1"/>
  <c r="I712" i="1"/>
  <c r="I508" i="1"/>
  <c r="I295" i="1"/>
  <c r="I204" i="1"/>
  <c r="I852" i="1"/>
  <c r="I885" i="1"/>
  <c r="I655" i="1"/>
  <c r="I262" i="1"/>
  <c r="I749" i="1"/>
  <c r="I667" i="1"/>
  <c r="I389" i="1"/>
  <c r="I203" i="1"/>
  <c r="I329" i="1"/>
  <c r="I569" i="1"/>
  <c r="I150" i="1"/>
  <c r="I309" i="1"/>
  <c r="I761" i="1"/>
  <c r="I724" i="1"/>
  <c r="I512" i="1"/>
  <c r="I791" i="1"/>
  <c r="I132" i="1"/>
  <c r="I256" i="1"/>
  <c r="I432" i="1"/>
  <c r="I790" i="1"/>
  <c r="I875" i="1"/>
  <c r="I715" i="1"/>
  <c r="I764" i="1"/>
  <c r="I747" i="1"/>
  <c r="I296" i="1"/>
  <c r="I289" i="1"/>
  <c r="I785" i="1"/>
  <c r="I500" i="1"/>
  <c r="I887" i="1"/>
  <c r="I531" i="1"/>
  <c r="I351" i="1"/>
  <c r="I170" i="1"/>
  <c r="I458" i="1"/>
  <c r="I205" i="1"/>
  <c r="I505" i="1"/>
  <c r="I160" i="1"/>
  <c r="I433" i="1"/>
  <c r="I436" i="1"/>
  <c r="I385" i="1"/>
  <c r="I587" i="1"/>
  <c r="I237" i="1"/>
  <c r="I896" i="1"/>
  <c r="I503" i="1"/>
  <c r="I332" i="1"/>
  <c r="I573" i="1"/>
  <c r="I778" i="1"/>
  <c r="I571" i="1"/>
  <c r="I837" i="1"/>
  <c r="I856" i="1"/>
  <c r="I713" i="1"/>
  <c r="I864" i="1"/>
  <c r="I604" i="1"/>
  <c r="I795" i="1"/>
  <c r="I877" i="1"/>
  <c r="I451" i="1"/>
  <c r="I179" i="1"/>
  <c r="I799" i="1"/>
  <c r="I164" i="1"/>
  <c r="I222" i="1"/>
  <c r="I324" i="1"/>
  <c r="I737" i="1"/>
  <c r="I623" i="1"/>
  <c r="I269" i="1"/>
  <c r="I365" i="1"/>
  <c r="I580" i="1"/>
  <c r="I834" i="1"/>
  <c r="I796" i="1"/>
  <c r="I391" i="1"/>
  <c r="I616" i="1"/>
  <c r="I367" i="1"/>
  <c r="I527" i="1"/>
  <c r="I676" i="1"/>
  <c r="I873" i="1"/>
  <c r="I735" i="1"/>
  <c r="I221" i="1"/>
  <c r="I157" i="1"/>
  <c r="I362" i="1"/>
  <c r="I642" i="1"/>
  <c r="I380" i="1"/>
  <c r="I278" i="1"/>
  <c r="I243" i="1"/>
  <c r="I838" i="1"/>
  <c r="I227" i="1"/>
  <c r="I184" i="1"/>
  <c r="I384" i="1"/>
  <c r="I471" i="1"/>
  <c r="I250" i="1"/>
  <c r="I291" i="1"/>
  <c r="I472" i="1"/>
  <c r="I886" i="1"/>
  <c r="I277" i="1"/>
  <c r="I292" i="1"/>
  <c r="I746" i="1"/>
  <c r="I884" i="1"/>
  <c r="I366" i="1"/>
  <c r="I836" i="1"/>
  <c r="I490" i="1"/>
  <c r="I582" i="1"/>
  <c r="I691" i="1"/>
  <c r="I178" i="1"/>
  <c r="I154" i="1"/>
  <c r="I268" i="1"/>
  <c r="I753" i="1"/>
  <c r="I725" i="1"/>
  <c r="I425" i="1"/>
  <c r="I686" i="1"/>
  <c r="I375" i="1"/>
  <c r="I171" i="1"/>
  <c r="I326" i="1"/>
  <c r="I464" i="1"/>
  <c r="I823" i="1"/>
  <c r="I678" i="1"/>
  <c r="I286" i="1"/>
  <c r="I853" i="1"/>
  <c r="I627" i="1"/>
  <c r="I814" i="1"/>
  <c r="I611" i="1"/>
  <c r="I589" i="1"/>
  <c r="I663" i="1"/>
  <c r="I238" i="1"/>
  <c r="I797" i="1"/>
  <c r="I664" i="1"/>
  <c r="I449" i="1"/>
  <c r="I567" i="1"/>
  <c r="I234" i="1"/>
  <c r="I496" i="1"/>
  <c r="I202" i="1"/>
  <c r="I465" i="1"/>
  <c r="I816" i="1"/>
  <c r="I151" i="1"/>
  <c r="I147" i="1"/>
  <c r="I779" i="1"/>
  <c r="I813" i="1"/>
  <c r="I421" i="1"/>
  <c r="I716" i="1"/>
  <c r="I133" i="1"/>
  <c r="I744" i="1"/>
  <c r="I363" i="1"/>
  <c r="I539" i="1"/>
  <c r="I722" i="1"/>
  <c r="I279" i="1"/>
  <c r="I844" i="1"/>
  <c r="I493" i="1"/>
  <c r="I603" i="1"/>
  <c r="I525" i="1"/>
  <c r="I868" i="1"/>
  <c r="I408" i="1"/>
  <c r="I246" i="1"/>
  <c r="I361" i="1"/>
  <c r="I284" i="1"/>
  <c r="I805" i="1"/>
  <c r="I143" i="1"/>
  <c r="I818" i="1"/>
  <c r="I187" i="1"/>
  <c r="I441" i="1"/>
  <c r="I612" i="1"/>
  <c r="I395" i="1"/>
  <c r="I504" i="1"/>
  <c r="I661" i="1"/>
  <c r="I622" i="1"/>
  <c r="I792" i="1"/>
  <c r="I271" i="1"/>
  <c r="I180" i="1"/>
  <c r="I870" i="1"/>
  <c r="I416" i="1"/>
  <c r="I188" i="1"/>
  <c r="I456" i="1"/>
  <c r="I427" i="1"/>
  <c r="I635" i="1"/>
  <c r="I679" i="1"/>
  <c r="I555" i="1"/>
  <c r="I705" i="1"/>
  <c r="I732" i="1"/>
  <c r="I819" i="1"/>
  <c r="I563" i="1"/>
  <c r="I479" i="1"/>
  <c r="I174" i="1"/>
  <c r="I601" i="1"/>
  <c r="I726" i="1"/>
  <c r="I843" i="1"/>
  <c r="I281" i="1"/>
  <c r="I252" i="1"/>
  <c r="I718" i="1"/>
  <c r="I236" i="1"/>
  <c r="I167" i="1"/>
  <c r="I134" i="1"/>
  <c r="I869" i="1"/>
  <c r="I452" i="1"/>
  <c r="I618" i="1"/>
  <c r="I226" i="1"/>
  <c r="I276" i="1"/>
  <c r="I769" i="1"/>
  <c r="I190" i="1"/>
  <c r="I245" i="1"/>
  <c r="I551" i="1"/>
  <c r="I558" i="1"/>
  <c r="I459" i="1"/>
  <c r="I689" i="1"/>
  <c r="I417" i="1"/>
  <c r="I721" i="1"/>
  <c r="I379" i="1"/>
  <c r="I137" i="1"/>
  <c r="I702" i="1"/>
  <c r="I230" i="1"/>
  <c r="I323" i="1"/>
  <c r="I407" i="1"/>
  <c r="I514" i="1"/>
  <c r="I484" i="1"/>
  <c r="I386" i="1"/>
  <c r="I831" i="1"/>
  <c r="I657" i="1"/>
  <c r="I733" i="1"/>
  <c r="I644" i="1"/>
  <c r="I272" i="1"/>
  <c r="I181" i="1"/>
  <c r="I756" i="1"/>
  <c r="I318" i="1"/>
  <c r="I353" i="1"/>
  <c r="I494" i="1"/>
  <c r="I871" i="1"/>
  <c r="I800" i="1"/>
  <c r="I233" i="1"/>
  <c r="I189" i="1"/>
  <c r="I328" i="1"/>
  <c r="I742" i="1"/>
  <c r="I804" i="1"/>
  <c r="I586" i="1"/>
  <c r="I826" i="1"/>
  <c r="I313" i="1"/>
  <c r="I595" i="1"/>
  <c r="I683" i="1"/>
  <c r="I740" i="1"/>
  <c r="I437" i="1"/>
  <c r="I450" i="1"/>
  <c r="I659" i="1"/>
  <c r="I470" i="1"/>
  <c r="I440" i="1"/>
  <c r="I848" i="1"/>
  <c r="I398" i="1"/>
  <c r="I185" i="1"/>
  <c r="I265" i="1"/>
  <c r="I214" i="1"/>
  <c r="I840" i="1"/>
  <c r="I839" i="1"/>
  <c r="I517" i="1"/>
  <c r="I156" i="1"/>
  <c r="I626" i="1"/>
  <c r="I506" i="1"/>
  <c r="I557" i="1"/>
  <c r="I420" i="1"/>
  <c r="I673" i="1"/>
  <c r="I741" i="1"/>
  <c r="I426" i="1"/>
  <c r="I707" i="1"/>
  <c r="I342" i="1"/>
  <c r="I850" i="1"/>
  <c r="I482" i="1"/>
  <c r="I457" i="1"/>
  <c r="I370" i="1"/>
  <c r="I681" i="1"/>
  <c r="I549" i="1"/>
  <c r="I584" i="1"/>
  <c r="I547" i="1"/>
  <c r="I765" i="1"/>
  <c r="I650" i="1"/>
  <c r="I304" i="1"/>
  <c r="I308" i="1"/>
  <c r="I352" i="1"/>
  <c r="I638" i="1"/>
  <c r="I524" i="1"/>
  <c r="I374" i="1"/>
  <c r="I613" i="1"/>
  <c r="I383" i="1"/>
  <c r="I755" i="1"/>
  <c r="I228" i="1"/>
  <c r="I442" i="1"/>
  <c r="I828" i="1"/>
  <c r="I654" i="1"/>
  <c r="I225" i="1"/>
  <c r="I641" i="1"/>
  <c r="I529" i="1"/>
  <c r="I382" i="1"/>
  <c r="I821" i="1"/>
  <c r="I619" i="1"/>
  <c r="I768" i="1"/>
  <c r="I480" i="1"/>
  <c r="I759" i="1"/>
  <c r="I428" i="1"/>
  <c r="I200" i="1"/>
  <c r="I444" i="1"/>
  <c r="I731" i="1"/>
  <c r="I399" i="1"/>
  <c r="I476" i="1"/>
  <c r="I730" i="1"/>
  <c r="I175" i="1"/>
  <c r="I798" i="1"/>
  <c r="I300" i="1"/>
  <c r="I552" i="1"/>
  <c r="I466" i="1"/>
  <c r="I213" i="1"/>
  <c r="I290" i="1"/>
  <c r="I491" i="1"/>
  <c r="I647" i="1"/>
  <c r="I144" i="1"/>
  <c r="I701" i="1"/>
  <c r="I597" i="1"/>
  <c r="I422" i="1"/>
  <c r="I258" i="1"/>
  <c r="I806" i="1"/>
  <c r="I373" i="1"/>
  <c r="I859" i="1"/>
  <c r="I825" i="1"/>
  <c r="I176" i="1"/>
  <c r="I653" i="1"/>
  <c r="I249" i="1"/>
  <c r="I878" i="1"/>
  <c r="I534" i="1"/>
  <c r="I357" i="1"/>
  <c r="I888" i="1"/>
  <c r="I220" i="1"/>
  <c r="I784" i="1"/>
  <c r="I142" i="1"/>
  <c r="I621" i="1"/>
  <c r="I855" i="1"/>
  <c r="I368" i="1"/>
  <c r="I260" i="1"/>
  <c r="I882" i="1"/>
  <c r="I760" i="1"/>
  <c r="I194" i="1"/>
  <c r="I146" i="1"/>
  <c r="I645" i="1"/>
  <c r="I617" i="1"/>
  <c r="I223" i="1"/>
  <c r="I461" i="1"/>
  <c r="I665" i="1"/>
  <c r="I435" i="1"/>
  <c r="I865" i="1"/>
  <c r="I810" i="1"/>
  <c r="I880" i="1"/>
  <c r="I462" i="1"/>
  <c r="I356" i="1"/>
  <c r="I413" i="1"/>
  <c r="I639" i="1"/>
  <c r="I211" i="1"/>
  <c r="I275" i="1"/>
  <c r="I708" i="1"/>
  <c r="I648" i="1"/>
  <c r="I780" i="1"/>
  <c r="I162" i="1"/>
  <c r="I239" i="1"/>
  <c r="I599" i="1"/>
  <c r="I600" i="1"/>
  <c r="I287" i="1"/>
  <c r="I763" i="1"/>
  <c r="I139" i="1"/>
  <c r="I172" i="1"/>
  <c r="I325" i="1"/>
  <c r="I530" i="1"/>
  <c r="I605" i="1"/>
  <c r="I670" i="1"/>
  <c r="I343" i="1"/>
  <c r="I412" i="1"/>
  <c r="I507" i="1"/>
  <c r="I536" i="1"/>
  <c r="I881" i="1"/>
  <c r="I515" i="1"/>
  <c r="I574" i="1"/>
  <c r="I849" i="1"/>
  <c r="I345" i="1"/>
  <c r="I757" i="1"/>
  <c r="I841" i="1"/>
  <c r="I636" i="1"/>
  <c r="I788" i="1"/>
  <c r="I152" i="1"/>
  <c r="I893" i="1"/>
  <c r="I376" i="1"/>
  <c r="I700" i="1"/>
  <c r="I158" i="1"/>
  <c r="I851" i="1"/>
  <c r="I240" i="1"/>
  <c r="I337" i="1"/>
  <c r="I892" i="1"/>
  <c r="I341" i="1"/>
  <c r="I340" i="1"/>
  <c r="I293" i="1"/>
  <c r="I201" i="1"/>
  <c r="I631" i="1"/>
  <c r="I847" i="1"/>
  <c r="I546" i="1"/>
  <c r="I891" i="1"/>
  <c r="I400" i="1"/>
  <c r="I169" i="1"/>
  <c r="I656" i="1"/>
  <c r="I372" i="1"/>
  <c r="I628" i="1"/>
  <c r="I794" i="1"/>
  <c r="I477" i="1"/>
  <c r="I614" i="1"/>
  <c r="I350" i="1"/>
  <c r="I594" i="1"/>
  <c r="I259" i="1"/>
  <c r="I542" i="1"/>
  <c r="I473" i="1"/>
  <c r="I643" i="1"/>
  <c r="I182" i="1"/>
  <c r="I165" i="1"/>
  <c r="I692" i="1"/>
  <c r="I321" i="1"/>
  <c r="I411" i="1"/>
  <c r="I454" i="1"/>
  <c r="I312" i="1"/>
  <c r="I215" i="1"/>
  <c r="I129" i="1"/>
  <c r="I348" i="1"/>
  <c r="I537" i="1"/>
  <c r="I668" i="1"/>
  <c r="I320" i="1"/>
  <c r="I468" i="1"/>
  <c r="I206" i="1"/>
  <c r="I669" i="1"/>
  <c r="I183" i="1"/>
  <c r="I210" i="1"/>
  <c r="I685" i="1"/>
  <c r="I565" i="1"/>
  <c r="I782" i="1"/>
  <c r="I186" i="1"/>
  <c r="I419" i="1"/>
  <c r="I671" i="1"/>
  <c r="I489" i="1"/>
  <c r="I402" i="1"/>
  <c r="I646" i="1"/>
  <c r="I862" i="1"/>
  <c r="I832" i="1"/>
  <c r="I776" i="1"/>
  <c r="I658" i="1"/>
  <c r="I544" i="1"/>
  <c r="I734" i="1"/>
  <c r="I714" i="1"/>
  <c r="I690" i="1"/>
  <c r="I830" i="1"/>
  <c r="I624" i="1"/>
  <c r="I680" i="1"/>
  <c r="I405" i="1"/>
  <c r="I495" i="1"/>
  <c r="I424" i="1"/>
  <c r="I590" i="1"/>
  <c r="I403" i="1"/>
  <c r="I327" i="1"/>
  <c r="I767" i="1"/>
  <c r="I192" i="1"/>
  <c r="I711" i="1"/>
  <c r="I177" i="1"/>
  <c r="I334" i="1"/>
  <c r="I687" i="1"/>
  <c r="I728" i="1"/>
  <c r="I241" i="1"/>
  <c r="I766" i="1"/>
  <c r="I579" i="1"/>
  <c r="I723" i="1"/>
  <c r="I572" i="1"/>
  <c r="I199" i="1"/>
  <c r="I561" i="1"/>
  <c r="I610" i="1"/>
  <c r="I787" i="1"/>
  <c r="I770" i="1"/>
  <c r="I251" i="1"/>
  <c r="I625" i="1"/>
  <c r="I688" i="1"/>
  <c r="I609" i="1"/>
  <c r="I274" i="1"/>
  <c r="I430" i="1"/>
  <c r="I729" i="1"/>
  <c r="I554" i="1"/>
  <c r="I774" i="1"/>
  <c r="I827" i="1"/>
  <c r="I378" i="1"/>
  <c r="I629" i="1"/>
  <c r="I486" i="1"/>
  <c r="I521" i="1"/>
  <c r="I607" i="1"/>
  <c r="I339" i="1"/>
  <c r="I414" i="1"/>
  <c r="I302" i="1"/>
  <c r="I488" i="1"/>
  <c r="I267" i="1"/>
  <c r="I216" i="1"/>
  <c r="I752" i="1"/>
  <c r="I545" i="1"/>
  <c r="I786" i="1"/>
  <c r="I771" i="1"/>
  <c r="I894" i="1"/>
  <c r="I282" i="1"/>
  <c r="I720" i="1"/>
  <c r="I817" i="1"/>
  <c r="I548" i="1"/>
  <c r="I314" i="1"/>
  <c r="I263" i="1"/>
  <c r="I338" i="1"/>
  <c r="I649" i="1"/>
  <c r="I404" i="1"/>
  <c r="I829" i="1"/>
  <c r="I510" i="1"/>
  <c r="I901" i="1"/>
  <c r="I710" i="1"/>
  <c r="I393" i="1"/>
  <c r="I883" i="1"/>
  <c r="I254" i="1"/>
  <c r="I652" i="1"/>
  <c r="I556" i="1"/>
  <c r="I209" i="1"/>
  <c r="I248" i="1"/>
  <c r="I585" i="1"/>
  <c r="I523" i="1"/>
  <c r="I212" i="1"/>
  <c r="I592" i="1"/>
  <c r="I335" i="1"/>
  <c r="I315" i="1"/>
  <c r="I874" i="1"/>
  <c r="I743" i="1"/>
  <c r="I359" i="1"/>
  <c r="I694" i="1"/>
  <c r="I900" i="1"/>
  <c r="I193" i="1"/>
  <c r="I208" i="1"/>
  <c r="I261" i="1"/>
  <c r="I519" i="1"/>
  <c r="I777" i="1"/>
  <c r="I253" i="1"/>
  <c r="I898" i="1"/>
  <c r="I633" i="1"/>
  <c r="I224" i="1"/>
  <c r="I196" i="1"/>
  <c r="I615" i="1"/>
  <c r="I857" i="1"/>
  <c r="I242" i="1"/>
  <c r="I815" i="1"/>
  <c r="I311" i="1"/>
  <c r="I141" i="1"/>
  <c r="I336" i="1"/>
  <c r="I897" i="1"/>
  <c r="I463" i="1"/>
  <c r="I662" i="1"/>
  <c r="I793" i="1"/>
  <c r="I863" i="1"/>
  <c r="I347" i="1"/>
  <c r="I502" i="1"/>
  <c r="I467" i="1"/>
  <c r="I333" i="1"/>
  <c r="I672" i="1"/>
  <c r="I235" i="1"/>
  <c r="I331" i="1"/>
  <c r="I229" i="1"/>
  <c r="I696" i="1"/>
  <c r="I354" i="1"/>
  <c r="I434" i="1"/>
  <c r="I520" i="1"/>
  <c r="I358" i="1"/>
  <c r="I695" i="1"/>
  <c r="I232" i="1"/>
  <c r="I310" i="1"/>
  <c r="I136" i="1"/>
  <c r="I822" i="1"/>
  <c r="I273" i="1"/>
  <c r="I842" i="1"/>
  <c r="I588" i="1"/>
  <c r="I835" i="1"/>
  <c r="I130" i="1"/>
  <c r="I540" i="1"/>
  <c r="I498" i="1"/>
  <c r="I824" i="1"/>
  <c r="I255" i="1"/>
  <c r="I879" i="1"/>
  <c r="I739" i="1"/>
  <c r="I173" i="1"/>
  <c r="I218" i="1"/>
  <c r="I637" i="1"/>
  <c r="I541" i="1"/>
  <c r="I344" i="1"/>
  <c r="I149" i="1"/>
  <c r="I866" i="1"/>
  <c r="I872" i="1"/>
  <c r="I438" i="1"/>
  <c r="I159" i="1"/>
  <c r="I533" i="1"/>
  <c r="I762" i="1"/>
  <c r="I138" i="1"/>
  <c r="I264" i="1"/>
  <c r="I161" i="1"/>
  <c r="I322" i="1"/>
  <c r="I801" i="1"/>
  <c r="I299" i="1"/>
  <c r="I270" i="1"/>
  <c r="I288" i="1"/>
  <c r="I535" i="1"/>
  <c r="I675" i="1"/>
  <c r="I693" i="1"/>
  <c r="I285" i="1"/>
  <c r="I889" i="1"/>
  <c r="I406" i="1"/>
  <c r="I499" i="1"/>
  <c r="I651" i="1"/>
  <c r="I145" i="1"/>
  <c r="I392" i="1"/>
  <c r="I751" i="1"/>
  <c r="I583" i="1"/>
  <c r="I575" i="1"/>
  <c r="I497" i="1"/>
  <c r="I131" i="1"/>
  <c r="I802" i="1"/>
  <c r="I560" i="1"/>
  <c r="I317" i="1"/>
  <c r="I559" i="1"/>
  <c r="I166" i="1"/>
  <c r="I772" i="1"/>
  <c r="I390" i="1"/>
  <c r="I703" i="1"/>
  <c r="I371" i="1"/>
  <c r="I266" i="1"/>
  <c r="I247" i="1"/>
  <c r="I448" i="1"/>
  <c r="I568" i="1"/>
  <c r="I591" i="1"/>
  <c r="I191" i="1"/>
  <c r="I562" i="1"/>
  <c r="I543" i="1"/>
  <c r="I809" i="1"/>
  <c r="I298" i="1"/>
  <c r="I518" i="1"/>
  <c r="I207" i="1"/>
  <c r="I364" i="1"/>
  <c r="I697" i="1"/>
  <c r="I303" i="1"/>
  <c r="I513" i="1"/>
  <c r="I640" i="1"/>
  <c r="I709" i="1"/>
  <c r="I377" i="1"/>
  <c r="I197" i="1"/>
  <c r="I684" i="1"/>
  <c r="I219" i="1"/>
  <c r="I620" i="1"/>
  <c r="I553" i="1"/>
  <c r="I381" i="1"/>
  <c r="I704" i="1"/>
  <c r="I439" i="1"/>
  <c r="I397" i="1"/>
  <c r="I727" i="1"/>
  <c r="I803" i="1"/>
  <c r="I581" i="1"/>
  <c r="I509" i="1"/>
  <c r="I257" i="1"/>
  <c r="I738" i="1"/>
  <c r="I455" i="1"/>
  <c r="I566" i="1"/>
  <c r="I808" i="1"/>
  <c r="I773" i="1"/>
  <c r="I632" i="1"/>
  <c r="I431" i="1"/>
  <c r="I148" i="1"/>
  <c r="I532" i="1"/>
  <c r="I155" i="1"/>
  <c r="I807" i="1"/>
  <c r="I418" i="1"/>
  <c r="I481" i="1"/>
  <c r="I758" i="1"/>
  <c r="I577" i="1"/>
  <c r="I306" i="1"/>
  <c r="I244" i="1"/>
  <c r="I890" i="1"/>
  <c r="I453" i="1"/>
  <c r="I443" i="1"/>
  <c r="I593" i="1"/>
  <c r="I608" i="1"/>
  <c r="I475" i="1"/>
  <c r="I409" i="1"/>
  <c r="I526" i="1"/>
  <c r="I516" i="1"/>
  <c r="I698" i="1"/>
  <c r="I602" i="1"/>
  <c r="I168" i="1"/>
  <c r="I634" i="1"/>
  <c r="I598" i="1"/>
  <c r="I307" i="1"/>
  <c r="I550" i="1"/>
  <c r="I867" i="1"/>
  <c r="I316" i="1"/>
  <c r="I492" i="1"/>
  <c r="I474" i="1"/>
  <c r="I297" i="1"/>
  <c r="I666" i="1"/>
  <c r="I812" i="1"/>
  <c r="I198" i="1"/>
  <c r="I469" i="1"/>
  <c r="I858" i="1"/>
  <c r="I446" i="1"/>
  <c r="I305" i="1"/>
  <c r="I140" i="1"/>
  <c r="I783" i="1"/>
  <c r="I811" i="1"/>
  <c r="I606" i="1"/>
  <c r="I423" i="1"/>
  <c r="I401" i="1"/>
  <c r="I789" i="1"/>
  <c r="I283" i="1"/>
  <c r="I153" i="1"/>
  <c r="I294" i="1"/>
  <c r="I388" i="1"/>
  <c r="I895" i="1"/>
  <c r="I396" i="1"/>
  <c r="I460" i="1"/>
  <c r="I231" i="1"/>
  <c r="I349" i="1"/>
  <c r="I699" i="1"/>
  <c r="I717" i="1"/>
  <c r="I346" i="1"/>
  <c r="I596" i="1"/>
</calcChain>
</file>

<file path=xl/sharedStrings.xml><?xml version="1.0" encoding="utf-8"?>
<sst xmlns="http://schemas.openxmlformats.org/spreadsheetml/2006/main" count="14487" uniqueCount="995">
  <si>
    <t>Emp_ID</t>
  </si>
  <si>
    <t>Dept</t>
  </si>
  <si>
    <t>Role</t>
  </si>
  <si>
    <t>Gender</t>
  </si>
  <si>
    <t>Exp</t>
  </si>
  <si>
    <t>City</t>
  </si>
  <si>
    <t>Gross</t>
  </si>
  <si>
    <t>Deductions</t>
  </si>
  <si>
    <t>Net</t>
  </si>
  <si>
    <t>Overtime_Pay</t>
  </si>
  <si>
    <t>Performance_Adjustment_%</t>
  </si>
  <si>
    <t>Total_Increment_%</t>
  </si>
  <si>
    <t>Predicted_CTC</t>
  </si>
  <si>
    <t>E1</t>
  </si>
  <si>
    <t>Operations</t>
  </si>
  <si>
    <t>Junior</t>
  </si>
  <si>
    <t>Male</t>
  </si>
  <si>
    <t>Lucknow</t>
  </si>
  <si>
    <t>E2</t>
  </si>
  <si>
    <t>Sales</t>
  </si>
  <si>
    <t>Senior</t>
  </si>
  <si>
    <t>Female</t>
  </si>
  <si>
    <t>Delhi</t>
  </si>
  <si>
    <t>E3</t>
  </si>
  <si>
    <t>Jaipur</t>
  </si>
  <si>
    <t>E4</t>
  </si>
  <si>
    <t>HR</t>
  </si>
  <si>
    <t>Pune</t>
  </si>
  <si>
    <t>E5</t>
  </si>
  <si>
    <t>IT</t>
  </si>
  <si>
    <t>E6</t>
  </si>
  <si>
    <t>Mumbai</t>
  </si>
  <si>
    <t>E7</t>
  </si>
  <si>
    <t>Mid</t>
  </si>
  <si>
    <t>E8</t>
  </si>
  <si>
    <t>Finance</t>
  </si>
  <si>
    <t>E9</t>
  </si>
  <si>
    <t>Indore</t>
  </si>
  <si>
    <t>E10</t>
  </si>
  <si>
    <t>E11</t>
  </si>
  <si>
    <t>E12</t>
  </si>
  <si>
    <t>E13</t>
  </si>
  <si>
    <t>E14</t>
  </si>
  <si>
    <t>Manager</t>
  </si>
  <si>
    <t>Bangalore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</si>
  <si>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</si>
  <si>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</si>
  <si>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</si>
  <si>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</si>
  <si>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</si>
  <si>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</si>
  <si>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</si>
  <si>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</si>
  <si>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</si>
  <si>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</si>
  <si>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</si>
  <si>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</si>
  <si>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</si>
  <si>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</si>
  <si>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</si>
  <si>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</si>
  <si>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</si>
  <si>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</si>
  <si>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</si>
  <si>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</si>
  <si>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</si>
  <si>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</si>
  <si>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</si>
  <si>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</si>
  <si>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</si>
  <si>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Chennai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</si>
  <si>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</si>
  <si>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</si>
  <si>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</si>
  <si>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</si>
  <si>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</si>
  <si>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</si>
  <si>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</si>
  <si>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</si>
  <si>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</si>
  <si>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</si>
  <si>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</si>
  <si>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</si>
  <si>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</si>
  <si>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</si>
  <si>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</si>
  <si>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</si>
  <si>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</si>
  <si>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</si>
  <si>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</si>
  <si>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</si>
  <si>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</si>
  <si>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</si>
  <si>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</si>
  <si>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</si>
  <si>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</si>
  <si>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</si>
  <si>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</si>
  <si>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</si>
  <si>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</si>
  <si>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</si>
  <si>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</si>
  <si>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</si>
  <si>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</si>
  <si>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</si>
  <si>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</si>
  <si>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</si>
  <si>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</si>
  <si>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</si>
  <si>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</si>
  <si>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</si>
  <si>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</si>
  <si>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</si>
  <si>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</si>
  <si>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</si>
  <si>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</si>
  <si>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</si>
  <si>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</si>
  <si>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</si>
  <si>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</si>
  <si>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</si>
  <si>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</si>
  <si>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</si>
  <si>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</si>
  <si>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</si>
  <si>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</si>
  <si>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</si>
  <si>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</si>
  <si>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</si>
  <si>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</si>
  <si>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</si>
  <si>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</si>
  <si>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</si>
  <si>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</si>
  <si>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</si>
  <si>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</si>
  <si>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</si>
  <si>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</si>
  <si>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</si>
  <si>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</si>
  <si>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</si>
  <si>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</si>
  <si>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</si>
  <si>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</si>
  <si>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</si>
  <si>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</si>
  <si>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</si>
  <si>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</si>
  <si>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</si>
  <si>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</si>
  <si>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</si>
  <si>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</si>
  <si>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</si>
  <si>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</si>
  <si>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</si>
  <si>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</si>
  <si>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</si>
  <si>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</si>
  <si>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</si>
  <si>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</si>
  <si>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</si>
  <si>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</si>
  <si>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</si>
  <si>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</si>
  <si>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</si>
  <si>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</si>
  <si>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</si>
  <si>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</si>
  <si>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</si>
  <si>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</si>
  <si>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</si>
  <si>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</si>
  <si>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</si>
  <si>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</si>
  <si>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</si>
  <si>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</si>
  <si>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</si>
  <si>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</si>
  <si>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</si>
  <si>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</si>
  <si>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</si>
  <si>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</si>
  <si>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</si>
  <si>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</si>
  <si>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</si>
  <si>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</si>
  <si>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</si>
  <si>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</si>
  <si>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</si>
  <si>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</si>
  <si>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</si>
  <si>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</si>
  <si>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</si>
  <si>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</si>
  <si>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</si>
  <si>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</si>
  <si>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</si>
  <si>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</si>
  <si>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</si>
  <si>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</si>
  <si>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</si>
  <si>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</si>
  <si>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</si>
  <si>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</si>
  <si>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</si>
  <si>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</si>
  <si>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</si>
  <si>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</si>
  <si>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</si>
  <si>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</si>
  <si>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</si>
  <si>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</si>
  <si>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</si>
  <si>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</si>
  <si>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</si>
  <si>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</si>
  <si>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</si>
  <si>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</si>
  <si>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</si>
  <si>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</si>
  <si>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</si>
  <si>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</si>
  <si>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</si>
  <si>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</si>
  <si>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</si>
  <si>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</si>
  <si>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</si>
  <si>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</si>
  <si>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</si>
  <si>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</si>
  <si>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</si>
  <si>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</si>
  <si>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</si>
  <si>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</si>
  <si>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</si>
  <si>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</si>
  <si>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</si>
  <si>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</si>
  <si>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</si>
  <si>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</si>
  <si>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</si>
  <si>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</si>
  <si>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</si>
  <si>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</si>
  <si>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</si>
  <si>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</si>
  <si>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</si>
  <si>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</si>
  <si>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</si>
  <si>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</si>
  <si>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</si>
  <si>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</si>
  <si>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</si>
  <si>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</si>
  <si>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</si>
  <si>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</si>
  <si>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</si>
  <si>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</si>
  <si>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</si>
  <si>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</si>
  <si>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</si>
  <si>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</si>
  <si>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</si>
  <si>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</si>
  <si>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</si>
  <si>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</si>
  <si>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</si>
  <si>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</si>
  <si>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</si>
  <si>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</si>
  <si>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</si>
  <si>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</si>
  <si>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</si>
  <si>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</si>
  <si>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</si>
  <si>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</si>
  <si>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</si>
  <si>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</si>
  <si>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</si>
  <si>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</si>
  <si>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</si>
  <si>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</si>
  <si>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</si>
  <si>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</si>
  <si>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</si>
  <si>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</si>
  <si>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</si>
  <si>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</si>
  <si>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</si>
  <si>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</si>
  <si>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</si>
  <si>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</si>
  <si>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</si>
  <si>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</si>
  <si>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</si>
  <si>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</si>
  <si>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</si>
  <si>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</si>
  <si>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</si>
  <si>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</si>
  <si>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</si>
  <si>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</si>
  <si>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</si>
  <si>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</si>
  <si>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</si>
  <si>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</si>
  <si>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</si>
  <si>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</si>
  <si>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</si>
  <si>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</si>
  <si>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</si>
  <si>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</si>
  <si>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</si>
  <si>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</si>
  <si>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</si>
  <si>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</si>
  <si>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</si>
  <si>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</si>
  <si>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</si>
  <si>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</si>
  <si>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</si>
  <si>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</si>
  <si>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</si>
  <si>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</si>
  <si>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</si>
  <si>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</si>
  <si>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</si>
  <si>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</si>
  <si>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</si>
  <si>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</si>
  <si>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</si>
  <si>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</si>
  <si>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</si>
  <si>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</si>
  <si>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</si>
  <si>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</si>
  <si>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</si>
  <si>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</si>
  <si>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</si>
  <si>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</si>
  <si>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</si>
  <si>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</si>
  <si>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</si>
  <si>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</si>
  <si>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</si>
  <si>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</si>
  <si>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</si>
  <si>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</si>
  <si>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</si>
  <si>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</si>
  <si>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</si>
  <si>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</si>
  <si>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</si>
  <si>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</si>
  <si>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</si>
  <si>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</si>
  <si>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</si>
  <si>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</si>
  <si>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</si>
  <si>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</si>
  <si>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</si>
  <si>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</si>
  <si>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</si>
  <si>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</si>
  <si>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</si>
  <si>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</si>
  <si>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</si>
  <si>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</si>
  <si>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</si>
  <si>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</si>
  <si>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</si>
  <si>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</si>
  <si>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</si>
  <si>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</si>
  <si>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</si>
  <si>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</si>
  <si>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</si>
  <si>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</si>
  <si>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</si>
  <si>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</si>
  <si>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</si>
  <si>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</si>
  <si>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</si>
  <si>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</si>
  <si>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</si>
  <si>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</si>
  <si>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</si>
  <si>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</si>
  <si>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</si>
  <si>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</si>
  <si>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</si>
  <si>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</si>
  <si>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</si>
  <si>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</si>
  <si>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</si>
  <si>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</si>
  <si>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</si>
  <si>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</si>
  <si>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</si>
  <si>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</si>
  <si>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</si>
  <si>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</si>
  <si>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</si>
  <si>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</si>
  <si>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</si>
  <si>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</si>
  <si>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</si>
  <si>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</si>
  <si>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</si>
  <si>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</si>
  <si>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</si>
  <si>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</si>
  <si>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</si>
  <si>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</si>
  <si>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</si>
  <si>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</si>
  <si>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</si>
  <si>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</si>
  <si>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</si>
  <si>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</si>
  <si>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</si>
  <si>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</si>
  <si>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</si>
  <si>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</si>
  <si>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</si>
  <si>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</si>
  <si>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</si>
  <si>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</si>
  <si>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</si>
  <si>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</si>
  <si>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</si>
  <si>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</si>
  <si>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</si>
  <si>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</si>
  <si>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</si>
  <si>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</si>
  <si>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</si>
  <si>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</si>
  <si>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</si>
  <si>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</si>
  <si>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</si>
  <si>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</si>
  <si>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</si>
  <si>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</si>
  <si>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</si>
  <si>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</si>
  <si>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</si>
  <si>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</si>
  <si>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</si>
  <si>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</si>
  <si>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</si>
  <si>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</si>
  <si>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</si>
  <si>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</si>
  <si>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</si>
  <si>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</si>
  <si>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</si>
  <si>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</si>
  <si>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</si>
  <si>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</si>
  <si>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</si>
  <si>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</si>
  <si>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</si>
  <si>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</si>
  <si>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</si>
  <si>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</si>
  <si>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</si>
  <si>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</si>
  <si>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</si>
  <si>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</si>
  <si>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</si>
  <si>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</si>
  <si>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</si>
  <si>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</si>
  <si>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</si>
  <si>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</si>
  <si>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</si>
  <si>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</si>
  <si>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</si>
  <si>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</si>
  <si>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</si>
  <si>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</si>
  <si>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</si>
  <si>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</si>
  <si>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</si>
  <si>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</si>
  <si>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</si>
  <si>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</si>
  <si>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</si>
  <si>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</si>
  <si>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</si>
  <si>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</si>
  <si>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</si>
  <si>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</si>
  <si>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</si>
  <si>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</si>
  <si>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</si>
  <si>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</si>
  <si>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</si>
  <si>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</si>
  <si>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</si>
  <si>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</si>
  <si>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</si>
  <si>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</si>
  <si>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</si>
  <si>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</si>
  <si>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</si>
  <si>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</si>
  <si>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</si>
  <si>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</si>
  <si>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</si>
  <si>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</si>
  <si>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</si>
  <si>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</si>
  <si>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</si>
  <si>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</si>
  <si>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</si>
  <si>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</si>
  <si>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</si>
  <si>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</si>
  <si>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</si>
  <si>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</si>
  <si>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</si>
  <si>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</si>
  <si>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</si>
  <si>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</si>
  <si>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</si>
  <si>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</si>
  <si>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</si>
  <si>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</si>
  <si>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</si>
  <si>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</si>
  <si>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</si>
  <si>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</si>
  <si>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</si>
  <si>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</si>
  <si>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</si>
  <si>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</si>
  <si>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</si>
  <si>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</si>
  <si>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</si>
  <si>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</si>
  <si>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</si>
  <si>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</si>
  <si>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</si>
  <si>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</si>
  <si>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</si>
  <si>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</si>
  <si>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</si>
  <si>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</si>
  <si>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</si>
  <si>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</si>
  <si>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</si>
  <si>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</si>
  <si>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</si>
  <si>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</si>
  <si>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</si>
  <si>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</si>
  <si>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</si>
  <si>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</si>
  <si>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</si>
  <si>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</si>
  <si>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</si>
  <si>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</si>
  <si>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</si>
  <si>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</si>
  <si>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</si>
  <si>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</si>
  <si>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</si>
  <si>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</si>
  <si>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</si>
  <si>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</si>
  <si>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</si>
  <si>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</si>
  <si>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</si>
  <si>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</si>
  <si>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</si>
  <si>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</si>
  <si>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</si>
  <si>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</si>
  <si>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</si>
  <si>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</si>
  <si>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</si>
  <si>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</si>
  <si>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</si>
  <si>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</si>
  <si>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</si>
  <si>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</si>
  <si>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</si>
  <si>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</si>
  <si>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</si>
  <si>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</si>
  <si>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</si>
  <si>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</si>
  <si>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</si>
  <si>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</si>
  <si>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</si>
  <si>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</si>
  <si>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</si>
  <si>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</si>
  <si>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</si>
  <si>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</si>
  <si>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</si>
  <si>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</si>
  <si>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</si>
  <si>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</si>
  <si>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</si>
  <si>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</si>
  <si>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</si>
  <si>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</si>
  <si>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</si>
  <si>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</si>
  <si>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</si>
  <si>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</si>
  <si>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</si>
  <si>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</si>
  <si>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</si>
  <si>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</si>
  <si>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</si>
  <si>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</si>
  <si>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</si>
  <si>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</si>
  <si>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</si>
  <si>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</si>
  <si>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</si>
  <si>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</si>
  <si>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</si>
  <si>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</si>
  <si>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</si>
  <si>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</si>
  <si>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</si>
  <si>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</si>
  <si>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</si>
  <si>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</si>
  <si>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</si>
  <si>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</si>
  <si>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</si>
  <si>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</si>
  <si>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</si>
  <si>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</si>
  <si>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</si>
  <si>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</si>
  <si>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</si>
  <si>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</si>
  <si>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</si>
  <si>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</si>
  <si>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</si>
  <si>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</si>
  <si>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</si>
  <si>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</si>
  <si>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</si>
  <si>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</si>
  <si>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</si>
  <si>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</si>
  <si>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</si>
  <si>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</si>
  <si>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</si>
  <si>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</si>
  <si>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</si>
  <si>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</si>
  <si>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</si>
  <si>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</si>
  <si>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</si>
  <si>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</si>
  <si>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</si>
  <si>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</si>
  <si>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</si>
  <si>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</si>
  <si>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</si>
  <si>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</si>
  <si>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</si>
  <si>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</si>
  <si>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</si>
  <si>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</si>
  <si>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</si>
  <si>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</si>
  <si>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</si>
  <si>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</si>
  <si>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</si>
  <si>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</si>
  <si>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</si>
  <si>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</si>
  <si>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</si>
  <si>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</si>
  <si>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</si>
  <si>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</si>
  <si>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</si>
  <si>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</si>
  <si>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</si>
  <si>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</si>
  <si>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</si>
  <si>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</si>
  <si>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</si>
  <si>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</si>
  <si>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</si>
  <si>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</si>
  <si>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</si>
  <si>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</si>
  <si>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</si>
  <si>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</si>
  <si>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</si>
  <si>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</si>
  <si>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</si>
  <si>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</si>
  <si>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</si>
  <si>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</si>
  <si>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</si>
  <si>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</si>
  <si>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</si>
  <si>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</si>
  <si>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</si>
  <si>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</si>
  <si>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</si>
  <si>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</si>
  <si>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</si>
  <si>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</si>
  <si>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</si>
  <si>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</si>
  <si>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</si>
  <si>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</si>
  <si>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</si>
  <si>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</si>
  <si>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</si>
  <si>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</si>
  <si>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</si>
  <si>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</si>
  <si>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</si>
  <si>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</si>
  <si>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</si>
  <si>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</si>
  <si>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</si>
  <si>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</si>
  <si>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</si>
  <si>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</si>
  <si>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</si>
  <si>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</si>
  <si>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</si>
  <si>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</si>
  <si>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</si>
  <si>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</si>
  <si>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</si>
  <si>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</si>
  <si>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</si>
  <si>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</si>
  <si>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</si>
  <si>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</si>
  <si>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</si>
  <si>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</si>
  <si>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</si>
  <si>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</si>
  <si>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</si>
  <si>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</si>
  <si>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</si>
  <si>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</si>
  <si>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</si>
  <si>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</si>
  <si>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</si>
  <si>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</si>
  <si>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</si>
  <si>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</si>
  <si>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</si>
  <si>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</si>
  <si>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</si>
  <si>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</si>
  <si>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</si>
  <si>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</si>
  <si>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</si>
  <si>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</si>
  <si>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</si>
  <si>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</si>
  <si>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</si>
  <si>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</si>
  <si>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</si>
  <si>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</si>
  <si>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</si>
  <si>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</si>
  <si>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</si>
  <si>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</si>
  <si>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</si>
  <si>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</si>
  <si>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</si>
  <si>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</si>
  <si>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</si>
  <si>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</si>
  <si>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</si>
  <si>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</si>
  <si>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</si>
  <si>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</si>
  <si>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</si>
  <si>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</si>
  <si>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</si>
  <si>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</si>
  <si>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</si>
  <si>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</si>
  <si>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</si>
  <si>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</si>
  <si>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</si>
  <si>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</si>
  <si>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</si>
  <si>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</si>
  <si>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</si>
  <si>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</si>
  <si>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</si>
  <si>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</si>
  <si>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</si>
  <si>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</si>
  <si>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</si>
  <si>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</si>
  <si>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</si>
  <si>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</si>
  <si>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</si>
  <si>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</si>
  <si>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</si>
  <si>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</si>
  <si>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</si>
  <si>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</si>
  <si>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</si>
  <si>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</si>
  <si>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</si>
  <si>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</si>
  <si>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</si>
  <si>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</si>
  <si>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</si>
  <si>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</si>
  <si>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</si>
  <si>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</si>
  <si>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</si>
  <si>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</si>
  <si>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</si>
  <si>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</si>
  <si>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</si>
  <si>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</si>
  <si>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</si>
  <si>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</si>
  <si>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</si>
  <si>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</si>
  <si>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</si>
  <si>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</si>
  <si>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</si>
  <si>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</si>
  <si>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</si>
  <si>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</si>
  <si>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</si>
  <si>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</si>
  <si>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</si>
  <si>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</si>
  <si>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</si>
  <si>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</si>
  <si>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</si>
  <si>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</si>
  <si>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</si>
  <si>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</si>
  <si>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</si>
  <si>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</si>
  <si>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</si>
  <si>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</si>
  <si>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</si>
  <si>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</si>
  <si>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</si>
  <si>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</si>
  <si>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</si>
  <si>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</si>
  <si>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</si>
  <si>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</si>
  <si>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</si>
  <si>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</si>
  <si>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</si>
  <si>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</si>
  <si>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</si>
  <si>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</si>
  <si>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</si>
  <si>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</si>
  <si>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</si>
  <si>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</si>
  <si>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</si>
  <si>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</si>
  <si>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</si>
  <si>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</si>
  <si>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</si>
  <si>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</si>
  <si>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</si>
  <si>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</si>
  <si>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</si>
  <si>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</si>
  <si>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</si>
  <si>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</si>
  <si>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</si>
  <si>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</si>
  <si>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</si>
  <si>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</si>
  <si>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</si>
  <si>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</si>
  <si>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</si>
  <si>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</si>
  <si>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</si>
  <si>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</si>
  <si>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</si>
  <si>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</si>
  <si>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</si>
  <si>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</si>
  <si>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</si>
  <si>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</si>
  <si>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</si>
  <si>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</si>
  <si>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</si>
  <si>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</si>
  <si>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</si>
  <si>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</si>
  <si>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</si>
  <si>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</si>
  <si>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</si>
  <si>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</si>
  <si>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</si>
  <si>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</si>
  <si>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</si>
  <si>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</si>
  <si>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</si>
  <si>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</si>
  <si>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</si>
  <si>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</si>
  <si>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</si>
  <si>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</si>
  <si>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</si>
  <si>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</si>
  <si>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</si>
  <si>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</si>
  <si>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</si>
  <si>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</si>
  <si>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</si>
  <si>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</si>
  <si>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</si>
  <si>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</si>
  <si>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Department</t>
  </si>
  <si>
    <t>Experience</t>
  </si>
  <si>
    <t>Metro_Type</t>
  </si>
  <si>
    <t>Join_Date</t>
  </si>
  <si>
    <t>Non-Metro</t>
  </si>
  <si>
    <t>Metro</t>
  </si>
  <si>
    <t>CTC</t>
  </si>
  <si>
    <t>Basic</t>
  </si>
  <si>
    <t>HRA</t>
  </si>
  <si>
    <t>Allowance</t>
  </si>
  <si>
    <t>Bonus</t>
  </si>
  <si>
    <t>PF</t>
  </si>
  <si>
    <t>ESI</t>
  </si>
  <si>
    <t>PT</t>
  </si>
  <si>
    <t>Annual</t>
  </si>
  <si>
    <t>Tax</t>
  </si>
  <si>
    <t>Monthly_TDS</t>
  </si>
  <si>
    <t>Rule</t>
  </si>
  <si>
    <t>Details</t>
  </si>
  <si>
    <t>Dept Salary Bands</t>
  </si>
  <si>
    <t>IT highest, Ops lowest</t>
  </si>
  <si>
    <t>Gender Pay Gap</t>
  </si>
  <si>
    <t>Female ~5% lower</t>
  </si>
  <si>
    <t>Metro HRA</t>
  </si>
  <si>
    <t>50% basic</t>
  </si>
  <si>
    <t>Non Metro HRA</t>
  </si>
  <si>
    <t>40% basic</t>
  </si>
  <si>
    <t>12% capped 1800</t>
  </si>
  <si>
    <t>&lt;=21000</t>
  </si>
  <si>
    <t>Tax Slabs</t>
  </si>
  <si>
    <t>0-2.5L 0%, 2.5-5L 5%, 5-10L 20%, 10L+ 30%</t>
  </si>
  <si>
    <t>Overtime Rule</t>
  </si>
  <si>
    <t>2x hourly wage for extra hours</t>
  </si>
  <si>
    <t>Hourly Rate Calculation</t>
  </si>
  <si>
    <t>Basic Salary / 160 hours per month</t>
  </si>
  <si>
    <t>--- Performance Analytics ---</t>
  </si>
  <si>
    <t>Value Generation Assumption</t>
  </si>
  <si>
    <t>Based on department multipliers (proxy model)</t>
  </si>
  <si>
    <t>Sales Multiplier</t>
  </si>
  <si>
    <t>~3x CTC</t>
  </si>
  <si>
    <t>IT Multiplier</t>
  </si>
  <si>
    <t>~2x CTC</t>
  </si>
  <si>
    <t>Finance Multiplier</t>
  </si>
  <si>
    <t>~1.5x CTC</t>
  </si>
  <si>
    <t>HR Multiplier</t>
  </si>
  <si>
    <t>~1.2x CTC</t>
  </si>
  <si>
    <t>Operations Multiplier</t>
  </si>
  <si>
    <t>~1.3x CTC</t>
  </si>
  <si>
    <t>Employer Cost</t>
  </si>
  <si>
    <t>CTC + PF + ESI + Overtime</t>
  </si>
  <si>
    <t>Net Value</t>
  </si>
  <si>
    <t>Value Generated - Employer Cost</t>
  </si>
  <si>
    <t>ROI</t>
  </si>
  <si>
    <t>Value Generated / Employer Cost</t>
  </si>
  <si>
    <t>Note</t>
  </si>
  <si>
    <t>Actual employee value cannot be directly measured; proxies are used</t>
  </si>
  <si>
    <t>Overtime_Hours</t>
  </si>
  <si>
    <t>Hourly_Rate</t>
  </si>
  <si>
    <t>OT_Pay</t>
  </si>
  <si>
    <t>Value_Generated</t>
  </si>
  <si>
    <t>Employer_Cost</t>
  </si>
  <si>
    <t>Net_Value</t>
  </si>
  <si>
    <t>Base_Increment_% (Next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</si>
</sst>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prsh\Downloads\updated_payroll_hierarchy.xlsx" TargetMode="External"/><Relationship Id="rId1" Type="http://schemas.openxmlformats.org/officeDocument/2006/relationships/externalLinkPath" Target="updated_payroll_hierarch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_Info"/>
      <sheetName val="Final_Payroll"/>
      <sheetName val="Earnings"/>
      <sheetName val="Deductions"/>
      <sheetName val="Tax"/>
      <sheetName val="Overtime"/>
      <sheetName val="Performance"/>
      <sheetName val="Labour_Law_Rules"/>
    </sheetNames>
    <sheetDataSet>
      <sheetData sheetId="0" refreshError="1"/>
      <sheetData sheetId="1"/>
      <sheetData sheetId="2">
        <row r="2">
          <cell r="G2">
            <v>539814.46</v>
          </cell>
        </row>
        <row r="3">
          <cell r="G3">
            <v>1295462.74</v>
          </cell>
        </row>
        <row r="4">
          <cell r="G4">
            <v>616474.26</v>
          </cell>
        </row>
        <row r="5">
          <cell r="G5">
            <v>672030.7</v>
          </cell>
        </row>
        <row r="6">
          <cell r="G6">
            <v>952611.18</v>
          </cell>
        </row>
        <row r="7">
          <cell r="G7">
            <v>489313.86</v>
          </cell>
        </row>
        <row r="8">
          <cell r="G8">
            <v>1030780.49</v>
          </cell>
        </row>
        <row r="9">
          <cell r="G9">
            <v>1237062.69</v>
          </cell>
        </row>
        <row r="10">
          <cell r="G10">
            <v>1634425.17</v>
          </cell>
        </row>
        <row r="11">
          <cell r="G11">
            <v>1022572.52</v>
          </cell>
        </row>
        <row r="12">
          <cell r="G12">
            <v>535136.18999999994</v>
          </cell>
        </row>
        <row r="13">
          <cell r="G13">
            <v>1143660.07</v>
          </cell>
        </row>
        <row r="14">
          <cell r="G14">
            <v>1264012.8600000001</v>
          </cell>
        </row>
        <row r="15">
          <cell r="G15">
            <v>1148462.2</v>
          </cell>
        </row>
        <row r="16">
          <cell r="G16">
            <v>1310617.4099999999</v>
          </cell>
        </row>
        <row r="17">
          <cell r="G17">
            <v>1054257.27</v>
          </cell>
        </row>
        <row r="18">
          <cell r="G18">
            <v>1060954.99</v>
          </cell>
        </row>
        <row r="19">
          <cell r="G19">
            <v>1429305.38</v>
          </cell>
        </row>
        <row r="20">
          <cell r="G20">
            <v>1191731.5</v>
          </cell>
        </row>
        <row r="21">
          <cell r="G21">
            <v>888138.32</v>
          </cell>
        </row>
        <row r="22">
          <cell r="G22">
            <v>753085.31</v>
          </cell>
        </row>
        <row r="23">
          <cell r="G23">
            <v>1164118.17</v>
          </cell>
        </row>
        <row r="24">
          <cell r="G24">
            <v>1043748.05</v>
          </cell>
        </row>
        <row r="25">
          <cell r="G25">
            <v>1614241.76</v>
          </cell>
        </row>
        <row r="26">
          <cell r="G26">
            <v>914104.21</v>
          </cell>
        </row>
        <row r="27">
          <cell r="G27">
            <v>846232.8</v>
          </cell>
        </row>
        <row r="28">
          <cell r="G28">
            <v>517778.41</v>
          </cell>
        </row>
        <row r="29">
          <cell r="G29">
            <v>421265.36</v>
          </cell>
        </row>
        <row r="30">
          <cell r="G30">
            <v>1089363.55</v>
          </cell>
        </row>
        <row r="31">
          <cell r="G31">
            <v>500474.16</v>
          </cell>
        </row>
        <row r="32">
          <cell r="G32">
            <v>1514985.86</v>
          </cell>
        </row>
        <row r="33">
          <cell r="G33">
            <v>904807.27</v>
          </cell>
        </row>
        <row r="34">
          <cell r="G34">
            <v>1727366.87</v>
          </cell>
        </row>
        <row r="35">
          <cell r="G35">
            <v>1300136.1399999999</v>
          </cell>
        </row>
        <row r="36">
          <cell r="G36">
            <v>490911.94</v>
          </cell>
        </row>
        <row r="37">
          <cell r="G37">
            <v>761512.04</v>
          </cell>
        </row>
        <row r="38">
          <cell r="G38">
            <v>596366.12</v>
          </cell>
        </row>
        <row r="39">
          <cell r="G39">
            <v>1057470.24</v>
          </cell>
        </row>
        <row r="40">
          <cell r="G40">
            <v>927011.45</v>
          </cell>
        </row>
        <row r="41">
          <cell r="G41">
            <v>733219.93</v>
          </cell>
        </row>
        <row r="42">
          <cell r="G42">
            <v>1030275.72</v>
          </cell>
        </row>
        <row r="43">
          <cell r="G43">
            <v>1319222.77</v>
          </cell>
        </row>
        <row r="44">
          <cell r="G44">
            <v>2232654.0099999998</v>
          </cell>
        </row>
        <row r="45">
          <cell r="G45">
            <v>321161.01</v>
          </cell>
        </row>
        <row r="46">
          <cell r="G46">
            <v>1222528.1299999999</v>
          </cell>
        </row>
        <row r="47">
          <cell r="G47">
            <v>1225055.1200000001</v>
          </cell>
        </row>
        <row r="48">
          <cell r="G48">
            <v>1018858.58</v>
          </cell>
        </row>
        <row r="49">
          <cell r="G49">
            <v>1094275.45</v>
          </cell>
        </row>
        <row r="50">
          <cell r="G50">
            <v>1141953.32</v>
          </cell>
        </row>
        <row r="51">
          <cell r="G51">
            <v>1459063.76</v>
          </cell>
        </row>
        <row r="52">
          <cell r="G52">
            <v>1499602.97</v>
          </cell>
        </row>
        <row r="53">
          <cell r="G53">
            <v>912560.54</v>
          </cell>
        </row>
        <row r="54">
          <cell r="G54">
            <v>1303240.8799999999</v>
          </cell>
        </row>
        <row r="55">
          <cell r="G55">
            <v>756038.42</v>
          </cell>
        </row>
        <row r="56">
          <cell r="G56">
            <v>1155873.8500000001</v>
          </cell>
        </row>
        <row r="57">
          <cell r="G57">
            <v>983449.08</v>
          </cell>
        </row>
        <row r="58">
          <cell r="G58">
            <v>876490.22</v>
          </cell>
        </row>
        <row r="59">
          <cell r="G59">
            <v>677756.46</v>
          </cell>
        </row>
        <row r="60">
          <cell r="G60">
            <v>1185213.67</v>
          </cell>
        </row>
        <row r="61">
          <cell r="G61">
            <v>676022.27</v>
          </cell>
        </row>
        <row r="62">
          <cell r="G62">
            <v>449015.56</v>
          </cell>
        </row>
        <row r="63">
          <cell r="G63">
            <v>1548271.84</v>
          </cell>
        </row>
        <row r="64">
          <cell r="G64">
            <v>982137.61</v>
          </cell>
        </row>
        <row r="65">
          <cell r="G65">
            <v>840628.95</v>
          </cell>
        </row>
        <row r="66">
          <cell r="G66">
            <v>1628447.03</v>
          </cell>
        </row>
        <row r="67">
          <cell r="G67">
            <v>1291804.3999999999</v>
          </cell>
        </row>
        <row r="68">
          <cell r="G68">
            <v>1131629.45</v>
          </cell>
        </row>
        <row r="69">
          <cell r="G69">
            <v>1150406.3899999999</v>
          </cell>
        </row>
        <row r="70">
          <cell r="G70">
            <v>599589.16</v>
          </cell>
        </row>
        <row r="71">
          <cell r="G71">
            <v>1241377.45</v>
          </cell>
        </row>
        <row r="72">
          <cell r="G72">
            <v>1174713.93</v>
          </cell>
        </row>
        <row r="73">
          <cell r="G73">
            <v>1686314.21</v>
          </cell>
        </row>
        <row r="74">
          <cell r="G74">
            <v>1033030.28</v>
          </cell>
        </row>
        <row r="75">
          <cell r="G75">
            <v>912096.25</v>
          </cell>
        </row>
        <row r="76">
          <cell r="G76">
            <v>686803.17</v>
          </cell>
        </row>
        <row r="77">
          <cell r="G77">
            <v>681131.44</v>
          </cell>
        </row>
        <row r="78">
          <cell r="G78">
            <v>706832.01</v>
          </cell>
        </row>
        <row r="79">
          <cell r="G79">
            <v>1057629.42</v>
          </cell>
        </row>
        <row r="80">
          <cell r="G80">
            <v>1223151.1200000001</v>
          </cell>
        </row>
        <row r="81">
          <cell r="G81">
            <v>1922694.8</v>
          </cell>
        </row>
        <row r="82">
          <cell r="G82">
            <v>616755.93999999994</v>
          </cell>
        </row>
        <row r="83">
          <cell r="G83">
            <v>976662.65</v>
          </cell>
        </row>
        <row r="84">
          <cell r="G84">
            <v>667033.07999999996</v>
          </cell>
        </row>
        <row r="85">
          <cell r="G85">
            <v>1031805.18</v>
          </cell>
        </row>
        <row r="86">
          <cell r="G86">
            <v>1241364.21</v>
          </cell>
        </row>
        <row r="87">
          <cell r="G87">
            <v>643666.24</v>
          </cell>
        </row>
        <row r="88">
          <cell r="G88">
            <v>731865.23</v>
          </cell>
        </row>
        <row r="89">
          <cell r="G89">
            <v>1768053.45</v>
          </cell>
        </row>
        <row r="90">
          <cell r="G90">
            <v>1138030.32</v>
          </cell>
        </row>
        <row r="91">
          <cell r="G91">
            <v>1078810.97</v>
          </cell>
        </row>
        <row r="92">
          <cell r="G92">
            <v>1782327.74</v>
          </cell>
        </row>
        <row r="93">
          <cell r="G93">
            <v>886623.3</v>
          </cell>
        </row>
        <row r="94">
          <cell r="G94">
            <v>1176540.1100000001</v>
          </cell>
        </row>
        <row r="95">
          <cell r="G95">
            <v>921137.91</v>
          </cell>
        </row>
        <row r="96">
          <cell r="G96">
            <v>1168696.9099999999</v>
          </cell>
        </row>
        <row r="97">
          <cell r="G97">
            <v>1441006.2</v>
          </cell>
        </row>
        <row r="98">
          <cell r="G98">
            <v>1096647.77</v>
          </cell>
        </row>
        <row r="99">
          <cell r="G99">
            <v>1132407.2</v>
          </cell>
        </row>
        <row r="100">
          <cell r="G100">
            <v>796014.53</v>
          </cell>
        </row>
        <row r="101">
          <cell r="G101">
            <v>1218404.24</v>
          </cell>
        </row>
        <row r="102">
          <cell r="G102">
            <v>1016782.19</v>
          </cell>
        </row>
        <row r="103">
          <cell r="G103">
            <v>947997.98</v>
          </cell>
        </row>
        <row r="104">
          <cell r="G104">
            <v>910145.51</v>
          </cell>
        </row>
        <row r="105">
          <cell r="G105">
            <v>855080.35</v>
          </cell>
        </row>
        <row r="106">
          <cell r="G106">
            <v>2443741.92</v>
          </cell>
        </row>
        <row r="107">
          <cell r="G107">
            <v>579926.98</v>
          </cell>
        </row>
        <row r="108">
          <cell r="G108">
            <v>1071995.79</v>
          </cell>
        </row>
        <row r="109">
          <cell r="G109">
            <v>919623.43</v>
          </cell>
        </row>
        <row r="110">
          <cell r="G110">
            <v>828026.31</v>
          </cell>
        </row>
        <row r="111">
          <cell r="G111">
            <v>1159590.07</v>
          </cell>
        </row>
        <row r="112">
          <cell r="G112">
            <v>1664614.22</v>
          </cell>
        </row>
        <row r="113">
          <cell r="G113">
            <v>1266591.3999999999</v>
          </cell>
        </row>
        <row r="114">
          <cell r="G114">
            <v>840539.41</v>
          </cell>
        </row>
        <row r="115">
          <cell r="G115">
            <v>544789.62</v>
          </cell>
        </row>
        <row r="116">
          <cell r="G116">
            <v>1444375.35</v>
          </cell>
        </row>
        <row r="117">
          <cell r="G117">
            <v>1137536.8</v>
          </cell>
        </row>
        <row r="118">
          <cell r="G118">
            <v>805721.82</v>
          </cell>
        </row>
        <row r="119">
          <cell r="G119">
            <v>1694734.99</v>
          </cell>
        </row>
        <row r="120">
          <cell r="G120">
            <v>1090603.58</v>
          </cell>
        </row>
        <row r="121">
          <cell r="G121">
            <v>1203825.8999999999</v>
          </cell>
        </row>
        <row r="122">
          <cell r="G122">
            <v>920691.86</v>
          </cell>
        </row>
        <row r="123">
          <cell r="G123">
            <v>967130.14</v>
          </cell>
        </row>
        <row r="124">
          <cell r="G124">
            <v>1019581.67</v>
          </cell>
        </row>
        <row r="125">
          <cell r="G125">
            <v>825960.48</v>
          </cell>
        </row>
        <row r="126">
          <cell r="G126">
            <v>853714.71</v>
          </cell>
        </row>
        <row r="127">
          <cell r="G127">
            <v>1044411.78</v>
          </cell>
        </row>
        <row r="128">
          <cell r="G128">
            <v>1441952.32</v>
          </cell>
        </row>
        <row r="129">
          <cell r="G129">
            <v>402279.02</v>
          </cell>
        </row>
        <row r="130">
          <cell r="G130">
            <v>875449.68</v>
          </cell>
        </row>
        <row r="131">
          <cell r="G131">
            <v>756658.17</v>
          </cell>
        </row>
        <row r="132">
          <cell r="G132">
            <v>1356422.01</v>
          </cell>
        </row>
        <row r="133">
          <cell r="G133">
            <v>1370268.02</v>
          </cell>
        </row>
        <row r="134">
          <cell r="G134">
            <v>689587.45</v>
          </cell>
        </row>
        <row r="135">
          <cell r="G135">
            <v>814106.51</v>
          </cell>
        </row>
        <row r="136">
          <cell r="G136">
            <v>1091894.6000000001</v>
          </cell>
        </row>
        <row r="137">
          <cell r="G137">
            <v>800299.18</v>
          </cell>
        </row>
        <row r="138">
          <cell r="G138">
            <v>456857.3</v>
          </cell>
        </row>
        <row r="139">
          <cell r="G139">
            <v>1314197.44</v>
          </cell>
        </row>
        <row r="140">
          <cell r="G140">
            <v>1651983.42</v>
          </cell>
        </row>
        <row r="141">
          <cell r="G141">
            <v>1076735.99</v>
          </cell>
        </row>
        <row r="142">
          <cell r="G142">
            <v>466175.69</v>
          </cell>
        </row>
        <row r="143">
          <cell r="G143">
            <v>569750.29</v>
          </cell>
        </row>
        <row r="144">
          <cell r="G144">
            <v>724313.02</v>
          </cell>
        </row>
        <row r="145">
          <cell r="G145">
            <v>1050417.1000000001</v>
          </cell>
        </row>
        <row r="146">
          <cell r="G146">
            <v>1127476.23</v>
          </cell>
        </row>
        <row r="147">
          <cell r="G147">
            <v>1066894.21</v>
          </cell>
        </row>
        <row r="148">
          <cell r="G148">
            <v>806017.56</v>
          </cell>
        </row>
        <row r="149">
          <cell r="G149">
            <v>564524.57999999996</v>
          </cell>
        </row>
        <row r="150">
          <cell r="G150">
            <v>656280.56999999995</v>
          </cell>
        </row>
        <row r="151">
          <cell r="G151">
            <v>859941.5</v>
          </cell>
        </row>
        <row r="152">
          <cell r="G152">
            <v>844140.55</v>
          </cell>
        </row>
        <row r="153">
          <cell r="G153">
            <v>1019432.06</v>
          </cell>
        </row>
        <row r="154">
          <cell r="G154">
            <v>1385937.4</v>
          </cell>
        </row>
        <row r="155">
          <cell r="G155">
            <v>1962483.17</v>
          </cell>
        </row>
        <row r="156">
          <cell r="G156">
            <v>1179879.52</v>
          </cell>
        </row>
        <row r="157">
          <cell r="G157">
            <v>1040745.54</v>
          </cell>
        </row>
        <row r="158">
          <cell r="G158">
            <v>1029965.45</v>
          </cell>
        </row>
        <row r="159">
          <cell r="G159">
            <v>721170.73</v>
          </cell>
        </row>
        <row r="160">
          <cell r="G160">
            <v>1518011.89</v>
          </cell>
        </row>
        <row r="161">
          <cell r="G161">
            <v>1048462.64</v>
          </cell>
        </row>
        <row r="162">
          <cell r="G162">
            <v>809392.3</v>
          </cell>
        </row>
        <row r="163">
          <cell r="G163">
            <v>886237.36</v>
          </cell>
        </row>
        <row r="164">
          <cell r="G164">
            <v>1233133.48</v>
          </cell>
        </row>
        <row r="165">
          <cell r="G165">
            <v>1314584.24</v>
          </cell>
        </row>
        <row r="166">
          <cell r="G166">
            <v>1389700.66</v>
          </cell>
        </row>
        <row r="167">
          <cell r="G167">
            <v>1189201.8899999999</v>
          </cell>
        </row>
        <row r="168">
          <cell r="G168">
            <v>1000196.76</v>
          </cell>
        </row>
        <row r="169">
          <cell r="G169">
            <v>814142.33</v>
          </cell>
        </row>
        <row r="170">
          <cell r="G170">
            <v>977897.83</v>
          </cell>
        </row>
        <row r="171">
          <cell r="G171">
            <v>1527225.73</v>
          </cell>
        </row>
        <row r="172">
          <cell r="G172">
            <v>1093695.68</v>
          </cell>
        </row>
        <row r="173">
          <cell r="G173">
            <v>1720109.97</v>
          </cell>
        </row>
        <row r="174">
          <cell r="G174">
            <v>1443315.5</v>
          </cell>
        </row>
        <row r="175">
          <cell r="G175">
            <v>1030528.2</v>
          </cell>
        </row>
        <row r="176">
          <cell r="G176">
            <v>739034.98</v>
          </cell>
        </row>
        <row r="177">
          <cell r="G177">
            <v>669270.47</v>
          </cell>
        </row>
        <row r="178">
          <cell r="G178">
            <v>1587788.63</v>
          </cell>
        </row>
        <row r="179">
          <cell r="G179">
            <v>955503.12</v>
          </cell>
        </row>
        <row r="180">
          <cell r="G180">
            <v>1195496.79</v>
          </cell>
        </row>
        <row r="181">
          <cell r="G181">
            <v>914995.95</v>
          </cell>
        </row>
        <row r="182">
          <cell r="G182">
            <v>1232846.79</v>
          </cell>
        </row>
        <row r="183">
          <cell r="G183">
            <v>644055.42000000004</v>
          </cell>
        </row>
        <row r="184">
          <cell r="G184">
            <v>1450621.6</v>
          </cell>
        </row>
        <row r="185">
          <cell r="G185">
            <v>1073666.96</v>
          </cell>
        </row>
        <row r="186">
          <cell r="G186">
            <v>1243736.97</v>
          </cell>
        </row>
        <row r="187">
          <cell r="G187">
            <v>1141767.3799999999</v>
          </cell>
        </row>
        <row r="188">
          <cell r="G188">
            <v>802660.71</v>
          </cell>
        </row>
        <row r="189">
          <cell r="G189">
            <v>718471.64</v>
          </cell>
        </row>
        <row r="190">
          <cell r="G190">
            <v>1704982.3</v>
          </cell>
        </row>
        <row r="191">
          <cell r="G191">
            <v>576110.93999999994</v>
          </cell>
        </row>
        <row r="192">
          <cell r="G192">
            <v>712814.62</v>
          </cell>
        </row>
        <row r="193">
          <cell r="G193">
            <v>524270.73</v>
          </cell>
        </row>
        <row r="194">
          <cell r="G194">
            <v>1288132.94</v>
          </cell>
        </row>
        <row r="195">
          <cell r="G195">
            <v>1411624.96</v>
          </cell>
        </row>
        <row r="196">
          <cell r="G196">
            <v>1306563.45</v>
          </cell>
        </row>
        <row r="197">
          <cell r="G197">
            <v>795534.23</v>
          </cell>
        </row>
        <row r="198">
          <cell r="G198">
            <v>1574196.74</v>
          </cell>
        </row>
        <row r="199">
          <cell r="G199">
            <v>1193731.46</v>
          </cell>
        </row>
        <row r="200">
          <cell r="G200">
            <v>1583809.94</v>
          </cell>
        </row>
        <row r="201">
          <cell r="G201">
            <v>908728.74</v>
          </cell>
        </row>
        <row r="202">
          <cell r="G202">
            <v>1306890.29</v>
          </cell>
        </row>
        <row r="203">
          <cell r="G203">
            <v>730770.39</v>
          </cell>
        </row>
        <row r="204">
          <cell r="G204">
            <v>1258504.8</v>
          </cell>
        </row>
        <row r="205">
          <cell r="G205">
            <v>953737.55</v>
          </cell>
        </row>
        <row r="206">
          <cell r="G206">
            <v>896026.7</v>
          </cell>
        </row>
        <row r="207">
          <cell r="G207">
            <v>984897.03</v>
          </cell>
        </row>
        <row r="208">
          <cell r="G208">
            <v>1269688.79</v>
          </cell>
        </row>
        <row r="209">
          <cell r="G209">
            <v>733549.43</v>
          </cell>
        </row>
        <row r="210">
          <cell r="G210">
            <v>940646.26</v>
          </cell>
        </row>
        <row r="211">
          <cell r="G211">
            <v>787991.96</v>
          </cell>
        </row>
        <row r="212">
          <cell r="G212">
            <v>786761.07</v>
          </cell>
        </row>
        <row r="213">
          <cell r="G213">
            <v>592994.14</v>
          </cell>
        </row>
        <row r="214">
          <cell r="G214">
            <v>1188527.07</v>
          </cell>
        </row>
        <row r="215">
          <cell r="G215">
            <v>963950.27</v>
          </cell>
        </row>
        <row r="216">
          <cell r="G216">
            <v>698834.64</v>
          </cell>
        </row>
        <row r="217">
          <cell r="G217">
            <v>1053010.83</v>
          </cell>
        </row>
        <row r="218">
          <cell r="G218">
            <v>1171800.43</v>
          </cell>
        </row>
        <row r="219">
          <cell r="G219">
            <v>1020294.52</v>
          </cell>
        </row>
        <row r="220">
          <cell r="G220">
            <v>655464.62</v>
          </cell>
        </row>
        <row r="221">
          <cell r="G221">
            <v>729895.16</v>
          </cell>
        </row>
        <row r="222">
          <cell r="G222">
            <v>2341360.3199999998</v>
          </cell>
        </row>
        <row r="223">
          <cell r="G223">
            <v>1045214.72</v>
          </cell>
        </row>
        <row r="224">
          <cell r="G224">
            <v>849691.42</v>
          </cell>
        </row>
        <row r="225">
          <cell r="G225">
            <v>962027.04</v>
          </cell>
        </row>
        <row r="226">
          <cell r="G226">
            <v>1474537.95</v>
          </cell>
        </row>
        <row r="227">
          <cell r="G227">
            <v>784526.06</v>
          </cell>
        </row>
        <row r="228">
          <cell r="G228">
            <v>845602.42</v>
          </cell>
        </row>
        <row r="229">
          <cell r="G229">
            <v>764706.38</v>
          </cell>
        </row>
        <row r="230">
          <cell r="G230">
            <v>667759.07999999996</v>
          </cell>
        </row>
        <row r="231">
          <cell r="G231">
            <v>1013613.44</v>
          </cell>
        </row>
        <row r="232">
          <cell r="G232">
            <v>922448.21</v>
          </cell>
        </row>
        <row r="233">
          <cell r="G233">
            <v>1037787.39</v>
          </cell>
        </row>
        <row r="234">
          <cell r="G234">
            <v>1601481.82</v>
          </cell>
        </row>
        <row r="235">
          <cell r="G235">
            <v>783423.84</v>
          </cell>
        </row>
        <row r="236">
          <cell r="G236">
            <v>1264917.83</v>
          </cell>
        </row>
        <row r="237">
          <cell r="G237">
            <v>1041187.36</v>
          </cell>
        </row>
        <row r="238">
          <cell r="G238">
            <v>676160.28</v>
          </cell>
        </row>
        <row r="239">
          <cell r="G239">
            <v>1517459.84</v>
          </cell>
        </row>
        <row r="240">
          <cell r="G240">
            <v>957554.84</v>
          </cell>
        </row>
        <row r="241">
          <cell r="G241">
            <v>631233.22</v>
          </cell>
        </row>
        <row r="242">
          <cell r="G242">
            <v>912678.52</v>
          </cell>
        </row>
        <row r="243">
          <cell r="G243">
            <v>1297400.96</v>
          </cell>
        </row>
        <row r="244">
          <cell r="G244">
            <v>751291.74</v>
          </cell>
        </row>
        <row r="245">
          <cell r="G245">
            <v>1097202.3400000001</v>
          </cell>
        </row>
        <row r="246">
          <cell r="G246">
            <v>1158274.3</v>
          </cell>
        </row>
        <row r="247">
          <cell r="G247">
            <v>893140.4</v>
          </cell>
        </row>
        <row r="248">
          <cell r="G248">
            <v>675550.91</v>
          </cell>
        </row>
        <row r="249">
          <cell r="G249">
            <v>1163121.23</v>
          </cell>
        </row>
        <row r="250">
          <cell r="G250">
            <v>1037364.89</v>
          </cell>
        </row>
        <row r="251">
          <cell r="G251">
            <v>1333488.77</v>
          </cell>
        </row>
        <row r="252">
          <cell r="G252">
            <v>1339323.1000000001</v>
          </cell>
        </row>
        <row r="253">
          <cell r="G253">
            <v>1571842.68</v>
          </cell>
        </row>
        <row r="254">
          <cell r="G254">
            <v>362037.98</v>
          </cell>
        </row>
        <row r="255">
          <cell r="G255">
            <v>1161852.6000000001</v>
          </cell>
        </row>
        <row r="256">
          <cell r="G256">
            <v>631592.98</v>
          </cell>
        </row>
        <row r="257">
          <cell r="G257">
            <v>2004068.28</v>
          </cell>
        </row>
        <row r="258">
          <cell r="G258">
            <v>2445986.16</v>
          </cell>
        </row>
        <row r="259">
          <cell r="G259">
            <v>1090692.92</v>
          </cell>
        </row>
        <row r="260">
          <cell r="G260">
            <v>1077036.21</v>
          </cell>
        </row>
        <row r="261">
          <cell r="G261">
            <v>438402.66</v>
          </cell>
        </row>
        <row r="262">
          <cell r="G262">
            <v>1316042.9099999999</v>
          </cell>
        </row>
        <row r="263">
          <cell r="G263">
            <v>709716</v>
          </cell>
        </row>
        <row r="264">
          <cell r="G264">
            <v>1216353.8400000001</v>
          </cell>
        </row>
        <row r="265">
          <cell r="G265">
            <v>913110.04</v>
          </cell>
        </row>
        <row r="266">
          <cell r="G266">
            <v>1314003.24</v>
          </cell>
        </row>
        <row r="267">
          <cell r="G267">
            <v>921238.84</v>
          </cell>
        </row>
        <row r="268">
          <cell r="G268">
            <v>815307.08</v>
          </cell>
        </row>
        <row r="269">
          <cell r="G269">
            <v>506157.59</v>
          </cell>
        </row>
        <row r="270">
          <cell r="G270">
            <v>678213.18</v>
          </cell>
        </row>
        <row r="271">
          <cell r="G271">
            <v>866396.21</v>
          </cell>
        </row>
        <row r="272">
          <cell r="G272">
            <v>2305966.3199999998</v>
          </cell>
        </row>
        <row r="273">
          <cell r="G273">
            <v>1238068</v>
          </cell>
        </row>
        <row r="274">
          <cell r="G274">
            <v>1189101.31</v>
          </cell>
        </row>
        <row r="275">
          <cell r="G275">
            <v>826005.66</v>
          </cell>
        </row>
        <row r="276">
          <cell r="G276">
            <v>983462.92</v>
          </cell>
        </row>
        <row r="277">
          <cell r="G277">
            <v>639663.07999999996</v>
          </cell>
        </row>
        <row r="278">
          <cell r="G278">
            <v>741493.14</v>
          </cell>
        </row>
        <row r="279">
          <cell r="G279">
            <v>886887.96</v>
          </cell>
        </row>
        <row r="280">
          <cell r="G280">
            <v>1525007.42</v>
          </cell>
        </row>
        <row r="281">
          <cell r="G281">
            <v>1369064.16</v>
          </cell>
        </row>
        <row r="282">
          <cell r="G282">
            <v>738629</v>
          </cell>
        </row>
        <row r="283">
          <cell r="G283">
            <v>1415662.75</v>
          </cell>
        </row>
        <row r="284">
          <cell r="G284">
            <v>824422.1</v>
          </cell>
        </row>
        <row r="285">
          <cell r="G285">
            <v>946616.44</v>
          </cell>
        </row>
        <row r="286">
          <cell r="G286">
            <v>1378732.12</v>
          </cell>
        </row>
        <row r="287">
          <cell r="G287">
            <v>1718269.2</v>
          </cell>
        </row>
        <row r="288">
          <cell r="G288">
            <v>743002.22</v>
          </cell>
        </row>
        <row r="289">
          <cell r="G289">
            <v>612707.96</v>
          </cell>
        </row>
        <row r="290">
          <cell r="G290">
            <v>1204649.95</v>
          </cell>
        </row>
        <row r="291">
          <cell r="G291">
            <v>800671.03</v>
          </cell>
        </row>
        <row r="292">
          <cell r="G292">
            <v>1906483.29</v>
          </cell>
        </row>
        <row r="293">
          <cell r="G293">
            <v>1421677.96</v>
          </cell>
        </row>
        <row r="294">
          <cell r="G294">
            <v>759095.48</v>
          </cell>
        </row>
        <row r="295">
          <cell r="G295">
            <v>1274541.71</v>
          </cell>
        </row>
        <row r="296">
          <cell r="G296">
            <v>1481219.28</v>
          </cell>
        </row>
        <row r="297">
          <cell r="G297">
            <v>889383.34</v>
          </cell>
        </row>
        <row r="298">
          <cell r="G298">
            <v>1123022.33</v>
          </cell>
        </row>
        <row r="299">
          <cell r="G299">
            <v>794875.62</v>
          </cell>
        </row>
        <row r="300">
          <cell r="G300">
            <v>1060846.3500000001</v>
          </cell>
        </row>
        <row r="301">
          <cell r="G301">
            <v>1422824.93</v>
          </cell>
        </row>
        <row r="302">
          <cell r="G302">
            <v>997329.29</v>
          </cell>
        </row>
        <row r="303">
          <cell r="G303">
            <v>1801453.99</v>
          </cell>
        </row>
        <row r="304">
          <cell r="G304">
            <v>793843.43</v>
          </cell>
        </row>
        <row r="305">
          <cell r="G305">
            <v>1235563.06</v>
          </cell>
        </row>
        <row r="306">
          <cell r="G306">
            <v>597016.15</v>
          </cell>
        </row>
        <row r="307">
          <cell r="G307">
            <v>1198604.94</v>
          </cell>
        </row>
        <row r="308">
          <cell r="G308">
            <v>632586.86</v>
          </cell>
        </row>
        <row r="309">
          <cell r="G309">
            <v>1180326.47</v>
          </cell>
        </row>
        <row r="310">
          <cell r="G310">
            <v>1158241.3799999999</v>
          </cell>
        </row>
        <row r="311">
          <cell r="G311">
            <v>912934.28</v>
          </cell>
        </row>
        <row r="312">
          <cell r="G312">
            <v>1460552.28</v>
          </cell>
        </row>
        <row r="313">
          <cell r="G313">
            <v>700197.69</v>
          </cell>
        </row>
        <row r="314">
          <cell r="G314">
            <v>1038311.98</v>
          </cell>
        </row>
        <row r="315">
          <cell r="G315">
            <v>1330256.82</v>
          </cell>
        </row>
        <row r="316">
          <cell r="G316">
            <v>1090944.02</v>
          </cell>
        </row>
        <row r="317">
          <cell r="G317">
            <v>828490.27</v>
          </cell>
        </row>
        <row r="318">
          <cell r="G318">
            <v>1192037.9099999999</v>
          </cell>
        </row>
        <row r="319">
          <cell r="G319">
            <v>995322.23</v>
          </cell>
        </row>
        <row r="320">
          <cell r="G320">
            <v>1518496.17</v>
          </cell>
        </row>
        <row r="321">
          <cell r="G321">
            <v>1470345.53</v>
          </cell>
        </row>
        <row r="322">
          <cell r="G322">
            <v>1054339.21</v>
          </cell>
        </row>
        <row r="323">
          <cell r="G323">
            <v>725200.38</v>
          </cell>
        </row>
        <row r="324">
          <cell r="G324">
            <v>1143964.1399999999</v>
          </cell>
        </row>
        <row r="325">
          <cell r="G325">
            <v>1238347.8899999999</v>
          </cell>
        </row>
        <row r="326">
          <cell r="G326">
            <v>675532.54</v>
          </cell>
        </row>
        <row r="327">
          <cell r="G327">
            <v>1115673.27</v>
          </cell>
        </row>
        <row r="328">
          <cell r="G328">
            <v>1468888.4</v>
          </cell>
        </row>
        <row r="329">
          <cell r="G329">
            <v>998758.40000000002</v>
          </cell>
        </row>
        <row r="330">
          <cell r="G330">
            <v>1029403.45</v>
          </cell>
        </row>
        <row r="331">
          <cell r="G331">
            <v>1427239.16</v>
          </cell>
        </row>
        <row r="332">
          <cell r="G332">
            <v>620702.02</v>
          </cell>
        </row>
        <row r="333">
          <cell r="G333">
            <v>790690.33</v>
          </cell>
        </row>
        <row r="334">
          <cell r="G334">
            <v>923354.51</v>
          </cell>
        </row>
        <row r="335">
          <cell r="G335">
            <v>1451517.07</v>
          </cell>
        </row>
        <row r="336">
          <cell r="G336">
            <v>1462148.24</v>
          </cell>
        </row>
        <row r="337">
          <cell r="G337">
            <v>628967.74</v>
          </cell>
        </row>
        <row r="338">
          <cell r="G338">
            <v>527001.12</v>
          </cell>
        </row>
        <row r="339">
          <cell r="G339">
            <v>1300803.57</v>
          </cell>
        </row>
        <row r="340">
          <cell r="G340">
            <v>1735238.09</v>
          </cell>
        </row>
        <row r="341">
          <cell r="G341">
            <v>727831.27</v>
          </cell>
        </row>
        <row r="342">
          <cell r="G342">
            <v>758141.96</v>
          </cell>
        </row>
        <row r="343">
          <cell r="G343">
            <v>681585.69</v>
          </cell>
        </row>
        <row r="344">
          <cell r="G344">
            <v>1080560.3600000001</v>
          </cell>
        </row>
        <row r="345">
          <cell r="G345">
            <v>1292381.0900000001</v>
          </cell>
        </row>
        <row r="346">
          <cell r="G346">
            <v>1584760.58</v>
          </cell>
        </row>
        <row r="347">
          <cell r="G347">
            <v>824131.93</v>
          </cell>
        </row>
        <row r="348">
          <cell r="G348">
            <v>813386.52</v>
          </cell>
        </row>
        <row r="349">
          <cell r="G349">
            <v>1144018.8799999999</v>
          </cell>
        </row>
        <row r="350">
          <cell r="G350">
            <v>1013671.24</v>
          </cell>
        </row>
        <row r="351">
          <cell r="G351">
            <v>1303620.97</v>
          </cell>
        </row>
        <row r="352">
          <cell r="G352">
            <v>1157688.74</v>
          </cell>
        </row>
        <row r="353">
          <cell r="G353">
            <v>1269040.18</v>
          </cell>
        </row>
        <row r="354">
          <cell r="G354">
            <v>1858939.39</v>
          </cell>
        </row>
        <row r="355">
          <cell r="G355">
            <v>946982.96</v>
          </cell>
        </row>
        <row r="356">
          <cell r="G356">
            <v>592439.88</v>
          </cell>
        </row>
        <row r="357">
          <cell r="G357">
            <v>645889.02</v>
          </cell>
        </row>
        <row r="358">
          <cell r="G358">
            <v>623673.69999999995</v>
          </cell>
        </row>
        <row r="359">
          <cell r="G359">
            <v>1123334.49</v>
          </cell>
        </row>
        <row r="360">
          <cell r="G360">
            <v>1053812.97</v>
          </cell>
        </row>
        <row r="361">
          <cell r="G361">
            <v>1739663.32</v>
          </cell>
        </row>
        <row r="362">
          <cell r="G362">
            <v>569453.65</v>
          </cell>
        </row>
        <row r="363">
          <cell r="G363">
            <v>1830219.43</v>
          </cell>
        </row>
        <row r="364">
          <cell r="G364">
            <v>1715017.72</v>
          </cell>
        </row>
        <row r="365">
          <cell r="G365">
            <v>1055579.5</v>
          </cell>
        </row>
        <row r="366">
          <cell r="G366">
            <v>1494967.14</v>
          </cell>
        </row>
        <row r="367">
          <cell r="G367">
            <v>966757.9</v>
          </cell>
        </row>
        <row r="368">
          <cell r="G368">
            <v>1309028.92</v>
          </cell>
        </row>
        <row r="369">
          <cell r="G369">
            <v>467492.86</v>
          </cell>
        </row>
        <row r="370">
          <cell r="G370">
            <v>1153506.67</v>
          </cell>
        </row>
        <row r="371">
          <cell r="G371">
            <v>1002061.63</v>
          </cell>
        </row>
        <row r="372">
          <cell r="G372">
            <v>688084.66</v>
          </cell>
        </row>
        <row r="373">
          <cell r="G373">
            <v>925381.7</v>
          </cell>
        </row>
        <row r="374">
          <cell r="G374">
            <v>1127281.42</v>
          </cell>
        </row>
        <row r="375">
          <cell r="G375">
            <v>2377053.2400000002</v>
          </cell>
        </row>
        <row r="376">
          <cell r="G376">
            <v>976021.97</v>
          </cell>
        </row>
        <row r="377">
          <cell r="G377">
            <v>725921.18</v>
          </cell>
        </row>
        <row r="378">
          <cell r="G378">
            <v>1015597.79</v>
          </cell>
        </row>
        <row r="379">
          <cell r="G379">
            <v>868276.82</v>
          </cell>
        </row>
        <row r="380">
          <cell r="G380">
            <v>1317458.92</v>
          </cell>
        </row>
        <row r="381">
          <cell r="G381">
            <v>923963.8</v>
          </cell>
        </row>
        <row r="382">
          <cell r="G382">
            <v>1338684.31</v>
          </cell>
        </row>
        <row r="383">
          <cell r="G383">
            <v>566000.18000000005</v>
          </cell>
        </row>
        <row r="384">
          <cell r="G384">
            <v>931858.54</v>
          </cell>
        </row>
        <row r="385">
          <cell r="G385">
            <v>624907.65</v>
          </cell>
        </row>
        <row r="386">
          <cell r="G386">
            <v>1554799.71</v>
          </cell>
        </row>
        <row r="387">
          <cell r="G387">
            <v>1730822.99</v>
          </cell>
        </row>
        <row r="388">
          <cell r="G388">
            <v>658633.81999999995</v>
          </cell>
        </row>
        <row r="389">
          <cell r="G389">
            <v>1001177.31</v>
          </cell>
        </row>
        <row r="390">
          <cell r="G390">
            <v>2143329.66</v>
          </cell>
        </row>
        <row r="391">
          <cell r="G391">
            <v>1904417.33</v>
          </cell>
        </row>
        <row r="392">
          <cell r="G392">
            <v>1191826.28</v>
          </cell>
        </row>
        <row r="393">
          <cell r="G393">
            <v>982163.17</v>
          </cell>
        </row>
        <row r="394">
          <cell r="G394">
            <v>1685673.08</v>
          </cell>
        </row>
        <row r="395">
          <cell r="G395">
            <v>1074141.95</v>
          </cell>
        </row>
        <row r="396">
          <cell r="G396">
            <v>1066566.06</v>
          </cell>
        </row>
        <row r="397">
          <cell r="G397">
            <v>1543164.06</v>
          </cell>
        </row>
        <row r="398">
          <cell r="G398">
            <v>1676153.27</v>
          </cell>
        </row>
        <row r="399">
          <cell r="G399">
            <v>878785.58</v>
          </cell>
        </row>
        <row r="400">
          <cell r="G400">
            <v>1358596.01</v>
          </cell>
        </row>
        <row r="401">
          <cell r="G401">
            <v>1544188.03</v>
          </cell>
        </row>
        <row r="402">
          <cell r="G402">
            <v>789821.56</v>
          </cell>
        </row>
        <row r="403">
          <cell r="G403">
            <v>1202969.75</v>
          </cell>
        </row>
        <row r="404">
          <cell r="G404">
            <v>702033.36</v>
          </cell>
        </row>
        <row r="405">
          <cell r="G405">
            <v>1214848.72</v>
          </cell>
        </row>
        <row r="406">
          <cell r="G406">
            <v>722829.8</v>
          </cell>
        </row>
        <row r="407">
          <cell r="G407">
            <v>673844.93</v>
          </cell>
        </row>
        <row r="408">
          <cell r="G408">
            <v>1623325.08</v>
          </cell>
        </row>
        <row r="409">
          <cell r="G409">
            <v>1288840.3500000001</v>
          </cell>
        </row>
        <row r="410">
          <cell r="G410">
            <v>807871.01</v>
          </cell>
        </row>
        <row r="411">
          <cell r="G411">
            <v>1113040.3799999999</v>
          </cell>
        </row>
        <row r="412">
          <cell r="G412">
            <v>820732.51</v>
          </cell>
        </row>
        <row r="413">
          <cell r="G413">
            <v>1426173.3</v>
          </cell>
        </row>
        <row r="414">
          <cell r="G414">
            <v>1319131.95</v>
          </cell>
        </row>
        <row r="415">
          <cell r="G415">
            <v>1053312.22</v>
          </cell>
        </row>
        <row r="416">
          <cell r="G416">
            <v>1058490.77</v>
          </cell>
        </row>
        <row r="417">
          <cell r="G417">
            <v>1160054.71</v>
          </cell>
        </row>
        <row r="418">
          <cell r="G418">
            <v>1315234.8400000001</v>
          </cell>
        </row>
        <row r="419">
          <cell r="G419">
            <v>750731.59</v>
          </cell>
        </row>
        <row r="420">
          <cell r="G420">
            <v>1768255.08</v>
          </cell>
        </row>
        <row r="421">
          <cell r="G421">
            <v>951022.91</v>
          </cell>
        </row>
        <row r="422">
          <cell r="G422">
            <v>807359.78</v>
          </cell>
        </row>
        <row r="423">
          <cell r="G423">
            <v>720350.98</v>
          </cell>
        </row>
        <row r="424">
          <cell r="G424">
            <v>1385803.8</v>
          </cell>
        </row>
        <row r="425">
          <cell r="G425">
            <v>388651.79</v>
          </cell>
        </row>
        <row r="426">
          <cell r="G426">
            <v>2159270.7400000002</v>
          </cell>
        </row>
        <row r="427">
          <cell r="G427">
            <v>741099.73</v>
          </cell>
        </row>
        <row r="428">
          <cell r="G428">
            <v>993490.27</v>
          </cell>
        </row>
        <row r="429">
          <cell r="G429">
            <v>1240791.68</v>
          </cell>
        </row>
        <row r="430">
          <cell r="G430">
            <v>1323072.26</v>
          </cell>
        </row>
        <row r="431">
          <cell r="G431">
            <v>1219667.51</v>
          </cell>
        </row>
        <row r="432">
          <cell r="G432">
            <v>441844.62</v>
          </cell>
        </row>
        <row r="433">
          <cell r="G433">
            <v>1058712.3500000001</v>
          </cell>
        </row>
        <row r="434">
          <cell r="G434">
            <v>989151.61</v>
          </cell>
        </row>
        <row r="435">
          <cell r="G435">
            <v>852061.47</v>
          </cell>
        </row>
        <row r="436">
          <cell r="G436">
            <v>1088329.07</v>
          </cell>
        </row>
        <row r="437">
          <cell r="G437">
            <v>1026605.19</v>
          </cell>
        </row>
        <row r="438">
          <cell r="G438">
            <v>509436.14</v>
          </cell>
        </row>
        <row r="439">
          <cell r="G439">
            <v>1663199.74</v>
          </cell>
        </row>
        <row r="440">
          <cell r="G440">
            <v>1153912.56</v>
          </cell>
        </row>
        <row r="441">
          <cell r="G441">
            <v>717980.12</v>
          </cell>
        </row>
        <row r="442">
          <cell r="G442">
            <v>574435.28</v>
          </cell>
        </row>
        <row r="443">
          <cell r="G443">
            <v>1237603.81</v>
          </cell>
        </row>
        <row r="444">
          <cell r="G444">
            <v>1796187.9</v>
          </cell>
        </row>
        <row r="445">
          <cell r="G445">
            <v>1276769.52</v>
          </cell>
        </row>
        <row r="446">
          <cell r="G446">
            <v>1288083.56</v>
          </cell>
        </row>
        <row r="447">
          <cell r="G447">
            <v>1712635.87</v>
          </cell>
        </row>
        <row r="448">
          <cell r="G448">
            <v>1187639.0900000001</v>
          </cell>
        </row>
        <row r="449">
          <cell r="G449">
            <v>1905272.73</v>
          </cell>
        </row>
        <row r="450">
          <cell r="G450">
            <v>1298754.67</v>
          </cell>
        </row>
        <row r="451">
          <cell r="G451">
            <v>569009.59</v>
          </cell>
        </row>
        <row r="452">
          <cell r="G452">
            <v>1189488.5900000001</v>
          </cell>
        </row>
        <row r="453">
          <cell r="G453">
            <v>1451182.15</v>
          </cell>
        </row>
        <row r="454">
          <cell r="G454">
            <v>931040.91</v>
          </cell>
        </row>
        <row r="455">
          <cell r="G455">
            <v>585785.31000000006</v>
          </cell>
        </row>
        <row r="456">
          <cell r="G456">
            <v>485136.44</v>
          </cell>
        </row>
        <row r="457">
          <cell r="G457">
            <v>636044.53</v>
          </cell>
        </row>
        <row r="458">
          <cell r="G458">
            <v>1001894.68</v>
          </cell>
        </row>
        <row r="459">
          <cell r="G459">
            <v>607322.31000000006</v>
          </cell>
        </row>
        <row r="460">
          <cell r="G460">
            <v>584654.62</v>
          </cell>
        </row>
        <row r="461">
          <cell r="G461">
            <v>1354764.34</v>
          </cell>
        </row>
        <row r="462">
          <cell r="G462">
            <v>661859.81999999995</v>
          </cell>
        </row>
        <row r="463">
          <cell r="G463">
            <v>1129474.77</v>
          </cell>
        </row>
        <row r="464">
          <cell r="G464">
            <v>1506315.46</v>
          </cell>
        </row>
        <row r="465">
          <cell r="G465">
            <v>1450936.79</v>
          </cell>
        </row>
        <row r="466">
          <cell r="G466">
            <v>905951.76</v>
          </cell>
        </row>
        <row r="467">
          <cell r="G467">
            <v>1045414.95</v>
          </cell>
        </row>
        <row r="468">
          <cell r="G468">
            <v>1463193.58</v>
          </cell>
        </row>
        <row r="469">
          <cell r="G469">
            <v>1788291.54</v>
          </cell>
        </row>
        <row r="470">
          <cell r="G470">
            <v>883275.75</v>
          </cell>
        </row>
        <row r="471">
          <cell r="G471">
            <v>1224033.95</v>
          </cell>
        </row>
        <row r="472">
          <cell r="G472">
            <v>369659.03</v>
          </cell>
        </row>
        <row r="473">
          <cell r="G473">
            <v>1151383.17</v>
          </cell>
        </row>
        <row r="474">
          <cell r="G474">
            <v>1232054.6000000001</v>
          </cell>
        </row>
        <row r="475">
          <cell r="G475">
            <v>860242.43</v>
          </cell>
        </row>
        <row r="476">
          <cell r="G476">
            <v>1573096.18</v>
          </cell>
        </row>
        <row r="477">
          <cell r="G477">
            <v>1268884.24</v>
          </cell>
        </row>
        <row r="478">
          <cell r="G478">
            <v>764679.61</v>
          </cell>
        </row>
        <row r="479">
          <cell r="G479">
            <v>1611251.37</v>
          </cell>
        </row>
        <row r="480">
          <cell r="G480">
            <v>1330035.51</v>
          </cell>
        </row>
        <row r="481">
          <cell r="G481">
            <v>1532048.65</v>
          </cell>
        </row>
        <row r="482">
          <cell r="G482">
            <v>614650.5</v>
          </cell>
        </row>
        <row r="483">
          <cell r="G483">
            <v>1432411.95</v>
          </cell>
        </row>
        <row r="484">
          <cell r="G484">
            <v>1352979.51</v>
          </cell>
        </row>
        <row r="485">
          <cell r="G485">
            <v>608659.75</v>
          </cell>
        </row>
        <row r="486">
          <cell r="G486">
            <v>1769228.41</v>
          </cell>
        </row>
        <row r="487">
          <cell r="G487">
            <v>1880043.75</v>
          </cell>
        </row>
        <row r="488">
          <cell r="G488">
            <v>465616.35</v>
          </cell>
        </row>
        <row r="489">
          <cell r="G489">
            <v>1309920.6599999999</v>
          </cell>
        </row>
        <row r="490">
          <cell r="G490">
            <v>931173.22</v>
          </cell>
        </row>
        <row r="491">
          <cell r="G491">
            <v>1161647.1599999999</v>
          </cell>
        </row>
        <row r="492">
          <cell r="G492">
            <v>1737458.49</v>
          </cell>
        </row>
        <row r="493">
          <cell r="G493">
            <v>844527.77</v>
          </cell>
        </row>
        <row r="494">
          <cell r="G494">
            <v>1165739.3999999999</v>
          </cell>
        </row>
        <row r="495">
          <cell r="G495">
            <v>991376.81</v>
          </cell>
        </row>
        <row r="496">
          <cell r="G496">
            <v>962612.07</v>
          </cell>
        </row>
        <row r="497">
          <cell r="G497">
            <v>1415607.04</v>
          </cell>
        </row>
        <row r="498">
          <cell r="G498">
            <v>887973.24</v>
          </cell>
        </row>
        <row r="499">
          <cell r="G499">
            <v>1265851.06</v>
          </cell>
        </row>
        <row r="500">
          <cell r="G500">
            <v>923184.86</v>
          </cell>
        </row>
        <row r="501">
          <cell r="G501">
            <v>1386455.86</v>
          </cell>
        </row>
        <row r="502">
          <cell r="G502">
            <v>802731.51</v>
          </cell>
        </row>
        <row r="503">
          <cell r="G503">
            <v>535379.30000000005</v>
          </cell>
        </row>
        <row r="504">
          <cell r="G504">
            <v>681409.99</v>
          </cell>
        </row>
        <row r="505">
          <cell r="G505">
            <v>1369458.04</v>
          </cell>
        </row>
        <row r="506">
          <cell r="G506">
            <v>1552234.95</v>
          </cell>
        </row>
        <row r="507">
          <cell r="G507">
            <v>946152.53</v>
          </cell>
        </row>
        <row r="508">
          <cell r="G508">
            <v>1401136.27</v>
          </cell>
        </row>
        <row r="509">
          <cell r="G509">
            <v>981591.44</v>
          </cell>
        </row>
        <row r="510">
          <cell r="G510">
            <v>656479.02</v>
          </cell>
        </row>
        <row r="511">
          <cell r="G511">
            <v>501568.82</v>
          </cell>
        </row>
        <row r="512">
          <cell r="G512">
            <v>1246089.1000000001</v>
          </cell>
        </row>
        <row r="513">
          <cell r="G513">
            <v>940068.68</v>
          </cell>
        </row>
        <row r="514">
          <cell r="G514">
            <v>1491094.23</v>
          </cell>
        </row>
        <row r="515">
          <cell r="G515">
            <v>1312906.45</v>
          </cell>
        </row>
        <row r="516">
          <cell r="G516">
            <v>978375.16</v>
          </cell>
        </row>
        <row r="517">
          <cell r="G517">
            <v>1169198.73</v>
          </cell>
        </row>
        <row r="518">
          <cell r="G518">
            <v>2348602.66</v>
          </cell>
        </row>
        <row r="519">
          <cell r="G519">
            <v>2004477.41</v>
          </cell>
        </row>
        <row r="520">
          <cell r="G520">
            <v>785659.52</v>
          </cell>
        </row>
        <row r="521">
          <cell r="G521">
            <v>1238854.72</v>
          </cell>
        </row>
        <row r="522">
          <cell r="G522">
            <v>843891.12</v>
          </cell>
        </row>
        <row r="523">
          <cell r="G523">
            <v>594323.13</v>
          </cell>
        </row>
        <row r="524">
          <cell r="G524">
            <v>1108926.54</v>
          </cell>
        </row>
        <row r="525">
          <cell r="G525">
            <v>1106386.79</v>
          </cell>
        </row>
        <row r="526">
          <cell r="G526">
            <v>1221690.83</v>
          </cell>
        </row>
        <row r="527">
          <cell r="G527">
            <v>347248.9</v>
          </cell>
        </row>
        <row r="528">
          <cell r="G528">
            <v>615149.37</v>
          </cell>
        </row>
        <row r="529">
          <cell r="G529">
            <v>1114600.6499999999</v>
          </cell>
        </row>
        <row r="530">
          <cell r="G530">
            <v>759315.58</v>
          </cell>
        </row>
        <row r="531">
          <cell r="G531">
            <v>1389296.06</v>
          </cell>
        </row>
        <row r="532">
          <cell r="G532">
            <v>789695.85</v>
          </cell>
        </row>
        <row r="533">
          <cell r="G533">
            <v>645038.06999999995</v>
          </cell>
        </row>
        <row r="534">
          <cell r="G534">
            <v>795720.63</v>
          </cell>
        </row>
        <row r="535">
          <cell r="G535">
            <v>1319904.69</v>
          </cell>
        </row>
        <row r="536">
          <cell r="G536">
            <v>866526.62</v>
          </cell>
        </row>
        <row r="537">
          <cell r="G537">
            <v>1352930.13</v>
          </cell>
        </row>
        <row r="538">
          <cell r="G538">
            <v>1249639.3700000001</v>
          </cell>
        </row>
        <row r="539">
          <cell r="G539">
            <v>1806157.06</v>
          </cell>
        </row>
        <row r="540">
          <cell r="G540">
            <v>1690816.14</v>
          </cell>
        </row>
        <row r="541">
          <cell r="G541">
            <v>903848.32</v>
          </cell>
        </row>
        <row r="542">
          <cell r="G542">
            <v>710491.03</v>
          </cell>
        </row>
        <row r="543">
          <cell r="G543">
            <v>1328241.6299999999</v>
          </cell>
        </row>
        <row r="544">
          <cell r="G544">
            <v>1315286.47</v>
          </cell>
        </row>
        <row r="545">
          <cell r="G545">
            <v>1564456.62</v>
          </cell>
        </row>
        <row r="546">
          <cell r="G546">
            <v>1107830.02</v>
          </cell>
        </row>
        <row r="547">
          <cell r="G547">
            <v>1179376.6299999999</v>
          </cell>
        </row>
        <row r="548">
          <cell r="G548">
            <v>1088008.43</v>
          </cell>
        </row>
        <row r="549">
          <cell r="G549">
            <v>1439455.13</v>
          </cell>
        </row>
        <row r="550">
          <cell r="G550">
            <v>872958.68</v>
          </cell>
        </row>
        <row r="551">
          <cell r="G551">
            <v>1401521.45</v>
          </cell>
        </row>
        <row r="552">
          <cell r="G552">
            <v>1078463.18</v>
          </cell>
        </row>
        <row r="553">
          <cell r="G553">
            <v>808158.51</v>
          </cell>
        </row>
        <row r="554">
          <cell r="G554">
            <v>630328.34</v>
          </cell>
        </row>
        <row r="555">
          <cell r="G555">
            <v>1073076.93</v>
          </cell>
        </row>
        <row r="556">
          <cell r="G556">
            <v>977290.83</v>
          </cell>
        </row>
        <row r="557">
          <cell r="G557">
            <v>682244.14</v>
          </cell>
        </row>
        <row r="558">
          <cell r="G558">
            <v>1030696.13</v>
          </cell>
        </row>
        <row r="559">
          <cell r="G559">
            <v>692310.06</v>
          </cell>
        </row>
        <row r="560">
          <cell r="G560">
            <v>1200260.6599999999</v>
          </cell>
        </row>
        <row r="561">
          <cell r="G561">
            <v>1487377.57</v>
          </cell>
        </row>
        <row r="562">
          <cell r="G562">
            <v>1507355.1</v>
          </cell>
        </row>
        <row r="563">
          <cell r="G563">
            <v>1186519.8</v>
          </cell>
        </row>
        <row r="564">
          <cell r="G564">
            <v>645654.21</v>
          </cell>
        </row>
        <row r="565">
          <cell r="G565">
            <v>926825.31</v>
          </cell>
        </row>
        <row r="566">
          <cell r="G566">
            <v>1086187.29</v>
          </cell>
        </row>
        <row r="567">
          <cell r="G567">
            <v>1192475.96</v>
          </cell>
        </row>
        <row r="568">
          <cell r="G568">
            <v>1052317.57</v>
          </cell>
        </row>
        <row r="569">
          <cell r="G569">
            <v>1390208.27</v>
          </cell>
        </row>
        <row r="570">
          <cell r="G570">
            <v>2074693.96</v>
          </cell>
        </row>
        <row r="571">
          <cell r="G571">
            <v>1795369.3</v>
          </cell>
        </row>
        <row r="572">
          <cell r="G572">
            <v>766405.2</v>
          </cell>
        </row>
        <row r="573">
          <cell r="G573">
            <v>856285.35</v>
          </cell>
        </row>
        <row r="574">
          <cell r="G574">
            <v>728980.77</v>
          </cell>
        </row>
        <row r="575">
          <cell r="G575">
            <v>832364.06</v>
          </cell>
        </row>
        <row r="576">
          <cell r="G576">
            <v>1107668.76</v>
          </cell>
        </row>
        <row r="577">
          <cell r="G577">
            <v>1702971.27</v>
          </cell>
        </row>
        <row r="578">
          <cell r="G578">
            <v>830261.86</v>
          </cell>
        </row>
        <row r="579">
          <cell r="G579">
            <v>837382.51</v>
          </cell>
        </row>
        <row r="580">
          <cell r="G580">
            <v>589866.86</v>
          </cell>
        </row>
        <row r="581">
          <cell r="G581">
            <v>892037.33</v>
          </cell>
        </row>
        <row r="582">
          <cell r="G582">
            <v>1887613.4</v>
          </cell>
        </row>
        <row r="583">
          <cell r="G583">
            <v>741909.78</v>
          </cell>
        </row>
        <row r="584">
          <cell r="G584">
            <v>1495522.98</v>
          </cell>
        </row>
        <row r="585">
          <cell r="G585">
            <v>1139366.55</v>
          </cell>
        </row>
        <row r="586">
          <cell r="G586">
            <v>1044608.66</v>
          </cell>
        </row>
        <row r="587">
          <cell r="G587">
            <v>1265834.8</v>
          </cell>
        </row>
        <row r="588">
          <cell r="G588">
            <v>624049.56999999995</v>
          </cell>
        </row>
        <row r="589">
          <cell r="G589">
            <v>471411.36</v>
          </cell>
        </row>
        <row r="590">
          <cell r="G590">
            <v>1851939.25</v>
          </cell>
        </row>
        <row r="591">
          <cell r="G591">
            <v>651940.26</v>
          </cell>
        </row>
        <row r="592">
          <cell r="G592">
            <v>1003003.4</v>
          </cell>
        </row>
        <row r="593">
          <cell r="G593">
            <v>1584871.13</v>
          </cell>
        </row>
        <row r="594">
          <cell r="G594">
            <v>1682662.07</v>
          </cell>
        </row>
        <row r="595">
          <cell r="G595">
            <v>964265.94</v>
          </cell>
        </row>
        <row r="596">
          <cell r="G596">
            <v>691769.05</v>
          </cell>
        </row>
        <row r="597">
          <cell r="G597">
            <v>936610.75</v>
          </cell>
        </row>
        <row r="598">
          <cell r="G598">
            <v>1212978.75</v>
          </cell>
        </row>
        <row r="599">
          <cell r="G599">
            <v>497460.7</v>
          </cell>
        </row>
        <row r="600">
          <cell r="G600">
            <v>1254536.6499999999</v>
          </cell>
        </row>
        <row r="601">
          <cell r="G601">
            <v>769748.04</v>
          </cell>
        </row>
        <row r="602">
          <cell r="G602">
            <v>631032.25</v>
          </cell>
        </row>
        <row r="603">
          <cell r="G603">
            <v>1260795.1000000001</v>
          </cell>
        </row>
        <row r="604">
          <cell r="G604">
            <v>1029977.39</v>
          </cell>
        </row>
        <row r="605">
          <cell r="G605">
            <v>937783.94</v>
          </cell>
        </row>
        <row r="606">
          <cell r="G606">
            <v>2126919.08</v>
          </cell>
        </row>
        <row r="607">
          <cell r="G607">
            <v>1219054.8700000001</v>
          </cell>
        </row>
        <row r="608">
          <cell r="G608">
            <v>1283374.44</v>
          </cell>
        </row>
        <row r="609">
          <cell r="G609">
            <v>908460.47</v>
          </cell>
        </row>
        <row r="610">
          <cell r="G610">
            <v>877052.75</v>
          </cell>
        </row>
        <row r="611">
          <cell r="G611">
            <v>983625.44</v>
          </cell>
        </row>
        <row r="612">
          <cell r="G612">
            <v>554060.22</v>
          </cell>
        </row>
        <row r="613">
          <cell r="G613">
            <v>1725317.98</v>
          </cell>
        </row>
        <row r="614">
          <cell r="G614">
            <v>940080.75</v>
          </cell>
        </row>
        <row r="615">
          <cell r="G615">
            <v>981406.04</v>
          </cell>
        </row>
        <row r="616">
          <cell r="G616">
            <v>543524.5</v>
          </cell>
        </row>
        <row r="617">
          <cell r="G617">
            <v>1180440.97</v>
          </cell>
        </row>
        <row r="618">
          <cell r="G618">
            <v>575868.56000000006</v>
          </cell>
        </row>
        <row r="619">
          <cell r="G619">
            <v>791777.45</v>
          </cell>
        </row>
        <row r="620">
          <cell r="G620">
            <v>575946.16</v>
          </cell>
        </row>
        <row r="621">
          <cell r="G621">
            <v>1618323.94</v>
          </cell>
        </row>
        <row r="622">
          <cell r="G622">
            <v>996994.64</v>
          </cell>
        </row>
        <row r="623">
          <cell r="G623">
            <v>1009911.11</v>
          </cell>
        </row>
        <row r="624">
          <cell r="G624">
            <v>876143.74</v>
          </cell>
        </row>
        <row r="625">
          <cell r="G625">
            <v>1382476.5</v>
          </cell>
        </row>
        <row r="626">
          <cell r="G626">
            <v>1686267.6</v>
          </cell>
        </row>
        <row r="627">
          <cell r="G627">
            <v>1297236.33</v>
          </cell>
        </row>
        <row r="628">
          <cell r="G628">
            <v>1290009.5</v>
          </cell>
        </row>
        <row r="629">
          <cell r="G629">
            <v>1372156.63</v>
          </cell>
        </row>
        <row r="630">
          <cell r="G630">
            <v>1270538.3799999999</v>
          </cell>
        </row>
        <row r="631">
          <cell r="G631">
            <v>1305748.1599999999</v>
          </cell>
        </row>
        <row r="632">
          <cell r="G632">
            <v>1180085.49</v>
          </cell>
        </row>
        <row r="633">
          <cell r="G633">
            <v>364056.27</v>
          </cell>
        </row>
        <row r="634">
          <cell r="G634">
            <v>803230.38</v>
          </cell>
        </row>
        <row r="635">
          <cell r="G635">
            <v>1752790.32</v>
          </cell>
        </row>
        <row r="636">
          <cell r="G636">
            <v>765199.51</v>
          </cell>
        </row>
        <row r="637">
          <cell r="G637">
            <v>942876.52</v>
          </cell>
        </row>
        <row r="638">
          <cell r="G638">
            <v>818483.63</v>
          </cell>
        </row>
        <row r="639">
          <cell r="G639">
            <v>1040877.22</v>
          </cell>
        </row>
        <row r="640">
          <cell r="G640">
            <v>830797.21</v>
          </cell>
        </row>
        <row r="641">
          <cell r="G641">
            <v>605343.86</v>
          </cell>
        </row>
        <row r="642">
          <cell r="G642">
            <v>1905007.31</v>
          </cell>
        </row>
        <row r="643">
          <cell r="G643">
            <v>1561949.08</v>
          </cell>
        </row>
        <row r="644">
          <cell r="G644">
            <v>1022549.73</v>
          </cell>
        </row>
        <row r="645">
          <cell r="G645">
            <v>682297.45</v>
          </cell>
        </row>
        <row r="646">
          <cell r="G646">
            <v>1090930.1200000001</v>
          </cell>
        </row>
        <row r="647">
          <cell r="G647">
            <v>912459.11</v>
          </cell>
        </row>
        <row r="648">
          <cell r="G648">
            <v>1675986.67</v>
          </cell>
        </row>
        <row r="649">
          <cell r="G649">
            <v>1860559.48</v>
          </cell>
        </row>
        <row r="650">
          <cell r="G650">
            <v>1444148.78</v>
          </cell>
        </row>
        <row r="651">
          <cell r="G651">
            <v>1348504.72</v>
          </cell>
        </row>
        <row r="652">
          <cell r="G652">
            <v>1826296.62</v>
          </cell>
        </row>
        <row r="653">
          <cell r="G653">
            <v>2082625.82</v>
          </cell>
        </row>
        <row r="654">
          <cell r="G654">
            <v>1344629.84</v>
          </cell>
        </row>
        <row r="655">
          <cell r="G655">
            <v>1067729.1200000001</v>
          </cell>
        </row>
        <row r="656">
          <cell r="G656">
            <v>1524356.61</v>
          </cell>
        </row>
        <row r="657">
          <cell r="G657">
            <v>1298025.92</v>
          </cell>
        </row>
        <row r="658">
          <cell r="G658">
            <v>1127069.79</v>
          </cell>
        </row>
        <row r="659">
          <cell r="G659">
            <v>773628.28</v>
          </cell>
        </row>
        <row r="660">
          <cell r="G660">
            <v>1575425.58</v>
          </cell>
        </row>
        <row r="661">
          <cell r="G661">
            <v>558435.35</v>
          </cell>
        </row>
        <row r="662">
          <cell r="G662">
            <v>1349151.72</v>
          </cell>
        </row>
        <row r="663">
          <cell r="G663">
            <v>1163519.17</v>
          </cell>
        </row>
        <row r="664">
          <cell r="G664">
            <v>665391.5</v>
          </cell>
        </row>
        <row r="665">
          <cell r="G665">
            <v>964719.1</v>
          </cell>
        </row>
        <row r="666">
          <cell r="G666">
            <v>553211.43999999994</v>
          </cell>
        </row>
        <row r="667">
          <cell r="G667">
            <v>850801.26</v>
          </cell>
        </row>
        <row r="668">
          <cell r="G668">
            <v>1209213.55</v>
          </cell>
        </row>
        <row r="669">
          <cell r="G669">
            <v>796866.84</v>
          </cell>
        </row>
        <row r="670">
          <cell r="G670">
            <v>1272098</v>
          </cell>
        </row>
        <row r="671">
          <cell r="G671">
            <v>966326.98</v>
          </cell>
        </row>
        <row r="672">
          <cell r="G672">
            <v>705831.84</v>
          </cell>
        </row>
        <row r="673">
          <cell r="G673">
            <v>734471.92</v>
          </cell>
        </row>
        <row r="674">
          <cell r="G674">
            <v>1481028.35</v>
          </cell>
        </row>
        <row r="675">
          <cell r="G675">
            <v>623127.98</v>
          </cell>
        </row>
        <row r="676">
          <cell r="G676">
            <v>757591.51</v>
          </cell>
        </row>
        <row r="677">
          <cell r="G677">
            <v>1063759.47</v>
          </cell>
        </row>
        <row r="678">
          <cell r="G678">
            <v>573096.38</v>
          </cell>
        </row>
        <row r="679">
          <cell r="G679">
            <v>803198.36</v>
          </cell>
        </row>
        <row r="680">
          <cell r="G680">
            <v>570565.02</v>
          </cell>
        </row>
        <row r="681">
          <cell r="G681">
            <v>918861.17</v>
          </cell>
        </row>
        <row r="682">
          <cell r="G682">
            <v>864905.33</v>
          </cell>
        </row>
        <row r="683">
          <cell r="G683">
            <v>1042690.36</v>
          </cell>
        </row>
        <row r="684">
          <cell r="G684">
            <v>670345.80000000005</v>
          </cell>
        </row>
        <row r="685">
          <cell r="G685">
            <v>787651.48</v>
          </cell>
        </row>
        <row r="686">
          <cell r="G686">
            <v>1674457.17</v>
          </cell>
        </row>
        <row r="687">
          <cell r="G687">
            <v>928433.34</v>
          </cell>
        </row>
        <row r="688">
          <cell r="G688">
            <v>1009991.84</v>
          </cell>
        </row>
        <row r="689">
          <cell r="G689">
            <v>868287.97</v>
          </cell>
        </row>
        <row r="690">
          <cell r="G690">
            <v>682581.16</v>
          </cell>
        </row>
        <row r="691">
          <cell r="G691">
            <v>1061100.32</v>
          </cell>
        </row>
        <row r="692">
          <cell r="G692">
            <v>521964.33</v>
          </cell>
        </row>
        <row r="693">
          <cell r="G693">
            <v>927681.61</v>
          </cell>
        </row>
        <row r="694">
          <cell r="G694">
            <v>675235.32</v>
          </cell>
        </row>
        <row r="695">
          <cell r="G695">
            <v>1814796.08</v>
          </cell>
        </row>
        <row r="696">
          <cell r="G696">
            <v>1051900.02</v>
          </cell>
        </row>
        <row r="697">
          <cell r="G697">
            <v>740162.1</v>
          </cell>
        </row>
        <row r="698">
          <cell r="G698">
            <v>777387.97</v>
          </cell>
        </row>
        <row r="699">
          <cell r="G699">
            <v>537785.18000000005</v>
          </cell>
        </row>
        <row r="700">
          <cell r="G700">
            <v>1475911.61</v>
          </cell>
        </row>
        <row r="701">
          <cell r="G701">
            <v>1109497.3600000001</v>
          </cell>
        </row>
        <row r="702">
          <cell r="G702">
            <v>1146864.5900000001</v>
          </cell>
        </row>
        <row r="703">
          <cell r="G703">
            <v>1491321.78</v>
          </cell>
        </row>
        <row r="704">
          <cell r="G704">
            <v>1013004.87</v>
          </cell>
        </row>
        <row r="705">
          <cell r="G705">
            <v>1010129.22</v>
          </cell>
        </row>
        <row r="706">
          <cell r="G706">
            <v>698942.98</v>
          </cell>
        </row>
        <row r="707">
          <cell r="G707">
            <v>987872.12</v>
          </cell>
        </row>
        <row r="708">
          <cell r="G708">
            <v>609926.22</v>
          </cell>
        </row>
        <row r="709">
          <cell r="G709">
            <v>812139.01</v>
          </cell>
        </row>
        <row r="710">
          <cell r="G710">
            <v>1875844.03</v>
          </cell>
        </row>
        <row r="711">
          <cell r="G711">
            <v>870852.66</v>
          </cell>
        </row>
        <row r="712">
          <cell r="G712">
            <v>1114066.2</v>
          </cell>
        </row>
        <row r="713">
          <cell r="G713">
            <v>1075229.1599999999</v>
          </cell>
        </row>
        <row r="714">
          <cell r="G714">
            <v>841960.22</v>
          </cell>
        </row>
        <row r="715">
          <cell r="G715">
            <v>788106.35</v>
          </cell>
        </row>
        <row r="716">
          <cell r="G716">
            <v>884980.53</v>
          </cell>
        </row>
        <row r="717">
          <cell r="G717">
            <v>1241333.1299999999</v>
          </cell>
        </row>
        <row r="718">
          <cell r="G718">
            <v>1615591.67</v>
          </cell>
        </row>
        <row r="719">
          <cell r="G719">
            <v>1031648.89</v>
          </cell>
        </row>
        <row r="720">
          <cell r="G720">
            <v>845445.69</v>
          </cell>
        </row>
        <row r="721">
          <cell r="G721">
            <v>1115912.31</v>
          </cell>
        </row>
        <row r="722">
          <cell r="G722">
            <v>2111662.4300000002</v>
          </cell>
        </row>
        <row r="723">
          <cell r="G723">
            <v>528326.68000000005</v>
          </cell>
        </row>
        <row r="724">
          <cell r="G724">
            <v>1309172.1200000001</v>
          </cell>
        </row>
        <row r="725">
          <cell r="G725">
            <v>1266473.78</v>
          </cell>
        </row>
        <row r="726">
          <cell r="G726">
            <v>740162.77</v>
          </cell>
        </row>
        <row r="727">
          <cell r="G727">
            <v>1959839.59</v>
          </cell>
        </row>
        <row r="728">
          <cell r="G728">
            <v>1516247.92</v>
          </cell>
        </row>
        <row r="729">
          <cell r="G729">
            <v>1061937.44</v>
          </cell>
        </row>
        <row r="730">
          <cell r="G730">
            <v>976250.06</v>
          </cell>
        </row>
        <row r="731">
          <cell r="G731">
            <v>641569.93999999994</v>
          </cell>
        </row>
        <row r="732">
          <cell r="G732">
            <v>1200399.6499999999</v>
          </cell>
        </row>
        <row r="733">
          <cell r="G733">
            <v>560800.35</v>
          </cell>
        </row>
        <row r="734">
          <cell r="G734">
            <v>595143.18000000005</v>
          </cell>
        </row>
        <row r="735">
          <cell r="G735">
            <v>1085166.23</v>
          </cell>
        </row>
        <row r="736">
          <cell r="G736">
            <v>1390922.08</v>
          </cell>
        </row>
        <row r="737">
          <cell r="G737">
            <v>318433.53000000003</v>
          </cell>
        </row>
        <row r="738">
          <cell r="G738">
            <v>1616862.33</v>
          </cell>
        </row>
        <row r="739">
          <cell r="G739">
            <v>1787864.77</v>
          </cell>
        </row>
        <row r="740">
          <cell r="G740">
            <v>1278285.81</v>
          </cell>
        </row>
        <row r="741">
          <cell r="G741">
            <v>1048727.01</v>
          </cell>
        </row>
        <row r="742">
          <cell r="G742">
            <v>1297782.3500000001</v>
          </cell>
        </row>
        <row r="743">
          <cell r="G743">
            <v>945649.02</v>
          </cell>
        </row>
        <row r="744">
          <cell r="G744">
            <v>1606156.88</v>
          </cell>
        </row>
        <row r="745">
          <cell r="G745">
            <v>1371810.92</v>
          </cell>
        </row>
        <row r="746">
          <cell r="G746">
            <v>623312.86</v>
          </cell>
        </row>
        <row r="747">
          <cell r="G747">
            <v>1480881.7</v>
          </cell>
        </row>
        <row r="748">
          <cell r="G748">
            <v>1166185.82</v>
          </cell>
        </row>
        <row r="749">
          <cell r="G749">
            <v>928365.7</v>
          </cell>
        </row>
        <row r="750">
          <cell r="G750">
            <v>883052.45</v>
          </cell>
        </row>
        <row r="751">
          <cell r="G751">
            <v>1464785.05</v>
          </cell>
        </row>
        <row r="752">
          <cell r="G752">
            <v>575858.61</v>
          </cell>
        </row>
        <row r="753">
          <cell r="G753">
            <v>545003.63</v>
          </cell>
        </row>
        <row r="754">
          <cell r="G754">
            <v>1017384.88</v>
          </cell>
        </row>
        <row r="755">
          <cell r="G755">
            <v>1889350.75</v>
          </cell>
        </row>
        <row r="756">
          <cell r="G756">
            <v>1397733.02</v>
          </cell>
        </row>
        <row r="757">
          <cell r="G757">
            <v>645719.89</v>
          </cell>
        </row>
        <row r="758">
          <cell r="G758">
            <v>1441275.26</v>
          </cell>
        </row>
        <row r="759">
          <cell r="G759">
            <v>909538.44</v>
          </cell>
        </row>
        <row r="760">
          <cell r="G760">
            <v>995471.37</v>
          </cell>
        </row>
        <row r="761">
          <cell r="G761">
            <v>893625.34</v>
          </cell>
        </row>
        <row r="762">
          <cell r="G762">
            <v>1046953.34</v>
          </cell>
        </row>
        <row r="763">
          <cell r="G763">
            <v>1601793.6</v>
          </cell>
        </row>
        <row r="764">
          <cell r="G764">
            <v>810153.92</v>
          </cell>
        </row>
        <row r="765">
          <cell r="G765">
            <v>1151318.02</v>
          </cell>
        </row>
        <row r="766">
          <cell r="G766">
            <v>737287.68000000005</v>
          </cell>
        </row>
        <row r="767">
          <cell r="G767">
            <v>1022362.89</v>
          </cell>
        </row>
        <row r="768">
          <cell r="G768">
            <v>895382.28</v>
          </cell>
        </row>
        <row r="769">
          <cell r="G769">
            <v>556563.94999999995</v>
          </cell>
        </row>
        <row r="770">
          <cell r="G770">
            <v>1119977.49</v>
          </cell>
        </row>
        <row r="771">
          <cell r="G771">
            <v>490411.76</v>
          </cell>
        </row>
        <row r="772">
          <cell r="G772">
            <v>1383476.78</v>
          </cell>
        </row>
        <row r="773">
          <cell r="G773">
            <v>1349064.25</v>
          </cell>
        </row>
        <row r="774">
          <cell r="G774">
            <v>1327274.2</v>
          </cell>
        </row>
        <row r="775">
          <cell r="G775">
            <v>1853867.25</v>
          </cell>
        </row>
        <row r="776">
          <cell r="G776">
            <v>716305.36</v>
          </cell>
        </row>
        <row r="777">
          <cell r="G777">
            <v>1188784.96</v>
          </cell>
        </row>
        <row r="778">
          <cell r="G778">
            <v>1818873.49</v>
          </cell>
        </row>
        <row r="779">
          <cell r="G779">
            <v>471537.02</v>
          </cell>
        </row>
        <row r="780">
          <cell r="G780">
            <v>1056732.07</v>
          </cell>
        </row>
        <row r="781">
          <cell r="G781">
            <v>580178.5</v>
          </cell>
        </row>
        <row r="782">
          <cell r="G782">
            <v>909687.41</v>
          </cell>
        </row>
        <row r="783">
          <cell r="G783">
            <v>1354776.01</v>
          </cell>
        </row>
        <row r="784">
          <cell r="G784">
            <v>946574.55</v>
          </cell>
        </row>
        <row r="785">
          <cell r="G785">
            <v>794188.86</v>
          </cell>
        </row>
        <row r="786">
          <cell r="G786">
            <v>1003399.42</v>
          </cell>
        </row>
        <row r="787">
          <cell r="G787">
            <v>1123326.6599999999</v>
          </cell>
        </row>
        <row r="788">
          <cell r="G788">
            <v>879117.23</v>
          </cell>
        </row>
        <row r="789">
          <cell r="G789">
            <v>1808499.29</v>
          </cell>
        </row>
        <row r="790">
          <cell r="G790">
            <v>541046.81000000006</v>
          </cell>
        </row>
        <row r="791">
          <cell r="G791">
            <v>866641.66</v>
          </cell>
        </row>
        <row r="792">
          <cell r="G792">
            <v>1312892.6100000001</v>
          </cell>
        </row>
        <row r="793">
          <cell r="G793">
            <v>1931143.43</v>
          </cell>
        </row>
        <row r="794">
          <cell r="G794">
            <v>1130073.94</v>
          </cell>
        </row>
        <row r="795">
          <cell r="G795">
            <v>673945.86</v>
          </cell>
        </row>
        <row r="796">
          <cell r="G796">
            <v>956385.64</v>
          </cell>
        </row>
        <row r="797">
          <cell r="G797">
            <v>592168.92000000004</v>
          </cell>
        </row>
        <row r="798">
          <cell r="G798">
            <v>1405905.41</v>
          </cell>
        </row>
        <row r="799">
          <cell r="G799">
            <v>1481826.3</v>
          </cell>
        </row>
        <row r="800">
          <cell r="G800">
            <v>941998.29</v>
          </cell>
        </row>
        <row r="801">
          <cell r="G801">
            <v>1105631.8600000001</v>
          </cell>
        </row>
        <row r="802">
          <cell r="G802">
            <v>1043107.92</v>
          </cell>
        </row>
        <row r="803">
          <cell r="G803">
            <v>979902.17</v>
          </cell>
        </row>
        <row r="804">
          <cell r="G804">
            <v>1095499.3600000001</v>
          </cell>
        </row>
        <row r="805">
          <cell r="G805">
            <v>857238.43</v>
          </cell>
        </row>
        <row r="806">
          <cell r="G806">
            <v>562860.93999999994</v>
          </cell>
        </row>
        <row r="807">
          <cell r="G807">
            <v>1247953.8899999999</v>
          </cell>
        </row>
        <row r="808">
          <cell r="G808">
            <v>1000602.75</v>
          </cell>
        </row>
        <row r="809">
          <cell r="G809">
            <v>653361.41</v>
          </cell>
        </row>
        <row r="810">
          <cell r="G810">
            <v>691029.19</v>
          </cell>
        </row>
        <row r="811">
          <cell r="G811">
            <v>1037394.4</v>
          </cell>
        </row>
        <row r="812">
          <cell r="G812">
            <v>946444.13</v>
          </cell>
        </row>
        <row r="813">
          <cell r="G813">
            <v>1148635.03</v>
          </cell>
        </row>
        <row r="814">
          <cell r="G814">
            <v>622124.38</v>
          </cell>
        </row>
        <row r="815">
          <cell r="G815">
            <v>1815301.1</v>
          </cell>
        </row>
        <row r="816">
          <cell r="G816">
            <v>632614.05000000005</v>
          </cell>
        </row>
        <row r="817">
          <cell r="G817">
            <v>869396.1</v>
          </cell>
        </row>
        <row r="818">
          <cell r="G818">
            <v>2357573.4500000002</v>
          </cell>
        </row>
        <row r="819">
          <cell r="G819">
            <v>1171218.28</v>
          </cell>
        </row>
        <row r="820">
          <cell r="G820">
            <v>1168527.83</v>
          </cell>
        </row>
        <row r="821">
          <cell r="G821">
            <v>964498.1</v>
          </cell>
        </row>
        <row r="822">
          <cell r="G822">
            <v>876427.38</v>
          </cell>
        </row>
        <row r="823">
          <cell r="G823">
            <v>1544256.24</v>
          </cell>
        </row>
        <row r="824">
          <cell r="G824">
            <v>1226147.99</v>
          </cell>
        </row>
        <row r="825">
          <cell r="G825">
            <v>782049.15</v>
          </cell>
        </row>
        <row r="826">
          <cell r="G826">
            <v>1910394.87</v>
          </cell>
        </row>
        <row r="827">
          <cell r="G827">
            <v>1216540.46</v>
          </cell>
        </row>
        <row r="828">
          <cell r="G828">
            <v>1215675.44</v>
          </cell>
        </row>
        <row r="829">
          <cell r="G829">
            <v>989833.97</v>
          </cell>
        </row>
        <row r="830">
          <cell r="G830">
            <v>903930.62</v>
          </cell>
        </row>
        <row r="831">
          <cell r="G831">
            <v>617765.79</v>
          </cell>
        </row>
        <row r="832">
          <cell r="G832">
            <v>888650.05</v>
          </cell>
        </row>
        <row r="833">
          <cell r="G833">
            <v>822672.63</v>
          </cell>
        </row>
        <row r="834">
          <cell r="G834">
            <v>1288068.57</v>
          </cell>
        </row>
        <row r="835">
          <cell r="G835">
            <v>821896.65</v>
          </cell>
        </row>
        <row r="836">
          <cell r="G836">
            <v>1191498.45</v>
          </cell>
        </row>
        <row r="837">
          <cell r="G837">
            <v>689875.42</v>
          </cell>
        </row>
        <row r="838">
          <cell r="G838">
            <v>1035952.41</v>
          </cell>
        </row>
        <row r="839">
          <cell r="G839">
            <v>858184.21</v>
          </cell>
        </row>
        <row r="840">
          <cell r="G840">
            <v>1446910.34</v>
          </cell>
        </row>
        <row r="841">
          <cell r="G841">
            <v>707977.65</v>
          </cell>
        </row>
        <row r="842">
          <cell r="G842">
            <v>945102.52</v>
          </cell>
        </row>
        <row r="843">
          <cell r="G843">
            <v>1206267.01</v>
          </cell>
        </row>
        <row r="844">
          <cell r="G844">
            <v>770247.21</v>
          </cell>
        </row>
        <row r="845">
          <cell r="G845">
            <v>668830.03</v>
          </cell>
        </row>
        <row r="846">
          <cell r="G846">
            <v>992929.18</v>
          </cell>
        </row>
        <row r="847">
          <cell r="G847">
            <v>1503912.77</v>
          </cell>
        </row>
        <row r="848">
          <cell r="G848">
            <v>1192298.83</v>
          </cell>
        </row>
        <row r="849">
          <cell r="G849">
            <v>847406.7</v>
          </cell>
        </row>
        <row r="850">
          <cell r="G850">
            <v>997739.14</v>
          </cell>
        </row>
        <row r="851">
          <cell r="G851">
            <v>1296859.68</v>
          </cell>
        </row>
        <row r="852">
          <cell r="G852">
            <v>627678.35</v>
          </cell>
        </row>
        <row r="853">
          <cell r="G853">
            <v>1330018.24</v>
          </cell>
        </row>
        <row r="854">
          <cell r="G854">
            <v>1223984.8799999999</v>
          </cell>
        </row>
        <row r="855">
          <cell r="G855">
            <v>1316906.97</v>
          </cell>
        </row>
        <row r="856">
          <cell r="G856">
            <v>1386857.97</v>
          </cell>
        </row>
        <row r="857">
          <cell r="G857">
            <v>2074776.99</v>
          </cell>
        </row>
        <row r="858">
          <cell r="G858">
            <v>873475.61</v>
          </cell>
        </row>
        <row r="859">
          <cell r="G859">
            <v>983289.19</v>
          </cell>
        </row>
        <row r="860">
          <cell r="G860">
            <v>928001.4</v>
          </cell>
        </row>
        <row r="861">
          <cell r="G861">
            <v>1195351.8600000001</v>
          </cell>
        </row>
        <row r="862">
          <cell r="G862">
            <v>1356499.18</v>
          </cell>
        </row>
        <row r="863">
          <cell r="G863">
            <v>1124397.1100000001</v>
          </cell>
        </row>
        <row r="864">
          <cell r="G864">
            <v>1910053.48</v>
          </cell>
        </row>
        <row r="865">
          <cell r="G865">
            <v>1054769.52</v>
          </cell>
        </row>
        <row r="866">
          <cell r="G866">
            <v>1337020.22</v>
          </cell>
        </row>
        <row r="867">
          <cell r="G867">
            <v>981885.95</v>
          </cell>
        </row>
        <row r="868">
          <cell r="G868">
            <v>1370841.44</v>
          </cell>
        </row>
        <row r="869">
          <cell r="G869">
            <v>1554785.55</v>
          </cell>
        </row>
        <row r="870">
          <cell r="G870">
            <v>1412365.49</v>
          </cell>
        </row>
        <row r="871">
          <cell r="G871">
            <v>1056965.04</v>
          </cell>
        </row>
        <row r="872">
          <cell r="G872">
            <v>1364234.09</v>
          </cell>
        </row>
        <row r="873">
          <cell r="G873">
            <v>1098942.9099999999</v>
          </cell>
        </row>
        <row r="874">
          <cell r="G874">
            <v>795024.03</v>
          </cell>
        </row>
        <row r="875">
          <cell r="G875">
            <v>862181.16</v>
          </cell>
        </row>
        <row r="876">
          <cell r="G876">
            <v>1543603.78</v>
          </cell>
        </row>
        <row r="877">
          <cell r="G877">
            <v>843825.1</v>
          </cell>
        </row>
        <row r="878">
          <cell r="G878">
            <v>1411835.04</v>
          </cell>
        </row>
        <row r="879">
          <cell r="G879">
            <v>1355673.51</v>
          </cell>
        </row>
        <row r="880">
          <cell r="G880">
            <v>855066.41</v>
          </cell>
        </row>
        <row r="881">
          <cell r="G881">
            <v>742767.8</v>
          </cell>
        </row>
        <row r="882">
          <cell r="G882">
            <v>912756.56</v>
          </cell>
        </row>
        <row r="883">
          <cell r="G883">
            <v>1273952.67</v>
          </cell>
        </row>
        <row r="884">
          <cell r="G884">
            <v>635072.39</v>
          </cell>
        </row>
        <row r="885">
          <cell r="G885">
            <v>2095057.88</v>
          </cell>
        </row>
        <row r="886">
          <cell r="G886">
            <v>1012914.61</v>
          </cell>
        </row>
        <row r="887">
          <cell r="G887">
            <v>1000519.16</v>
          </cell>
        </row>
        <row r="888">
          <cell r="G888">
            <v>1370466.62</v>
          </cell>
        </row>
        <row r="889">
          <cell r="G889">
            <v>643974.76</v>
          </cell>
        </row>
        <row r="890">
          <cell r="G890">
            <v>601642.32999999996</v>
          </cell>
        </row>
        <row r="891">
          <cell r="G891">
            <v>1393541.1200000001</v>
          </cell>
        </row>
        <row r="892">
          <cell r="G892">
            <v>742529.54</v>
          </cell>
        </row>
        <row r="893">
          <cell r="G893">
            <v>1115217.27</v>
          </cell>
        </row>
        <row r="894">
          <cell r="G894">
            <v>991895.65</v>
          </cell>
        </row>
        <row r="895">
          <cell r="G895">
            <v>1134148.06</v>
          </cell>
        </row>
        <row r="896">
          <cell r="G896">
            <v>514691.18</v>
          </cell>
        </row>
        <row r="897">
          <cell r="G897">
            <v>883880.25</v>
          </cell>
        </row>
        <row r="898">
          <cell r="G898">
            <v>495422.18</v>
          </cell>
        </row>
        <row r="899">
          <cell r="G899">
            <v>911161.1</v>
          </cell>
        </row>
        <row r="900">
          <cell r="G900">
            <v>516059.68</v>
          </cell>
        </row>
        <row r="901">
          <cell r="G901">
            <v>1051427.95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01"/>
  <sheetViews>
    <sheetView workbookViewId="0">
      <selection activeCell="P6" sqref="P6"/>
    </sheetView>
  </sheetViews>
  <sheetFormatPr defaultRowHeight="14.5" x14ac:dyDescent="0.35"/>
  <cols>
    <col min="8" max="8" width="10.08984375" bestFit="1" customWidth="1"/>
  </cols>
  <sheetData>
    <row r="1" spans="1:9" x14ac:dyDescent="0.35">
      <c r="A1" t="s">
        <v>0</v>
      </c>
      <c r="B1" t="s">
        <v>3</v>
      </c>
      <c r="C1" t="s">
        <v>932</v>
      </c>
      <c r="D1" t="s">
        <v>2</v>
      </c>
      <c r="E1" t="s">
        <v>933</v>
      </c>
      <c r="F1" t="s">
        <v>5</v>
      </c>
      <c r="G1" t="s">
        <v>934</v>
      </c>
      <c r="H1" t="s">
        <v>935</v>
      </c>
    </row>
    <row r="2" spans="1:9" x14ac:dyDescent="0.35">
      <c r="A2" t="s">
        <v>13</v>
      </c>
      <c r="B2" t="s">
        <v>16</v>
      </c>
      <c r="C2" t="s">
        <v>14</v>
      </c>
      <c r="D2" t="s">
        <v>15</v>
      </c>
      <c r="E2">
        <v>7</v>
      </c>
      <c r="F2" t="s">
        <v>17</v>
      </c>
      <c r="G2" t="s">
        <v>936</v>
      </c>
      <c r="H2" s="1">
        <v>43459</v>
      </c>
      <c r="I2" s="2"/>
    </row>
    <row r="3" spans="1:9" x14ac:dyDescent="0.35">
      <c r="A3" t="s">
        <v>18</v>
      </c>
      <c r="B3" t="s">
        <v>21</v>
      </c>
      <c r="C3" t="s">
        <v>19</v>
      </c>
      <c r="D3" t="s">
        <v>20</v>
      </c>
      <c r="E3">
        <v>14</v>
      </c>
      <c r="F3" t="s">
        <v>22</v>
      </c>
      <c r="G3" t="s">
        <v>937</v>
      </c>
      <c r="H3" s="1">
        <v>44206</v>
      </c>
      <c r="I3" s="2"/>
    </row>
    <row r="4" spans="1:9" x14ac:dyDescent="0.35">
      <c r="A4" t="s">
        <v>23</v>
      </c>
      <c r="B4" t="s">
        <v>16</v>
      </c>
      <c r="C4" t="s">
        <v>14</v>
      </c>
      <c r="D4" t="s">
        <v>15</v>
      </c>
      <c r="E4">
        <v>8</v>
      </c>
      <c r="F4" t="s">
        <v>24</v>
      </c>
      <c r="G4" t="s">
        <v>936</v>
      </c>
      <c r="H4" s="1">
        <v>42452</v>
      </c>
      <c r="I4" s="2"/>
    </row>
    <row r="5" spans="1:9" x14ac:dyDescent="0.35">
      <c r="A5" t="s">
        <v>25</v>
      </c>
      <c r="B5" t="s">
        <v>21</v>
      </c>
      <c r="C5" t="s">
        <v>26</v>
      </c>
      <c r="D5" t="s">
        <v>15</v>
      </c>
      <c r="E5">
        <v>11</v>
      </c>
      <c r="F5" t="s">
        <v>27</v>
      </c>
      <c r="G5" t="s">
        <v>936</v>
      </c>
      <c r="H5" s="1">
        <v>45247</v>
      </c>
      <c r="I5" s="2"/>
    </row>
    <row r="6" spans="1:9" x14ac:dyDescent="0.35">
      <c r="A6" t="s">
        <v>28</v>
      </c>
      <c r="B6" t="s">
        <v>16</v>
      </c>
      <c r="C6" t="s">
        <v>29</v>
      </c>
      <c r="D6" t="s">
        <v>15</v>
      </c>
      <c r="E6">
        <v>5</v>
      </c>
      <c r="F6" t="s">
        <v>22</v>
      </c>
      <c r="G6" t="s">
        <v>937</v>
      </c>
      <c r="H6" s="1">
        <v>45546</v>
      </c>
      <c r="I6" s="2"/>
    </row>
    <row r="7" spans="1:9" x14ac:dyDescent="0.35">
      <c r="A7" t="s">
        <v>30</v>
      </c>
      <c r="B7" t="s">
        <v>21</v>
      </c>
      <c r="C7" t="s">
        <v>19</v>
      </c>
      <c r="D7" t="s">
        <v>15</v>
      </c>
      <c r="E7">
        <v>2</v>
      </c>
      <c r="F7" t="s">
        <v>31</v>
      </c>
      <c r="G7" t="s">
        <v>937</v>
      </c>
      <c r="H7" s="1">
        <v>43575</v>
      </c>
      <c r="I7" s="2"/>
    </row>
    <row r="8" spans="1:9" x14ac:dyDescent="0.35">
      <c r="A8" t="s">
        <v>32</v>
      </c>
      <c r="B8" t="s">
        <v>21</v>
      </c>
      <c r="C8" t="s">
        <v>26</v>
      </c>
      <c r="D8" t="s">
        <v>33</v>
      </c>
      <c r="E8">
        <v>11</v>
      </c>
      <c r="F8" t="s">
        <v>31</v>
      </c>
      <c r="G8" t="s">
        <v>937</v>
      </c>
      <c r="H8" s="1">
        <v>43170</v>
      </c>
      <c r="I8" s="2"/>
    </row>
    <row r="9" spans="1:9" x14ac:dyDescent="0.35">
      <c r="A9" t="s">
        <v>34</v>
      </c>
      <c r="B9" t="s">
        <v>16</v>
      </c>
      <c r="C9" t="s">
        <v>35</v>
      </c>
      <c r="D9" t="s">
        <v>33</v>
      </c>
      <c r="E9">
        <v>3</v>
      </c>
      <c r="F9" t="s">
        <v>24</v>
      </c>
      <c r="G9" t="s">
        <v>936</v>
      </c>
      <c r="H9" s="1">
        <v>43882</v>
      </c>
      <c r="I9" s="2"/>
    </row>
    <row r="10" spans="1:9" x14ac:dyDescent="0.35">
      <c r="A10" t="s">
        <v>36</v>
      </c>
      <c r="B10" t="s">
        <v>21</v>
      </c>
      <c r="C10" t="s">
        <v>35</v>
      </c>
      <c r="D10" t="s">
        <v>20</v>
      </c>
      <c r="E10">
        <v>10</v>
      </c>
      <c r="F10" t="s">
        <v>37</v>
      </c>
      <c r="G10" t="s">
        <v>936</v>
      </c>
      <c r="H10" s="1">
        <v>42262</v>
      </c>
      <c r="I10" s="2"/>
    </row>
    <row r="11" spans="1:9" x14ac:dyDescent="0.35">
      <c r="A11" t="s">
        <v>38</v>
      </c>
      <c r="B11" t="s">
        <v>16</v>
      </c>
      <c r="C11" t="s">
        <v>19</v>
      </c>
      <c r="D11" t="s">
        <v>33</v>
      </c>
      <c r="E11">
        <v>6</v>
      </c>
      <c r="F11" t="s">
        <v>31</v>
      </c>
      <c r="G11" t="s">
        <v>937</v>
      </c>
      <c r="H11" s="1">
        <v>44856</v>
      </c>
      <c r="I11" s="2"/>
    </row>
    <row r="12" spans="1:9" x14ac:dyDescent="0.35">
      <c r="A12" t="s">
        <v>39</v>
      </c>
      <c r="B12" t="s">
        <v>21</v>
      </c>
      <c r="C12" t="s">
        <v>26</v>
      </c>
      <c r="D12" t="s">
        <v>15</v>
      </c>
      <c r="E12">
        <v>6</v>
      </c>
      <c r="F12" t="s">
        <v>27</v>
      </c>
      <c r="G12" t="s">
        <v>936</v>
      </c>
      <c r="H12" s="1">
        <v>44713</v>
      </c>
      <c r="I12" s="2"/>
    </row>
    <row r="13" spans="1:9" x14ac:dyDescent="0.35">
      <c r="A13" t="s">
        <v>40</v>
      </c>
      <c r="B13" t="s">
        <v>16</v>
      </c>
      <c r="C13" t="s">
        <v>29</v>
      </c>
      <c r="D13" t="s">
        <v>33</v>
      </c>
      <c r="E13">
        <v>7</v>
      </c>
      <c r="F13" t="s">
        <v>27</v>
      </c>
      <c r="G13" t="s">
        <v>936</v>
      </c>
      <c r="H13" s="1">
        <v>43492</v>
      </c>
      <c r="I13" s="2"/>
    </row>
    <row r="14" spans="1:9" x14ac:dyDescent="0.35">
      <c r="A14" t="s">
        <v>41</v>
      </c>
      <c r="B14" t="s">
        <v>16</v>
      </c>
      <c r="C14" t="s">
        <v>14</v>
      </c>
      <c r="D14" t="s">
        <v>20</v>
      </c>
      <c r="E14">
        <v>14</v>
      </c>
      <c r="F14" t="s">
        <v>31</v>
      </c>
      <c r="G14" t="s">
        <v>937</v>
      </c>
      <c r="H14" s="1">
        <v>42608</v>
      </c>
      <c r="I14" s="2"/>
    </row>
    <row r="15" spans="1:9" x14ac:dyDescent="0.35">
      <c r="A15" t="s">
        <v>42</v>
      </c>
      <c r="B15" t="s">
        <v>21</v>
      </c>
      <c r="C15" t="s">
        <v>14</v>
      </c>
      <c r="D15" t="s">
        <v>43</v>
      </c>
      <c r="E15">
        <v>11</v>
      </c>
      <c r="F15" t="s">
        <v>44</v>
      </c>
      <c r="G15" t="s">
        <v>937</v>
      </c>
      <c r="H15" s="1">
        <v>44194</v>
      </c>
      <c r="I15" s="2"/>
    </row>
    <row r="16" spans="1:9" x14ac:dyDescent="0.35">
      <c r="A16" t="s">
        <v>45</v>
      </c>
      <c r="B16" t="s">
        <v>21</v>
      </c>
      <c r="C16" t="s">
        <v>35</v>
      </c>
      <c r="D16" t="s">
        <v>20</v>
      </c>
      <c r="E16">
        <v>8</v>
      </c>
      <c r="F16" t="s">
        <v>44</v>
      </c>
      <c r="G16" t="s">
        <v>937</v>
      </c>
      <c r="H16" s="1">
        <v>44607</v>
      </c>
      <c r="I16" s="2"/>
    </row>
    <row r="17" spans="1:9" x14ac:dyDescent="0.35">
      <c r="A17" t="s">
        <v>46</v>
      </c>
      <c r="B17" t="s">
        <v>21</v>
      </c>
      <c r="C17" t="s">
        <v>35</v>
      </c>
      <c r="D17" t="s">
        <v>15</v>
      </c>
      <c r="E17">
        <v>11</v>
      </c>
      <c r="F17" t="s">
        <v>27</v>
      </c>
      <c r="G17" t="s">
        <v>936</v>
      </c>
      <c r="H17" s="1">
        <v>43083</v>
      </c>
      <c r="I17" s="2"/>
    </row>
    <row r="18" spans="1:9" x14ac:dyDescent="0.35">
      <c r="A18" t="s">
        <v>47</v>
      </c>
      <c r="B18" t="s">
        <v>21</v>
      </c>
      <c r="C18" t="s">
        <v>26</v>
      </c>
      <c r="D18" t="s">
        <v>43</v>
      </c>
      <c r="E18">
        <v>0</v>
      </c>
      <c r="F18" t="s">
        <v>17</v>
      </c>
      <c r="G18" t="s">
        <v>936</v>
      </c>
      <c r="H18" s="1">
        <v>45347</v>
      </c>
      <c r="I18" s="2"/>
    </row>
    <row r="19" spans="1:9" x14ac:dyDescent="0.35">
      <c r="A19" t="s">
        <v>48</v>
      </c>
      <c r="B19" t="s">
        <v>16</v>
      </c>
      <c r="C19" t="s">
        <v>35</v>
      </c>
      <c r="D19" t="s">
        <v>20</v>
      </c>
      <c r="E19">
        <v>3</v>
      </c>
      <c r="F19" t="s">
        <v>31</v>
      </c>
      <c r="G19" t="s">
        <v>937</v>
      </c>
      <c r="H19" s="1">
        <v>45589</v>
      </c>
      <c r="I19" s="2"/>
    </row>
    <row r="20" spans="1:9" x14ac:dyDescent="0.35">
      <c r="A20" t="s">
        <v>49</v>
      </c>
      <c r="B20" t="s">
        <v>21</v>
      </c>
      <c r="C20" t="s">
        <v>14</v>
      </c>
      <c r="D20" t="s">
        <v>43</v>
      </c>
      <c r="E20">
        <v>15</v>
      </c>
      <c r="F20" t="s">
        <v>22</v>
      </c>
      <c r="G20" t="s">
        <v>937</v>
      </c>
      <c r="H20" s="1">
        <v>44824</v>
      </c>
      <c r="I20" s="2"/>
    </row>
    <row r="21" spans="1:9" x14ac:dyDescent="0.35">
      <c r="A21" t="s">
        <v>50</v>
      </c>
      <c r="B21" t="s">
        <v>16</v>
      </c>
      <c r="C21" t="s">
        <v>35</v>
      </c>
      <c r="D21" t="s">
        <v>33</v>
      </c>
      <c r="E21">
        <v>1</v>
      </c>
      <c r="F21" t="s">
        <v>17</v>
      </c>
      <c r="G21" t="s">
        <v>936</v>
      </c>
      <c r="H21" s="1">
        <v>44114</v>
      </c>
      <c r="I21" s="2"/>
    </row>
    <row r="22" spans="1:9" x14ac:dyDescent="0.35">
      <c r="A22" t="s">
        <v>51</v>
      </c>
      <c r="B22" t="s">
        <v>16</v>
      </c>
      <c r="C22" t="s">
        <v>35</v>
      </c>
      <c r="D22" t="s">
        <v>15</v>
      </c>
      <c r="E22">
        <v>6</v>
      </c>
      <c r="F22" t="s">
        <v>22</v>
      </c>
      <c r="G22" t="s">
        <v>937</v>
      </c>
      <c r="H22" s="1">
        <v>43296</v>
      </c>
      <c r="I22" s="2"/>
    </row>
    <row r="23" spans="1:9" x14ac:dyDescent="0.35">
      <c r="A23" t="s">
        <v>52</v>
      </c>
      <c r="B23" t="s">
        <v>16</v>
      </c>
      <c r="C23" t="s">
        <v>19</v>
      </c>
      <c r="D23" t="s">
        <v>20</v>
      </c>
      <c r="E23">
        <v>8</v>
      </c>
      <c r="F23" t="s">
        <v>24</v>
      </c>
      <c r="G23" t="s">
        <v>936</v>
      </c>
      <c r="H23" s="1">
        <v>42524</v>
      </c>
      <c r="I23" s="2"/>
    </row>
    <row r="24" spans="1:9" x14ac:dyDescent="0.35">
      <c r="A24" t="s">
        <v>53</v>
      </c>
      <c r="B24" t="s">
        <v>16</v>
      </c>
      <c r="C24" t="s">
        <v>19</v>
      </c>
      <c r="D24" t="s">
        <v>33</v>
      </c>
      <c r="E24">
        <v>8</v>
      </c>
      <c r="F24" t="s">
        <v>44</v>
      </c>
      <c r="G24" t="s">
        <v>937</v>
      </c>
      <c r="H24" s="1">
        <v>42149</v>
      </c>
      <c r="I24" s="2"/>
    </row>
    <row r="25" spans="1:9" x14ac:dyDescent="0.35">
      <c r="A25" t="s">
        <v>54</v>
      </c>
      <c r="B25" t="s">
        <v>21</v>
      </c>
      <c r="C25" t="s">
        <v>35</v>
      </c>
      <c r="D25" t="s">
        <v>43</v>
      </c>
      <c r="E25">
        <v>9</v>
      </c>
      <c r="F25" t="s">
        <v>37</v>
      </c>
      <c r="G25" t="s">
        <v>936</v>
      </c>
      <c r="H25" s="1">
        <v>44311</v>
      </c>
      <c r="I25" s="2"/>
    </row>
    <row r="26" spans="1:9" x14ac:dyDescent="0.35">
      <c r="A26" t="s">
        <v>55</v>
      </c>
      <c r="B26" t="s">
        <v>21</v>
      </c>
      <c r="C26" t="s">
        <v>26</v>
      </c>
      <c r="D26" t="s">
        <v>15</v>
      </c>
      <c r="E26">
        <v>14</v>
      </c>
      <c r="F26" t="s">
        <v>37</v>
      </c>
      <c r="G26" t="s">
        <v>936</v>
      </c>
      <c r="H26" s="1">
        <v>45118</v>
      </c>
      <c r="I26" s="2"/>
    </row>
    <row r="27" spans="1:9" x14ac:dyDescent="0.35">
      <c r="A27" t="s">
        <v>56</v>
      </c>
      <c r="B27" t="s">
        <v>16</v>
      </c>
      <c r="C27" t="s">
        <v>14</v>
      </c>
      <c r="D27" t="s">
        <v>33</v>
      </c>
      <c r="E27">
        <v>7</v>
      </c>
      <c r="F27" t="s">
        <v>22</v>
      </c>
      <c r="G27" t="s">
        <v>937</v>
      </c>
      <c r="H27" s="1">
        <v>43933</v>
      </c>
      <c r="I27" s="2"/>
    </row>
    <row r="28" spans="1:9" x14ac:dyDescent="0.35">
      <c r="A28" t="s">
        <v>57</v>
      </c>
      <c r="B28" t="s">
        <v>21</v>
      </c>
      <c r="C28" t="s">
        <v>26</v>
      </c>
      <c r="D28" t="s">
        <v>33</v>
      </c>
      <c r="E28">
        <v>1</v>
      </c>
      <c r="F28" t="s">
        <v>37</v>
      </c>
      <c r="G28" t="s">
        <v>936</v>
      </c>
      <c r="H28" s="1">
        <v>43894</v>
      </c>
      <c r="I28" s="2"/>
    </row>
    <row r="29" spans="1:9" x14ac:dyDescent="0.35">
      <c r="A29" t="s">
        <v>58</v>
      </c>
      <c r="B29" t="s">
        <v>21</v>
      </c>
      <c r="C29" t="s">
        <v>14</v>
      </c>
      <c r="D29" t="s">
        <v>20</v>
      </c>
      <c r="E29">
        <v>0</v>
      </c>
      <c r="F29" t="s">
        <v>31</v>
      </c>
      <c r="G29" t="s">
        <v>937</v>
      </c>
      <c r="H29" s="1">
        <v>45650</v>
      </c>
      <c r="I29" s="2"/>
    </row>
    <row r="30" spans="1:9" x14ac:dyDescent="0.35">
      <c r="A30" t="s">
        <v>59</v>
      </c>
      <c r="B30" t="s">
        <v>21</v>
      </c>
      <c r="C30" t="s">
        <v>29</v>
      </c>
      <c r="D30" t="s">
        <v>20</v>
      </c>
      <c r="E30">
        <v>0</v>
      </c>
      <c r="F30" t="s">
        <v>27</v>
      </c>
      <c r="G30" t="s">
        <v>936</v>
      </c>
      <c r="H30" s="1">
        <v>43179</v>
      </c>
      <c r="I30" s="2"/>
    </row>
    <row r="31" spans="1:9" x14ac:dyDescent="0.35">
      <c r="A31" t="s">
        <v>60</v>
      </c>
      <c r="B31" t="s">
        <v>21</v>
      </c>
      <c r="C31" t="s">
        <v>14</v>
      </c>
      <c r="D31" t="s">
        <v>15</v>
      </c>
      <c r="E31">
        <v>8</v>
      </c>
      <c r="F31" t="s">
        <v>31</v>
      </c>
      <c r="G31" t="s">
        <v>937</v>
      </c>
      <c r="H31" s="1">
        <v>44821</v>
      </c>
      <c r="I31" s="2"/>
    </row>
    <row r="32" spans="1:9" x14ac:dyDescent="0.35">
      <c r="A32" t="s">
        <v>61</v>
      </c>
      <c r="B32" t="s">
        <v>16</v>
      </c>
      <c r="C32" t="s">
        <v>19</v>
      </c>
      <c r="D32" t="s">
        <v>43</v>
      </c>
      <c r="E32">
        <v>13</v>
      </c>
      <c r="F32" t="s">
        <v>27</v>
      </c>
      <c r="G32" t="s">
        <v>936</v>
      </c>
      <c r="H32" s="1">
        <v>42845</v>
      </c>
      <c r="I32" s="2"/>
    </row>
    <row r="33" spans="1:9" x14ac:dyDescent="0.35">
      <c r="A33" t="s">
        <v>62</v>
      </c>
      <c r="B33" t="s">
        <v>16</v>
      </c>
      <c r="C33" t="s">
        <v>35</v>
      </c>
      <c r="D33" t="s">
        <v>20</v>
      </c>
      <c r="E33">
        <v>5</v>
      </c>
      <c r="F33" t="s">
        <v>17</v>
      </c>
      <c r="G33" t="s">
        <v>936</v>
      </c>
      <c r="H33" s="1">
        <v>45078</v>
      </c>
      <c r="I33" s="2"/>
    </row>
    <row r="34" spans="1:9" x14ac:dyDescent="0.35">
      <c r="A34" t="s">
        <v>63</v>
      </c>
      <c r="B34" t="s">
        <v>16</v>
      </c>
      <c r="C34" t="s">
        <v>19</v>
      </c>
      <c r="D34" t="s">
        <v>43</v>
      </c>
      <c r="E34">
        <v>15</v>
      </c>
      <c r="F34" t="s">
        <v>27</v>
      </c>
      <c r="G34" t="s">
        <v>936</v>
      </c>
      <c r="H34" s="1">
        <v>42874</v>
      </c>
      <c r="I34" s="2"/>
    </row>
    <row r="35" spans="1:9" x14ac:dyDescent="0.35">
      <c r="A35" t="s">
        <v>64</v>
      </c>
      <c r="B35" t="s">
        <v>21</v>
      </c>
      <c r="C35" t="s">
        <v>19</v>
      </c>
      <c r="D35" t="s">
        <v>43</v>
      </c>
      <c r="E35">
        <v>1</v>
      </c>
      <c r="F35" t="s">
        <v>27</v>
      </c>
      <c r="G35" t="s">
        <v>936</v>
      </c>
      <c r="H35" s="1">
        <v>45225</v>
      </c>
      <c r="I35" s="2"/>
    </row>
    <row r="36" spans="1:9" x14ac:dyDescent="0.35">
      <c r="A36" t="s">
        <v>65</v>
      </c>
      <c r="B36" t="s">
        <v>21</v>
      </c>
      <c r="C36" t="s">
        <v>26</v>
      </c>
      <c r="D36" t="s">
        <v>15</v>
      </c>
      <c r="E36">
        <v>6</v>
      </c>
      <c r="F36" t="s">
        <v>17</v>
      </c>
      <c r="G36" t="s">
        <v>936</v>
      </c>
      <c r="H36" s="1">
        <v>42408</v>
      </c>
      <c r="I36" s="2"/>
    </row>
    <row r="37" spans="1:9" x14ac:dyDescent="0.35">
      <c r="A37" t="s">
        <v>66</v>
      </c>
      <c r="B37" t="s">
        <v>21</v>
      </c>
      <c r="C37" t="s">
        <v>35</v>
      </c>
      <c r="D37" t="s">
        <v>15</v>
      </c>
      <c r="E37">
        <v>3</v>
      </c>
      <c r="F37" t="s">
        <v>17</v>
      </c>
      <c r="G37" t="s">
        <v>936</v>
      </c>
      <c r="H37" s="1">
        <v>43104</v>
      </c>
      <c r="I37" s="2"/>
    </row>
    <row r="38" spans="1:9" x14ac:dyDescent="0.35">
      <c r="A38" t="s">
        <v>67</v>
      </c>
      <c r="B38" t="s">
        <v>16</v>
      </c>
      <c r="C38" t="s">
        <v>35</v>
      </c>
      <c r="D38" t="s">
        <v>15</v>
      </c>
      <c r="E38">
        <v>1</v>
      </c>
      <c r="F38" t="s">
        <v>22</v>
      </c>
      <c r="G38" t="s">
        <v>937</v>
      </c>
      <c r="H38" s="1">
        <v>42492</v>
      </c>
      <c r="I38" s="2"/>
    </row>
    <row r="39" spans="1:9" x14ac:dyDescent="0.35">
      <c r="A39" t="s">
        <v>68</v>
      </c>
      <c r="B39" t="s">
        <v>21</v>
      </c>
      <c r="C39" t="s">
        <v>19</v>
      </c>
      <c r="D39" t="s">
        <v>20</v>
      </c>
      <c r="E39">
        <v>3</v>
      </c>
      <c r="F39" t="s">
        <v>44</v>
      </c>
      <c r="G39" t="s">
        <v>937</v>
      </c>
      <c r="H39" s="1">
        <v>43547</v>
      </c>
      <c r="I39" s="2"/>
    </row>
    <row r="40" spans="1:9" x14ac:dyDescent="0.35">
      <c r="A40" t="s">
        <v>69</v>
      </c>
      <c r="B40" t="s">
        <v>21</v>
      </c>
      <c r="C40" t="s">
        <v>29</v>
      </c>
      <c r="D40" t="s">
        <v>33</v>
      </c>
      <c r="E40">
        <v>6</v>
      </c>
      <c r="F40" t="s">
        <v>70</v>
      </c>
      <c r="G40" t="s">
        <v>937</v>
      </c>
      <c r="H40" s="1">
        <v>43907</v>
      </c>
      <c r="I40" s="2"/>
    </row>
    <row r="41" spans="1:9" x14ac:dyDescent="0.35">
      <c r="A41" t="s">
        <v>71</v>
      </c>
      <c r="B41" t="s">
        <v>16</v>
      </c>
      <c r="C41" t="s">
        <v>14</v>
      </c>
      <c r="D41" t="s">
        <v>20</v>
      </c>
      <c r="E41">
        <v>5</v>
      </c>
      <c r="F41" t="s">
        <v>44</v>
      </c>
      <c r="G41" t="s">
        <v>937</v>
      </c>
      <c r="H41" s="1">
        <v>43413</v>
      </c>
      <c r="I41" s="2"/>
    </row>
    <row r="42" spans="1:9" x14ac:dyDescent="0.35">
      <c r="A42" t="s">
        <v>72</v>
      </c>
      <c r="B42" t="s">
        <v>16</v>
      </c>
      <c r="C42" t="s">
        <v>19</v>
      </c>
      <c r="D42" t="s">
        <v>33</v>
      </c>
      <c r="E42">
        <v>6</v>
      </c>
      <c r="F42" t="s">
        <v>31</v>
      </c>
      <c r="G42" t="s">
        <v>937</v>
      </c>
      <c r="H42" s="1">
        <v>43865</v>
      </c>
      <c r="I42" s="2"/>
    </row>
    <row r="43" spans="1:9" x14ac:dyDescent="0.35">
      <c r="A43" t="s">
        <v>73</v>
      </c>
      <c r="B43" t="s">
        <v>16</v>
      </c>
      <c r="C43" t="s">
        <v>29</v>
      </c>
      <c r="D43" t="s">
        <v>20</v>
      </c>
      <c r="E43">
        <v>6</v>
      </c>
      <c r="F43" t="s">
        <v>27</v>
      </c>
      <c r="G43" t="s">
        <v>936</v>
      </c>
      <c r="H43" s="1">
        <v>43200</v>
      </c>
      <c r="I43" s="2"/>
    </row>
    <row r="44" spans="1:9" x14ac:dyDescent="0.35">
      <c r="A44" t="s">
        <v>74</v>
      </c>
      <c r="B44" t="s">
        <v>16</v>
      </c>
      <c r="C44" t="s">
        <v>35</v>
      </c>
      <c r="D44" t="s">
        <v>43</v>
      </c>
      <c r="E44">
        <v>13</v>
      </c>
      <c r="F44" t="s">
        <v>27</v>
      </c>
      <c r="G44" t="s">
        <v>936</v>
      </c>
      <c r="H44" s="1">
        <v>45159</v>
      </c>
      <c r="I44" s="2"/>
    </row>
    <row r="45" spans="1:9" x14ac:dyDescent="0.35">
      <c r="A45" t="s">
        <v>75</v>
      </c>
      <c r="B45" t="s">
        <v>16</v>
      </c>
      <c r="C45" t="s">
        <v>14</v>
      </c>
      <c r="D45" t="s">
        <v>15</v>
      </c>
      <c r="E45">
        <v>0</v>
      </c>
      <c r="F45" t="s">
        <v>44</v>
      </c>
      <c r="G45" t="s">
        <v>937</v>
      </c>
      <c r="H45" s="1">
        <v>43506</v>
      </c>
      <c r="I45" s="2"/>
    </row>
    <row r="46" spans="1:9" x14ac:dyDescent="0.35">
      <c r="A46" t="s">
        <v>76</v>
      </c>
      <c r="B46" t="s">
        <v>16</v>
      </c>
      <c r="C46" t="s">
        <v>29</v>
      </c>
      <c r="D46" t="s">
        <v>20</v>
      </c>
      <c r="E46">
        <v>10</v>
      </c>
      <c r="F46" t="s">
        <v>44</v>
      </c>
      <c r="G46" t="s">
        <v>937</v>
      </c>
      <c r="H46" s="1">
        <v>42071</v>
      </c>
      <c r="I46" s="2"/>
    </row>
    <row r="47" spans="1:9" x14ac:dyDescent="0.35">
      <c r="A47" t="s">
        <v>77</v>
      </c>
      <c r="B47" t="s">
        <v>16</v>
      </c>
      <c r="C47" t="s">
        <v>26</v>
      </c>
      <c r="D47" t="s">
        <v>20</v>
      </c>
      <c r="E47">
        <v>12</v>
      </c>
      <c r="F47" t="s">
        <v>17</v>
      </c>
      <c r="G47" t="s">
        <v>936</v>
      </c>
      <c r="H47" s="1">
        <v>45478</v>
      </c>
      <c r="I47" s="2"/>
    </row>
    <row r="48" spans="1:9" x14ac:dyDescent="0.35">
      <c r="A48" t="s">
        <v>78</v>
      </c>
      <c r="B48" t="s">
        <v>16</v>
      </c>
      <c r="C48" t="s">
        <v>26</v>
      </c>
      <c r="D48" t="s">
        <v>33</v>
      </c>
      <c r="E48">
        <v>7</v>
      </c>
      <c r="F48" t="s">
        <v>24</v>
      </c>
      <c r="G48" t="s">
        <v>936</v>
      </c>
      <c r="H48" s="1">
        <v>44383</v>
      </c>
      <c r="I48" s="2"/>
    </row>
    <row r="49" spans="1:9" x14ac:dyDescent="0.35">
      <c r="A49" t="s">
        <v>79</v>
      </c>
      <c r="B49" t="s">
        <v>16</v>
      </c>
      <c r="C49" t="s">
        <v>14</v>
      </c>
      <c r="D49" t="s">
        <v>20</v>
      </c>
      <c r="E49">
        <v>9</v>
      </c>
      <c r="F49" t="s">
        <v>24</v>
      </c>
      <c r="G49" t="s">
        <v>936</v>
      </c>
      <c r="H49" s="1">
        <v>42645</v>
      </c>
      <c r="I49" s="2"/>
    </row>
    <row r="50" spans="1:9" x14ac:dyDescent="0.35">
      <c r="A50" t="s">
        <v>80</v>
      </c>
      <c r="B50" t="s">
        <v>21</v>
      </c>
      <c r="C50" t="s">
        <v>35</v>
      </c>
      <c r="D50" t="s">
        <v>15</v>
      </c>
      <c r="E50">
        <v>15</v>
      </c>
      <c r="F50" t="s">
        <v>31</v>
      </c>
      <c r="G50" t="s">
        <v>937</v>
      </c>
      <c r="H50" s="1">
        <v>43038</v>
      </c>
      <c r="I50" s="2"/>
    </row>
    <row r="51" spans="1:9" x14ac:dyDescent="0.35">
      <c r="A51" t="s">
        <v>81</v>
      </c>
      <c r="B51" t="s">
        <v>16</v>
      </c>
      <c r="C51" t="s">
        <v>29</v>
      </c>
      <c r="D51" t="s">
        <v>15</v>
      </c>
      <c r="E51">
        <v>12</v>
      </c>
      <c r="F51" t="s">
        <v>70</v>
      </c>
      <c r="G51" t="s">
        <v>937</v>
      </c>
      <c r="H51" s="1">
        <v>44117</v>
      </c>
      <c r="I51" s="2"/>
    </row>
    <row r="52" spans="1:9" x14ac:dyDescent="0.35">
      <c r="A52" t="s">
        <v>82</v>
      </c>
      <c r="B52" t="s">
        <v>16</v>
      </c>
      <c r="C52" t="s">
        <v>19</v>
      </c>
      <c r="D52" t="s">
        <v>43</v>
      </c>
      <c r="E52">
        <v>11</v>
      </c>
      <c r="F52" t="s">
        <v>70</v>
      </c>
      <c r="G52" t="s">
        <v>937</v>
      </c>
      <c r="H52" s="1">
        <v>42383</v>
      </c>
      <c r="I52" s="2"/>
    </row>
    <row r="53" spans="1:9" x14ac:dyDescent="0.35">
      <c r="A53" t="s">
        <v>83</v>
      </c>
      <c r="B53" t="s">
        <v>16</v>
      </c>
      <c r="C53" t="s">
        <v>29</v>
      </c>
      <c r="D53" t="s">
        <v>15</v>
      </c>
      <c r="E53">
        <v>1</v>
      </c>
      <c r="F53" t="s">
        <v>70</v>
      </c>
      <c r="G53" t="s">
        <v>937</v>
      </c>
      <c r="H53" s="1">
        <v>44247</v>
      </c>
      <c r="I53" s="2"/>
    </row>
    <row r="54" spans="1:9" x14ac:dyDescent="0.35">
      <c r="A54" t="s">
        <v>84</v>
      </c>
      <c r="B54" t="s">
        <v>16</v>
      </c>
      <c r="C54" t="s">
        <v>19</v>
      </c>
      <c r="D54" t="s">
        <v>43</v>
      </c>
      <c r="E54">
        <v>5</v>
      </c>
      <c r="F54" t="s">
        <v>31</v>
      </c>
      <c r="G54" t="s">
        <v>937</v>
      </c>
      <c r="H54" s="1">
        <v>44988</v>
      </c>
      <c r="I54" s="2"/>
    </row>
    <row r="55" spans="1:9" x14ac:dyDescent="0.35">
      <c r="A55" t="s">
        <v>85</v>
      </c>
      <c r="B55" t="s">
        <v>16</v>
      </c>
      <c r="C55" t="s">
        <v>29</v>
      </c>
      <c r="D55" t="s">
        <v>15</v>
      </c>
      <c r="E55">
        <v>4</v>
      </c>
      <c r="F55" t="s">
        <v>31</v>
      </c>
      <c r="G55" t="s">
        <v>937</v>
      </c>
      <c r="H55" s="1">
        <v>42937</v>
      </c>
      <c r="I55" s="2"/>
    </row>
    <row r="56" spans="1:9" x14ac:dyDescent="0.35">
      <c r="A56" t="s">
        <v>86</v>
      </c>
      <c r="B56" t="s">
        <v>21</v>
      </c>
      <c r="C56" t="s">
        <v>29</v>
      </c>
      <c r="D56" t="s">
        <v>15</v>
      </c>
      <c r="E56">
        <v>13</v>
      </c>
      <c r="F56" t="s">
        <v>22</v>
      </c>
      <c r="G56" t="s">
        <v>937</v>
      </c>
      <c r="H56" s="1">
        <v>42447</v>
      </c>
      <c r="I56" s="2"/>
    </row>
    <row r="57" spans="1:9" x14ac:dyDescent="0.35">
      <c r="A57" t="s">
        <v>87</v>
      </c>
      <c r="B57" t="s">
        <v>21</v>
      </c>
      <c r="C57" t="s">
        <v>19</v>
      </c>
      <c r="D57" t="s">
        <v>15</v>
      </c>
      <c r="E57">
        <v>8</v>
      </c>
      <c r="F57" t="s">
        <v>17</v>
      </c>
      <c r="G57" t="s">
        <v>936</v>
      </c>
      <c r="H57" s="1">
        <v>43633</v>
      </c>
      <c r="I57" s="2"/>
    </row>
    <row r="58" spans="1:9" x14ac:dyDescent="0.35">
      <c r="A58" t="s">
        <v>88</v>
      </c>
      <c r="B58" t="s">
        <v>16</v>
      </c>
      <c r="C58" t="s">
        <v>26</v>
      </c>
      <c r="D58" t="s">
        <v>15</v>
      </c>
      <c r="E58">
        <v>12</v>
      </c>
      <c r="F58" t="s">
        <v>22</v>
      </c>
      <c r="G58" t="s">
        <v>937</v>
      </c>
      <c r="H58" s="1">
        <v>44845</v>
      </c>
      <c r="I58" s="2"/>
    </row>
    <row r="59" spans="1:9" x14ac:dyDescent="0.35">
      <c r="A59" t="s">
        <v>89</v>
      </c>
      <c r="B59" t="s">
        <v>21</v>
      </c>
      <c r="C59" t="s">
        <v>26</v>
      </c>
      <c r="D59" t="s">
        <v>15</v>
      </c>
      <c r="E59">
        <v>4</v>
      </c>
      <c r="F59" t="s">
        <v>37</v>
      </c>
      <c r="G59" t="s">
        <v>936</v>
      </c>
      <c r="H59" s="1">
        <v>42644</v>
      </c>
      <c r="I59" s="2"/>
    </row>
    <row r="60" spans="1:9" x14ac:dyDescent="0.35">
      <c r="A60" t="s">
        <v>90</v>
      </c>
      <c r="B60" t="s">
        <v>21</v>
      </c>
      <c r="C60" t="s">
        <v>19</v>
      </c>
      <c r="D60" t="s">
        <v>33</v>
      </c>
      <c r="E60">
        <v>13</v>
      </c>
      <c r="F60" t="s">
        <v>27</v>
      </c>
      <c r="G60" t="s">
        <v>936</v>
      </c>
      <c r="H60" s="1">
        <v>45065</v>
      </c>
      <c r="I60" s="2"/>
    </row>
    <row r="61" spans="1:9" x14ac:dyDescent="0.35">
      <c r="A61" t="s">
        <v>91</v>
      </c>
      <c r="B61" t="s">
        <v>21</v>
      </c>
      <c r="C61" t="s">
        <v>26</v>
      </c>
      <c r="D61" t="s">
        <v>43</v>
      </c>
      <c r="E61">
        <v>0</v>
      </c>
      <c r="F61" t="s">
        <v>44</v>
      </c>
      <c r="G61" t="s">
        <v>937</v>
      </c>
      <c r="H61" s="1">
        <v>44089</v>
      </c>
      <c r="I61" s="2"/>
    </row>
    <row r="62" spans="1:9" x14ac:dyDescent="0.35">
      <c r="A62" t="s">
        <v>92</v>
      </c>
      <c r="B62" t="s">
        <v>16</v>
      </c>
      <c r="C62" t="s">
        <v>26</v>
      </c>
      <c r="D62" t="s">
        <v>15</v>
      </c>
      <c r="E62">
        <v>1</v>
      </c>
      <c r="F62" t="s">
        <v>31</v>
      </c>
      <c r="G62" t="s">
        <v>937</v>
      </c>
      <c r="H62" s="1">
        <v>42835</v>
      </c>
      <c r="I62" s="2"/>
    </row>
    <row r="63" spans="1:9" x14ac:dyDescent="0.35">
      <c r="A63" t="s">
        <v>93</v>
      </c>
      <c r="B63" t="s">
        <v>21</v>
      </c>
      <c r="C63" t="s">
        <v>29</v>
      </c>
      <c r="D63" t="s">
        <v>20</v>
      </c>
      <c r="E63">
        <v>9</v>
      </c>
      <c r="F63" t="s">
        <v>44</v>
      </c>
      <c r="G63" t="s">
        <v>937</v>
      </c>
      <c r="H63" s="1">
        <v>42924</v>
      </c>
      <c r="I63" s="2"/>
    </row>
    <row r="64" spans="1:9" x14ac:dyDescent="0.35">
      <c r="A64" t="s">
        <v>94</v>
      </c>
      <c r="B64" t="s">
        <v>21</v>
      </c>
      <c r="C64" t="s">
        <v>14</v>
      </c>
      <c r="D64" t="s">
        <v>43</v>
      </c>
      <c r="E64">
        <v>11</v>
      </c>
      <c r="F64" t="s">
        <v>27</v>
      </c>
      <c r="G64" t="s">
        <v>936</v>
      </c>
      <c r="H64" s="1">
        <v>45272</v>
      </c>
      <c r="I64" s="2"/>
    </row>
    <row r="65" spans="1:9" x14ac:dyDescent="0.35">
      <c r="A65" t="s">
        <v>95</v>
      </c>
      <c r="B65" t="s">
        <v>16</v>
      </c>
      <c r="C65" t="s">
        <v>26</v>
      </c>
      <c r="D65" t="s">
        <v>20</v>
      </c>
      <c r="E65">
        <v>1</v>
      </c>
      <c r="F65" t="s">
        <v>22</v>
      </c>
      <c r="G65" t="s">
        <v>937</v>
      </c>
      <c r="H65" s="1">
        <v>43365</v>
      </c>
      <c r="I65" s="2"/>
    </row>
    <row r="66" spans="1:9" x14ac:dyDescent="0.35">
      <c r="A66" t="s">
        <v>96</v>
      </c>
      <c r="B66" t="s">
        <v>16</v>
      </c>
      <c r="C66" t="s">
        <v>26</v>
      </c>
      <c r="D66" t="s">
        <v>43</v>
      </c>
      <c r="E66">
        <v>15</v>
      </c>
      <c r="F66" t="s">
        <v>37</v>
      </c>
      <c r="G66" t="s">
        <v>936</v>
      </c>
      <c r="H66" s="1">
        <v>43596</v>
      </c>
      <c r="I66" s="2"/>
    </row>
    <row r="67" spans="1:9" x14ac:dyDescent="0.35">
      <c r="A67" t="s">
        <v>97</v>
      </c>
      <c r="B67" t="s">
        <v>16</v>
      </c>
      <c r="C67" t="s">
        <v>19</v>
      </c>
      <c r="D67" t="s">
        <v>20</v>
      </c>
      <c r="E67">
        <v>15</v>
      </c>
      <c r="F67" t="s">
        <v>44</v>
      </c>
      <c r="G67" t="s">
        <v>937</v>
      </c>
      <c r="H67" s="1">
        <v>42514</v>
      </c>
      <c r="I67" s="2"/>
    </row>
    <row r="68" spans="1:9" x14ac:dyDescent="0.35">
      <c r="A68" t="s">
        <v>98</v>
      </c>
      <c r="B68" t="s">
        <v>16</v>
      </c>
      <c r="C68" t="s">
        <v>35</v>
      </c>
      <c r="D68" t="s">
        <v>33</v>
      </c>
      <c r="E68">
        <v>0</v>
      </c>
      <c r="F68" t="s">
        <v>31</v>
      </c>
      <c r="G68" t="s">
        <v>937</v>
      </c>
      <c r="H68" s="1">
        <v>44464</v>
      </c>
      <c r="I68" s="2"/>
    </row>
    <row r="69" spans="1:9" x14ac:dyDescent="0.35">
      <c r="A69" t="s">
        <v>99</v>
      </c>
      <c r="B69" t="s">
        <v>21</v>
      </c>
      <c r="C69" t="s">
        <v>26</v>
      </c>
      <c r="D69" t="s">
        <v>20</v>
      </c>
      <c r="E69">
        <v>9</v>
      </c>
      <c r="F69" t="s">
        <v>27</v>
      </c>
      <c r="G69" t="s">
        <v>936</v>
      </c>
      <c r="H69" s="1">
        <v>44266</v>
      </c>
      <c r="I69" s="2"/>
    </row>
    <row r="70" spans="1:9" x14ac:dyDescent="0.35">
      <c r="A70" t="s">
        <v>100</v>
      </c>
      <c r="B70" t="s">
        <v>21</v>
      </c>
      <c r="C70" t="s">
        <v>14</v>
      </c>
      <c r="D70" t="s">
        <v>15</v>
      </c>
      <c r="E70">
        <v>10</v>
      </c>
      <c r="F70" t="s">
        <v>22</v>
      </c>
      <c r="G70" t="s">
        <v>937</v>
      </c>
      <c r="H70" s="1">
        <v>43015</v>
      </c>
      <c r="I70" s="2"/>
    </row>
    <row r="71" spans="1:9" x14ac:dyDescent="0.35">
      <c r="A71" t="s">
        <v>101</v>
      </c>
      <c r="B71" t="s">
        <v>21</v>
      </c>
      <c r="C71" t="s">
        <v>35</v>
      </c>
      <c r="D71" t="s">
        <v>20</v>
      </c>
      <c r="E71">
        <v>1</v>
      </c>
      <c r="F71" t="s">
        <v>37</v>
      </c>
      <c r="G71" t="s">
        <v>936</v>
      </c>
      <c r="H71" s="1">
        <v>44198</v>
      </c>
      <c r="I71" s="2"/>
    </row>
    <row r="72" spans="1:9" x14ac:dyDescent="0.35">
      <c r="A72" t="s">
        <v>102</v>
      </c>
      <c r="B72" t="s">
        <v>16</v>
      </c>
      <c r="C72" t="s">
        <v>35</v>
      </c>
      <c r="D72" t="s">
        <v>20</v>
      </c>
      <c r="E72">
        <v>9</v>
      </c>
      <c r="F72" t="s">
        <v>24</v>
      </c>
      <c r="G72" t="s">
        <v>936</v>
      </c>
      <c r="H72" s="1">
        <v>43800</v>
      </c>
      <c r="I72" s="2"/>
    </row>
    <row r="73" spans="1:9" x14ac:dyDescent="0.35">
      <c r="A73" t="s">
        <v>103</v>
      </c>
      <c r="B73" t="s">
        <v>21</v>
      </c>
      <c r="C73" t="s">
        <v>19</v>
      </c>
      <c r="D73" t="s">
        <v>43</v>
      </c>
      <c r="E73">
        <v>14</v>
      </c>
      <c r="F73" t="s">
        <v>22</v>
      </c>
      <c r="G73" t="s">
        <v>937</v>
      </c>
      <c r="H73" s="1">
        <v>43153</v>
      </c>
      <c r="I73" s="2"/>
    </row>
    <row r="74" spans="1:9" x14ac:dyDescent="0.35">
      <c r="A74" t="s">
        <v>104</v>
      </c>
      <c r="B74" t="s">
        <v>21</v>
      </c>
      <c r="C74" t="s">
        <v>26</v>
      </c>
      <c r="D74" t="s">
        <v>33</v>
      </c>
      <c r="E74">
        <v>12</v>
      </c>
      <c r="F74" t="s">
        <v>17</v>
      </c>
      <c r="G74" t="s">
        <v>936</v>
      </c>
      <c r="H74" s="1">
        <v>45011</v>
      </c>
      <c r="I74" s="2"/>
    </row>
    <row r="75" spans="1:9" x14ac:dyDescent="0.35">
      <c r="A75" t="s">
        <v>105</v>
      </c>
      <c r="B75" t="s">
        <v>16</v>
      </c>
      <c r="C75" t="s">
        <v>26</v>
      </c>
      <c r="D75" t="s">
        <v>43</v>
      </c>
      <c r="E75">
        <v>7</v>
      </c>
      <c r="F75" t="s">
        <v>24</v>
      </c>
      <c r="G75" t="s">
        <v>936</v>
      </c>
      <c r="H75" s="1">
        <v>42803</v>
      </c>
      <c r="I75" s="2"/>
    </row>
    <row r="76" spans="1:9" x14ac:dyDescent="0.35">
      <c r="A76" t="s">
        <v>106</v>
      </c>
      <c r="B76" t="s">
        <v>21</v>
      </c>
      <c r="C76" t="s">
        <v>14</v>
      </c>
      <c r="D76" t="s">
        <v>33</v>
      </c>
      <c r="E76">
        <v>10</v>
      </c>
      <c r="F76" t="s">
        <v>17</v>
      </c>
      <c r="G76" t="s">
        <v>936</v>
      </c>
      <c r="H76" s="1">
        <v>43688</v>
      </c>
      <c r="I76" s="2"/>
    </row>
    <row r="77" spans="1:9" x14ac:dyDescent="0.35">
      <c r="A77" t="s">
        <v>107</v>
      </c>
      <c r="B77" t="s">
        <v>16</v>
      </c>
      <c r="C77" t="s">
        <v>19</v>
      </c>
      <c r="D77" t="s">
        <v>20</v>
      </c>
      <c r="E77">
        <v>3</v>
      </c>
      <c r="F77" t="s">
        <v>31</v>
      </c>
      <c r="G77" t="s">
        <v>937</v>
      </c>
      <c r="H77" s="1">
        <v>45512</v>
      </c>
      <c r="I77" s="2"/>
    </row>
    <row r="78" spans="1:9" x14ac:dyDescent="0.35">
      <c r="A78" t="s">
        <v>108</v>
      </c>
      <c r="B78" t="s">
        <v>21</v>
      </c>
      <c r="C78" t="s">
        <v>14</v>
      </c>
      <c r="D78" t="s">
        <v>33</v>
      </c>
      <c r="E78">
        <v>5</v>
      </c>
      <c r="F78" t="s">
        <v>22</v>
      </c>
      <c r="G78" t="s">
        <v>937</v>
      </c>
      <c r="H78" s="1">
        <v>44925</v>
      </c>
      <c r="I78" s="2"/>
    </row>
    <row r="79" spans="1:9" x14ac:dyDescent="0.35">
      <c r="A79" t="s">
        <v>109</v>
      </c>
      <c r="B79" t="s">
        <v>21</v>
      </c>
      <c r="C79" t="s">
        <v>26</v>
      </c>
      <c r="D79" t="s">
        <v>43</v>
      </c>
      <c r="E79">
        <v>9</v>
      </c>
      <c r="F79" t="s">
        <v>31</v>
      </c>
      <c r="G79" t="s">
        <v>937</v>
      </c>
      <c r="H79" s="1">
        <v>42332</v>
      </c>
      <c r="I79" s="2"/>
    </row>
    <row r="80" spans="1:9" x14ac:dyDescent="0.35">
      <c r="A80" t="s">
        <v>110</v>
      </c>
      <c r="B80" t="s">
        <v>16</v>
      </c>
      <c r="C80" t="s">
        <v>19</v>
      </c>
      <c r="D80" t="s">
        <v>43</v>
      </c>
      <c r="E80">
        <v>8</v>
      </c>
      <c r="F80" t="s">
        <v>70</v>
      </c>
      <c r="G80" t="s">
        <v>937</v>
      </c>
      <c r="H80" s="1">
        <v>45359</v>
      </c>
      <c r="I80" s="2"/>
    </row>
    <row r="81" spans="1:9" x14ac:dyDescent="0.35">
      <c r="A81" t="s">
        <v>111</v>
      </c>
      <c r="B81" t="s">
        <v>16</v>
      </c>
      <c r="C81" t="s">
        <v>35</v>
      </c>
      <c r="D81" t="s">
        <v>43</v>
      </c>
      <c r="E81">
        <v>8</v>
      </c>
      <c r="F81" t="s">
        <v>37</v>
      </c>
      <c r="G81" t="s">
        <v>936</v>
      </c>
      <c r="H81" s="1">
        <v>43203</v>
      </c>
      <c r="I81" s="2"/>
    </row>
    <row r="82" spans="1:9" x14ac:dyDescent="0.35">
      <c r="A82" t="s">
        <v>112</v>
      </c>
      <c r="B82" t="s">
        <v>21</v>
      </c>
      <c r="C82" t="s">
        <v>26</v>
      </c>
      <c r="D82" t="s">
        <v>33</v>
      </c>
      <c r="E82">
        <v>5</v>
      </c>
      <c r="F82" t="s">
        <v>44</v>
      </c>
      <c r="G82" t="s">
        <v>937</v>
      </c>
      <c r="H82" s="1">
        <v>42815</v>
      </c>
      <c r="I82" s="2"/>
    </row>
    <row r="83" spans="1:9" x14ac:dyDescent="0.35">
      <c r="A83" t="s">
        <v>113</v>
      </c>
      <c r="B83" t="s">
        <v>21</v>
      </c>
      <c r="C83" t="s">
        <v>26</v>
      </c>
      <c r="D83" t="s">
        <v>20</v>
      </c>
      <c r="E83">
        <v>12</v>
      </c>
      <c r="F83" t="s">
        <v>17</v>
      </c>
      <c r="G83" t="s">
        <v>936</v>
      </c>
      <c r="H83" s="1">
        <v>43177</v>
      </c>
      <c r="I83" s="2"/>
    </row>
    <row r="84" spans="1:9" x14ac:dyDescent="0.35">
      <c r="A84" t="s">
        <v>114</v>
      </c>
      <c r="B84" t="s">
        <v>16</v>
      </c>
      <c r="C84" t="s">
        <v>26</v>
      </c>
      <c r="D84" t="s">
        <v>15</v>
      </c>
      <c r="E84">
        <v>1</v>
      </c>
      <c r="F84" t="s">
        <v>27</v>
      </c>
      <c r="G84" t="s">
        <v>936</v>
      </c>
      <c r="H84" s="1">
        <v>42741</v>
      </c>
      <c r="I84" s="2"/>
    </row>
    <row r="85" spans="1:9" x14ac:dyDescent="0.35">
      <c r="A85" t="s">
        <v>115</v>
      </c>
      <c r="B85" t="s">
        <v>21</v>
      </c>
      <c r="C85" t="s">
        <v>26</v>
      </c>
      <c r="D85" t="s">
        <v>20</v>
      </c>
      <c r="E85">
        <v>15</v>
      </c>
      <c r="F85" t="s">
        <v>17</v>
      </c>
      <c r="G85" t="s">
        <v>936</v>
      </c>
      <c r="H85" s="1">
        <v>43390</v>
      </c>
      <c r="I85" s="2"/>
    </row>
    <row r="86" spans="1:9" x14ac:dyDescent="0.35">
      <c r="A86" t="s">
        <v>116</v>
      </c>
      <c r="B86" t="s">
        <v>16</v>
      </c>
      <c r="C86" t="s">
        <v>29</v>
      </c>
      <c r="D86" t="s">
        <v>15</v>
      </c>
      <c r="E86">
        <v>10</v>
      </c>
      <c r="F86" t="s">
        <v>27</v>
      </c>
      <c r="G86" t="s">
        <v>936</v>
      </c>
      <c r="H86" s="1">
        <v>42210</v>
      </c>
      <c r="I86" s="2"/>
    </row>
    <row r="87" spans="1:9" x14ac:dyDescent="0.35">
      <c r="A87" t="s">
        <v>117</v>
      </c>
      <c r="B87" t="s">
        <v>16</v>
      </c>
      <c r="C87" t="s">
        <v>35</v>
      </c>
      <c r="D87" t="s">
        <v>15</v>
      </c>
      <c r="E87">
        <v>5</v>
      </c>
      <c r="F87" t="s">
        <v>31</v>
      </c>
      <c r="G87" t="s">
        <v>937</v>
      </c>
      <c r="H87" s="1">
        <v>42542</v>
      </c>
      <c r="I87" s="2"/>
    </row>
    <row r="88" spans="1:9" x14ac:dyDescent="0.35">
      <c r="A88" t="s">
        <v>118</v>
      </c>
      <c r="B88" t="s">
        <v>16</v>
      </c>
      <c r="C88" t="s">
        <v>26</v>
      </c>
      <c r="D88" t="s">
        <v>15</v>
      </c>
      <c r="E88">
        <v>9</v>
      </c>
      <c r="F88" t="s">
        <v>31</v>
      </c>
      <c r="G88" t="s">
        <v>937</v>
      </c>
      <c r="H88" s="1">
        <v>42506</v>
      </c>
      <c r="I88" s="2"/>
    </row>
    <row r="89" spans="1:9" x14ac:dyDescent="0.35">
      <c r="A89" t="s">
        <v>119</v>
      </c>
      <c r="B89" t="s">
        <v>16</v>
      </c>
      <c r="C89" t="s">
        <v>19</v>
      </c>
      <c r="D89" t="s">
        <v>43</v>
      </c>
      <c r="E89">
        <v>9</v>
      </c>
      <c r="F89" t="s">
        <v>70</v>
      </c>
      <c r="G89" t="s">
        <v>937</v>
      </c>
      <c r="H89" s="1">
        <v>45260</v>
      </c>
      <c r="I89" s="2"/>
    </row>
    <row r="90" spans="1:9" x14ac:dyDescent="0.35">
      <c r="A90" t="s">
        <v>120</v>
      </c>
      <c r="B90" t="s">
        <v>16</v>
      </c>
      <c r="C90" t="s">
        <v>19</v>
      </c>
      <c r="D90" t="s">
        <v>33</v>
      </c>
      <c r="E90">
        <v>9</v>
      </c>
      <c r="F90" t="s">
        <v>70</v>
      </c>
      <c r="G90" t="s">
        <v>937</v>
      </c>
      <c r="H90" s="1">
        <v>44710</v>
      </c>
      <c r="I90" s="2"/>
    </row>
    <row r="91" spans="1:9" x14ac:dyDescent="0.35">
      <c r="A91" t="s">
        <v>121</v>
      </c>
      <c r="B91" t="s">
        <v>16</v>
      </c>
      <c r="C91" t="s">
        <v>19</v>
      </c>
      <c r="D91" t="s">
        <v>20</v>
      </c>
      <c r="E91">
        <v>0</v>
      </c>
      <c r="F91" t="s">
        <v>44</v>
      </c>
      <c r="G91" t="s">
        <v>937</v>
      </c>
      <c r="H91" s="1">
        <v>45164</v>
      </c>
      <c r="I91" s="2"/>
    </row>
    <row r="92" spans="1:9" x14ac:dyDescent="0.35">
      <c r="A92" t="s">
        <v>122</v>
      </c>
      <c r="B92" t="s">
        <v>16</v>
      </c>
      <c r="C92" t="s">
        <v>35</v>
      </c>
      <c r="D92" t="s">
        <v>43</v>
      </c>
      <c r="E92">
        <v>14</v>
      </c>
      <c r="F92" t="s">
        <v>31</v>
      </c>
      <c r="G92" t="s">
        <v>937</v>
      </c>
      <c r="H92" s="1">
        <v>45010</v>
      </c>
      <c r="I92" s="2"/>
    </row>
    <row r="93" spans="1:9" x14ac:dyDescent="0.35">
      <c r="A93" t="s">
        <v>123</v>
      </c>
      <c r="B93" t="s">
        <v>16</v>
      </c>
      <c r="C93" t="s">
        <v>26</v>
      </c>
      <c r="D93" t="s">
        <v>15</v>
      </c>
      <c r="E93">
        <v>11</v>
      </c>
      <c r="F93" t="s">
        <v>24</v>
      </c>
      <c r="G93" t="s">
        <v>936</v>
      </c>
      <c r="H93" s="1">
        <v>43388</v>
      </c>
      <c r="I93" s="2"/>
    </row>
    <row r="94" spans="1:9" x14ac:dyDescent="0.35">
      <c r="A94" t="s">
        <v>124</v>
      </c>
      <c r="B94" t="s">
        <v>21</v>
      </c>
      <c r="C94" t="s">
        <v>19</v>
      </c>
      <c r="D94" t="s">
        <v>33</v>
      </c>
      <c r="E94">
        <v>15</v>
      </c>
      <c r="F94" t="s">
        <v>37</v>
      </c>
      <c r="G94" t="s">
        <v>936</v>
      </c>
      <c r="H94" s="1">
        <v>44993</v>
      </c>
      <c r="I94" s="2"/>
    </row>
    <row r="95" spans="1:9" x14ac:dyDescent="0.35">
      <c r="A95" t="s">
        <v>125</v>
      </c>
      <c r="B95" t="s">
        <v>21</v>
      </c>
      <c r="C95" t="s">
        <v>26</v>
      </c>
      <c r="D95" t="s">
        <v>33</v>
      </c>
      <c r="E95">
        <v>8</v>
      </c>
      <c r="F95" t="s">
        <v>37</v>
      </c>
      <c r="G95" t="s">
        <v>936</v>
      </c>
      <c r="H95" s="1">
        <v>44536</v>
      </c>
      <c r="I95" s="2"/>
    </row>
    <row r="96" spans="1:9" x14ac:dyDescent="0.35">
      <c r="A96" t="s">
        <v>126</v>
      </c>
      <c r="B96" t="s">
        <v>16</v>
      </c>
      <c r="C96" t="s">
        <v>29</v>
      </c>
      <c r="D96" t="s">
        <v>33</v>
      </c>
      <c r="E96">
        <v>10</v>
      </c>
      <c r="F96" t="s">
        <v>37</v>
      </c>
      <c r="G96" t="s">
        <v>936</v>
      </c>
      <c r="H96" s="1">
        <v>44394</v>
      </c>
      <c r="I96" s="2"/>
    </row>
    <row r="97" spans="1:9" x14ac:dyDescent="0.35">
      <c r="A97" t="s">
        <v>127</v>
      </c>
      <c r="B97" t="s">
        <v>21</v>
      </c>
      <c r="C97" t="s">
        <v>35</v>
      </c>
      <c r="D97" t="s">
        <v>43</v>
      </c>
      <c r="E97">
        <v>13</v>
      </c>
      <c r="F97" t="s">
        <v>44</v>
      </c>
      <c r="G97" t="s">
        <v>937</v>
      </c>
      <c r="H97" s="1">
        <v>43764</v>
      </c>
      <c r="I97" s="2"/>
    </row>
    <row r="98" spans="1:9" x14ac:dyDescent="0.35">
      <c r="A98" t="s">
        <v>128</v>
      </c>
      <c r="B98" t="s">
        <v>21</v>
      </c>
      <c r="C98" t="s">
        <v>14</v>
      </c>
      <c r="D98" t="s">
        <v>20</v>
      </c>
      <c r="E98">
        <v>14</v>
      </c>
      <c r="F98" t="s">
        <v>17</v>
      </c>
      <c r="G98" t="s">
        <v>936</v>
      </c>
      <c r="H98" s="1">
        <v>45364</v>
      </c>
      <c r="I98" s="2"/>
    </row>
    <row r="99" spans="1:9" x14ac:dyDescent="0.35">
      <c r="A99" t="s">
        <v>129</v>
      </c>
      <c r="B99" t="s">
        <v>21</v>
      </c>
      <c r="C99" t="s">
        <v>35</v>
      </c>
      <c r="D99" t="s">
        <v>33</v>
      </c>
      <c r="E99">
        <v>9</v>
      </c>
      <c r="F99" t="s">
        <v>44</v>
      </c>
      <c r="G99" t="s">
        <v>937</v>
      </c>
      <c r="H99" s="1">
        <v>45390</v>
      </c>
      <c r="I99" s="2"/>
    </row>
    <row r="100" spans="1:9" x14ac:dyDescent="0.35">
      <c r="A100" t="s">
        <v>130</v>
      </c>
      <c r="B100" t="s">
        <v>21</v>
      </c>
      <c r="C100" t="s">
        <v>14</v>
      </c>
      <c r="D100" t="s">
        <v>20</v>
      </c>
      <c r="E100">
        <v>8</v>
      </c>
      <c r="F100" t="s">
        <v>44</v>
      </c>
      <c r="G100" t="s">
        <v>937</v>
      </c>
      <c r="H100" s="1">
        <v>45397</v>
      </c>
      <c r="I100" s="2"/>
    </row>
    <row r="101" spans="1:9" x14ac:dyDescent="0.35">
      <c r="A101" t="s">
        <v>131</v>
      </c>
      <c r="B101" t="s">
        <v>21</v>
      </c>
      <c r="C101" t="s">
        <v>35</v>
      </c>
      <c r="D101" t="s">
        <v>20</v>
      </c>
      <c r="E101">
        <v>14</v>
      </c>
      <c r="F101" t="s">
        <v>44</v>
      </c>
      <c r="G101" t="s">
        <v>937</v>
      </c>
      <c r="H101" s="1">
        <v>45292</v>
      </c>
      <c r="I101" s="2"/>
    </row>
    <row r="102" spans="1:9" x14ac:dyDescent="0.35">
      <c r="A102" t="s">
        <v>132</v>
      </c>
      <c r="B102" t="s">
        <v>21</v>
      </c>
      <c r="C102" t="s">
        <v>29</v>
      </c>
      <c r="D102" t="s">
        <v>20</v>
      </c>
      <c r="E102">
        <v>4</v>
      </c>
      <c r="F102" t="s">
        <v>70</v>
      </c>
      <c r="G102" t="s">
        <v>937</v>
      </c>
      <c r="H102" s="1">
        <v>44482</v>
      </c>
      <c r="I102" s="2"/>
    </row>
    <row r="103" spans="1:9" x14ac:dyDescent="0.35">
      <c r="A103" t="s">
        <v>133</v>
      </c>
      <c r="B103" t="s">
        <v>16</v>
      </c>
      <c r="C103" t="s">
        <v>35</v>
      </c>
      <c r="D103" t="s">
        <v>20</v>
      </c>
      <c r="E103">
        <v>5</v>
      </c>
      <c r="F103" t="s">
        <v>44</v>
      </c>
      <c r="G103" t="s">
        <v>937</v>
      </c>
      <c r="H103" s="1">
        <v>44166</v>
      </c>
      <c r="I103" s="2"/>
    </row>
    <row r="104" spans="1:9" x14ac:dyDescent="0.35">
      <c r="A104" t="s">
        <v>134</v>
      </c>
      <c r="B104" t="s">
        <v>16</v>
      </c>
      <c r="C104" t="s">
        <v>26</v>
      </c>
      <c r="D104" t="s">
        <v>33</v>
      </c>
      <c r="E104">
        <v>13</v>
      </c>
      <c r="F104" t="s">
        <v>31</v>
      </c>
      <c r="G104" t="s">
        <v>937</v>
      </c>
      <c r="H104" s="1">
        <v>44808</v>
      </c>
      <c r="I104" s="2"/>
    </row>
    <row r="105" spans="1:9" x14ac:dyDescent="0.35">
      <c r="A105" t="s">
        <v>135</v>
      </c>
      <c r="B105" t="s">
        <v>21</v>
      </c>
      <c r="C105" t="s">
        <v>19</v>
      </c>
      <c r="D105" t="s">
        <v>15</v>
      </c>
      <c r="E105">
        <v>6</v>
      </c>
      <c r="F105" t="s">
        <v>27</v>
      </c>
      <c r="G105" t="s">
        <v>936</v>
      </c>
      <c r="H105" s="1">
        <v>42963</v>
      </c>
      <c r="I105" s="2"/>
    </row>
    <row r="106" spans="1:9" x14ac:dyDescent="0.35">
      <c r="A106" t="s">
        <v>136</v>
      </c>
      <c r="B106" t="s">
        <v>16</v>
      </c>
      <c r="C106" t="s">
        <v>29</v>
      </c>
      <c r="D106" t="s">
        <v>43</v>
      </c>
      <c r="E106">
        <v>13</v>
      </c>
      <c r="F106" t="s">
        <v>37</v>
      </c>
      <c r="G106" t="s">
        <v>936</v>
      </c>
      <c r="H106" s="1">
        <v>43706</v>
      </c>
      <c r="I106" s="2"/>
    </row>
    <row r="107" spans="1:9" x14ac:dyDescent="0.35">
      <c r="A107" t="s">
        <v>137</v>
      </c>
      <c r="B107" t="s">
        <v>16</v>
      </c>
      <c r="C107" t="s">
        <v>14</v>
      </c>
      <c r="D107" t="s">
        <v>15</v>
      </c>
      <c r="E107">
        <v>6</v>
      </c>
      <c r="F107" t="s">
        <v>24</v>
      </c>
      <c r="G107" t="s">
        <v>936</v>
      </c>
      <c r="H107" s="1">
        <v>43676</v>
      </c>
      <c r="I107" s="2"/>
    </row>
    <row r="108" spans="1:9" x14ac:dyDescent="0.35">
      <c r="A108" t="s">
        <v>138</v>
      </c>
      <c r="B108" t="s">
        <v>16</v>
      </c>
      <c r="C108" t="s">
        <v>29</v>
      </c>
      <c r="D108" t="s">
        <v>15</v>
      </c>
      <c r="E108">
        <v>2</v>
      </c>
      <c r="F108" t="s">
        <v>24</v>
      </c>
      <c r="G108" t="s">
        <v>936</v>
      </c>
      <c r="H108" s="1">
        <v>44344</v>
      </c>
      <c r="I108" s="2"/>
    </row>
    <row r="109" spans="1:9" x14ac:dyDescent="0.35">
      <c r="A109" t="s">
        <v>139</v>
      </c>
      <c r="B109" t="s">
        <v>16</v>
      </c>
      <c r="C109" t="s">
        <v>19</v>
      </c>
      <c r="D109" t="s">
        <v>43</v>
      </c>
      <c r="E109">
        <v>3</v>
      </c>
      <c r="F109" t="s">
        <v>31</v>
      </c>
      <c r="G109" t="s">
        <v>937</v>
      </c>
      <c r="H109" s="1">
        <v>42862</v>
      </c>
      <c r="I109" s="2"/>
    </row>
    <row r="110" spans="1:9" x14ac:dyDescent="0.35">
      <c r="A110" t="s">
        <v>140</v>
      </c>
      <c r="B110" t="s">
        <v>21</v>
      </c>
      <c r="C110" t="s">
        <v>26</v>
      </c>
      <c r="D110" t="s">
        <v>33</v>
      </c>
      <c r="E110">
        <v>8</v>
      </c>
      <c r="F110" t="s">
        <v>37</v>
      </c>
      <c r="G110" t="s">
        <v>936</v>
      </c>
      <c r="H110" s="1">
        <v>44749</v>
      </c>
      <c r="I110" s="2"/>
    </row>
    <row r="111" spans="1:9" x14ac:dyDescent="0.35">
      <c r="A111" t="s">
        <v>141</v>
      </c>
      <c r="B111" t="s">
        <v>16</v>
      </c>
      <c r="C111" t="s">
        <v>29</v>
      </c>
      <c r="D111" t="s">
        <v>43</v>
      </c>
      <c r="E111">
        <v>3</v>
      </c>
      <c r="F111" t="s">
        <v>17</v>
      </c>
      <c r="G111" t="s">
        <v>936</v>
      </c>
      <c r="H111" s="1">
        <v>43343</v>
      </c>
      <c r="I111" s="2"/>
    </row>
    <row r="112" spans="1:9" x14ac:dyDescent="0.35">
      <c r="A112" t="s">
        <v>142</v>
      </c>
      <c r="B112" t="s">
        <v>21</v>
      </c>
      <c r="C112" t="s">
        <v>29</v>
      </c>
      <c r="D112" t="s">
        <v>43</v>
      </c>
      <c r="E112">
        <v>15</v>
      </c>
      <c r="F112" t="s">
        <v>44</v>
      </c>
      <c r="G112" t="s">
        <v>937</v>
      </c>
      <c r="H112" s="1">
        <v>42892</v>
      </c>
      <c r="I112" s="2"/>
    </row>
    <row r="113" spans="1:9" x14ac:dyDescent="0.35">
      <c r="A113" t="s">
        <v>143</v>
      </c>
      <c r="B113" t="s">
        <v>21</v>
      </c>
      <c r="C113" t="s">
        <v>19</v>
      </c>
      <c r="D113" t="s">
        <v>43</v>
      </c>
      <c r="E113">
        <v>12</v>
      </c>
      <c r="F113" t="s">
        <v>27</v>
      </c>
      <c r="G113" t="s">
        <v>936</v>
      </c>
      <c r="H113" s="1">
        <v>42517</v>
      </c>
      <c r="I113" s="2"/>
    </row>
    <row r="114" spans="1:9" x14ac:dyDescent="0.35">
      <c r="A114" t="s">
        <v>144</v>
      </c>
      <c r="B114" t="s">
        <v>21</v>
      </c>
      <c r="C114" t="s">
        <v>35</v>
      </c>
      <c r="D114" t="s">
        <v>15</v>
      </c>
      <c r="E114">
        <v>6</v>
      </c>
      <c r="F114" t="s">
        <v>24</v>
      </c>
      <c r="G114" t="s">
        <v>936</v>
      </c>
      <c r="H114" s="1">
        <v>43651</v>
      </c>
      <c r="I114" s="2"/>
    </row>
    <row r="115" spans="1:9" x14ac:dyDescent="0.35">
      <c r="A115" t="s">
        <v>145</v>
      </c>
      <c r="B115" t="s">
        <v>16</v>
      </c>
      <c r="C115" t="s">
        <v>14</v>
      </c>
      <c r="D115" t="s">
        <v>15</v>
      </c>
      <c r="E115">
        <v>4</v>
      </c>
      <c r="F115" t="s">
        <v>17</v>
      </c>
      <c r="G115" t="s">
        <v>936</v>
      </c>
      <c r="H115" s="1">
        <v>44675</v>
      </c>
      <c r="I115" s="2"/>
    </row>
    <row r="116" spans="1:9" x14ac:dyDescent="0.35">
      <c r="A116" t="s">
        <v>146</v>
      </c>
      <c r="B116" t="s">
        <v>16</v>
      </c>
      <c r="C116" t="s">
        <v>29</v>
      </c>
      <c r="D116" t="s">
        <v>15</v>
      </c>
      <c r="E116">
        <v>13</v>
      </c>
      <c r="F116" t="s">
        <v>22</v>
      </c>
      <c r="G116" t="s">
        <v>937</v>
      </c>
      <c r="H116" s="1">
        <v>45470</v>
      </c>
      <c r="I116" s="2"/>
    </row>
    <row r="117" spans="1:9" x14ac:dyDescent="0.35">
      <c r="A117" t="s">
        <v>147</v>
      </c>
      <c r="B117" t="s">
        <v>16</v>
      </c>
      <c r="C117" t="s">
        <v>26</v>
      </c>
      <c r="D117" t="s">
        <v>33</v>
      </c>
      <c r="E117">
        <v>11</v>
      </c>
      <c r="F117" t="s">
        <v>70</v>
      </c>
      <c r="G117" t="s">
        <v>937</v>
      </c>
      <c r="H117" s="1">
        <v>44051</v>
      </c>
      <c r="I117" s="2"/>
    </row>
    <row r="118" spans="1:9" x14ac:dyDescent="0.35">
      <c r="A118" t="s">
        <v>148</v>
      </c>
      <c r="B118" t="s">
        <v>21</v>
      </c>
      <c r="C118" t="s">
        <v>35</v>
      </c>
      <c r="D118" t="s">
        <v>15</v>
      </c>
      <c r="E118">
        <v>7</v>
      </c>
      <c r="F118" t="s">
        <v>27</v>
      </c>
      <c r="G118" t="s">
        <v>936</v>
      </c>
      <c r="H118" s="1">
        <v>43751</v>
      </c>
      <c r="I118" s="2"/>
    </row>
    <row r="119" spans="1:9" x14ac:dyDescent="0.35">
      <c r="A119" t="s">
        <v>149</v>
      </c>
      <c r="B119" t="s">
        <v>21</v>
      </c>
      <c r="C119" t="s">
        <v>29</v>
      </c>
      <c r="D119" t="s">
        <v>43</v>
      </c>
      <c r="E119">
        <v>10</v>
      </c>
      <c r="F119" t="s">
        <v>37</v>
      </c>
      <c r="G119" t="s">
        <v>936</v>
      </c>
      <c r="H119" s="1">
        <v>44013</v>
      </c>
      <c r="I119" s="2"/>
    </row>
    <row r="120" spans="1:9" x14ac:dyDescent="0.35">
      <c r="A120" t="s">
        <v>150</v>
      </c>
      <c r="B120" t="s">
        <v>16</v>
      </c>
      <c r="C120" t="s">
        <v>35</v>
      </c>
      <c r="D120" t="s">
        <v>20</v>
      </c>
      <c r="E120">
        <v>6</v>
      </c>
      <c r="F120" t="s">
        <v>24</v>
      </c>
      <c r="G120" t="s">
        <v>936</v>
      </c>
      <c r="H120" s="1">
        <v>42821</v>
      </c>
      <c r="I120" s="2"/>
    </row>
    <row r="121" spans="1:9" x14ac:dyDescent="0.35">
      <c r="A121" t="s">
        <v>151</v>
      </c>
      <c r="B121" t="s">
        <v>16</v>
      </c>
      <c r="C121" t="s">
        <v>29</v>
      </c>
      <c r="D121" t="s">
        <v>15</v>
      </c>
      <c r="E121">
        <v>7</v>
      </c>
      <c r="F121" t="s">
        <v>22</v>
      </c>
      <c r="G121" t="s">
        <v>937</v>
      </c>
      <c r="H121" s="1">
        <v>43880</v>
      </c>
      <c r="I121" s="2"/>
    </row>
    <row r="122" spans="1:9" x14ac:dyDescent="0.35">
      <c r="A122" t="s">
        <v>152</v>
      </c>
      <c r="B122" t="s">
        <v>21</v>
      </c>
      <c r="C122" t="s">
        <v>29</v>
      </c>
      <c r="D122" t="s">
        <v>33</v>
      </c>
      <c r="E122">
        <v>2</v>
      </c>
      <c r="F122" t="s">
        <v>24</v>
      </c>
      <c r="G122" t="s">
        <v>936</v>
      </c>
      <c r="H122" s="1">
        <v>44012</v>
      </c>
      <c r="I122" s="2"/>
    </row>
    <row r="123" spans="1:9" x14ac:dyDescent="0.35">
      <c r="A123" t="s">
        <v>153</v>
      </c>
      <c r="B123" t="s">
        <v>16</v>
      </c>
      <c r="C123" t="s">
        <v>29</v>
      </c>
      <c r="D123" t="s">
        <v>15</v>
      </c>
      <c r="E123">
        <v>11</v>
      </c>
      <c r="F123" t="s">
        <v>31</v>
      </c>
      <c r="G123" t="s">
        <v>937</v>
      </c>
      <c r="H123" s="1">
        <v>43365</v>
      </c>
      <c r="I123" s="2"/>
    </row>
    <row r="124" spans="1:9" x14ac:dyDescent="0.35">
      <c r="A124" t="s">
        <v>154</v>
      </c>
      <c r="B124" t="s">
        <v>21</v>
      </c>
      <c r="C124" t="s">
        <v>35</v>
      </c>
      <c r="D124" t="s">
        <v>20</v>
      </c>
      <c r="E124">
        <v>10</v>
      </c>
      <c r="F124" t="s">
        <v>70</v>
      </c>
      <c r="G124" t="s">
        <v>937</v>
      </c>
      <c r="H124" s="1">
        <v>44343</v>
      </c>
      <c r="I124" s="2"/>
    </row>
    <row r="125" spans="1:9" x14ac:dyDescent="0.35">
      <c r="A125" t="s">
        <v>155</v>
      </c>
      <c r="B125" t="s">
        <v>21</v>
      </c>
      <c r="C125" t="s">
        <v>19</v>
      </c>
      <c r="D125" t="s">
        <v>15</v>
      </c>
      <c r="E125">
        <v>13</v>
      </c>
      <c r="F125" t="s">
        <v>24</v>
      </c>
      <c r="G125" t="s">
        <v>936</v>
      </c>
      <c r="H125" s="1">
        <v>42465</v>
      </c>
      <c r="I125" s="2"/>
    </row>
    <row r="126" spans="1:9" x14ac:dyDescent="0.35">
      <c r="A126" t="s">
        <v>156</v>
      </c>
      <c r="B126" t="s">
        <v>21</v>
      </c>
      <c r="C126" t="s">
        <v>14</v>
      </c>
      <c r="D126" t="s">
        <v>20</v>
      </c>
      <c r="E126">
        <v>4</v>
      </c>
      <c r="F126" t="s">
        <v>22</v>
      </c>
      <c r="G126" t="s">
        <v>937</v>
      </c>
      <c r="H126" s="1">
        <v>42871</v>
      </c>
      <c r="I126" s="2"/>
    </row>
    <row r="127" spans="1:9" x14ac:dyDescent="0.35">
      <c r="A127" t="s">
        <v>157</v>
      </c>
      <c r="B127" t="s">
        <v>16</v>
      </c>
      <c r="C127" t="s">
        <v>14</v>
      </c>
      <c r="D127" t="s">
        <v>33</v>
      </c>
      <c r="E127">
        <v>15</v>
      </c>
      <c r="F127" t="s">
        <v>27</v>
      </c>
      <c r="G127" t="s">
        <v>936</v>
      </c>
      <c r="H127" s="1">
        <v>44077</v>
      </c>
      <c r="I127" s="2"/>
    </row>
    <row r="128" spans="1:9" x14ac:dyDescent="0.35">
      <c r="A128" t="s">
        <v>158</v>
      </c>
      <c r="B128" t="s">
        <v>16</v>
      </c>
      <c r="C128" t="s">
        <v>29</v>
      </c>
      <c r="D128" t="s">
        <v>43</v>
      </c>
      <c r="E128">
        <v>7</v>
      </c>
      <c r="F128" t="s">
        <v>27</v>
      </c>
      <c r="G128" t="s">
        <v>936</v>
      </c>
      <c r="H128" s="1">
        <v>43851</v>
      </c>
      <c r="I128" s="2"/>
    </row>
    <row r="129" spans="1:9" x14ac:dyDescent="0.35">
      <c r="A129" t="s">
        <v>159</v>
      </c>
      <c r="B129" t="s">
        <v>16</v>
      </c>
      <c r="C129" t="s">
        <v>19</v>
      </c>
      <c r="D129" t="s">
        <v>15</v>
      </c>
      <c r="E129">
        <v>0</v>
      </c>
      <c r="F129" t="s">
        <v>17</v>
      </c>
      <c r="G129" t="s">
        <v>936</v>
      </c>
      <c r="H129" s="1">
        <v>44172</v>
      </c>
      <c r="I129" s="2"/>
    </row>
    <row r="130" spans="1:9" x14ac:dyDescent="0.35">
      <c r="A130" t="s">
        <v>160</v>
      </c>
      <c r="B130" t="s">
        <v>16</v>
      </c>
      <c r="C130" t="s">
        <v>14</v>
      </c>
      <c r="D130" t="s">
        <v>33</v>
      </c>
      <c r="E130">
        <v>14</v>
      </c>
      <c r="F130" t="s">
        <v>22</v>
      </c>
      <c r="G130" t="s">
        <v>937</v>
      </c>
      <c r="H130" s="1">
        <v>44106</v>
      </c>
      <c r="I130" s="2"/>
    </row>
    <row r="131" spans="1:9" x14ac:dyDescent="0.35">
      <c r="A131" t="s">
        <v>161</v>
      </c>
      <c r="B131" t="s">
        <v>16</v>
      </c>
      <c r="C131" t="s">
        <v>19</v>
      </c>
      <c r="D131" t="s">
        <v>15</v>
      </c>
      <c r="E131">
        <v>4</v>
      </c>
      <c r="F131" t="s">
        <v>70</v>
      </c>
      <c r="G131" t="s">
        <v>937</v>
      </c>
      <c r="H131" s="1">
        <v>42460</v>
      </c>
      <c r="I131" s="2"/>
    </row>
    <row r="132" spans="1:9" x14ac:dyDescent="0.35">
      <c r="A132" t="s">
        <v>162</v>
      </c>
      <c r="B132" t="s">
        <v>21</v>
      </c>
      <c r="C132" t="s">
        <v>19</v>
      </c>
      <c r="D132" t="s">
        <v>20</v>
      </c>
      <c r="E132">
        <v>14</v>
      </c>
      <c r="F132" t="s">
        <v>22</v>
      </c>
      <c r="G132" t="s">
        <v>937</v>
      </c>
      <c r="H132" s="1">
        <v>43001</v>
      </c>
      <c r="I132" s="2"/>
    </row>
    <row r="133" spans="1:9" x14ac:dyDescent="0.35">
      <c r="A133" t="s">
        <v>163</v>
      </c>
      <c r="B133" t="s">
        <v>21</v>
      </c>
      <c r="C133" t="s">
        <v>29</v>
      </c>
      <c r="D133" t="s">
        <v>33</v>
      </c>
      <c r="E133">
        <v>10</v>
      </c>
      <c r="F133" t="s">
        <v>37</v>
      </c>
      <c r="G133" t="s">
        <v>936</v>
      </c>
      <c r="H133" s="1">
        <v>45007</v>
      </c>
      <c r="I133" s="2"/>
    </row>
    <row r="134" spans="1:9" x14ac:dyDescent="0.35">
      <c r="A134" t="s">
        <v>164</v>
      </c>
      <c r="B134" t="s">
        <v>21</v>
      </c>
      <c r="C134" t="s">
        <v>14</v>
      </c>
      <c r="D134" t="s">
        <v>43</v>
      </c>
      <c r="E134">
        <v>0</v>
      </c>
      <c r="F134" t="s">
        <v>37</v>
      </c>
      <c r="G134" t="s">
        <v>936</v>
      </c>
      <c r="H134" s="1">
        <v>44918</v>
      </c>
      <c r="I134" s="2"/>
    </row>
    <row r="135" spans="1:9" x14ac:dyDescent="0.35">
      <c r="A135" t="s">
        <v>165</v>
      </c>
      <c r="B135" t="s">
        <v>21</v>
      </c>
      <c r="C135" t="s">
        <v>26</v>
      </c>
      <c r="D135" t="s">
        <v>15</v>
      </c>
      <c r="E135">
        <v>13</v>
      </c>
      <c r="F135" t="s">
        <v>31</v>
      </c>
      <c r="G135" t="s">
        <v>937</v>
      </c>
      <c r="H135" s="1">
        <v>43026</v>
      </c>
      <c r="I135" s="2"/>
    </row>
    <row r="136" spans="1:9" x14ac:dyDescent="0.35">
      <c r="A136" t="s">
        <v>166</v>
      </c>
      <c r="B136" t="s">
        <v>21</v>
      </c>
      <c r="C136" t="s">
        <v>14</v>
      </c>
      <c r="D136" t="s">
        <v>20</v>
      </c>
      <c r="E136">
        <v>11</v>
      </c>
      <c r="F136" t="s">
        <v>70</v>
      </c>
      <c r="G136" t="s">
        <v>937</v>
      </c>
      <c r="H136" s="1">
        <v>42217</v>
      </c>
      <c r="I136" s="2"/>
    </row>
    <row r="137" spans="1:9" x14ac:dyDescent="0.35">
      <c r="A137" t="s">
        <v>167</v>
      </c>
      <c r="B137" t="s">
        <v>16</v>
      </c>
      <c r="C137" t="s">
        <v>26</v>
      </c>
      <c r="D137" t="s">
        <v>33</v>
      </c>
      <c r="E137">
        <v>3</v>
      </c>
      <c r="F137" t="s">
        <v>24</v>
      </c>
      <c r="G137" t="s">
        <v>936</v>
      </c>
      <c r="H137" s="1">
        <v>44231</v>
      </c>
      <c r="I137" s="2"/>
    </row>
    <row r="138" spans="1:9" x14ac:dyDescent="0.35">
      <c r="A138" t="s">
        <v>168</v>
      </c>
      <c r="B138" t="s">
        <v>21</v>
      </c>
      <c r="C138" t="s">
        <v>26</v>
      </c>
      <c r="D138" t="s">
        <v>33</v>
      </c>
      <c r="E138">
        <v>2</v>
      </c>
      <c r="F138" t="s">
        <v>37</v>
      </c>
      <c r="G138" t="s">
        <v>936</v>
      </c>
      <c r="H138" s="1">
        <v>43361</v>
      </c>
      <c r="I138" s="2"/>
    </row>
    <row r="139" spans="1:9" x14ac:dyDescent="0.35">
      <c r="A139" t="s">
        <v>169</v>
      </c>
      <c r="B139" t="s">
        <v>16</v>
      </c>
      <c r="C139" t="s">
        <v>14</v>
      </c>
      <c r="D139" t="s">
        <v>43</v>
      </c>
      <c r="E139">
        <v>12</v>
      </c>
      <c r="F139" t="s">
        <v>31</v>
      </c>
      <c r="G139" t="s">
        <v>937</v>
      </c>
      <c r="H139" s="1">
        <v>44925</v>
      </c>
      <c r="I139" s="2"/>
    </row>
    <row r="140" spans="1:9" x14ac:dyDescent="0.35">
      <c r="A140" t="s">
        <v>170</v>
      </c>
      <c r="B140" t="s">
        <v>16</v>
      </c>
      <c r="C140" t="s">
        <v>35</v>
      </c>
      <c r="D140" t="s">
        <v>43</v>
      </c>
      <c r="E140">
        <v>5</v>
      </c>
      <c r="F140" t="s">
        <v>17</v>
      </c>
      <c r="G140" t="s">
        <v>936</v>
      </c>
      <c r="H140" s="1">
        <v>43315</v>
      </c>
      <c r="I140" s="2"/>
    </row>
    <row r="141" spans="1:9" x14ac:dyDescent="0.35">
      <c r="A141" t="s">
        <v>171</v>
      </c>
      <c r="B141" t="s">
        <v>16</v>
      </c>
      <c r="C141" t="s">
        <v>35</v>
      </c>
      <c r="D141" t="s">
        <v>33</v>
      </c>
      <c r="E141">
        <v>5</v>
      </c>
      <c r="F141" t="s">
        <v>22</v>
      </c>
      <c r="G141" t="s">
        <v>937</v>
      </c>
      <c r="H141" s="1">
        <v>45208</v>
      </c>
      <c r="I141" s="2"/>
    </row>
    <row r="142" spans="1:9" x14ac:dyDescent="0.35">
      <c r="A142" t="s">
        <v>172</v>
      </c>
      <c r="B142" t="s">
        <v>21</v>
      </c>
      <c r="C142" t="s">
        <v>14</v>
      </c>
      <c r="D142" t="s">
        <v>15</v>
      </c>
      <c r="E142">
        <v>5</v>
      </c>
      <c r="F142" t="s">
        <v>27</v>
      </c>
      <c r="G142" t="s">
        <v>936</v>
      </c>
      <c r="H142" s="1">
        <v>44325</v>
      </c>
      <c r="I142" s="2"/>
    </row>
    <row r="143" spans="1:9" x14ac:dyDescent="0.35">
      <c r="A143" t="s">
        <v>173</v>
      </c>
      <c r="B143" t="s">
        <v>21</v>
      </c>
      <c r="C143" t="s">
        <v>26</v>
      </c>
      <c r="D143" t="s">
        <v>15</v>
      </c>
      <c r="E143">
        <v>3</v>
      </c>
      <c r="F143" t="s">
        <v>24</v>
      </c>
      <c r="G143" t="s">
        <v>936</v>
      </c>
      <c r="H143" s="1">
        <v>45530</v>
      </c>
      <c r="I143" s="2"/>
    </row>
    <row r="144" spans="1:9" x14ac:dyDescent="0.35">
      <c r="A144" t="s">
        <v>174</v>
      </c>
      <c r="B144" t="s">
        <v>16</v>
      </c>
      <c r="C144" t="s">
        <v>14</v>
      </c>
      <c r="D144" t="s">
        <v>15</v>
      </c>
      <c r="E144">
        <v>7</v>
      </c>
      <c r="F144" t="s">
        <v>31</v>
      </c>
      <c r="G144" t="s">
        <v>937</v>
      </c>
      <c r="H144" s="1">
        <v>43084</v>
      </c>
      <c r="I144" s="2"/>
    </row>
    <row r="145" spans="1:9" x14ac:dyDescent="0.35">
      <c r="A145" t="s">
        <v>175</v>
      </c>
      <c r="B145" t="s">
        <v>21</v>
      </c>
      <c r="C145" t="s">
        <v>26</v>
      </c>
      <c r="D145" t="s">
        <v>43</v>
      </c>
      <c r="E145">
        <v>7</v>
      </c>
      <c r="F145" t="s">
        <v>70</v>
      </c>
      <c r="G145" t="s">
        <v>937</v>
      </c>
      <c r="H145" s="1">
        <v>42939</v>
      </c>
      <c r="I145" s="2"/>
    </row>
    <row r="146" spans="1:9" x14ac:dyDescent="0.35">
      <c r="A146" t="s">
        <v>176</v>
      </c>
      <c r="B146" t="s">
        <v>21</v>
      </c>
      <c r="C146" t="s">
        <v>35</v>
      </c>
      <c r="D146" t="s">
        <v>20</v>
      </c>
      <c r="E146">
        <v>8</v>
      </c>
      <c r="F146" t="s">
        <v>17</v>
      </c>
      <c r="G146" t="s">
        <v>936</v>
      </c>
      <c r="H146" s="1">
        <v>44935</v>
      </c>
      <c r="I146" s="2"/>
    </row>
    <row r="147" spans="1:9" x14ac:dyDescent="0.35">
      <c r="A147" t="s">
        <v>177</v>
      </c>
      <c r="B147" t="s">
        <v>16</v>
      </c>
      <c r="C147" t="s">
        <v>35</v>
      </c>
      <c r="D147" t="s">
        <v>33</v>
      </c>
      <c r="E147">
        <v>8</v>
      </c>
      <c r="F147" t="s">
        <v>24</v>
      </c>
      <c r="G147" t="s">
        <v>936</v>
      </c>
      <c r="H147" s="1">
        <v>44102</v>
      </c>
      <c r="I147" s="2"/>
    </row>
    <row r="148" spans="1:9" x14ac:dyDescent="0.35">
      <c r="A148" t="s">
        <v>178</v>
      </c>
      <c r="B148" t="s">
        <v>21</v>
      </c>
      <c r="C148" t="s">
        <v>29</v>
      </c>
      <c r="D148" t="s">
        <v>15</v>
      </c>
      <c r="E148">
        <v>7</v>
      </c>
      <c r="F148" t="s">
        <v>31</v>
      </c>
      <c r="G148" t="s">
        <v>937</v>
      </c>
      <c r="H148" s="1">
        <v>42186</v>
      </c>
      <c r="I148" s="2"/>
    </row>
    <row r="149" spans="1:9" x14ac:dyDescent="0.35">
      <c r="A149" t="s">
        <v>179</v>
      </c>
      <c r="B149" t="s">
        <v>16</v>
      </c>
      <c r="C149" t="s">
        <v>19</v>
      </c>
      <c r="D149" t="s">
        <v>15</v>
      </c>
      <c r="E149">
        <v>3</v>
      </c>
      <c r="F149" t="s">
        <v>17</v>
      </c>
      <c r="G149" t="s">
        <v>936</v>
      </c>
      <c r="H149" s="1">
        <v>42575</v>
      </c>
      <c r="I149" s="2"/>
    </row>
    <row r="150" spans="1:9" x14ac:dyDescent="0.35">
      <c r="A150" t="s">
        <v>180</v>
      </c>
      <c r="B150" t="s">
        <v>21</v>
      </c>
      <c r="C150" t="s">
        <v>14</v>
      </c>
      <c r="D150" t="s">
        <v>15</v>
      </c>
      <c r="E150">
        <v>5</v>
      </c>
      <c r="F150" t="s">
        <v>24</v>
      </c>
      <c r="G150" t="s">
        <v>936</v>
      </c>
      <c r="H150" s="1">
        <v>42908</v>
      </c>
      <c r="I150" s="2"/>
    </row>
    <row r="151" spans="1:9" x14ac:dyDescent="0.35">
      <c r="A151" t="s">
        <v>181</v>
      </c>
      <c r="B151" t="s">
        <v>21</v>
      </c>
      <c r="C151" t="s">
        <v>26</v>
      </c>
      <c r="D151" t="s">
        <v>15</v>
      </c>
      <c r="E151">
        <v>10</v>
      </c>
      <c r="F151" t="s">
        <v>22</v>
      </c>
      <c r="G151" t="s">
        <v>937</v>
      </c>
      <c r="H151" s="1">
        <v>42460</v>
      </c>
      <c r="I151" s="2"/>
    </row>
    <row r="152" spans="1:9" x14ac:dyDescent="0.35">
      <c r="A152" t="s">
        <v>182</v>
      </c>
      <c r="B152" t="s">
        <v>21</v>
      </c>
      <c r="C152" t="s">
        <v>26</v>
      </c>
      <c r="D152" t="s">
        <v>33</v>
      </c>
      <c r="E152">
        <v>13</v>
      </c>
      <c r="F152" t="s">
        <v>70</v>
      </c>
      <c r="G152" t="s">
        <v>937</v>
      </c>
      <c r="H152" s="1">
        <v>43407</v>
      </c>
      <c r="I152" s="2"/>
    </row>
    <row r="153" spans="1:9" x14ac:dyDescent="0.35">
      <c r="A153" t="s">
        <v>183</v>
      </c>
      <c r="B153" t="s">
        <v>16</v>
      </c>
      <c r="C153" t="s">
        <v>29</v>
      </c>
      <c r="D153" t="s">
        <v>33</v>
      </c>
      <c r="E153">
        <v>0</v>
      </c>
      <c r="F153" t="s">
        <v>70</v>
      </c>
      <c r="G153" t="s">
        <v>937</v>
      </c>
      <c r="H153" s="1">
        <v>43886</v>
      </c>
      <c r="I153" s="2"/>
    </row>
    <row r="154" spans="1:9" x14ac:dyDescent="0.35">
      <c r="A154" t="s">
        <v>184</v>
      </c>
      <c r="B154" t="s">
        <v>16</v>
      </c>
      <c r="C154" t="s">
        <v>19</v>
      </c>
      <c r="D154" t="s">
        <v>20</v>
      </c>
      <c r="E154">
        <v>6</v>
      </c>
      <c r="F154" t="s">
        <v>70</v>
      </c>
      <c r="G154" t="s">
        <v>937</v>
      </c>
      <c r="H154" s="1">
        <v>43720</v>
      </c>
      <c r="I154" s="2"/>
    </row>
    <row r="155" spans="1:9" x14ac:dyDescent="0.35">
      <c r="A155" t="s">
        <v>185</v>
      </c>
      <c r="B155" t="s">
        <v>16</v>
      </c>
      <c r="C155" t="s">
        <v>35</v>
      </c>
      <c r="D155" t="s">
        <v>43</v>
      </c>
      <c r="E155">
        <v>12</v>
      </c>
      <c r="F155" t="s">
        <v>44</v>
      </c>
      <c r="G155" t="s">
        <v>937</v>
      </c>
      <c r="H155" s="1">
        <v>43300</v>
      </c>
      <c r="I155" s="2"/>
    </row>
    <row r="156" spans="1:9" x14ac:dyDescent="0.35">
      <c r="A156" t="s">
        <v>186</v>
      </c>
      <c r="B156" t="s">
        <v>21</v>
      </c>
      <c r="C156" t="s">
        <v>35</v>
      </c>
      <c r="D156" t="s">
        <v>33</v>
      </c>
      <c r="E156">
        <v>7</v>
      </c>
      <c r="F156" t="s">
        <v>70</v>
      </c>
      <c r="G156" t="s">
        <v>937</v>
      </c>
      <c r="H156" s="1">
        <v>44277</v>
      </c>
      <c r="I156" s="2"/>
    </row>
    <row r="157" spans="1:9" x14ac:dyDescent="0.35">
      <c r="A157" t="s">
        <v>187</v>
      </c>
      <c r="B157" t="s">
        <v>21</v>
      </c>
      <c r="C157" t="s">
        <v>14</v>
      </c>
      <c r="D157" t="s">
        <v>20</v>
      </c>
      <c r="E157">
        <v>15</v>
      </c>
      <c r="F157" t="s">
        <v>70</v>
      </c>
      <c r="G157" t="s">
        <v>937</v>
      </c>
      <c r="H157" s="1">
        <v>44038</v>
      </c>
      <c r="I157" s="2"/>
    </row>
    <row r="158" spans="1:9" x14ac:dyDescent="0.35">
      <c r="A158" t="s">
        <v>188</v>
      </c>
      <c r="B158" t="s">
        <v>21</v>
      </c>
      <c r="C158" t="s">
        <v>14</v>
      </c>
      <c r="D158" t="s">
        <v>20</v>
      </c>
      <c r="E158">
        <v>11</v>
      </c>
      <c r="F158" t="s">
        <v>17</v>
      </c>
      <c r="G158" t="s">
        <v>936</v>
      </c>
      <c r="H158" s="1">
        <v>42598</v>
      </c>
      <c r="I158" s="2"/>
    </row>
    <row r="159" spans="1:9" x14ac:dyDescent="0.35">
      <c r="A159" t="s">
        <v>189</v>
      </c>
      <c r="B159" t="s">
        <v>21</v>
      </c>
      <c r="C159" t="s">
        <v>19</v>
      </c>
      <c r="D159" t="s">
        <v>33</v>
      </c>
      <c r="E159">
        <v>0</v>
      </c>
      <c r="F159" t="s">
        <v>44</v>
      </c>
      <c r="G159" t="s">
        <v>937</v>
      </c>
      <c r="H159" s="1">
        <v>43932</v>
      </c>
      <c r="I159" s="2"/>
    </row>
    <row r="160" spans="1:9" x14ac:dyDescent="0.35">
      <c r="A160" t="s">
        <v>190</v>
      </c>
      <c r="B160" t="s">
        <v>21</v>
      </c>
      <c r="C160" t="s">
        <v>35</v>
      </c>
      <c r="D160" t="s">
        <v>20</v>
      </c>
      <c r="E160">
        <v>7</v>
      </c>
      <c r="F160" t="s">
        <v>22</v>
      </c>
      <c r="G160" t="s">
        <v>937</v>
      </c>
      <c r="H160" s="1">
        <v>42770</v>
      </c>
      <c r="I160" s="2"/>
    </row>
    <row r="161" spans="1:9" x14ac:dyDescent="0.35">
      <c r="A161" t="s">
        <v>191</v>
      </c>
      <c r="B161" t="s">
        <v>16</v>
      </c>
      <c r="C161" t="s">
        <v>19</v>
      </c>
      <c r="D161" t="s">
        <v>43</v>
      </c>
      <c r="E161">
        <v>7</v>
      </c>
      <c r="F161" t="s">
        <v>70</v>
      </c>
      <c r="G161" t="s">
        <v>937</v>
      </c>
      <c r="H161" s="1">
        <v>45008</v>
      </c>
      <c r="I161" s="2"/>
    </row>
    <row r="162" spans="1:9" x14ac:dyDescent="0.35">
      <c r="A162" t="s">
        <v>192</v>
      </c>
      <c r="B162" t="s">
        <v>16</v>
      </c>
      <c r="C162" t="s">
        <v>35</v>
      </c>
      <c r="D162" t="s">
        <v>15</v>
      </c>
      <c r="E162">
        <v>3</v>
      </c>
      <c r="F162" t="s">
        <v>27</v>
      </c>
      <c r="G162" t="s">
        <v>936</v>
      </c>
      <c r="H162" s="1">
        <v>42486</v>
      </c>
      <c r="I162" s="2"/>
    </row>
    <row r="163" spans="1:9" x14ac:dyDescent="0.35">
      <c r="A163" t="s">
        <v>193</v>
      </c>
      <c r="B163" t="s">
        <v>16</v>
      </c>
      <c r="C163" t="s">
        <v>26</v>
      </c>
      <c r="D163" t="s">
        <v>20</v>
      </c>
      <c r="E163">
        <v>10</v>
      </c>
      <c r="F163" t="s">
        <v>24</v>
      </c>
      <c r="G163" t="s">
        <v>936</v>
      </c>
      <c r="H163" s="1">
        <v>42219</v>
      </c>
      <c r="I163" s="2"/>
    </row>
    <row r="164" spans="1:9" x14ac:dyDescent="0.35">
      <c r="A164" t="s">
        <v>194</v>
      </c>
      <c r="B164" t="s">
        <v>21</v>
      </c>
      <c r="C164" t="s">
        <v>35</v>
      </c>
      <c r="D164" t="s">
        <v>20</v>
      </c>
      <c r="E164">
        <v>14</v>
      </c>
      <c r="F164" t="s">
        <v>27</v>
      </c>
      <c r="G164" t="s">
        <v>936</v>
      </c>
      <c r="H164" s="1">
        <v>44795</v>
      </c>
      <c r="I164" s="2"/>
    </row>
    <row r="165" spans="1:9" x14ac:dyDescent="0.35">
      <c r="A165" t="s">
        <v>195</v>
      </c>
      <c r="B165" t="s">
        <v>16</v>
      </c>
      <c r="C165" t="s">
        <v>19</v>
      </c>
      <c r="D165" t="s">
        <v>43</v>
      </c>
      <c r="E165">
        <v>4</v>
      </c>
      <c r="F165" t="s">
        <v>24</v>
      </c>
      <c r="G165" t="s">
        <v>936</v>
      </c>
      <c r="H165" s="1">
        <v>42692</v>
      </c>
      <c r="I165" s="2"/>
    </row>
    <row r="166" spans="1:9" x14ac:dyDescent="0.35">
      <c r="A166" t="s">
        <v>196</v>
      </c>
      <c r="B166" t="s">
        <v>16</v>
      </c>
      <c r="C166" t="s">
        <v>35</v>
      </c>
      <c r="D166" t="s">
        <v>43</v>
      </c>
      <c r="E166">
        <v>5</v>
      </c>
      <c r="F166" t="s">
        <v>70</v>
      </c>
      <c r="G166" t="s">
        <v>937</v>
      </c>
      <c r="H166" s="1">
        <v>43785</v>
      </c>
      <c r="I166" s="2"/>
    </row>
    <row r="167" spans="1:9" x14ac:dyDescent="0.35">
      <c r="A167" t="s">
        <v>197</v>
      </c>
      <c r="B167" t="s">
        <v>21</v>
      </c>
      <c r="C167" t="s">
        <v>29</v>
      </c>
      <c r="D167" t="s">
        <v>15</v>
      </c>
      <c r="E167">
        <v>12</v>
      </c>
      <c r="F167" t="s">
        <v>37</v>
      </c>
      <c r="G167" t="s">
        <v>936</v>
      </c>
      <c r="H167" s="1">
        <v>44110</v>
      </c>
      <c r="I167" s="2"/>
    </row>
    <row r="168" spans="1:9" x14ac:dyDescent="0.35">
      <c r="A168" t="s">
        <v>198</v>
      </c>
      <c r="B168" t="s">
        <v>21</v>
      </c>
      <c r="C168" t="s">
        <v>19</v>
      </c>
      <c r="D168" t="s">
        <v>15</v>
      </c>
      <c r="E168">
        <v>12</v>
      </c>
      <c r="F168" t="s">
        <v>22</v>
      </c>
      <c r="G168" t="s">
        <v>937</v>
      </c>
      <c r="H168" s="1">
        <v>45294</v>
      </c>
      <c r="I168" s="2"/>
    </row>
    <row r="169" spans="1:9" x14ac:dyDescent="0.35">
      <c r="A169" t="s">
        <v>199</v>
      </c>
      <c r="B169" t="s">
        <v>21</v>
      </c>
      <c r="C169" t="s">
        <v>14</v>
      </c>
      <c r="D169" t="s">
        <v>33</v>
      </c>
      <c r="E169">
        <v>12</v>
      </c>
      <c r="F169" t="s">
        <v>31</v>
      </c>
      <c r="G169" t="s">
        <v>937</v>
      </c>
      <c r="H169" s="1">
        <v>43627</v>
      </c>
      <c r="I169" s="2"/>
    </row>
    <row r="170" spans="1:9" x14ac:dyDescent="0.35">
      <c r="A170" t="s">
        <v>200</v>
      </c>
      <c r="B170" t="s">
        <v>16</v>
      </c>
      <c r="C170" t="s">
        <v>14</v>
      </c>
      <c r="D170" t="s">
        <v>33</v>
      </c>
      <c r="E170">
        <v>11</v>
      </c>
      <c r="F170" t="s">
        <v>22</v>
      </c>
      <c r="G170" t="s">
        <v>937</v>
      </c>
      <c r="H170" s="1">
        <v>43891</v>
      </c>
      <c r="I170" s="2"/>
    </row>
    <row r="171" spans="1:9" x14ac:dyDescent="0.35">
      <c r="A171" t="s">
        <v>201</v>
      </c>
      <c r="B171" t="s">
        <v>21</v>
      </c>
      <c r="C171" t="s">
        <v>35</v>
      </c>
      <c r="D171" t="s">
        <v>20</v>
      </c>
      <c r="E171">
        <v>9</v>
      </c>
      <c r="F171" t="s">
        <v>24</v>
      </c>
      <c r="G171" t="s">
        <v>936</v>
      </c>
      <c r="H171" s="1">
        <v>43342</v>
      </c>
      <c r="I171" s="2"/>
    </row>
    <row r="172" spans="1:9" x14ac:dyDescent="0.35">
      <c r="A172" t="s">
        <v>202</v>
      </c>
      <c r="B172" t="s">
        <v>16</v>
      </c>
      <c r="C172" t="s">
        <v>14</v>
      </c>
      <c r="D172" t="s">
        <v>20</v>
      </c>
      <c r="E172">
        <v>10</v>
      </c>
      <c r="F172" t="s">
        <v>31</v>
      </c>
      <c r="G172" t="s">
        <v>937</v>
      </c>
      <c r="H172" s="1">
        <v>44311</v>
      </c>
      <c r="I172" s="2"/>
    </row>
    <row r="173" spans="1:9" x14ac:dyDescent="0.35">
      <c r="A173" t="s">
        <v>203</v>
      </c>
      <c r="B173" t="s">
        <v>16</v>
      </c>
      <c r="C173" t="s">
        <v>35</v>
      </c>
      <c r="D173" t="s">
        <v>43</v>
      </c>
      <c r="E173">
        <v>4</v>
      </c>
      <c r="F173" t="s">
        <v>22</v>
      </c>
      <c r="G173" t="s">
        <v>937</v>
      </c>
      <c r="H173" s="1">
        <v>44987</v>
      </c>
      <c r="I173" s="2"/>
    </row>
    <row r="174" spans="1:9" x14ac:dyDescent="0.35">
      <c r="A174" t="s">
        <v>204</v>
      </c>
      <c r="B174" t="s">
        <v>21</v>
      </c>
      <c r="C174" t="s">
        <v>14</v>
      </c>
      <c r="D174" t="s">
        <v>43</v>
      </c>
      <c r="E174">
        <v>12</v>
      </c>
      <c r="F174" t="s">
        <v>70</v>
      </c>
      <c r="G174" t="s">
        <v>937</v>
      </c>
      <c r="H174" s="1">
        <v>42764</v>
      </c>
      <c r="I174" s="2"/>
    </row>
    <row r="175" spans="1:9" x14ac:dyDescent="0.35">
      <c r="A175" t="s">
        <v>205</v>
      </c>
      <c r="B175" t="s">
        <v>16</v>
      </c>
      <c r="C175" t="s">
        <v>35</v>
      </c>
      <c r="D175" t="s">
        <v>33</v>
      </c>
      <c r="E175">
        <v>11</v>
      </c>
      <c r="F175" t="s">
        <v>24</v>
      </c>
      <c r="G175" t="s">
        <v>936</v>
      </c>
      <c r="H175" s="1">
        <v>42833</v>
      </c>
      <c r="I175" s="2"/>
    </row>
    <row r="176" spans="1:9" x14ac:dyDescent="0.35">
      <c r="A176" t="s">
        <v>206</v>
      </c>
      <c r="B176" t="s">
        <v>21</v>
      </c>
      <c r="C176" t="s">
        <v>26</v>
      </c>
      <c r="D176" t="s">
        <v>15</v>
      </c>
      <c r="E176">
        <v>14</v>
      </c>
      <c r="F176" t="s">
        <v>37</v>
      </c>
      <c r="G176" t="s">
        <v>936</v>
      </c>
      <c r="H176" s="1">
        <v>44125</v>
      </c>
      <c r="I176" s="2"/>
    </row>
    <row r="177" spans="1:9" x14ac:dyDescent="0.35">
      <c r="A177" t="s">
        <v>207</v>
      </c>
      <c r="B177" t="s">
        <v>21</v>
      </c>
      <c r="C177" t="s">
        <v>14</v>
      </c>
      <c r="D177" t="s">
        <v>15</v>
      </c>
      <c r="E177">
        <v>9</v>
      </c>
      <c r="F177" t="s">
        <v>37</v>
      </c>
      <c r="G177" t="s">
        <v>936</v>
      </c>
      <c r="H177" s="1">
        <v>45555</v>
      </c>
      <c r="I177" s="2"/>
    </row>
    <row r="178" spans="1:9" x14ac:dyDescent="0.35">
      <c r="A178" t="s">
        <v>208</v>
      </c>
      <c r="B178" t="s">
        <v>16</v>
      </c>
      <c r="C178" t="s">
        <v>35</v>
      </c>
      <c r="D178" t="s">
        <v>20</v>
      </c>
      <c r="E178">
        <v>14</v>
      </c>
      <c r="F178" t="s">
        <v>70</v>
      </c>
      <c r="G178" t="s">
        <v>937</v>
      </c>
      <c r="H178" s="1">
        <v>43775</v>
      </c>
      <c r="I178" s="2"/>
    </row>
    <row r="179" spans="1:9" x14ac:dyDescent="0.35">
      <c r="A179" t="s">
        <v>209</v>
      </c>
      <c r="B179" t="s">
        <v>21</v>
      </c>
      <c r="C179" t="s">
        <v>29</v>
      </c>
      <c r="D179" t="s">
        <v>15</v>
      </c>
      <c r="E179">
        <v>8</v>
      </c>
      <c r="F179" t="s">
        <v>27</v>
      </c>
      <c r="G179" t="s">
        <v>936</v>
      </c>
      <c r="H179" s="1">
        <v>45343</v>
      </c>
      <c r="I179" s="2"/>
    </row>
    <row r="180" spans="1:9" x14ac:dyDescent="0.35">
      <c r="A180" t="s">
        <v>210</v>
      </c>
      <c r="B180" t="s">
        <v>21</v>
      </c>
      <c r="C180" t="s">
        <v>26</v>
      </c>
      <c r="D180" t="s">
        <v>43</v>
      </c>
      <c r="E180">
        <v>9</v>
      </c>
      <c r="F180" t="s">
        <v>37</v>
      </c>
      <c r="G180" t="s">
        <v>936</v>
      </c>
      <c r="H180" s="1">
        <v>44787</v>
      </c>
      <c r="I180" s="2"/>
    </row>
    <row r="181" spans="1:9" x14ac:dyDescent="0.35">
      <c r="A181" t="s">
        <v>211</v>
      </c>
      <c r="B181" t="s">
        <v>21</v>
      </c>
      <c r="C181" t="s">
        <v>35</v>
      </c>
      <c r="D181" t="s">
        <v>15</v>
      </c>
      <c r="E181">
        <v>8</v>
      </c>
      <c r="F181" t="s">
        <v>17</v>
      </c>
      <c r="G181" t="s">
        <v>936</v>
      </c>
      <c r="H181" s="1">
        <v>43296</v>
      </c>
      <c r="I181" s="2"/>
    </row>
    <row r="182" spans="1:9" x14ac:dyDescent="0.35">
      <c r="A182" t="s">
        <v>212</v>
      </c>
      <c r="B182" t="s">
        <v>21</v>
      </c>
      <c r="C182" t="s">
        <v>35</v>
      </c>
      <c r="D182" t="s">
        <v>43</v>
      </c>
      <c r="E182">
        <v>2</v>
      </c>
      <c r="F182" t="s">
        <v>37</v>
      </c>
      <c r="G182" t="s">
        <v>936</v>
      </c>
      <c r="H182" s="1">
        <v>42810</v>
      </c>
      <c r="I182" s="2"/>
    </row>
    <row r="183" spans="1:9" x14ac:dyDescent="0.35">
      <c r="A183" t="s">
        <v>213</v>
      </c>
      <c r="B183" t="s">
        <v>16</v>
      </c>
      <c r="C183" t="s">
        <v>26</v>
      </c>
      <c r="D183" t="s">
        <v>33</v>
      </c>
      <c r="E183">
        <v>2</v>
      </c>
      <c r="F183" t="s">
        <v>70</v>
      </c>
      <c r="G183" t="s">
        <v>937</v>
      </c>
      <c r="H183" s="1">
        <v>43449</v>
      </c>
      <c r="I183" s="2"/>
    </row>
    <row r="184" spans="1:9" x14ac:dyDescent="0.35">
      <c r="A184" t="s">
        <v>214</v>
      </c>
      <c r="B184" t="s">
        <v>21</v>
      </c>
      <c r="C184" t="s">
        <v>19</v>
      </c>
      <c r="D184" t="s">
        <v>43</v>
      </c>
      <c r="E184">
        <v>11</v>
      </c>
      <c r="F184" t="s">
        <v>70</v>
      </c>
      <c r="G184" t="s">
        <v>937</v>
      </c>
      <c r="H184" s="1">
        <v>43114</v>
      </c>
      <c r="I184" s="2"/>
    </row>
    <row r="185" spans="1:9" x14ac:dyDescent="0.35">
      <c r="A185" t="s">
        <v>215</v>
      </c>
      <c r="B185" t="s">
        <v>21</v>
      </c>
      <c r="C185" t="s">
        <v>14</v>
      </c>
      <c r="D185" t="s">
        <v>20</v>
      </c>
      <c r="E185">
        <v>12</v>
      </c>
      <c r="F185" t="s">
        <v>22</v>
      </c>
      <c r="G185" t="s">
        <v>937</v>
      </c>
      <c r="H185" s="1">
        <v>45108</v>
      </c>
      <c r="I185" s="2"/>
    </row>
    <row r="186" spans="1:9" x14ac:dyDescent="0.35">
      <c r="A186" t="s">
        <v>216</v>
      </c>
      <c r="B186" t="s">
        <v>16</v>
      </c>
      <c r="C186" t="s">
        <v>19</v>
      </c>
      <c r="D186" t="s">
        <v>20</v>
      </c>
      <c r="E186">
        <v>5</v>
      </c>
      <c r="F186" t="s">
        <v>22</v>
      </c>
      <c r="G186" t="s">
        <v>937</v>
      </c>
      <c r="H186" s="1">
        <v>43589</v>
      </c>
      <c r="I186" s="2"/>
    </row>
    <row r="187" spans="1:9" x14ac:dyDescent="0.35">
      <c r="A187" t="s">
        <v>217</v>
      </c>
      <c r="B187" t="s">
        <v>21</v>
      </c>
      <c r="C187" t="s">
        <v>14</v>
      </c>
      <c r="D187" t="s">
        <v>20</v>
      </c>
      <c r="E187">
        <v>14</v>
      </c>
      <c r="F187" t="s">
        <v>44</v>
      </c>
      <c r="G187" t="s">
        <v>937</v>
      </c>
      <c r="H187" s="1">
        <v>43757</v>
      </c>
      <c r="I187" s="2"/>
    </row>
    <row r="188" spans="1:9" x14ac:dyDescent="0.35">
      <c r="A188" t="s">
        <v>218</v>
      </c>
      <c r="B188" t="s">
        <v>16</v>
      </c>
      <c r="C188" t="s">
        <v>29</v>
      </c>
      <c r="D188" t="s">
        <v>15</v>
      </c>
      <c r="E188">
        <v>7</v>
      </c>
      <c r="F188" t="s">
        <v>44</v>
      </c>
      <c r="G188" t="s">
        <v>937</v>
      </c>
      <c r="H188" s="1">
        <v>42113</v>
      </c>
      <c r="I188" s="2"/>
    </row>
    <row r="189" spans="1:9" x14ac:dyDescent="0.35">
      <c r="A189" t="s">
        <v>219</v>
      </c>
      <c r="B189" t="s">
        <v>21</v>
      </c>
      <c r="C189" t="s">
        <v>19</v>
      </c>
      <c r="D189" t="s">
        <v>33</v>
      </c>
      <c r="E189">
        <v>7</v>
      </c>
      <c r="F189" t="s">
        <v>44</v>
      </c>
      <c r="G189" t="s">
        <v>937</v>
      </c>
      <c r="H189" s="1">
        <v>43526</v>
      </c>
      <c r="I189" s="2"/>
    </row>
    <row r="190" spans="1:9" x14ac:dyDescent="0.35">
      <c r="A190" t="s">
        <v>220</v>
      </c>
      <c r="B190" t="s">
        <v>21</v>
      </c>
      <c r="C190" t="s">
        <v>29</v>
      </c>
      <c r="D190" t="s">
        <v>43</v>
      </c>
      <c r="E190">
        <v>3</v>
      </c>
      <c r="F190" t="s">
        <v>70</v>
      </c>
      <c r="G190" t="s">
        <v>937</v>
      </c>
      <c r="H190" s="1">
        <v>44746</v>
      </c>
      <c r="I190" s="2"/>
    </row>
    <row r="191" spans="1:9" x14ac:dyDescent="0.35">
      <c r="A191" t="s">
        <v>221</v>
      </c>
      <c r="B191" t="s">
        <v>21</v>
      </c>
      <c r="C191" t="s">
        <v>26</v>
      </c>
      <c r="D191" t="s">
        <v>15</v>
      </c>
      <c r="E191">
        <v>0</v>
      </c>
      <c r="F191" t="s">
        <v>70</v>
      </c>
      <c r="G191" t="s">
        <v>937</v>
      </c>
      <c r="H191" s="1">
        <v>44838</v>
      </c>
      <c r="I191" s="2"/>
    </row>
    <row r="192" spans="1:9" x14ac:dyDescent="0.35">
      <c r="A192" t="s">
        <v>222</v>
      </c>
      <c r="B192" t="s">
        <v>21</v>
      </c>
      <c r="C192" t="s">
        <v>35</v>
      </c>
      <c r="D192" t="s">
        <v>15</v>
      </c>
      <c r="E192">
        <v>4</v>
      </c>
      <c r="F192" t="s">
        <v>24</v>
      </c>
      <c r="G192" t="s">
        <v>936</v>
      </c>
      <c r="H192" s="1">
        <v>44503</v>
      </c>
      <c r="I192" s="2"/>
    </row>
    <row r="193" spans="1:9" x14ac:dyDescent="0.35">
      <c r="A193" t="s">
        <v>223</v>
      </c>
      <c r="B193" t="s">
        <v>21</v>
      </c>
      <c r="C193" t="s">
        <v>14</v>
      </c>
      <c r="D193" t="s">
        <v>15</v>
      </c>
      <c r="E193">
        <v>4</v>
      </c>
      <c r="F193" t="s">
        <v>24</v>
      </c>
      <c r="G193" t="s">
        <v>936</v>
      </c>
      <c r="H193" s="1">
        <v>42173</v>
      </c>
      <c r="I193" s="2"/>
    </row>
    <row r="194" spans="1:9" x14ac:dyDescent="0.35">
      <c r="A194" t="s">
        <v>224</v>
      </c>
      <c r="B194" t="s">
        <v>21</v>
      </c>
      <c r="C194" t="s">
        <v>14</v>
      </c>
      <c r="D194" t="s">
        <v>20</v>
      </c>
      <c r="E194">
        <v>15</v>
      </c>
      <c r="F194" t="s">
        <v>17</v>
      </c>
      <c r="G194" t="s">
        <v>936</v>
      </c>
      <c r="H194" s="1">
        <v>42942</v>
      </c>
      <c r="I194" s="2"/>
    </row>
    <row r="195" spans="1:9" x14ac:dyDescent="0.35">
      <c r="A195" t="s">
        <v>225</v>
      </c>
      <c r="B195" t="s">
        <v>21</v>
      </c>
      <c r="C195" t="s">
        <v>14</v>
      </c>
      <c r="D195" t="s">
        <v>43</v>
      </c>
      <c r="E195">
        <v>12</v>
      </c>
      <c r="F195" t="s">
        <v>22</v>
      </c>
      <c r="G195" t="s">
        <v>937</v>
      </c>
      <c r="H195" s="1">
        <v>45564</v>
      </c>
      <c r="I195" s="2"/>
    </row>
    <row r="196" spans="1:9" x14ac:dyDescent="0.35">
      <c r="A196" t="s">
        <v>226</v>
      </c>
      <c r="B196" t="s">
        <v>16</v>
      </c>
      <c r="C196" t="s">
        <v>26</v>
      </c>
      <c r="D196" t="s">
        <v>43</v>
      </c>
      <c r="E196">
        <v>14</v>
      </c>
      <c r="F196" t="s">
        <v>22</v>
      </c>
      <c r="G196" t="s">
        <v>937</v>
      </c>
      <c r="H196" s="1">
        <v>43887</v>
      </c>
      <c r="I196" s="2"/>
    </row>
    <row r="197" spans="1:9" x14ac:dyDescent="0.35">
      <c r="A197" t="s">
        <v>227</v>
      </c>
      <c r="B197" t="s">
        <v>16</v>
      </c>
      <c r="C197" t="s">
        <v>26</v>
      </c>
      <c r="D197" t="s">
        <v>43</v>
      </c>
      <c r="E197">
        <v>3</v>
      </c>
      <c r="F197" t="s">
        <v>27</v>
      </c>
      <c r="G197" t="s">
        <v>936</v>
      </c>
      <c r="H197" s="1">
        <v>43671</v>
      </c>
      <c r="I197" s="2"/>
    </row>
    <row r="198" spans="1:9" x14ac:dyDescent="0.35">
      <c r="A198" t="s">
        <v>228</v>
      </c>
      <c r="B198" t="s">
        <v>16</v>
      </c>
      <c r="C198" t="s">
        <v>29</v>
      </c>
      <c r="D198" t="s">
        <v>20</v>
      </c>
      <c r="E198">
        <v>2</v>
      </c>
      <c r="F198" t="s">
        <v>22</v>
      </c>
      <c r="G198" t="s">
        <v>937</v>
      </c>
      <c r="H198" s="1">
        <v>44920</v>
      </c>
      <c r="I198" s="2"/>
    </row>
    <row r="199" spans="1:9" x14ac:dyDescent="0.35">
      <c r="A199" t="s">
        <v>229</v>
      </c>
      <c r="B199" t="s">
        <v>16</v>
      </c>
      <c r="C199" t="s">
        <v>19</v>
      </c>
      <c r="D199" t="s">
        <v>33</v>
      </c>
      <c r="E199">
        <v>13</v>
      </c>
      <c r="F199" t="s">
        <v>22</v>
      </c>
      <c r="G199" t="s">
        <v>937</v>
      </c>
      <c r="H199" s="1">
        <v>42497</v>
      </c>
      <c r="I199" s="2"/>
    </row>
    <row r="200" spans="1:9" x14ac:dyDescent="0.35">
      <c r="A200" t="s">
        <v>230</v>
      </c>
      <c r="B200" t="s">
        <v>16</v>
      </c>
      <c r="C200" t="s">
        <v>14</v>
      </c>
      <c r="D200" t="s">
        <v>43</v>
      </c>
      <c r="E200">
        <v>15</v>
      </c>
      <c r="F200" t="s">
        <v>24</v>
      </c>
      <c r="G200" t="s">
        <v>936</v>
      </c>
      <c r="H200" s="1">
        <v>43123</v>
      </c>
      <c r="I200" s="2"/>
    </row>
    <row r="201" spans="1:9" x14ac:dyDescent="0.35">
      <c r="A201" t="s">
        <v>231</v>
      </c>
      <c r="B201" t="s">
        <v>16</v>
      </c>
      <c r="C201" t="s">
        <v>35</v>
      </c>
      <c r="D201" t="s">
        <v>15</v>
      </c>
      <c r="E201">
        <v>4</v>
      </c>
      <c r="F201" t="s">
        <v>44</v>
      </c>
      <c r="G201" t="s">
        <v>937</v>
      </c>
      <c r="H201" s="1">
        <v>44756</v>
      </c>
      <c r="I201" s="2"/>
    </row>
    <row r="202" spans="1:9" x14ac:dyDescent="0.35">
      <c r="A202" t="s">
        <v>232</v>
      </c>
      <c r="B202" t="s">
        <v>21</v>
      </c>
      <c r="C202" t="s">
        <v>19</v>
      </c>
      <c r="D202" t="s">
        <v>43</v>
      </c>
      <c r="E202">
        <v>4</v>
      </c>
      <c r="F202" t="s">
        <v>70</v>
      </c>
      <c r="G202" t="s">
        <v>937</v>
      </c>
      <c r="H202" s="1">
        <v>43341</v>
      </c>
      <c r="I202" s="2"/>
    </row>
    <row r="203" spans="1:9" x14ac:dyDescent="0.35">
      <c r="A203" t="s">
        <v>233</v>
      </c>
      <c r="B203" t="s">
        <v>21</v>
      </c>
      <c r="C203" t="s">
        <v>26</v>
      </c>
      <c r="D203" t="s">
        <v>43</v>
      </c>
      <c r="E203">
        <v>3</v>
      </c>
      <c r="F203" t="s">
        <v>70</v>
      </c>
      <c r="G203" t="s">
        <v>937</v>
      </c>
      <c r="H203" s="1">
        <v>42535</v>
      </c>
      <c r="I203" s="2"/>
    </row>
    <row r="204" spans="1:9" x14ac:dyDescent="0.35">
      <c r="A204" t="s">
        <v>234</v>
      </c>
      <c r="B204" t="s">
        <v>21</v>
      </c>
      <c r="C204" t="s">
        <v>19</v>
      </c>
      <c r="D204" t="s">
        <v>20</v>
      </c>
      <c r="E204">
        <v>7</v>
      </c>
      <c r="F204" t="s">
        <v>27</v>
      </c>
      <c r="G204" t="s">
        <v>936</v>
      </c>
      <c r="H204" s="1">
        <v>43061</v>
      </c>
      <c r="I204" s="2"/>
    </row>
    <row r="205" spans="1:9" x14ac:dyDescent="0.35">
      <c r="A205" t="s">
        <v>235</v>
      </c>
      <c r="B205" t="s">
        <v>21</v>
      </c>
      <c r="C205" t="s">
        <v>26</v>
      </c>
      <c r="D205" t="s">
        <v>33</v>
      </c>
      <c r="E205">
        <v>13</v>
      </c>
      <c r="F205" t="s">
        <v>31</v>
      </c>
      <c r="G205" t="s">
        <v>937</v>
      </c>
      <c r="H205" s="1">
        <v>43278</v>
      </c>
      <c r="I205" s="2"/>
    </row>
    <row r="206" spans="1:9" x14ac:dyDescent="0.35">
      <c r="A206" t="s">
        <v>236</v>
      </c>
      <c r="B206" t="s">
        <v>21</v>
      </c>
      <c r="C206" t="s">
        <v>19</v>
      </c>
      <c r="D206" t="s">
        <v>33</v>
      </c>
      <c r="E206">
        <v>11</v>
      </c>
      <c r="F206" t="s">
        <v>44</v>
      </c>
      <c r="G206" t="s">
        <v>937</v>
      </c>
      <c r="H206" s="1">
        <v>42620</v>
      </c>
      <c r="I206" s="2"/>
    </row>
    <row r="207" spans="1:9" x14ac:dyDescent="0.35">
      <c r="A207" t="s">
        <v>237</v>
      </c>
      <c r="B207" t="s">
        <v>21</v>
      </c>
      <c r="C207" t="s">
        <v>35</v>
      </c>
      <c r="D207" t="s">
        <v>33</v>
      </c>
      <c r="E207">
        <v>0</v>
      </c>
      <c r="F207" t="s">
        <v>17</v>
      </c>
      <c r="G207" t="s">
        <v>936</v>
      </c>
      <c r="H207" s="1">
        <v>43202</v>
      </c>
      <c r="I207" s="2"/>
    </row>
    <row r="208" spans="1:9" x14ac:dyDescent="0.35">
      <c r="A208" t="s">
        <v>238</v>
      </c>
      <c r="B208" t="s">
        <v>21</v>
      </c>
      <c r="C208" t="s">
        <v>35</v>
      </c>
      <c r="D208" t="s">
        <v>20</v>
      </c>
      <c r="E208">
        <v>14</v>
      </c>
      <c r="F208" t="s">
        <v>27</v>
      </c>
      <c r="G208" t="s">
        <v>936</v>
      </c>
      <c r="H208" s="1">
        <v>44250</v>
      </c>
      <c r="I208" s="2"/>
    </row>
    <row r="209" spans="1:9" x14ac:dyDescent="0.35">
      <c r="A209" t="s">
        <v>239</v>
      </c>
      <c r="B209" t="s">
        <v>21</v>
      </c>
      <c r="C209" t="s">
        <v>26</v>
      </c>
      <c r="D209" t="s">
        <v>33</v>
      </c>
      <c r="E209">
        <v>4</v>
      </c>
      <c r="F209" t="s">
        <v>24</v>
      </c>
      <c r="G209" t="s">
        <v>936</v>
      </c>
      <c r="H209" s="1">
        <v>45588</v>
      </c>
      <c r="I209" s="2"/>
    </row>
    <row r="210" spans="1:9" x14ac:dyDescent="0.35">
      <c r="A210" t="s">
        <v>240</v>
      </c>
      <c r="B210" t="s">
        <v>16</v>
      </c>
      <c r="C210" t="s">
        <v>14</v>
      </c>
      <c r="D210" t="s">
        <v>20</v>
      </c>
      <c r="E210">
        <v>8</v>
      </c>
      <c r="F210" t="s">
        <v>31</v>
      </c>
      <c r="G210" t="s">
        <v>937</v>
      </c>
      <c r="H210" s="1">
        <v>45276</v>
      </c>
      <c r="I210" s="2"/>
    </row>
    <row r="211" spans="1:9" x14ac:dyDescent="0.35">
      <c r="A211" t="s">
        <v>241</v>
      </c>
      <c r="B211" t="s">
        <v>21</v>
      </c>
      <c r="C211" t="s">
        <v>14</v>
      </c>
      <c r="D211" t="s">
        <v>15</v>
      </c>
      <c r="E211">
        <v>14</v>
      </c>
      <c r="F211" t="s">
        <v>24</v>
      </c>
      <c r="G211" t="s">
        <v>936</v>
      </c>
      <c r="H211" s="1">
        <v>44457</v>
      </c>
      <c r="I211" s="2"/>
    </row>
    <row r="212" spans="1:9" x14ac:dyDescent="0.35">
      <c r="A212" t="s">
        <v>242</v>
      </c>
      <c r="B212" t="s">
        <v>21</v>
      </c>
      <c r="C212" t="s">
        <v>26</v>
      </c>
      <c r="D212" t="s">
        <v>15</v>
      </c>
      <c r="E212">
        <v>7</v>
      </c>
      <c r="F212" t="s">
        <v>70</v>
      </c>
      <c r="G212" t="s">
        <v>937</v>
      </c>
      <c r="H212" s="1">
        <v>45623</v>
      </c>
      <c r="I212" s="2"/>
    </row>
    <row r="213" spans="1:9" x14ac:dyDescent="0.35">
      <c r="A213" t="s">
        <v>243</v>
      </c>
      <c r="B213" t="s">
        <v>16</v>
      </c>
      <c r="C213" t="s">
        <v>26</v>
      </c>
      <c r="D213" t="s">
        <v>15</v>
      </c>
      <c r="E213">
        <v>9</v>
      </c>
      <c r="F213" t="s">
        <v>44</v>
      </c>
      <c r="G213" t="s">
        <v>937</v>
      </c>
      <c r="H213" s="1">
        <v>44175</v>
      </c>
      <c r="I213" s="2"/>
    </row>
    <row r="214" spans="1:9" x14ac:dyDescent="0.35">
      <c r="A214" t="s">
        <v>244</v>
      </c>
      <c r="B214" t="s">
        <v>16</v>
      </c>
      <c r="C214" t="s">
        <v>35</v>
      </c>
      <c r="D214" t="s">
        <v>43</v>
      </c>
      <c r="E214">
        <v>5</v>
      </c>
      <c r="F214" t="s">
        <v>17</v>
      </c>
      <c r="G214" t="s">
        <v>936</v>
      </c>
      <c r="H214" s="1">
        <v>45291</v>
      </c>
      <c r="I214" s="2"/>
    </row>
    <row r="215" spans="1:9" x14ac:dyDescent="0.35">
      <c r="A215" t="s">
        <v>245</v>
      </c>
      <c r="B215" t="s">
        <v>16</v>
      </c>
      <c r="C215" t="s">
        <v>26</v>
      </c>
      <c r="D215" t="s">
        <v>33</v>
      </c>
      <c r="E215">
        <v>13</v>
      </c>
      <c r="F215" t="s">
        <v>70</v>
      </c>
      <c r="G215" t="s">
        <v>937</v>
      </c>
      <c r="H215" s="1">
        <v>43461</v>
      </c>
      <c r="I215" s="2"/>
    </row>
    <row r="216" spans="1:9" x14ac:dyDescent="0.35">
      <c r="A216" t="s">
        <v>246</v>
      </c>
      <c r="B216" t="s">
        <v>16</v>
      </c>
      <c r="C216" t="s">
        <v>14</v>
      </c>
      <c r="D216" t="s">
        <v>15</v>
      </c>
      <c r="E216">
        <v>11</v>
      </c>
      <c r="F216" t="s">
        <v>70</v>
      </c>
      <c r="G216" t="s">
        <v>937</v>
      </c>
      <c r="H216" s="1">
        <v>43751</v>
      </c>
      <c r="I216" s="2"/>
    </row>
    <row r="217" spans="1:9" x14ac:dyDescent="0.35">
      <c r="A217" t="s">
        <v>247</v>
      </c>
      <c r="B217" t="s">
        <v>21</v>
      </c>
      <c r="C217" t="s">
        <v>26</v>
      </c>
      <c r="D217" t="s">
        <v>43</v>
      </c>
      <c r="E217">
        <v>0</v>
      </c>
      <c r="F217" t="s">
        <v>27</v>
      </c>
      <c r="G217" t="s">
        <v>936</v>
      </c>
      <c r="H217" s="1">
        <v>43458</v>
      </c>
      <c r="I217" s="2"/>
    </row>
    <row r="218" spans="1:9" x14ac:dyDescent="0.35">
      <c r="A218" t="s">
        <v>248</v>
      </c>
      <c r="B218" t="s">
        <v>16</v>
      </c>
      <c r="C218" t="s">
        <v>19</v>
      </c>
      <c r="D218" t="s">
        <v>20</v>
      </c>
      <c r="E218">
        <v>4</v>
      </c>
      <c r="F218" t="s">
        <v>44</v>
      </c>
      <c r="G218" t="s">
        <v>937</v>
      </c>
      <c r="H218" s="1">
        <v>44169</v>
      </c>
      <c r="I218" s="2"/>
    </row>
    <row r="219" spans="1:9" x14ac:dyDescent="0.35">
      <c r="A219" t="s">
        <v>249</v>
      </c>
      <c r="B219" t="s">
        <v>21</v>
      </c>
      <c r="C219" t="s">
        <v>35</v>
      </c>
      <c r="D219" t="s">
        <v>33</v>
      </c>
      <c r="E219">
        <v>1</v>
      </c>
      <c r="F219" t="s">
        <v>37</v>
      </c>
      <c r="G219" t="s">
        <v>936</v>
      </c>
      <c r="H219" s="1">
        <v>45063</v>
      </c>
      <c r="I219" s="2"/>
    </row>
    <row r="220" spans="1:9" x14ac:dyDescent="0.35">
      <c r="A220" t="s">
        <v>250</v>
      </c>
      <c r="B220" t="s">
        <v>21</v>
      </c>
      <c r="C220" t="s">
        <v>26</v>
      </c>
      <c r="D220" t="s">
        <v>33</v>
      </c>
      <c r="E220">
        <v>8</v>
      </c>
      <c r="F220" t="s">
        <v>27</v>
      </c>
      <c r="G220" t="s">
        <v>936</v>
      </c>
      <c r="H220" s="1">
        <v>44264</v>
      </c>
      <c r="I220" s="2"/>
    </row>
    <row r="221" spans="1:9" x14ac:dyDescent="0.35">
      <c r="A221" t="s">
        <v>251</v>
      </c>
      <c r="B221" t="s">
        <v>16</v>
      </c>
      <c r="C221" t="s">
        <v>26</v>
      </c>
      <c r="D221" t="s">
        <v>43</v>
      </c>
      <c r="E221">
        <v>3</v>
      </c>
      <c r="F221" t="s">
        <v>17</v>
      </c>
      <c r="G221" t="s">
        <v>936</v>
      </c>
      <c r="H221" s="1">
        <v>43341</v>
      </c>
      <c r="I221" s="2"/>
    </row>
    <row r="222" spans="1:9" x14ac:dyDescent="0.35">
      <c r="A222" t="s">
        <v>252</v>
      </c>
      <c r="B222" t="s">
        <v>16</v>
      </c>
      <c r="C222" t="s">
        <v>35</v>
      </c>
      <c r="D222" t="s">
        <v>43</v>
      </c>
      <c r="E222">
        <v>15</v>
      </c>
      <c r="F222" t="s">
        <v>17</v>
      </c>
      <c r="G222" t="s">
        <v>936</v>
      </c>
      <c r="H222" s="1">
        <v>44638</v>
      </c>
      <c r="I222" s="2"/>
    </row>
    <row r="223" spans="1:9" x14ac:dyDescent="0.35">
      <c r="A223" t="s">
        <v>253</v>
      </c>
      <c r="B223" t="s">
        <v>21</v>
      </c>
      <c r="C223" t="s">
        <v>26</v>
      </c>
      <c r="D223" t="s">
        <v>33</v>
      </c>
      <c r="E223">
        <v>10</v>
      </c>
      <c r="F223" t="s">
        <v>70</v>
      </c>
      <c r="G223" t="s">
        <v>937</v>
      </c>
      <c r="H223" s="1">
        <v>44493</v>
      </c>
      <c r="I223" s="2"/>
    </row>
    <row r="224" spans="1:9" x14ac:dyDescent="0.35">
      <c r="A224" t="s">
        <v>254</v>
      </c>
      <c r="B224" t="s">
        <v>16</v>
      </c>
      <c r="C224" t="s">
        <v>14</v>
      </c>
      <c r="D224" t="s">
        <v>15</v>
      </c>
      <c r="E224">
        <v>12</v>
      </c>
      <c r="F224" t="s">
        <v>31</v>
      </c>
      <c r="G224" t="s">
        <v>937</v>
      </c>
      <c r="H224" s="1">
        <v>42335</v>
      </c>
      <c r="I224" s="2"/>
    </row>
    <row r="225" spans="1:9" x14ac:dyDescent="0.35">
      <c r="A225" t="s">
        <v>255</v>
      </c>
      <c r="B225" t="s">
        <v>16</v>
      </c>
      <c r="C225" t="s">
        <v>19</v>
      </c>
      <c r="D225" t="s">
        <v>20</v>
      </c>
      <c r="E225">
        <v>0</v>
      </c>
      <c r="F225" t="s">
        <v>70</v>
      </c>
      <c r="G225" t="s">
        <v>937</v>
      </c>
      <c r="H225" s="1">
        <v>42571</v>
      </c>
      <c r="I225" s="2"/>
    </row>
    <row r="226" spans="1:9" x14ac:dyDescent="0.35">
      <c r="A226" t="s">
        <v>256</v>
      </c>
      <c r="B226" t="s">
        <v>16</v>
      </c>
      <c r="C226" t="s">
        <v>29</v>
      </c>
      <c r="D226" t="s">
        <v>20</v>
      </c>
      <c r="E226">
        <v>12</v>
      </c>
      <c r="F226" t="s">
        <v>70</v>
      </c>
      <c r="G226" t="s">
        <v>937</v>
      </c>
      <c r="H226" s="1">
        <v>43711</v>
      </c>
      <c r="I226" s="2"/>
    </row>
    <row r="227" spans="1:9" x14ac:dyDescent="0.35">
      <c r="A227" t="s">
        <v>257</v>
      </c>
      <c r="B227" t="s">
        <v>16</v>
      </c>
      <c r="C227" t="s">
        <v>14</v>
      </c>
      <c r="D227" t="s">
        <v>15</v>
      </c>
      <c r="E227">
        <v>12</v>
      </c>
      <c r="F227" t="s">
        <v>37</v>
      </c>
      <c r="G227" t="s">
        <v>936</v>
      </c>
      <c r="H227" s="1">
        <v>42199</v>
      </c>
      <c r="I227" s="2"/>
    </row>
    <row r="228" spans="1:9" x14ac:dyDescent="0.35">
      <c r="A228" t="s">
        <v>258</v>
      </c>
      <c r="B228" t="s">
        <v>21</v>
      </c>
      <c r="C228" t="s">
        <v>14</v>
      </c>
      <c r="D228" t="s">
        <v>20</v>
      </c>
      <c r="E228">
        <v>7</v>
      </c>
      <c r="F228" t="s">
        <v>44</v>
      </c>
      <c r="G228" t="s">
        <v>937</v>
      </c>
      <c r="H228" s="1">
        <v>42172</v>
      </c>
      <c r="I228" s="2"/>
    </row>
    <row r="229" spans="1:9" x14ac:dyDescent="0.35">
      <c r="A229" t="s">
        <v>259</v>
      </c>
      <c r="B229" t="s">
        <v>21</v>
      </c>
      <c r="C229" t="s">
        <v>35</v>
      </c>
      <c r="D229" t="s">
        <v>15</v>
      </c>
      <c r="E229">
        <v>3</v>
      </c>
      <c r="F229" t="s">
        <v>70</v>
      </c>
      <c r="G229" t="s">
        <v>937</v>
      </c>
      <c r="H229" s="1">
        <v>44990</v>
      </c>
      <c r="I229" s="2"/>
    </row>
    <row r="230" spans="1:9" x14ac:dyDescent="0.35">
      <c r="A230" t="s">
        <v>260</v>
      </c>
      <c r="B230" t="s">
        <v>16</v>
      </c>
      <c r="C230" t="s">
        <v>14</v>
      </c>
      <c r="D230" t="s">
        <v>33</v>
      </c>
      <c r="E230">
        <v>4</v>
      </c>
      <c r="F230" t="s">
        <v>44</v>
      </c>
      <c r="G230" t="s">
        <v>937</v>
      </c>
      <c r="H230" s="1">
        <v>45200</v>
      </c>
      <c r="I230" s="2"/>
    </row>
    <row r="231" spans="1:9" x14ac:dyDescent="0.35">
      <c r="A231" t="s">
        <v>261</v>
      </c>
      <c r="B231" t="s">
        <v>16</v>
      </c>
      <c r="C231" t="s">
        <v>35</v>
      </c>
      <c r="D231" t="s">
        <v>15</v>
      </c>
      <c r="E231">
        <v>4</v>
      </c>
      <c r="F231" t="s">
        <v>17</v>
      </c>
      <c r="G231" t="s">
        <v>936</v>
      </c>
      <c r="H231" s="1">
        <v>42376</v>
      </c>
      <c r="I231" s="2"/>
    </row>
    <row r="232" spans="1:9" x14ac:dyDescent="0.35">
      <c r="A232" t="s">
        <v>262</v>
      </c>
      <c r="B232" t="s">
        <v>16</v>
      </c>
      <c r="C232" t="s">
        <v>14</v>
      </c>
      <c r="D232" t="s">
        <v>20</v>
      </c>
      <c r="E232">
        <v>13</v>
      </c>
      <c r="F232" t="s">
        <v>44</v>
      </c>
      <c r="G232" t="s">
        <v>937</v>
      </c>
      <c r="H232" s="1">
        <v>45485</v>
      </c>
      <c r="I232" s="2"/>
    </row>
    <row r="233" spans="1:9" x14ac:dyDescent="0.35">
      <c r="A233" t="s">
        <v>263</v>
      </c>
      <c r="B233" t="s">
        <v>16</v>
      </c>
      <c r="C233" t="s">
        <v>26</v>
      </c>
      <c r="D233" t="s">
        <v>20</v>
      </c>
      <c r="E233">
        <v>10</v>
      </c>
      <c r="F233" t="s">
        <v>70</v>
      </c>
      <c r="G233" t="s">
        <v>937</v>
      </c>
      <c r="H233" s="1">
        <v>42221</v>
      </c>
      <c r="I233" s="2"/>
    </row>
    <row r="234" spans="1:9" x14ac:dyDescent="0.35">
      <c r="A234" t="s">
        <v>264</v>
      </c>
      <c r="B234" t="s">
        <v>16</v>
      </c>
      <c r="C234" t="s">
        <v>35</v>
      </c>
      <c r="D234" t="s">
        <v>20</v>
      </c>
      <c r="E234">
        <v>10</v>
      </c>
      <c r="F234" t="s">
        <v>17</v>
      </c>
      <c r="G234" t="s">
        <v>936</v>
      </c>
      <c r="H234" s="1">
        <v>45559</v>
      </c>
      <c r="I234" s="2"/>
    </row>
    <row r="235" spans="1:9" x14ac:dyDescent="0.35">
      <c r="A235" t="s">
        <v>265</v>
      </c>
      <c r="B235" t="s">
        <v>21</v>
      </c>
      <c r="C235" t="s">
        <v>19</v>
      </c>
      <c r="D235" t="s">
        <v>15</v>
      </c>
      <c r="E235">
        <v>5</v>
      </c>
      <c r="F235" t="s">
        <v>44</v>
      </c>
      <c r="G235" t="s">
        <v>937</v>
      </c>
      <c r="H235" s="1">
        <v>43806</v>
      </c>
      <c r="I235" s="2"/>
    </row>
    <row r="236" spans="1:9" x14ac:dyDescent="0.35">
      <c r="A236" t="s">
        <v>266</v>
      </c>
      <c r="B236" t="s">
        <v>16</v>
      </c>
      <c r="C236" t="s">
        <v>29</v>
      </c>
      <c r="D236" t="s">
        <v>20</v>
      </c>
      <c r="E236">
        <v>0</v>
      </c>
      <c r="F236" t="s">
        <v>44</v>
      </c>
      <c r="G236" t="s">
        <v>937</v>
      </c>
      <c r="H236" s="1">
        <v>44084</v>
      </c>
      <c r="I236" s="2"/>
    </row>
    <row r="237" spans="1:9" x14ac:dyDescent="0.35">
      <c r="A237" t="s">
        <v>267</v>
      </c>
      <c r="B237" t="s">
        <v>16</v>
      </c>
      <c r="C237" t="s">
        <v>26</v>
      </c>
      <c r="D237" t="s">
        <v>20</v>
      </c>
      <c r="E237">
        <v>5</v>
      </c>
      <c r="F237" t="s">
        <v>27</v>
      </c>
      <c r="G237" t="s">
        <v>936</v>
      </c>
      <c r="H237" s="1">
        <v>43056</v>
      </c>
      <c r="I237" s="2"/>
    </row>
    <row r="238" spans="1:9" x14ac:dyDescent="0.35">
      <c r="A238" t="s">
        <v>268</v>
      </c>
      <c r="B238" t="s">
        <v>16</v>
      </c>
      <c r="C238" t="s">
        <v>14</v>
      </c>
      <c r="D238" t="s">
        <v>33</v>
      </c>
      <c r="E238">
        <v>2</v>
      </c>
      <c r="F238" t="s">
        <v>31</v>
      </c>
      <c r="G238" t="s">
        <v>937</v>
      </c>
      <c r="H238" s="1">
        <v>43891</v>
      </c>
      <c r="I238" s="2"/>
    </row>
    <row r="239" spans="1:9" x14ac:dyDescent="0.35">
      <c r="A239" t="s">
        <v>269</v>
      </c>
      <c r="B239" t="s">
        <v>21</v>
      </c>
      <c r="C239" t="s">
        <v>35</v>
      </c>
      <c r="D239" t="s">
        <v>20</v>
      </c>
      <c r="E239">
        <v>7</v>
      </c>
      <c r="F239" t="s">
        <v>24</v>
      </c>
      <c r="G239" t="s">
        <v>936</v>
      </c>
      <c r="H239" s="1">
        <v>43578</v>
      </c>
      <c r="I239" s="2"/>
    </row>
    <row r="240" spans="1:9" x14ac:dyDescent="0.35">
      <c r="A240" t="s">
        <v>270</v>
      </c>
      <c r="B240" t="s">
        <v>21</v>
      </c>
      <c r="C240" t="s">
        <v>14</v>
      </c>
      <c r="D240" t="s">
        <v>43</v>
      </c>
      <c r="E240">
        <v>4</v>
      </c>
      <c r="F240" t="s">
        <v>24</v>
      </c>
      <c r="G240" t="s">
        <v>936</v>
      </c>
      <c r="H240" s="1">
        <v>43797</v>
      </c>
      <c r="I240" s="2"/>
    </row>
    <row r="241" spans="1:9" x14ac:dyDescent="0.35">
      <c r="A241" t="s">
        <v>271</v>
      </c>
      <c r="B241" t="s">
        <v>21</v>
      </c>
      <c r="C241" t="s">
        <v>35</v>
      </c>
      <c r="D241" t="s">
        <v>15</v>
      </c>
      <c r="E241">
        <v>4</v>
      </c>
      <c r="F241" t="s">
        <v>70</v>
      </c>
      <c r="G241" t="s">
        <v>937</v>
      </c>
      <c r="H241" s="1">
        <v>45045</v>
      </c>
      <c r="I241" s="2"/>
    </row>
    <row r="242" spans="1:9" x14ac:dyDescent="0.35">
      <c r="A242" t="s">
        <v>272</v>
      </c>
      <c r="B242" t="s">
        <v>21</v>
      </c>
      <c r="C242" t="s">
        <v>26</v>
      </c>
      <c r="D242" t="s">
        <v>20</v>
      </c>
      <c r="E242">
        <v>11</v>
      </c>
      <c r="F242" t="s">
        <v>22</v>
      </c>
      <c r="G242" t="s">
        <v>937</v>
      </c>
      <c r="H242" s="1">
        <v>45512</v>
      </c>
      <c r="I242" s="2"/>
    </row>
    <row r="243" spans="1:9" x14ac:dyDescent="0.35">
      <c r="A243" t="s">
        <v>273</v>
      </c>
      <c r="B243" t="s">
        <v>21</v>
      </c>
      <c r="C243" t="s">
        <v>14</v>
      </c>
      <c r="D243" t="s">
        <v>43</v>
      </c>
      <c r="E243">
        <v>12</v>
      </c>
      <c r="F243" t="s">
        <v>22</v>
      </c>
      <c r="G243" t="s">
        <v>937</v>
      </c>
      <c r="H243" s="1">
        <v>42935</v>
      </c>
      <c r="I243" s="2"/>
    </row>
    <row r="244" spans="1:9" x14ac:dyDescent="0.35">
      <c r="A244" t="s">
        <v>274</v>
      </c>
      <c r="B244" t="s">
        <v>16</v>
      </c>
      <c r="C244" t="s">
        <v>14</v>
      </c>
      <c r="D244" t="s">
        <v>15</v>
      </c>
      <c r="E244">
        <v>9</v>
      </c>
      <c r="F244" t="s">
        <v>24</v>
      </c>
      <c r="G244" t="s">
        <v>936</v>
      </c>
      <c r="H244" s="1">
        <v>45399</v>
      </c>
      <c r="I244" s="2"/>
    </row>
    <row r="245" spans="1:9" x14ac:dyDescent="0.35">
      <c r="A245" t="s">
        <v>275</v>
      </c>
      <c r="B245" t="s">
        <v>21</v>
      </c>
      <c r="C245" t="s">
        <v>14</v>
      </c>
      <c r="D245" t="s">
        <v>20</v>
      </c>
      <c r="E245">
        <v>13</v>
      </c>
      <c r="F245" t="s">
        <v>24</v>
      </c>
      <c r="G245" t="s">
        <v>936</v>
      </c>
      <c r="H245" s="1">
        <v>44887</v>
      </c>
      <c r="I245" s="2"/>
    </row>
    <row r="246" spans="1:9" x14ac:dyDescent="0.35">
      <c r="A246" t="s">
        <v>276</v>
      </c>
      <c r="B246" t="s">
        <v>21</v>
      </c>
      <c r="C246" t="s">
        <v>29</v>
      </c>
      <c r="D246" t="s">
        <v>20</v>
      </c>
      <c r="E246">
        <v>5</v>
      </c>
      <c r="F246" t="s">
        <v>70</v>
      </c>
      <c r="G246" t="s">
        <v>937</v>
      </c>
      <c r="H246" s="1">
        <v>44878</v>
      </c>
      <c r="I246" s="2"/>
    </row>
    <row r="247" spans="1:9" x14ac:dyDescent="0.35">
      <c r="A247" t="s">
        <v>277</v>
      </c>
      <c r="B247" t="s">
        <v>21</v>
      </c>
      <c r="C247" t="s">
        <v>19</v>
      </c>
      <c r="D247" t="s">
        <v>20</v>
      </c>
      <c r="E247">
        <v>4</v>
      </c>
      <c r="F247" t="s">
        <v>24</v>
      </c>
      <c r="G247" t="s">
        <v>936</v>
      </c>
      <c r="H247" s="1">
        <v>44985</v>
      </c>
      <c r="I247" s="2"/>
    </row>
    <row r="248" spans="1:9" x14ac:dyDescent="0.35">
      <c r="A248" t="s">
        <v>278</v>
      </c>
      <c r="B248" t="s">
        <v>16</v>
      </c>
      <c r="C248" t="s">
        <v>26</v>
      </c>
      <c r="D248" t="s">
        <v>43</v>
      </c>
      <c r="E248">
        <v>0</v>
      </c>
      <c r="F248" t="s">
        <v>70</v>
      </c>
      <c r="G248" t="s">
        <v>937</v>
      </c>
      <c r="H248" s="1">
        <v>42318</v>
      </c>
      <c r="I248" s="2"/>
    </row>
    <row r="249" spans="1:9" x14ac:dyDescent="0.35">
      <c r="A249" t="s">
        <v>279</v>
      </c>
      <c r="B249" t="s">
        <v>16</v>
      </c>
      <c r="C249" t="s">
        <v>29</v>
      </c>
      <c r="D249" t="s">
        <v>15</v>
      </c>
      <c r="E249">
        <v>12</v>
      </c>
      <c r="F249" t="s">
        <v>27</v>
      </c>
      <c r="G249" t="s">
        <v>936</v>
      </c>
      <c r="H249" s="1">
        <v>42391</v>
      </c>
      <c r="I249" s="2"/>
    </row>
    <row r="250" spans="1:9" x14ac:dyDescent="0.35">
      <c r="A250" t="s">
        <v>280</v>
      </c>
      <c r="B250" t="s">
        <v>16</v>
      </c>
      <c r="C250" t="s">
        <v>35</v>
      </c>
      <c r="D250" t="s">
        <v>15</v>
      </c>
      <c r="E250">
        <v>7</v>
      </c>
      <c r="F250" t="s">
        <v>44</v>
      </c>
      <c r="G250" t="s">
        <v>937</v>
      </c>
      <c r="H250" s="1">
        <v>44087</v>
      </c>
      <c r="I250" s="2"/>
    </row>
    <row r="251" spans="1:9" x14ac:dyDescent="0.35">
      <c r="A251" t="s">
        <v>281</v>
      </c>
      <c r="B251" t="s">
        <v>16</v>
      </c>
      <c r="C251" t="s">
        <v>14</v>
      </c>
      <c r="D251" t="s">
        <v>43</v>
      </c>
      <c r="E251">
        <v>15</v>
      </c>
      <c r="F251" t="s">
        <v>24</v>
      </c>
      <c r="G251" t="s">
        <v>936</v>
      </c>
      <c r="H251" s="1">
        <v>42352</v>
      </c>
      <c r="I251" s="2"/>
    </row>
    <row r="252" spans="1:9" x14ac:dyDescent="0.35">
      <c r="A252" t="s">
        <v>282</v>
      </c>
      <c r="B252" t="s">
        <v>16</v>
      </c>
      <c r="C252" t="s">
        <v>35</v>
      </c>
      <c r="D252" t="s">
        <v>43</v>
      </c>
      <c r="E252">
        <v>8</v>
      </c>
      <c r="F252" t="s">
        <v>31</v>
      </c>
      <c r="G252" t="s">
        <v>937</v>
      </c>
      <c r="H252" s="1">
        <v>44900</v>
      </c>
      <c r="I252" s="2"/>
    </row>
    <row r="253" spans="1:9" x14ac:dyDescent="0.35">
      <c r="A253" t="s">
        <v>283</v>
      </c>
      <c r="B253" t="s">
        <v>21</v>
      </c>
      <c r="C253" t="s">
        <v>35</v>
      </c>
      <c r="D253" t="s">
        <v>43</v>
      </c>
      <c r="E253">
        <v>15</v>
      </c>
      <c r="F253" t="s">
        <v>22</v>
      </c>
      <c r="G253" t="s">
        <v>937</v>
      </c>
      <c r="H253" s="1">
        <v>42159</v>
      </c>
      <c r="I253" s="2"/>
    </row>
    <row r="254" spans="1:9" x14ac:dyDescent="0.35">
      <c r="A254" t="s">
        <v>284</v>
      </c>
      <c r="B254" t="s">
        <v>16</v>
      </c>
      <c r="C254" t="s">
        <v>14</v>
      </c>
      <c r="D254" t="s">
        <v>33</v>
      </c>
      <c r="E254">
        <v>0</v>
      </c>
      <c r="F254" t="s">
        <v>22</v>
      </c>
      <c r="G254" t="s">
        <v>937</v>
      </c>
      <c r="H254" s="1">
        <v>42875</v>
      </c>
      <c r="I254" s="2"/>
    </row>
    <row r="255" spans="1:9" x14ac:dyDescent="0.35">
      <c r="A255" t="s">
        <v>285</v>
      </c>
      <c r="B255" t="s">
        <v>16</v>
      </c>
      <c r="C255" t="s">
        <v>35</v>
      </c>
      <c r="D255" t="s">
        <v>43</v>
      </c>
      <c r="E255">
        <v>0</v>
      </c>
      <c r="F255" t="s">
        <v>44</v>
      </c>
      <c r="G255" t="s">
        <v>937</v>
      </c>
      <c r="H255" s="1">
        <v>43399</v>
      </c>
      <c r="I255" s="2"/>
    </row>
    <row r="256" spans="1:9" x14ac:dyDescent="0.35">
      <c r="A256" t="s">
        <v>286</v>
      </c>
      <c r="B256" t="s">
        <v>16</v>
      </c>
      <c r="C256" t="s">
        <v>26</v>
      </c>
      <c r="D256" t="s">
        <v>33</v>
      </c>
      <c r="E256">
        <v>3</v>
      </c>
      <c r="F256" t="s">
        <v>17</v>
      </c>
      <c r="G256" t="s">
        <v>936</v>
      </c>
      <c r="H256" s="1">
        <v>43637</v>
      </c>
      <c r="I256" s="2"/>
    </row>
    <row r="257" spans="1:9" x14ac:dyDescent="0.35">
      <c r="A257" t="s">
        <v>287</v>
      </c>
      <c r="B257" t="s">
        <v>21</v>
      </c>
      <c r="C257" t="s">
        <v>29</v>
      </c>
      <c r="D257" t="s">
        <v>43</v>
      </c>
      <c r="E257">
        <v>14</v>
      </c>
      <c r="F257" t="s">
        <v>17</v>
      </c>
      <c r="G257" t="s">
        <v>936</v>
      </c>
      <c r="H257" s="1">
        <v>43909</v>
      </c>
      <c r="I257" s="2"/>
    </row>
    <row r="258" spans="1:9" x14ac:dyDescent="0.35">
      <c r="A258" t="s">
        <v>288</v>
      </c>
      <c r="B258" t="s">
        <v>21</v>
      </c>
      <c r="C258" t="s">
        <v>29</v>
      </c>
      <c r="D258" t="s">
        <v>43</v>
      </c>
      <c r="E258">
        <v>15</v>
      </c>
      <c r="F258" t="s">
        <v>22</v>
      </c>
      <c r="G258" t="s">
        <v>937</v>
      </c>
      <c r="H258" s="1">
        <v>43906</v>
      </c>
      <c r="I258" s="2"/>
    </row>
    <row r="259" spans="1:9" x14ac:dyDescent="0.35">
      <c r="A259" t="s">
        <v>289</v>
      </c>
      <c r="B259" t="s">
        <v>21</v>
      </c>
      <c r="C259" t="s">
        <v>35</v>
      </c>
      <c r="D259" t="s">
        <v>43</v>
      </c>
      <c r="E259">
        <v>3</v>
      </c>
      <c r="F259" t="s">
        <v>24</v>
      </c>
      <c r="G259" t="s">
        <v>936</v>
      </c>
      <c r="H259" s="1">
        <v>43406</v>
      </c>
      <c r="I259" s="2"/>
    </row>
    <row r="260" spans="1:9" x14ac:dyDescent="0.35">
      <c r="A260" t="s">
        <v>290</v>
      </c>
      <c r="B260" t="s">
        <v>21</v>
      </c>
      <c r="C260" t="s">
        <v>19</v>
      </c>
      <c r="D260" t="s">
        <v>20</v>
      </c>
      <c r="E260">
        <v>6</v>
      </c>
      <c r="F260" t="s">
        <v>17</v>
      </c>
      <c r="G260" t="s">
        <v>936</v>
      </c>
      <c r="H260" s="1">
        <v>42195</v>
      </c>
      <c r="I260" s="2"/>
    </row>
    <row r="261" spans="1:9" x14ac:dyDescent="0.35">
      <c r="A261" t="s">
        <v>291</v>
      </c>
      <c r="B261" t="s">
        <v>16</v>
      </c>
      <c r="C261" t="s">
        <v>19</v>
      </c>
      <c r="D261" t="s">
        <v>15</v>
      </c>
      <c r="E261">
        <v>2</v>
      </c>
      <c r="F261" t="s">
        <v>44</v>
      </c>
      <c r="G261" t="s">
        <v>937</v>
      </c>
      <c r="H261" s="1">
        <v>43400</v>
      </c>
      <c r="I261" s="2"/>
    </row>
    <row r="262" spans="1:9" x14ac:dyDescent="0.35">
      <c r="A262" t="s">
        <v>292</v>
      </c>
      <c r="B262" t="s">
        <v>21</v>
      </c>
      <c r="C262" t="s">
        <v>14</v>
      </c>
      <c r="D262" t="s">
        <v>43</v>
      </c>
      <c r="E262">
        <v>14</v>
      </c>
      <c r="F262" t="s">
        <v>44</v>
      </c>
      <c r="G262" t="s">
        <v>937</v>
      </c>
      <c r="H262" s="1">
        <v>45629</v>
      </c>
      <c r="I262" s="2"/>
    </row>
    <row r="263" spans="1:9" x14ac:dyDescent="0.35">
      <c r="A263" t="s">
        <v>293</v>
      </c>
      <c r="B263" t="s">
        <v>16</v>
      </c>
      <c r="C263" t="s">
        <v>14</v>
      </c>
      <c r="D263" t="s">
        <v>20</v>
      </c>
      <c r="E263">
        <v>0</v>
      </c>
      <c r="F263" t="s">
        <v>27</v>
      </c>
      <c r="G263" t="s">
        <v>936</v>
      </c>
      <c r="H263" s="1">
        <v>42474</v>
      </c>
      <c r="I263" s="2"/>
    </row>
    <row r="264" spans="1:9" x14ac:dyDescent="0.35">
      <c r="A264" t="s">
        <v>294</v>
      </c>
      <c r="B264" t="s">
        <v>16</v>
      </c>
      <c r="C264" t="s">
        <v>26</v>
      </c>
      <c r="D264" t="s">
        <v>43</v>
      </c>
      <c r="E264">
        <v>10</v>
      </c>
      <c r="F264" t="s">
        <v>44</v>
      </c>
      <c r="G264" t="s">
        <v>937</v>
      </c>
      <c r="H264" s="1">
        <v>42528</v>
      </c>
      <c r="I264" s="2"/>
    </row>
    <row r="265" spans="1:9" x14ac:dyDescent="0.35">
      <c r="A265" t="s">
        <v>295</v>
      </c>
      <c r="B265" t="s">
        <v>16</v>
      </c>
      <c r="C265" t="s">
        <v>19</v>
      </c>
      <c r="D265" t="s">
        <v>33</v>
      </c>
      <c r="E265">
        <v>4</v>
      </c>
      <c r="F265" t="s">
        <v>44</v>
      </c>
      <c r="G265" t="s">
        <v>937</v>
      </c>
      <c r="H265" s="1">
        <v>45404</v>
      </c>
      <c r="I265" s="2"/>
    </row>
    <row r="266" spans="1:9" x14ac:dyDescent="0.35">
      <c r="A266" t="s">
        <v>296</v>
      </c>
      <c r="B266" t="s">
        <v>16</v>
      </c>
      <c r="C266" t="s">
        <v>35</v>
      </c>
      <c r="D266" t="s">
        <v>43</v>
      </c>
      <c r="E266">
        <v>5</v>
      </c>
      <c r="F266" t="s">
        <v>17</v>
      </c>
      <c r="G266" t="s">
        <v>936</v>
      </c>
      <c r="H266" s="1">
        <v>43850</v>
      </c>
      <c r="I266" s="2"/>
    </row>
    <row r="267" spans="1:9" x14ac:dyDescent="0.35">
      <c r="A267" t="s">
        <v>297</v>
      </c>
      <c r="B267" t="s">
        <v>21</v>
      </c>
      <c r="C267" t="s">
        <v>29</v>
      </c>
      <c r="D267" t="s">
        <v>33</v>
      </c>
      <c r="E267">
        <v>6</v>
      </c>
      <c r="F267" t="s">
        <v>70</v>
      </c>
      <c r="G267" t="s">
        <v>937</v>
      </c>
      <c r="H267" s="1">
        <v>43677</v>
      </c>
      <c r="I267" s="2"/>
    </row>
    <row r="268" spans="1:9" x14ac:dyDescent="0.35">
      <c r="A268" t="s">
        <v>298</v>
      </c>
      <c r="B268" t="s">
        <v>16</v>
      </c>
      <c r="C268" t="s">
        <v>35</v>
      </c>
      <c r="D268" t="s">
        <v>15</v>
      </c>
      <c r="E268">
        <v>9</v>
      </c>
      <c r="F268" t="s">
        <v>44</v>
      </c>
      <c r="G268" t="s">
        <v>937</v>
      </c>
      <c r="H268" s="1">
        <v>42835</v>
      </c>
      <c r="I268" s="2"/>
    </row>
    <row r="269" spans="1:9" x14ac:dyDescent="0.35">
      <c r="A269" t="s">
        <v>299</v>
      </c>
      <c r="B269" t="s">
        <v>21</v>
      </c>
      <c r="C269" t="s">
        <v>14</v>
      </c>
      <c r="D269" t="s">
        <v>20</v>
      </c>
      <c r="E269">
        <v>1</v>
      </c>
      <c r="F269" t="s">
        <v>17</v>
      </c>
      <c r="G269" t="s">
        <v>936</v>
      </c>
      <c r="H269" s="1">
        <v>44647</v>
      </c>
      <c r="I269" s="2"/>
    </row>
    <row r="270" spans="1:9" x14ac:dyDescent="0.35">
      <c r="A270" t="s">
        <v>300</v>
      </c>
      <c r="B270" t="s">
        <v>21</v>
      </c>
      <c r="C270" t="s">
        <v>35</v>
      </c>
      <c r="D270" t="s">
        <v>15</v>
      </c>
      <c r="E270">
        <v>4</v>
      </c>
      <c r="F270" t="s">
        <v>44</v>
      </c>
      <c r="G270" t="s">
        <v>937</v>
      </c>
      <c r="H270" s="1">
        <v>44145</v>
      </c>
      <c r="I270" s="2"/>
    </row>
    <row r="271" spans="1:9" x14ac:dyDescent="0.35">
      <c r="A271" t="s">
        <v>301</v>
      </c>
      <c r="B271" t="s">
        <v>21</v>
      </c>
      <c r="C271" t="s">
        <v>26</v>
      </c>
      <c r="D271" t="s">
        <v>15</v>
      </c>
      <c r="E271">
        <v>12</v>
      </c>
      <c r="F271" t="s">
        <v>24</v>
      </c>
      <c r="G271" t="s">
        <v>936</v>
      </c>
      <c r="H271" s="1">
        <v>43369</v>
      </c>
      <c r="I271" s="2"/>
    </row>
    <row r="272" spans="1:9" x14ac:dyDescent="0.35">
      <c r="A272" t="s">
        <v>302</v>
      </c>
      <c r="B272" t="s">
        <v>21</v>
      </c>
      <c r="C272" t="s">
        <v>29</v>
      </c>
      <c r="D272" t="s">
        <v>43</v>
      </c>
      <c r="E272">
        <v>11</v>
      </c>
      <c r="F272" t="s">
        <v>44</v>
      </c>
      <c r="G272" t="s">
        <v>937</v>
      </c>
      <c r="H272" s="1">
        <v>42495</v>
      </c>
      <c r="I272" s="2"/>
    </row>
    <row r="273" spans="1:9" x14ac:dyDescent="0.35">
      <c r="A273" t="s">
        <v>303</v>
      </c>
      <c r="B273" t="s">
        <v>16</v>
      </c>
      <c r="C273" t="s">
        <v>19</v>
      </c>
      <c r="D273" t="s">
        <v>33</v>
      </c>
      <c r="E273">
        <v>11</v>
      </c>
      <c r="F273" t="s">
        <v>70</v>
      </c>
      <c r="G273" t="s">
        <v>937</v>
      </c>
      <c r="H273" s="1">
        <v>45071</v>
      </c>
      <c r="I273" s="2"/>
    </row>
    <row r="274" spans="1:9" x14ac:dyDescent="0.35">
      <c r="A274" t="s">
        <v>304</v>
      </c>
      <c r="B274" t="s">
        <v>16</v>
      </c>
      <c r="C274" t="s">
        <v>29</v>
      </c>
      <c r="D274" t="s">
        <v>33</v>
      </c>
      <c r="E274">
        <v>2</v>
      </c>
      <c r="F274" t="s">
        <v>27</v>
      </c>
      <c r="G274" t="s">
        <v>936</v>
      </c>
      <c r="H274" s="1">
        <v>43396</v>
      </c>
      <c r="I274" s="2"/>
    </row>
    <row r="275" spans="1:9" x14ac:dyDescent="0.35">
      <c r="A275" t="s">
        <v>305</v>
      </c>
      <c r="B275" t="s">
        <v>16</v>
      </c>
      <c r="C275" t="s">
        <v>14</v>
      </c>
      <c r="D275" t="s">
        <v>15</v>
      </c>
      <c r="E275">
        <v>15</v>
      </c>
      <c r="F275" t="s">
        <v>22</v>
      </c>
      <c r="G275" t="s">
        <v>937</v>
      </c>
      <c r="H275" s="1">
        <v>45609</v>
      </c>
      <c r="I275" s="2"/>
    </row>
    <row r="276" spans="1:9" x14ac:dyDescent="0.35">
      <c r="A276" t="s">
        <v>306</v>
      </c>
      <c r="B276" t="s">
        <v>21</v>
      </c>
      <c r="C276" t="s">
        <v>29</v>
      </c>
      <c r="D276" t="s">
        <v>43</v>
      </c>
      <c r="E276">
        <v>1</v>
      </c>
      <c r="F276" t="s">
        <v>44</v>
      </c>
      <c r="G276" t="s">
        <v>937</v>
      </c>
      <c r="H276" s="1">
        <v>43574</v>
      </c>
      <c r="I276" s="2"/>
    </row>
    <row r="277" spans="1:9" x14ac:dyDescent="0.35">
      <c r="A277" t="s">
        <v>307</v>
      </c>
      <c r="B277" t="s">
        <v>16</v>
      </c>
      <c r="C277" t="s">
        <v>19</v>
      </c>
      <c r="D277" t="s">
        <v>15</v>
      </c>
      <c r="E277">
        <v>8</v>
      </c>
      <c r="F277" t="s">
        <v>22</v>
      </c>
      <c r="G277" t="s">
        <v>937</v>
      </c>
      <c r="H277" s="1">
        <v>44812</v>
      </c>
      <c r="I277" s="2"/>
    </row>
    <row r="278" spans="1:9" x14ac:dyDescent="0.35">
      <c r="A278" t="s">
        <v>308</v>
      </c>
      <c r="B278" t="s">
        <v>21</v>
      </c>
      <c r="C278" t="s">
        <v>29</v>
      </c>
      <c r="D278" t="s">
        <v>15</v>
      </c>
      <c r="E278">
        <v>1</v>
      </c>
      <c r="F278" t="s">
        <v>17</v>
      </c>
      <c r="G278" t="s">
        <v>936</v>
      </c>
      <c r="H278" s="1">
        <v>43582</v>
      </c>
      <c r="I278" s="2"/>
    </row>
    <row r="279" spans="1:9" x14ac:dyDescent="0.35">
      <c r="A279" t="s">
        <v>309</v>
      </c>
      <c r="B279" t="s">
        <v>16</v>
      </c>
      <c r="C279" t="s">
        <v>29</v>
      </c>
      <c r="D279" t="s">
        <v>15</v>
      </c>
      <c r="E279">
        <v>11</v>
      </c>
      <c r="F279" t="s">
        <v>22</v>
      </c>
      <c r="G279" t="s">
        <v>937</v>
      </c>
      <c r="H279" s="1">
        <v>43205</v>
      </c>
      <c r="I279" s="2"/>
    </row>
    <row r="280" spans="1:9" x14ac:dyDescent="0.35">
      <c r="A280" t="s">
        <v>310</v>
      </c>
      <c r="B280" t="s">
        <v>21</v>
      </c>
      <c r="C280" t="s">
        <v>19</v>
      </c>
      <c r="D280" t="s">
        <v>20</v>
      </c>
      <c r="E280">
        <v>13</v>
      </c>
      <c r="F280" t="s">
        <v>31</v>
      </c>
      <c r="G280" t="s">
        <v>937</v>
      </c>
      <c r="H280" s="1">
        <v>43198</v>
      </c>
      <c r="I280" s="2"/>
    </row>
    <row r="281" spans="1:9" x14ac:dyDescent="0.35">
      <c r="A281" t="s">
        <v>311</v>
      </c>
      <c r="B281" t="s">
        <v>16</v>
      </c>
      <c r="C281" t="s">
        <v>26</v>
      </c>
      <c r="D281" t="s">
        <v>20</v>
      </c>
      <c r="E281">
        <v>15</v>
      </c>
      <c r="F281" t="s">
        <v>44</v>
      </c>
      <c r="G281" t="s">
        <v>937</v>
      </c>
      <c r="H281" s="1">
        <v>43644</v>
      </c>
      <c r="I281" s="2"/>
    </row>
    <row r="282" spans="1:9" x14ac:dyDescent="0.35">
      <c r="A282" t="s">
        <v>312</v>
      </c>
      <c r="B282" t="s">
        <v>16</v>
      </c>
      <c r="C282" t="s">
        <v>26</v>
      </c>
      <c r="D282" t="s">
        <v>33</v>
      </c>
      <c r="E282">
        <v>5</v>
      </c>
      <c r="F282" t="s">
        <v>24</v>
      </c>
      <c r="G282" t="s">
        <v>936</v>
      </c>
      <c r="H282" s="1">
        <v>44723</v>
      </c>
      <c r="I282" s="2"/>
    </row>
    <row r="283" spans="1:9" x14ac:dyDescent="0.35">
      <c r="A283" t="s">
        <v>313</v>
      </c>
      <c r="B283" t="s">
        <v>21</v>
      </c>
      <c r="C283" t="s">
        <v>29</v>
      </c>
      <c r="D283" t="s">
        <v>15</v>
      </c>
      <c r="E283">
        <v>13</v>
      </c>
      <c r="F283" t="s">
        <v>17</v>
      </c>
      <c r="G283" t="s">
        <v>936</v>
      </c>
      <c r="H283" s="1">
        <v>42707</v>
      </c>
      <c r="I283" s="2"/>
    </row>
    <row r="284" spans="1:9" x14ac:dyDescent="0.35">
      <c r="A284" t="s">
        <v>314</v>
      </c>
      <c r="B284" t="s">
        <v>21</v>
      </c>
      <c r="C284" t="s">
        <v>35</v>
      </c>
      <c r="D284" t="s">
        <v>15</v>
      </c>
      <c r="E284">
        <v>2</v>
      </c>
      <c r="F284" t="s">
        <v>17</v>
      </c>
      <c r="G284" t="s">
        <v>936</v>
      </c>
      <c r="H284" s="1">
        <v>43434</v>
      </c>
      <c r="I284" s="2"/>
    </row>
    <row r="285" spans="1:9" x14ac:dyDescent="0.35">
      <c r="A285" t="s">
        <v>315</v>
      </c>
      <c r="B285" t="s">
        <v>16</v>
      </c>
      <c r="C285" t="s">
        <v>29</v>
      </c>
      <c r="D285" t="s">
        <v>15</v>
      </c>
      <c r="E285">
        <v>6</v>
      </c>
      <c r="F285" t="s">
        <v>24</v>
      </c>
      <c r="G285" t="s">
        <v>936</v>
      </c>
      <c r="H285" s="1">
        <v>44703</v>
      </c>
      <c r="I285" s="2"/>
    </row>
    <row r="286" spans="1:9" x14ac:dyDescent="0.35">
      <c r="A286" t="s">
        <v>316</v>
      </c>
      <c r="B286" t="s">
        <v>21</v>
      </c>
      <c r="C286" t="s">
        <v>29</v>
      </c>
      <c r="D286" t="s">
        <v>43</v>
      </c>
      <c r="E286">
        <v>2</v>
      </c>
      <c r="F286" t="s">
        <v>27</v>
      </c>
      <c r="G286" t="s">
        <v>936</v>
      </c>
      <c r="H286" s="1">
        <v>44333</v>
      </c>
      <c r="I286" s="2"/>
    </row>
    <row r="287" spans="1:9" x14ac:dyDescent="0.35">
      <c r="A287" t="s">
        <v>317</v>
      </c>
      <c r="B287" t="s">
        <v>21</v>
      </c>
      <c r="C287" t="s">
        <v>29</v>
      </c>
      <c r="D287" t="s">
        <v>43</v>
      </c>
      <c r="E287">
        <v>3</v>
      </c>
      <c r="F287" t="s">
        <v>37</v>
      </c>
      <c r="G287" t="s">
        <v>936</v>
      </c>
      <c r="H287" s="1">
        <v>42432</v>
      </c>
      <c r="I287" s="2"/>
    </row>
    <row r="288" spans="1:9" x14ac:dyDescent="0.35">
      <c r="A288" t="s">
        <v>318</v>
      </c>
      <c r="B288" t="s">
        <v>21</v>
      </c>
      <c r="C288" t="s">
        <v>29</v>
      </c>
      <c r="D288" t="s">
        <v>33</v>
      </c>
      <c r="E288">
        <v>0</v>
      </c>
      <c r="F288" t="s">
        <v>31</v>
      </c>
      <c r="G288" t="s">
        <v>937</v>
      </c>
      <c r="H288" s="1">
        <v>44392</v>
      </c>
      <c r="I288" s="2"/>
    </row>
    <row r="289" spans="1:9" x14ac:dyDescent="0.35">
      <c r="A289" t="s">
        <v>319</v>
      </c>
      <c r="B289" t="s">
        <v>16</v>
      </c>
      <c r="C289" t="s">
        <v>14</v>
      </c>
      <c r="D289" t="s">
        <v>33</v>
      </c>
      <c r="E289">
        <v>6</v>
      </c>
      <c r="F289" t="s">
        <v>70</v>
      </c>
      <c r="G289" t="s">
        <v>937</v>
      </c>
      <c r="H289" s="1">
        <v>43105</v>
      </c>
      <c r="I289" s="2"/>
    </row>
    <row r="290" spans="1:9" x14ac:dyDescent="0.35">
      <c r="A290" t="s">
        <v>320</v>
      </c>
      <c r="B290" t="s">
        <v>21</v>
      </c>
      <c r="C290" t="s">
        <v>26</v>
      </c>
      <c r="D290" t="s">
        <v>20</v>
      </c>
      <c r="E290">
        <v>9</v>
      </c>
      <c r="F290" t="s">
        <v>24</v>
      </c>
      <c r="G290" t="s">
        <v>936</v>
      </c>
      <c r="H290" s="1">
        <v>43736</v>
      </c>
      <c r="I290" s="2"/>
    </row>
    <row r="291" spans="1:9" x14ac:dyDescent="0.35">
      <c r="A291" t="s">
        <v>321</v>
      </c>
      <c r="B291" t="s">
        <v>16</v>
      </c>
      <c r="C291" t="s">
        <v>35</v>
      </c>
      <c r="D291" t="s">
        <v>15</v>
      </c>
      <c r="E291">
        <v>1</v>
      </c>
      <c r="F291" t="s">
        <v>27</v>
      </c>
      <c r="G291" t="s">
        <v>936</v>
      </c>
      <c r="H291" s="1">
        <v>43408</v>
      </c>
      <c r="I291" s="2"/>
    </row>
    <row r="292" spans="1:9" x14ac:dyDescent="0.35">
      <c r="A292" t="s">
        <v>322</v>
      </c>
      <c r="B292" t="s">
        <v>16</v>
      </c>
      <c r="C292" t="s">
        <v>29</v>
      </c>
      <c r="D292" t="s">
        <v>43</v>
      </c>
      <c r="E292">
        <v>11</v>
      </c>
      <c r="F292" t="s">
        <v>31</v>
      </c>
      <c r="G292" t="s">
        <v>937</v>
      </c>
      <c r="H292" s="1">
        <v>44764</v>
      </c>
      <c r="I292" s="2"/>
    </row>
    <row r="293" spans="1:9" x14ac:dyDescent="0.35">
      <c r="A293" t="s">
        <v>323</v>
      </c>
      <c r="B293" t="s">
        <v>16</v>
      </c>
      <c r="C293" t="s">
        <v>29</v>
      </c>
      <c r="D293" t="s">
        <v>33</v>
      </c>
      <c r="E293">
        <v>10</v>
      </c>
      <c r="F293" t="s">
        <v>27</v>
      </c>
      <c r="G293" t="s">
        <v>936</v>
      </c>
      <c r="H293" s="1">
        <v>44068</v>
      </c>
      <c r="I293" s="2"/>
    </row>
    <row r="294" spans="1:9" x14ac:dyDescent="0.35">
      <c r="A294" t="s">
        <v>324</v>
      </c>
      <c r="B294" t="s">
        <v>21</v>
      </c>
      <c r="C294" t="s">
        <v>26</v>
      </c>
      <c r="D294" t="s">
        <v>15</v>
      </c>
      <c r="E294">
        <v>10</v>
      </c>
      <c r="F294" t="s">
        <v>22</v>
      </c>
      <c r="G294" t="s">
        <v>937</v>
      </c>
      <c r="H294" s="1">
        <v>43592</v>
      </c>
      <c r="I294" s="2"/>
    </row>
    <row r="295" spans="1:9" x14ac:dyDescent="0.35">
      <c r="A295" t="s">
        <v>325</v>
      </c>
      <c r="B295" t="s">
        <v>21</v>
      </c>
      <c r="C295" t="s">
        <v>26</v>
      </c>
      <c r="D295" t="s">
        <v>43</v>
      </c>
      <c r="E295">
        <v>5</v>
      </c>
      <c r="F295" t="s">
        <v>31</v>
      </c>
      <c r="G295" t="s">
        <v>937</v>
      </c>
      <c r="H295" s="1">
        <v>42845</v>
      </c>
      <c r="I295" s="2"/>
    </row>
    <row r="296" spans="1:9" x14ac:dyDescent="0.35">
      <c r="A296" t="s">
        <v>326</v>
      </c>
      <c r="B296" t="s">
        <v>16</v>
      </c>
      <c r="C296" t="s">
        <v>29</v>
      </c>
      <c r="D296" t="s">
        <v>20</v>
      </c>
      <c r="E296">
        <v>3</v>
      </c>
      <c r="F296" t="s">
        <v>37</v>
      </c>
      <c r="G296" t="s">
        <v>936</v>
      </c>
      <c r="H296" s="1">
        <v>44332</v>
      </c>
      <c r="I296" s="2"/>
    </row>
    <row r="297" spans="1:9" x14ac:dyDescent="0.35">
      <c r="A297" t="s">
        <v>327</v>
      </c>
      <c r="B297" t="s">
        <v>21</v>
      </c>
      <c r="C297" t="s">
        <v>35</v>
      </c>
      <c r="D297" t="s">
        <v>15</v>
      </c>
      <c r="E297">
        <v>5</v>
      </c>
      <c r="F297" t="s">
        <v>17</v>
      </c>
      <c r="G297" t="s">
        <v>936</v>
      </c>
      <c r="H297" s="1">
        <v>44331</v>
      </c>
      <c r="I297" s="2"/>
    </row>
    <row r="298" spans="1:9" x14ac:dyDescent="0.35">
      <c r="A298" t="s">
        <v>328</v>
      </c>
      <c r="B298" t="s">
        <v>16</v>
      </c>
      <c r="C298" t="s">
        <v>26</v>
      </c>
      <c r="D298" t="s">
        <v>43</v>
      </c>
      <c r="E298">
        <v>6</v>
      </c>
      <c r="F298" t="s">
        <v>22</v>
      </c>
      <c r="G298" t="s">
        <v>937</v>
      </c>
      <c r="H298" s="1">
        <v>45053</v>
      </c>
      <c r="I298" s="2"/>
    </row>
    <row r="299" spans="1:9" x14ac:dyDescent="0.35">
      <c r="A299" t="s">
        <v>329</v>
      </c>
      <c r="B299" t="s">
        <v>21</v>
      </c>
      <c r="C299" t="s">
        <v>14</v>
      </c>
      <c r="D299" t="s">
        <v>43</v>
      </c>
      <c r="E299">
        <v>2</v>
      </c>
      <c r="F299" t="s">
        <v>44</v>
      </c>
      <c r="G299" t="s">
        <v>937</v>
      </c>
      <c r="H299" s="1">
        <v>45414</v>
      </c>
      <c r="I299" s="2"/>
    </row>
    <row r="300" spans="1:9" x14ac:dyDescent="0.35">
      <c r="A300" t="s">
        <v>330</v>
      </c>
      <c r="B300" t="s">
        <v>16</v>
      </c>
      <c r="C300" t="s">
        <v>14</v>
      </c>
      <c r="D300" t="s">
        <v>33</v>
      </c>
      <c r="E300">
        <v>11</v>
      </c>
      <c r="F300" t="s">
        <v>37</v>
      </c>
      <c r="G300" t="s">
        <v>936</v>
      </c>
      <c r="H300" s="1">
        <v>45306</v>
      </c>
      <c r="I300" s="2"/>
    </row>
    <row r="301" spans="1:9" x14ac:dyDescent="0.35">
      <c r="A301" t="s">
        <v>331</v>
      </c>
      <c r="B301" t="s">
        <v>16</v>
      </c>
      <c r="C301" t="s">
        <v>35</v>
      </c>
      <c r="D301" t="s">
        <v>33</v>
      </c>
      <c r="E301">
        <v>9</v>
      </c>
      <c r="F301" t="s">
        <v>44</v>
      </c>
      <c r="G301" t="s">
        <v>937</v>
      </c>
      <c r="H301" s="1">
        <v>43967</v>
      </c>
      <c r="I301" s="2"/>
    </row>
    <row r="302" spans="1:9" x14ac:dyDescent="0.35">
      <c r="A302" t="s">
        <v>332</v>
      </c>
      <c r="B302" t="s">
        <v>16</v>
      </c>
      <c r="C302" t="s">
        <v>14</v>
      </c>
      <c r="D302" t="s">
        <v>43</v>
      </c>
      <c r="E302">
        <v>1</v>
      </c>
      <c r="F302" t="s">
        <v>22</v>
      </c>
      <c r="G302" t="s">
        <v>937</v>
      </c>
      <c r="H302" s="1">
        <v>43879</v>
      </c>
      <c r="I302" s="2"/>
    </row>
    <row r="303" spans="1:9" x14ac:dyDescent="0.35">
      <c r="A303" t="s">
        <v>333</v>
      </c>
      <c r="B303" t="s">
        <v>16</v>
      </c>
      <c r="C303" t="s">
        <v>19</v>
      </c>
      <c r="D303" t="s">
        <v>43</v>
      </c>
      <c r="E303">
        <v>13</v>
      </c>
      <c r="F303" t="s">
        <v>31</v>
      </c>
      <c r="G303" t="s">
        <v>937</v>
      </c>
      <c r="H303" s="1">
        <v>43420</v>
      </c>
      <c r="I303" s="2"/>
    </row>
    <row r="304" spans="1:9" x14ac:dyDescent="0.35">
      <c r="A304" t="s">
        <v>334</v>
      </c>
      <c r="B304" t="s">
        <v>21</v>
      </c>
      <c r="C304" t="s">
        <v>35</v>
      </c>
      <c r="D304" t="s">
        <v>15</v>
      </c>
      <c r="E304">
        <v>6</v>
      </c>
      <c r="F304" t="s">
        <v>27</v>
      </c>
      <c r="G304" t="s">
        <v>936</v>
      </c>
      <c r="H304" s="1">
        <v>42872</v>
      </c>
      <c r="I304" s="2"/>
    </row>
    <row r="305" spans="1:9" x14ac:dyDescent="0.35">
      <c r="A305" t="s">
        <v>335</v>
      </c>
      <c r="B305" t="s">
        <v>21</v>
      </c>
      <c r="C305" t="s">
        <v>29</v>
      </c>
      <c r="D305" t="s">
        <v>33</v>
      </c>
      <c r="E305">
        <v>6</v>
      </c>
      <c r="F305" t="s">
        <v>17</v>
      </c>
      <c r="G305" t="s">
        <v>936</v>
      </c>
      <c r="H305" s="1">
        <v>44705</v>
      </c>
      <c r="I305" s="2"/>
    </row>
    <row r="306" spans="1:9" x14ac:dyDescent="0.35">
      <c r="A306" t="s">
        <v>336</v>
      </c>
      <c r="B306" t="s">
        <v>21</v>
      </c>
      <c r="C306" t="s">
        <v>26</v>
      </c>
      <c r="D306" t="s">
        <v>15</v>
      </c>
      <c r="E306">
        <v>8</v>
      </c>
      <c r="F306" t="s">
        <v>70</v>
      </c>
      <c r="G306" t="s">
        <v>937</v>
      </c>
      <c r="H306" s="1">
        <v>43489</v>
      </c>
      <c r="I306" s="2"/>
    </row>
    <row r="307" spans="1:9" x14ac:dyDescent="0.35">
      <c r="A307" t="s">
        <v>337</v>
      </c>
      <c r="B307" t="s">
        <v>21</v>
      </c>
      <c r="C307" t="s">
        <v>35</v>
      </c>
      <c r="D307" t="s">
        <v>33</v>
      </c>
      <c r="E307">
        <v>9</v>
      </c>
      <c r="F307" t="s">
        <v>22</v>
      </c>
      <c r="G307" t="s">
        <v>937</v>
      </c>
      <c r="H307" s="1">
        <v>44306</v>
      </c>
      <c r="I307" s="2"/>
    </row>
    <row r="308" spans="1:9" x14ac:dyDescent="0.35">
      <c r="A308" t="s">
        <v>338</v>
      </c>
      <c r="B308" t="s">
        <v>16</v>
      </c>
      <c r="C308" t="s">
        <v>26</v>
      </c>
      <c r="D308" t="s">
        <v>20</v>
      </c>
      <c r="E308">
        <v>0</v>
      </c>
      <c r="F308" t="s">
        <v>22</v>
      </c>
      <c r="G308" t="s">
        <v>937</v>
      </c>
      <c r="H308" s="1">
        <v>42860</v>
      </c>
      <c r="I308" s="2"/>
    </row>
    <row r="309" spans="1:9" x14ac:dyDescent="0.35">
      <c r="A309" t="s">
        <v>339</v>
      </c>
      <c r="B309" t="s">
        <v>21</v>
      </c>
      <c r="C309" t="s">
        <v>14</v>
      </c>
      <c r="D309" t="s">
        <v>43</v>
      </c>
      <c r="E309">
        <v>8</v>
      </c>
      <c r="F309" t="s">
        <v>70</v>
      </c>
      <c r="G309" t="s">
        <v>937</v>
      </c>
      <c r="H309" s="1">
        <v>45023</v>
      </c>
      <c r="I309" s="2"/>
    </row>
    <row r="310" spans="1:9" x14ac:dyDescent="0.35">
      <c r="A310" t="s">
        <v>340</v>
      </c>
      <c r="B310" t="s">
        <v>21</v>
      </c>
      <c r="C310" t="s">
        <v>26</v>
      </c>
      <c r="D310" t="s">
        <v>20</v>
      </c>
      <c r="E310">
        <v>13</v>
      </c>
      <c r="F310" t="s">
        <v>24</v>
      </c>
      <c r="G310" t="s">
        <v>936</v>
      </c>
      <c r="H310" s="1">
        <v>43373</v>
      </c>
      <c r="I310" s="2"/>
    </row>
    <row r="311" spans="1:9" x14ac:dyDescent="0.35">
      <c r="A311" t="s">
        <v>341</v>
      </c>
      <c r="B311" t="s">
        <v>21</v>
      </c>
      <c r="C311" t="s">
        <v>29</v>
      </c>
      <c r="D311" t="s">
        <v>33</v>
      </c>
      <c r="E311">
        <v>3</v>
      </c>
      <c r="F311" t="s">
        <v>31</v>
      </c>
      <c r="G311" t="s">
        <v>937</v>
      </c>
      <c r="H311" s="1">
        <v>43115</v>
      </c>
      <c r="I311" s="2"/>
    </row>
    <row r="312" spans="1:9" x14ac:dyDescent="0.35">
      <c r="A312" t="s">
        <v>342</v>
      </c>
      <c r="B312" t="s">
        <v>21</v>
      </c>
      <c r="C312" t="s">
        <v>29</v>
      </c>
      <c r="D312" t="s">
        <v>20</v>
      </c>
      <c r="E312">
        <v>6</v>
      </c>
      <c r="F312" t="s">
        <v>27</v>
      </c>
      <c r="G312" t="s">
        <v>936</v>
      </c>
      <c r="H312" s="1">
        <v>42046</v>
      </c>
      <c r="I312" s="2"/>
    </row>
    <row r="313" spans="1:9" x14ac:dyDescent="0.35">
      <c r="A313" t="s">
        <v>343</v>
      </c>
      <c r="B313" t="s">
        <v>21</v>
      </c>
      <c r="C313" t="s">
        <v>26</v>
      </c>
      <c r="D313" t="s">
        <v>33</v>
      </c>
      <c r="E313">
        <v>9</v>
      </c>
      <c r="F313" t="s">
        <v>17</v>
      </c>
      <c r="G313" t="s">
        <v>936</v>
      </c>
      <c r="H313" s="1">
        <v>44376</v>
      </c>
      <c r="I313" s="2"/>
    </row>
    <row r="314" spans="1:9" x14ac:dyDescent="0.35">
      <c r="A314" t="s">
        <v>344</v>
      </c>
      <c r="B314" t="s">
        <v>21</v>
      </c>
      <c r="C314" t="s">
        <v>29</v>
      </c>
      <c r="D314" t="s">
        <v>20</v>
      </c>
      <c r="E314">
        <v>5</v>
      </c>
      <c r="F314" t="s">
        <v>27</v>
      </c>
      <c r="G314" t="s">
        <v>936</v>
      </c>
      <c r="H314" s="1">
        <v>44187</v>
      </c>
      <c r="I314" s="2"/>
    </row>
    <row r="315" spans="1:9" x14ac:dyDescent="0.35">
      <c r="A315" t="s">
        <v>345</v>
      </c>
      <c r="B315" t="s">
        <v>21</v>
      </c>
      <c r="C315" t="s">
        <v>29</v>
      </c>
      <c r="D315" t="s">
        <v>20</v>
      </c>
      <c r="E315">
        <v>6</v>
      </c>
      <c r="F315" t="s">
        <v>24</v>
      </c>
      <c r="G315" t="s">
        <v>936</v>
      </c>
      <c r="H315" s="1">
        <v>44456</v>
      </c>
      <c r="I315" s="2"/>
    </row>
    <row r="316" spans="1:9" x14ac:dyDescent="0.35">
      <c r="A316" t="s">
        <v>346</v>
      </c>
      <c r="B316" t="s">
        <v>16</v>
      </c>
      <c r="C316" t="s">
        <v>35</v>
      </c>
      <c r="D316" t="s">
        <v>43</v>
      </c>
      <c r="E316">
        <v>1</v>
      </c>
      <c r="F316" t="s">
        <v>37</v>
      </c>
      <c r="G316" t="s">
        <v>936</v>
      </c>
      <c r="H316" s="1">
        <v>43658</v>
      </c>
      <c r="I316" s="2"/>
    </row>
    <row r="317" spans="1:9" x14ac:dyDescent="0.35">
      <c r="A317" t="s">
        <v>347</v>
      </c>
      <c r="B317" t="s">
        <v>21</v>
      </c>
      <c r="C317" t="s">
        <v>35</v>
      </c>
      <c r="D317" t="s">
        <v>20</v>
      </c>
      <c r="E317">
        <v>0</v>
      </c>
      <c r="F317" t="s">
        <v>44</v>
      </c>
      <c r="G317" t="s">
        <v>937</v>
      </c>
      <c r="H317" s="1">
        <v>44479</v>
      </c>
      <c r="I317" s="2"/>
    </row>
    <row r="318" spans="1:9" x14ac:dyDescent="0.35">
      <c r="A318" t="s">
        <v>348</v>
      </c>
      <c r="B318" t="s">
        <v>21</v>
      </c>
      <c r="C318" t="s">
        <v>35</v>
      </c>
      <c r="D318" t="s">
        <v>33</v>
      </c>
      <c r="E318">
        <v>12</v>
      </c>
      <c r="F318" t="s">
        <v>70</v>
      </c>
      <c r="G318" t="s">
        <v>937</v>
      </c>
      <c r="H318" s="1">
        <v>43941</v>
      </c>
      <c r="I318" s="2"/>
    </row>
    <row r="319" spans="1:9" x14ac:dyDescent="0.35">
      <c r="A319" t="s">
        <v>349</v>
      </c>
      <c r="B319" t="s">
        <v>21</v>
      </c>
      <c r="C319" t="s">
        <v>26</v>
      </c>
      <c r="D319" t="s">
        <v>33</v>
      </c>
      <c r="E319">
        <v>12</v>
      </c>
      <c r="F319" t="s">
        <v>17</v>
      </c>
      <c r="G319" t="s">
        <v>936</v>
      </c>
      <c r="H319" s="1">
        <v>42416</v>
      </c>
      <c r="I319" s="2"/>
    </row>
    <row r="320" spans="1:9" x14ac:dyDescent="0.35">
      <c r="A320" t="s">
        <v>350</v>
      </c>
      <c r="B320" t="s">
        <v>16</v>
      </c>
      <c r="C320" t="s">
        <v>26</v>
      </c>
      <c r="D320" t="s">
        <v>43</v>
      </c>
      <c r="E320">
        <v>13</v>
      </c>
      <c r="F320" t="s">
        <v>37</v>
      </c>
      <c r="G320" t="s">
        <v>936</v>
      </c>
      <c r="H320" s="1">
        <v>42418</v>
      </c>
      <c r="I320" s="2"/>
    </row>
    <row r="321" spans="1:9" x14ac:dyDescent="0.35">
      <c r="A321" t="s">
        <v>351</v>
      </c>
      <c r="B321" t="s">
        <v>16</v>
      </c>
      <c r="C321" t="s">
        <v>29</v>
      </c>
      <c r="D321" t="s">
        <v>43</v>
      </c>
      <c r="E321">
        <v>8</v>
      </c>
      <c r="F321" t="s">
        <v>17</v>
      </c>
      <c r="G321" t="s">
        <v>936</v>
      </c>
      <c r="H321" s="1">
        <v>44676</v>
      </c>
      <c r="I321" s="2"/>
    </row>
    <row r="322" spans="1:9" x14ac:dyDescent="0.35">
      <c r="A322" t="s">
        <v>352</v>
      </c>
      <c r="B322" t="s">
        <v>21</v>
      </c>
      <c r="C322" t="s">
        <v>26</v>
      </c>
      <c r="D322" t="s">
        <v>43</v>
      </c>
      <c r="E322">
        <v>3</v>
      </c>
      <c r="F322" t="s">
        <v>44</v>
      </c>
      <c r="G322" t="s">
        <v>937</v>
      </c>
      <c r="H322" s="1">
        <v>45088</v>
      </c>
      <c r="I322" s="2"/>
    </row>
    <row r="323" spans="1:9" x14ac:dyDescent="0.35">
      <c r="A323" t="s">
        <v>353</v>
      </c>
      <c r="B323" t="s">
        <v>21</v>
      </c>
      <c r="C323" t="s">
        <v>35</v>
      </c>
      <c r="D323" t="s">
        <v>15</v>
      </c>
      <c r="E323">
        <v>3</v>
      </c>
      <c r="F323" t="s">
        <v>37</v>
      </c>
      <c r="G323" t="s">
        <v>936</v>
      </c>
      <c r="H323" s="1">
        <v>43433</v>
      </c>
      <c r="I323" s="2"/>
    </row>
    <row r="324" spans="1:9" x14ac:dyDescent="0.35">
      <c r="A324" t="s">
        <v>354</v>
      </c>
      <c r="B324" t="s">
        <v>16</v>
      </c>
      <c r="C324" t="s">
        <v>29</v>
      </c>
      <c r="D324" t="s">
        <v>15</v>
      </c>
      <c r="E324">
        <v>11</v>
      </c>
      <c r="F324" t="s">
        <v>24</v>
      </c>
      <c r="G324" t="s">
        <v>936</v>
      </c>
      <c r="H324" s="1">
        <v>42718</v>
      </c>
      <c r="I324" s="2"/>
    </row>
    <row r="325" spans="1:9" x14ac:dyDescent="0.35">
      <c r="A325" t="s">
        <v>355</v>
      </c>
      <c r="B325" t="s">
        <v>16</v>
      </c>
      <c r="C325" t="s">
        <v>35</v>
      </c>
      <c r="D325" t="s">
        <v>33</v>
      </c>
      <c r="E325">
        <v>10</v>
      </c>
      <c r="F325" t="s">
        <v>31</v>
      </c>
      <c r="G325" t="s">
        <v>937</v>
      </c>
      <c r="H325" s="1">
        <v>44175</v>
      </c>
      <c r="I325" s="2"/>
    </row>
    <row r="326" spans="1:9" x14ac:dyDescent="0.35">
      <c r="A326" t="s">
        <v>356</v>
      </c>
      <c r="B326" t="s">
        <v>21</v>
      </c>
      <c r="C326" t="s">
        <v>26</v>
      </c>
      <c r="D326" t="s">
        <v>15</v>
      </c>
      <c r="E326">
        <v>6</v>
      </c>
      <c r="F326" t="s">
        <v>17</v>
      </c>
      <c r="G326" t="s">
        <v>936</v>
      </c>
      <c r="H326" s="1">
        <v>42863</v>
      </c>
      <c r="I326" s="2"/>
    </row>
    <row r="327" spans="1:9" x14ac:dyDescent="0.35">
      <c r="A327" t="s">
        <v>357</v>
      </c>
      <c r="B327" t="s">
        <v>21</v>
      </c>
      <c r="C327" t="s">
        <v>35</v>
      </c>
      <c r="D327" t="s">
        <v>33</v>
      </c>
      <c r="E327">
        <v>14</v>
      </c>
      <c r="F327" t="s">
        <v>31</v>
      </c>
      <c r="G327" t="s">
        <v>937</v>
      </c>
      <c r="H327" s="1">
        <v>43712</v>
      </c>
      <c r="I327" s="2"/>
    </row>
    <row r="328" spans="1:9" x14ac:dyDescent="0.35">
      <c r="A328" t="s">
        <v>358</v>
      </c>
      <c r="B328" t="s">
        <v>21</v>
      </c>
      <c r="C328" t="s">
        <v>19</v>
      </c>
      <c r="D328" t="s">
        <v>43</v>
      </c>
      <c r="E328">
        <v>11</v>
      </c>
      <c r="F328" t="s">
        <v>22</v>
      </c>
      <c r="G328" t="s">
        <v>937</v>
      </c>
      <c r="H328" s="1">
        <v>43955</v>
      </c>
      <c r="I328" s="2"/>
    </row>
    <row r="329" spans="1:9" x14ac:dyDescent="0.35">
      <c r="A329" t="s">
        <v>359</v>
      </c>
      <c r="B329" t="s">
        <v>21</v>
      </c>
      <c r="C329" t="s">
        <v>14</v>
      </c>
      <c r="D329" t="s">
        <v>20</v>
      </c>
      <c r="E329">
        <v>13</v>
      </c>
      <c r="F329" t="s">
        <v>44</v>
      </c>
      <c r="G329" t="s">
        <v>937</v>
      </c>
      <c r="H329" s="1">
        <v>44708</v>
      </c>
      <c r="I329" s="2"/>
    </row>
    <row r="330" spans="1:9" x14ac:dyDescent="0.35">
      <c r="A330" t="s">
        <v>360</v>
      </c>
      <c r="B330" t="s">
        <v>21</v>
      </c>
      <c r="C330" t="s">
        <v>35</v>
      </c>
      <c r="D330" t="s">
        <v>15</v>
      </c>
      <c r="E330">
        <v>6</v>
      </c>
      <c r="F330" t="s">
        <v>44</v>
      </c>
      <c r="G330" t="s">
        <v>937</v>
      </c>
      <c r="H330" s="1">
        <v>45278</v>
      </c>
      <c r="I330" s="2"/>
    </row>
    <row r="331" spans="1:9" x14ac:dyDescent="0.35">
      <c r="A331" t="s">
        <v>361</v>
      </c>
      <c r="B331" t="s">
        <v>16</v>
      </c>
      <c r="C331" t="s">
        <v>35</v>
      </c>
      <c r="D331" t="s">
        <v>33</v>
      </c>
      <c r="E331">
        <v>9</v>
      </c>
      <c r="F331" t="s">
        <v>27</v>
      </c>
      <c r="G331" t="s">
        <v>936</v>
      </c>
      <c r="H331" s="1">
        <v>45232</v>
      </c>
      <c r="I331" s="2"/>
    </row>
    <row r="332" spans="1:9" x14ac:dyDescent="0.35">
      <c r="A332" t="s">
        <v>362</v>
      </c>
      <c r="B332" t="s">
        <v>21</v>
      </c>
      <c r="C332" t="s">
        <v>19</v>
      </c>
      <c r="D332" t="s">
        <v>20</v>
      </c>
      <c r="E332">
        <v>1</v>
      </c>
      <c r="F332" t="s">
        <v>17</v>
      </c>
      <c r="G332" t="s">
        <v>936</v>
      </c>
      <c r="H332" s="1">
        <v>44475</v>
      </c>
      <c r="I332" s="2"/>
    </row>
    <row r="333" spans="1:9" x14ac:dyDescent="0.35">
      <c r="A333" t="s">
        <v>363</v>
      </c>
      <c r="B333" t="s">
        <v>21</v>
      </c>
      <c r="C333" t="s">
        <v>19</v>
      </c>
      <c r="D333" t="s">
        <v>20</v>
      </c>
      <c r="E333">
        <v>2</v>
      </c>
      <c r="F333" t="s">
        <v>44</v>
      </c>
      <c r="G333" t="s">
        <v>937</v>
      </c>
      <c r="H333" s="1">
        <v>42592</v>
      </c>
      <c r="I333" s="2"/>
    </row>
    <row r="334" spans="1:9" x14ac:dyDescent="0.35">
      <c r="A334" t="s">
        <v>364</v>
      </c>
      <c r="B334" t="s">
        <v>16</v>
      </c>
      <c r="C334" t="s">
        <v>14</v>
      </c>
      <c r="D334" t="s">
        <v>20</v>
      </c>
      <c r="E334">
        <v>9</v>
      </c>
      <c r="F334" t="s">
        <v>27</v>
      </c>
      <c r="G334" t="s">
        <v>936</v>
      </c>
      <c r="H334" s="1">
        <v>43586</v>
      </c>
      <c r="I334" s="2"/>
    </row>
    <row r="335" spans="1:9" x14ac:dyDescent="0.35">
      <c r="A335" t="s">
        <v>365</v>
      </c>
      <c r="B335" t="s">
        <v>16</v>
      </c>
      <c r="C335" t="s">
        <v>26</v>
      </c>
      <c r="D335" t="s">
        <v>43</v>
      </c>
      <c r="E335">
        <v>12</v>
      </c>
      <c r="F335" t="s">
        <v>17</v>
      </c>
      <c r="G335" t="s">
        <v>936</v>
      </c>
      <c r="H335" s="1">
        <v>44934</v>
      </c>
      <c r="I335" s="2"/>
    </row>
    <row r="336" spans="1:9" x14ac:dyDescent="0.35">
      <c r="A336" t="s">
        <v>366</v>
      </c>
      <c r="B336" t="s">
        <v>16</v>
      </c>
      <c r="C336" t="s">
        <v>29</v>
      </c>
      <c r="D336" t="s">
        <v>20</v>
      </c>
      <c r="E336">
        <v>14</v>
      </c>
      <c r="F336" t="s">
        <v>31</v>
      </c>
      <c r="G336" t="s">
        <v>937</v>
      </c>
      <c r="H336" s="1">
        <v>44185</v>
      </c>
      <c r="I336" s="2"/>
    </row>
    <row r="337" spans="1:9" x14ac:dyDescent="0.35">
      <c r="A337" t="s">
        <v>367</v>
      </c>
      <c r="B337" t="s">
        <v>16</v>
      </c>
      <c r="C337" t="s">
        <v>19</v>
      </c>
      <c r="D337" t="s">
        <v>33</v>
      </c>
      <c r="E337">
        <v>1</v>
      </c>
      <c r="F337" t="s">
        <v>44</v>
      </c>
      <c r="G337" t="s">
        <v>937</v>
      </c>
      <c r="H337" s="1">
        <v>42747</v>
      </c>
      <c r="I337" s="2"/>
    </row>
    <row r="338" spans="1:9" x14ac:dyDescent="0.35">
      <c r="A338" t="s">
        <v>368</v>
      </c>
      <c r="B338" t="s">
        <v>21</v>
      </c>
      <c r="C338" t="s">
        <v>26</v>
      </c>
      <c r="D338" t="s">
        <v>33</v>
      </c>
      <c r="E338">
        <v>2</v>
      </c>
      <c r="F338" t="s">
        <v>70</v>
      </c>
      <c r="G338" t="s">
        <v>937</v>
      </c>
      <c r="H338" s="1">
        <v>45140</v>
      </c>
      <c r="I338" s="2"/>
    </row>
    <row r="339" spans="1:9" x14ac:dyDescent="0.35">
      <c r="A339" t="s">
        <v>369</v>
      </c>
      <c r="B339" t="s">
        <v>16</v>
      </c>
      <c r="C339" t="s">
        <v>14</v>
      </c>
      <c r="D339" t="s">
        <v>43</v>
      </c>
      <c r="E339">
        <v>14</v>
      </c>
      <c r="F339" t="s">
        <v>27</v>
      </c>
      <c r="G339" t="s">
        <v>936</v>
      </c>
      <c r="H339" s="1">
        <v>44934</v>
      </c>
      <c r="I339" s="2"/>
    </row>
    <row r="340" spans="1:9" x14ac:dyDescent="0.35">
      <c r="A340" t="s">
        <v>370</v>
      </c>
      <c r="B340" t="s">
        <v>21</v>
      </c>
      <c r="C340" t="s">
        <v>29</v>
      </c>
      <c r="D340" t="s">
        <v>20</v>
      </c>
      <c r="E340">
        <v>13</v>
      </c>
      <c r="F340" t="s">
        <v>17</v>
      </c>
      <c r="G340" t="s">
        <v>936</v>
      </c>
      <c r="H340" s="1">
        <v>42335</v>
      </c>
      <c r="I340" s="2"/>
    </row>
    <row r="341" spans="1:9" x14ac:dyDescent="0.35">
      <c r="A341" t="s">
        <v>371</v>
      </c>
      <c r="B341" t="s">
        <v>21</v>
      </c>
      <c r="C341" t="s">
        <v>14</v>
      </c>
      <c r="D341" t="s">
        <v>15</v>
      </c>
      <c r="E341">
        <v>8</v>
      </c>
      <c r="F341" t="s">
        <v>17</v>
      </c>
      <c r="G341" t="s">
        <v>936</v>
      </c>
      <c r="H341" s="1">
        <v>45094</v>
      </c>
      <c r="I341" s="2"/>
    </row>
    <row r="342" spans="1:9" x14ac:dyDescent="0.35">
      <c r="A342" t="s">
        <v>372</v>
      </c>
      <c r="B342" t="s">
        <v>16</v>
      </c>
      <c r="C342" t="s">
        <v>19</v>
      </c>
      <c r="D342" t="s">
        <v>20</v>
      </c>
      <c r="E342">
        <v>5</v>
      </c>
      <c r="F342" t="s">
        <v>17</v>
      </c>
      <c r="G342" t="s">
        <v>936</v>
      </c>
      <c r="H342" s="1">
        <v>43708</v>
      </c>
      <c r="I342" s="2"/>
    </row>
    <row r="343" spans="1:9" x14ac:dyDescent="0.35">
      <c r="A343" t="s">
        <v>373</v>
      </c>
      <c r="B343" t="s">
        <v>21</v>
      </c>
      <c r="C343" t="s">
        <v>14</v>
      </c>
      <c r="D343" t="s">
        <v>15</v>
      </c>
      <c r="E343">
        <v>10</v>
      </c>
      <c r="F343" t="s">
        <v>22</v>
      </c>
      <c r="G343" t="s">
        <v>937</v>
      </c>
      <c r="H343" s="1">
        <v>45283</v>
      </c>
      <c r="I343" s="2"/>
    </row>
    <row r="344" spans="1:9" x14ac:dyDescent="0.35">
      <c r="A344" t="s">
        <v>374</v>
      </c>
      <c r="B344" t="s">
        <v>16</v>
      </c>
      <c r="C344" t="s">
        <v>14</v>
      </c>
      <c r="D344" t="s">
        <v>43</v>
      </c>
      <c r="E344">
        <v>9</v>
      </c>
      <c r="F344" t="s">
        <v>70</v>
      </c>
      <c r="G344" t="s">
        <v>937</v>
      </c>
      <c r="H344" s="1">
        <v>43812</v>
      </c>
      <c r="I344" s="2"/>
    </row>
    <row r="345" spans="1:9" x14ac:dyDescent="0.35">
      <c r="A345" t="s">
        <v>375</v>
      </c>
      <c r="B345" t="s">
        <v>21</v>
      </c>
      <c r="C345" t="s">
        <v>35</v>
      </c>
      <c r="D345" t="s">
        <v>43</v>
      </c>
      <c r="E345">
        <v>10</v>
      </c>
      <c r="F345" t="s">
        <v>31</v>
      </c>
      <c r="G345" t="s">
        <v>937</v>
      </c>
      <c r="H345" s="1">
        <v>43386</v>
      </c>
      <c r="I345" s="2"/>
    </row>
    <row r="346" spans="1:9" x14ac:dyDescent="0.35">
      <c r="A346" t="s">
        <v>376</v>
      </c>
      <c r="B346" t="s">
        <v>21</v>
      </c>
      <c r="C346" t="s">
        <v>19</v>
      </c>
      <c r="D346" t="s">
        <v>43</v>
      </c>
      <c r="E346">
        <v>13</v>
      </c>
      <c r="F346" t="s">
        <v>27</v>
      </c>
      <c r="G346" t="s">
        <v>936</v>
      </c>
      <c r="H346" s="1">
        <v>44941</v>
      </c>
      <c r="I346" s="2"/>
    </row>
    <row r="347" spans="1:9" x14ac:dyDescent="0.35">
      <c r="A347" t="s">
        <v>377</v>
      </c>
      <c r="B347" t="s">
        <v>16</v>
      </c>
      <c r="C347" t="s">
        <v>14</v>
      </c>
      <c r="D347" t="s">
        <v>33</v>
      </c>
      <c r="E347">
        <v>11</v>
      </c>
      <c r="F347" t="s">
        <v>27</v>
      </c>
      <c r="G347" t="s">
        <v>936</v>
      </c>
      <c r="H347" s="1">
        <v>44867</v>
      </c>
      <c r="I347" s="2"/>
    </row>
    <row r="348" spans="1:9" x14ac:dyDescent="0.35">
      <c r="A348" t="s">
        <v>378</v>
      </c>
      <c r="B348" t="s">
        <v>16</v>
      </c>
      <c r="C348" t="s">
        <v>26</v>
      </c>
      <c r="D348" t="s">
        <v>20</v>
      </c>
      <c r="E348">
        <v>8</v>
      </c>
      <c r="F348" t="s">
        <v>22</v>
      </c>
      <c r="G348" t="s">
        <v>937</v>
      </c>
      <c r="H348" s="1">
        <v>45371</v>
      </c>
      <c r="I348" s="2"/>
    </row>
    <row r="349" spans="1:9" x14ac:dyDescent="0.35">
      <c r="A349" t="s">
        <v>379</v>
      </c>
      <c r="B349" t="s">
        <v>21</v>
      </c>
      <c r="C349" t="s">
        <v>19</v>
      </c>
      <c r="D349" t="s">
        <v>43</v>
      </c>
      <c r="E349">
        <v>1</v>
      </c>
      <c r="F349" t="s">
        <v>17</v>
      </c>
      <c r="G349" t="s">
        <v>936</v>
      </c>
      <c r="H349" s="1">
        <v>44945</v>
      </c>
      <c r="I349" s="2"/>
    </row>
    <row r="350" spans="1:9" x14ac:dyDescent="0.35">
      <c r="A350" t="s">
        <v>380</v>
      </c>
      <c r="B350" t="s">
        <v>21</v>
      </c>
      <c r="C350" t="s">
        <v>19</v>
      </c>
      <c r="D350" t="s">
        <v>20</v>
      </c>
      <c r="E350">
        <v>10</v>
      </c>
      <c r="F350" t="s">
        <v>70</v>
      </c>
      <c r="G350" t="s">
        <v>937</v>
      </c>
      <c r="H350" s="1">
        <v>43629</v>
      </c>
      <c r="I350" s="2"/>
    </row>
    <row r="351" spans="1:9" x14ac:dyDescent="0.35">
      <c r="A351" t="s">
        <v>381</v>
      </c>
      <c r="B351" t="s">
        <v>21</v>
      </c>
      <c r="C351" t="s">
        <v>29</v>
      </c>
      <c r="D351" t="s">
        <v>33</v>
      </c>
      <c r="E351">
        <v>7</v>
      </c>
      <c r="F351" t="s">
        <v>24</v>
      </c>
      <c r="G351" t="s">
        <v>936</v>
      </c>
      <c r="H351" s="1">
        <v>42918</v>
      </c>
      <c r="I351" s="2"/>
    </row>
    <row r="352" spans="1:9" x14ac:dyDescent="0.35">
      <c r="A352" t="s">
        <v>382</v>
      </c>
      <c r="B352" t="s">
        <v>16</v>
      </c>
      <c r="C352" t="s">
        <v>14</v>
      </c>
      <c r="D352" t="s">
        <v>20</v>
      </c>
      <c r="E352">
        <v>11</v>
      </c>
      <c r="F352" t="s">
        <v>27</v>
      </c>
      <c r="G352" t="s">
        <v>936</v>
      </c>
      <c r="H352" s="1">
        <v>43360</v>
      </c>
      <c r="I352" s="2"/>
    </row>
    <row r="353" spans="1:9" x14ac:dyDescent="0.35">
      <c r="A353" t="s">
        <v>383</v>
      </c>
      <c r="B353" t="s">
        <v>16</v>
      </c>
      <c r="C353" t="s">
        <v>14</v>
      </c>
      <c r="D353" t="s">
        <v>20</v>
      </c>
      <c r="E353">
        <v>13</v>
      </c>
      <c r="F353" t="s">
        <v>27</v>
      </c>
      <c r="G353" t="s">
        <v>936</v>
      </c>
      <c r="H353" s="1">
        <v>42835</v>
      </c>
      <c r="I353" s="2"/>
    </row>
    <row r="354" spans="1:9" x14ac:dyDescent="0.35">
      <c r="A354" t="s">
        <v>384</v>
      </c>
      <c r="B354" t="s">
        <v>21</v>
      </c>
      <c r="C354" t="s">
        <v>29</v>
      </c>
      <c r="D354" t="s">
        <v>43</v>
      </c>
      <c r="E354">
        <v>2</v>
      </c>
      <c r="F354" t="s">
        <v>31</v>
      </c>
      <c r="G354" t="s">
        <v>937</v>
      </c>
      <c r="H354" s="1">
        <v>42915</v>
      </c>
      <c r="I354" s="2"/>
    </row>
    <row r="355" spans="1:9" x14ac:dyDescent="0.35">
      <c r="A355" t="s">
        <v>385</v>
      </c>
      <c r="B355" t="s">
        <v>16</v>
      </c>
      <c r="C355" t="s">
        <v>19</v>
      </c>
      <c r="D355" t="s">
        <v>15</v>
      </c>
      <c r="E355">
        <v>13</v>
      </c>
      <c r="F355" t="s">
        <v>22</v>
      </c>
      <c r="G355" t="s">
        <v>937</v>
      </c>
      <c r="H355" s="1">
        <v>42662</v>
      </c>
      <c r="I355" s="2"/>
    </row>
    <row r="356" spans="1:9" x14ac:dyDescent="0.35">
      <c r="A356" t="s">
        <v>386</v>
      </c>
      <c r="B356" t="s">
        <v>21</v>
      </c>
      <c r="C356" t="s">
        <v>14</v>
      </c>
      <c r="D356" t="s">
        <v>15</v>
      </c>
      <c r="E356">
        <v>2</v>
      </c>
      <c r="F356" t="s">
        <v>24</v>
      </c>
      <c r="G356" t="s">
        <v>936</v>
      </c>
      <c r="H356" s="1">
        <v>44705</v>
      </c>
      <c r="I356" s="2"/>
    </row>
    <row r="357" spans="1:9" x14ac:dyDescent="0.35">
      <c r="A357" t="s">
        <v>387</v>
      </c>
      <c r="B357" t="s">
        <v>21</v>
      </c>
      <c r="C357" t="s">
        <v>35</v>
      </c>
      <c r="D357" t="s">
        <v>15</v>
      </c>
      <c r="E357">
        <v>2</v>
      </c>
      <c r="F357" t="s">
        <v>31</v>
      </c>
      <c r="G357" t="s">
        <v>937</v>
      </c>
      <c r="H357" s="1">
        <v>42753</v>
      </c>
      <c r="I357" s="2"/>
    </row>
    <row r="358" spans="1:9" x14ac:dyDescent="0.35">
      <c r="A358" t="s">
        <v>388</v>
      </c>
      <c r="B358" t="s">
        <v>21</v>
      </c>
      <c r="C358" t="s">
        <v>14</v>
      </c>
      <c r="D358" t="s">
        <v>20</v>
      </c>
      <c r="E358">
        <v>5</v>
      </c>
      <c r="F358" t="s">
        <v>24</v>
      </c>
      <c r="G358" t="s">
        <v>936</v>
      </c>
      <c r="H358" s="1">
        <v>44415</v>
      </c>
      <c r="I358" s="2"/>
    </row>
    <row r="359" spans="1:9" x14ac:dyDescent="0.35">
      <c r="A359" t="s">
        <v>389</v>
      </c>
      <c r="B359" t="s">
        <v>16</v>
      </c>
      <c r="C359" t="s">
        <v>14</v>
      </c>
      <c r="D359" t="s">
        <v>20</v>
      </c>
      <c r="E359">
        <v>11</v>
      </c>
      <c r="F359" t="s">
        <v>24</v>
      </c>
      <c r="G359" t="s">
        <v>936</v>
      </c>
      <c r="H359" s="1">
        <v>45114</v>
      </c>
      <c r="I359" s="2"/>
    </row>
    <row r="360" spans="1:9" x14ac:dyDescent="0.35">
      <c r="A360" t="s">
        <v>390</v>
      </c>
      <c r="B360" t="s">
        <v>16</v>
      </c>
      <c r="C360" t="s">
        <v>35</v>
      </c>
      <c r="D360" t="s">
        <v>20</v>
      </c>
      <c r="E360">
        <v>2</v>
      </c>
      <c r="F360" t="s">
        <v>44</v>
      </c>
      <c r="G360" t="s">
        <v>937</v>
      </c>
      <c r="H360" s="1">
        <v>44126</v>
      </c>
      <c r="I360" s="2"/>
    </row>
    <row r="361" spans="1:9" x14ac:dyDescent="0.35">
      <c r="A361" t="s">
        <v>391</v>
      </c>
      <c r="B361" t="s">
        <v>21</v>
      </c>
      <c r="C361" t="s">
        <v>29</v>
      </c>
      <c r="D361" t="s">
        <v>20</v>
      </c>
      <c r="E361">
        <v>7</v>
      </c>
      <c r="F361" t="s">
        <v>31</v>
      </c>
      <c r="G361" t="s">
        <v>937</v>
      </c>
      <c r="H361" s="1">
        <v>44024</v>
      </c>
      <c r="I361" s="2"/>
    </row>
    <row r="362" spans="1:9" x14ac:dyDescent="0.35">
      <c r="A362" t="s">
        <v>392</v>
      </c>
      <c r="B362" t="s">
        <v>21</v>
      </c>
      <c r="C362" t="s">
        <v>14</v>
      </c>
      <c r="D362" t="s">
        <v>15</v>
      </c>
      <c r="E362">
        <v>2</v>
      </c>
      <c r="F362" t="s">
        <v>31</v>
      </c>
      <c r="G362" t="s">
        <v>937</v>
      </c>
      <c r="H362" s="1">
        <v>42540</v>
      </c>
      <c r="I362" s="2"/>
    </row>
    <row r="363" spans="1:9" x14ac:dyDescent="0.35">
      <c r="A363" t="s">
        <v>393</v>
      </c>
      <c r="B363" t="s">
        <v>16</v>
      </c>
      <c r="C363" t="s">
        <v>29</v>
      </c>
      <c r="D363" t="s">
        <v>43</v>
      </c>
      <c r="E363">
        <v>13</v>
      </c>
      <c r="F363" t="s">
        <v>24</v>
      </c>
      <c r="G363" t="s">
        <v>936</v>
      </c>
      <c r="H363" s="1">
        <v>44422</v>
      </c>
      <c r="I363" s="2"/>
    </row>
    <row r="364" spans="1:9" x14ac:dyDescent="0.35">
      <c r="A364" t="s">
        <v>394</v>
      </c>
      <c r="B364" t="s">
        <v>16</v>
      </c>
      <c r="C364" t="s">
        <v>29</v>
      </c>
      <c r="D364" t="s">
        <v>33</v>
      </c>
      <c r="E364">
        <v>12</v>
      </c>
      <c r="F364" t="s">
        <v>70</v>
      </c>
      <c r="G364" t="s">
        <v>937</v>
      </c>
      <c r="H364" s="1">
        <v>44191</v>
      </c>
      <c r="I364" s="2"/>
    </row>
    <row r="365" spans="1:9" x14ac:dyDescent="0.35">
      <c r="A365" t="s">
        <v>395</v>
      </c>
      <c r="B365" t="s">
        <v>16</v>
      </c>
      <c r="C365" t="s">
        <v>29</v>
      </c>
      <c r="D365" t="s">
        <v>15</v>
      </c>
      <c r="E365">
        <v>6</v>
      </c>
      <c r="F365" t="s">
        <v>31</v>
      </c>
      <c r="G365" t="s">
        <v>937</v>
      </c>
      <c r="H365" s="1">
        <v>45240</v>
      </c>
      <c r="I365" s="2"/>
    </row>
    <row r="366" spans="1:9" x14ac:dyDescent="0.35">
      <c r="A366" t="s">
        <v>396</v>
      </c>
      <c r="B366" t="s">
        <v>21</v>
      </c>
      <c r="C366" t="s">
        <v>19</v>
      </c>
      <c r="D366" t="s">
        <v>43</v>
      </c>
      <c r="E366">
        <v>6</v>
      </c>
      <c r="F366" t="s">
        <v>31</v>
      </c>
      <c r="G366" t="s">
        <v>937</v>
      </c>
      <c r="H366" s="1">
        <v>44162</v>
      </c>
      <c r="I366" s="2"/>
    </row>
    <row r="367" spans="1:9" x14ac:dyDescent="0.35">
      <c r="A367" t="s">
        <v>397</v>
      </c>
      <c r="B367" t="s">
        <v>16</v>
      </c>
      <c r="C367" t="s">
        <v>14</v>
      </c>
      <c r="D367" t="s">
        <v>15</v>
      </c>
      <c r="E367">
        <v>14</v>
      </c>
      <c r="F367" t="s">
        <v>37</v>
      </c>
      <c r="G367" t="s">
        <v>936</v>
      </c>
      <c r="H367" s="1">
        <v>42290</v>
      </c>
      <c r="I367" s="2"/>
    </row>
    <row r="368" spans="1:9" x14ac:dyDescent="0.35">
      <c r="A368" t="s">
        <v>398</v>
      </c>
      <c r="B368" t="s">
        <v>21</v>
      </c>
      <c r="C368" t="s">
        <v>29</v>
      </c>
      <c r="D368" t="s">
        <v>43</v>
      </c>
      <c r="E368">
        <v>7</v>
      </c>
      <c r="F368" t="s">
        <v>24</v>
      </c>
      <c r="G368" t="s">
        <v>936</v>
      </c>
      <c r="H368" s="1">
        <v>45499</v>
      </c>
      <c r="I368" s="2"/>
    </row>
    <row r="369" spans="1:9" x14ac:dyDescent="0.35">
      <c r="A369" t="s">
        <v>399</v>
      </c>
      <c r="B369" t="s">
        <v>21</v>
      </c>
      <c r="C369" t="s">
        <v>14</v>
      </c>
      <c r="D369" t="s">
        <v>20</v>
      </c>
      <c r="E369">
        <v>0</v>
      </c>
      <c r="F369" t="s">
        <v>22</v>
      </c>
      <c r="G369" t="s">
        <v>937</v>
      </c>
      <c r="H369" s="1">
        <v>42362</v>
      </c>
      <c r="I369" s="2"/>
    </row>
    <row r="370" spans="1:9" x14ac:dyDescent="0.35">
      <c r="A370" t="s">
        <v>400</v>
      </c>
      <c r="B370" t="s">
        <v>21</v>
      </c>
      <c r="C370" t="s">
        <v>14</v>
      </c>
      <c r="D370" t="s">
        <v>43</v>
      </c>
      <c r="E370">
        <v>9</v>
      </c>
      <c r="F370" t="s">
        <v>44</v>
      </c>
      <c r="G370" t="s">
        <v>937</v>
      </c>
      <c r="H370" s="1">
        <v>43235</v>
      </c>
      <c r="I370" s="2"/>
    </row>
    <row r="371" spans="1:9" x14ac:dyDescent="0.35">
      <c r="A371" t="s">
        <v>401</v>
      </c>
      <c r="B371" t="s">
        <v>21</v>
      </c>
      <c r="C371" t="s">
        <v>26</v>
      </c>
      <c r="D371" t="s">
        <v>15</v>
      </c>
      <c r="E371">
        <v>15</v>
      </c>
      <c r="F371" t="s">
        <v>31</v>
      </c>
      <c r="G371" t="s">
        <v>937</v>
      </c>
      <c r="H371" s="1">
        <v>44913</v>
      </c>
      <c r="I371" s="2"/>
    </row>
    <row r="372" spans="1:9" x14ac:dyDescent="0.35">
      <c r="A372" t="s">
        <v>402</v>
      </c>
      <c r="B372" t="s">
        <v>16</v>
      </c>
      <c r="C372" t="s">
        <v>26</v>
      </c>
      <c r="D372" t="s">
        <v>20</v>
      </c>
      <c r="E372">
        <v>4</v>
      </c>
      <c r="F372" t="s">
        <v>17</v>
      </c>
      <c r="G372" t="s">
        <v>936</v>
      </c>
      <c r="H372" s="1">
        <v>44669</v>
      </c>
      <c r="I372" s="2"/>
    </row>
    <row r="373" spans="1:9" x14ac:dyDescent="0.35">
      <c r="A373" t="s">
        <v>403</v>
      </c>
      <c r="B373" t="s">
        <v>16</v>
      </c>
      <c r="C373" t="s">
        <v>19</v>
      </c>
      <c r="D373" t="s">
        <v>33</v>
      </c>
      <c r="E373">
        <v>5</v>
      </c>
      <c r="F373" t="s">
        <v>22</v>
      </c>
      <c r="G373" t="s">
        <v>937</v>
      </c>
      <c r="H373" s="1">
        <v>42592</v>
      </c>
      <c r="I373" s="2"/>
    </row>
    <row r="374" spans="1:9" x14ac:dyDescent="0.35">
      <c r="A374" t="s">
        <v>404</v>
      </c>
      <c r="B374" t="s">
        <v>21</v>
      </c>
      <c r="C374" t="s">
        <v>29</v>
      </c>
      <c r="D374" t="s">
        <v>33</v>
      </c>
      <c r="E374">
        <v>8</v>
      </c>
      <c r="F374" t="s">
        <v>17</v>
      </c>
      <c r="G374" t="s">
        <v>936</v>
      </c>
      <c r="H374" s="1">
        <v>43199</v>
      </c>
      <c r="I374" s="2"/>
    </row>
    <row r="375" spans="1:9" x14ac:dyDescent="0.35">
      <c r="A375" t="s">
        <v>405</v>
      </c>
      <c r="B375" t="s">
        <v>21</v>
      </c>
      <c r="C375" t="s">
        <v>29</v>
      </c>
      <c r="D375" t="s">
        <v>43</v>
      </c>
      <c r="E375">
        <v>15</v>
      </c>
      <c r="F375" t="s">
        <v>31</v>
      </c>
      <c r="G375" t="s">
        <v>937</v>
      </c>
      <c r="H375" s="1">
        <v>43065</v>
      </c>
      <c r="I375" s="2"/>
    </row>
    <row r="376" spans="1:9" x14ac:dyDescent="0.35">
      <c r="A376" t="s">
        <v>406</v>
      </c>
      <c r="B376" t="s">
        <v>21</v>
      </c>
      <c r="C376" t="s">
        <v>29</v>
      </c>
      <c r="D376" t="s">
        <v>20</v>
      </c>
      <c r="E376">
        <v>3</v>
      </c>
      <c r="F376" t="s">
        <v>24</v>
      </c>
      <c r="G376" t="s">
        <v>936</v>
      </c>
      <c r="H376" s="1">
        <v>45061</v>
      </c>
      <c r="I376" s="2"/>
    </row>
    <row r="377" spans="1:9" x14ac:dyDescent="0.35">
      <c r="A377" t="s">
        <v>407</v>
      </c>
      <c r="B377" t="s">
        <v>21</v>
      </c>
      <c r="C377" t="s">
        <v>19</v>
      </c>
      <c r="D377" t="s">
        <v>15</v>
      </c>
      <c r="E377">
        <v>12</v>
      </c>
      <c r="F377" t="s">
        <v>37</v>
      </c>
      <c r="G377" t="s">
        <v>936</v>
      </c>
      <c r="H377" s="1">
        <v>42959</v>
      </c>
      <c r="I377" s="2"/>
    </row>
    <row r="378" spans="1:9" x14ac:dyDescent="0.35">
      <c r="A378" t="s">
        <v>408</v>
      </c>
      <c r="B378" t="s">
        <v>16</v>
      </c>
      <c r="C378" t="s">
        <v>14</v>
      </c>
      <c r="D378" t="s">
        <v>43</v>
      </c>
      <c r="E378">
        <v>2</v>
      </c>
      <c r="F378" t="s">
        <v>24</v>
      </c>
      <c r="G378" t="s">
        <v>936</v>
      </c>
      <c r="H378" s="1">
        <v>43085</v>
      </c>
      <c r="I378" s="2"/>
    </row>
    <row r="379" spans="1:9" x14ac:dyDescent="0.35">
      <c r="A379" t="s">
        <v>409</v>
      </c>
      <c r="B379" t="s">
        <v>21</v>
      </c>
      <c r="C379" t="s">
        <v>14</v>
      </c>
      <c r="D379" t="s">
        <v>20</v>
      </c>
      <c r="E379">
        <v>3</v>
      </c>
      <c r="F379" t="s">
        <v>70</v>
      </c>
      <c r="G379" t="s">
        <v>937</v>
      </c>
      <c r="H379" s="1">
        <v>43458</v>
      </c>
      <c r="I379" s="2"/>
    </row>
    <row r="380" spans="1:9" x14ac:dyDescent="0.35">
      <c r="A380" t="s">
        <v>410</v>
      </c>
      <c r="B380" t="s">
        <v>21</v>
      </c>
      <c r="C380" t="s">
        <v>19</v>
      </c>
      <c r="D380" t="s">
        <v>43</v>
      </c>
      <c r="E380">
        <v>7</v>
      </c>
      <c r="F380" t="s">
        <v>44</v>
      </c>
      <c r="G380" t="s">
        <v>937</v>
      </c>
      <c r="H380" s="1">
        <v>42138</v>
      </c>
      <c r="I380" s="2"/>
    </row>
    <row r="381" spans="1:9" x14ac:dyDescent="0.35">
      <c r="A381" t="s">
        <v>411</v>
      </c>
      <c r="B381" t="s">
        <v>21</v>
      </c>
      <c r="C381" t="s">
        <v>35</v>
      </c>
      <c r="D381" t="s">
        <v>20</v>
      </c>
      <c r="E381">
        <v>4</v>
      </c>
      <c r="F381" t="s">
        <v>31</v>
      </c>
      <c r="G381" t="s">
        <v>937</v>
      </c>
      <c r="H381" s="1">
        <v>43334</v>
      </c>
      <c r="I381" s="2"/>
    </row>
    <row r="382" spans="1:9" x14ac:dyDescent="0.35">
      <c r="A382" t="s">
        <v>412</v>
      </c>
      <c r="B382" t="s">
        <v>16</v>
      </c>
      <c r="C382" t="s">
        <v>35</v>
      </c>
      <c r="D382" t="s">
        <v>20</v>
      </c>
      <c r="E382">
        <v>10</v>
      </c>
      <c r="F382" t="s">
        <v>44</v>
      </c>
      <c r="G382" t="s">
        <v>937</v>
      </c>
      <c r="H382" s="1">
        <v>45302</v>
      </c>
      <c r="I382" s="2"/>
    </row>
    <row r="383" spans="1:9" x14ac:dyDescent="0.35">
      <c r="A383" t="s">
        <v>413</v>
      </c>
      <c r="B383" t="s">
        <v>16</v>
      </c>
      <c r="C383" t="s">
        <v>26</v>
      </c>
      <c r="D383" t="s">
        <v>15</v>
      </c>
      <c r="E383">
        <v>3</v>
      </c>
      <c r="F383" t="s">
        <v>17</v>
      </c>
      <c r="G383" t="s">
        <v>936</v>
      </c>
      <c r="H383" s="1">
        <v>43954</v>
      </c>
      <c r="I383" s="2"/>
    </row>
    <row r="384" spans="1:9" x14ac:dyDescent="0.35">
      <c r="A384" t="s">
        <v>414</v>
      </c>
      <c r="B384" t="s">
        <v>16</v>
      </c>
      <c r="C384" t="s">
        <v>26</v>
      </c>
      <c r="D384" t="s">
        <v>15</v>
      </c>
      <c r="E384">
        <v>12</v>
      </c>
      <c r="F384" t="s">
        <v>37</v>
      </c>
      <c r="G384" t="s">
        <v>936</v>
      </c>
      <c r="H384" s="1">
        <v>42136</v>
      </c>
      <c r="I384" s="2"/>
    </row>
    <row r="385" spans="1:9" x14ac:dyDescent="0.35">
      <c r="A385" t="s">
        <v>415</v>
      </c>
      <c r="B385" t="s">
        <v>16</v>
      </c>
      <c r="C385" t="s">
        <v>14</v>
      </c>
      <c r="D385" t="s">
        <v>33</v>
      </c>
      <c r="E385">
        <v>8</v>
      </c>
      <c r="F385" t="s">
        <v>24</v>
      </c>
      <c r="G385" t="s">
        <v>936</v>
      </c>
      <c r="H385" s="1">
        <v>42312</v>
      </c>
      <c r="I385" s="2"/>
    </row>
    <row r="386" spans="1:9" x14ac:dyDescent="0.35">
      <c r="A386" t="s">
        <v>416</v>
      </c>
      <c r="B386" t="s">
        <v>21</v>
      </c>
      <c r="C386" t="s">
        <v>19</v>
      </c>
      <c r="D386" t="s">
        <v>43</v>
      </c>
      <c r="E386">
        <v>11</v>
      </c>
      <c r="F386" t="s">
        <v>17</v>
      </c>
      <c r="G386" t="s">
        <v>936</v>
      </c>
      <c r="H386" s="1">
        <v>45387</v>
      </c>
      <c r="I386" s="2"/>
    </row>
    <row r="387" spans="1:9" x14ac:dyDescent="0.35">
      <c r="A387" t="s">
        <v>417</v>
      </c>
      <c r="B387" t="s">
        <v>21</v>
      </c>
      <c r="C387" t="s">
        <v>29</v>
      </c>
      <c r="D387" t="s">
        <v>20</v>
      </c>
      <c r="E387">
        <v>13</v>
      </c>
      <c r="F387" t="s">
        <v>37</v>
      </c>
      <c r="G387" t="s">
        <v>936</v>
      </c>
      <c r="H387" s="1">
        <v>44016</v>
      </c>
      <c r="I387" s="2"/>
    </row>
    <row r="388" spans="1:9" x14ac:dyDescent="0.35">
      <c r="A388" t="s">
        <v>418</v>
      </c>
      <c r="B388" t="s">
        <v>21</v>
      </c>
      <c r="C388" t="s">
        <v>14</v>
      </c>
      <c r="D388" t="s">
        <v>15</v>
      </c>
      <c r="E388">
        <v>8</v>
      </c>
      <c r="F388" t="s">
        <v>31</v>
      </c>
      <c r="G388" t="s">
        <v>937</v>
      </c>
      <c r="H388" s="1">
        <v>44197</v>
      </c>
      <c r="I388" s="2"/>
    </row>
    <row r="389" spans="1:9" x14ac:dyDescent="0.35">
      <c r="A389" t="s">
        <v>419</v>
      </c>
      <c r="B389" t="s">
        <v>21</v>
      </c>
      <c r="C389" t="s">
        <v>35</v>
      </c>
      <c r="D389" t="s">
        <v>33</v>
      </c>
      <c r="E389">
        <v>1</v>
      </c>
      <c r="F389" t="s">
        <v>44</v>
      </c>
      <c r="G389" t="s">
        <v>937</v>
      </c>
      <c r="H389" s="1">
        <v>44820</v>
      </c>
      <c r="I389" s="2"/>
    </row>
    <row r="390" spans="1:9" x14ac:dyDescent="0.35">
      <c r="A390" t="s">
        <v>420</v>
      </c>
      <c r="B390" t="s">
        <v>16</v>
      </c>
      <c r="C390" t="s">
        <v>19</v>
      </c>
      <c r="D390" t="s">
        <v>43</v>
      </c>
      <c r="E390">
        <v>15</v>
      </c>
      <c r="F390" t="s">
        <v>17</v>
      </c>
      <c r="G390" t="s">
        <v>936</v>
      </c>
      <c r="H390" s="1">
        <v>42562</v>
      </c>
      <c r="I390" s="2"/>
    </row>
    <row r="391" spans="1:9" x14ac:dyDescent="0.35">
      <c r="A391" t="s">
        <v>421</v>
      </c>
      <c r="B391" t="s">
        <v>21</v>
      </c>
      <c r="C391" t="s">
        <v>29</v>
      </c>
      <c r="D391" t="s">
        <v>20</v>
      </c>
      <c r="E391">
        <v>15</v>
      </c>
      <c r="F391" t="s">
        <v>24</v>
      </c>
      <c r="G391" t="s">
        <v>936</v>
      </c>
      <c r="H391" s="1">
        <v>43703</v>
      </c>
      <c r="I391" s="2"/>
    </row>
    <row r="392" spans="1:9" x14ac:dyDescent="0.35">
      <c r="A392" t="s">
        <v>422</v>
      </c>
      <c r="B392" t="s">
        <v>21</v>
      </c>
      <c r="C392" t="s">
        <v>29</v>
      </c>
      <c r="D392" t="s">
        <v>20</v>
      </c>
      <c r="E392">
        <v>11</v>
      </c>
      <c r="F392" t="s">
        <v>44</v>
      </c>
      <c r="G392" t="s">
        <v>937</v>
      </c>
      <c r="H392" s="1">
        <v>44085</v>
      </c>
      <c r="I392" s="2"/>
    </row>
    <row r="393" spans="1:9" x14ac:dyDescent="0.35">
      <c r="A393" t="s">
        <v>423</v>
      </c>
      <c r="B393" t="s">
        <v>16</v>
      </c>
      <c r="C393" t="s">
        <v>29</v>
      </c>
      <c r="D393" t="s">
        <v>15</v>
      </c>
      <c r="E393">
        <v>2</v>
      </c>
      <c r="F393" t="s">
        <v>27</v>
      </c>
      <c r="G393" t="s">
        <v>936</v>
      </c>
      <c r="H393" s="1">
        <v>43919</v>
      </c>
      <c r="I393" s="2"/>
    </row>
    <row r="394" spans="1:9" x14ac:dyDescent="0.35">
      <c r="A394" t="s">
        <v>424</v>
      </c>
      <c r="B394" t="s">
        <v>21</v>
      </c>
      <c r="C394" t="s">
        <v>19</v>
      </c>
      <c r="D394" t="s">
        <v>43</v>
      </c>
      <c r="E394">
        <v>10</v>
      </c>
      <c r="F394" t="s">
        <v>37</v>
      </c>
      <c r="G394" t="s">
        <v>936</v>
      </c>
      <c r="H394" s="1">
        <v>45190</v>
      </c>
      <c r="I394" s="2"/>
    </row>
    <row r="395" spans="1:9" x14ac:dyDescent="0.35">
      <c r="A395" t="s">
        <v>425</v>
      </c>
      <c r="B395" t="s">
        <v>21</v>
      </c>
      <c r="C395" t="s">
        <v>35</v>
      </c>
      <c r="D395" t="s">
        <v>43</v>
      </c>
      <c r="E395">
        <v>0</v>
      </c>
      <c r="F395" t="s">
        <v>37</v>
      </c>
      <c r="G395" t="s">
        <v>936</v>
      </c>
      <c r="H395" s="1">
        <v>42374</v>
      </c>
      <c r="I395" s="2"/>
    </row>
    <row r="396" spans="1:9" x14ac:dyDescent="0.35">
      <c r="A396" t="s">
        <v>426</v>
      </c>
      <c r="B396" t="s">
        <v>16</v>
      </c>
      <c r="C396" t="s">
        <v>14</v>
      </c>
      <c r="D396" t="s">
        <v>43</v>
      </c>
      <c r="E396">
        <v>2</v>
      </c>
      <c r="F396" t="s">
        <v>44</v>
      </c>
      <c r="G396" t="s">
        <v>937</v>
      </c>
      <c r="H396" s="1">
        <v>44985</v>
      </c>
      <c r="I396" s="2"/>
    </row>
    <row r="397" spans="1:9" x14ac:dyDescent="0.35">
      <c r="A397" t="s">
        <v>427</v>
      </c>
      <c r="B397" t="s">
        <v>21</v>
      </c>
      <c r="C397" t="s">
        <v>35</v>
      </c>
      <c r="D397" t="s">
        <v>43</v>
      </c>
      <c r="E397">
        <v>10</v>
      </c>
      <c r="F397" t="s">
        <v>24</v>
      </c>
      <c r="G397" t="s">
        <v>936</v>
      </c>
      <c r="H397" s="1">
        <v>44928</v>
      </c>
      <c r="I397" s="2"/>
    </row>
    <row r="398" spans="1:9" x14ac:dyDescent="0.35">
      <c r="A398" t="s">
        <v>428</v>
      </c>
      <c r="B398" t="s">
        <v>16</v>
      </c>
      <c r="C398" t="s">
        <v>29</v>
      </c>
      <c r="D398" t="s">
        <v>20</v>
      </c>
      <c r="E398">
        <v>3</v>
      </c>
      <c r="F398" t="s">
        <v>70</v>
      </c>
      <c r="G398" t="s">
        <v>937</v>
      </c>
      <c r="H398" s="1">
        <v>44029</v>
      </c>
      <c r="I398" s="2"/>
    </row>
    <row r="399" spans="1:9" x14ac:dyDescent="0.35">
      <c r="A399" t="s">
        <v>429</v>
      </c>
      <c r="B399" t="s">
        <v>21</v>
      </c>
      <c r="C399" t="s">
        <v>19</v>
      </c>
      <c r="D399" t="s">
        <v>15</v>
      </c>
      <c r="E399">
        <v>15</v>
      </c>
      <c r="F399" t="s">
        <v>44</v>
      </c>
      <c r="G399" t="s">
        <v>937</v>
      </c>
      <c r="H399" s="1">
        <v>44426</v>
      </c>
      <c r="I399" s="2"/>
    </row>
    <row r="400" spans="1:9" x14ac:dyDescent="0.35">
      <c r="A400" t="s">
        <v>430</v>
      </c>
      <c r="B400" t="s">
        <v>21</v>
      </c>
      <c r="C400" t="s">
        <v>29</v>
      </c>
      <c r="D400" t="s">
        <v>15</v>
      </c>
      <c r="E400">
        <v>14</v>
      </c>
      <c r="F400" t="s">
        <v>37</v>
      </c>
      <c r="G400" t="s">
        <v>936</v>
      </c>
      <c r="H400" s="1">
        <v>45094</v>
      </c>
      <c r="I400" s="2"/>
    </row>
    <row r="401" spans="1:9" x14ac:dyDescent="0.35">
      <c r="A401" t="s">
        <v>431</v>
      </c>
      <c r="B401" t="s">
        <v>21</v>
      </c>
      <c r="C401" t="s">
        <v>29</v>
      </c>
      <c r="D401" t="s">
        <v>43</v>
      </c>
      <c r="E401">
        <v>6</v>
      </c>
      <c r="F401" t="s">
        <v>44</v>
      </c>
      <c r="G401" t="s">
        <v>937</v>
      </c>
      <c r="H401" s="1">
        <v>42415</v>
      </c>
      <c r="I401" s="2"/>
    </row>
    <row r="402" spans="1:9" x14ac:dyDescent="0.35">
      <c r="A402" t="s">
        <v>432</v>
      </c>
      <c r="B402" t="s">
        <v>21</v>
      </c>
      <c r="C402" t="s">
        <v>29</v>
      </c>
      <c r="D402" t="s">
        <v>15</v>
      </c>
      <c r="E402">
        <v>4</v>
      </c>
      <c r="F402" t="s">
        <v>44</v>
      </c>
      <c r="G402" t="s">
        <v>937</v>
      </c>
      <c r="H402" s="1">
        <v>44497</v>
      </c>
      <c r="I402" s="2"/>
    </row>
    <row r="403" spans="1:9" x14ac:dyDescent="0.35">
      <c r="A403" t="s">
        <v>433</v>
      </c>
      <c r="B403" t="s">
        <v>21</v>
      </c>
      <c r="C403" t="s">
        <v>29</v>
      </c>
      <c r="D403" t="s">
        <v>20</v>
      </c>
      <c r="E403">
        <v>7</v>
      </c>
      <c r="F403" t="s">
        <v>24</v>
      </c>
      <c r="G403" t="s">
        <v>936</v>
      </c>
      <c r="H403" s="1">
        <v>44227</v>
      </c>
      <c r="I403" s="2"/>
    </row>
    <row r="404" spans="1:9" x14ac:dyDescent="0.35">
      <c r="A404" t="s">
        <v>434</v>
      </c>
      <c r="B404" t="s">
        <v>16</v>
      </c>
      <c r="C404" t="s">
        <v>19</v>
      </c>
      <c r="D404" t="s">
        <v>15</v>
      </c>
      <c r="E404">
        <v>6</v>
      </c>
      <c r="F404" t="s">
        <v>37</v>
      </c>
      <c r="G404" t="s">
        <v>936</v>
      </c>
      <c r="H404" s="1">
        <v>42892</v>
      </c>
      <c r="I404" s="2"/>
    </row>
    <row r="405" spans="1:9" x14ac:dyDescent="0.35">
      <c r="A405" t="s">
        <v>435</v>
      </c>
      <c r="B405" t="s">
        <v>16</v>
      </c>
      <c r="C405" t="s">
        <v>35</v>
      </c>
      <c r="D405" t="s">
        <v>43</v>
      </c>
      <c r="E405">
        <v>7</v>
      </c>
      <c r="F405" t="s">
        <v>70</v>
      </c>
      <c r="G405" t="s">
        <v>937</v>
      </c>
      <c r="H405" s="1">
        <v>44018</v>
      </c>
      <c r="I405" s="2"/>
    </row>
    <row r="406" spans="1:9" x14ac:dyDescent="0.35">
      <c r="A406" t="s">
        <v>436</v>
      </c>
      <c r="B406" t="s">
        <v>16</v>
      </c>
      <c r="C406" t="s">
        <v>35</v>
      </c>
      <c r="D406" t="s">
        <v>15</v>
      </c>
      <c r="E406">
        <v>5</v>
      </c>
      <c r="F406" t="s">
        <v>27</v>
      </c>
      <c r="G406" t="s">
        <v>936</v>
      </c>
      <c r="H406" s="1">
        <v>45117</v>
      </c>
      <c r="I406" s="2"/>
    </row>
    <row r="407" spans="1:9" x14ac:dyDescent="0.35">
      <c r="A407" t="s">
        <v>437</v>
      </c>
      <c r="B407" t="s">
        <v>21</v>
      </c>
      <c r="C407" t="s">
        <v>26</v>
      </c>
      <c r="D407" t="s">
        <v>15</v>
      </c>
      <c r="E407">
        <v>11</v>
      </c>
      <c r="F407" t="s">
        <v>37</v>
      </c>
      <c r="G407" t="s">
        <v>936</v>
      </c>
      <c r="H407" s="1">
        <v>44272</v>
      </c>
      <c r="I407" s="2"/>
    </row>
    <row r="408" spans="1:9" x14ac:dyDescent="0.35">
      <c r="A408" t="s">
        <v>438</v>
      </c>
      <c r="B408" t="s">
        <v>16</v>
      </c>
      <c r="C408" t="s">
        <v>19</v>
      </c>
      <c r="D408" t="s">
        <v>20</v>
      </c>
      <c r="E408">
        <v>14</v>
      </c>
      <c r="F408" t="s">
        <v>44</v>
      </c>
      <c r="G408" t="s">
        <v>937</v>
      </c>
      <c r="H408" s="1">
        <v>42481</v>
      </c>
      <c r="I408" s="2"/>
    </row>
    <row r="409" spans="1:9" x14ac:dyDescent="0.35">
      <c r="A409" t="s">
        <v>439</v>
      </c>
      <c r="B409" t="s">
        <v>16</v>
      </c>
      <c r="C409" t="s">
        <v>19</v>
      </c>
      <c r="D409" t="s">
        <v>43</v>
      </c>
      <c r="E409">
        <v>0</v>
      </c>
      <c r="F409" t="s">
        <v>44</v>
      </c>
      <c r="G409" t="s">
        <v>937</v>
      </c>
      <c r="H409" s="1">
        <v>44752</v>
      </c>
      <c r="I409" s="2"/>
    </row>
    <row r="410" spans="1:9" x14ac:dyDescent="0.35">
      <c r="A410" t="s">
        <v>440</v>
      </c>
      <c r="B410" t="s">
        <v>16</v>
      </c>
      <c r="C410" t="s">
        <v>26</v>
      </c>
      <c r="D410" t="s">
        <v>15</v>
      </c>
      <c r="E410">
        <v>7</v>
      </c>
      <c r="F410" t="s">
        <v>37</v>
      </c>
      <c r="G410" t="s">
        <v>936</v>
      </c>
      <c r="H410" s="1">
        <v>43377</v>
      </c>
      <c r="I410" s="2"/>
    </row>
    <row r="411" spans="1:9" x14ac:dyDescent="0.35">
      <c r="A411" t="s">
        <v>441</v>
      </c>
      <c r="B411" t="s">
        <v>21</v>
      </c>
      <c r="C411" t="s">
        <v>29</v>
      </c>
      <c r="D411" t="s">
        <v>33</v>
      </c>
      <c r="E411">
        <v>10</v>
      </c>
      <c r="F411" t="s">
        <v>22</v>
      </c>
      <c r="G411" t="s">
        <v>937</v>
      </c>
      <c r="H411" s="1">
        <v>45053</v>
      </c>
      <c r="I411" s="2"/>
    </row>
    <row r="412" spans="1:9" x14ac:dyDescent="0.35">
      <c r="A412" t="s">
        <v>442</v>
      </c>
      <c r="B412" t="s">
        <v>21</v>
      </c>
      <c r="C412" t="s">
        <v>19</v>
      </c>
      <c r="D412" t="s">
        <v>20</v>
      </c>
      <c r="E412">
        <v>4</v>
      </c>
      <c r="F412" t="s">
        <v>24</v>
      </c>
      <c r="G412" t="s">
        <v>936</v>
      </c>
      <c r="H412" s="1">
        <v>44757</v>
      </c>
      <c r="I412" s="2"/>
    </row>
    <row r="413" spans="1:9" x14ac:dyDescent="0.35">
      <c r="A413" t="s">
        <v>443</v>
      </c>
      <c r="B413" t="s">
        <v>16</v>
      </c>
      <c r="C413" t="s">
        <v>29</v>
      </c>
      <c r="D413" t="s">
        <v>33</v>
      </c>
      <c r="E413">
        <v>15</v>
      </c>
      <c r="F413" t="s">
        <v>70</v>
      </c>
      <c r="G413" t="s">
        <v>937</v>
      </c>
      <c r="H413" s="1">
        <v>42778</v>
      </c>
      <c r="I413" s="2"/>
    </row>
    <row r="414" spans="1:9" x14ac:dyDescent="0.35">
      <c r="A414" t="s">
        <v>444</v>
      </c>
      <c r="B414" t="s">
        <v>16</v>
      </c>
      <c r="C414" t="s">
        <v>14</v>
      </c>
      <c r="D414" t="s">
        <v>43</v>
      </c>
      <c r="E414">
        <v>10</v>
      </c>
      <c r="F414" t="s">
        <v>31</v>
      </c>
      <c r="G414" t="s">
        <v>937</v>
      </c>
      <c r="H414" s="1">
        <v>42139</v>
      </c>
      <c r="I414" s="2"/>
    </row>
    <row r="415" spans="1:9" x14ac:dyDescent="0.35">
      <c r="A415" t="s">
        <v>445</v>
      </c>
      <c r="B415" t="s">
        <v>16</v>
      </c>
      <c r="C415" t="s">
        <v>35</v>
      </c>
      <c r="D415" t="s">
        <v>33</v>
      </c>
      <c r="E415">
        <v>13</v>
      </c>
      <c r="F415" t="s">
        <v>44</v>
      </c>
      <c r="G415" t="s">
        <v>937</v>
      </c>
      <c r="H415" s="1">
        <v>44136</v>
      </c>
      <c r="I415" s="2"/>
    </row>
    <row r="416" spans="1:9" x14ac:dyDescent="0.35">
      <c r="A416" t="s">
        <v>446</v>
      </c>
      <c r="B416" t="s">
        <v>21</v>
      </c>
      <c r="C416" t="s">
        <v>14</v>
      </c>
      <c r="D416" t="s">
        <v>20</v>
      </c>
      <c r="E416">
        <v>11</v>
      </c>
      <c r="F416" t="s">
        <v>44</v>
      </c>
      <c r="G416" t="s">
        <v>937</v>
      </c>
      <c r="H416" s="1">
        <v>44692</v>
      </c>
      <c r="I416" s="2"/>
    </row>
    <row r="417" spans="1:9" x14ac:dyDescent="0.35">
      <c r="A417" t="s">
        <v>447</v>
      </c>
      <c r="B417" t="s">
        <v>21</v>
      </c>
      <c r="C417" t="s">
        <v>35</v>
      </c>
      <c r="D417" t="s">
        <v>33</v>
      </c>
      <c r="E417">
        <v>6</v>
      </c>
      <c r="F417" t="s">
        <v>37</v>
      </c>
      <c r="G417" t="s">
        <v>936</v>
      </c>
      <c r="H417" s="1">
        <v>44205</v>
      </c>
      <c r="I417" s="2"/>
    </row>
    <row r="418" spans="1:9" x14ac:dyDescent="0.35">
      <c r="A418" t="s">
        <v>448</v>
      </c>
      <c r="B418" t="s">
        <v>16</v>
      </c>
      <c r="C418" t="s">
        <v>35</v>
      </c>
      <c r="D418" t="s">
        <v>43</v>
      </c>
      <c r="E418">
        <v>7</v>
      </c>
      <c r="F418" t="s">
        <v>44</v>
      </c>
      <c r="G418" t="s">
        <v>937</v>
      </c>
      <c r="H418" s="1">
        <v>42708</v>
      </c>
      <c r="I418" s="2"/>
    </row>
    <row r="419" spans="1:9" x14ac:dyDescent="0.35">
      <c r="A419" t="s">
        <v>449</v>
      </c>
      <c r="B419" t="s">
        <v>16</v>
      </c>
      <c r="C419" t="s">
        <v>14</v>
      </c>
      <c r="D419" t="s">
        <v>20</v>
      </c>
      <c r="E419">
        <v>7</v>
      </c>
      <c r="F419" t="s">
        <v>44</v>
      </c>
      <c r="G419" t="s">
        <v>937</v>
      </c>
      <c r="H419" s="1">
        <v>43031</v>
      </c>
      <c r="I419" s="2"/>
    </row>
    <row r="420" spans="1:9" x14ac:dyDescent="0.35">
      <c r="A420" t="s">
        <v>450</v>
      </c>
      <c r="B420" t="s">
        <v>16</v>
      </c>
      <c r="C420" t="s">
        <v>29</v>
      </c>
      <c r="D420" t="s">
        <v>20</v>
      </c>
      <c r="E420">
        <v>11</v>
      </c>
      <c r="F420" t="s">
        <v>44</v>
      </c>
      <c r="G420" t="s">
        <v>937</v>
      </c>
      <c r="H420" s="1">
        <v>45242</v>
      </c>
      <c r="I420" s="2"/>
    </row>
    <row r="421" spans="1:9" x14ac:dyDescent="0.35">
      <c r="A421" t="s">
        <v>451</v>
      </c>
      <c r="B421" t="s">
        <v>21</v>
      </c>
      <c r="C421" t="s">
        <v>26</v>
      </c>
      <c r="D421" t="s">
        <v>20</v>
      </c>
      <c r="E421">
        <v>3</v>
      </c>
      <c r="F421" t="s">
        <v>44</v>
      </c>
      <c r="G421" t="s">
        <v>937</v>
      </c>
      <c r="H421" s="1">
        <v>45468</v>
      </c>
      <c r="I421" s="2"/>
    </row>
    <row r="422" spans="1:9" x14ac:dyDescent="0.35">
      <c r="A422" t="s">
        <v>452</v>
      </c>
      <c r="B422" t="s">
        <v>16</v>
      </c>
      <c r="C422" t="s">
        <v>26</v>
      </c>
      <c r="D422" t="s">
        <v>15</v>
      </c>
      <c r="E422">
        <v>7</v>
      </c>
      <c r="F422" t="s">
        <v>31</v>
      </c>
      <c r="G422" t="s">
        <v>937</v>
      </c>
      <c r="H422" s="1">
        <v>45170</v>
      </c>
      <c r="I422" s="2"/>
    </row>
    <row r="423" spans="1:9" x14ac:dyDescent="0.35">
      <c r="A423" t="s">
        <v>453</v>
      </c>
      <c r="B423" t="s">
        <v>21</v>
      </c>
      <c r="C423" t="s">
        <v>26</v>
      </c>
      <c r="D423" t="s">
        <v>15</v>
      </c>
      <c r="E423">
        <v>5</v>
      </c>
      <c r="F423" t="s">
        <v>22</v>
      </c>
      <c r="G423" t="s">
        <v>937</v>
      </c>
      <c r="H423" s="1">
        <v>45494</v>
      </c>
      <c r="I423" s="2"/>
    </row>
    <row r="424" spans="1:9" x14ac:dyDescent="0.35">
      <c r="A424" t="s">
        <v>454</v>
      </c>
      <c r="B424" t="s">
        <v>21</v>
      </c>
      <c r="C424" t="s">
        <v>35</v>
      </c>
      <c r="D424" t="s">
        <v>33</v>
      </c>
      <c r="E424">
        <v>12</v>
      </c>
      <c r="F424" t="s">
        <v>70</v>
      </c>
      <c r="G424" t="s">
        <v>937</v>
      </c>
      <c r="H424" s="1">
        <v>42478</v>
      </c>
      <c r="I424" s="2"/>
    </row>
    <row r="425" spans="1:9" x14ac:dyDescent="0.35">
      <c r="A425" t="s">
        <v>455</v>
      </c>
      <c r="B425" t="s">
        <v>21</v>
      </c>
      <c r="C425" t="s">
        <v>14</v>
      </c>
      <c r="D425" t="s">
        <v>33</v>
      </c>
      <c r="E425">
        <v>1</v>
      </c>
      <c r="F425" t="s">
        <v>37</v>
      </c>
      <c r="G425" t="s">
        <v>936</v>
      </c>
      <c r="H425" s="1">
        <v>43176</v>
      </c>
      <c r="I425" s="2"/>
    </row>
    <row r="426" spans="1:9" x14ac:dyDescent="0.35">
      <c r="A426" t="s">
        <v>456</v>
      </c>
      <c r="B426" t="s">
        <v>21</v>
      </c>
      <c r="C426" t="s">
        <v>35</v>
      </c>
      <c r="D426" t="s">
        <v>43</v>
      </c>
      <c r="E426">
        <v>15</v>
      </c>
      <c r="F426" t="s">
        <v>70</v>
      </c>
      <c r="G426" t="s">
        <v>937</v>
      </c>
      <c r="H426" s="1">
        <v>42286</v>
      </c>
      <c r="I426" s="2"/>
    </row>
    <row r="427" spans="1:9" x14ac:dyDescent="0.35">
      <c r="A427" t="s">
        <v>457</v>
      </c>
      <c r="B427" t="s">
        <v>21</v>
      </c>
      <c r="C427" t="s">
        <v>19</v>
      </c>
      <c r="D427" t="s">
        <v>15</v>
      </c>
      <c r="E427">
        <v>6</v>
      </c>
      <c r="F427" t="s">
        <v>27</v>
      </c>
      <c r="G427" t="s">
        <v>936</v>
      </c>
      <c r="H427" s="1">
        <v>43321</v>
      </c>
      <c r="I427" s="2"/>
    </row>
    <row r="428" spans="1:9" x14ac:dyDescent="0.35">
      <c r="A428" t="s">
        <v>458</v>
      </c>
      <c r="B428" t="s">
        <v>21</v>
      </c>
      <c r="C428" t="s">
        <v>14</v>
      </c>
      <c r="D428" t="s">
        <v>33</v>
      </c>
      <c r="E428">
        <v>12</v>
      </c>
      <c r="F428" t="s">
        <v>31</v>
      </c>
      <c r="G428" t="s">
        <v>937</v>
      </c>
      <c r="H428" s="1">
        <v>42426</v>
      </c>
      <c r="I428" s="2"/>
    </row>
    <row r="429" spans="1:9" x14ac:dyDescent="0.35">
      <c r="A429" t="s">
        <v>459</v>
      </c>
      <c r="B429" t="s">
        <v>16</v>
      </c>
      <c r="C429" t="s">
        <v>26</v>
      </c>
      <c r="D429" t="s">
        <v>43</v>
      </c>
      <c r="E429">
        <v>4</v>
      </c>
      <c r="F429" t="s">
        <v>27</v>
      </c>
      <c r="G429" t="s">
        <v>936</v>
      </c>
      <c r="H429" s="1">
        <v>43513</v>
      </c>
      <c r="I429" s="2"/>
    </row>
    <row r="430" spans="1:9" x14ac:dyDescent="0.35">
      <c r="A430" t="s">
        <v>460</v>
      </c>
      <c r="B430" t="s">
        <v>21</v>
      </c>
      <c r="C430" t="s">
        <v>29</v>
      </c>
      <c r="D430" t="s">
        <v>43</v>
      </c>
      <c r="E430">
        <v>4</v>
      </c>
      <c r="F430" t="s">
        <v>27</v>
      </c>
      <c r="G430" t="s">
        <v>936</v>
      </c>
      <c r="H430" s="1">
        <v>42609</v>
      </c>
      <c r="I430" s="2"/>
    </row>
    <row r="431" spans="1:9" x14ac:dyDescent="0.35">
      <c r="A431" t="s">
        <v>461</v>
      </c>
      <c r="B431" t="s">
        <v>21</v>
      </c>
      <c r="C431" t="s">
        <v>35</v>
      </c>
      <c r="D431" t="s">
        <v>43</v>
      </c>
      <c r="E431">
        <v>3</v>
      </c>
      <c r="F431" t="s">
        <v>22</v>
      </c>
      <c r="G431" t="s">
        <v>937</v>
      </c>
      <c r="H431" s="1">
        <v>43584</v>
      </c>
      <c r="I431" s="2"/>
    </row>
    <row r="432" spans="1:9" x14ac:dyDescent="0.35">
      <c r="A432" t="s">
        <v>462</v>
      </c>
      <c r="B432" t="s">
        <v>21</v>
      </c>
      <c r="C432" t="s">
        <v>26</v>
      </c>
      <c r="D432" t="s">
        <v>33</v>
      </c>
      <c r="E432">
        <v>1</v>
      </c>
      <c r="F432" t="s">
        <v>27</v>
      </c>
      <c r="G432" t="s">
        <v>936</v>
      </c>
      <c r="H432" s="1">
        <v>44736</v>
      </c>
      <c r="I432" s="2"/>
    </row>
    <row r="433" spans="1:9" x14ac:dyDescent="0.35">
      <c r="A433" t="s">
        <v>463</v>
      </c>
      <c r="B433" t="s">
        <v>16</v>
      </c>
      <c r="C433" t="s">
        <v>19</v>
      </c>
      <c r="D433" t="s">
        <v>33</v>
      </c>
      <c r="E433">
        <v>12</v>
      </c>
      <c r="F433" t="s">
        <v>44</v>
      </c>
      <c r="G433" t="s">
        <v>937</v>
      </c>
      <c r="H433" s="1">
        <v>45510</v>
      </c>
      <c r="I433" s="2"/>
    </row>
    <row r="434" spans="1:9" x14ac:dyDescent="0.35">
      <c r="A434" t="s">
        <v>464</v>
      </c>
      <c r="B434" t="s">
        <v>16</v>
      </c>
      <c r="C434" t="s">
        <v>35</v>
      </c>
      <c r="D434" t="s">
        <v>33</v>
      </c>
      <c r="E434">
        <v>4</v>
      </c>
      <c r="F434" t="s">
        <v>27</v>
      </c>
      <c r="G434" t="s">
        <v>936</v>
      </c>
      <c r="H434" s="1">
        <v>43300</v>
      </c>
      <c r="I434" s="2"/>
    </row>
    <row r="435" spans="1:9" x14ac:dyDescent="0.35">
      <c r="A435" t="s">
        <v>465</v>
      </c>
      <c r="B435" t="s">
        <v>21</v>
      </c>
      <c r="C435" t="s">
        <v>35</v>
      </c>
      <c r="D435" t="s">
        <v>15</v>
      </c>
      <c r="E435">
        <v>10</v>
      </c>
      <c r="F435" t="s">
        <v>44</v>
      </c>
      <c r="G435" t="s">
        <v>937</v>
      </c>
      <c r="H435" s="1">
        <v>42153</v>
      </c>
      <c r="I435" s="2"/>
    </row>
    <row r="436" spans="1:9" x14ac:dyDescent="0.35">
      <c r="A436" t="s">
        <v>466</v>
      </c>
      <c r="B436" t="s">
        <v>16</v>
      </c>
      <c r="C436" t="s">
        <v>29</v>
      </c>
      <c r="D436" t="s">
        <v>33</v>
      </c>
      <c r="E436">
        <v>2</v>
      </c>
      <c r="F436" t="s">
        <v>24</v>
      </c>
      <c r="G436" t="s">
        <v>936</v>
      </c>
      <c r="H436" s="1">
        <v>44247</v>
      </c>
      <c r="I436" s="2"/>
    </row>
    <row r="437" spans="1:9" x14ac:dyDescent="0.35">
      <c r="A437" t="s">
        <v>467</v>
      </c>
      <c r="B437" t="s">
        <v>16</v>
      </c>
      <c r="C437" t="s">
        <v>35</v>
      </c>
      <c r="D437" t="s">
        <v>20</v>
      </c>
      <c r="E437">
        <v>3</v>
      </c>
      <c r="F437" t="s">
        <v>17</v>
      </c>
      <c r="G437" t="s">
        <v>936</v>
      </c>
      <c r="H437" s="1">
        <v>43017</v>
      </c>
      <c r="I437" s="2"/>
    </row>
    <row r="438" spans="1:9" x14ac:dyDescent="0.35">
      <c r="A438" t="s">
        <v>468</v>
      </c>
      <c r="B438" t="s">
        <v>16</v>
      </c>
      <c r="C438" t="s">
        <v>14</v>
      </c>
      <c r="D438" t="s">
        <v>15</v>
      </c>
      <c r="E438">
        <v>6</v>
      </c>
      <c r="F438" t="s">
        <v>27</v>
      </c>
      <c r="G438" t="s">
        <v>936</v>
      </c>
      <c r="H438" s="1">
        <v>44968</v>
      </c>
      <c r="I438" s="2"/>
    </row>
    <row r="439" spans="1:9" x14ac:dyDescent="0.35">
      <c r="A439" t="s">
        <v>469</v>
      </c>
      <c r="B439" t="s">
        <v>21</v>
      </c>
      <c r="C439" t="s">
        <v>29</v>
      </c>
      <c r="D439" t="s">
        <v>43</v>
      </c>
      <c r="E439">
        <v>10</v>
      </c>
      <c r="F439" t="s">
        <v>27</v>
      </c>
      <c r="G439" t="s">
        <v>936</v>
      </c>
      <c r="H439" s="1">
        <v>43459</v>
      </c>
      <c r="I439" s="2"/>
    </row>
    <row r="440" spans="1:9" x14ac:dyDescent="0.35">
      <c r="A440" t="s">
        <v>470</v>
      </c>
      <c r="B440" t="s">
        <v>21</v>
      </c>
      <c r="C440" t="s">
        <v>26</v>
      </c>
      <c r="D440" t="s">
        <v>43</v>
      </c>
      <c r="E440">
        <v>9</v>
      </c>
      <c r="F440" t="s">
        <v>31</v>
      </c>
      <c r="G440" t="s">
        <v>937</v>
      </c>
      <c r="H440" s="1">
        <v>44318</v>
      </c>
      <c r="I440" s="2"/>
    </row>
    <row r="441" spans="1:9" x14ac:dyDescent="0.35">
      <c r="A441" t="s">
        <v>471</v>
      </c>
      <c r="B441" t="s">
        <v>16</v>
      </c>
      <c r="C441" t="s">
        <v>14</v>
      </c>
      <c r="D441" t="s">
        <v>33</v>
      </c>
      <c r="E441">
        <v>2</v>
      </c>
      <c r="F441" t="s">
        <v>37</v>
      </c>
      <c r="G441" t="s">
        <v>936</v>
      </c>
      <c r="H441" s="1">
        <v>42297</v>
      </c>
      <c r="I441" s="2"/>
    </row>
    <row r="442" spans="1:9" x14ac:dyDescent="0.35">
      <c r="A442" t="s">
        <v>472</v>
      </c>
      <c r="B442" t="s">
        <v>16</v>
      </c>
      <c r="C442" t="s">
        <v>14</v>
      </c>
      <c r="D442" t="s">
        <v>33</v>
      </c>
      <c r="E442">
        <v>6</v>
      </c>
      <c r="F442" t="s">
        <v>37</v>
      </c>
      <c r="G442" t="s">
        <v>936</v>
      </c>
      <c r="H442" s="1">
        <v>45204</v>
      </c>
      <c r="I442" s="2"/>
    </row>
    <row r="443" spans="1:9" x14ac:dyDescent="0.35">
      <c r="A443" t="s">
        <v>473</v>
      </c>
      <c r="B443" t="s">
        <v>16</v>
      </c>
      <c r="C443" t="s">
        <v>29</v>
      </c>
      <c r="D443" t="s">
        <v>15</v>
      </c>
      <c r="E443">
        <v>8</v>
      </c>
      <c r="F443" t="s">
        <v>22</v>
      </c>
      <c r="G443" t="s">
        <v>937</v>
      </c>
      <c r="H443" s="1">
        <v>43946</v>
      </c>
      <c r="I443" s="2"/>
    </row>
    <row r="444" spans="1:9" x14ac:dyDescent="0.35">
      <c r="A444" t="s">
        <v>474</v>
      </c>
      <c r="B444" t="s">
        <v>16</v>
      </c>
      <c r="C444" t="s">
        <v>19</v>
      </c>
      <c r="D444" t="s">
        <v>20</v>
      </c>
      <c r="E444">
        <v>15</v>
      </c>
      <c r="F444" t="s">
        <v>24</v>
      </c>
      <c r="G444" t="s">
        <v>936</v>
      </c>
      <c r="H444" s="1">
        <v>42140</v>
      </c>
      <c r="I444" s="2"/>
    </row>
    <row r="445" spans="1:9" x14ac:dyDescent="0.35">
      <c r="A445" t="s">
        <v>475</v>
      </c>
      <c r="B445" t="s">
        <v>21</v>
      </c>
      <c r="C445" t="s">
        <v>19</v>
      </c>
      <c r="D445" t="s">
        <v>43</v>
      </c>
      <c r="E445">
        <v>11</v>
      </c>
      <c r="F445" t="s">
        <v>31</v>
      </c>
      <c r="G445" t="s">
        <v>937</v>
      </c>
      <c r="H445" s="1">
        <v>43530</v>
      </c>
      <c r="I445" s="2"/>
    </row>
    <row r="446" spans="1:9" x14ac:dyDescent="0.35">
      <c r="A446" t="s">
        <v>476</v>
      </c>
      <c r="B446" t="s">
        <v>21</v>
      </c>
      <c r="C446" t="s">
        <v>35</v>
      </c>
      <c r="D446" t="s">
        <v>20</v>
      </c>
      <c r="E446">
        <v>1</v>
      </c>
      <c r="F446" t="s">
        <v>27</v>
      </c>
      <c r="G446" t="s">
        <v>936</v>
      </c>
      <c r="H446" s="1">
        <v>44134</v>
      </c>
      <c r="I446" s="2"/>
    </row>
    <row r="447" spans="1:9" x14ac:dyDescent="0.35">
      <c r="A447" t="s">
        <v>477</v>
      </c>
      <c r="B447" t="s">
        <v>21</v>
      </c>
      <c r="C447" t="s">
        <v>35</v>
      </c>
      <c r="D447" t="s">
        <v>20</v>
      </c>
      <c r="E447">
        <v>15</v>
      </c>
      <c r="F447" t="s">
        <v>27</v>
      </c>
      <c r="G447" t="s">
        <v>936</v>
      </c>
      <c r="H447" s="1">
        <v>43386</v>
      </c>
      <c r="I447" s="2"/>
    </row>
    <row r="448" spans="1:9" x14ac:dyDescent="0.35">
      <c r="A448" t="s">
        <v>478</v>
      </c>
      <c r="B448" t="s">
        <v>21</v>
      </c>
      <c r="C448" t="s">
        <v>19</v>
      </c>
      <c r="D448" t="s">
        <v>20</v>
      </c>
      <c r="E448">
        <v>10</v>
      </c>
      <c r="F448" t="s">
        <v>37</v>
      </c>
      <c r="G448" t="s">
        <v>936</v>
      </c>
      <c r="H448" s="1">
        <v>44845</v>
      </c>
      <c r="I448" s="2"/>
    </row>
    <row r="449" spans="1:9" x14ac:dyDescent="0.35">
      <c r="A449" t="s">
        <v>479</v>
      </c>
      <c r="B449" t="s">
        <v>16</v>
      </c>
      <c r="C449" t="s">
        <v>19</v>
      </c>
      <c r="D449" t="s">
        <v>43</v>
      </c>
      <c r="E449">
        <v>12</v>
      </c>
      <c r="F449" t="s">
        <v>27</v>
      </c>
      <c r="G449" t="s">
        <v>936</v>
      </c>
      <c r="H449" s="1">
        <v>42379</v>
      </c>
      <c r="I449" s="2"/>
    </row>
    <row r="450" spans="1:9" x14ac:dyDescent="0.35">
      <c r="A450" t="s">
        <v>480</v>
      </c>
      <c r="B450" t="s">
        <v>16</v>
      </c>
      <c r="C450" t="s">
        <v>26</v>
      </c>
      <c r="D450" t="s">
        <v>43</v>
      </c>
      <c r="E450">
        <v>14</v>
      </c>
      <c r="F450" t="s">
        <v>44</v>
      </c>
      <c r="G450" t="s">
        <v>937</v>
      </c>
      <c r="H450" s="1">
        <v>42463</v>
      </c>
      <c r="I450" s="2"/>
    </row>
    <row r="451" spans="1:9" x14ac:dyDescent="0.35">
      <c r="A451" t="s">
        <v>481</v>
      </c>
      <c r="B451" t="s">
        <v>21</v>
      </c>
      <c r="C451" t="s">
        <v>14</v>
      </c>
      <c r="D451" t="s">
        <v>15</v>
      </c>
      <c r="E451">
        <v>7</v>
      </c>
      <c r="F451" t="s">
        <v>17</v>
      </c>
      <c r="G451" t="s">
        <v>936</v>
      </c>
      <c r="H451" s="1">
        <v>42042</v>
      </c>
      <c r="I451" s="2"/>
    </row>
    <row r="452" spans="1:9" x14ac:dyDescent="0.35">
      <c r="A452" t="s">
        <v>482</v>
      </c>
      <c r="B452" t="s">
        <v>21</v>
      </c>
      <c r="C452" t="s">
        <v>19</v>
      </c>
      <c r="D452" t="s">
        <v>33</v>
      </c>
      <c r="E452">
        <v>10</v>
      </c>
      <c r="F452" t="s">
        <v>22</v>
      </c>
      <c r="G452" t="s">
        <v>937</v>
      </c>
      <c r="H452" s="1">
        <v>44773</v>
      </c>
      <c r="I452" s="2"/>
    </row>
    <row r="453" spans="1:9" x14ac:dyDescent="0.35">
      <c r="A453" t="s">
        <v>483</v>
      </c>
      <c r="B453" t="s">
        <v>21</v>
      </c>
      <c r="C453" t="s">
        <v>29</v>
      </c>
      <c r="D453" t="s">
        <v>15</v>
      </c>
      <c r="E453">
        <v>14</v>
      </c>
      <c r="F453" t="s">
        <v>17</v>
      </c>
      <c r="G453" t="s">
        <v>936</v>
      </c>
      <c r="H453" s="1">
        <v>44747</v>
      </c>
      <c r="I453" s="2"/>
    </row>
    <row r="454" spans="1:9" x14ac:dyDescent="0.35">
      <c r="A454" t="s">
        <v>484</v>
      </c>
      <c r="B454" t="s">
        <v>21</v>
      </c>
      <c r="C454" t="s">
        <v>29</v>
      </c>
      <c r="D454" t="s">
        <v>15</v>
      </c>
      <c r="E454">
        <v>1</v>
      </c>
      <c r="F454" t="s">
        <v>44</v>
      </c>
      <c r="G454" t="s">
        <v>937</v>
      </c>
      <c r="H454" s="1">
        <v>43433</v>
      </c>
      <c r="I454" s="2"/>
    </row>
    <row r="455" spans="1:9" x14ac:dyDescent="0.35">
      <c r="A455" t="s">
        <v>485</v>
      </c>
      <c r="B455" t="s">
        <v>21</v>
      </c>
      <c r="C455" t="s">
        <v>19</v>
      </c>
      <c r="D455" t="s">
        <v>15</v>
      </c>
      <c r="E455">
        <v>4</v>
      </c>
      <c r="F455" t="s">
        <v>24</v>
      </c>
      <c r="G455" t="s">
        <v>936</v>
      </c>
      <c r="H455" s="1">
        <v>44768</v>
      </c>
      <c r="I455" s="2"/>
    </row>
    <row r="456" spans="1:9" x14ac:dyDescent="0.35">
      <c r="A456" t="s">
        <v>486</v>
      </c>
      <c r="B456" t="s">
        <v>21</v>
      </c>
      <c r="C456" t="s">
        <v>14</v>
      </c>
      <c r="D456" t="s">
        <v>43</v>
      </c>
      <c r="E456">
        <v>0</v>
      </c>
      <c r="F456" t="s">
        <v>27</v>
      </c>
      <c r="G456" t="s">
        <v>936</v>
      </c>
      <c r="H456" s="1">
        <v>42327</v>
      </c>
      <c r="I456" s="2"/>
    </row>
    <row r="457" spans="1:9" x14ac:dyDescent="0.35">
      <c r="A457" t="s">
        <v>487</v>
      </c>
      <c r="B457" t="s">
        <v>16</v>
      </c>
      <c r="C457" t="s">
        <v>19</v>
      </c>
      <c r="D457" t="s">
        <v>15</v>
      </c>
      <c r="E457">
        <v>0</v>
      </c>
      <c r="F457" t="s">
        <v>37</v>
      </c>
      <c r="G457" t="s">
        <v>936</v>
      </c>
      <c r="H457" s="1">
        <v>42127</v>
      </c>
      <c r="I457" s="2"/>
    </row>
    <row r="458" spans="1:9" x14ac:dyDescent="0.35">
      <c r="A458" t="s">
        <v>488</v>
      </c>
      <c r="B458" t="s">
        <v>21</v>
      </c>
      <c r="C458" t="s">
        <v>14</v>
      </c>
      <c r="D458" t="s">
        <v>33</v>
      </c>
      <c r="E458">
        <v>15</v>
      </c>
      <c r="F458" t="s">
        <v>31</v>
      </c>
      <c r="G458" t="s">
        <v>937</v>
      </c>
      <c r="H458" s="1">
        <v>42409</v>
      </c>
      <c r="I458" s="2"/>
    </row>
    <row r="459" spans="1:9" x14ac:dyDescent="0.35">
      <c r="A459" t="s">
        <v>489</v>
      </c>
      <c r="B459" t="s">
        <v>16</v>
      </c>
      <c r="C459" t="s">
        <v>14</v>
      </c>
      <c r="D459" t="s">
        <v>20</v>
      </c>
      <c r="E459">
        <v>0</v>
      </c>
      <c r="F459" t="s">
        <v>22</v>
      </c>
      <c r="G459" t="s">
        <v>937</v>
      </c>
      <c r="H459" s="1">
        <v>45067</v>
      </c>
      <c r="I459" s="2"/>
    </row>
    <row r="460" spans="1:9" x14ac:dyDescent="0.35">
      <c r="A460" t="s">
        <v>490</v>
      </c>
      <c r="B460" t="s">
        <v>16</v>
      </c>
      <c r="C460" t="s">
        <v>26</v>
      </c>
      <c r="D460" t="s">
        <v>15</v>
      </c>
      <c r="E460">
        <v>3</v>
      </c>
      <c r="F460" t="s">
        <v>22</v>
      </c>
      <c r="G460" t="s">
        <v>937</v>
      </c>
      <c r="H460" s="1">
        <v>45496</v>
      </c>
      <c r="I460" s="2"/>
    </row>
    <row r="461" spans="1:9" x14ac:dyDescent="0.35">
      <c r="A461" t="s">
        <v>491</v>
      </c>
      <c r="B461" t="s">
        <v>21</v>
      </c>
      <c r="C461" t="s">
        <v>14</v>
      </c>
      <c r="D461" t="s">
        <v>43</v>
      </c>
      <c r="E461">
        <v>15</v>
      </c>
      <c r="F461" t="s">
        <v>17</v>
      </c>
      <c r="G461" t="s">
        <v>936</v>
      </c>
      <c r="H461" s="1">
        <v>45545</v>
      </c>
      <c r="I461" s="2"/>
    </row>
    <row r="462" spans="1:9" x14ac:dyDescent="0.35">
      <c r="A462" t="s">
        <v>492</v>
      </c>
      <c r="B462" t="s">
        <v>21</v>
      </c>
      <c r="C462" t="s">
        <v>26</v>
      </c>
      <c r="D462" t="s">
        <v>20</v>
      </c>
      <c r="E462">
        <v>5</v>
      </c>
      <c r="F462" t="s">
        <v>37</v>
      </c>
      <c r="G462" t="s">
        <v>936</v>
      </c>
      <c r="H462" s="1">
        <v>44089</v>
      </c>
      <c r="I462" s="2"/>
    </row>
    <row r="463" spans="1:9" x14ac:dyDescent="0.35">
      <c r="A463" t="s">
        <v>493</v>
      </c>
      <c r="B463" t="s">
        <v>21</v>
      </c>
      <c r="C463" t="s">
        <v>29</v>
      </c>
      <c r="D463" t="s">
        <v>33</v>
      </c>
      <c r="E463">
        <v>11</v>
      </c>
      <c r="F463" t="s">
        <v>27</v>
      </c>
      <c r="G463" t="s">
        <v>936</v>
      </c>
      <c r="H463" s="1">
        <v>42992</v>
      </c>
      <c r="I463" s="2"/>
    </row>
    <row r="464" spans="1:9" x14ac:dyDescent="0.35">
      <c r="A464" t="s">
        <v>494</v>
      </c>
      <c r="B464" t="s">
        <v>21</v>
      </c>
      <c r="C464" t="s">
        <v>29</v>
      </c>
      <c r="D464" t="s">
        <v>33</v>
      </c>
      <c r="E464">
        <v>14</v>
      </c>
      <c r="F464" t="s">
        <v>31</v>
      </c>
      <c r="G464" t="s">
        <v>937</v>
      </c>
      <c r="H464" s="1">
        <v>42088</v>
      </c>
      <c r="I464" s="2"/>
    </row>
    <row r="465" spans="1:9" x14ac:dyDescent="0.35">
      <c r="A465" t="s">
        <v>495</v>
      </c>
      <c r="B465" t="s">
        <v>21</v>
      </c>
      <c r="C465" t="s">
        <v>19</v>
      </c>
      <c r="D465" t="s">
        <v>43</v>
      </c>
      <c r="E465">
        <v>14</v>
      </c>
      <c r="F465" t="s">
        <v>24</v>
      </c>
      <c r="G465" t="s">
        <v>936</v>
      </c>
      <c r="H465" s="1">
        <v>43103</v>
      </c>
      <c r="I465" s="2"/>
    </row>
    <row r="466" spans="1:9" x14ac:dyDescent="0.35">
      <c r="A466" t="s">
        <v>496</v>
      </c>
      <c r="B466" t="s">
        <v>16</v>
      </c>
      <c r="C466" t="s">
        <v>26</v>
      </c>
      <c r="D466" t="s">
        <v>33</v>
      </c>
      <c r="E466">
        <v>6</v>
      </c>
      <c r="F466" t="s">
        <v>17</v>
      </c>
      <c r="G466" t="s">
        <v>936</v>
      </c>
      <c r="H466" s="1">
        <v>43414</v>
      </c>
      <c r="I466" s="2"/>
    </row>
    <row r="467" spans="1:9" x14ac:dyDescent="0.35">
      <c r="A467" t="s">
        <v>497</v>
      </c>
      <c r="B467" t="s">
        <v>21</v>
      </c>
      <c r="C467" t="s">
        <v>19</v>
      </c>
      <c r="D467" t="s">
        <v>15</v>
      </c>
      <c r="E467">
        <v>14</v>
      </c>
      <c r="F467" t="s">
        <v>44</v>
      </c>
      <c r="G467" t="s">
        <v>937</v>
      </c>
      <c r="H467" s="1">
        <v>43176</v>
      </c>
      <c r="I467" s="2"/>
    </row>
    <row r="468" spans="1:9" x14ac:dyDescent="0.35">
      <c r="A468" t="s">
        <v>498</v>
      </c>
      <c r="B468" t="s">
        <v>21</v>
      </c>
      <c r="C468" t="s">
        <v>29</v>
      </c>
      <c r="D468" t="s">
        <v>43</v>
      </c>
      <c r="E468">
        <v>10</v>
      </c>
      <c r="F468" t="s">
        <v>70</v>
      </c>
      <c r="G468" t="s">
        <v>937</v>
      </c>
      <c r="H468" s="1">
        <v>43935</v>
      </c>
      <c r="I468" s="2"/>
    </row>
    <row r="469" spans="1:9" x14ac:dyDescent="0.35">
      <c r="A469" t="s">
        <v>499</v>
      </c>
      <c r="B469" t="s">
        <v>16</v>
      </c>
      <c r="C469" t="s">
        <v>29</v>
      </c>
      <c r="D469" t="s">
        <v>43</v>
      </c>
      <c r="E469">
        <v>3</v>
      </c>
      <c r="F469" t="s">
        <v>22</v>
      </c>
      <c r="G469" t="s">
        <v>937</v>
      </c>
      <c r="H469" s="1">
        <v>43913</v>
      </c>
      <c r="I469" s="2"/>
    </row>
    <row r="470" spans="1:9" x14ac:dyDescent="0.35">
      <c r="A470" t="s">
        <v>500</v>
      </c>
      <c r="B470" t="s">
        <v>21</v>
      </c>
      <c r="C470" t="s">
        <v>26</v>
      </c>
      <c r="D470" t="s">
        <v>33</v>
      </c>
      <c r="E470">
        <v>11</v>
      </c>
      <c r="F470" t="s">
        <v>27</v>
      </c>
      <c r="G470" t="s">
        <v>936</v>
      </c>
      <c r="H470" s="1">
        <v>42587</v>
      </c>
      <c r="I470" s="2"/>
    </row>
    <row r="471" spans="1:9" x14ac:dyDescent="0.35">
      <c r="A471" t="s">
        <v>501</v>
      </c>
      <c r="B471" t="s">
        <v>21</v>
      </c>
      <c r="C471" t="s">
        <v>35</v>
      </c>
      <c r="D471" t="s">
        <v>43</v>
      </c>
      <c r="E471">
        <v>4</v>
      </c>
      <c r="F471" t="s">
        <v>44</v>
      </c>
      <c r="G471" t="s">
        <v>937</v>
      </c>
      <c r="H471" s="1">
        <v>44468</v>
      </c>
      <c r="I471" s="2"/>
    </row>
    <row r="472" spans="1:9" x14ac:dyDescent="0.35">
      <c r="A472" t="s">
        <v>502</v>
      </c>
      <c r="B472" t="s">
        <v>21</v>
      </c>
      <c r="C472" t="s">
        <v>14</v>
      </c>
      <c r="D472" t="s">
        <v>15</v>
      </c>
      <c r="E472">
        <v>0</v>
      </c>
      <c r="F472" t="s">
        <v>70</v>
      </c>
      <c r="G472" t="s">
        <v>937</v>
      </c>
      <c r="H472" s="1">
        <v>44475</v>
      </c>
      <c r="I472" s="2"/>
    </row>
    <row r="473" spans="1:9" x14ac:dyDescent="0.35">
      <c r="A473" t="s">
        <v>503</v>
      </c>
      <c r="B473" t="s">
        <v>16</v>
      </c>
      <c r="C473" t="s">
        <v>26</v>
      </c>
      <c r="D473" t="s">
        <v>43</v>
      </c>
      <c r="E473">
        <v>6</v>
      </c>
      <c r="F473" t="s">
        <v>24</v>
      </c>
      <c r="G473" t="s">
        <v>936</v>
      </c>
      <c r="H473" s="1">
        <v>44102</v>
      </c>
      <c r="I473" s="2"/>
    </row>
    <row r="474" spans="1:9" x14ac:dyDescent="0.35">
      <c r="A474" t="s">
        <v>504</v>
      </c>
      <c r="B474" t="s">
        <v>16</v>
      </c>
      <c r="C474" t="s">
        <v>35</v>
      </c>
      <c r="D474" t="s">
        <v>15</v>
      </c>
      <c r="E474">
        <v>14</v>
      </c>
      <c r="F474" t="s">
        <v>17</v>
      </c>
      <c r="G474" t="s">
        <v>936</v>
      </c>
      <c r="H474" s="1">
        <v>44154</v>
      </c>
      <c r="I474" s="2"/>
    </row>
    <row r="475" spans="1:9" x14ac:dyDescent="0.35">
      <c r="A475" t="s">
        <v>505</v>
      </c>
      <c r="B475" t="s">
        <v>16</v>
      </c>
      <c r="C475" t="s">
        <v>29</v>
      </c>
      <c r="D475" t="s">
        <v>15</v>
      </c>
      <c r="E475">
        <v>10</v>
      </c>
      <c r="F475" t="s">
        <v>22</v>
      </c>
      <c r="G475" t="s">
        <v>937</v>
      </c>
      <c r="H475" s="1">
        <v>44807</v>
      </c>
      <c r="I475" s="2"/>
    </row>
    <row r="476" spans="1:9" x14ac:dyDescent="0.35">
      <c r="A476" t="s">
        <v>506</v>
      </c>
      <c r="B476" t="s">
        <v>21</v>
      </c>
      <c r="C476" t="s">
        <v>29</v>
      </c>
      <c r="D476" t="s">
        <v>20</v>
      </c>
      <c r="E476">
        <v>2</v>
      </c>
      <c r="F476" t="s">
        <v>22</v>
      </c>
      <c r="G476" t="s">
        <v>937</v>
      </c>
      <c r="H476" s="1">
        <v>44892</v>
      </c>
      <c r="I476" s="2"/>
    </row>
    <row r="477" spans="1:9" x14ac:dyDescent="0.35">
      <c r="A477" t="s">
        <v>507</v>
      </c>
      <c r="B477" t="s">
        <v>16</v>
      </c>
      <c r="C477" t="s">
        <v>19</v>
      </c>
      <c r="D477" t="s">
        <v>33</v>
      </c>
      <c r="E477">
        <v>8</v>
      </c>
      <c r="F477" t="s">
        <v>31</v>
      </c>
      <c r="G477" t="s">
        <v>937</v>
      </c>
      <c r="H477" s="1">
        <v>44105</v>
      </c>
      <c r="I477" s="2"/>
    </row>
    <row r="478" spans="1:9" x14ac:dyDescent="0.35">
      <c r="A478" t="s">
        <v>508</v>
      </c>
      <c r="B478" t="s">
        <v>21</v>
      </c>
      <c r="C478" t="s">
        <v>14</v>
      </c>
      <c r="D478" t="s">
        <v>20</v>
      </c>
      <c r="E478">
        <v>2</v>
      </c>
      <c r="F478" t="s">
        <v>17</v>
      </c>
      <c r="G478" t="s">
        <v>936</v>
      </c>
      <c r="H478" s="1">
        <v>43076</v>
      </c>
      <c r="I478" s="2"/>
    </row>
    <row r="479" spans="1:9" x14ac:dyDescent="0.35">
      <c r="A479" t="s">
        <v>509</v>
      </c>
      <c r="B479" t="s">
        <v>21</v>
      </c>
      <c r="C479" t="s">
        <v>19</v>
      </c>
      <c r="D479" t="s">
        <v>43</v>
      </c>
      <c r="E479">
        <v>8</v>
      </c>
      <c r="F479" t="s">
        <v>44</v>
      </c>
      <c r="G479" t="s">
        <v>937</v>
      </c>
      <c r="H479" s="1">
        <v>42507</v>
      </c>
      <c r="I479" s="2"/>
    </row>
    <row r="480" spans="1:9" x14ac:dyDescent="0.35">
      <c r="A480" t="s">
        <v>510</v>
      </c>
      <c r="B480" t="s">
        <v>21</v>
      </c>
      <c r="C480" t="s">
        <v>26</v>
      </c>
      <c r="D480" t="s">
        <v>43</v>
      </c>
      <c r="E480">
        <v>13</v>
      </c>
      <c r="F480" t="s">
        <v>17</v>
      </c>
      <c r="G480" t="s">
        <v>936</v>
      </c>
      <c r="H480" s="1">
        <v>42028</v>
      </c>
      <c r="I480" s="2"/>
    </row>
    <row r="481" spans="1:9" x14ac:dyDescent="0.35">
      <c r="A481" t="s">
        <v>511</v>
      </c>
      <c r="B481" t="s">
        <v>16</v>
      </c>
      <c r="C481" t="s">
        <v>14</v>
      </c>
      <c r="D481" t="s">
        <v>43</v>
      </c>
      <c r="E481">
        <v>15</v>
      </c>
      <c r="F481" t="s">
        <v>27</v>
      </c>
      <c r="G481" t="s">
        <v>936</v>
      </c>
      <c r="H481" s="1">
        <v>43823</v>
      </c>
      <c r="I481" s="2"/>
    </row>
    <row r="482" spans="1:9" x14ac:dyDescent="0.35">
      <c r="A482" t="s">
        <v>512</v>
      </c>
      <c r="B482" t="s">
        <v>21</v>
      </c>
      <c r="C482" t="s">
        <v>14</v>
      </c>
      <c r="D482" t="s">
        <v>33</v>
      </c>
      <c r="E482">
        <v>8</v>
      </c>
      <c r="F482" t="s">
        <v>17</v>
      </c>
      <c r="G482" t="s">
        <v>936</v>
      </c>
      <c r="H482" s="1">
        <v>44521</v>
      </c>
      <c r="I482" s="2"/>
    </row>
    <row r="483" spans="1:9" x14ac:dyDescent="0.35">
      <c r="A483" t="s">
        <v>513</v>
      </c>
      <c r="B483" t="s">
        <v>16</v>
      </c>
      <c r="C483" t="s">
        <v>29</v>
      </c>
      <c r="D483" t="s">
        <v>33</v>
      </c>
      <c r="E483">
        <v>8</v>
      </c>
      <c r="F483" t="s">
        <v>22</v>
      </c>
      <c r="G483" t="s">
        <v>937</v>
      </c>
      <c r="H483" s="1">
        <v>45249</v>
      </c>
      <c r="I483" s="2"/>
    </row>
    <row r="484" spans="1:9" x14ac:dyDescent="0.35">
      <c r="A484" t="s">
        <v>514</v>
      </c>
      <c r="B484" t="s">
        <v>21</v>
      </c>
      <c r="C484" t="s">
        <v>29</v>
      </c>
      <c r="D484" t="s">
        <v>33</v>
      </c>
      <c r="E484">
        <v>6</v>
      </c>
      <c r="F484" t="s">
        <v>70</v>
      </c>
      <c r="G484" t="s">
        <v>937</v>
      </c>
      <c r="H484" s="1">
        <v>42138</v>
      </c>
      <c r="I484" s="2"/>
    </row>
    <row r="485" spans="1:9" x14ac:dyDescent="0.35">
      <c r="A485" t="s">
        <v>515</v>
      </c>
      <c r="B485" t="s">
        <v>21</v>
      </c>
      <c r="C485" t="s">
        <v>26</v>
      </c>
      <c r="D485" t="s">
        <v>33</v>
      </c>
      <c r="E485">
        <v>5</v>
      </c>
      <c r="F485" t="s">
        <v>27</v>
      </c>
      <c r="G485" t="s">
        <v>936</v>
      </c>
      <c r="H485" s="1">
        <v>42188</v>
      </c>
      <c r="I485" s="2"/>
    </row>
    <row r="486" spans="1:9" x14ac:dyDescent="0.35">
      <c r="A486" t="s">
        <v>516</v>
      </c>
      <c r="B486" t="s">
        <v>16</v>
      </c>
      <c r="C486" t="s">
        <v>35</v>
      </c>
      <c r="D486" t="s">
        <v>43</v>
      </c>
      <c r="E486">
        <v>9</v>
      </c>
      <c r="F486" t="s">
        <v>44</v>
      </c>
      <c r="G486" t="s">
        <v>937</v>
      </c>
      <c r="H486" s="1">
        <v>44230</v>
      </c>
      <c r="I486" s="2"/>
    </row>
    <row r="487" spans="1:9" x14ac:dyDescent="0.35">
      <c r="A487" t="s">
        <v>517</v>
      </c>
      <c r="B487" t="s">
        <v>21</v>
      </c>
      <c r="C487" t="s">
        <v>29</v>
      </c>
      <c r="D487" t="s">
        <v>20</v>
      </c>
      <c r="E487">
        <v>12</v>
      </c>
      <c r="F487" t="s">
        <v>22</v>
      </c>
      <c r="G487" t="s">
        <v>937</v>
      </c>
      <c r="H487" s="1">
        <v>42733</v>
      </c>
      <c r="I487" s="2"/>
    </row>
    <row r="488" spans="1:9" x14ac:dyDescent="0.35">
      <c r="A488" t="s">
        <v>518</v>
      </c>
      <c r="B488" t="s">
        <v>16</v>
      </c>
      <c r="C488" t="s">
        <v>14</v>
      </c>
      <c r="D488" t="s">
        <v>20</v>
      </c>
      <c r="E488">
        <v>0</v>
      </c>
      <c r="F488" t="s">
        <v>17</v>
      </c>
      <c r="G488" t="s">
        <v>936</v>
      </c>
      <c r="H488" s="1">
        <v>42161</v>
      </c>
      <c r="I488" s="2"/>
    </row>
    <row r="489" spans="1:9" x14ac:dyDescent="0.35">
      <c r="A489" t="s">
        <v>519</v>
      </c>
      <c r="B489" t="s">
        <v>21</v>
      </c>
      <c r="C489" t="s">
        <v>35</v>
      </c>
      <c r="D489" t="s">
        <v>43</v>
      </c>
      <c r="E489">
        <v>5</v>
      </c>
      <c r="F489" t="s">
        <v>44</v>
      </c>
      <c r="G489" t="s">
        <v>937</v>
      </c>
      <c r="H489" s="1">
        <v>45625</v>
      </c>
      <c r="I489" s="2"/>
    </row>
    <row r="490" spans="1:9" x14ac:dyDescent="0.35">
      <c r="A490" t="s">
        <v>520</v>
      </c>
      <c r="B490" t="s">
        <v>21</v>
      </c>
      <c r="C490" t="s">
        <v>14</v>
      </c>
      <c r="D490" t="s">
        <v>43</v>
      </c>
      <c r="E490">
        <v>2</v>
      </c>
      <c r="F490" t="s">
        <v>22</v>
      </c>
      <c r="G490" t="s">
        <v>937</v>
      </c>
      <c r="H490" s="1">
        <v>44992</v>
      </c>
      <c r="I490" s="2"/>
    </row>
    <row r="491" spans="1:9" x14ac:dyDescent="0.35">
      <c r="A491" t="s">
        <v>521</v>
      </c>
      <c r="B491" t="s">
        <v>16</v>
      </c>
      <c r="C491" t="s">
        <v>14</v>
      </c>
      <c r="D491" t="s">
        <v>20</v>
      </c>
      <c r="E491">
        <v>12</v>
      </c>
      <c r="F491" t="s">
        <v>44</v>
      </c>
      <c r="G491" t="s">
        <v>937</v>
      </c>
      <c r="H491" s="1">
        <v>45032</v>
      </c>
      <c r="I491" s="2"/>
    </row>
    <row r="492" spans="1:9" x14ac:dyDescent="0.35">
      <c r="A492" t="s">
        <v>522</v>
      </c>
      <c r="B492" t="s">
        <v>21</v>
      </c>
      <c r="C492" t="s">
        <v>35</v>
      </c>
      <c r="D492" t="s">
        <v>43</v>
      </c>
      <c r="E492">
        <v>14</v>
      </c>
      <c r="F492" t="s">
        <v>27</v>
      </c>
      <c r="G492" t="s">
        <v>936</v>
      </c>
      <c r="H492" s="1">
        <v>44733</v>
      </c>
      <c r="I492" s="2"/>
    </row>
    <row r="493" spans="1:9" x14ac:dyDescent="0.35">
      <c r="A493" t="s">
        <v>523</v>
      </c>
      <c r="B493" t="s">
        <v>16</v>
      </c>
      <c r="C493" t="s">
        <v>19</v>
      </c>
      <c r="D493" t="s">
        <v>15</v>
      </c>
      <c r="E493">
        <v>8</v>
      </c>
      <c r="F493" t="s">
        <v>70</v>
      </c>
      <c r="G493" t="s">
        <v>937</v>
      </c>
      <c r="H493" s="1">
        <v>43200</v>
      </c>
      <c r="I493" s="2"/>
    </row>
    <row r="494" spans="1:9" x14ac:dyDescent="0.35">
      <c r="A494" t="s">
        <v>524</v>
      </c>
      <c r="B494" t="s">
        <v>21</v>
      </c>
      <c r="C494" t="s">
        <v>29</v>
      </c>
      <c r="D494" t="s">
        <v>33</v>
      </c>
      <c r="E494">
        <v>10</v>
      </c>
      <c r="F494" t="s">
        <v>31</v>
      </c>
      <c r="G494" t="s">
        <v>937</v>
      </c>
      <c r="H494" s="1">
        <v>45174</v>
      </c>
      <c r="I494" s="2"/>
    </row>
    <row r="495" spans="1:9" x14ac:dyDescent="0.35">
      <c r="A495" t="s">
        <v>525</v>
      </c>
      <c r="B495" t="s">
        <v>16</v>
      </c>
      <c r="C495" t="s">
        <v>14</v>
      </c>
      <c r="D495" t="s">
        <v>43</v>
      </c>
      <c r="E495">
        <v>7</v>
      </c>
      <c r="F495" t="s">
        <v>27</v>
      </c>
      <c r="G495" t="s">
        <v>936</v>
      </c>
      <c r="H495" s="1">
        <v>42551</v>
      </c>
      <c r="I495" s="2"/>
    </row>
    <row r="496" spans="1:9" x14ac:dyDescent="0.35">
      <c r="A496" t="s">
        <v>526</v>
      </c>
      <c r="B496" t="s">
        <v>21</v>
      </c>
      <c r="C496" t="s">
        <v>14</v>
      </c>
      <c r="D496" t="s">
        <v>20</v>
      </c>
      <c r="E496">
        <v>11</v>
      </c>
      <c r="F496" t="s">
        <v>70</v>
      </c>
      <c r="G496" t="s">
        <v>937</v>
      </c>
      <c r="H496" s="1">
        <v>43224</v>
      </c>
      <c r="I496" s="2"/>
    </row>
    <row r="497" spans="1:9" x14ac:dyDescent="0.35">
      <c r="A497" t="s">
        <v>527</v>
      </c>
      <c r="B497" t="s">
        <v>21</v>
      </c>
      <c r="C497" t="s">
        <v>26</v>
      </c>
      <c r="D497" t="s">
        <v>43</v>
      </c>
      <c r="E497">
        <v>9</v>
      </c>
      <c r="F497" t="s">
        <v>27</v>
      </c>
      <c r="G497" t="s">
        <v>936</v>
      </c>
      <c r="H497" s="1">
        <v>45292</v>
      </c>
      <c r="I497" s="2"/>
    </row>
    <row r="498" spans="1:9" x14ac:dyDescent="0.35">
      <c r="A498" t="s">
        <v>528</v>
      </c>
      <c r="B498" t="s">
        <v>16</v>
      </c>
      <c r="C498" t="s">
        <v>14</v>
      </c>
      <c r="D498" t="s">
        <v>15</v>
      </c>
      <c r="E498">
        <v>14</v>
      </c>
      <c r="F498" t="s">
        <v>37</v>
      </c>
      <c r="G498" t="s">
        <v>936</v>
      </c>
      <c r="H498" s="1">
        <v>43815</v>
      </c>
      <c r="I498" s="2"/>
    </row>
    <row r="499" spans="1:9" x14ac:dyDescent="0.35">
      <c r="A499" t="s">
        <v>529</v>
      </c>
      <c r="B499" t="s">
        <v>21</v>
      </c>
      <c r="C499" t="s">
        <v>29</v>
      </c>
      <c r="D499" t="s">
        <v>33</v>
      </c>
      <c r="E499">
        <v>4</v>
      </c>
      <c r="F499" t="s">
        <v>27</v>
      </c>
      <c r="G499" t="s">
        <v>936</v>
      </c>
      <c r="H499" s="1">
        <v>44253</v>
      </c>
      <c r="I499" s="2"/>
    </row>
    <row r="500" spans="1:9" x14ac:dyDescent="0.35">
      <c r="A500" t="s">
        <v>530</v>
      </c>
      <c r="B500" t="s">
        <v>16</v>
      </c>
      <c r="C500" t="s">
        <v>19</v>
      </c>
      <c r="D500" t="s">
        <v>15</v>
      </c>
      <c r="E500">
        <v>10</v>
      </c>
      <c r="F500" t="s">
        <v>27</v>
      </c>
      <c r="G500" t="s">
        <v>936</v>
      </c>
      <c r="H500" s="1">
        <v>42273</v>
      </c>
      <c r="I500" s="2"/>
    </row>
    <row r="501" spans="1:9" x14ac:dyDescent="0.35">
      <c r="A501" t="s">
        <v>531</v>
      </c>
      <c r="B501" t="s">
        <v>16</v>
      </c>
      <c r="C501" t="s">
        <v>29</v>
      </c>
      <c r="D501" t="s">
        <v>20</v>
      </c>
      <c r="E501">
        <v>10</v>
      </c>
      <c r="F501" t="s">
        <v>27</v>
      </c>
      <c r="G501" t="s">
        <v>936</v>
      </c>
      <c r="H501" s="1">
        <v>42318</v>
      </c>
      <c r="I501" s="2"/>
    </row>
    <row r="502" spans="1:9" x14ac:dyDescent="0.35">
      <c r="A502" t="s">
        <v>532</v>
      </c>
      <c r="B502" t="s">
        <v>21</v>
      </c>
      <c r="C502" t="s">
        <v>29</v>
      </c>
      <c r="D502" t="s">
        <v>20</v>
      </c>
      <c r="E502">
        <v>0</v>
      </c>
      <c r="F502" t="s">
        <v>37</v>
      </c>
      <c r="G502" t="s">
        <v>936</v>
      </c>
      <c r="H502" s="1">
        <v>45592</v>
      </c>
      <c r="I502" s="2"/>
    </row>
    <row r="503" spans="1:9" x14ac:dyDescent="0.35">
      <c r="A503" t="s">
        <v>533</v>
      </c>
      <c r="B503" t="s">
        <v>21</v>
      </c>
      <c r="C503" t="s">
        <v>14</v>
      </c>
      <c r="D503" t="s">
        <v>20</v>
      </c>
      <c r="E503">
        <v>4</v>
      </c>
      <c r="F503" t="s">
        <v>31</v>
      </c>
      <c r="G503" t="s">
        <v>937</v>
      </c>
      <c r="H503" s="1">
        <v>43596</v>
      </c>
      <c r="I503" s="2"/>
    </row>
    <row r="504" spans="1:9" x14ac:dyDescent="0.35">
      <c r="A504" t="s">
        <v>534</v>
      </c>
      <c r="B504" t="s">
        <v>16</v>
      </c>
      <c r="C504" t="s">
        <v>14</v>
      </c>
      <c r="D504" t="s">
        <v>20</v>
      </c>
      <c r="E504">
        <v>1</v>
      </c>
      <c r="F504" t="s">
        <v>27</v>
      </c>
      <c r="G504" t="s">
        <v>936</v>
      </c>
      <c r="H504" s="1">
        <v>44016</v>
      </c>
      <c r="I504" s="2"/>
    </row>
    <row r="505" spans="1:9" x14ac:dyDescent="0.35">
      <c r="A505" t="s">
        <v>535</v>
      </c>
      <c r="B505" t="s">
        <v>21</v>
      </c>
      <c r="C505" t="s">
        <v>26</v>
      </c>
      <c r="D505" t="s">
        <v>43</v>
      </c>
      <c r="E505">
        <v>13</v>
      </c>
      <c r="F505" t="s">
        <v>17</v>
      </c>
      <c r="G505" t="s">
        <v>936</v>
      </c>
      <c r="H505" s="1">
        <v>43833</v>
      </c>
      <c r="I505" s="2"/>
    </row>
    <row r="506" spans="1:9" x14ac:dyDescent="0.35">
      <c r="A506" t="s">
        <v>536</v>
      </c>
      <c r="B506" t="s">
        <v>16</v>
      </c>
      <c r="C506" t="s">
        <v>19</v>
      </c>
      <c r="D506" t="s">
        <v>43</v>
      </c>
      <c r="E506">
        <v>5</v>
      </c>
      <c r="F506" t="s">
        <v>24</v>
      </c>
      <c r="G506" t="s">
        <v>936</v>
      </c>
      <c r="H506" s="1">
        <v>42538</v>
      </c>
      <c r="I506" s="2"/>
    </row>
    <row r="507" spans="1:9" x14ac:dyDescent="0.35">
      <c r="A507" t="s">
        <v>537</v>
      </c>
      <c r="B507" t="s">
        <v>21</v>
      </c>
      <c r="C507" t="s">
        <v>29</v>
      </c>
      <c r="D507" t="s">
        <v>33</v>
      </c>
      <c r="E507">
        <v>3</v>
      </c>
      <c r="F507" t="s">
        <v>70</v>
      </c>
      <c r="G507" t="s">
        <v>937</v>
      </c>
      <c r="H507" s="1">
        <v>43450</v>
      </c>
      <c r="I507" s="2"/>
    </row>
    <row r="508" spans="1:9" x14ac:dyDescent="0.35">
      <c r="A508" t="s">
        <v>538</v>
      </c>
      <c r="B508" t="s">
        <v>21</v>
      </c>
      <c r="C508" t="s">
        <v>14</v>
      </c>
      <c r="D508" t="s">
        <v>43</v>
      </c>
      <c r="E508">
        <v>13</v>
      </c>
      <c r="F508" t="s">
        <v>70</v>
      </c>
      <c r="G508" t="s">
        <v>937</v>
      </c>
      <c r="H508" s="1">
        <v>45415</v>
      </c>
      <c r="I508" s="2"/>
    </row>
    <row r="509" spans="1:9" x14ac:dyDescent="0.35">
      <c r="A509" t="s">
        <v>539</v>
      </c>
      <c r="B509" t="s">
        <v>21</v>
      </c>
      <c r="C509" t="s">
        <v>19</v>
      </c>
      <c r="D509" t="s">
        <v>15</v>
      </c>
      <c r="E509">
        <v>15</v>
      </c>
      <c r="F509" t="s">
        <v>31</v>
      </c>
      <c r="G509" t="s">
        <v>937</v>
      </c>
      <c r="H509" s="1">
        <v>44884</v>
      </c>
      <c r="I509" s="2"/>
    </row>
    <row r="510" spans="1:9" x14ac:dyDescent="0.35">
      <c r="A510" t="s">
        <v>540</v>
      </c>
      <c r="B510" t="s">
        <v>16</v>
      </c>
      <c r="C510" t="s">
        <v>35</v>
      </c>
      <c r="D510" t="s">
        <v>33</v>
      </c>
      <c r="E510">
        <v>0</v>
      </c>
      <c r="F510" t="s">
        <v>31</v>
      </c>
      <c r="G510" t="s">
        <v>937</v>
      </c>
      <c r="H510" s="1">
        <v>43627</v>
      </c>
      <c r="I510" s="2"/>
    </row>
    <row r="511" spans="1:9" x14ac:dyDescent="0.35">
      <c r="A511" t="s">
        <v>541</v>
      </c>
      <c r="B511" t="s">
        <v>16</v>
      </c>
      <c r="C511" t="s">
        <v>26</v>
      </c>
      <c r="D511" t="s">
        <v>15</v>
      </c>
      <c r="E511">
        <v>1</v>
      </c>
      <c r="F511" t="s">
        <v>44</v>
      </c>
      <c r="G511" t="s">
        <v>937</v>
      </c>
      <c r="H511" s="1">
        <v>42790</v>
      </c>
      <c r="I511" s="2"/>
    </row>
    <row r="512" spans="1:9" x14ac:dyDescent="0.35">
      <c r="A512" t="s">
        <v>542</v>
      </c>
      <c r="B512" t="s">
        <v>21</v>
      </c>
      <c r="C512" t="s">
        <v>29</v>
      </c>
      <c r="D512" t="s">
        <v>43</v>
      </c>
      <c r="E512">
        <v>7</v>
      </c>
      <c r="F512" t="s">
        <v>44</v>
      </c>
      <c r="G512" t="s">
        <v>937</v>
      </c>
      <c r="H512" s="1">
        <v>45138</v>
      </c>
      <c r="I512" s="2"/>
    </row>
    <row r="513" spans="1:9" x14ac:dyDescent="0.35">
      <c r="A513" t="s">
        <v>543</v>
      </c>
      <c r="B513" t="s">
        <v>16</v>
      </c>
      <c r="C513" t="s">
        <v>19</v>
      </c>
      <c r="D513" t="s">
        <v>43</v>
      </c>
      <c r="E513">
        <v>3</v>
      </c>
      <c r="F513" t="s">
        <v>24</v>
      </c>
      <c r="G513" t="s">
        <v>936</v>
      </c>
      <c r="H513" s="1">
        <v>45229</v>
      </c>
      <c r="I513" s="2"/>
    </row>
    <row r="514" spans="1:9" x14ac:dyDescent="0.35">
      <c r="A514" t="s">
        <v>544</v>
      </c>
      <c r="B514" t="s">
        <v>21</v>
      </c>
      <c r="C514" t="s">
        <v>35</v>
      </c>
      <c r="D514" t="s">
        <v>43</v>
      </c>
      <c r="E514">
        <v>15</v>
      </c>
      <c r="F514" t="s">
        <v>44</v>
      </c>
      <c r="G514" t="s">
        <v>937</v>
      </c>
      <c r="H514" s="1">
        <v>43416</v>
      </c>
      <c r="I514" s="2"/>
    </row>
    <row r="515" spans="1:9" x14ac:dyDescent="0.35">
      <c r="A515" t="s">
        <v>545</v>
      </c>
      <c r="B515" t="s">
        <v>21</v>
      </c>
      <c r="C515" t="s">
        <v>26</v>
      </c>
      <c r="D515" t="s">
        <v>43</v>
      </c>
      <c r="E515">
        <v>15</v>
      </c>
      <c r="F515" t="s">
        <v>44</v>
      </c>
      <c r="G515" t="s">
        <v>937</v>
      </c>
      <c r="H515" s="1">
        <v>43685</v>
      </c>
      <c r="I515" s="2"/>
    </row>
    <row r="516" spans="1:9" x14ac:dyDescent="0.35">
      <c r="A516" t="s">
        <v>546</v>
      </c>
      <c r="B516" t="s">
        <v>16</v>
      </c>
      <c r="C516" t="s">
        <v>19</v>
      </c>
      <c r="D516" t="s">
        <v>15</v>
      </c>
      <c r="E516">
        <v>5</v>
      </c>
      <c r="F516" t="s">
        <v>31</v>
      </c>
      <c r="G516" t="s">
        <v>937</v>
      </c>
      <c r="H516" s="1">
        <v>42823</v>
      </c>
      <c r="I516" s="2"/>
    </row>
    <row r="517" spans="1:9" x14ac:dyDescent="0.35">
      <c r="A517" t="s">
        <v>547</v>
      </c>
      <c r="B517" t="s">
        <v>21</v>
      </c>
      <c r="C517" t="s">
        <v>19</v>
      </c>
      <c r="D517" t="s">
        <v>20</v>
      </c>
      <c r="E517">
        <v>6</v>
      </c>
      <c r="F517" t="s">
        <v>44</v>
      </c>
      <c r="G517" t="s">
        <v>937</v>
      </c>
      <c r="H517" s="1">
        <v>45451</v>
      </c>
      <c r="I517" s="2"/>
    </row>
    <row r="518" spans="1:9" x14ac:dyDescent="0.35">
      <c r="A518" t="s">
        <v>548</v>
      </c>
      <c r="B518" t="s">
        <v>16</v>
      </c>
      <c r="C518" t="s">
        <v>29</v>
      </c>
      <c r="D518" t="s">
        <v>43</v>
      </c>
      <c r="E518">
        <v>9</v>
      </c>
      <c r="F518" t="s">
        <v>31</v>
      </c>
      <c r="G518" t="s">
        <v>937</v>
      </c>
      <c r="H518" s="1">
        <v>44489</v>
      </c>
      <c r="I518" s="2"/>
    </row>
    <row r="519" spans="1:9" x14ac:dyDescent="0.35">
      <c r="A519" t="s">
        <v>549</v>
      </c>
      <c r="B519" t="s">
        <v>16</v>
      </c>
      <c r="C519" t="s">
        <v>29</v>
      </c>
      <c r="D519" t="s">
        <v>43</v>
      </c>
      <c r="E519">
        <v>14</v>
      </c>
      <c r="F519" t="s">
        <v>44</v>
      </c>
      <c r="G519" t="s">
        <v>937</v>
      </c>
      <c r="H519" s="1">
        <v>43999</v>
      </c>
      <c r="I519" s="2"/>
    </row>
    <row r="520" spans="1:9" x14ac:dyDescent="0.35">
      <c r="A520" t="s">
        <v>550</v>
      </c>
      <c r="B520" t="s">
        <v>21</v>
      </c>
      <c r="C520" t="s">
        <v>19</v>
      </c>
      <c r="D520" t="s">
        <v>15</v>
      </c>
      <c r="E520">
        <v>10</v>
      </c>
      <c r="F520" t="s">
        <v>24</v>
      </c>
      <c r="G520" t="s">
        <v>936</v>
      </c>
      <c r="H520" s="1">
        <v>45595</v>
      </c>
      <c r="I520" s="2"/>
    </row>
    <row r="521" spans="1:9" x14ac:dyDescent="0.35">
      <c r="A521" t="s">
        <v>551</v>
      </c>
      <c r="B521" t="s">
        <v>21</v>
      </c>
      <c r="C521" t="s">
        <v>35</v>
      </c>
      <c r="D521" t="s">
        <v>33</v>
      </c>
      <c r="E521">
        <v>10</v>
      </c>
      <c r="F521" t="s">
        <v>37</v>
      </c>
      <c r="G521" t="s">
        <v>936</v>
      </c>
      <c r="H521" s="1">
        <v>44704</v>
      </c>
      <c r="I521" s="2"/>
    </row>
    <row r="522" spans="1:9" x14ac:dyDescent="0.35">
      <c r="A522" t="s">
        <v>552</v>
      </c>
      <c r="B522" t="s">
        <v>21</v>
      </c>
      <c r="C522" t="s">
        <v>19</v>
      </c>
      <c r="D522" t="s">
        <v>15</v>
      </c>
      <c r="E522">
        <v>14</v>
      </c>
      <c r="F522" t="s">
        <v>31</v>
      </c>
      <c r="G522" t="s">
        <v>937</v>
      </c>
      <c r="H522" s="1">
        <v>42671</v>
      </c>
      <c r="I522" s="2"/>
    </row>
    <row r="523" spans="1:9" x14ac:dyDescent="0.35">
      <c r="A523" t="s">
        <v>553</v>
      </c>
      <c r="B523" t="s">
        <v>16</v>
      </c>
      <c r="C523" t="s">
        <v>26</v>
      </c>
      <c r="D523" t="s">
        <v>15</v>
      </c>
      <c r="E523">
        <v>9</v>
      </c>
      <c r="F523" t="s">
        <v>17</v>
      </c>
      <c r="G523" t="s">
        <v>936</v>
      </c>
      <c r="H523" s="1">
        <v>44986</v>
      </c>
      <c r="I523" s="2"/>
    </row>
    <row r="524" spans="1:9" x14ac:dyDescent="0.35">
      <c r="A524" t="s">
        <v>554</v>
      </c>
      <c r="B524" t="s">
        <v>16</v>
      </c>
      <c r="C524" t="s">
        <v>19</v>
      </c>
      <c r="D524" t="s">
        <v>33</v>
      </c>
      <c r="E524">
        <v>13</v>
      </c>
      <c r="F524" t="s">
        <v>70</v>
      </c>
      <c r="G524" t="s">
        <v>937</v>
      </c>
      <c r="H524" s="1">
        <v>43032</v>
      </c>
      <c r="I524" s="2"/>
    </row>
    <row r="525" spans="1:9" x14ac:dyDescent="0.35">
      <c r="A525" t="s">
        <v>555</v>
      </c>
      <c r="B525" t="s">
        <v>16</v>
      </c>
      <c r="C525" t="s">
        <v>14</v>
      </c>
      <c r="D525" t="s">
        <v>43</v>
      </c>
      <c r="E525">
        <v>4</v>
      </c>
      <c r="F525" t="s">
        <v>44</v>
      </c>
      <c r="G525" t="s">
        <v>937</v>
      </c>
      <c r="H525" s="1">
        <v>43614</v>
      </c>
      <c r="I525" s="2"/>
    </row>
    <row r="526" spans="1:9" x14ac:dyDescent="0.35">
      <c r="A526" t="s">
        <v>556</v>
      </c>
      <c r="B526" t="s">
        <v>21</v>
      </c>
      <c r="C526" t="s">
        <v>35</v>
      </c>
      <c r="D526" t="s">
        <v>43</v>
      </c>
      <c r="E526">
        <v>3</v>
      </c>
      <c r="F526" t="s">
        <v>70</v>
      </c>
      <c r="G526" t="s">
        <v>937</v>
      </c>
      <c r="H526" s="1">
        <v>43748</v>
      </c>
      <c r="I526" s="2"/>
    </row>
    <row r="527" spans="1:9" x14ac:dyDescent="0.35">
      <c r="A527" t="s">
        <v>557</v>
      </c>
      <c r="B527" t="s">
        <v>21</v>
      </c>
      <c r="C527" t="s">
        <v>14</v>
      </c>
      <c r="D527" t="s">
        <v>15</v>
      </c>
      <c r="E527">
        <v>2</v>
      </c>
      <c r="F527" t="s">
        <v>27</v>
      </c>
      <c r="G527" t="s">
        <v>936</v>
      </c>
      <c r="H527" s="1">
        <v>42710</v>
      </c>
      <c r="I527" s="2"/>
    </row>
    <row r="528" spans="1:9" x14ac:dyDescent="0.35">
      <c r="A528" t="s">
        <v>558</v>
      </c>
      <c r="B528" t="s">
        <v>21</v>
      </c>
      <c r="C528" t="s">
        <v>26</v>
      </c>
      <c r="D528" t="s">
        <v>15</v>
      </c>
      <c r="E528">
        <v>4</v>
      </c>
      <c r="F528" t="s">
        <v>37</v>
      </c>
      <c r="G528" t="s">
        <v>936</v>
      </c>
      <c r="H528" s="1">
        <v>44428</v>
      </c>
      <c r="I528" s="2"/>
    </row>
    <row r="529" spans="1:9" x14ac:dyDescent="0.35">
      <c r="A529" t="s">
        <v>559</v>
      </c>
      <c r="B529" t="s">
        <v>16</v>
      </c>
      <c r="C529" t="s">
        <v>29</v>
      </c>
      <c r="D529" t="s">
        <v>15</v>
      </c>
      <c r="E529">
        <v>8</v>
      </c>
      <c r="F529" t="s">
        <v>17</v>
      </c>
      <c r="G529" t="s">
        <v>936</v>
      </c>
      <c r="H529" s="1">
        <v>42769</v>
      </c>
      <c r="I529" s="2"/>
    </row>
    <row r="530" spans="1:9" x14ac:dyDescent="0.35">
      <c r="A530" t="s">
        <v>560</v>
      </c>
      <c r="B530" t="s">
        <v>16</v>
      </c>
      <c r="C530" t="s">
        <v>26</v>
      </c>
      <c r="D530" t="s">
        <v>33</v>
      </c>
      <c r="E530">
        <v>9</v>
      </c>
      <c r="F530" t="s">
        <v>31</v>
      </c>
      <c r="G530" t="s">
        <v>937</v>
      </c>
      <c r="H530" s="1">
        <v>43802</v>
      </c>
      <c r="I530" s="2"/>
    </row>
    <row r="531" spans="1:9" x14ac:dyDescent="0.35">
      <c r="A531" t="s">
        <v>561</v>
      </c>
      <c r="B531" t="s">
        <v>16</v>
      </c>
      <c r="C531" t="s">
        <v>29</v>
      </c>
      <c r="D531" t="s">
        <v>20</v>
      </c>
      <c r="E531">
        <v>9</v>
      </c>
      <c r="F531" t="s">
        <v>44</v>
      </c>
      <c r="G531" t="s">
        <v>937</v>
      </c>
      <c r="H531" s="1">
        <v>44252</v>
      </c>
      <c r="I531" s="2"/>
    </row>
    <row r="532" spans="1:9" x14ac:dyDescent="0.35">
      <c r="A532" t="s">
        <v>562</v>
      </c>
      <c r="B532" t="s">
        <v>21</v>
      </c>
      <c r="C532" t="s">
        <v>35</v>
      </c>
      <c r="D532" t="s">
        <v>15</v>
      </c>
      <c r="E532">
        <v>4</v>
      </c>
      <c r="F532" t="s">
        <v>31</v>
      </c>
      <c r="G532" t="s">
        <v>937</v>
      </c>
      <c r="H532" s="1">
        <v>43863</v>
      </c>
      <c r="I532" s="2"/>
    </row>
    <row r="533" spans="1:9" x14ac:dyDescent="0.35">
      <c r="A533" t="s">
        <v>563</v>
      </c>
      <c r="B533" t="s">
        <v>16</v>
      </c>
      <c r="C533" t="s">
        <v>14</v>
      </c>
      <c r="D533" t="s">
        <v>15</v>
      </c>
      <c r="E533">
        <v>11</v>
      </c>
      <c r="F533" t="s">
        <v>37</v>
      </c>
      <c r="G533" t="s">
        <v>936</v>
      </c>
      <c r="H533" s="1">
        <v>43096</v>
      </c>
      <c r="I533" s="2"/>
    </row>
    <row r="534" spans="1:9" x14ac:dyDescent="0.35">
      <c r="A534" t="s">
        <v>564</v>
      </c>
      <c r="B534" t="s">
        <v>16</v>
      </c>
      <c r="C534" t="s">
        <v>26</v>
      </c>
      <c r="D534" t="s">
        <v>15</v>
      </c>
      <c r="E534">
        <v>8</v>
      </c>
      <c r="F534" t="s">
        <v>31</v>
      </c>
      <c r="G534" t="s">
        <v>937</v>
      </c>
      <c r="H534" s="1">
        <v>42539</v>
      </c>
      <c r="I534" s="2"/>
    </row>
    <row r="535" spans="1:9" x14ac:dyDescent="0.35">
      <c r="A535" t="s">
        <v>565</v>
      </c>
      <c r="B535" t="s">
        <v>21</v>
      </c>
      <c r="C535" t="s">
        <v>35</v>
      </c>
      <c r="D535" t="s">
        <v>20</v>
      </c>
      <c r="E535">
        <v>3</v>
      </c>
      <c r="F535" t="s">
        <v>22</v>
      </c>
      <c r="G535" t="s">
        <v>937</v>
      </c>
      <c r="H535" s="1">
        <v>43916</v>
      </c>
      <c r="I535" s="2"/>
    </row>
    <row r="536" spans="1:9" x14ac:dyDescent="0.35">
      <c r="A536" t="s">
        <v>566</v>
      </c>
      <c r="B536" t="s">
        <v>21</v>
      </c>
      <c r="C536" t="s">
        <v>35</v>
      </c>
      <c r="D536" t="s">
        <v>33</v>
      </c>
      <c r="E536">
        <v>0</v>
      </c>
      <c r="F536" t="s">
        <v>31</v>
      </c>
      <c r="G536" t="s">
        <v>937</v>
      </c>
      <c r="H536" s="1">
        <v>44348</v>
      </c>
      <c r="I536" s="2"/>
    </row>
    <row r="537" spans="1:9" x14ac:dyDescent="0.35">
      <c r="A537" t="s">
        <v>567</v>
      </c>
      <c r="B537" t="s">
        <v>21</v>
      </c>
      <c r="C537" t="s">
        <v>26</v>
      </c>
      <c r="D537" t="s">
        <v>43</v>
      </c>
      <c r="E537">
        <v>9</v>
      </c>
      <c r="F537" t="s">
        <v>70</v>
      </c>
      <c r="G537" t="s">
        <v>937</v>
      </c>
      <c r="H537" s="1">
        <v>42260</v>
      </c>
      <c r="I537" s="2"/>
    </row>
    <row r="538" spans="1:9" x14ac:dyDescent="0.35">
      <c r="A538" t="s">
        <v>568</v>
      </c>
      <c r="B538" t="s">
        <v>16</v>
      </c>
      <c r="C538" t="s">
        <v>35</v>
      </c>
      <c r="D538" t="s">
        <v>33</v>
      </c>
      <c r="E538">
        <v>8</v>
      </c>
      <c r="F538" t="s">
        <v>31</v>
      </c>
      <c r="G538" t="s">
        <v>937</v>
      </c>
      <c r="H538" s="1">
        <v>44724</v>
      </c>
      <c r="I538" s="2"/>
    </row>
    <row r="539" spans="1:9" x14ac:dyDescent="0.35">
      <c r="A539" t="s">
        <v>569</v>
      </c>
      <c r="B539" t="s">
        <v>16</v>
      </c>
      <c r="C539" t="s">
        <v>35</v>
      </c>
      <c r="D539" t="s">
        <v>43</v>
      </c>
      <c r="E539">
        <v>11</v>
      </c>
      <c r="F539" t="s">
        <v>22</v>
      </c>
      <c r="G539" t="s">
        <v>937</v>
      </c>
      <c r="H539" s="1">
        <v>43970</v>
      </c>
      <c r="I539" s="2"/>
    </row>
    <row r="540" spans="1:9" x14ac:dyDescent="0.35">
      <c r="A540" t="s">
        <v>570</v>
      </c>
      <c r="B540" t="s">
        <v>21</v>
      </c>
      <c r="C540" t="s">
        <v>29</v>
      </c>
      <c r="D540" t="s">
        <v>20</v>
      </c>
      <c r="E540">
        <v>13</v>
      </c>
      <c r="F540" t="s">
        <v>31</v>
      </c>
      <c r="G540" t="s">
        <v>937</v>
      </c>
      <c r="H540" s="1">
        <v>44027</v>
      </c>
      <c r="I540" s="2"/>
    </row>
    <row r="541" spans="1:9" x14ac:dyDescent="0.35">
      <c r="A541" t="s">
        <v>571</v>
      </c>
      <c r="B541" t="s">
        <v>21</v>
      </c>
      <c r="C541" t="s">
        <v>29</v>
      </c>
      <c r="D541" t="s">
        <v>33</v>
      </c>
      <c r="E541">
        <v>5</v>
      </c>
      <c r="F541" t="s">
        <v>22</v>
      </c>
      <c r="G541" t="s">
        <v>937</v>
      </c>
      <c r="H541" s="1">
        <v>43155</v>
      </c>
      <c r="I541" s="2"/>
    </row>
    <row r="542" spans="1:9" x14ac:dyDescent="0.35">
      <c r="A542" t="s">
        <v>572</v>
      </c>
      <c r="B542" t="s">
        <v>21</v>
      </c>
      <c r="C542" t="s">
        <v>14</v>
      </c>
      <c r="D542" t="s">
        <v>43</v>
      </c>
      <c r="E542">
        <v>3</v>
      </c>
      <c r="F542" t="s">
        <v>17</v>
      </c>
      <c r="G542" t="s">
        <v>936</v>
      </c>
      <c r="H542" s="1">
        <v>43970</v>
      </c>
      <c r="I542" s="2"/>
    </row>
    <row r="543" spans="1:9" x14ac:dyDescent="0.35">
      <c r="A543" t="s">
        <v>573</v>
      </c>
      <c r="B543" t="s">
        <v>21</v>
      </c>
      <c r="C543" t="s">
        <v>29</v>
      </c>
      <c r="D543" t="s">
        <v>15</v>
      </c>
      <c r="E543">
        <v>9</v>
      </c>
      <c r="F543" t="s">
        <v>24</v>
      </c>
      <c r="G543" t="s">
        <v>936</v>
      </c>
      <c r="H543" s="1">
        <v>43840</v>
      </c>
      <c r="I543" s="2"/>
    </row>
    <row r="544" spans="1:9" x14ac:dyDescent="0.35">
      <c r="A544" t="s">
        <v>574</v>
      </c>
      <c r="B544" t="s">
        <v>21</v>
      </c>
      <c r="C544" t="s">
        <v>14</v>
      </c>
      <c r="D544" t="s">
        <v>43</v>
      </c>
      <c r="E544">
        <v>12</v>
      </c>
      <c r="F544" t="s">
        <v>27</v>
      </c>
      <c r="G544" t="s">
        <v>936</v>
      </c>
      <c r="H544" s="1">
        <v>42268</v>
      </c>
      <c r="I544" s="2"/>
    </row>
    <row r="545" spans="1:9" x14ac:dyDescent="0.35">
      <c r="A545" t="s">
        <v>575</v>
      </c>
      <c r="B545" t="s">
        <v>21</v>
      </c>
      <c r="C545" t="s">
        <v>14</v>
      </c>
      <c r="D545" t="s">
        <v>43</v>
      </c>
      <c r="E545">
        <v>15</v>
      </c>
      <c r="F545" t="s">
        <v>17</v>
      </c>
      <c r="G545" t="s">
        <v>936</v>
      </c>
      <c r="H545" s="1">
        <v>43798</v>
      </c>
      <c r="I545" s="2"/>
    </row>
    <row r="546" spans="1:9" x14ac:dyDescent="0.35">
      <c r="A546" t="s">
        <v>576</v>
      </c>
      <c r="B546" t="s">
        <v>16</v>
      </c>
      <c r="C546" t="s">
        <v>35</v>
      </c>
      <c r="D546" t="s">
        <v>20</v>
      </c>
      <c r="E546">
        <v>2</v>
      </c>
      <c r="F546" t="s">
        <v>22</v>
      </c>
      <c r="G546" t="s">
        <v>937</v>
      </c>
      <c r="H546" s="1">
        <v>45430</v>
      </c>
      <c r="I546" s="2"/>
    </row>
    <row r="547" spans="1:9" x14ac:dyDescent="0.35">
      <c r="A547" t="s">
        <v>577</v>
      </c>
      <c r="B547" t="s">
        <v>16</v>
      </c>
      <c r="C547" t="s">
        <v>19</v>
      </c>
      <c r="D547" t="s">
        <v>43</v>
      </c>
      <c r="E547">
        <v>4</v>
      </c>
      <c r="F547" t="s">
        <v>22</v>
      </c>
      <c r="G547" t="s">
        <v>937</v>
      </c>
      <c r="H547" s="1">
        <v>44135</v>
      </c>
      <c r="I547" s="2"/>
    </row>
    <row r="548" spans="1:9" x14ac:dyDescent="0.35">
      <c r="A548" t="s">
        <v>578</v>
      </c>
      <c r="B548" t="s">
        <v>16</v>
      </c>
      <c r="C548" t="s">
        <v>19</v>
      </c>
      <c r="D548" t="s">
        <v>15</v>
      </c>
      <c r="E548">
        <v>9</v>
      </c>
      <c r="F548" t="s">
        <v>44</v>
      </c>
      <c r="G548" t="s">
        <v>937</v>
      </c>
      <c r="H548" s="1">
        <v>42166</v>
      </c>
      <c r="I548" s="2"/>
    </row>
    <row r="549" spans="1:9" x14ac:dyDescent="0.35">
      <c r="A549" t="s">
        <v>579</v>
      </c>
      <c r="B549" t="s">
        <v>16</v>
      </c>
      <c r="C549" t="s">
        <v>19</v>
      </c>
      <c r="D549" t="s">
        <v>43</v>
      </c>
      <c r="E549">
        <v>13</v>
      </c>
      <c r="F549" t="s">
        <v>24</v>
      </c>
      <c r="G549" t="s">
        <v>936</v>
      </c>
      <c r="H549" s="1">
        <v>45533</v>
      </c>
      <c r="I549" s="2"/>
    </row>
    <row r="550" spans="1:9" x14ac:dyDescent="0.35">
      <c r="A550" t="s">
        <v>580</v>
      </c>
      <c r="B550" t="s">
        <v>16</v>
      </c>
      <c r="C550" t="s">
        <v>19</v>
      </c>
      <c r="D550" t="s">
        <v>20</v>
      </c>
      <c r="E550">
        <v>7</v>
      </c>
      <c r="F550" t="s">
        <v>70</v>
      </c>
      <c r="G550" t="s">
        <v>937</v>
      </c>
      <c r="H550" s="1">
        <v>42027</v>
      </c>
      <c r="I550" s="2"/>
    </row>
    <row r="551" spans="1:9" x14ac:dyDescent="0.35">
      <c r="A551" t="s">
        <v>581</v>
      </c>
      <c r="B551" t="s">
        <v>16</v>
      </c>
      <c r="C551" t="s">
        <v>29</v>
      </c>
      <c r="D551" t="s">
        <v>43</v>
      </c>
      <c r="E551">
        <v>6</v>
      </c>
      <c r="F551" t="s">
        <v>37</v>
      </c>
      <c r="G551" t="s">
        <v>936</v>
      </c>
      <c r="H551" s="1">
        <v>45373</v>
      </c>
      <c r="I551" s="2"/>
    </row>
    <row r="552" spans="1:9" x14ac:dyDescent="0.35">
      <c r="A552" t="s">
        <v>582</v>
      </c>
      <c r="B552" t="s">
        <v>21</v>
      </c>
      <c r="C552" t="s">
        <v>35</v>
      </c>
      <c r="D552" t="s">
        <v>20</v>
      </c>
      <c r="E552">
        <v>8</v>
      </c>
      <c r="F552" t="s">
        <v>27</v>
      </c>
      <c r="G552" t="s">
        <v>936</v>
      </c>
      <c r="H552" s="1">
        <v>43073</v>
      </c>
      <c r="I552" s="2"/>
    </row>
    <row r="553" spans="1:9" x14ac:dyDescent="0.35">
      <c r="A553" t="s">
        <v>583</v>
      </c>
      <c r="B553" t="s">
        <v>16</v>
      </c>
      <c r="C553" t="s">
        <v>14</v>
      </c>
      <c r="D553" t="s">
        <v>15</v>
      </c>
      <c r="E553">
        <v>15</v>
      </c>
      <c r="F553" t="s">
        <v>17</v>
      </c>
      <c r="G553" t="s">
        <v>936</v>
      </c>
      <c r="H553" s="1">
        <v>43434</v>
      </c>
      <c r="I553" s="2"/>
    </row>
    <row r="554" spans="1:9" x14ac:dyDescent="0.35">
      <c r="A554" t="s">
        <v>584</v>
      </c>
      <c r="B554" t="s">
        <v>16</v>
      </c>
      <c r="C554" t="s">
        <v>26</v>
      </c>
      <c r="D554" t="s">
        <v>33</v>
      </c>
      <c r="E554">
        <v>2</v>
      </c>
      <c r="F554" t="s">
        <v>44</v>
      </c>
      <c r="G554" t="s">
        <v>937</v>
      </c>
      <c r="H554" s="1">
        <v>43817</v>
      </c>
      <c r="I554" s="2"/>
    </row>
    <row r="555" spans="1:9" x14ac:dyDescent="0.35">
      <c r="A555" t="s">
        <v>585</v>
      </c>
      <c r="B555" t="s">
        <v>21</v>
      </c>
      <c r="C555" t="s">
        <v>29</v>
      </c>
      <c r="D555" t="s">
        <v>20</v>
      </c>
      <c r="E555">
        <v>1</v>
      </c>
      <c r="F555" t="s">
        <v>37</v>
      </c>
      <c r="G555" t="s">
        <v>936</v>
      </c>
      <c r="H555" s="1">
        <v>44749</v>
      </c>
      <c r="I555" s="2"/>
    </row>
    <row r="556" spans="1:9" x14ac:dyDescent="0.35">
      <c r="A556" t="s">
        <v>586</v>
      </c>
      <c r="B556" t="s">
        <v>16</v>
      </c>
      <c r="C556" t="s">
        <v>35</v>
      </c>
      <c r="D556" t="s">
        <v>15</v>
      </c>
      <c r="E556">
        <v>4</v>
      </c>
      <c r="F556" t="s">
        <v>37</v>
      </c>
      <c r="G556" t="s">
        <v>936</v>
      </c>
      <c r="H556" s="1">
        <v>44306</v>
      </c>
      <c r="I556" s="2"/>
    </row>
    <row r="557" spans="1:9" x14ac:dyDescent="0.35">
      <c r="A557" t="s">
        <v>587</v>
      </c>
      <c r="B557" t="s">
        <v>16</v>
      </c>
      <c r="C557" t="s">
        <v>26</v>
      </c>
      <c r="D557" t="s">
        <v>15</v>
      </c>
      <c r="E557">
        <v>7</v>
      </c>
      <c r="F557" t="s">
        <v>31</v>
      </c>
      <c r="G557" t="s">
        <v>937</v>
      </c>
      <c r="H557" s="1">
        <v>45586</v>
      </c>
      <c r="I557" s="2"/>
    </row>
    <row r="558" spans="1:9" x14ac:dyDescent="0.35">
      <c r="A558" t="s">
        <v>588</v>
      </c>
      <c r="B558" t="s">
        <v>16</v>
      </c>
      <c r="C558" t="s">
        <v>29</v>
      </c>
      <c r="D558" t="s">
        <v>33</v>
      </c>
      <c r="E558">
        <v>10</v>
      </c>
      <c r="F558" t="s">
        <v>17</v>
      </c>
      <c r="G558" t="s">
        <v>936</v>
      </c>
      <c r="H558" s="1">
        <v>45226</v>
      </c>
      <c r="I558" s="2"/>
    </row>
    <row r="559" spans="1:9" x14ac:dyDescent="0.35">
      <c r="A559" t="s">
        <v>589</v>
      </c>
      <c r="B559" t="s">
        <v>21</v>
      </c>
      <c r="C559" t="s">
        <v>35</v>
      </c>
      <c r="D559" t="s">
        <v>15</v>
      </c>
      <c r="E559">
        <v>6</v>
      </c>
      <c r="F559" t="s">
        <v>17</v>
      </c>
      <c r="G559" t="s">
        <v>936</v>
      </c>
      <c r="H559" s="1">
        <v>43382</v>
      </c>
      <c r="I559" s="2"/>
    </row>
    <row r="560" spans="1:9" x14ac:dyDescent="0.35">
      <c r="A560" t="s">
        <v>590</v>
      </c>
      <c r="B560" t="s">
        <v>16</v>
      </c>
      <c r="C560" t="s">
        <v>29</v>
      </c>
      <c r="D560" t="s">
        <v>15</v>
      </c>
      <c r="E560">
        <v>10</v>
      </c>
      <c r="F560" t="s">
        <v>27</v>
      </c>
      <c r="G560" t="s">
        <v>936</v>
      </c>
      <c r="H560" s="1">
        <v>45371</v>
      </c>
      <c r="I560" s="2"/>
    </row>
    <row r="561" spans="1:9" x14ac:dyDescent="0.35">
      <c r="A561" t="s">
        <v>591</v>
      </c>
      <c r="B561" t="s">
        <v>16</v>
      </c>
      <c r="C561" t="s">
        <v>35</v>
      </c>
      <c r="D561" t="s">
        <v>43</v>
      </c>
      <c r="E561">
        <v>13</v>
      </c>
      <c r="F561" t="s">
        <v>31</v>
      </c>
      <c r="G561" t="s">
        <v>937</v>
      </c>
      <c r="H561" s="1">
        <v>44068</v>
      </c>
      <c r="I561" s="2"/>
    </row>
    <row r="562" spans="1:9" x14ac:dyDescent="0.35">
      <c r="A562" t="s">
        <v>592</v>
      </c>
      <c r="B562" t="s">
        <v>16</v>
      </c>
      <c r="C562" t="s">
        <v>35</v>
      </c>
      <c r="D562" t="s">
        <v>43</v>
      </c>
      <c r="E562">
        <v>2</v>
      </c>
      <c r="F562" t="s">
        <v>31</v>
      </c>
      <c r="G562" t="s">
        <v>937</v>
      </c>
      <c r="H562" s="1">
        <v>43995</v>
      </c>
      <c r="I562" s="2"/>
    </row>
    <row r="563" spans="1:9" x14ac:dyDescent="0.35">
      <c r="A563" t="s">
        <v>593</v>
      </c>
      <c r="B563" t="s">
        <v>21</v>
      </c>
      <c r="C563" t="s">
        <v>26</v>
      </c>
      <c r="D563" t="s">
        <v>20</v>
      </c>
      <c r="E563">
        <v>15</v>
      </c>
      <c r="F563" t="s">
        <v>31</v>
      </c>
      <c r="G563" t="s">
        <v>937</v>
      </c>
      <c r="H563" s="1">
        <v>44495</v>
      </c>
      <c r="I563" s="2"/>
    </row>
    <row r="564" spans="1:9" x14ac:dyDescent="0.35">
      <c r="A564" t="s">
        <v>594</v>
      </c>
      <c r="B564" t="s">
        <v>16</v>
      </c>
      <c r="C564" t="s">
        <v>14</v>
      </c>
      <c r="D564" t="s">
        <v>43</v>
      </c>
      <c r="E564">
        <v>3</v>
      </c>
      <c r="F564" t="s">
        <v>17</v>
      </c>
      <c r="G564" t="s">
        <v>936</v>
      </c>
      <c r="H564" s="1">
        <v>45233</v>
      </c>
      <c r="I564" s="2"/>
    </row>
    <row r="565" spans="1:9" x14ac:dyDescent="0.35">
      <c r="A565" t="s">
        <v>595</v>
      </c>
      <c r="B565" t="s">
        <v>16</v>
      </c>
      <c r="C565" t="s">
        <v>14</v>
      </c>
      <c r="D565" t="s">
        <v>43</v>
      </c>
      <c r="E565">
        <v>3</v>
      </c>
      <c r="F565" t="s">
        <v>27</v>
      </c>
      <c r="G565" t="s">
        <v>936</v>
      </c>
      <c r="H565" s="1">
        <v>42994</v>
      </c>
      <c r="I565" s="2"/>
    </row>
    <row r="566" spans="1:9" x14ac:dyDescent="0.35">
      <c r="A566" t="s">
        <v>596</v>
      </c>
      <c r="B566" t="s">
        <v>21</v>
      </c>
      <c r="C566" t="s">
        <v>14</v>
      </c>
      <c r="D566" t="s">
        <v>33</v>
      </c>
      <c r="E566">
        <v>14</v>
      </c>
      <c r="F566" t="s">
        <v>27</v>
      </c>
      <c r="G566" t="s">
        <v>936</v>
      </c>
      <c r="H566" s="1">
        <v>43364</v>
      </c>
      <c r="I566" s="2"/>
    </row>
    <row r="567" spans="1:9" x14ac:dyDescent="0.35">
      <c r="A567" t="s">
        <v>597</v>
      </c>
      <c r="B567" t="s">
        <v>16</v>
      </c>
      <c r="C567" t="s">
        <v>35</v>
      </c>
      <c r="D567" t="s">
        <v>33</v>
      </c>
      <c r="E567">
        <v>14</v>
      </c>
      <c r="F567" t="s">
        <v>22</v>
      </c>
      <c r="G567" t="s">
        <v>937</v>
      </c>
      <c r="H567" s="1">
        <v>42029</v>
      </c>
      <c r="I567" s="2"/>
    </row>
    <row r="568" spans="1:9" x14ac:dyDescent="0.35">
      <c r="A568" t="s">
        <v>598</v>
      </c>
      <c r="B568" t="s">
        <v>16</v>
      </c>
      <c r="C568" t="s">
        <v>19</v>
      </c>
      <c r="D568" t="s">
        <v>20</v>
      </c>
      <c r="E568">
        <v>6</v>
      </c>
      <c r="F568" t="s">
        <v>70</v>
      </c>
      <c r="G568" t="s">
        <v>937</v>
      </c>
      <c r="H568" s="1">
        <v>42521</v>
      </c>
      <c r="I568" s="2"/>
    </row>
    <row r="569" spans="1:9" x14ac:dyDescent="0.35">
      <c r="A569" t="s">
        <v>599</v>
      </c>
      <c r="B569" t="s">
        <v>16</v>
      </c>
      <c r="C569" t="s">
        <v>19</v>
      </c>
      <c r="D569" t="s">
        <v>33</v>
      </c>
      <c r="E569">
        <v>14</v>
      </c>
      <c r="F569" t="s">
        <v>27</v>
      </c>
      <c r="G569" t="s">
        <v>936</v>
      </c>
      <c r="H569" s="1">
        <v>42376</v>
      </c>
      <c r="I569" s="2"/>
    </row>
    <row r="570" spans="1:9" x14ac:dyDescent="0.35">
      <c r="A570" t="s">
        <v>600</v>
      </c>
      <c r="B570" t="s">
        <v>21</v>
      </c>
      <c r="C570" t="s">
        <v>29</v>
      </c>
      <c r="D570" t="s">
        <v>43</v>
      </c>
      <c r="E570">
        <v>15</v>
      </c>
      <c r="F570" t="s">
        <v>31</v>
      </c>
      <c r="G570" t="s">
        <v>937</v>
      </c>
      <c r="H570" s="1">
        <v>42787</v>
      </c>
      <c r="I570" s="2"/>
    </row>
    <row r="571" spans="1:9" x14ac:dyDescent="0.35">
      <c r="A571" t="s">
        <v>601</v>
      </c>
      <c r="B571" t="s">
        <v>21</v>
      </c>
      <c r="C571" t="s">
        <v>35</v>
      </c>
      <c r="D571" t="s">
        <v>20</v>
      </c>
      <c r="E571">
        <v>15</v>
      </c>
      <c r="F571" t="s">
        <v>70</v>
      </c>
      <c r="G571" t="s">
        <v>937</v>
      </c>
      <c r="H571" s="1">
        <v>42853</v>
      </c>
      <c r="I571" s="2"/>
    </row>
    <row r="572" spans="1:9" x14ac:dyDescent="0.35">
      <c r="A572" t="s">
        <v>602</v>
      </c>
      <c r="B572" t="s">
        <v>21</v>
      </c>
      <c r="C572" t="s">
        <v>26</v>
      </c>
      <c r="D572" t="s">
        <v>33</v>
      </c>
      <c r="E572">
        <v>6</v>
      </c>
      <c r="F572" t="s">
        <v>24</v>
      </c>
      <c r="G572" t="s">
        <v>936</v>
      </c>
      <c r="H572" s="1">
        <v>43519</v>
      </c>
      <c r="I572" s="2"/>
    </row>
    <row r="573" spans="1:9" x14ac:dyDescent="0.35">
      <c r="A573" t="s">
        <v>603</v>
      </c>
      <c r="B573" t="s">
        <v>16</v>
      </c>
      <c r="C573" t="s">
        <v>14</v>
      </c>
      <c r="D573" t="s">
        <v>20</v>
      </c>
      <c r="E573">
        <v>5</v>
      </c>
      <c r="F573" t="s">
        <v>22</v>
      </c>
      <c r="G573" t="s">
        <v>937</v>
      </c>
      <c r="H573" s="1">
        <v>45538</v>
      </c>
      <c r="I573" s="2"/>
    </row>
    <row r="574" spans="1:9" x14ac:dyDescent="0.35">
      <c r="A574" t="s">
        <v>604</v>
      </c>
      <c r="B574" t="s">
        <v>16</v>
      </c>
      <c r="C574" t="s">
        <v>14</v>
      </c>
      <c r="D574" t="s">
        <v>43</v>
      </c>
      <c r="E574">
        <v>3</v>
      </c>
      <c r="F574" t="s">
        <v>27</v>
      </c>
      <c r="G574" t="s">
        <v>936</v>
      </c>
      <c r="H574" s="1">
        <v>44288</v>
      </c>
      <c r="I574" s="2"/>
    </row>
    <row r="575" spans="1:9" x14ac:dyDescent="0.35">
      <c r="A575" t="s">
        <v>605</v>
      </c>
      <c r="B575" t="s">
        <v>16</v>
      </c>
      <c r="C575" t="s">
        <v>29</v>
      </c>
      <c r="D575" t="s">
        <v>15</v>
      </c>
      <c r="E575">
        <v>0</v>
      </c>
      <c r="F575" t="s">
        <v>27</v>
      </c>
      <c r="G575" t="s">
        <v>936</v>
      </c>
      <c r="H575" s="1">
        <v>44495</v>
      </c>
      <c r="I575" s="2"/>
    </row>
    <row r="576" spans="1:9" x14ac:dyDescent="0.35">
      <c r="A576" t="s">
        <v>606</v>
      </c>
      <c r="B576" t="s">
        <v>16</v>
      </c>
      <c r="C576" t="s">
        <v>35</v>
      </c>
      <c r="D576" t="s">
        <v>20</v>
      </c>
      <c r="E576">
        <v>6</v>
      </c>
      <c r="F576" t="s">
        <v>24</v>
      </c>
      <c r="G576" t="s">
        <v>936</v>
      </c>
      <c r="H576" s="1">
        <v>44471</v>
      </c>
      <c r="I576" s="2"/>
    </row>
    <row r="577" spans="1:9" x14ac:dyDescent="0.35">
      <c r="A577" t="s">
        <v>607</v>
      </c>
      <c r="B577" t="s">
        <v>21</v>
      </c>
      <c r="C577" t="s">
        <v>35</v>
      </c>
      <c r="D577" t="s">
        <v>43</v>
      </c>
      <c r="E577">
        <v>11</v>
      </c>
      <c r="F577" t="s">
        <v>37</v>
      </c>
      <c r="G577" t="s">
        <v>936</v>
      </c>
      <c r="H577" s="1">
        <v>45617</v>
      </c>
      <c r="I577" s="2"/>
    </row>
    <row r="578" spans="1:9" x14ac:dyDescent="0.35">
      <c r="A578" t="s">
        <v>608</v>
      </c>
      <c r="B578" t="s">
        <v>16</v>
      </c>
      <c r="C578" t="s">
        <v>19</v>
      </c>
      <c r="D578" t="s">
        <v>43</v>
      </c>
      <c r="E578">
        <v>1</v>
      </c>
      <c r="F578" t="s">
        <v>31</v>
      </c>
      <c r="G578" t="s">
        <v>937</v>
      </c>
      <c r="H578" s="1">
        <v>42520</v>
      </c>
      <c r="I578" s="2"/>
    </row>
    <row r="579" spans="1:9" x14ac:dyDescent="0.35">
      <c r="A579" t="s">
        <v>609</v>
      </c>
      <c r="B579" t="s">
        <v>21</v>
      </c>
      <c r="C579" t="s">
        <v>35</v>
      </c>
      <c r="D579" t="s">
        <v>33</v>
      </c>
      <c r="E579">
        <v>2</v>
      </c>
      <c r="F579" t="s">
        <v>17</v>
      </c>
      <c r="G579" t="s">
        <v>936</v>
      </c>
      <c r="H579" s="1">
        <v>44009</v>
      </c>
      <c r="I579" s="2"/>
    </row>
    <row r="580" spans="1:9" x14ac:dyDescent="0.35">
      <c r="A580" t="s">
        <v>610</v>
      </c>
      <c r="B580" t="s">
        <v>21</v>
      </c>
      <c r="C580" t="s">
        <v>14</v>
      </c>
      <c r="D580" t="s">
        <v>15</v>
      </c>
      <c r="E580">
        <v>3</v>
      </c>
      <c r="F580" t="s">
        <v>27</v>
      </c>
      <c r="G580" t="s">
        <v>936</v>
      </c>
      <c r="H580" s="1">
        <v>42523</v>
      </c>
      <c r="I580" s="2"/>
    </row>
    <row r="581" spans="1:9" x14ac:dyDescent="0.35">
      <c r="A581" t="s">
        <v>611</v>
      </c>
      <c r="B581" t="s">
        <v>16</v>
      </c>
      <c r="C581" t="s">
        <v>29</v>
      </c>
      <c r="D581" t="s">
        <v>15</v>
      </c>
      <c r="E581">
        <v>1</v>
      </c>
      <c r="F581" t="s">
        <v>31</v>
      </c>
      <c r="G581" t="s">
        <v>937</v>
      </c>
      <c r="H581" s="1">
        <v>43069</v>
      </c>
      <c r="I581" s="2"/>
    </row>
    <row r="582" spans="1:9" x14ac:dyDescent="0.35">
      <c r="A582" t="s">
        <v>612</v>
      </c>
      <c r="B582" t="s">
        <v>21</v>
      </c>
      <c r="C582" t="s">
        <v>29</v>
      </c>
      <c r="D582" t="s">
        <v>43</v>
      </c>
      <c r="E582">
        <v>6</v>
      </c>
      <c r="F582" t="s">
        <v>22</v>
      </c>
      <c r="G582" t="s">
        <v>937</v>
      </c>
      <c r="H582" s="1">
        <v>45603</v>
      </c>
      <c r="I582" s="2"/>
    </row>
    <row r="583" spans="1:9" x14ac:dyDescent="0.35">
      <c r="A583" t="s">
        <v>613</v>
      </c>
      <c r="B583" t="s">
        <v>16</v>
      </c>
      <c r="C583" t="s">
        <v>35</v>
      </c>
      <c r="D583" t="s">
        <v>15</v>
      </c>
      <c r="E583">
        <v>3</v>
      </c>
      <c r="F583" t="s">
        <v>31</v>
      </c>
      <c r="G583" t="s">
        <v>937</v>
      </c>
      <c r="H583" s="1">
        <v>43210</v>
      </c>
      <c r="I583" s="2"/>
    </row>
    <row r="584" spans="1:9" x14ac:dyDescent="0.35">
      <c r="A584" t="s">
        <v>614</v>
      </c>
      <c r="B584" t="s">
        <v>16</v>
      </c>
      <c r="C584" t="s">
        <v>14</v>
      </c>
      <c r="D584" t="s">
        <v>43</v>
      </c>
      <c r="E584">
        <v>12</v>
      </c>
      <c r="F584" t="s">
        <v>44</v>
      </c>
      <c r="G584" t="s">
        <v>937</v>
      </c>
      <c r="H584" s="1">
        <v>42718</v>
      </c>
      <c r="I584" s="2"/>
    </row>
    <row r="585" spans="1:9" x14ac:dyDescent="0.35">
      <c r="A585" t="s">
        <v>615</v>
      </c>
      <c r="B585" t="s">
        <v>16</v>
      </c>
      <c r="C585" t="s">
        <v>19</v>
      </c>
      <c r="D585" t="s">
        <v>43</v>
      </c>
      <c r="E585">
        <v>3</v>
      </c>
      <c r="F585" t="s">
        <v>70</v>
      </c>
      <c r="G585" t="s">
        <v>937</v>
      </c>
      <c r="H585" s="1">
        <v>42302</v>
      </c>
      <c r="I585" s="2"/>
    </row>
    <row r="586" spans="1:9" x14ac:dyDescent="0.35">
      <c r="A586" t="s">
        <v>616</v>
      </c>
      <c r="B586" t="s">
        <v>16</v>
      </c>
      <c r="C586" t="s">
        <v>19</v>
      </c>
      <c r="D586" t="s">
        <v>20</v>
      </c>
      <c r="E586">
        <v>11</v>
      </c>
      <c r="F586" t="s">
        <v>44</v>
      </c>
      <c r="G586" t="s">
        <v>937</v>
      </c>
      <c r="H586" s="1">
        <v>45105</v>
      </c>
      <c r="I586" s="2"/>
    </row>
    <row r="587" spans="1:9" x14ac:dyDescent="0.35">
      <c r="A587" t="s">
        <v>617</v>
      </c>
      <c r="B587" t="s">
        <v>16</v>
      </c>
      <c r="C587" t="s">
        <v>35</v>
      </c>
      <c r="D587" t="s">
        <v>20</v>
      </c>
      <c r="E587">
        <v>8</v>
      </c>
      <c r="F587" t="s">
        <v>70</v>
      </c>
      <c r="G587" t="s">
        <v>937</v>
      </c>
      <c r="H587" s="1">
        <v>43536</v>
      </c>
      <c r="I587" s="2"/>
    </row>
    <row r="588" spans="1:9" x14ac:dyDescent="0.35">
      <c r="A588" t="s">
        <v>618</v>
      </c>
      <c r="B588" t="s">
        <v>21</v>
      </c>
      <c r="C588" t="s">
        <v>14</v>
      </c>
      <c r="D588" t="s">
        <v>15</v>
      </c>
      <c r="E588">
        <v>5</v>
      </c>
      <c r="F588" t="s">
        <v>37</v>
      </c>
      <c r="G588" t="s">
        <v>936</v>
      </c>
      <c r="H588" s="1">
        <v>43832</v>
      </c>
      <c r="I588" s="2"/>
    </row>
    <row r="589" spans="1:9" x14ac:dyDescent="0.35">
      <c r="A589" t="s">
        <v>619</v>
      </c>
      <c r="B589" t="s">
        <v>16</v>
      </c>
      <c r="C589" t="s">
        <v>14</v>
      </c>
      <c r="D589" t="s">
        <v>15</v>
      </c>
      <c r="E589">
        <v>1</v>
      </c>
      <c r="F589" t="s">
        <v>22</v>
      </c>
      <c r="G589" t="s">
        <v>937</v>
      </c>
      <c r="H589" s="1">
        <v>45514</v>
      </c>
      <c r="I589" s="2"/>
    </row>
    <row r="590" spans="1:9" x14ac:dyDescent="0.35">
      <c r="A590" t="s">
        <v>620</v>
      </c>
      <c r="B590" t="s">
        <v>21</v>
      </c>
      <c r="C590" t="s">
        <v>19</v>
      </c>
      <c r="D590" t="s">
        <v>43</v>
      </c>
      <c r="E590">
        <v>11</v>
      </c>
      <c r="F590" t="s">
        <v>70</v>
      </c>
      <c r="G590" t="s">
        <v>937</v>
      </c>
      <c r="H590" s="1">
        <v>43229</v>
      </c>
      <c r="I590" s="2"/>
    </row>
    <row r="591" spans="1:9" x14ac:dyDescent="0.35">
      <c r="A591" t="s">
        <v>621</v>
      </c>
      <c r="B591" t="s">
        <v>16</v>
      </c>
      <c r="C591" t="s">
        <v>14</v>
      </c>
      <c r="D591" t="s">
        <v>33</v>
      </c>
      <c r="E591">
        <v>0</v>
      </c>
      <c r="F591" t="s">
        <v>27</v>
      </c>
      <c r="G591" t="s">
        <v>936</v>
      </c>
      <c r="H591" s="1">
        <v>43550</v>
      </c>
      <c r="I591" s="2"/>
    </row>
    <row r="592" spans="1:9" x14ac:dyDescent="0.35">
      <c r="A592" t="s">
        <v>622</v>
      </c>
      <c r="B592" t="s">
        <v>16</v>
      </c>
      <c r="C592" t="s">
        <v>14</v>
      </c>
      <c r="D592" t="s">
        <v>43</v>
      </c>
      <c r="E592">
        <v>4</v>
      </c>
      <c r="F592" t="s">
        <v>24</v>
      </c>
      <c r="G592" t="s">
        <v>936</v>
      </c>
      <c r="H592" s="1">
        <v>43193</v>
      </c>
      <c r="I592" s="2"/>
    </row>
    <row r="593" spans="1:9" x14ac:dyDescent="0.35">
      <c r="A593" t="s">
        <v>623</v>
      </c>
      <c r="B593" t="s">
        <v>16</v>
      </c>
      <c r="C593" t="s">
        <v>19</v>
      </c>
      <c r="D593" t="s">
        <v>20</v>
      </c>
      <c r="E593">
        <v>13</v>
      </c>
      <c r="F593" t="s">
        <v>31</v>
      </c>
      <c r="G593" t="s">
        <v>937</v>
      </c>
      <c r="H593" s="1">
        <v>42483</v>
      </c>
      <c r="I593" s="2"/>
    </row>
    <row r="594" spans="1:9" x14ac:dyDescent="0.35">
      <c r="A594" t="s">
        <v>624</v>
      </c>
      <c r="B594" t="s">
        <v>21</v>
      </c>
      <c r="C594" t="s">
        <v>35</v>
      </c>
      <c r="D594" t="s">
        <v>20</v>
      </c>
      <c r="E594">
        <v>12</v>
      </c>
      <c r="F594" t="s">
        <v>27</v>
      </c>
      <c r="G594" t="s">
        <v>936</v>
      </c>
      <c r="H594" s="1">
        <v>44162</v>
      </c>
      <c r="I594" s="2"/>
    </row>
    <row r="595" spans="1:9" x14ac:dyDescent="0.35">
      <c r="A595" t="s">
        <v>625</v>
      </c>
      <c r="B595" t="s">
        <v>21</v>
      </c>
      <c r="C595" t="s">
        <v>14</v>
      </c>
      <c r="D595" t="s">
        <v>43</v>
      </c>
      <c r="E595">
        <v>1</v>
      </c>
      <c r="F595" t="s">
        <v>70</v>
      </c>
      <c r="G595" t="s">
        <v>937</v>
      </c>
      <c r="H595" s="1">
        <v>45259</v>
      </c>
      <c r="I595" s="2"/>
    </row>
    <row r="596" spans="1:9" x14ac:dyDescent="0.35">
      <c r="A596" t="s">
        <v>626</v>
      </c>
      <c r="B596" t="s">
        <v>21</v>
      </c>
      <c r="C596" t="s">
        <v>26</v>
      </c>
      <c r="D596" t="s">
        <v>20</v>
      </c>
      <c r="E596">
        <v>1</v>
      </c>
      <c r="F596" t="s">
        <v>22</v>
      </c>
      <c r="G596" t="s">
        <v>937</v>
      </c>
      <c r="H596" s="1">
        <v>42302</v>
      </c>
      <c r="I596" s="2"/>
    </row>
    <row r="597" spans="1:9" x14ac:dyDescent="0.35">
      <c r="A597" t="s">
        <v>627</v>
      </c>
      <c r="B597" t="s">
        <v>21</v>
      </c>
      <c r="C597" t="s">
        <v>19</v>
      </c>
      <c r="D597" t="s">
        <v>33</v>
      </c>
      <c r="E597">
        <v>11</v>
      </c>
      <c r="F597" t="s">
        <v>24</v>
      </c>
      <c r="G597" t="s">
        <v>936</v>
      </c>
      <c r="H597" s="1">
        <v>44055</v>
      </c>
      <c r="I597" s="2"/>
    </row>
    <row r="598" spans="1:9" x14ac:dyDescent="0.35">
      <c r="A598" t="s">
        <v>628</v>
      </c>
      <c r="B598" t="s">
        <v>21</v>
      </c>
      <c r="C598" t="s">
        <v>29</v>
      </c>
      <c r="D598" t="s">
        <v>20</v>
      </c>
      <c r="E598">
        <v>4</v>
      </c>
      <c r="F598" t="s">
        <v>27</v>
      </c>
      <c r="G598" t="s">
        <v>936</v>
      </c>
      <c r="H598" s="1">
        <v>45451</v>
      </c>
      <c r="I598" s="2"/>
    </row>
    <row r="599" spans="1:9" x14ac:dyDescent="0.35">
      <c r="A599" t="s">
        <v>629</v>
      </c>
      <c r="B599" t="s">
        <v>21</v>
      </c>
      <c r="C599" t="s">
        <v>14</v>
      </c>
      <c r="D599" t="s">
        <v>15</v>
      </c>
      <c r="E599">
        <v>3</v>
      </c>
      <c r="F599" t="s">
        <v>44</v>
      </c>
      <c r="G599" t="s">
        <v>937</v>
      </c>
      <c r="H599" s="1">
        <v>44228</v>
      </c>
      <c r="I599" s="2"/>
    </row>
    <row r="600" spans="1:9" x14ac:dyDescent="0.35">
      <c r="A600" t="s">
        <v>630</v>
      </c>
      <c r="B600" t="s">
        <v>16</v>
      </c>
      <c r="C600" t="s">
        <v>35</v>
      </c>
      <c r="D600" t="s">
        <v>20</v>
      </c>
      <c r="E600">
        <v>3</v>
      </c>
      <c r="F600" t="s">
        <v>24</v>
      </c>
      <c r="G600" t="s">
        <v>936</v>
      </c>
      <c r="H600" s="1">
        <v>45015</v>
      </c>
      <c r="I600" s="2"/>
    </row>
    <row r="601" spans="1:9" x14ac:dyDescent="0.35">
      <c r="A601" t="s">
        <v>631</v>
      </c>
      <c r="B601" t="s">
        <v>21</v>
      </c>
      <c r="C601" t="s">
        <v>14</v>
      </c>
      <c r="D601" t="s">
        <v>20</v>
      </c>
      <c r="E601">
        <v>9</v>
      </c>
      <c r="F601" t="s">
        <v>17</v>
      </c>
      <c r="G601" t="s">
        <v>936</v>
      </c>
      <c r="H601" s="1">
        <v>43400</v>
      </c>
      <c r="I601" s="2"/>
    </row>
    <row r="602" spans="1:9" x14ac:dyDescent="0.35">
      <c r="A602" t="s">
        <v>632</v>
      </c>
      <c r="B602" t="s">
        <v>16</v>
      </c>
      <c r="C602" t="s">
        <v>26</v>
      </c>
      <c r="D602" t="s">
        <v>15</v>
      </c>
      <c r="E602">
        <v>2</v>
      </c>
      <c r="F602" t="s">
        <v>70</v>
      </c>
      <c r="G602" t="s">
        <v>937</v>
      </c>
      <c r="H602" s="1">
        <v>42664</v>
      </c>
      <c r="I602" s="2"/>
    </row>
    <row r="603" spans="1:9" x14ac:dyDescent="0.35">
      <c r="A603" t="s">
        <v>633</v>
      </c>
      <c r="B603" t="s">
        <v>16</v>
      </c>
      <c r="C603" t="s">
        <v>35</v>
      </c>
      <c r="D603" t="s">
        <v>43</v>
      </c>
      <c r="E603">
        <v>0</v>
      </c>
      <c r="F603" t="s">
        <v>22</v>
      </c>
      <c r="G603" t="s">
        <v>937</v>
      </c>
      <c r="H603" s="1">
        <v>42899</v>
      </c>
      <c r="I603" s="2"/>
    </row>
    <row r="604" spans="1:9" x14ac:dyDescent="0.35">
      <c r="A604" t="s">
        <v>634</v>
      </c>
      <c r="B604" t="s">
        <v>21</v>
      </c>
      <c r="C604" t="s">
        <v>14</v>
      </c>
      <c r="D604" t="s">
        <v>33</v>
      </c>
      <c r="E604">
        <v>14</v>
      </c>
      <c r="F604" t="s">
        <v>27</v>
      </c>
      <c r="G604" t="s">
        <v>936</v>
      </c>
      <c r="H604" s="1">
        <v>44319</v>
      </c>
      <c r="I604" s="2"/>
    </row>
    <row r="605" spans="1:9" x14ac:dyDescent="0.35">
      <c r="A605" t="s">
        <v>635</v>
      </c>
      <c r="B605" t="s">
        <v>21</v>
      </c>
      <c r="C605" t="s">
        <v>14</v>
      </c>
      <c r="D605" t="s">
        <v>33</v>
      </c>
      <c r="E605">
        <v>11</v>
      </c>
      <c r="F605" t="s">
        <v>31</v>
      </c>
      <c r="G605" t="s">
        <v>937</v>
      </c>
      <c r="H605" s="1">
        <v>42155</v>
      </c>
      <c r="I605" s="2"/>
    </row>
    <row r="606" spans="1:9" x14ac:dyDescent="0.35">
      <c r="A606" t="s">
        <v>636</v>
      </c>
      <c r="B606" t="s">
        <v>16</v>
      </c>
      <c r="C606" t="s">
        <v>29</v>
      </c>
      <c r="D606" t="s">
        <v>43</v>
      </c>
      <c r="E606">
        <v>13</v>
      </c>
      <c r="F606" t="s">
        <v>70</v>
      </c>
      <c r="G606" t="s">
        <v>937</v>
      </c>
      <c r="H606" s="1">
        <v>45145</v>
      </c>
      <c r="I606" s="2"/>
    </row>
    <row r="607" spans="1:9" x14ac:dyDescent="0.35">
      <c r="A607" t="s">
        <v>637</v>
      </c>
      <c r="B607" t="s">
        <v>21</v>
      </c>
      <c r="C607" t="s">
        <v>29</v>
      </c>
      <c r="D607" t="s">
        <v>33</v>
      </c>
      <c r="E607">
        <v>7</v>
      </c>
      <c r="F607" t="s">
        <v>31</v>
      </c>
      <c r="G607" t="s">
        <v>937</v>
      </c>
      <c r="H607" s="1">
        <v>42145</v>
      </c>
      <c r="I607" s="2"/>
    </row>
    <row r="608" spans="1:9" x14ac:dyDescent="0.35">
      <c r="A608" t="s">
        <v>638</v>
      </c>
      <c r="B608" t="s">
        <v>16</v>
      </c>
      <c r="C608" t="s">
        <v>29</v>
      </c>
      <c r="D608" t="s">
        <v>20</v>
      </c>
      <c r="E608">
        <v>12</v>
      </c>
      <c r="F608" t="s">
        <v>44</v>
      </c>
      <c r="G608" t="s">
        <v>937</v>
      </c>
      <c r="H608" s="1">
        <v>44568</v>
      </c>
      <c r="I608" s="2"/>
    </row>
    <row r="609" spans="1:9" x14ac:dyDescent="0.35">
      <c r="A609" t="s">
        <v>639</v>
      </c>
      <c r="B609" t="s">
        <v>16</v>
      </c>
      <c r="C609" t="s">
        <v>14</v>
      </c>
      <c r="D609" t="s">
        <v>20</v>
      </c>
      <c r="E609">
        <v>4</v>
      </c>
      <c r="F609" t="s">
        <v>31</v>
      </c>
      <c r="G609" t="s">
        <v>937</v>
      </c>
      <c r="H609" s="1">
        <v>42858</v>
      </c>
      <c r="I609" s="2"/>
    </row>
    <row r="610" spans="1:9" x14ac:dyDescent="0.35">
      <c r="A610" t="s">
        <v>640</v>
      </c>
      <c r="B610" t="s">
        <v>21</v>
      </c>
      <c r="C610" t="s">
        <v>14</v>
      </c>
      <c r="D610" t="s">
        <v>33</v>
      </c>
      <c r="E610">
        <v>8</v>
      </c>
      <c r="F610" t="s">
        <v>70</v>
      </c>
      <c r="G610" t="s">
        <v>937</v>
      </c>
      <c r="H610" s="1">
        <v>44867</v>
      </c>
      <c r="I610" s="2"/>
    </row>
    <row r="611" spans="1:9" x14ac:dyDescent="0.35">
      <c r="A611" t="s">
        <v>641</v>
      </c>
      <c r="B611" t="s">
        <v>21</v>
      </c>
      <c r="C611" t="s">
        <v>35</v>
      </c>
      <c r="D611" t="s">
        <v>15</v>
      </c>
      <c r="E611">
        <v>6</v>
      </c>
      <c r="F611" t="s">
        <v>17</v>
      </c>
      <c r="G611" t="s">
        <v>936</v>
      </c>
      <c r="H611" s="1">
        <v>42290</v>
      </c>
      <c r="I611" s="2"/>
    </row>
    <row r="612" spans="1:9" x14ac:dyDescent="0.35">
      <c r="A612" t="s">
        <v>642</v>
      </c>
      <c r="B612" t="s">
        <v>21</v>
      </c>
      <c r="C612" t="s">
        <v>26</v>
      </c>
      <c r="D612" t="s">
        <v>20</v>
      </c>
      <c r="E612">
        <v>2</v>
      </c>
      <c r="F612" t="s">
        <v>27</v>
      </c>
      <c r="G612" t="s">
        <v>936</v>
      </c>
      <c r="H612" s="1">
        <v>43822</v>
      </c>
      <c r="I612" s="2"/>
    </row>
    <row r="613" spans="1:9" x14ac:dyDescent="0.35">
      <c r="A613" t="s">
        <v>643</v>
      </c>
      <c r="B613" t="s">
        <v>16</v>
      </c>
      <c r="C613" t="s">
        <v>19</v>
      </c>
      <c r="D613" t="s">
        <v>43</v>
      </c>
      <c r="E613">
        <v>8</v>
      </c>
      <c r="F613" t="s">
        <v>24</v>
      </c>
      <c r="G613" t="s">
        <v>936</v>
      </c>
      <c r="H613" s="1">
        <v>45453</v>
      </c>
      <c r="I613" s="2"/>
    </row>
    <row r="614" spans="1:9" x14ac:dyDescent="0.35">
      <c r="A614" t="s">
        <v>644</v>
      </c>
      <c r="B614" t="s">
        <v>21</v>
      </c>
      <c r="C614" t="s">
        <v>19</v>
      </c>
      <c r="D614" t="s">
        <v>20</v>
      </c>
      <c r="E614">
        <v>0</v>
      </c>
      <c r="F614" t="s">
        <v>70</v>
      </c>
      <c r="G614" t="s">
        <v>937</v>
      </c>
      <c r="H614" s="1">
        <v>45051</v>
      </c>
      <c r="I614" s="2"/>
    </row>
    <row r="615" spans="1:9" x14ac:dyDescent="0.35">
      <c r="A615" t="s">
        <v>645</v>
      </c>
      <c r="B615" t="s">
        <v>21</v>
      </c>
      <c r="C615" t="s">
        <v>29</v>
      </c>
      <c r="D615" t="s">
        <v>15</v>
      </c>
      <c r="E615">
        <v>2</v>
      </c>
      <c r="F615" t="s">
        <v>44</v>
      </c>
      <c r="G615" t="s">
        <v>937</v>
      </c>
      <c r="H615" s="1">
        <v>45332</v>
      </c>
      <c r="I615" s="2"/>
    </row>
    <row r="616" spans="1:9" x14ac:dyDescent="0.35">
      <c r="A616" t="s">
        <v>646</v>
      </c>
      <c r="B616" t="s">
        <v>21</v>
      </c>
      <c r="C616" t="s">
        <v>14</v>
      </c>
      <c r="D616" t="s">
        <v>15</v>
      </c>
      <c r="E616">
        <v>2</v>
      </c>
      <c r="F616" t="s">
        <v>27</v>
      </c>
      <c r="G616" t="s">
        <v>936</v>
      </c>
      <c r="H616" s="1">
        <v>43305</v>
      </c>
      <c r="I616" s="2"/>
    </row>
    <row r="617" spans="1:9" x14ac:dyDescent="0.35">
      <c r="A617" t="s">
        <v>647</v>
      </c>
      <c r="B617" t="s">
        <v>21</v>
      </c>
      <c r="C617" t="s">
        <v>35</v>
      </c>
      <c r="D617" t="s">
        <v>15</v>
      </c>
      <c r="E617">
        <v>12</v>
      </c>
      <c r="F617" t="s">
        <v>31</v>
      </c>
      <c r="G617" t="s">
        <v>937</v>
      </c>
      <c r="H617" s="1">
        <v>43361</v>
      </c>
      <c r="I617" s="2"/>
    </row>
    <row r="618" spans="1:9" x14ac:dyDescent="0.35">
      <c r="A618" t="s">
        <v>648</v>
      </c>
      <c r="B618" t="s">
        <v>21</v>
      </c>
      <c r="C618" t="s">
        <v>35</v>
      </c>
      <c r="D618" t="s">
        <v>15</v>
      </c>
      <c r="E618">
        <v>0</v>
      </c>
      <c r="F618" t="s">
        <v>37</v>
      </c>
      <c r="G618" t="s">
        <v>936</v>
      </c>
      <c r="H618" s="1">
        <v>44063</v>
      </c>
      <c r="I618" s="2"/>
    </row>
    <row r="619" spans="1:9" x14ac:dyDescent="0.35">
      <c r="A619" t="s">
        <v>649</v>
      </c>
      <c r="B619" t="s">
        <v>16</v>
      </c>
      <c r="C619" t="s">
        <v>14</v>
      </c>
      <c r="D619" t="s">
        <v>15</v>
      </c>
      <c r="E619">
        <v>8</v>
      </c>
      <c r="F619" t="s">
        <v>22</v>
      </c>
      <c r="G619" t="s">
        <v>937</v>
      </c>
      <c r="H619" s="1">
        <v>42970</v>
      </c>
      <c r="I619" s="2"/>
    </row>
    <row r="620" spans="1:9" x14ac:dyDescent="0.35">
      <c r="A620" t="s">
        <v>650</v>
      </c>
      <c r="B620" t="s">
        <v>21</v>
      </c>
      <c r="C620" t="s">
        <v>14</v>
      </c>
      <c r="D620" t="s">
        <v>33</v>
      </c>
      <c r="E620">
        <v>0</v>
      </c>
      <c r="F620" t="s">
        <v>31</v>
      </c>
      <c r="G620" t="s">
        <v>937</v>
      </c>
      <c r="H620" s="1">
        <v>42882</v>
      </c>
      <c r="I620" s="2"/>
    </row>
    <row r="621" spans="1:9" x14ac:dyDescent="0.35">
      <c r="A621" t="s">
        <v>651</v>
      </c>
      <c r="B621" t="s">
        <v>16</v>
      </c>
      <c r="C621" t="s">
        <v>26</v>
      </c>
      <c r="D621" t="s">
        <v>43</v>
      </c>
      <c r="E621">
        <v>13</v>
      </c>
      <c r="F621" t="s">
        <v>31</v>
      </c>
      <c r="G621" t="s">
        <v>937</v>
      </c>
      <c r="H621" s="1">
        <v>43211</v>
      </c>
      <c r="I621" s="2"/>
    </row>
    <row r="622" spans="1:9" x14ac:dyDescent="0.35">
      <c r="A622" t="s">
        <v>652</v>
      </c>
      <c r="B622" t="s">
        <v>21</v>
      </c>
      <c r="C622" t="s">
        <v>19</v>
      </c>
      <c r="D622" t="s">
        <v>33</v>
      </c>
      <c r="E622">
        <v>3</v>
      </c>
      <c r="F622" t="s">
        <v>27</v>
      </c>
      <c r="G622" t="s">
        <v>936</v>
      </c>
      <c r="H622" s="1">
        <v>42878</v>
      </c>
      <c r="I622" s="2"/>
    </row>
    <row r="623" spans="1:9" x14ac:dyDescent="0.35">
      <c r="A623" t="s">
        <v>653</v>
      </c>
      <c r="B623" t="s">
        <v>16</v>
      </c>
      <c r="C623" t="s">
        <v>35</v>
      </c>
      <c r="D623" t="s">
        <v>15</v>
      </c>
      <c r="E623">
        <v>3</v>
      </c>
      <c r="F623" t="s">
        <v>24</v>
      </c>
      <c r="G623" t="s">
        <v>936</v>
      </c>
      <c r="H623" s="1">
        <v>44732</v>
      </c>
      <c r="I623" s="2"/>
    </row>
    <row r="624" spans="1:9" x14ac:dyDescent="0.35">
      <c r="A624" t="s">
        <v>654</v>
      </c>
      <c r="B624" t="s">
        <v>21</v>
      </c>
      <c r="C624" t="s">
        <v>19</v>
      </c>
      <c r="D624" t="s">
        <v>43</v>
      </c>
      <c r="E624">
        <v>0</v>
      </c>
      <c r="F624" t="s">
        <v>31</v>
      </c>
      <c r="G624" t="s">
        <v>937</v>
      </c>
      <c r="H624" s="1">
        <v>45451</v>
      </c>
      <c r="I624" s="2"/>
    </row>
    <row r="625" spans="1:9" x14ac:dyDescent="0.35">
      <c r="A625" t="s">
        <v>655</v>
      </c>
      <c r="B625" t="s">
        <v>16</v>
      </c>
      <c r="C625" t="s">
        <v>29</v>
      </c>
      <c r="D625" t="s">
        <v>33</v>
      </c>
      <c r="E625">
        <v>15</v>
      </c>
      <c r="F625" t="s">
        <v>17</v>
      </c>
      <c r="G625" t="s">
        <v>936</v>
      </c>
      <c r="H625" s="1">
        <v>45471</v>
      </c>
      <c r="I625" s="2"/>
    </row>
    <row r="626" spans="1:9" x14ac:dyDescent="0.35">
      <c r="A626" t="s">
        <v>656</v>
      </c>
      <c r="B626" t="s">
        <v>16</v>
      </c>
      <c r="C626" t="s">
        <v>35</v>
      </c>
      <c r="D626" t="s">
        <v>43</v>
      </c>
      <c r="E626">
        <v>14</v>
      </c>
      <c r="F626" t="s">
        <v>44</v>
      </c>
      <c r="G626" t="s">
        <v>937</v>
      </c>
      <c r="H626" s="1">
        <v>45615</v>
      </c>
      <c r="I626" s="2"/>
    </row>
    <row r="627" spans="1:9" x14ac:dyDescent="0.35">
      <c r="A627" t="s">
        <v>657</v>
      </c>
      <c r="B627" t="s">
        <v>16</v>
      </c>
      <c r="C627" t="s">
        <v>35</v>
      </c>
      <c r="D627" t="s">
        <v>33</v>
      </c>
      <c r="E627">
        <v>9</v>
      </c>
      <c r="F627" t="s">
        <v>17</v>
      </c>
      <c r="G627" t="s">
        <v>936</v>
      </c>
      <c r="H627" s="1">
        <v>44077</v>
      </c>
      <c r="I627" s="2"/>
    </row>
    <row r="628" spans="1:9" x14ac:dyDescent="0.35">
      <c r="A628" t="s">
        <v>658</v>
      </c>
      <c r="B628" t="s">
        <v>16</v>
      </c>
      <c r="C628" t="s">
        <v>29</v>
      </c>
      <c r="D628" t="s">
        <v>15</v>
      </c>
      <c r="E628">
        <v>10</v>
      </c>
      <c r="F628" t="s">
        <v>22</v>
      </c>
      <c r="G628" t="s">
        <v>937</v>
      </c>
      <c r="H628" s="1">
        <v>43381</v>
      </c>
      <c r="I628" s="2"/>
    </row>
    <row r="629" spans="1:9" x14ac:dyDescent="0.35">
      <c r="A629" t="s">
        <v>659</v>
      </c>
      <c r="B629" t="s">
        <v>16</v>
      </c>
      <c r="C629" t="s">
        <v>29</v>
      </c>
      <c r="D629" t="s">
        <v>15</v>
      </c>
      <c r="E629">
        <v>12</v>
      </c>
      <c r="F629" t="s">
        <v>22</v>
      </c>
      <c r="G629" t="s">
        <v>937</v>
      </c>
      <c r="H629" s="1">
        <v>43707</v>
      </c>
      <c r="I629" s="2"/>
    </row>
    <row r="630" spans="1:9" x14ac:dyDescent="0.35">
      <c r="A630" t="s">
        <v>660</v>
      </c>
      <c r="B630" t="s">
        <v>21</v>
      </c>
      <c r="C630" t="s">
        <v>19</v>
      </c>
      <c r="D630" t="s">
        <v>20</v>
      </c>
      <c r="E630">
        <v>4</v>
      </c>
      <c r="F630" t="s">
        <v>37</v>
      </c>
      <c r="G630" t="s">
        <v>936</v>
      </c>
      <c r="H630" s="1">
        <v>44408</v>
      </c>
      <c r="I630" s="2"/>
    </row>
    <row r="631" spans="1:9" x14ac:dyDescent="0.35">
      <c r="A631" t="s">
        <v>661</v>
      </c>
      <c r="B631" t="s">
        <v>16</v>
      </c>
      <c r="C631" t="s">
        <v>35</v>
      </c>
      <c r="D631" t="s">
        <v>20</v>
      </c>
      <c r="E631">
        <v>14</v>
      </c>
      <c r="F631" t="s">
        <v>24</v>
      </c>
      <c r="G631" t="s">
        <v>936</v>
      </c>
      <c r="H631" s="1">
        <v>43072</v>
      </c>
      <c r="I631" s="2"/>
    </row>
    <row r="632" spans="1:9" x14ac:dyDescent="0.35">
      <c r="A632" t="s">
        <v>662</v>
      </c>
      <c r="B632" t="s">
        <v>16</v>
      </c>
      <c r="C632" t="s">
        <v>14</v>
      </c>
      <c r="D632" t="s">
        <v>43</v>
      </c>
      <c r="E632">
        <v>7</v>
      </c>
      <c r="F632" t="s">
        <v>22</v>
      </c>
      <c r="G632" t="s">
        <v>937</v>
      </c>
      <c r="H632" s="1">
        <v>44594</v>
      </c>
      <c r="I632" s="2"/>
    </row>
    <row r="633" spans="1:9" x14ac:dyDescent="0.35">
      <c r="A633" t="s">
        <v>663</v>
      </c>
      <c r="B633" t="s">
        <v>21</v>
      </c>
      <c r="C633" t="s">
        <v>26</v>
      </c>
      <c r="D633" t="s">
        <v>15</v>
      </c>
      <c r="E633">
        <v>0</v>
      </c>
      <c r="F633" t="s">
        <v>27</v>
      </c>
      <c r="G633" t="s">
        <v>936</v>
      </c>
      <c r="H633" s="1">
        <v>42414</v>
      </c>
      <c r="I633" s="2"/>
    </row>
    <row r="634" spans="1:9" x14ac:dyDescent="0.35">
      <c r="A634" t="s">
        <v>664</v>
      </c>
      <c r="B634" t="s">
        <v>21</v>
      </c>
      <c r="C634" t="s">
        <v>26</v>
      </c>
      <c r="D634" t="s">
        <v>20</v>
      </c>
      <c r="E634">
        <v>3</v>
      </c>
      <c r="F634" t="s">
        <v>70</v>
      </c>
      <c r="G634" t="s">
        <v>937</v>
      </c>
      <c r="H634" s="1">
        <v>44576</v>
      </c>
      <c r="I634" s="2"/>
    </row>
    <row r="635" spans="1:9" x14ac:dyDescent="0.35">
      <c r="A635" t="s">
        <v>665</v>
      </c>
      <c r="B635" t="s">
        <v>16</v>
      </c>
      <c r="C635" t="s">
        <v>35</v>
      </c>
      <c r="D635" t="s">
        <v>43</v>
      </c>
      <c r="E635">
        <v>6</v>
      </c>
      <c r="F635" t="s">
        <v>27</v>
      </c>
      <c r="G635" t="s">
        <v>936</v>
      </c>
      <c r="H635" s="1">
        <v>44552</v>
      </c>
      <c r="I635" s="2"/>
    </row>
    <row r="636" spans="1:9" x14ac:dyDescent="0.35">
      <c r="A636" t="s">
        <v>666</v>
      </c>
      <c r="B636" t="s">
        <v>16</v>
      </c>
      <c r="C636" t="s">
        <v>26</v>
      </c>
      <c r="D636" t="s">
        <v>15</v>
      </c>
      <c r="E636">
        <v>12</v>
      </c>
      <c r="F636" t="s">
        <v>37</v>
      </c>
      <c r="G636" t="s">
        <v>936</v>
      </c>
      <c r="H636" s="1">
        <v>43429</v>
      </c>
      <c r="I636" s="2"/>
    </row>
    <row r="637" spans="1:9" x14ac:dyDescent="0.35">
      <c r="A637" t="s">
        <v>667</v>
      </c>
      <c r="B637" t="s">
        <v>21</v>
      </c>
      <c r="C637" t="s">
        <v>14</v>
      </c>
      <c r="D637" t="s">
        <v>43</v>
      </c>
      <c r="E637">
        <v>2</v>
      </c>
      <c r="F637" t="s">
        <v>44</v>
      </c>
      <c r="G637" t="s">
        <v>937</v>
      </c>
      <c r="H637" s="1">
        <v>44923</v>
      </c>
      <c r="I637" s="2"/>
    </row>
    <row r="638" spans="1:9" x14ac:dyDescent="0.35">
      <c r="A638" t="s">
        <v>668</v>
      </c>
      <c r="B638" t="s">
        <v>21</v>
      </c>
      <c r="C638" t="s">
        <v>14</v>
      </c>
      <c r="D638" t="s">
        <v>43</v>
      </c>
      <c r="E638">
        <v>4</v>
      </c>
      <c r="F638" t="s">
        <v>70</v>
      </c>
      <c r="G638" t="s">
        <v>937</v>
      </c>
      <c r="H638" s="1">
        <v>45524</v>
      </c>
      <c r="I638" s="2"/>
    </row>
    <row r="639" spans="1:9" x14ac:dyDescent="0.35">
      <c r="A639" t="s">
        <v>669</v>
      </c>
      <c r="B639" t="s">
        <v>21</v>
      </c>
      <c r="C639" t="s">
        <v>35</v>
      </c>
      <c r="D639" t="s">
        <v>20</v>
      </c>
      <c r="E639">
        <v>4</v>
      </c>
      <c r="F639" t="s">
        <v>44</v>
      </c>
      <c r="G639" t="s">
        <v>937</v>
      </c>
      <c r="H639" s="1">
        <v>45226</v>
      </c>
      <c r="I639" s="2"/>
    </row>
    <row r="640" spans="1:9" x14ac:dyDescent="0.35">
      <c r="A640" t="s">
        <v>670</v>
      </c>
      <c r="B640" t="s">
        <v>21</v>
      </c>
      <c r="C640" t="s">
        <v>19</v>
      </c>
      <c r="D640" t="s">
        <v>20</v>
      </c>
      <c r="E640">
        <v>6</v>
      </c>
      <c r="F640" t="s">
        <v>22</v>
      </c>
      <c r="G640" t="s">
        <v>937</v>
      </c>
      <c r="H640" s="1">
        <v>45294</v>
      </c>
      <c r="I640" s="2"/>
    </row>
    <row r="641" spans="1:9" x14ac:dyDescent="0.35">
      <c r="A641" t="s">
        <v>671</v>
      </c>
      <c r="B641" t="s">
        <v>21</v>
      </c>
      <c r="C641" t="s">
        <v>14</v>
      </c>
      <c r="D641" t="s">
        <v>15</v>
      </c>
      <c r="E641">
        <v>10</v>
      </c>
      <c r="F641" t="s">
        <v>70</v>
      </c>
      <c r="G641" t="s">
        <v>937</v>
      </c>
      <c r="H641" s="1">
        <v>42532</v>
      </c>
      <c r="I641" s="2"/>
    </row>
    <row r="642" spans="1:9" x14ac:dyDescent="0.35">
      <c r="A642" t="s">
        <v>672</v>
      </c>
      <c r="B642" t="s">
        <v>16</v>
      </c>
      <c r="C642" t="s">
        <v>35</v>
      </c>
      <c r="D642" t="s">
        <v>43</v>
      </c>
      <c r="E642">
        <v>9</v>
      </c>
      <c r="F642" t="s">
        <v>31</v>
      </c>
      <c r="G642" t="s">
        <v>937</v>
      </c>
      <c r="H642" s="1">
        <v>44334</v>
      </c>
      <c r="I642" s="2"/>
    </row>
    <row r="643" spans="1:9" x14ac:dyDescent="0.35">
      <c r="A643" t="s">
        <v>673</v>
      </c>
      <c r="B643" t="s">
        <v>21</v>
      </c>
      <c r="C643" t="s">
        <v>29</v>
      </c>
      <c r="D643" t="s">
        <v>33</v>
      </c>
      <c r="E643">
        <v>13</v>
      </c>
      <c r="F643" t="s">
        <v>22</v>
      </c>
      <c r="G643" t="s">
        <v>937</v>
      </c>
      <c r="H643" s="1">
        <v>44122</v>
      </c>
      <c r="I643" s="2"/>
    </row>
    <row r="644" spans="1:9" x14ac:dyDescent="0.35">
      <c r="A644" t="s">
        <v>674</v>
      </c>
      <c r="B644" t="s">
        <v>21</v>
      </c>
      <c r="C644" t="s">
        <v>14</v>
      </c>
      <c r="D644" t="s">
        <v>33</v>
      </c>
      <c r="E644">
        <v>15</v>
      </c>
      <c r="F644" t="s">
        <v>44</v>
      </c>
      <c r="G644" t="s">
        <v>937</v>
      </c>
      <c r="H644" s="1">
        <v>45190</v>
      </c>
      <c r="I644" s="2"/>
    </row>
    <row r="645" spans="1:9" x14ac:dyDescent="0.35">
      <c r="A645" t="s">
        <v>675</v>
      </c>
      <c r="B645" t="s">
        <v>16</v>
      </c>
      <c r="C645" t="s">
        <v>14</v>
      </c>
      <c r="D645" t="s">
        <v>15</v>
      </c>
      <c r="E645">
        <v>7</v>
      </c>
      <c r="F645" t="s">
        <v>37</v>
      </c>
      <c r="G645" t="s">
        <v>936</v>
      </c>
      <c r="H645" s="1">
        <v>43900</v>
      </c>
      <c r="I645" s="2"/>
    </row>
    <row r="646" spans="1:9" x14ac:dyDescent="0.35">
      <c r="A646" t="s">
        <v>676</v>
      </c>
      <c r="B646" t="s">
        <v>16</v>
      </c>
      <c r="C646" t="s">
        <v>35</v>
      </c>
      <c r="D646" t="s">
        <v>15</v>
      </c>
      <c r="E646">
        <v>9</v>
      </c>
      <c r="F646" t="s">
        <v>37</v>
      </c>
      <c r="G646" t="s">
        <v>936</v>
      </c>
      <c r="H646" s="1">
        <v>44986</v>
      </c>
      <c r="I646" s="2"/>
    </row>
    <row r="647" spans="1:9" x14ac:dyDescent="0.35">
      <c r="A647" t="s">
        <v>677</v>
      </c>
      <c r="B647" t="s">
        <v>21</v>
      </c>
      <c r="C647" t="s">
        <v>29</v>
      </c>
      <c r="D647" t="s">
        <v>15</v>
      </c>
      <c r="E647">
        <v>13</v>
      </c>
      <c r="F647" t="s">
        <v>37</v>
      </c>
      <c r="G647" t="s">
        <v>936</v>
      </c>
      <c r="H647" s="1">
        <v>45186</v>
      </c>
      <c r="I647" s="2"/>
    </row>
    <row r="648" spans="1:9" x14ac:dyDescent="0.35">
      <c r="A648" t="s">
        <v>678</v>
      </c>
      <c r="B648" t="s">
        <v>16</v>
      </c>
      <c r="C648" t="s">
        <v>29</v>
      </c>
      <c r="D648" t="s">
        <v>20</v>
      </c>
      <c r="E648">
        <v>5</v>
      </c>
      <c r="F648" t="s">
        <v>31</v>
      </c>
      <c r="G648" t="s">
        <v>937</v>
      </c>
      <c r="H648" s="1">
        <v>42802</v>
      </c>
      <c r="I648" s="2"/>
    </row>
    <row r="649" spans="1:9" x14ac:dyDescent="0.35">
      <c r="A649" t="s">
        <v>679</v>
      </c>
      <c r="B649" t="s">
        <v>16</v>
      </c>
      <c r="C649" t="s">
        <v>29</v>
      </c>
      <c r="D649" t="s">
        <v>20</v>
      </c>
      <c r="E649">
        <v>9</v>
      </c>
      <c r="F649" t="s">
        <v>70</v>
      </c>
      <c r="G649" t="s">
        <v>937</v>
      </c>
      <c r="H649" s="1">
        <v>43016</v>
      </c>
      <c r="I649" s="2"/>
    </row>
    <row r="650" spans="1:9" x14ac:dyDescent="0.35">
      <c r="A650" t="s">
        <v>680</v>
      </c>
      <c r="B650" t="s">
        <v>16</v>
      </c>
      <c r="C650" t="s">
        <v>26</v>
      </c>
      <c r="D650" t="s">
        <v>20</v>
      </c>
      <c r="E650">
        <v>14</v>
      </c>
      <c r="F650" t="s">
        <v>31</v>
      </c>
      <c r="G650" t="s">
        <v>937</v>
      </c>
      <c r="H650" s="1">
        <v>44279</v>
      </c>
      <c r="I650" s="2"/>
    </row>
    <row r="651" spans="1:9" x14ac:dyDescent="0.35">
      <c r="A651" t="s">
        <v>681</v>
      </c>
      <c r="B651" t="s">
        <v>21</v>
      </c>
      <c r="C651" t="s">
        <v>29</v>
      </c>
      <c r="D651" t="s">
        <v>15</v>
      </c>
      <c r="E651">
        <v>11</v>
      </c>
      <c r="F651" t="s">
        <v>27</v>
      </c>
      <c r="G651" t="s">
        <v>936</v>
      </c>
      <c r="H651" s="1">
        <v>45644</v>
      </c>
      <c r="I651" s="2"/>
    </row>
    <row r="652" spans="1:9" x14ac:dyDescent="0.35">
      <c r="A652" t="s">
        <v>682</v>
      </c>
      <c r="B652" t="s">
        <v>16</v>
      </c>
      <c r="C652" t="s">
        <v>29</v>
      </c>
      <c r="D652" t="s">
        <v>33</v>
      </c>
      <c r="E652">
        <v>14</v>
      </c>
      <c r="F652" t="s">
        <v>44</v>
      </c>
      <c r="G652" t="s">
        <v>937</v>
      </c>
      <c r="H652" s="1">
        <v>43079</v>
      </c>
      <c r="I652" s="2"/>
    </row>
    <row r="653" spans="1:9" x14ac:dyDescent="0.35">
      <c r="A653" t="s">
        <v>683</v>
      </c>
      <c r="B653" t="s">
        <v>21</v>
      </c>
      <c r="C653" t="s">
        <v>29</v>
      </c>
      <c r="D653" t="s">
        <v>43</v>
      </c>
      <c r="E653">
        <v>7</v>
      </c>
      <c r="F653" t="s">
        <v>17</v>
      </c>
      <c r="G653" t="s">
        <v>936</v>
      </c>
      <c r="H653" s="1">
        <v>44484</v>
      </c>
      <c r="I653" s="2"/>
    </row>
    <row r="654" spans="1:9" x14ac:dyDescent="0.35">
      <c r="A654" t="s">
        <v>684</v>
      </c>
      <c r="B654" t="s">
        <v>16</v>
      </c>
      <c r="C654" t="s">
        <v>29</v>
      </c>
      <c r="D654" t="s">
        <v>43</v>
      </c>
      <c r="E654">
        <v>6</v>
      </c>
      <c r="F654" t="s">
        <v>37</v>
      </c>
      <c r="G654" t="s">
        <v>936</v>
      </c>
      <c r="H654" s="1">
        <v>42687</v>
      </c>
      <c r="I654" s="2"/>
    </row>
    <row r="655" spans="1:9" x14ac:dyDescent="0.35">
      <c r="A655" t="s">
        <v>685</v>
      </c>
      <c r="B655" t="s">
        <v>21</v>
      </c>
      <c r="C655" t="s">
        <v>35</v>
      </c>
      <c r="D655" t="s">
        <v>43</v>
      </c>
      <c r="E655">
        <v>2</v>
      </c>
      <c r="F655" t="s">
        <v>37</v>
      </c>
      <c r="G655" t="s">
        <v>936</v>
      </c>
      <c r="H655" s="1">
        <v>43758</v>
      </c>
      <c r="I655" s="2"/>
    </row>
    <row r="656" spans="1:9" x14ac:dyDescent="0.35">
      <c r="A656" t="s">
        <v>686</v>
      </c>
      <c r="B656" t="s">
        <v>21</v>
      </c>
      <c r="C656" t="s">
        <v>29</v>
      </c>
      <c r="D656" t="s">
        <v>20</v>
      </c>
      <c r="E656">
        <v>6</v>
      </c>
      <c r="F656" t="s">
        <v>37</v>
      </c>
      <c r="G656" t="s">
        <v>936</v>
      </c>
      <c r="H656" s="1">
        <v>43577</v>
      </c>
      <c r="I656" s="2"/>
    </row>
    <row r="657" spans="1:9" x14ac:dyDescent="0.35">
      <c r="A657" t="s">
        <v>687</v>
      </c>
      <c r="B657" t="s">
        <v>16</v>
      </c>
      <c r="C657" t="s">
        <v>19</v>
      </c>
      <c r="D657" t="s">
        <v>20</v>
      </c>
      <c r="E657">
        <v>7</v>
      </c>
      <c r="F657" t="s">
        <v>44</v>
      </c>
      <c r="G657" t="s">
        <v>937</v>
      </c>
      <c r="H657" s="1">
        <v>43162</v>
      </c>
      <c r="I657" s="2"/>
    </row>
    <row r="658" spans="1:9" x14ac:dyDescent="0.35">
      <c r="A658" t="s">
        <v>688</v>
      </c>
      <c r="B658" t="s">
        <v>21</v>
      </c>
      <c r="C658" t="s">
        <v>19</v>
      </c>
      <c r="D658" t="s">
        <v>33</v>
      </c>
      <c r="E658">
        <v>7</v>
      </c>
      <c r="F658" t="s">
        <v>17</v>
      </c>
      <c r="G658" t="s">
        <v>936</v>
      </c>
      <c r="H658" s="1">
        <v>42308</v>
      </c>
      <c r="I658" s="2"/>
    </row>
    <row r="659" spans="1:9" x14ac:dyDescent="0.35">
      <c r="A659" t="s">
        <v>689</v>
      </c>
      <c r="B659" t="s">
        <v>21</v>
      </c>
      <c r="C659" t="s">
        <v>26</v>
      </c>
      <c r="D659" t="s">
        <v>15</v>
      </c>
      <c r="E659">
        <v>6</v>
      </c>
      <c r="F659" t="s">
        <v>24</v>
      </c>
      <c r="G659" t="s">
        <v>936</v>
      </c>
      <c r="H659" s="1">
        <v>42505</v>
      </c>
      <c r="I659" s="2"/>
    </row>
    <row r="660" spans="1:9" x14ac:dyDescent="0.35">
      <c r="A660" t="s">
        <v>690</v>
      </c>
      <c r="B660" t="s">
        <v>16</v>
      </c>
      <c r="C660" t="s">
        <v>29</v>
      </c>
      <c r="D660" t="s">
        <v>33</v>
      </c>
      <c r="E660">
        <v>15</v>
      </c>
      <c r="F660" t="s">
        <v>17</v>
      </c>
      <c r="G660" t="s">
        <v>936</v>
      </c>
      <c r="H660" s="1">
        <v>42395</v>
      </c>
      <c r="I660" s="2"/>
    </row>
    <row r="661" spans="1:9" x14ac:dyDescent="0.35">
      <c r="A661" t="s">
        <v>691</v>
      </c>
      <c r="B661" t="s">
        <v>21</v>
      </c>
      <c r="C661" t="s">
        <v>26</v>
      </c>
      <c r="D661" t="s">
        <v>15</v>
      </c>
      <c r="E661">
        <v>0</v>
      </c>
      <c r="F661" t="s">
        <v>27</v>
      </c>
      <c r="G661" t="s">
        <v>936</v>
      </c>
      <c r="H661" s="1">
        <v>43927</v>
      </c>
      <c r="I661" s="2"/>
    </row>
    <row r="662" spans="1:9" x14ac:dyDescent="0.35">
      <c r="A662" t="s">
        <v>692</v>
      </c>
      <c r="B662" t="s">
        <v>21</v>
      </c>
      <c r="C662" t="s">
        <v>29</v>
      </c>
      <c r="D662" t="s">
        <v>33</v>
      </c>
      <c r="E662">
        <v>2</v>
      </c>
      <c r="F662" t="s">
        <v>31</v>
      </c>
      <c r="G662" t="s">
        <v>937</v>
      </c>
      <c r="H662" s="1">
        <v>44271</v>
      </c>
      <c r="I662" s="2"/>
    </row>
    <row r="663" spans="1:9" x14ac:dyDescent="0.35">
      <c r="A663" t="s">
        <v>693</v>
      </c>
      <c r="B663" t="s">
        <v>16</v>
      </c>
      <c r="C663" t="s">
        <v>19</v>
      </c>
      <c r="D663" t="s">
        <v>15</v>
      </c>
      <c r="E663">
        <v>13</v>
      </c>
      <c r="F663" t="s">
        <v>27</v>
      </c>
      <c r="G663" t="s">
        <v>936</v>
      </c>
      <c r="H663" s="1">
        <v>44350</v>
      </c>
      <c r="I663" s="2"/>
    </row>
    <row r="664" spans="1:9" x14ac:dyDescent="0.35">
      <c r="A664" t="s">
        <v>694</v>
      </c>
      <c r="B664" t="s">
        <v>21</v>
      </c>
      <c r="C664" t="s">
        <v>14</v>
      </c>
      <c r="D664" t="s">
        <v>15</v>
      </c>
      <c r="E664">
        <v>11</v>
      </c>
      <c r="F664" t="s">
        <v>17</v>
      </c>
      <c r="G664" t="s">
        <v>936</v>
      </c>
      <c r="H664" s="1">
        <v>43957</v>
      </c>
      <c r="I664" s="2"/>
    </row>
    <row r="665" spans="1:9" x14ac:dyDescent="0.35">
      <c r="A665" t="s">
        <v>695</v>
      </c>
      <c r="B665" t="s">
        <v>16</v>
      </c>
      <c r="C665" t="s">
        <v>26</v>
      </c>
      <c r="D665" t="s">
        <v>33</v>
      </c>
      <c r="E665">
        <v>7</v>
      </c>
      <c r="F665" t="s">
        <v>44</v>
      </c>
      <c r="G665" t="s">
        <v>937</v>
      </c>
      <c r="H665" s="1">
        <v>43708</v>
      </c>
      <c r="I665" s="2"/>
    </row>
    <row r="666" spans="1:9" x14ac:dyDescent="0.35">
      <c r="A666" t="s">
        <v>696</v>
      </c>
      <c r="B666" t="s">
        <v>21</v>
      </c>
      <c r="C666" t="s">
        <v>26</v>
      </c>
      <c r="D666" t="s">
        <v>43</v>
      </c>
      <c r="E666">
        <v>0</v>
      </c>
      <c r="F666" t="s">
        <v>27</v>
      </c>
      <c r="G666" t="s">
        <v>936</v>
      </c>
      <c r="H666" s="1">
        <v>44141</v>
      </c>
      <c r="I666" s="2"/>
    </row>
    <row r="667" spans="1:9" x14ac:dyDescent="0.35">
      <c r="A667" t="s">
        <v>697</v>
      </c>
      <c r="B667" t="s">
        <v>16</v>
      </c>
      <c r="C667" t="s">
        <v>14</v>
      </c>
      <c r="D667" t="s">
        <v>33</v>
      </c>
      <c r="E667">
        <v>13</v>
      </c>
      <c r="F667" t="s">
        <v>22</v>
      </c>
      <c r="G667" t="s">
        <v>937</v>
      </c>
      <c r="H667" s="1">
        <v>43589</v>
      </c>
      <c r="I667" s="2"/>
    </row>
    <row r="668" spans="1:9" x14ac:dyDescent="0.35">
      <c r="A668" t="s">
        <v>698</v>
      </c>
      <c r="B668" t="s">
        <v>21</v>
      </c>
      <c r="C668" t="s">
        <v>35</v>
      </c>
      <c r="D668" t="s">
        <v>15</v>
      </c>
      <c r="E668">
        <v>15</v>
      </c>
      <c r="F668" t="s">
        <v>70</v>
      </c>
      <c r="G668" t="s">
        <v>937</v>
      </c>
      <c r="H668" s="1">
        <v>45197</v>
      </c>
      <c r="I668" s="2"/>
    </row>
    <row r="669" spans="1:9" x14ac:dyDescent="0.35">
      <c r="A669" t="s">
        <v>699</v>
      </c>
      <c r="B669" t="s">
        <v>21</v>
      </c>
      <c r="C669" t="s">
        <v>35</v>
      </c>
      <c r="D669" t="s">
        <v>33</v>
      </c>
      <c r="E669">
        <v>2</v>
      </c>
      <c r="F669" t="s">
        <v>22</v>
      </c>
      <c r="G669" t="s">
        <v>937</v>
      </c>
      <c r="H669" s="1">
        <v>45632</v>
      </c>
      <c r="I669" s="2"/>
    </row>
    <row r="670" spans="1:9" x14ac:dyDescent="0.35">
      <c r="A670" t="s">
        <v>700</v>
      </c>
      <c r="B670" t="s">
        <v>16</v>
      </c>
      <c r="C670" t="s">
        <v>26</v>
      </c>
      <c r="D670" t="s">
        <v>43</v>
      </c>
      <c r="E670">
        <v>12</v>
      </c>
      <c r="F670" t="s">
        <v>70</v>
      </c>
      <c r="G670" t="s">
        <v>937</v>
      </c>
      <c r="H670" s="1">
        <v>43269</v>
      </c>
      <c r="I670" s="2"/>
    </row>
    <row r="671" spans="1:9" x14ac:dyDescent="0.35">
      <c r="A671" t="s">
        <v>701</v>
      </c>
      <c r="B671" t="s">
        <v>21</v>
      </c>
      <c r="C671" t="s">
        <v>35</v>
      </c>
      <c r="D671" t="s">
        <v>20</v>
      </c>
      <c r="E671">
        <v>8</v>
      </c>
      <c r="F671" t="s">
        <v>17</v>
      </c>
      <c r="G671" t="s">
        <v>936</v>
      </c>
      <c r="H671" s="1">
        <v>43451</v>
      </c>
      <c r="I671" s="2"/>
    </row>
    <row r="672" spans="1:9" x14ac:dyDescent="0.35">
      <c r="A672" t="s">
        <v>702</v>
      </c>
      <c r="B672" t="s">
        <v>16</v>
      </c>
      <c r="C672" t="s">
        <v>19</v>
      </c>
      <c r="D672" t="s">
        <v>15</v>
      </c>
      <c r="E672">
        <v>2</v>
      </c>
      <c r="F672" t="s">
        <v>44</v>
      </c>
      <c r="G672" t="s">
        <v>937</v>
      </c>
      <c r="H672" s="1">
        <v>42860</v>
      </c>
      <c r="I672" s="2"/>
    </row>
    <row r="673" spans="1:9" x14ac:dyDescent="0.35">
      <c r="A673" t="s">
        <v>703</v>
      </c>
      <c r="B673" t="s">
        <v>21</v>
      </c>
      <c r="C673" t="s">
        <v>19</v>
      </c>
      <c r="D673" t="s">
        <v>33</v>
      </c>
      <c r="E673">
        <v>5</v>
      </c>
      <c r="F673" t="s">
        <v>44</v>
      </c>
      <c r="G673" t="s">
        <v>937</v>
      </c>
      <c r="H673" s="1">
        <v>43343</v>
      </c>
      <c r="I673" s="2"/>
    </row>
    <row r="674" spans="1:9" x14ac:dyDescent="0.35">
      <c r="A674" t="s">
        <v>704</v>
      </c>
      <c r="B674" t="s">
        <v>21</v>
      </c>
      <c r="C674" t="s">
        <v>19</v>
      </c>
      <c r="D674" t="s">
        <v>43</v>
      </c>
      <c r="E674">
        <v>13</v>
      </c>
      <c r="F674" t="s">
        <v>17</v>
      </c>
      <c r="G674" t="s">
        <v>936</v>
      </c>
      <c r="H674" s="1">
        <v>43245</v>
      </c>
      <c r="I674" s="2"/>
    </row>
    <row r="675" spans="1:9" x14ac:dyDescent="0.35">
      <c r="A675" t="s">
        <v>705</v>
      </c>
      <c r="B675" t="s">
        <v>21</v>
      </c>
      <c r="C675" t="s">
        <v>14</v>
      </c>
      <c r="D675" t="s">
        <v>20</v>
      </c>
      <c r="E675">
        <v>0</v>
      </c>
      <c r="F675" t="s">
        <v>37</v>
      </c>
      <c r="G675" t="s">
        <v>936</v>
      </c>
      <c r="H675" s="1">
        <v>42678</v>
      </c>
      <c r="I675" s="2"/>
    </row>
    <row r="676" spans="1:9" x14ac:dyDescent="0.35">
      <c r="A676" t="s">
        <v>706</v>
      </c>
      <c r="B676" t="s">
        <v>16</v>
      </c>
      <c r="C676" t="s">
        <v>19</v>
      </c>
      <c r="D676" t="s">
        <v>20</v>
      </c>
      <c r="E676">
        <v>0</v>
      </c>
      <c r="F676" t="s">
        <v>37</v>
      </c>
      <c r="G676" t="s">
        <v>936</v>
      </c>
      <c r="H676" s="1">
        <v>43242</v>
      </c>
      <c r="I676" s="2"/>
    </row>
    <row r="677" spans="1:9" x14ac:dyDescent="0.35">
      <c r="A677" t="s">
        <v>707</v>
      </c>
      <c r="B677" t="s">
        <v>16</v>
      </c>
      <c r="C677" t="s">
        <v>35</v>
      </c>
      <c r="D677" t="s">
        <v>33</v>
      </c>
      <c r="E677">
        <v>4</v>
      </c>
      <c r="F677" t="s">
        <v>31</v>
      </c>
      <c r="G677" t="s">
        <v>937</v>
      </c>
      <c r="H677" s="1">
        <v>45303</v>
      </c>
      <c r="I677" s="2"/>
    </row>
    <row r="678" spans="1:9" x14ac:dyDescent="0.35">
      <c r="A678" t="s">
        <v>708</v>
      </c>
      <c r="B678" t="s">
        <v>16</v>
      </c>
      <c r="C678" t="s">
        <v>14</v>
      </c>
      <c r="D678" t="s">
        <v>15</v>
      </c>
      <c r="E678">
        <v>1</v>
      </c>
      <c r="F678" t="s">
        <v>37</v>
      </c>
      <c r="G678" t="s">
        <v>936</v>
      </c>
      <c r="H678" s="1">
        <v>42480</v>
      </c>
      <c r="I678" s="2"/>
    </row>
    <row r="679" spans="1:9" x14ac:dyDescent="0.35">
      <c r="A679" t="s">
        <v>709</v>
      </c>
      <c r="B679" t="s">
        <v>21</v>
      </c>
      <c r="C679" t="s">
        <v>19</v>
      </c>
      <c r="D679" t="s">
        <v>33</v>
      </c>
      <c r="E679">
        <v>5</v>
      </c>
      <c r="F679" t="s">
        <v>17</v>
      </c>
      <c r="G679" t="s">
        <v>936</v>
      </c>
      <c r="H679" s="1">
        <v>44878</v>
      </c>
      <c r="I679" s="2"/>
    </row>
    <row r="680" spans="1:9" x14ac:dyDescent="0.35">
      <c r="A680" t="s">
        <v>710</v>
      </c>
      <c r="B680" t="s">
        <v>16</v>
      </c>
      <c r="C680" t="s">
        <v>14</v>
      </c>
      <c r="D680" t="s">
        <v>15</v>
      </c>
      <c r="E680">
        <v>5</v>
      </c>
      <c r="F680" t="s">
        <v>22</v>
      </c>
      <c r="G680" t="s">
        <v>937</v>
      </c>
      <c r="H680" s="1">
        <v>44574</v>
      </c>
      <c r="I680" s="2"/>
    </row>
    <row r="681" spans="1:9" x14ac:dyDescent="0.35">
      <c r="A681" t="s">
        <v>711</v>
      </c>
      <c r="B681" t="s">
        <v>16</v>
      </c>
      <c r="C681" t="s">
        <v>35</v>
      </c>
      <c r="D681" t="s">
        <v>43</v>
      </c>
      <c r="E681">
        <v>0</v>
      </c>
      <c r="F681" t="s">
        <v>37</v>
      </c>
      <c r="G681" t="s">
        <v>936</v>
      </c>
      <c r="H681" s="1">
        <v>42664</v>
      </c>
      <c r="I681" s="2"/>
    </row>
    <row r="682" spans="1:9" x14ac:dyDescent="0.35">
      <c r="A682" t="s">
        <v>712</v>
      </c>
      <c r="B682" t="s">
        <v>16</v>
      </c>
      <c r="C682" t="s">
        <v>26</v>
      </c>
      <c r="D682" t="s">
        <v>33</v>
      </c>
      <c r="E682">
        <v>4</v>
      </c>
      <c r="F682" t="s">
        <v>22</v>
      </c>
      <c r="G682" t="s">
        <v>937</v>
      </c>
      <c r="H682" s="1">
        <v>42842</v>
      </c>
      <c r="I682" s="2"/>
    </row>
    <row r="683" spans="1:9" x14ac:dyDescent="0.35">
      <c r="A683" t="s">
        <v>713</v>
      </c>
      <c r="B683" t="s">
        <v>21</v>
      </c>
      <c r="C683" t="s">
        <v>14</v>
      </c>
      <c r="D683" t="s">
        <v>20</v>
      </c>
      <c r="E683">
        <v>8</v>
      </c>
      <c r="F683" t="s">
        <v>27</v>
      </c>
      <c r="G683" t="s">
        <v>936</v>
      </c>
      <c r="H683" s="1">
        <v>43710</v>
      </c>
      <c r="I683" s="2"/>
    </row>
    <row r="684" spans="1:9" x14ac:dyDescent="0.35">
      <c r="A684" t="s">
        <v>714</v>
      </c>
      <c r="B684" t="s">
        <v>21</v>
      </c>
      <c r="C684" t="s">
        <v>14</v>
      </c>
      <c r="D684" t="s">
        <v>15</v>
      </c>
      <c r="E684">
        <v>7</v>
      </c>
      <c r="F684" t="s">
        <v>27</v>
      </c>
      <c r="G684" t="s">
        <v>936</v>
      </c>
      <c r="H684" s="1">
        <v>42978</v>
      </c>
      <c r="I684" s="2"/>
    </row>
    <row r="685" spans="1:9" x14ac:dyDescent="0.35">
      <c r="A685" t="s">
        <v>715</v>
      </c>
      <c r="B685" t="s">
        <v>16</v>
      </c>
      <c r="C685" t="s">
        <v>14</v>
      </c>
      <c r="D685" t="s">
        <v>15</v>
      </c>
      <c r="E685">
        <v>11</v>
      </c>
      <c r="F685" t="s">
        <v>70</v>
      </c>
      <c r="G685" t="s">
        <v>937</v>
      </c>
      <c r="H685" s="1">
        <v>42852</v>
      </c>
      <c r="I685" s="2"/>
    </row>
    <row r="686" spans="1:9" x14ac:dyDescent="0.35">
      <c r="A686" t="s">
        <v>716</v>
      </c>
      <c r="B686" t="s">
        <v>21</v>
      </c>
      <c r="C686" t="s">
        <v>29</v>
      </c>
      <c r="D686" t="s">
        <v>43</v>
      </c>
      <c r="E686">
        <v>8</v>
      </c>
      <c r="F686" t="s">
        <v>44</v>
      </c>
      <c r="G686" t="s">
        <v>937</v>
      </c>
      <c r="H686" s="1">
        <v>44088</v>
      </c>
      <c r="I686" s="2"/>
    </row>
    <row r="687" spans="1:9" x14ac:dyDescent="0.35">
      <c r="A687" t="s">
        <v>717</v>
      </c>
      <c r="B687" t="s">
        <v>21</v>
      </c>
      <c r="C687" t="s">
        <v>26</v>
      </c>
      <c r="D687" t="s">
        <v>20</v>
      </c>
      <c r="E687">
        <v>10</v>
      </c>
      <c r="F687" t="s">
        <v>37</v>
      </c>
      <c r="G687" t="s">
        <v>936</v>
      </c>
      <c r="H687" s="1">
        <v>45001</v>
      </c>
      <c r="I687" s="2"/>
    </row>
    <row r="688" spans="1:9" x14ac:dyDescent="0.35">
      <c r="A688" t="s">
        <v>718</v>
      </c>
      <c r="B688" t="s">
        <v>16</v>
      </c>
      <c r="C688" t="s">
        <v>14</v>
      </c>
      <c r="D688" t="s">
        <v>20</v>
      </c>
      <c r="E688">
        <v>9</v>
      </c>
      <c r="F688" t="s">
        <v>31</v>
      </c>
      <c r="G688" t="s">
        <v>937</v>
      </c>
      <c r="H688" s="1">
        <v>43091</v>
      </c>
      <c r="I688" s="2"/>
    </row>
    <row r="689" spans="1:9" x14ac:dyDescent="0.35">
      <c r="A689" t="s">
        <v>719</v>
      </c>
      <c r="B689" t="s">
        <v>16</v>
      </c>
      <c r="C689" t="s">
        <v>19</v>
      </c>
      <c r="D689" t="s">
        <v>33</v>
      </c>
      <c r="E689">
        <v>6</v>
      </c>
      <c r="F689" t="s">
        <v>27</v>
      </c>
      <c r="G689" t="s">
        <v>936</v>
      </c>
      <c r="H689" s="1">
        <v>45309</v>
      </c>
      <c r="I689" s="2"/>
    </row>
    <row r="690" spans="1:9" x14ac:dyDescent="0.35">
      <c r="A690" t="s">
        <v>720</v>
      </c>
      <c r="B690" t="s">
        <v>21</v>
      </c>
      <c r="C690" t="s">
        <v>26</v>
      </c>
      <c r="D690" t="s">
        <v>43</v>
      </c>
      <c r="E690">
        <v>1</v>
      </c>
      <c r="F690" t="s">
        <v>17</v>
      </c>
      <c r="G690" t="s">
        <v>936</v>
      </c>
      <c r="H690" s="1">
        <v>43998</v>
      </c>
      <c r="I690" s="2"/>
    </row>
    <row r="691" spans="1:9" x14ac:dyDescent="0.35">
      <c r="A691" t="s">
        <v>721</v>
      </c>
      <c r="B691" t="s">
        <v>21</v>
      </c>
      <c r="C691" t="s">
        <v>35</v>
      </c>
      <c r="D691" t="s">
        <v>20</v>
      </c>
      <c r="E691">
        <v>5</v>
      </c>
      <c r="F691" t="s">
        <v>70</v>
      </c>
      <c r="G691" t="s">
        <v>937</v>
      </c>
      <c r="H691" s="1">
        <v>44459</v>
      </c>
      <c r="I691" s="2"/>
    </row>
    <row r="692" spans="1:9" x14ac:dyDescent="0.35">
      <c r="A692" t="s">
        <v>722</v>
      </c>
      <c r="B692" t="s">
        <v>21</v>
      </c>
      <c r="C692" t="s">
        <v>19</v>
      </c>
      <c r="D692" t="s">
        <v>20</v>
      </c>
      <c r="E692">
        <v>0</v>
      </c>
      <c r="F692" t="s">
        <v>27</v>
      </c>
      <c r="G692" t="s">
        <v>936</v>
      </c>
      <c r="H692" s="1">
        <v>44996</v>
      </c>
      <c r="I692" s="2"/>
    </row>
    <row r="693" spans="1:9" x14ac:dyDescent="0.35">
      <c r="A693" t="s">
        <v>723</v>
      </c>
      <c r="B693" t="s">
        <v>21</v>
      </c>
      <c r="C693" t="s">
        <v>14</v>
      </c>
      <c r="D693" t="s">
        <v>43</v>
      </c>
      <c r="E693">
        <v>7</v>
      </c>
      <c r="F693" t="s">
        <v>31</v>
      </c>
      <c r="G693" t="s">
        <v>937</v>
      </c>
      <c r="H693" s="1">
        <v>42762</v>
      </c>
      <c r="I693" s="2"/>
    </row>
    <row r="694" spans="1:9" x14ac:dyDescent="0.35">
      <c r="A694" t="s">
        <v>724</v>
      </c>
      <c r="B694" t="s">
        <v>16</v>
      </c>
      <c r="C694" t="s">
        <v>14</v>
      </c>
      <c r="D694" t="s">
        <v>43</v>
      </c>
      <c r="E694">
        <v>0</v>
      </c>
      <c r="F694" t="s">
        <v>44</v>
      </c>
      <c r="G694" t="s">
        <v>937</v>
      </c>
      <c r="H694" s="1">
        <v>44008</v>
      </c>
      <c r="I694" s="2"/>
    </row>
    <row r="695" spans="1:9" x14ac:dyDescent="0.35">
      <c r="A695" t="s">
        <v>725</v>
      </c>
      <c r="B695" t="s">
        <v>16</v>
      </c>
      <c r="C695" t="s">
        <v>29</v>
      </c>
      <c r="D695" t="s">
        <v>43</v>
      </c>
      <c r="E695">
        <v>12</v>
      </c>
      <c r="F695" t="s">
        <v>27</v>
      </c>
      <c r="G695" t="s">
        <v>936</v>
      </c>
      <c r="H695" s="1">
        <v>45037</v>
      </c>
      <c r="I695" s="2"/>
    </row>
    <row r="696" spans="1:9" x14ac:dyDescent="0.35">
      <c r="A696" t="s">
        <v>726</v>
      </c>
      <c r="B696" t="s">
        <v>16</v>
      </c>
      <c r="C696" t="s">
        <v>29</v>
      </c>
      <c r="D696" t="s">
        <v>15</v>
      </c>
      <c r="E696">
        <v>14</v>
      </c>
      <c r="F696" t="s">
        <v>31</v>
      </c>
      <c r="G696" t="s">
        <v>937</v>
      </c>
      <c r="H696" s="1">
        <v>43044</v>
      </c>
      <c r="I696" s="2"/>
    </row>
    <row r="697" spans="1:9" x14ac:dyDescent="0.35">
      <c r="A697" t="s">
        <v>727</v>
      </c>
      <c r="B697" t="s">
        <v>16</v>
      </c>
      <c r="C697" t="s">
        <v>26</v>
      </c>
      <c r="D697" t="s">
        <v>33</v>
      </c>
      <c r="E697">
        <v>1</v>
      </c>
      <c r="F697" t="s">
        <v>27</v>
      </c>
      <c r="G697" t="s">
        <v>936</v>
      </c>
      <c r="H697" s="1">
        <v>44207</v>
      </c>
      <c r="I697" s="2"/>
    </row>
    <row r="698" spans="1:9" x14ac:dyDescent="0.35">
      <c r="A698" t="s">
        <v>728</v>
      </c>
      <c r="B698" t="s">
        <v>16</v>
      </c>
      <c r="C698" t="s">
        <v>14</v>
      </c>
      <c r="D698" t="s">
        <v>15</v>
      </c>
      <c r="E698">
        <v>8</v>
      </c>
      <c r="F698" t="s">
        <v>70</v>
      </c>
      <c r="G698" t="s">
        <v>937</v>
      </c>
      <c r="H698" s="1">
        <v>44680</v>
      </c>
      <c r="I698" s="2"/>
    </row>
    <row r="699" spans="1:9" x14ac:dyDescent="0.35">
      <c r="A699" t="s">
        <v>729</v>
      </c>
      <c r="B699" t="s">
        <v>21</v>
      </c>
      <c r="C699" t="s">
        <v>19</v>
      </c>
      <c r="D699" t="s">
        <v>15</v>
      </c>
      <c r="E699">
        <v>5</v>
      </c>
      <c r="F699" t="s">
        <v>44</v>
      </c>
      <c r="G699" t="s">
        <v>937</v>
      </c>
      <c r="H699" s="1">
        <v>43819</v>
      </c>
      <c r="I699" s="2"/>
    </row>
    <row r="700" spans="1:9" x14ac:dyDescent="0.35">
      <c r="A700" t="s">
        <v>730</v>
      </c>
      <c r="B700" t="s">
        <v>21</v>
      </c>
      <c r="C700" t="s">
        <v>19</v>
      </c>
      <c r="D700" t="s">
        <v>43</v>
      </c>
      <c r="E700">
        <v>3</v>
      </c>
      <c r="F700" t="s">
        <v>44</v>
      </c>
      <c r="G700" t="s">
        <v>937</v>
      </c>
      <c r="H700" s="1">
        <v>42096</v>
      </c>
      <c r="I700" s="2"/>
    </row>
    <row r="701" spans="1:9" x14ac:dyDescent="0.35">
      <c r="A701" t="s">
        <v>731</v>
      </c>
      <c r="B701" t="s">
        <v>16</v>
      </c>
      <c r="C701" t="s">
        <v>14</v>
      </c>
      <c r="D701" t="s">
        <v>20</v>
      </c>
      <c r="E701">
        <v>11</v>
      </c>
      <c r="F701" t="s">
        <v>24</v>
      </c>
      <c r="G701" t="s">
        <v>936</v>
      </c>
      <c r="H701" s="1">
        <v>44495</v>
      </c>
      <c r="I701" s="2"/>
    </row>
    <row r="702" spans="1:9" x14ac:dyDescent="0.35">
      <c r="A702" t="s">
        <v>732</v>
      </c>
      <c r="B702" t="s">
        <v>16</v>
      </c>
      <c r="C702" t="s">
        <v>14</v>
      </c>
      <c r="D702" t="s">
        <v>43</v>
      </c>
      <c r="E702">
        <v>8</v>
      </c>
      <c r="F702" t="s">
        <v>31</v>
      </c>
      <c r="G702" t="s">
        <v>937</v>
      </c>
      <c r="H702" s="1">
        <v>42898</v>
      </c>
      <c r="I702" s="2"/>
    </row>
    <row r="703" spans="1:9" x14ac:dyDescent="0.35">
      <c r="A703" t="s">
        <v>733</v>
      </c>
      <c r="B703" t="s">
        <v>21</v>
      </c>
      <c r="C703" t="s">
        <v>35</v>
      </c>
      <c r="D703" t="s">
        <v>43</v>
      </c>
      <c r="E703">
        <v>11</v>
      </c>
      <c r="F703" t="s">
        <v>22</v>
      </c>
      <c r="G703" t="s">
        <v>937</v>
      </c>
      <c r="H703" s="1">
        <v>44038</v>
      </c>
      <c r="I703" s="2"/>
    </row>
    <row r="704" spans="1:9" x14ac:dyDescent="0.35">
      <c r="A704" t="s">
        <v>734</v>
      </c>
      <c r="B704" t="s">
        <v>21</v>
      </c>
      <c r="C704" t="s">
        <v>19</v>
      </c>
      <c r="D704" t="s">
        <v>15</v>
      </c>
      <c r="E704">
        <v>12</v>
      </c>
      <c r="F704" t="s">
        <v>70</v>
      </c>
      <c r="G704" t="s">
        <v>937</v>
      </c>
      <c r="H704" s="1">
        <v>42933</v>
      </c>
      <c r="I704" s="2"/>
    </row>
    <row r="705" spans="1:9" x14ac:dyDescent="0.35">
      <c r="A705" t="s">
        <v>735</v>
      </c>
      <c r="B705" t="s">
        <v>16</v>
      </c>
      <c r="C705" t="s">
        <v>14</v>
      </c>
      <c r="D705" t="s">
        <v>43</v>
      </c>
      <c r="E705">
        <v>5</v>
      </c>
      <c r="F705" t="s">
        <v>24</v>
      </c>
      <c r="G705" t="s">
        <v>936</v>
      </c>
      <c r="H705" s="1">
        <v>44821</v>
      </c>
      <c r="I705" s="2"/>
    </row>
    <row r="706" spans="1:9" x14ac:dyDescent="0.35">
      <c r="A706" t="s">
        <v>736</v>
      </c>
      <c r="B706" t="s">
        <v>16</v>
      </c>
      <c r="C706" t="s">
        <v>14</v>
      </c>
      <c r="D706" t="s">
        <v>20</v>
      </c>
      <c r="E706">
        <v>3</v>
      </c>
      <c r="F706" t="s">
        <v>70</v>
      </c>
      <c r="G706" t="s">
        <v>937</v>
      </c>
      <c r="H706" s="1">
        <v>44299</v>
      </c>
      <c r="I706" s="2"/>
    </row>
    <row r="707" spans="1:9" x14ac:dyDescent="0.35">
      <c r="A707" t="s">
        <v>737</v>
      </c>
      <c r="B707" t="s">
        <v>16</v>
      </c>
      <c r="C707" t="s">
        <v>19</v>
      </c>
      <c r="D707" t="s">
        <v>33</v>
      </c>
      <c r="E707">
        <v>12</v>
      </c>
      <c r="F707" t="s">
        <v>22</v>
      </c>
      <c r="G707" t="s">
        <v>937</v>
      </c>
      <c r="H707" s="1">
        <v>44979</v>
      </c>
      <c r="I707" s="2"/>
    </row>
    <row r="708" spans="1:9" x14ac:dyDescent="0.35">
      <c r="A708" t="s">
        <v>738</v>
      </c>
      <c r="B708" t="s">
        <v>16</v>
      </c>
      <c r="C708" t="s">
        <v>35</v>
      </c>
      <c r="D708" t="s">
        <v>33</v>
      </c>
      <c r="E708">
        <v>1</v>
      </c>
      <c r="F708" t="s">
        <v>27</v>
      </c>
      <c r="G708" t="s">
        <v>936</v>
      </c>
      <c r="H708" s="1">
        <v>42265</v>
      </c>
      <c r="I708" s="2"/>
    </row>
    <row r="709" spans="1:9" x14ac:dyDescent="0.35">
      <c r="A709" t="s">
        <v>739</v>
      </c>
      <c r="B709" t="s">
        <v>16</v>
      </c>
      <c r="C709" t="s">
        <v>14</v>
      </c>
      <c r="D709" t="s">
        <v>20</v>
      </c>
      <c r="E709">
        <v>8</v>
      </c>
      <c r="F709" t="s">
        <v>27</v>
      </c>
      <c r="G709" t="s">
        <v>936</v>
      </c>
      <c r="H709" s="1">
        <v>45616</v>
      </c>
      <c r="I709" s="2"/>
    </row>
    <row r="710" spans="1:9" x14ac:dyDescent="0.35">
      <c r="A710" t="s">
        <v>740</v>
      </c>
      <c r="B710" t="s">
        <v>16</v>
      </c>
      <c r="C710" t="s">
        <v>29</v>
      </c>
      <c r="D710" t="s">
        <v>20</v>
      </c>
      <c r="E710">
        <v>7</v>
      </c>
      <c r="F710" t="s">
        <v>44</v>
      </c>
      <c r="G710" t="s">
        <v>937</v>
      </c>
      <c r="H710" s="1">
        <v>45151</v>
      </c>
      <c r="I710" s="2"/>
    </row>
    <row r="711" spans="1:9" x14ac:dyDescent="0.35">
      <c r="A711" t="s">
        <v>741</v>
      </c>
      <c r="B711" t="s">
        <v>16</v>
      </c>
      <c r="C711" t="s">
        <v>14</v>
      </c>
      <c r="D711" t="s">
        <v>33</v>
      </c>
      <c r="E711">
        <v>8</v>
      </c>
      <c r="F711" t="s">
        <v>17</v>
      </c>
      <c r="G711" t="s">
        <v>936</v>
      </c>
      <c r="H711" s="1">
        <v>44947</v>
      </c>
      <c r="I711" s="2"/>
    </row>
    <row r="712" spans="1:9" x14ac:dyDescent="0.35">
      <c r="A712" t="s">
        <v>742</v>
      </c>
      <c r="B712" t="s">
        <v>16</v>
      </c>
      <c r="C712" t="s">
        <v>35</v>
      </c>
      <c r="D712" t="s">
        <v>33</v>
      </c>
      <c r="E712">
        <v>12</v>
      </c>
      <c r="F712" t="s">
        <v>24</v>
      </c>
      <c r="G712" t="s">
        <v>936</v>
      </c>
      <c r="H712" s="1">
        <v>44454</v>
      </c>
      <c r="I712" s="2"/>
    </row>
    <row r="713" spans="1:9" x14ac:dyDescent="0.35">
      <c r="A713" t="s">
        <v>743</v>
      </c>
      <c r="B713" t="s">
        <v>16</v>
      </c>
      <c r="C713" t="s">
        <v>29</v>
      </c>
      <c r="D713" t="s">
        <v>33</v>
      </c>
      <c r="E713">
        <v>6</v>
      </c>
      <c r="F713" t="s">
        <v>37</v>
      </c>
      <c r="G713" t="s">
        <v>936</v>
      </c>
      <c r="H713" s="1">
        <v>43386</v>
      </c>
      <c r="I713" s="2"/>
    </row>
    <row r="714" spans="1:9" x14ac:dyDescent="0.35">
      <c r="A714" t="s">
        <v>744</v>
      </c>
      <c r="B714" t="s">
        <v>21</v>
      </c>
      <c r="C714" t="s">
        <v>26</v>
      </c>
      <c r="D714" t="s">
        <v>33</v>
      </c>
      <c r="E714">
        <v>7</v>
      </c>
      <c r="F714" t="s">
        <v>70</v>
      </c>
      <c r="G714" t="s">
        <v>937</v>
      </c>
      <c r="H714" s="1">
        <v>43091</v>
      </c>
      <c r="I714" s="2"/>
    </row>
    <row r="715" spans="1:9" x14ac:dyDescent="0.35">
      <c r="A715" t="s">
        <v>745</v>
      </c>
      <c r="B715" t="s">
        <v>16</v>
      </c>
      <c r="C715" t="s">
        <v>26</v>
      </c>
      <c r="D715" t="s">
        <v>33</v>
      </c>
      <c r="E715">
        <v>11</v>
      </c>
      <c r="F715" t="s">
        <v>17</v>
      </c>
      <c r="G715" t="s">
        <v>936</v>
      </c>
      <c r="H715" s="1">
        <v>44383</v>
      </c>
      <c r="I715" s="2"/>
    </row>
    <row r="716" spans="1:9" x14ac:dyDescent="0.35">
      <c r="A716" t="s">
        <v>746</v>
      </c>
      <c r="B716" t="s">
        <v>16</v>
      </c>
      <c r="C716" t="s">
        <v>35</v>
      </c>
      <c r="D716" t="s">
        <v>20</v>
      </c>
      <c r="E716">
        <v>5</v>
      </c>
      <c r="F716" t="s">
        <v>37</v>
      </c>
      <c r="G716" t="s">
        <v>936</v>
      </c>
      <c r="H716" s="1">
        <v>43201</v>
      </c>
      <c r="I716" s="2"/>
    </row>
    <row r="717" spans="1:9" x14ac:dyDescent="0.35">
      <c r="A717" t="s">
        <v>747</v>
      </c>
      <c r="B717" t="s">
        <v>21</v>
      </c>
      <c r="C717" t="s">
        <v>29</v>
      </c>
      <c r="D717" t="s">
        <v>20</v>
      </c>
      <c r="E717">
        <v>8</v>
      </c>
      <c r="F717" t="s">
        <v>44</v>
      </c>
      <c r="G717" t="s">
        <v>937</v>
      </c>
      <c r="H717" s="1">
        <v>44573</v>
      </c>
      <c r="I717" s="2"/>
    </row>
    <row r="718" spans="1:9" x14ac:dyDescent="0.35">
      <c r="A718" t="s">
        <v>748</v>
      </c>
      <c r="B718" t="s">
        <v>21</v>
      </c>
      <c r="C718" t="s">
        <v>35</v>
      </c>
      <c r="D718" t="s">
        <v>43</v>
      </c>
      <c r="E718">
        <v>3</v>
      </c>
      <c r="F718" t="s">
        <v>44</v>
      </c>
      <c r="G718" t="s">
        <v>937</v>
      </c>
      <c r="H718" s="1">
        <v>43492</v>
      </c>
      <c r="I718" s="2"/>
    </row>
    <row r="719" spans="1:9" x14ac:dyDescent="0.35">
      <c r="A719" t="s">
        <v>749</v>
      </c>
      <c r="B719" t="s">
        <v>16</v>
      </c>
      <c r="C719" t="s">
        <v>19</v>
      </c>
      <c r="D719" t="s">
        <v>33</v>
      </c>
      <c r="E719">
        <v>5</v>
      </c>
      <c r="F719" t="s">
        <v>44</v>
      </c>
      <c r="G719" t="s">
        <v>937</v>
      </c>
      <c r="H719" s="1">
        <v>42336</v>
      </c>
      <c r="I719" s="2"/>
    </row>
    <row r="720" spans="1:9" x14ac:dyDescent="0.35">
      <c r="A720" t="s">
        <v>750</v>
      </c>
      <c r="B720" t="s">
        <v>16</v>
      </c>
      <c r="C720" t="s">
        <v>14</v>
      </c>
      <c r="D720" t="s">
        <v>33</v>
      </c>
      <c r="E720">
        <v>12</v>
      </c>
      <c r="F720" t="s">
        <v>31</v>
      </c>
      <c r="G720" t="s">
        <v>937</v>
      </c>
      <c r="H720" s="1">
        <v>43828</v>
      </c>
      <c r="I720" s="2"/>
    </row>
    <row r="721" spans="1:9" x14ac:dyDescent="0.35">
      <c r="A721" t="s">
        <v>751</v>
      </c>
      <c r="B721" t="s">
        <v>16</v>
      </c>
      <c r="C721" t="s">
        <v>26</v>
      </c>
      <c r="D721" t="s">
        <v>33</v>
      </c>
      <c r="E721">
        <v>11</v>
      </c>
      <c r="F721" t="s">
        <v>44</v>
      </c>
      <c r="G721" t="s">
        <v>937</v>
      </c>
      <c r="H721" s="1">
        <v>42898</v>
      </c>
      <c r="I721" s="2"/>
    </row>
    <row r="722" spans="1:9" x14ac:dyDescent="0.35">
      <c r="A722" t="s">
        <v>752</v>
      </c>
      <c r="B722" t="s">
        <v>16</v>
      </c>
      <c r="C722" t="s">
        <v>29</v>
      </c>
      <c r="D722" t="s">
        <v>43</v>
      </c>
      <c r="E722">
        <v>8</v>
      </c>
      <c r="F722" t="s">
        <v>22</v>
      </c>
      <c r="G722" t="s">
        <v>937</v>
      </c>
      <c r="H722" s="1">
        <v>45610</v>
      </c>
      <c r="I722" s="2"/>
    </row>
    <row r="723" spans="1:9" x14ac:dyDescent="0.35">
      <c r="A723" t="s">
        <v>753</v>
      </c>
      <c r="B723" t="s">
        <v>16</v>
      </c>
      <c r="C723" t="s">
        <v>14</v>
      </c>
      <c r="D723" t="s">
        <v>15</v>
      </c>
      <c r="E723">
        <v>3</v>
      </c>
      <c r="F723" t="s">
        <v>37</v>
      </c>
      <c r="G723" t="s">
        <v>936</v>
      </c>
      <c r="H723" s="1">
        <v>45208</v>
      </c>
      <c r="I723" s="2"/>
    </row>
    <row r="724" spans="1:9" x14ac:dyDescent="0.35">
      <c r="A724" t="s">
        <v>754</v>
      </c>
      <c r="B724" t="s">
        <v>16</v>
      </c>
      <c r="C724" t="s">
        <v>26</v>
      </c>
      <c r="D724" t="s">
        <v>20</v>
      </c>
      <c r="E724">
        <v>15</v>
      </c>
      <c r="F724" t="s">
        <v>31</v>
      </c>
      <c r="G724" t="s">
        <v>937</v>
      </c>
      <c r="H724" s="1">
        <v>44924</v>
      </c>
      <c r="I724" s="2"/>
    </row>
    <row r="725" spans="1:9" x14ac:dyDescent="0.35">
      <c r="A725" t="s">
        <v>755</v>
      </c>
      <c r="B725" t="s">
        <v>16</v>
      </c>
      <c r="C725" t="s">
        <v>19</v>
      </c>
      <c r="D725" t="s">
        <v>33</v>
      </c>
      <c r="E725">
        <v>14</v>
      </c>
      <c r="F725" t="s">
        <v>44</v>
      </c>
      <c r="G725" t="s">
        <v>937</v>
      </c>
      <c r="H725" s="1">
        <v>44977</v>
      </c>
      <c r="I725" s="2"/>
    </row>
    <row r="726" spans="1:9" x14ac:dyDescent="0.35">
      <c r="A726" t="s">
        <v>756</v>
      </c>
      <c r="B726" t="s">
        <v>21</v>
      </c>
      <c r="C726" t="s">
        <v>35</v>
      </c>
      <c r="D726" t="s">
        <v>15</v>
      </c>
      <c r="E726">
        <v>0</v>
      </c>
      <c r="F726" t="s">
        <v>70</v>
      </c>
      <c r="G726" t="s">
        <v>937</v>
      </c>
      <c r="H726" s="1">
        <v>43039</v>
      </c>
      <c r="I726" s="2"/>
    </row>
    <row r="727" spans="1:9" x14ac:dyDescent="0.35">
      <c r="A727" t="s">
        <v>757</v>
      </c>
      <c r="B727" t="s">
        <v>21</v>
      </c>
      <c r="C727" t="s">
        <v>29</v>
      </c>
      <c r="D727" t="s">
        <v>43</v>
      </c>
      <c r="E727">
        <v>3</v>
      </c>
      <c r="F727" t="s">
        <v>37</v>
      </c>
      <c r="G727" t="s">
        <v>936</v>
      </c>
      <c r="H727" s="1">
        <v>42986</v>
      </c>
      <c r="I727" s="2"/>
    </row>
    <row r="728" spans="1:9" x14ac:dyDescent="0.35">
      <c r="A728" t="s">
        <v>758</v>
      </c>
      <c r="B728" t="s">
        <v>16</v>
      </c>
      <c r="C728" t="s">
        <v>19</v>
      </c>
      <c r="D728" t="s">
        <v>20</v>
      </c>
      <c r="E728">
        <v>15</v>
      </c>
      <c r="F728" t="s">
        <v>44</v>
      </c>
      <c r="G728" t="s">
        <v>937</v>
      </c>
      <c r="H728" s="1">
        <v>45005</v>
      </c>
      <c r="I728" s="2"/>
    </row>
    <row r="729" spans="1:9" x14ac:dyDescent="0.35">
      <c r="A729" t="s">
        <v>759</v>
      </c>
      <c r="B729" t="s">
        <v>21</v>
      </c>
      <c r="C729" t="s">
        <v>19</v>
      </c>
      <c r="D729" t="s">
        <v>15</v>
      </c>
      <c r="E729">
        <v>13</v>
      </c>
      <c r="F729" t="s">
        <v>31</v>
      </c>
      <c r="G729" t="s">
        <v>937</v>
      </c>
      <c r="H729" s="1">
        <v>44587</v>
      </c>
      <c r="I729" s="2"/>
    </row>
    <row r="730" spans="1:9" x14ac:dyDescent="0.35">
      <c r="A730" t="s">
        <v>760</v>
      </c>
      <c r="B730" t="s">
        <v>21</v>
      </c>
      <c r="C730" t="s">
        <v>19</v>
      </c>
      <c r="D730" t="s">
        <v>15</v>
      </c>
      <c r="E730">
        <v>15</v>
      </c>
      <c r="F730" t="s">
        <v>22</v>
      </c>
      <c r="G730" t="s">
        <v>937</v>
      </c>
      <c r="H730" s="1">
        <v>42347</v>
      </c>
      <c r="I730" s="2"/>
    </row>
    <row r="731" spans="1:9" x14ac:dyDescent="0.35">
      <c r="A731" t="s">
        <v>761</v>
      </c>
      <c r="B731" t="s">
        <v>16</v>
      </c>
      <c r="C731" t="s">
        <v>19</v>
      </c>
      <c r="D731" t="s">
        <v>20</v>
      </c>
      <c r="E731">
        <v>1</v>
      </c>
      <c r="F731" t="s">
        <v>22</v>
      </c>
      <c r="G731" t="s">
        <v>937</v>
      </c>
      <c r="H731" s="1">
        <v>43441</v>
      </c>
      <c r="I731" s="2"/>
    </row>
    <row r="732" spans="1:9" x14ac:dyDescent="0.35">
      <c r="A732" t="s">
        <v>762</v>
      </c>
      <c r="B732" t="s">
        <v>16</v>
      </c>
      <c r="C732" t="s">
        <v>14</v>
      </c>
      <c r="D732" t="s">
        <v>20</v>
      </c>
      <c r="E732">
        <v>12</v>
      </c>
      <c r="F732" t="s">
        <v>24</v>
      </c>
      <c r="G732" t="s">
        <v>936</v>
      </c>
      <c r="H732" s="1">
        <v>43982</v>
      </c>
      <c r="I732" s="2"/>
    </row>
    <row r="733" spans="1:9" x14ac:dyDescent="0.35">
      <c r="A733" t="s">
        <v>763</v>
      </c>
      <c r="B733" t="s">
        <v>21</v>
      </c>
      <c r="C733" t="s">
        <v>14</v>
      </c>
      <c r="D733" t="s">
        <v>15</v>
      </c>
      <c r="E733">
        <v>9</v>
      </c>
      <c r="F733" t="s">
        <v>17</v>
      </c>
      <c r="G733" t="s">
        <v>936</v>
      </c>
      <c r="H733" s="1">
        <v>45165</v>
      </c>
      <c r="I733" s="2"/>
    </row>
    <row r="734" spans="1:9" x14ac:dyDescent="0.35">
      <c r="A734" t="s">
        <v>764</v>
      </c>
      <c r="B734" t="s">
        <v>16</v>
      </c>
      <c r="C734" t="s">
        <v>14</v>
      </c>
      <c r="D734" t="s">
        <v>20</v>
      </c>
      <c r="E734">
        <v>0</v>
      </c>
      <c r="F734" t="s">
        <v>24</v>
      </c>
      <c r="G734" t="s">
        <v>936</v>
      </c>
      <c r="H734" s="1">
        <v>42815</v>
      </c>
      <c r="I734" s="2"/>
    </row>
    <row r="735" spans="1:9" x14ac:dyDescent="0.35">
      <c r="A735" t="s">
        <v>765</v>
      </c>
      <c r="B735" t="s">
        <v>21</v>
      </c>
      <c r="C735" t="s">
        <v>19</v>
      </c>
      <c r="D735" t="s">
        <v>20</v>
      </c>
      <c r="E735">
        <v>10</v>
      </c>
      <c r="F735" t="s">
        <v>27</v>
      </c>
      <c r="G735" t="s">
        <v>936</v>
      </c>
      <c r="H735" s="1">
        <v>42285</v>
      </c>
      <c r="I735" s="2"/>
    </row>
    <row r="736" spans="1:9" x14ac:dyDescent="0.35">
      <c r="A736" t="s">
        <v>766</v>
      </c>
      <c r="B736" t="s">
        <v>16</v>
      </c>
      <c r="C736" t="s">
        <v>29</v>
      </c>
      <c r="D736" t="s">
        <v>20</v>
      </c>
      <c r="E736">
        <v>9</v>
      </c>
      <c r="F736" t="s">
        <v>31</v>
      </c>
      <c r="G736" t="s">
        <v>937</v>
      </c>
      <c r="H736" s="1">
        <v>44593</v>
      </c>
      <c r="I736" s="2"/>
    </row>
    <row r="737" spans="1:9" x14ac:dyDescent="0.35">
      <c r="A737" t="s">
        <v>767</v>
      </c>
      <c r="B737" t="s">
        <v>16</v>
      </c>
      <c r="C737" t="s">
        <v>14</v>
      </c>
      <c r="D737" t="s">
        <v>15</v>
      </c>
      <c r="E737">
        <v>0</v>
      </c>
      <c r="F737" t="s">
        <v>22</v>
      </c>
      <c r="G737" t="s">
        <v>937</v>
      </c>
      <c r="H737" s="1">
        <v>45073</v>
      </c>
      <c r="I737" s="2"/>
    </row>
    <row r="738" spans="1:9" x14ac:dyDescent="0.35">
      <c r="A738" t="s">
        <v>768</v>
      </c>
      <c r="B738" t="s">
        <v>16</v>
      </c>
      <c r="C738" t="s">
        <v>29</v>
      </c>
      <c r="D738" t="s">
        <v>20</v>
      </c>
      <c r="E738">
        <v>15</v>
      </c>
      <c r="F738" t="s">
        <v>27</v>
      </c>
      <c r="G738" t="s">
        <v>936</v>
      </c>
      <c r="H738" s="1">
        <v>42393</v>
      </c>
      <c r="I738" s="2"/>
    </row>
    <row r="739" spans="1:9" x14ac:dyDescent="0.35">
      <c r="A739" t="s">
        <v>769</v>
      </c>
      <c r="B739" t="s">
        <v>21</v>
      </c>
      <c r="C739" t="s">
        <v>29</v>
      </c>
      <c r="D739" t="s">
        <v>20</v>
      </c>
      <c r="E739">
        <v>15</v>
      </c>
      <c r="F739" t="s">
        <v>37</v>
      </c>
      <c r="G739" t="s">
        <v>936</v>
      </c>
      <c r="H739" s="1">
        <v>44938</v>
      </c>
      <c r="I739" s="2"/>
    </row>
    <row r="740" spans="1:9" x14ac:dyDescent="0.35">
      <c r="A740" t="s">
        <v>770</v>
      </c>
      <c r="B740" t="s">
        <v>16</v>
      </c>
      <c r="C740" t="s">
        <v>26</v>
      </c>
      <c r="D740" t="s">
        <v>20</v>
      </c>
      <c r="E740">
        <v>13</v>
      </c>
      <c r="F740" t="s">
        <v>37</v>
      </c>
      <c r="G740" t="s">
        <v>936</v>
      </c>
      <c r="H740" s="1">
        <v>44542</v>
      </c>
      <c r="I740" s="2"/>
    </row>
    <row r="741" spans="1:9" x14ac:dyDescent="0.35">
      <c r="A741" t="s">
        <v>771</v>
      </c>
      <c r="B741" t="s">
        <v>16</v>
      </c>
      <c r="C741" t="s">
        <v>14</v>
      </c>
      <c r="D741" t="s">
        <v>20</v>
      </c>
      <c r="E741">
        <v>8</v>
      </c>
      <c r="F741" t="s">
        <v>44</v>
      </c>
      <c r="G741" t="s">
        <v>937</v>
      </c>
      <c r="H741" s="1">
        <v>42532</v>
      </c>
      <c r="I741" s="2"/>
    </row>
    <row r="742" spans="1:9" x14ac:dyDescent="0.35">
      <c r="A742" t="s">
        <v>772</v>
      </c>
      <c r="B742" t="s">
        <v>21</v>
      </c>
      <c r="C742" t="s">
        <v>29</v>
      </c>
      <c r="D742" t="s">
        <v>20</v>
      </c>
      <c r="E742">
        <v>8</v>
      </c>
      <c r="F742" t="s">
        <v>17</v>
      </c>
      <c r="G742" t="s">
        <v>936</v>
      </c>
      <c r="H742" s="1">
        <v>43703</v>
      </c>
      <c r="I742" s="2"/>
    </row>
    <row r="743" spans="1:9" x14ac:dyDescent="0.35">
      <c r="A743" t="s">
        <v>773</v>
      </c>
      <c r="B743" t="s">
        <v>16</v>
      </c>
      <c r="C743" t="s">
        <v>26</v>
      </c>
      <c r="D743" t="s">
        <v>33</v>
      </c>
      <c r="E743">
        <v>5</v>
      </c>
      <c r="F743" t="s">
        <v>31</v>
      </c>
      <c r="G743" t="s">
        <v>937</v>
      </c>
      <c r="H743" s="1">
        <v>42328</v>
      </c>
      <c r="I743" s="2"/>
    </row>
    <row r="744" spans="1:9" x14ac:dyDescent="0.35">
      <c r="A744" t="s">
        <v>774</v>
      </c>
      <c r="B744" t="s">
        <v>21</v>
      </c>
      <c r="C744" t="s">
        <v>29</v>
      </c>
      <c r="D744" t="s">
        <v>20</v>
      </c>
      <c r="E744">
        <v>13</v>
      </c>
      <c r="F744" t="s">
        <v>44</v>
      </c>
      <c r="G744" t="s">
        <v>937</v>
      </c>
      <c r="H744" s="1">
        <v>44655</v>
      </c>
      <c r="I744" s="2"/>
    </row>
    <row r="745" spans="1:9" x14ac:dyDescent="0.35">
      <c r="A745" t="s">
        <v>775</v>
      </c>
      <c r="B745" t="s">
        <v>21</v>
      </c>
      <c r="C745" t="s">
        <v>26</v>
      </c>
      <c r="D745" t="s">
        <v>20</v>
      </c>
      <c r="E745">
        <v>13</v>
      </c>
      <c r="F745" t="s">
        <v>70</v>
      </c>
      <c r="G745" t="s">
        <v>937</v>
      </c>
      <c r="H745" s="1">
        <v>42932</v>
      </c>
      <c r="I745" s="2"/>
    </row>
    <row r="746" spans="1:9" x14ac:dyDescent="0.35">
      <c r="A746" t="s">
        <v>776</v>
      </c>
      <c r="B746" t="s">
        <v>16</v>
      </c>
      <c r="C746" t="s">
        <v>19</v>
      </c>
      <c r="D746" t="s">
        <v>33</v>
      </c>
      <c r="E746">
        <v>0</v>
      </c>
      <c r="F746" t="s">
        <v>37</v>
      </c>
      <c r="G746" t="s">
        <v>936</v>
      </c>
      <c r="H746" s="1">
        <v>45650</v>
      </c>
      <c r="I746" s="2"/>
    </row>
    <row r="747" spans="1:9" x14ac:dyDescent="0.35">
      <c r="A747" t="s">
        <v>777</v>
      </c>
      <c r="B747" t="s">
        <v>16</v>
      </c>
      <c r="C747" t="s">
        <v>29</v>
      </c>
      <c r="D747" t="s">
        <v>33</v>
      </c>
      <c r="E747">
        <v>7</v>
      </c>
      <c r="F747" t="s">
        <v>44</v>
      </c>
      <c r="G747" t="s">
        <v>937</v>
      </c>
      <c r="H747" s="1">
        <v>43904</v>
      </c>
      <c r="I747" s="2"/>
    </row>
    <row r="748" spans="1:9" x14ac:dyDescent="0.35">
      <c r="A748" t="s">
        <v>778</v>
      </c>
      <c r="B748" t="s">
        <v>21</v>
      </c>
      <c r="C748" t="s">
        <v>29</v>
      </c>
      <c r="D748" t="s">
        <v>15</v>
      </c>
      <c r="E748">
        <v>13</v>
      </c>
      <c r="F748" t="s">
        <v>24</v>
      </c>
      <c r="G748" t="s">
        <v>936</v>
      </c>
      <c r="H748" s="1">
        <v>45266</v>
      </c>
      <c r="I748" s="2"/>
    </row>
    <row r="749" spans="1:9" x14ac:dyDescent="0.35">
      <c r="A749" t="s">
        <v>779</v>
      </c>
      <c r="B749" t="s">
        <v>21</v>
      </c>
      <c r="C749" t="s">
        <v>19</v>
      </c>
      <c r="D749" t="s">
        <v>15</v>
      </c>
      <c r="E749">
        <v>8</v>
      </c>
      <c r="F749" t="s">
        <v>37</v>
      </c>
      <c r="G749" t="s">
        <v>936</v>
      </c>
      <c r="H749" s="1">
        <v>45293</v>
      </c>
      <c r="I749" s="2"/>
    </row>
    <row r="750" spans="1:9" x14ac:dyDescent="0.35">
      <c r="A750" t="s">
        <v>780</v>
      </c>
      <c r="B750" t="s">
        <v>16</v>
      </c>
      <c r="C750" t="s">
        <v>14</v>
      </c>
      <c r="D750" t="s">
        <v>43</v>
      </c>
      <c r="E750">
        <v>8</v>
      </c>
      <c r="F750" t="s">
        <v>22</v>
      </c>
      <c r="G750" t="s">
        <v>937</v>
      </c>
      <c r="H750" s="1">
        <v>43367</v>
      </c>
      <c r="I750" s="2"/>
    </row>
    <row r="751" spans="1:9" x14ac:dyDescent="0.35">
      <c r="A751" t="s">
        <v>781</v>
      </c>
      <c r="B751" t="s">
        <v>21</v>
      </c>
      <c r="C751" t="s">
        <v>29</v>
      </c>
      <c r="D751" t="s">
        <v>20</v>
      </c>
      <c r="E751">
        <v>3</v>
      </c>
      <c r="F751" t="s">
        <v>22</v>
      </c>
      <c r="G751" t="s">
        <v>937</v>
      </c>
      <c r="H751" s="1">
        <v>44473</v>
      </c>
      <c r="I751" s="2"/>
    </row>
    <row r="752" spans="1:9" x14ac:dyDescent="0.35">
      <c r="A752" t="s">
        <v>782</v>
      </c>
      <c r="B752" t="s">
        <v>21</v>
      </c>
      <c r="C752" t="s">
        <v>14</v>
      </c>
      <c r="D752" t="s">
        <v>15</v>
      </c>
      <c r="E752">
        <v>5</v>
      </c>
      <c r="F752" t="s">
        <v>37</v>
      </c>
      <c r="G752" t="s">
        <v>936</v>
      </c>
      <c r="H752" s="1">
        <v>42265</v>
      </c>
      <c r="I752" s="2"/>
    </row>
    <row r="753" spans="1:9" x14ac:dyDescent="0.35">
      <c r="A753" t="s">
        <v>783</v>
      </c>
      <c r="B753" t="s">
        <v>16</v>
      </c>
      <c r="C753" t="s">
        <v>26</v>
      </c>
      <c r="D753" t="s">
        <v>33</v>
      </c>
      <c r="E753">
        <v>3</v>
      </c>
      <c r="F753" t="s">
        <v>17</v>
      </c>
      <c r="G753" t="s">
        <v>936</v>
      </c>
      <c r="H753" s="1">
        <v>45231</v>
      </c>
      <c r="I753" s="2"/>
    </row>
    <row r="754" spans="1:9" x14ac:dyDescent="0.35">
      <c r="A754" t="s">
        <v>784</v>
      </c>
      <c r="B754" t="s">
        <v>16</v>
      </c>
      <c r="C754" t="s">
        <v>19</v>
      </c>
      <c r="D754" t="s">
        <v>20</v>
      </c>
      <c r="E754">
        <v>4</v>
      </c>
      <c r="F754" t="s">
        <v>37</v>
      </c>
      <c r="G754" t="s">
        <v>936</v>
      </c>
      <c r="H754" s="1">
        <v>45610</v>
      </c>
      <c r="I754" s="2"/>
    </row>
    <row r="755" spans="1:9" x14ac:dyDescent="0.35">
      <c r="A755" t="s">
        <v>785</v>
      </c>
      <c r="B755" t="s">
        <v>21</v>
      </c>
      <c r="C755" t="s">
        <v>29</v>
      </c>
      <c r="D755" t="s">
        <v>43</v>
      </c>
      <c r="E755">
        <v>13</v>
      </c>
      <c r="F755" t="s">
        <v>70</v>
      </c>
      <c r="G755" t="s">
        <v>937</v>
      </c>
      <c r="H755" s="1">
        <v>43560</v>
      </c>
      <c r="I755" s="2"/>
    </row>
    <row r="756" spans="1:9" x14ac:dyDescent="0.35">
      <c r="A756" t="s">
        <v>786</v>
      </c>
      <c r="B756" t="s">
        <v>21</v>
      </c>
      <c r="C756" t="s">
        <v>26</v>
      </c>
      <c r="D756" t="s">
        <v>20</v>
      </c>
      <c r="E756">
        <v>15</v>
      </c>
      <c r="F756" t="s">
        <v>44</v>
      </c>
      <c r="G756" t="s">
        <v>937</v>
      </c>
      <c r="H756" s="1">
        <v>42482</v>
      </c>
      <c r="I756" s="2"/>
    </row>
    <row r="757" spans="1:9" x14ac:dyDescent="0.35">
      <c r="A757" t="s">
        <v>787</v>
      </c>
      <c r="B757" t="s">
        <v>21</v>
      </c>
      <c r="C757" t="s">
        <v>14</v>
      </c>
      <c r="D757" t="s">
        <v>33</v>
      </c>
      <c r="E757">
        <v>7</v>
      </c>
      <c r="F757" t="s">
        <v>22</v>
      </c>
      <c r="G757" t="s">
        <v>937</v>
      </c>
      <c r="H757" s="1">
        <v>43012</v>
      </c>
      <c r="I757" s="2"/>
    </row>
    <row r="758" spans="1:9" x14ac:dyDescent="0.35">
      <c r="A758" t="s">
        <v>788</v>
      </c>
      <c r="B758" t="s">
        <v>16</v>
      </c>
      <c r="C758" t="s">
        <v>35</v>
      </c>
      <c r="D758" t="s">
        <v>20</v>
      </c>
      <c r="E758">
        <v>5</v>
      </c>
      <c r="F758" t="s">
        <v>27</v>
      </c>
      <c r="G758" t="s">
        <v>936</v>
      </c>
      <c r="H758" s="1">
        <v>44404</v>
      </c>
      <c r="I758" s="2"/>
    </row>
    <row r="759" spans="1:9" x14ac:dyDescent="0.35">
      <c r="A759" t="s">
        <v>789</v>
      </c>
      <c r="B759" t="s">
        <v>21</v>
      </c>
      <c r="C759" t="s">
        <v>35</v>
      </c>
      <c r="D759" t="s">
        <v>33</v>
      </c>
      <c r="E759">
        <v>4</v>
      </c>
      <c r="F759" t="s">
        <v>44</v>
      </c>
      <c r="G759" t="s">
        <v>937</v>
      </c>
      <c r="H759" s="1">
        <v>44703</v>
      </c>
      <c r="I759" s="2"/>
    </row>
    <row r="760" spans="1:9" x14ac:dyDescent="0.35">
      <c r="A760" t="s">
        <v>790</v>
      </c>
      <c r="B760" t="s">
        <v>16</v>
      </c>
      <c r="C760" t="s">
        <v>26</v>
      </c>
      <c r="D760" t="s">
        <v>33</v>
      </c>
      <c r="E760">
        <v>8</v>
      </c>
      <c r="F760" t="s">
        <v>22</v>
      </c>
      <c r="G760" t="s">
        <v>937</v>
      </c>
      <c r="H760" s="1">
        <v>44199</v>
      </c>
      <c r="I760" s="2"/>
    </row>
    <row r="761" spans="1:9" x14ac:dyDescent="0.35">
      <c r="A761" t="s">
        <v>791</v>
      </c>
      <c r="B761" t="s">
        <v>21</v>
      </c>
      <c r="C761" t="s">
        <v>14</v>
      </c>
      <c r="D761" t="s">
        <v>20</v>
      </c>
      <c r="E761">
        <v>13</v>
      </c>
      <c r="F761" t="s">
        <v>31</v>
      </c>
      <c r="G761" t="s">
        <v>937</v>
      </c>
      <c r="H761" s="1">
        <v>44290</v>
      </c>
      <c r="I761" s="2"/>
    </row>
    <row r="762" spans="1:9" x14ac:dyDescent="0.35">
      <c r="A762" t="s">
        <v>792</v>
      </c>
      <c r="B762" t="s">
        <v>21</v>
      </c>
      <c r="C762" t="s">
        <v>14</v>
      </c>
      <c r="D762" t="s">
        <v>33</v>
      </c>
      <c r="E762">
        <v>13</v>
      </c>
      <c r="F762" t="s">
        <v>17</v>
      </c>
      <c r="G762" t="s">
        <v>936</v>
      </c>
      <c r="H762" s="1">
        <v>42884</v>
      </c>
      <c r="I762" s="2"/>
    </row>
    <row r="763" spans="1:9" x14ac:dyDescent="0.35">
      <c r="A763" t="s">
        <v>793</v>
      </c>
      <c r="B763" t="s">
        <v>16</v>
      </c>
      <c r="C763" t="s">
        <v>35</v>
      </c>
      <c r="D763" t="s">
        <v>43</v>
      </c>
      <c r="E763">
        <v>6</v>
      </c>
      <c r="F763" t="s">
        <v>70</v>
      </c>
      <c r="G763" t="s">
        <v>937</v>
      </c>
      <c r="H763" s="1">
        <v>42370</v>
      </c>
      <c r="I763" s="2"/>
    </row>
    <row r="764" spans="1:9" x14ac:dyDescent="0.35">
      <c r="A764" t="s">
        <v>794</v>
      </c>
      <c r="B764" t="s">
        <v>21</v>
      </c>
      <c r="C764" t="s">
        <v>35</v>
      </c>
      <c r="D764" t="s">
        <v>33</v>
      </c>
      <c r="E764">
        <v>8</v>
      </c>
      <c r="F764" t="s">
        <v>27</v>
      </c>
      <c r="G764" t="s">
        <v>936</v>
      </c>
      <c r="H764" s="1">
        <v>43256</v>
      </c>
      <c r="I764" s="2"/>
    </row>
    <row r="765" spans="1:9" x14ac:dyDescent="0.35">
      <c r="A765" t="s">
        <v>795</v>
      </c>
      <c r="B765" t="s">
        <v>21</v>
      </c>
      <c r="C765" t="s">
        <v>29</v>
      </c>
      <c r="D765" t="s">
        <v>20</v>
      </c>
      <c r="E765">
        <v>6</v>
      </c>
      <c r="F765" t="s">
        <v>17</v>
      </c>
      <c r="G765" t="s">
        <v>936</v>
      </c>
      <c r="H765" s="1">
        <v>44010</v>
      </c>
      <c r="I765" s="2"/>
    </row>
    <row r="766" spans="1:9" x14ac:dyDescent="0.35">
      <c r="A766" t="s">
        <v>796</v>
      </c>
      <c r="B766" t="s">
        <v>21</v>
      </c>
      <c r="C766" t="s">
        <v>29</v>
      </c>
      <c r="D766" t="s">
        <v>15</v>
      </c>
      <c r="E766">
        <v>4</v>
      </c>
      <c r="F766" t="s">
        <v>24</v>
      </c>
      <c r="G766" t="s">
        <v>936</v>
      </c>
      <c r="H766" s="1">
        <v>43214</v>
      </c>
      <c r="I766" s="2"/>
    </row>
    <row r="767" spans="1:9" x14ac:dyDescent="0.35">
      <c r="A767" t="s">
        <v>797</v>
      </c>
      <c r="B767" t="s">
        <v>16</v>
      </c>
      <c r="C767" t="s">
        <v>35</v>
      </c>
      <c r="D767" t="s">
        <v>20</v>
      </c>
      <c r="E767">
        <v>5</v>
      </c>
      <c r="F767" t="s">
        <v>37</v>
      </c>
      <c r="G767" t="s">
        <v>936</v>
      </c>
      <c r="H767" s="1">
        <v>42536</v>
      </c>
      <c r="I767" s="2"/>
    </row>
    <row r="768" spans="1:9" x14ac:dyDescent="0.35">
      <c r="A768" t="s">
        <v>798</v>
      </c>
      <c r="B768" t="s">
        <v>16</v>
      </c>
      <c r="C768" t="s">
        <v>35</v>
      </c>
      <c r="D768" t="s">
        <v>33</v>
      </c>
      <c r="E768">
        <v>4</v>
      </c>
      <c r="F768" t="s">
        <v>24</v>
      </c>
      <c r="G768" t="s">
        <v>936</v>
      </c>
      <c r="H768" s="1">
        <v>45265</v>
      </c>
      <c r="I768" s="2"/>
    </row>
    <row r="769" spans="1:9" x14ac:dyDescent="0.35">
      <c r="A769" t="s">
        <v>799</v>
      </c>
      <c r="B769" t="s">
        <v>16</v>
      </c>
      <c r="C769" t="s">
        <v>14</v>
      </c>
      <c r="D769" t="s">
        <v>15</v>
      </c>
      <c r="E769">
        <v>2</v>
      </c>
      <c r="F769" t="s">
        <v>22</v>
      </c>
      <c r="G769" t="s">
        <v>937</v>
      </c>
      <c r="H769" s="1">
        <v>42179</v>
      </c>
      <c r="I769" s="2"/>
    </row>
    <row r="770" spans="1:9" x14ac:dyDescent="0.35">
      <c r="A770" t="s">
        <v>800</v>
      </c>
      <c r="B770" t="s">
        <v>21</v>
      </c>
      <c r="C770" t="s">
        <v>19</v>
      </c>
      <c r="D770" t="s">
        <v>33</v>
      </c>
      <c r="E770">
        <v>5</v>
      </c>
      <c r="F770" t="s">
        <v>44</v>
      </c>
      <c r="G770" t="s">
        <v>937</v>
      </c>
      <c r="H770" s="1">
        <v>43046</v>
      </c>
      <c r="I770" s="2"/>
    </row>
    <row r="771" spans="1:9" x14ac:dyDescent="0.35">
      <c r="A771" t="s">
        <v>801</v>
      </c>
      <c r="B771" t="s">
        <v>16</v>
      </c>
      <c r="C771" t="s">
        <v>14</v>
      </c>
      <c r="D771" t="s">
        <v>33</v>
      </c>
      <c r="E771">
        <v>4</v>
      </c>
      <c r="F771" t="s">
        <v>44</v>
      </c>
      <c r="G771" t="s">
        <v>937</v>
      </c>
      <c r="H771" s="1">
        <v>43156</v>
      </c>
      <c r="I771" s="2"/>
    </row>
    <row r="772" spans="1:9" x14ac:dyDescent="0.35">
      <c r="A772" t="s">
        <v>802</v>
      </c>
      <c r="B772" t="s">
        <v>21</v>
      </c>
      <c r="C772" t="s">
        <v>26</v>
      </c>
      <c r="D772" t="s">
        <v>43</v>
      </c>
      <c r="E772">
        <v>11</v>
      </c>
      <c r="F772" t="s">
        <v>27</v>
      </c>
      <c r="G772" t="s">
        <v>936</v>
      </c>
      <c r="H772" s="1">
        <v>44614</v>
      </c>
      <c r="I772" s="2"/>
    </row>
    <row r="773" spans="1:9" x14ac:dyDescent="0.35">
      <c r="A773" t="s">
        <v>803</v>
      </c>
      <c r="B773" t="s">
        <v>16</v>
      </c>
      <c r="C773" t="s">
        <v>19</v>
      </c>
      <c r="D773" t="s">
        <v>43</v>
      </c>
      <c r="E773">
        <v>12</v>
      </c>
      <c r="F773" t="s">
        <v>17</v>
      </c>
      <c r="G773" t="s">
        <v>936</v>
      </c>
      <c r="H773" s="1">
        <v>45351</v>
      </c>
      <c r="I773" s="2"/>
    </row>
    <row r="774" spans="1:9" x14ac:dyDescent="0.35">
      <c r="A774" t="s">
        <v>804</v>
      </c>
      <c r="B774" t="s">
        <v>21</v>
      </c>
      <c r="C774" t="s">
        <v>35</v>
      </c>
      <c r="D774" t="s">
        <v>43</v>
      </c>
      <c r="E774">
        <v>2</v>
      </c>
      <c r="F774" t="s">
        <v>24</v>
      </c>
      <c r="G774" t="s">
        <v>936</v>
      </c>
      <c r="H774" s="1">
        <v>42244</v>
      </c>
      <c r="I774" s="2"/>
    </row>
    <row r="775" spans="1:9" x14ac:dyDescent="0.35">
      <c r="A775" t="s">
        <v>805</v>
      </c>
      <c r="B775" t="s">
        <v>21</v>
      </c>
      <c r="C775" t="s">
        <v>19</v>
      </c>
      <c r="D775" t="s">
        <v>43</v>
      </c>
      <c r="E775">
        <v>11</v>
      </c>
      <c r="F775" t="s">
        <v>24</v>
      </c>
      <c r="G775" t="s">
        <v>936</v>
      </c>
      <c r="H775" s="1">
        <v>42927</v>
      </c>
      <c r="I775" s="2"/>
    </row>
    <row r="776" spans="1:9" x14ac:dyDescent="0.35">
      <c r="A776" t="s">
        <v>806</v>
      </c>
      <c r="B776" t="s">
        <v>16</v>
      </c>
      <c r="C776" t="s">
        <v>14</v>
      </c>
      <c r="D776" t="s">
        <v>33</v>
      </c>
      <c r="E776">
        <v>6</v>
      </c>
      <c r="F776" t="s">
        <v>70</v>
      </c>
      <c r="G776" t="s">
        <v>937</v>
      </c>
      <c r="H776" s="1">
        <v>42172</v>
      </c>
      <c r="I776" s="2"/>
    </row>
    <row r="777" spans="1:9" x14ac:dyDescent="0.35">
      <c r="A777" t="s">
        <v>807</v>
      </c>
      <c r="B777" t="s">
        <v>21</v>
      </c>
      <c r="C777" t="s">
        <v>35</v>
      </c>
      <c r="D777" t="s">
        <v>20</v>
      </c>
      <c r="E777">
        <v>12</v>
      </c>
      <c r="F777" t="s">
        <v>17</v>
      </c>
      <c r="G777" t="s">
        <v>936</v>
      </c>
      <c r="H777" s="1">
        <v>44042</v>
      </c>
      <c r="I777" s="2"/>
    </row>
    <row r="778" spans="1:9" x14ac:dyDescent="0.35">
      <c r="A778" t="s">
        <v>808</v>
      </c>
      <c r="B778" t="s">
        <v>16</v>
      </c>
      <c r="C778" t="s">
        <v>35</v>
      </c>
      <c r="D778" t="s">
        <v>20</v>
      </c>
      <c r="E778">
        <v>15</v>
      </c>
      <c r="F778" t="s">
        <v>70</v>
      </c>
      <c r="G778" t="s">
        <v>937</v>
      </c>
      <c r="H778" s="1">
        <v>43125</v>
      </c>
      <c r="I778" s="2"/>
    </row>
    <row r="779" spans="1:9" x14ac:dyDescent="0.35">
      <c r="A779" t="s">
        <v>809</v>
      </c>
      <c r="B779" t="s">
        <v>16</v>
      </c>
      <c r="C779" t="s">
        <v>14</v>
      </c>
      <c r="D779" t="s">
        <v>15</v>
      </c>
      <c r="E779">
        <v>0</v>
      </c>
      <c r="F779" t="s">
        <v>17</v>
      </c>
      <c r="G779" t="s">
        <v>936</v>
      </c>
      <c r="H779" s="1">
        <v>44429</v>
      </c>
      <c r="I779" s="2"/>
    </row>
    <row r="780" spans="1:9" x14ac:dyDescent="0.35">
      <c r="A780" t="s">
        <v>810</v>
      </c>
      <c r="B780" t="s">
        <v>21</v>
      </c>
      <c r="C780" t="s">
        <v>19</v>
      </c>
      <c r="D780" t="s">
        <v>20</v>
      </c>
      <c r="E780">
        <v>14</v>
      </c>
      <c r="F780" t="s">
        <v>44</v>
      </c>
      <c r="G780" t="s">
        <v>937</v>
      </c>
      <c r="H780" s="1">
        <v>43628</v>
      </c>
      <c r="I780" s="2"/>
    </row>
    <row r="781" spans="1:9" x14ac:dyDescent="0.35">
      <c r="A781" t="s">
        <v>811</v>
      </c>
      <c r="B781" t="s">
        <v>16</v>
      </c>
      <c r="C781" t="s">
        <v>14</v>
      </c>
      <c r="D781" t="s">
        <v>20</v>
      </c>
      <c r="E781">
        <v>4</v>
      </c>
      <c r="F781" t="s">
        <v>44</v>
      </c>
      <c r="G781" t="s">
        <v>937</v>
      </c>
      <c r="H781" s="1">
        <v>42156</v>
      </c>
      <c r="I781" s="2"/>
    </row>
    <row r="782" spans="1:9" x14ac:dyDescent="0.35">
      <c r="A782" t="s">
        <v>812</v>
      </c>
      <c r="B782" t="s">
        <v>16</v>
      </c>
      <c r="C782" t="s">
        <v>29</v>
      </c>
      <c r="D782" t="s">
        <v>15</v>
      </c>
      <c r="E782">
        <v>11</v>
      </c>
      <c r="F782" t="s">
        <v>24</v>
      </c>
      <c r="G782" t="s">
        <v>936</v>
      </c>
      <c r="H782" s="1">
        <v>44948</v>
      </c>
      <c r="I782" s="2"/>
    </row>
    <row r="783" spans="1:9" x14ac:dyDescent="0.35">
      <c r="A783" t="s">
        <v>813</v>
      </c>
      <c r="B783" t="s">
        <v>21</v>
      </c>
      <c r="C783" t="s">
        <v>29</v>
      </c>
      <c r="D783" t="s">
        <v>20</v>
      </c>
      <c r="E783">
        <v>0</v>
      </c>
      <c r="F783" t="s">
        <v>37</v>
      </c>
      <c r="G783" t="s">
        <v>936</v>
      </c>
      <c r="H783" s="1">
        <v>45044</v>
      </c>
      <c r="I783" s="2"/>
    </row>
    <row r="784" spans="1:9" x14ac:dyDescent="0.35">
      <c r="A784" t="s">
        <v>814</v>
      </c>
      <c r="B784" t="s">
        <v>16</v>
      </c>
      <c r="C784" t="s">
        <v>14</v>
      </c>
      <c r="D784" t="s">
        <v>20</v>
      </c>
      <c r="E784">
        <v>4</v>
      </c>
      <c r="F784" t="s">
        <v>22</v>
      </c>
      <c r="G784" t="s">
        <v>937</v>
      </c>
      <c r="H784" s="1">
        <v>44486</v>
      </c>
      <c r="I784" s="2"/>
    </row>
    <row r="785" spans="1:9" x14ac:dyDescent="0.35">
      <c r="A785" t="s">
        <v>815</v>
      </c>
      <c r="B785" t="s">
        <v>16</v>
      </c>
      <c r="C785" t="s">
        <v>26</v>
      </c>
      <c r="D785" t="s">
        <v>15</v>
      </c>
      <c r="E785">
        <v>5</v>
      </c>
      <c r="F785" t="s">
        <v>37</v>
      </c>
      <c r="G785" t="s">
        <v>936</v>
      </c>
      <c r="H785" s="1">
        <v>43309</v>
      </c>
      <c r="I785" s="2"/>
    </row>
    <row r="786" spans="1:9" x14ac:dyDescent="0.35">
      <c r="A786" t="s">
        <v>816</v>
      </c>
      <c r="B786" t="s">
        <v>21</v>
      </c>
      <c r="C786" t="s">
        <v>14</v>
      </c>
      <c r="D786" t="s">
        <v>43</v>
      </c>
      <c r="E786">
        <v>7</v>
      </c>
      <c r="F786" t="s">
        <v>17</v>
      </c>
      <c r="G786" t="s">
        <v>936</v>
      </c>
      <c r="H786" s="1">
        <v>45626</v>
      </c>
      <c r="I786" s="2"/>
    </row>
    <row r="787" spans="1:9" x14ac:dyDescent="0.35">
      <c r="A787" t="s">
        <v>817</v>
      </c>
      <c r="B787" t="s">
        <v>21</v>
      </c>
      <c r="C787" t="s">
        <v>26</v>
      </c>
      <c r="D787" t="s">
        <v>33</v>
      </c>
      <c r="E787">
        <v>13</v>
      </c>
      <c r="F787" t="s">
        <v>24</v>
      </c>
      <c r="G787" t="s">
        <v>936</v>
      </c>
      <c r="H787" s="1">
        <v>42202</v>
      </c>
      <c r="I787" s="2"/>
    </row>
    <row r="788" spans="1:9" x14ac:dyDescent="0.35">
      <c r="A788" t="s">
        <v>818</v>
      </c>
      <c r="B788" t="s">
        <v>21</v>
      </c>
      <c r="C788" t="s">
        <v>26</v>
      </c>
      <c r="D788" t="s">
        <v>43</v>
      </c>
      <c r="E788">
        <v>6</v>
      </c>
      <c r="F788" t="s">
        <v>70</v>
      </c>
      <c r="G788" t="s">
        <v>937</v>
      </c>
      <c r="H788" s="1">
        <v>43382</v>
      </c>
      <c r="I788" s="2"/>
    </row>
    <row r="789" spans="1:9" x14ac:dyDescent="0.35">
      <c r="A789" t="s">
        <v>819</v>
      </c>
      <c r="B789" t="s">
        <v>21</v>
      </c>
      <c r="C789" t="s">
        <v>29</v>
      </c>
      <c r="D789" t="s">
        <v>43</v>
      </c>
      <c r="E789">
        <v>8</v>
      </c>
      <c r="F789" t="s">
        <v>31</v>
      </c>
      <c r="G789" t="s">
        <v>937</v>
      </c>
      <c r="H789" s="1">
        <v>44059</v>
      </c>
      <c r="I789" s="2"/>
    </row>
    <row r="790" spans="1:9" x14ac:dyDescent="0.35">
      <c r="A790" t="s">
        <v>820</v>
      </c>
      <c r="B790" t="s">
        <v>21</v>
      </c>
      <c r="C790" t="s">
        <v>26</v>
      </c>
      <c r="D790" t="s">
        <v>33</v>
      </c>
      <c r="E790">
        <v>4</v>
      </c>
      <c r="F790" t="s">
        <v>17</v>
      </c>
      <c r="G790" t="s">
        <v>936</v>
      </c>
      <c r="H790" s="1">
        <v>43429</v>
      </c>
      <c r="I790" s="2"/>
    </row>
    <row r="791" spans="1:9" x14ac:dyDescent="0.35">
      <c r="A791" t="s">
        <v>821</v>
      </c>
      <c r="B791" t="s">
        <v>21</v>
      </c>
      <c r="C791" t="s">
        <v>14</v>
      </c>
      <c r="D791" t="s">
        <v>33</v>
      </c>
      <c r="E791">
        <v>12</v>
      </c>
      <c r="F791" t="s">
        <v>44</v>
      </c>
      <c r="G791" t="s">
        <v>937</v>
      </c>
      <c r="H791" s="1">
        <v>43017</v>
      </c>
      <c r="I791" s="2"/>
    </row>
    <row r="792" spans="1:9" x14ac:dyDescent="0.35">
      <c r="A792" t="s">
        <v>822</v>
      </c>
      <c r="B792" t="s">
        <v>21</v>
      </c>
      <c r="C792" t="s">
        <v>35</v>
      </c>
      <c r="D792" t="s">
        <v>43</v>
      </c>
      <c r="E792">
        <v>10</v>
      </c>
      <c r="F792" t="s">
        <v>27</v>
      </c>
      <c r="G792" t="s">
        <v>936</v>
      </c>
      <c r="H792" s="1">
        <v>44932</v>
      </c>
      <c r="I792" s="2"/>
    </row>
    <row r="793" spans="1:9" x14ac:dyDescent="0.35">
      <c r="A793" t="s">
        <v>823</v>
      </c>
      <c r="B793" t="s">
        <v>21</v>
      </c>
      <c r="C793" t="s">
        <v>29</v>
      </c>
      <c r="D793" t="s">
        <v>20</v>
      </c>
      <c r="E793">
        <v>12</v>
      </c>
      <c r="F793" t="s">
        <v>24</v>
      </c>
      <c r="G793" t="s">
        <v>936</v>
      </c>
      <c r="H793" s="1">
        <v>45331</v>
      </c>
      <c r="I793" s="2"/>
    </row>
    <row r="794" spans="1:9" x14ac:dyDescent="0.35">
      <c r="A794" t="s">
        <v>824</v>
      </c>
      <c r="B794" t="s">
        <v>21</v>
      </c>
      <c r="C794" t="s">
        <v>14</v>
      </c>
      <c r="D794" t="s">
        <v>43</v>
      </c>
      <c r="E794">
        <v>7</v>
      </c>
      <c r="F794" t="s">
        <v>17</v>
      </c>
      <c r="G794" t="s">
        <v>936</v>
      </c>
      <c r="H794" s="1">
        <v>42558</v>
      </c>
      <c r="I794" s="2"/>
    </row>
    <row r="795" spans="1:9" x14ac:dyDescent="0.35">
      <c r="A795" t="s">
        <v>825</v>
      </c>
      <c r="B795" t="s">
        <v>21</v>
      </c>
      <c r="C795" t="s">
        <v>14</v>
      </c>
      <c r="D795" t="s">
        <v>33</v>
      </c>
      <c r="E795">
        <v>2</v>
      </c>
      <c r="F795" t="s">
        <v>44</v>
      </c>
      <c r="G795" t="s">
        <v>937</v>
      </c>
      <c r="H795" s="1">
        <v>44494</v>
      </c>
      <c r="I795" s="2"/>
    </row>
    <row r="796" spans="1:9" x14ac:dyDescent="0.35">
      <c r="A796" t="s">
        <v>826</v>
      </c>
      <c r="B796" t="s">
        <v>21</v>
      </c>
      <c r="C796" t="s">
        <v>26</v>
      </c>
      <c r="D796" t="s">
        <v>33</v>
      </c>
      <c r="E796">
        <v>11</v>
      </c>
      <c r="F796" t="s">
        <v>22</v>
      </c>
      <c r="G796" t="s">
        <v>937</v>
      </c>
      <c r="H796" s="1">
        <v>45173</v>
      </c>
      <c r="I796" s="2"/>
    </row>
    <row r="797" spans="1:9" x14ac:dyDescent="0.35">
      <c r="A797" t="s">
        <v>827</v>
      </c>
      <c r="B797" t="s">
        <v>21</v>
      </c>
      <c r="C797" t="s">
        <v>26</v>
      </c>
      <c r="D797" t="s">
        <v>33</v>
      </c>
      <c r="E797">
        <v>1</v>
      </c>
      <c r="F797" t="s">
        <v>17</v>
      </c>
      <c r="G797" t="s">
        <v>936</v>
      </c>
      <c r="H797" s="1">
        <v>43015</v>
      </c>
      <c r="I797" s="2"/>
    </row>
    <row r="798" spans="1:9" x14ac:dyDescent="0.35">
      <c r="A798" t="s">
        <v>828</v>
      </c>
      <c r="B798" t="s">
        <v>16</v>
      </c>
      <c r="C798" t="s">
        <v>35</v>
      </c>
      <c r="D798" t="s">
        <v>20</v>
      </c>
      <c r="E798">
        <v>11</v>
      </c>
      <c r="F798" t="s">
        <v>31</v>
      </c>
      <c r="G798" t="s">
        <v>937</v>
      </c>
      <c r="H798" s="1">
        <v>45394</v>
      </c>
      <c r="I798" s="2"/>
    </row>
    <row r="799" spans="1:9" x14ac:dyDescent="0.35">
      <c r="A799" t="s">
        <v>829</v>
      </c>
      <c r="B799" t="s">
        <v>21</v>
      </c>
      <c r="C799" t="s">
        <v>19</v>
      </c>
      <c r="D799" t="s">
        <v>43</v>
      </c>
      <c r="E799">
        <v>11</v>
      </c>
      <c r="F799" t="s">
        <v>22</v>
      </c>
      <c r="G799" t="s">
        <v>937</v>
      </c>
      <c r="H799" s="1">
        <v>43840</v>
      </c>
      <c r="I799" s="2"/>
    </row>
    <row r="800" spans="1:9" x14ac:dyDescent="0.35">
      <c r="A800" t="s">
        <v>830</v>
      </c>
      <c r="B800" t="s">
        <v>16</v>
      </c>
      <c r="C800" t="s">
        <v>35</v>
      </c>
      <c r="D800" t="s">
        <v>15</v>
      </c>
      <c r="E800">
        <v>8</v>
      </c>
      <c r="F800" t="s">
        <v>70</v>
      </c>
      <c r="G800" t="s">
        <v>937</v>
      </c>
      <c r="H800" s="1">
        <v>44331</v>
      </c>
      <c r="I800" s="2"/>
    </row>
    <row r="801" spans="1:9" x14ac:dyDescent="0.35">
      <c r="A801" t="s">
        <v>831</v>
      </c>
      <c r="B801" t="s">
        <v>16</v>
      </c>
      <c r="C801" t="s">
        <v>29</v>
      </c>
      <c r="D801" t="s">
        <v>15</v>
      </c>
      <c r="E801">
        <v>7</v>
      </c>
      <c r="F801" t="s">
        <v>24</v>
      </c>
      <c r="G801" t="s">
        <v>936</v>
      </c>
      <c r="H801" s="1">
        <v>45295</v>
      </c>
      <c r="I801" s="2"/>
    </row>
    <row r="802" spans="1:9" x14ac:dyDescent="0.35">
      <c r="A802" t="s">
        <v>832</v>
      </c>
      <c r="B802" t="s">
        <v>21</v>
      </c>
      <c r="C802" t="s">
        <v>35</v>
      </c>
      <c r="D802" t="s">
        <v>43</v>
      </c>
      <c r="E802">
        <v>5</v>
      </c>
      <c r="F802" t="s">
        <v>22</v>
      </c>
      <c r="G802" t="s">
        <v>937</v>
      </c>
      <c r="H802" s="1">
        <v>45203</v>
      </c>
      <c r="I802" s="2"/>
    </row>
    <row r="803" spans="1:9" x14ac:dyDescent="0.35">
      <c r="A803" t="s">
        <v>833</v>
      </c>
      <c r="B803" t="s">
        <v>16</v>
      </c>
      <c r="C803" t="s">
        <v>19</v>
      </c>
      <c r="D803" t="s">
        <v>15</v>
      </c>
      <c r="E803">
        <v>11</v>
      </c>
      <c r="F803" t="s">
        <v>31</v>
      </c>
      <c r="G803" t="s">
        <v>937</v>
      </c>
      <c r="H803" s="1">
        <v>44189</v>
      </c>
      <c r="I803" s="2"/>
    </row>
    <row r="804" spans="1:9" x14ac:dyDescent="0.35">
      <c r="A804" t="s">
        <v>834</v>
      </c>
      <c r="B804" t="s">
        <v>21</v>
      </c>
      <c r="C804" t="s">
        <v>29</v>
      </c>
      <c r="D804" t="s">
        <v>20</v>
      </c>
      <c r="E804">
        <v>7</v>
      </c>
      <c r="F804" t="s">
        <v>31</v>
      </c>
      <c r="G804" t="s">
        <v>937</v>
      </c>
      <c r="H804" s="1">
        <v>44086</v>
      </c>
      <c r="I804" s="2"/>
    </row>
    <row r="805" spans="1:9" x14ac:dyDescent="0.35">
      <c r="A805" t="s">
        <v>835</v>
      </c>
      <c r="B805" t="s">
        <v>21</v>
      </c>
      <c r="C805" t="s">
        <v>19</v>
      </c>
      <c r="D805" t="s">
        <v>20</v>
      </c>
      <c r="E805">
        <v>9</v>
      </c>
      <c r="F805" t="s">
        <v>17</v>
      </c>
      <c r="G805" t="s">
        <v>936</v>
      </c>
      <c r="H805" s="1">
        <v>43183</v>
      </c>
      <c r="I805" s="2"/>
    </row>
    <row r="806" spans="1:9" x14ac:dyDescent="0.35">
      <c r="A806" t="s">
        <v>836</v>
      </c>
      <c r="B806" t="s">
        <v>21</v>
      </c>
      <c r="C806" t="s">
        <v>14</v>
      </c>
      <c r="D806" t="s">
        <v>33</v>
      </c>
      <c r="E806">
        <v>0</v>
      </c>
      <c r="F806" t="s">
        <v>17</v>
      </c>
      <c r="G806" t="s">
        <v>936</v>
      </c>
      <c r="H806" s="1">
        <v>42968</v>
      </c>
      <c r="I806" s="2"/>
    </row>
    <row r="807" spans="1:9" x14ac:dyDescent="0.35">
      <c r="A807" t="s">
        <v>837</v>
      </c>
      <c r="B807" t="s">
        <v>21</v>
      </c>
      <c r="C807" t="s">
        <v>14</v>
      </c>
      <c r="D807" t="s">
        <v>20</v>
      </c>
      <c r="E807">
        <v>13</v>
      </c>
      <c r="F807" t="s">
        <v>27</v>
      </c>
      <c r="G807" t="s">
        <v>936</v>
      </c>
      <c r="H807" s="1">
        <v>45083</v>
      </c>
      <c r="I807" s="2"/>
    </row>
    <row r="808" spans="1:9" x14ac:dyDescent="0.35">
      <c r="A808" t="s">
        <v>838</v>
      </c>
      <c r="B808" t="s">
        <v>21</v>
      </c>
      <c r="C808" t="s">
        <v>14</v>
      </c>
      <c r="D808" t="s">
        <v>43</v>
      </c>
      <c r="E808">
        <v>6</v>
      </c>
      <c r="F808" t="s">
        <v>37</v>
      </c>
      <c r="G808" t="s">
        <v>936</v>
      </c>
      <c r="H808" s="1">
        <v>44832</v>
      </c>
      <c r="I808" s="2"/>
    </row>
    <row r="809" spans="1:9" x14ac:dyDescent="0.35">
      <c r="A809" t="s">
        <v>839</v>
      </c>
      <c r="B809" t="s">
        <v>16</v>
      </c>
      <c r="C809" t="s">
        <v>26</v>
      </c>
      <c r="D809" t="s">
        <v>33</v>
      </c>
      <c r="E809">
        <v>5</v>
      </c>
      <c r="F809" t="s">
        <v>24</v>
      </c>
      <c r="G809" t="s">
        <v>936</v>
      </c>
      <c r="H809" s="1">
        <v>43480</v>
      </c>
      <c r="I809" s="2"/>
    </row>
    <row r="810" spans="1:9" x14ac:dyDescent="0.35">
      <c r="A810" t="s">
        <v>840</v>
      </c>
      <c r="B810" t="s">
        <v>16</v>
      </c>
      <c r="C810" t="s">
        <v>19</v>
      </c>
      <c r="D810" t="s">
        <v>15</v>
      </c>
      <c r="E810">
        <v>7</v>
      </c>
      <c r="F810" t="s">
        <v>27</v>
      </c>
      <c r="G810" t="s">
        <v>936</v>
      </c>
      <c r="H810" s="1">
        <v>44025</v>
      </c>
      <c r="I810" s="2"/>
    </row>
    <row r="811" spans="1:9" x14ac:dyDescent="0.35">
      <c r="A811" t="s">
        <v>841</v>
      </c>
      <c r="B811" t="s">
        <v>16</v>
      </c>
      <c r="C811" t="s">
        <v>26</v>
      </c>
      <c r="D811" t="s">
        <v>43</v>
      </c>
      <c r="E811">
        <v>3</v>
      </c>
      <c r="F811" t="s">
        <v>44</v>
      </c>
      <c r="G811" t="s">
        <v>937</v>
      </c>
      <c r="H811" s="1">
        <v>44975</v>
      </c>
      <c r="I811" s="2"/>
    </row>
    <row r="812" spans="1:9" x14ac:dyDescent="0.35">
      <c r="A812" t="s">
        <v>842</v>
      </c>
      <c r="B812" t="s">
        <v>16</v>
      </c>
      <c r="C812" t="s">
        <v>19</v>
      </c>
      <c r="D812" t="s">
        <v>33</v>
      </c>
      <c r="E812">
        <v>6</v>
      </c>
      <c r="F812" t="s">
        <v>22</v>
      </c>
      <c r="G812" t="s">
        <v>937</v>
      </c>
      <c r="H812" s="1">
        <v>44701</v>
      </c>
      <c r="I812" s="2"/>
    </row>
    <row r="813" spans="1:9" x14ac:dyDescent="0.35">
      <c r="A813" t="s">
        <v>843</v>
      </c>
      <c r="B813" t="s">
        <v>21</v>
      </c>
      <c r="C813" t="s">
        <v>19</v>
      </c>
      <c r="D813" t="s">
        <v>15</v>
      </c>
      <c r="E813">
        <v>14</v>
      </c>
      <c r="F813" t="s">
        <v>27</v>
      </c>
      <c r="G813" t="s">
        <v>936</v>
      </c>
      <c r="H813" s="1">
        <v>45319</v>
      </c>
      <c r="I813" s="2"/>
    </row>
    <row r="814" spans="1:9" x14ac:dyDescent="0.35">
      <c r="A814" t="s">
        <v>844</v>
      </c>
      <c r="B814" t="s">
        <v>16</v>
      </c>
      <c r="C814" t="s">
        <v>14</v>
      </c>
      <c r="D814" t="s">
        <v>15</v>
      </c>
      <c r="E814">
        <v>9</v>
      </c>
      <c r="F814" t="s">
        <v>24</v>
      </c>
      <c r="G814" t="s">
        <v>936</v>
      </c>
      <c r="H814" s="1">
        <v>42415</v>
      </c>
      <c r="I814" s="2"/>
    </row>
    <row r="815" spans="1:9" x14ac:dyDescent="0.35">
      <c r="A815" t="s">
        <v>845</v>
      </c>
      <c r="B815" t="s">
        <v>21</v>
      </c>
      <c r="C815" t="s">
        <v>29</v>
      </c>
      <c r="D815" t="s">
        <v>43</v>
      </c>
      <c r="E815">
        <v>14</v>
      </c>
      <c r="F815" t="s">
        <v>22</v>
      </c>
      <c r="G815" t="s">
        <v>937</v>
      </c>
      <c r="H815" s="1">
        <v>43582</v>
      </c>
      <c r="I815" s="2"/>
    </row>
    <row r="816" spans="1:9" x14ac:dyDescent="0.35">
      <c r="A816" t="s">
        <v>846</v>
      </c>
      <c r="B816" t="s">
        <v>21</v>
      </c>
      <c r="C816" t="s">
        <v>14</v>
      </c>
      <c r="D816" t="s">
        <v>20</v>
      </c>
      <c r="E816">
        <v>4</v>
      </c>
      <c r="F816" t="s">
        <v>37</v>
      </c>
      <c r="G816" t="s">
        <v>936</v>
      </c>
      <c r="H816" s="1">
        <v>43047</v>
      </c>
      <c r="I816" s="2"/>
    </row>
    <row r="817" spans="1:9" x14ac:dyDescent="0.35">
      <c r="A817" t="s">
        <v>847</v>
      </c>
      <c r="B817" t="s">
        <v>21</v>
      </c>
      <c r="C817" t="s">
        <v>26</v>
      </c>
      <c r="D817" t="s">
        <v>33</v>
      </c>
      <c r="E817">
        <v>14</v>
      </c>
      <c r="F817" t="s">
        <v>44</v>
      </c>
      <c r="G817" t="s">
        <v>937</v>
      </c>
      <c r="H817" s="1">
        <v>45268</v>
      </c>
      <c r="I817" s="2"/>
    </row>
    <row r="818" spans="1:9" x14ac:dyDescent="0.35">
      <c r="A818" t="s">
        <v>848</v>
      </c>
      <c r="B818" t="s">
        <v>16</v>
      </c>
      <c r="C818" t="s">
        <v>29</v>
      </c>
      <c r="D818" t="s">
        <v>43</v>
      </c>
      <c r="E818">
        <v>14</v>
      </c>
      <c r="F818" t="s">
        <v>27</v>
      </c>
      <c r="G818" t="s">
        <v>936</v>
      </c>
      <c r="H818" s="1">
        <v>44073</v>
      </c>
      <c r="I818" s="2"/>
    </row>
    <row r="819" spans="1:9" x14ac:dyDescent="0.35">
      <c r="A819" t="s">
        <v>849</v>
      </c>
      <c r="B819" t="s">
        <v>16</v>
      </c>
      <c r="C819" t="s">
        <v>19</v>
      </c>
      <c r="D819" t="s">
        <v>43</v>
      </c>
      <c r="E819">
        <v>5</v>
      </c>
      <c r="F819" t="s">
        <v>17</v>
      </c>
      <c r="G819" t="s">
        <v>936</v>
      </c>
      <c r="H819" s="1">
        <v>44975</v>
      </c>
      <c r="I819" s="2"/>
    </row>
    <row r="820" spans="1:9" x14ac:dyDescent="0.35">
      <c r="A820" t="s">
        <v>850</v>
      </c>
      <c r="B820" t="s">
        <v>16</v>
      </c>
      <c r="C820" t="s">
        <v>19</v>
      </c>
      <c r="D820" t="s">
        <v>33</v>
      </c>
      <c r="E820">
        <v>14</v>
      </c>
      <c r="F820" t="s">
        <v>31</v>
      </c>
      <c r="G820" t="s">
        <v>937</v>
      </c>
      <c r="H820" s="1">
        <v>44749</v>
      </c>
      <c r="I820" s="2"/>
    </row>
    <row r="821" spans="1:9" x14ac:dyDescent="0.35">
      <c r="A821" t="s">
        <v>851</v>
      </c>
      <c r="B821" t="s">
        <v>21</v>
      </c>
      <c r="C821" t="s">
        <v>29</v>
      </c>
      <c r="D821" t="s">
        <v>33</v>
      </c>
      <c r="E821">
        <v>2</v>
      </c>
      <c r="F821" t="s">
        <v>70</v>
      </c>
      <c r="G821" t="s">
        <v>937</v>
      </c>
      <c r="H821" s="1">
        <v>43250</v>
      </c>
      <c r="I821" s="2"/>
    </row>
    <row r="822" spans="1:9" x14ac:dyDescent="0.35">
      <c r="A822" t="s">
        <v>852</v>
      </c>
      <c r="B822" t="s">
        <v>16</v>
      </c>
      <c r="C822" t="s">
        <v>35</v>
      </c>
      <c r="D822" t="s">
        <v>15</v>
      </c>
      <c r="E822">
        <v>9</v>
      </c>
      <c r="F822" t="s">
        <v>70</v>
      </c>
      <c r="G822" t="s">
        <v>937</v>
      </c>
      <c r="H822" s="1">
        <v>44257</v>
      </c>
      <c r="I822" s="2"/>
    </row>
    <row r="823" spans="1:9" x14ac:dyDescent="0.35">
      <c r="A823" t="s">
        <v>853</v>
      </c>
      <c r="B823" t="s">
        <v>16</v>
      </c>
      <c r="C823" t="s">
        <v>19</v>
      </c>
      <c r="D823" t="s">
        <v>43</v>
      </c>
      <c r="E823">
        <v>12</v>
      </c>
      <c r="F823" t="s">
        <v>37</v>
      </c>
      <c r="G823" t="s">
        <v>936</v>
      </c>
      <c r="H823" s="1">
        <v>43615</v>
      </c>
      <c r="I823" s="2"/>
    </row>
    <row r="824" spans="1:9" x14ac:dyDescent="0.35">
      <c r="A824" t="s">
        <v>854</v>
      </c>
      <c r="B824" t="s">
        <v>21</v>
      </c>
      <c r="C824" t="s">
        <v>26</v>
      </c>
      <c r="D824" t="s">
        <v>43</v>
      </c>
      <c r="E824">
        <v>8</v>
      </c>
      <c r="F824" t="s">
        <v>24</v>
      </c>
      <c r="G824" t="s">
        <v>936</v>
      </c>
      <c r="H824" s="1">
        <v>42507</v>
      </c>
      <c r="I824" s="2"/>
    </row>
    <row r="825" spans="1:9" x14ac:dyDescent="0.35">
      <c r="A825" t="s">
        <v>855</v>
      </c>
      <c r="B825" t="s">
        <v>21</v>
      </c>
      <c r="C825" t="s">
        <v>29</v>
      </c>
      <c r="D825" t="s">
        <v>15</v>
      </c>
      <c r="E825">
        <v>1</v>
      </c>
      <c r="F825" t="s">
        <v>37</v>
      </c>
      <c r="G825" t="s">
        <v>936</v>
      </c>
      <c r="H825" s="1">
        <v>44814</v>
      </c>
      <c r="I825" s="2"/>
    </row>
    <row r="826" spans="1:9" x14ac:dyDescent="0.35">
      <c r="A826" t="s">
        <v>856</v>
      </c>
      <c r="B826" t="s">
        <v>21</v>
      </c>
      <c r="C826" t="s">
        <v>29</v>
      </c>
      <c r="D826" t="s">
        <v>20</v>
      </c>
      <c r="E826">
        <v>12</v>
      </c>
      <c r="F826" t="s">
        <v>27</v>
      </c>
      <c r="G826" t="s">
        <v>936</v>
      </c>
      <c r="H826" s="1">
        <v>44840</v>
      </c>
      <c r="I826" s="2"/>
    </row>
    <row r="827" spans="1:9" x14ac:dyDescent="0.35">
      <c r="A827" t="s">
        <v>857</v>
      </c>
      <c r="B827" t="s">
        <v>21</v>
      </c>
      <c r="C827" t="s">
        <v>19</v>
      </c>
      <c r="D827" t="s">
        <v>20</v>
      </c>
      <c r="E827">
        <v>5</v>
      </c>
      <c r="F827" t="s">
        <v>27</v>
      </c>
      <c r="G827" t="s">
        <v>936</v>
      </c>
      <c r="H827" s="1">
        <v>44937</v>
      </c>
      <c r="I827" s="2"/>
    </row>
    <row r="828" spans="1:9" x14ac:dyDescent="0.35">
      <c r="A828" t="s">
        <v>858</v>
      </c>
      <c r="B828" t="s">
        <v>16</v>
      </c>
      <c r="C828" t="s">
        <v>19</v>
      </c>
      <c r="D828" t="s">
        <v>15</v>
      </c>
      <c r="E828">
        <v>15</v>
      </c>
      <c r="F828" t="s">
        <v>27</v>
      </c>
      <c r="G828" t="s">
        <v>936</v>
      </c>
      <c r="H828" s="1">
        <v>42139</v>
      </c>
      <c r="I828" s="2"/>
    </row>
    <row r="829" spans="1:9" x14ac:dyDescent="0.35">
      <c r="A829" t="s">
        <v>859</v>
      </c>
      <c r="B829" t="s">
        <v>21</v>
      </c>
      <c r="C829" t="s">
        <v>29</v>
      </c>
      <c r="D829" t="s">
        <v>33</v>
      </c>
      <c r="E829">
        <v>5</v>
      </c>
      <c r="F829" t="s">
        <v>44</v>
      </c>
      <c r="G829" t="s">
        <v>937</v>
      </c>
      <c r="H829" s="1">
        <v>45473</v>
      </c>
      <c r="I829" s="2"/>
    </row>
    <row r="830" spans="1:9" x14ac:dyDescent="0.35">
      <c r="A830" t="s">
        <v>860</v>
      </c>
      <c r="B830" t="s">
        <v>21</v>
      </c>
      <c r="C830" t="s">
        <v>19</v>
      </c>
      <c r="D830" t="s">
        <v>15</v>
      </c>
      <c r="E830">
        <v>7</v>
      </c>
      <c r="F830" t="s">
        <v>31</v>
      </c>
      <c r="G830" t="s">
        <v>937</v>
      </c>
      <c r="H830" s="1">
        <v>44826</v>
      </c>
      <c r="I830" s="2"/>
    </row>
    <row r="831" spans="1:9" x14ac:dyDescent="0.35">
      <c r="A831" t="s">
        <v>861</v>
      </c>
      <c r="B831" t="s">
        <v>21</v>
      </c>
      <c r="C831" t="s">
        <v>26</v>
      </c>
      <c r="D831" t="s">
        <v>15</v>
      </c>
      <c r="E831">
        <v>4</v>
      </c>
      <c r="F831" t="s">
        <v>27</v>
      </c>
      <c r="G831" t="s">
        <v>936</v>
      </c>
      <c r="H831" s="1">
        <v>43912</v>
      </c>
      <c r="I831" s="2"/>
    </row>
    <row r="832" spans="1:9" x14ac:dyDescent="0.35">
      <c r="A832" t="s">
        <v>862</v>
      </c>
      <c r="B832" t="s">
        <v>21</v>
      </c>
      <c r="C832" t="s">
        <v>35</v>
      </c>
      <c r="D832" t="s">
        <v>33</v>
      </c>
      <c r="E832">
        <v>2</v>
      </c>
      <c r="F832" t="s">
        <v>24</v>
      </c>
      <c r="G832" t="s">
        <v>936</v>
      </c>
      <c r="H832" s="1">
        <v>45275</v>
      </c>
      <c r="I832" s="2"/>
    </row>
    <row r="833" spans="1:9" x14ac:dyDescent="0.35">
      <c r="A833" t="s">
        <v>863</v>
      </c>
      <c r="B833" t="s">
        <v>21</v>
      </c>
      <c r="C833" t="s">
        <v>35</v>
      </c>
      <c r="D833" t="s">
        <v>33</v>
      </c>
      <c r="E833">
        <v>6</v>
      </c>
      <c r="F833" t="s">
        <v>44</v>
      </c>
      <c r="G833" t="s">
        <v>937</v>
      </c>
      <c r="H833" s="1">
        <v>44488</v>
      </c>
      <c r="I833" s="2"/>
    </row>
    <row r="834" spans="1:9" x14ac:dyDescent="0.35">
      <c r="A834" t="s">
        <v>864</v>
      </c>
      <c r="B834" t="s">
        <v>16</v>
      </c>
      <c r="C834" t="s">
        <v>35</v>
      </c>
      <c r="D834" t="s">
        <v>33</v>
      </c>
      <c r="E834">
        <v>15</v>
      </c>
      <c r="F834" t="s">
        <v>70</v>
      </c>
      <c r="G834" t="s">
        <v>937</v>
      </c>
      <c r="H834" s="1">
        <v>44680</v>
      </c>
      <c r="I834" s="2"/>
    </row>
    <row r="835" spans="1:9" x14ac:dyDescent="0.35">
      <c r="A835" t="s">
        <v>865</v>
      </c>
      <c r="B835" t="s">
        <v>21</v>
      </c>
      <c r="C835" t="s">
        <v>14</v>
      </c>
      <c r="D835" t="s">
        <v>33</v>
      </c>
      <c r="E835">
        <v>13</v>
      </c>
      <c r="F835" t="s">
        <v>31</v>
      </c>
      <c r="G835" t="s">
        <v>937</v>
      </c>
      <c r="H835" s="1">
        <v>42341</v>
      </c>
      <c r="I835" s="2"/>
    </row>
    <row r="836" spans="1:9" x14ac:dyDescent="0.35">
      <c r="A836" t="s">
        <v>866</v>
      </c>
      <c r="B836" t="s">
        <v>16</v>
      </c>
      <c r="C836" t="s">
        <v>35</v>
      </c>
      <c r="D836" t="s">
        <v>15</v>
      </c>
      <c r="E836">
        <v>14</v>
      </c>
      <c r="F836" t="s">
        <v>44</v>
      </c>
      <c r="G836" t="s">
        <v>937</v>
      </c>
      <c r="H836" s="1">
        <v>45182</v>
      </c>
      <c r="I836" s="2"/>
    </row>
    <row r="837" spans="1:9" x14ac:dyDescent="0.35">
      <c r="A837" t="s">
        <v>867</v>
      </c>
      <c r="B837" t="s">
        <v>21</v>
      </c>
      <c r="C837" t="s">
        <v>14</v>
      </c>
      <c r="D837" t="s">
        <v>15</v>
      </c>
      <c r="E837">
        <v>10</v>
      </c>
      <c r="F837" t="s">
        <v>27</v>
      </c>
      <c r="G837" t="s">
        <v>936</v>
      </c>
      <c r="H837" s="1">
        <v>42481</v>
      </c>
      <c r="I837" s="2"/>
    </row>
    <row r="838" spans="1:9" x14ac:dyDescent="0.35">
      <c r="A838" t="s">
        <v>868</v>
      </c>
      <c r="B838" t="s">
        <v>16</v>
      </c>
      <c r="C838" t="s">
        <v>19</v>
      </c>
      <c r="D838" t="s">
        <v>43</v>
      </c>
      <c r="E838">
        <v>7</v>
      </c>
      <c r="F838" t="s">
        <v>44</v>
      </c>
      <c r="G838" t="s">
        <v>937</v>
      </c>
      <c r="H838" s="1">
        <v>44671</v>
      </c>
      <c r="I838" s="2"/>
    </row>
    <row r="839" spans="1:9" x14ac:dyDescent="0.35">
      <c r="A839" t="s">
        <v>869</v>
      </c>
      <c r="B839" t="s">
        <v>16</v>
      </c>
      <c r="C839" t="s">
        <v>35</v>
      </c>
      <c r="D839" t="s">
        <v>15</v>
      </c>
      <c r="E839">
        <v>2</v>
      </c>
      <c r="F839" t="s">
        <v>24</v>
      </c>
      <c r="G839" t="s">
        <v>936</v>
      </c>
      <c r="H839" s="1">
        <v>42191</v>
      </c>
      <c r="I839" s="2"/>
    </row>
    <row r="840" spans="1:9" x14ac:dyDescent="0.35">
      <c r="A840" t="s">
        <v>870</v>
      </c>
      <c r="B840" t="s">
        <v>16</v>
      </c>
      <c r="C840" t="s">
        <v>29</v>
      </c>
      <c r="D840" t="s">
        <v>20</v>
      </c>
      <c r="E840">
        <v>6</v>
      </c>
      <c r="F840" t="s">
        <v>17</v>
      </c>
      <c r="G840" t="s">
        <v>936</v>
      </c>
      <c r="H840" s="1">
        <v>42602</v>
      </c>
      <c r="I840" s="2"/>
    </row>
    <row r="841" spans="1:9" x14ac:dyDescent="0.35">
      <c r="A841" t="s">
        <v>871</v>
      </c>
      <c r="B841" t="s">
        <v>16</v>
      </c>
      <c r="C841" t="s">
        <v>14</v>
      </c>
      <c r="D841" t="s">
        <v>15</v>
      </c>
      <c r="E841">
        <v>7</v>
      </c>
      <c r="F841" t="s">
        <v>17</v>
      </c>
      <c r="G841" t="s">
        <v>936</v>
      </c>
      <c r="H841" s="1">
        <v>42457</v>
      </c>
      <c r="I841" s="2"/>
    </row>
    <row r="842" spans="1:9" x14ac:dyDescent="0.35">
      <c r="A842" t="s">
        <v>872</v>
      </c>
      <c r="B842" t="s">
        <v>21</v>
      </c>
      <c r="C842" t="s">
        <v>29</v>
      </c>
      <c r="D842" t="s">
        <v>15</v>
      </c>
      <c r="E842">
        <v>12</v>
      </c>
      <c r="F842" t="s">
        <v>37</v>
      </c>
      <c r="G842" t="s">
        <v>936</v>
      </c>
      <c r="H842" s="1">
        <v>43512</v>
      </c>
      <c r="I842" s="2"/>
    </row>
    <row r="843" spans="1:9" x14ac:dyDescent="0.35">
      <c r="A843" t="s">
        <v>873</v>
      </c>
      <c r="B843" t="s">
        <v>16</v>
      </c>
      <c r="C843" t="s">
        <v>35</v>
      </c>
      <c r="D843" t="s">
        <v>33</v>
      </c>
      <c r="E843">
        <v>12</v>
      </c>
      <c r="F843" t="s">
        <v>27</v>
      </c>
      <c r="G843" t="s">
        <v>936</v>
      </c>
      <c r="H843" s="1">
        <v>43398</v>
      </c>
      <c r="I843" s="2"/>
    </row>
    <row r="844" spans="1:9" x14ac:dyDescent="0.35">
      <c r="A844" t="s">
        <v>874</v>
      </c>
      <c r="B844" t="s">
        <v>16</v>
      </c>
      <c r="C844" t="s">
        <v>19</v>
      </c>
      <c r="D844" t="s">
        <v>33</v>
      </c>
      <c r="E844">
        <v>9</v>
      </c>
      <c r="F844" t="s">
        <v>17</v>
      </c>
      <c r="G844" t="s">
        <v>936</v>
      </c>
      <c r="H844" s="1">
        <v>45594</v>
      </c>
      <c r="I844" s="2"/>
    </row>
    <row r="845" spans="1:9" x14ac:dyDescent="0.35">
      <c r="A845" t="s">
        <v>875</v>
      </c>
      <c r="B845" t="s">
        <v>21</v>
      </c>
      <c r="C845" t="s">
        <v>14</v>
      </c>
      <c r="D845" t="s">
        <v>20</v>
      </c>
      <c r="E845">
        <v>7</v>
      </c>
      <c r="F845" t="s">
        <v>44</v>
      </c>
      <c r="G845" t="s">
        <v>937</v>
      </c>
      <c r="H845" s="1">
        <v>42233</v>
      </c>
      <c r="I845" s="2"/>
    </row>
    <row r="846" spans="1:9" x14ac:dyDescent="0.35">
      <c r="A846" t="s">
        <v>876</v>
      </c>
      <c r="B846" t="s">
        <v>21</v>
      </c>
      <c r="C846" t="s">
        <v>14</v>
      </c>
      <c r="D846" t="s">
        <v>43</v>
      </c>
      <c r="E846">
        <v>9</v>
      </c>
      <c r="F846" t="s">
        <v>22</v>
      </c>
      <c r="G846" t="s">
        <v>937</v>
      </c>
      <c r="H846" s="1">
        <v>43319</v>
      </c>
      <c r="I846" s="2"/>
    </row>
    <row r="847" spans="1:9" x14ac:dyDescent="0.35">
      <c r="A847" t="s">
        <v>877</v>
      </c>
      <c r="B847" t="s">
        <v>16</v>
      </c>
      <c r="C847" t="s">
        <v>19</v>
      </c>
      <c r="D847" t="s">
        <v>43</v>
      </c>
      <c r="E847">
        <v>3</v>
      </c>
      <c r="F847" t="s">
        <v>22</v>
      </c>
      <c r="G847" t="s">
        <v>937</v>
      </c>
      <c r="H847" s="1">
        <v>43691</v>
      </c>
      <c r="I847" s="2"/>
    </row>
    <row r="848" spans="1:9" x14ac:dyDescent="0.35">
      <c r="A848" t="s">
        <v>878</v>
      </c>
      <c r="B848" t="s">
        <v>21</v>
      </c>
      <c r="C848" t="s">
        <v>35</v>
      </c>
      <c r="D848" t="s">
        <v>43</v>
      </c>
      <c r="E848">
        <v>3</v>
      </c>
      <c r="F848" t="s">
        <v>22</v>
      </c>
      <c r="G848" t="s">
        <v>937</v>
      </c>
      <c r="H848" s="1">
        <v>43734</v>
      </c>
      <c r="I848" s="2"/>
    </row>
    <row r="849" spans="1:9" x14ac:dyDescent="0.35">
      <c r="A849" t="s">
        <v>879</v>
      </c>
      <c r="B849" t="s">
        <v>21</v>
      </c>
      <c r="C849" t="s">
        <v>14</v>
      </c>
      <c r="D849" t="s">
        <v>43</v>
      </c>
      <c r="E849">
        <v>7</v>
      </c>
      <c r="F849" t="s">
        <v>24</v>
      </c>
      <c r="G849" t="s">
        <v>936</v>
      </c>
      <c r="H849" s="1">
        <v>42355</v>
      </c>
      <c r="I849" s="2"/>
    </row>
    <row r="850" spans="1:9" x14ac:dyDescent="0.35">
      <c r="A850" t="s">
        <v>880</v>
      </c>
      <c r="B850" t="s">
        <v>21</v>
      </c>
      <c r="C850" t="s">
        <v>14</v>
      </c>
      <c r="D850" t="s">
        <v>33</v>
      </c>
      <c r="E850">
        <v>11</v>
      </c>
      <c r="F850" t="s">
        <v>70</v>
      </c>
      <c r="G850" t="s">
        <v>937</v>
      </c>
      <c r="H850" s="1">
        <v>43587</v>
      </c>
      <c r="I850" s="2"/>
    </row>
    <row r="851" spans="1:9" x14ac:dyDescent="0.35">
      <c r="A851" t="s">
        <v>881</v>
      </c>
      <c r="B851" t="s">
        <v>21</v>
      </c>
      <c r="C851" t="s">
        <v>29</v>
      </c>
      <c r="D851" t="s">
        <v>33</v>
      </c>
      <c r="E851">
        <v>8</v>
      </c>
      <c r="F851" t="s">
        <v>37</v>
      </c>
      <c r="G851" t="s">
        <v>936</v>
      </c>
      <c r="H851" s="1">
        <v>44470</v>
      </c>
      <c r="I851" s="2"/>
    </row>
    <row r="852" spans="1:9" x14ac:dyDescent="0.35">
      <c r="A852" t="s">
        <v>882</v>
      </c>
      <c r="B852" t="s">
        <v>16</v>
      </c>
      <c r="C852" t="s">
        <v>19</v>
      </c>
      <c r="D852" t="s">
        <v>15</v>
      </c>
      <c r="E852">
        <v>0</v>
      </c>
      <c r="F852" t="s">
        <v>17</v>
      </c>
      <c r="G852" t="s">
        <v>936</v>
      </c>
      <c r="H852" s="1">
        <v>44353</v>
      </c>
      <c r="I852" s="2"/>
    </row>
    <row r="853" spans="1:9" x14ac:dyDescent="0.35">
      <c r="A853" t="s">
        <v>883</v>
      </c>
      <c r="B853" t="s">
        <v>21</v>
      </c>
      <c r="C853" t="s">
        <v>35</v>
      </c>
      <c r="D853" t="s">
        <v>33</v>
      </c>
      <c r="E853">
        <v>8</v>
      </c>
      <c r="F853" t="s">
        <v>44</v>
      </c>
      <c r="G853" t="s">
        <v>937</v>
      </c>
      <c r="H853" s="1">
        <v>44649</v>
      </c>
      <c r="I853" s="2"/>
    </row>
    <row r="854" spans="1:9" x14ac:dyDescent="0.35">
      <c r="A854" t="s">
        <v>884</v>
      </c>
      <c r="B854" t="s">
        <v>16</v>
      </c>
      <c r="C854" t="s">
        <v>26</v>
      </c>
      <c r="D854" t="s">
        <v>20</v>
      </c>
      <c r="E854">
        <v>14</v>
      </c>
      <c r="F854" t="s">
        <v>24</v>
      </c>
      <c r="G854" t="s">
        <v>936</v>
      </c>
      <c r="H854" s="1">
        <v>45392</v>
      </c>
      <c r="I854" s="2"/>
    </row>
    <row r="855" spans="1:9" x14ac:dyDescent="0.35">
      <c r="A855" t="s">
        <v>885</v>
      </c>
      <c r="B855" t="s">
        <v>21</v>
      </c>
      <c r="C855" t="s">
        <v>35</v>
      </c>
      <c r="D855" t="s">
        <v>33</v>
      </c>
      <c r="E855">
        <v>14</v>
      </c>
      <c r="F855" t="s">
        <v>37</v>
      </c>
      <c r="G855" t="s">
        <v>936</v>
      </c>
      <c r="H855" s="1">
        <v>43468</v>
      </c>
      <c r="I855" s="2"/>
    </row>
    <row r="856" spans="1:9" x14ac:dyDescent="0.35">
      <c r="A856" t="s">
        <v>886</v>
      </c>
      <c r="B856" t="s">
        <v>21</v>
      </c>
      <c r="C856" t="s">
        <v>29</v>
      </c>
      <c r="D856" t="s">
        <v>20</v>
      </c>
      <c r="E856">
        <v>15</v>
      </c>
      <c r="F856" t="s">
        <v>17</v>
      </c>
      <c r="G856" t="s">
        <v>936</v>
      </c>
      <c r="H856" s="1">
        <v>43594</v>
      </c>
      <c r="I856" s="2"/>
    </row>
    <row r="857" spans="1:9" x14ac:dyDescent="0.35">
      <c r="A857" t="s">
        <v>887</v>
      </c>
      <c r="B857" t="s">
        <v>21</v>
      </c>
      <c r="C857" t="s">
        <v>35</v>
      </c>
      <c r="D857" t="s">
        <v>43</v>
      </c>
      <c r="E857">
        <v>13</v>
      </c>
      <c r="F857" t="s">
        <v>22</v>
      </c>
      <c r="G857" t="s">
        <v>937</v>
      </c>
      <c r="H857" s="1">
        <v>43512</v>
      </c>
      <c r="I857" s="2"/>
    </row>
    <row r="858" spans="1:9" x14ac:dyDescent="0.35">
      <c r="A858" t="s">
        <v>888</v>
      </c>
      <c r="B858" t="s">
        <v>16</v>
      </c>
      <c r="C858" t="s">
        <v>35</v>
      </c>
      <c r="D858" t="s">
        <v>33</v>
      </c>
      <c r="E858">
        <v>1</v>
      </c>
      <c r="F858" t="s">
        <v>24</v>
      </c>
      <c r="G858" t="s">
        <v>936</v>
      </c>
      <c r="H858" s="1">
        <v>45031</v>
      </c>
      <c r="I858" s="2"/>
    </row>
    <row r="859" spans="1:9" x14ac:dyDescent="0.35">
      <c r="A859" t="s">
        <v>889</v>
      </c>
      <c r="B859" t="s">
        <v>16</v>
      </c>
      <c r="C859" t="s">
        <v>26</v>
      </c>
      <c r="D859" t="s">
        <v>20</v>
      </c>
      <c r="E859">
        <v>2</v>
      </c>
      <c r="F859" t="s">
        <v>37</v>
      </c>
      <c r="G859" t="s">
        <v>936</v>
      </c>
      <c r="H859" s="1">
        <v>43355</v>
      </c>
      <c r="I859" s="2"/>
    </row>
    <row r="860" spans="1:9" x14ac:dyDescent="0.35">
      <c r="A860" t="s">
        <v>890</v>
      </c>
      <c r="B860" t="s">
        <v>21</v>
      </c>
      <c r="C860" t="s">
        <v>14</v>
      </c>
      <c r="D860" t="s">
        <v>43</v>
      </c>
      <c r="E860">
        <v>3</v>
      </c>
      <c r="F860" t="s">
        <v>24</v>
      </c>
      <c r="G860" t="s">
        <v>936</v>
      </c>
      <c r="H860" s="1">
        <v>45337</v>
      </c>
      <c r="I860" s="2"/>
    </row>
    <row r="861" spans="1:9" x14ac:dyDescent="0.35">
      <c r="A861" t="s">
        <v>891</v>
      </c>
      <c r="B861" t="s">
        <v>16</v>
      </c>
      <c r="C861" t="s">
        <v>26</v>
      </c>
      <c r="D861" t="s">
        <v>43</v>
      </c>
      <c r="E861">
        <v>8</v>
      </c>
      <c r="F861" t="s">
        <v>31</v>
      </c>
      <c r="G861" t="s">
        <v>937</v>
      </c>
      <c r="H861" s="1">
        <v>44202</v>
      </c>
      <c r="I861" s="2"/>
    </row>
    <row r="862" spans="1:9" x14ac:dyDescent="0.35">
      <c r="A862" t="s">
        <v>892</v>
      </c>
      <c r="B862" t="s">
        <v>16</v>
      </c>
      <c r="C862" t="s">
        <v>29</v>
      </c>
      <c r="D862" t="s">
        <v>43</v>
      </c>
      <c r="E862">
        <v>7</v>
      </c>
      <c r="F862" t="s">
        <v>37</v>
      </c>
      <c r="G862" t="s">
        <v>936</v>
      </c>
      <c r="H862" s="1">
        <v>42415</v>
      </c>
      <c r="I862" s="2"/>
    </row>
    <row r="863" spans="1:9" x14ac:dyDescent="0.35">
      <c r="A863" t="s">
        <v>893</v>
      </c>
      <c r="B863" t="s">
        <v>21</v>
      </c>
      <c r="C863" t="s">
        <v>29</v>
      </c>
      <c r="D863" t="s">
        <v>15</v>
      </c>
      <c r="E863">
        <v>5</v>
      </c>
      <c r="F863" t="s">
        <v>37</v>
      </c>
      <c r="G863" t="s">
        <v>936</v>
      </c>
      <c r="H863" s="1">
        <v>45293</v>
      </c>
      <c r="I863" s="2"/>
    </row>
    <row r="864" spans="1:9" x14ac:dyDescent="0.35">
      <c r="A864" t="s">
        <v>894</v>
      </c>
      <c r="B864" t="s">
        <v>16</v>
      </c>
      <c r="C864" t="s">
        <v>29</v>
      </c>
      <c r="D864" t="s">
        <v>43</v>
      </c>
      <c r="E864">
        <v>0</v>
      </c>
      <c r="F864" t="s">
        <v>31</v>
      </c>
      <c r="G864" t="s">
        <v>937</v>
      </c>
      <c r="H864" s="1">
        <v>44556</v>
      </c>
      <c r="I864" s="2"/>
    </row>
    <row r="865" spans="1:9" x14ac:dyDescent="0.35">
      <c r="A865" t="s">
        <v>895</v>
      </c>
      <c r="B865" t="s">
        <v>21</v>
      </c>
      <c r="C865" t="s">
        <v>14</v>
      </c>
      <c r="D865" t="s">
        <v>20</v>
      </c>
      <c r="E865">
        <v>13</v>
      </c>
      <c r="F865" t="s">
        <v>37</v>
      </c>
      <c r="G865" t="s">
        <v>936</v>
      </c>
      <c r="H865" s="1">
        <v>42996</v>
      </c>
      <c r="I865" s="2"/>
    </row>
    <row r="866" spans="1:9" x14ac:dyDescent="0.35">
      <c r="A866" t="s">
        <v>896</v>
      </c>
      <c r="B866" t="s">
        <v>16</v>
      </c>
      <c r="C866" t="s">
        <v>29</v>
      </c>
      <c r="D866" t="s">
        <v>15</v>
      </c>
      <c r="E866">
        <v>10</v>
      </c>
      <c r="F866" t="s">
        <v>37</v>
      </c>
      <c r="G866" t="s">
        <v>936</v>
      </c>
      <c r="H866" s="1">
        <v>43322</v>
      </c>
      <c r="I866" s="2"/>
    </row>
    <row r="867" spans="1:9" x14ac:dyDescent="0.35">
      <c r="A867" t="s">
        <v>897</v>
      </c>
      <c r="B867" t="s">
        <v>16</v>
      </c>
      <c r="C867" t="s">
        <v>29</v>
      </c>
      <c r="D867" t="s">
        <v>33</v>
      </c>
      <c r="E867">
        <v>0</v>
      </c>
      <c r="F867" t="s">
        <v>22</v>
      </c>
      <c r="G867" t="s">
        <v>937</v>
      </c>
      <c r="H867" s="1">
        <v>43794</v>
      </c>
      <c r="I867" s="2"/>
    </row>
    <row r="868" spans="1:9" x14ac:dyDescent="0.35">
      <c r="A868" t="s">
        <v>898</v>
      </c>
      <c r="B868" t="s">
        <v>16</v>
      </c>
      <c r="C868" t="s">
        <v>14</v>
      </c>
      <c r="D868" t="s">
        <v>43</v>
      </c>
      <c r="E868">
        <v>10</v>
      </c>
      <c r="F868" t="s">
        <v>44</v>
      </c>
      <c r="G868" t="s">
        <v>937</v>
      </c>
      <c r="H868" s="1">
        <v>42869</v>
      </c>
      <c r="I868" s="2"/>
    </row>
    <row r="869" spans="1:9" x14ac:dyDescent="0.35">
      <c r="A869" t="s">
        <v>899</v>
      </c>
      <c r="B869" t="s">
        <v>16</v>
      </c>
      <c r="C869" t="s">
        <v>35</v>
      </c>
      <c r="D869" t="s">
        <v>43</v>
      </c>
      <c r="E869">
        <v>1</v>
      </c>
      <c r="F869" t="s">
        <v>17</v>
      </c>
      <c r="G869" t="s">
        <v>936</v>
      </c>
      <c r="H869" s="1">
        <v>42318</v>
      </c>
      <c r="I869" s="2"/>
    </row>
    <row r="870" spans="1:9" x14ac:dyDescent="0.35">
      <c r="A870" t="s">
        <v>900</v>
      </c>
      <c r="B870" t="s">
        <v>16</v>
      </c>
      <c r="C870" t="s">
        <v>19</v>
      </c>
      <c r="D870" t="s">
        <v>20</v>
      </c>
      <c r="E870">
        <v>13</v>
      </c>
      <c r="F870" t="s">
        <v>37</v>
      </c>
      <c r="G870" t="s">
        <v>936</v>
      </c>
      <c r="H870" s="1">
        <v>44923</v>
      </c>
      <c r="I870" s="2"/>
    </row>
    <row r="871" spans="1:9" x14ac:dyDescent="0.35">
      <c r="A871" t="s">
        <v>901</v>
      </c>
      <c r="B871" t="s">
        <v>16</v>
      </c>
      <c r="C871" t="s">
        <v>29</v>
      </c>
      <c r="D871" t="s">
        <v>20</v>
      </c>
      <c r="E871">
        <v>5</v>
      </c>
      <c r="F871" t="s">
        <v>17</v>
      </c>
      <c r="G871" t="s">
        <v>936</v>
      </c>
      <c r="H871" s="1">
        <v>45483</v>
      </c>
      <c r="I871" s="2"/>
    </row>
    <row r="872" spans="1:9" x14ac:dyDescent="0.35">
      <c r="A872" t="s">
        <v>902</v>
      </c>
      <c r="B872" t="s">
        <v>16</v>
      </c>
      <c r="C872" t="s">
        <v>29</v>
      </c>
      <c r="D872" t="s">
        <v>20</v>
      </c>
      <c r="E872">
        <v>1</v>
      </c>
      <c r="F872" t="s">
        <v>37</v>
      </c>
      <c r="G872" t="s">
        <v>936</v>
      </c>
      <c r="H872" s="1">
        <v>43070</v>
      </c>
      <c r="I872" s="2"/>
    </row>
    <row r="873" spans="1:9" x14ac:dyDescent="0.35">
      <c r="A873" t="s">
        <v>903</v>
      </c>
      <c r="B873" t="s">
        <v>16</v>
      </c>
      <c r="C873" t="s">
        <v>26</v>
      </c>
      <c r="D873" t="s">
        <v>20</v>
      </c>
      <c r="E873">
        <v>14</v>
      </c>
      <c r="F873" t="s">
        <v>24</v>
      </c>
      <c r="G873" t="s">
        <v>936</v>
      </c>
      <c r="H873" s="1">
        <v>42205</v>
      </c>
      <c r="I873" s="2"/>
    </row>
    <row r="874" spans="1:9" x14ac:dyDescent="0.35">
      <c r="A874" t="s">
        <v>904</v>
      </c>
      <c r="B874" t="s">
        <v>21</v>
      </c>
      <c r="C874" t="s">
        <v>19</v>
      </c>
      <c r="D874" t="s">
        <v>33</v>
      </c>
      <c r="E874">
        <v>11</v>
      </c>
      <c r="F874" t="s">
        <v>44</v>
      </c>
      <c r="G874" t="s">
        <v>937</v>
      </c>
      <c r="H874" s="1">
        <v>45504</v>
      </c>
      <c r="I874" s="2"/>
    </row>
    <row r="875" spans="1:9" x14ac:dyDescent="0.35">
      <c r="A875" t="s">
        <v>905</v>
      </c>
      <c r="B875" t="s">
        <v>21</v>
      </c>
      <c r="C875" t="s">
        <v>26</v>
      </c>
      <c r="D875" t="s">
        <v>33</v>
      </c>
      <c r="E875">
        <v>4</v>
      </c>
      <c r="F875" t="s">
        <v>22</v>
      </c>
      <c r="G875" t="s">
        <v>937</v>
      </c>
      <c r="H875" s="1">
        <v>44313</v>
      </c>
      <c r="I875" s="2"/>
    </row>
    <row r="876" spans="1:9" x14ac:dyDescent="0.35">
      <c r="A876" t="s">
        <v>906</v>
      </c>
      <c r="B876" t="s">
        <v>21</v>
      </c>
      <c r="C876" t="s">
        <v>14</v>
      </c>
      <c r="D876" t="s">
        <v>43</v>
      </c>
      <c r="E876">
        <v>15</v>
      </c>
      <c r="F876" t="s">
        <v>24</v>
      </c>
      <c r="G876" t="s">
        <v>936</v>
      </c>
      <c r="H876" s="1">
        <v>44603</v>
      </c>
      <c r="I876" s="2"/>
    </row>
    <row r="877" spans="1:9" x14ac:dyDescent="0.35">
      <c r="A877" t="s">
        <v>907</v>
      </c>
      <c r="B877" t="s">
        <v>21</v>
      </c>
      <c r="C877" t="s">
        <v>35</v>
      </c>
      <c r="D877" t="s">
        <v>15</v>
      </c>
      <c r="E877">
        <v>8</v>
      </c>
      <c r="F877" t="s">
        <v>22</v>
      </c>
      <c r="G877" t="s">
        <v>937</v>
      </c>
      <c r="H877" s="1">
        <v>44638</v>
      </c>
      <c r="I877" s="2"/>
    </row>
    <row r="878" spans="1:9" x14ac:dyDescent="0.35">
      <c r="A878" t="s">
        <v>908</v>
      </c>
      <c r="B878" t="s">
        <v>16</v>
      </c>
      <c r="C878" t="s">
        <v>29</v>
      </c>
      <c r="D878" t="s">
        <v>33</v>
      </c>
      <c r="E878">
        <v>15</v>
      </c>
      <c r="F878" t="s">
        <v>24</v>
      </c>
      <c r="G878" t="s">
        <v>936</v>
      </c>
      <c r="H878" s="1">
        <v>42611</v>
      </c>
      <c r="I878" s="2"/>
    </row>
    <row r="879" spans="1:9" x14ac:dyDescent="0.35">
      <c r="A879" t="s">
        <v>909</v>
      </c>
      <c r="B879" t="s">
        <v>16</v>
      </c>
      <c r="C879" t="s">
        <v>14</v>
      </c>
      <c r="D879" t="s">
        <v>20</v>
      </c>
      <c r="E879">
        <v>15</v>
      </c>
      <c r="F879" t="s">
        <v>24</v>
      </c>
      <c r="G879" t="s">
        <v>936</v>
      </c>
      <c r="H879" s="1">
        <v>44134</v>
      </c>
      <c r="I879" s="2"/>
    </row>
    <row r="880" spans="1:9" x14ac:dyDescent="0.35">
      <c r="A880" t="s">
        <v>910</v>
      </c>
      <c r="B880" t="s">
        <v>16</v>
      </c>
      <c r="C880" t="s">
        <v>35</v>
      </c>
      <c r="D880" t="s">
        <v>15</v>
      </c>
      <c r="E880">
        <v>0</v>
      </c>
      <c r="F880" t="s">
        <v>22</v>
      </c>
      <c r="G880" t="s">
        <v>937</v>
      </c>
      <c r="H880" s="1">
        <v>42609</v>
      </c>
      <c r="I880" s="2"/>
    </row>
    <row r="881" spans="1:9" x14ac:dyDescent="0.35">
      <c r="A881" t="s">
        <v>911</v>
      </c>
      <c r="B881" t="s">
        <v>21</v>
      </c>
      <c r="C881" t="s">
        <v>26</v>
      </c>
      <c r="D881" t="s">
        <v>33</v>
      </c>
      <c r="E881">
        <v>3</v>
      </c>
      <c r="F881" t="s">
        <v>70</v>
      </c>
      <c r="G881" t="s">
        <v>937</v>
      </c>
      <c r="H881" s="1">
        <v>44091</v>
      </c>
      <c r="I881" s="2"/>
    </row>
    <row r="882" spans="1:9" x14ac:dyDescent="0.35">
      <c r="A882" t="s">
        <v>912</v>
      </c>
      <c r="B882" t="s">
        <v>16</v>
      </c>
      <c r="C882" t="s">
        <v>14</v>
      </c>
      <c r="D882" t="s">
        <v>43</v>
      </c>
      <c r="E882">
        <v>4</v>
      </c>
      <c r="F882" t="s">
        <v>27</v>
      </c>
      <c r="G882" t="s">
        <v>936</v>
      </c>
      <c r="H882" s="1">
        <v>43164</v>
      </c>
      <c r="I882" s="2"/>
    </row>
    <row r="883" spans="1:9" x14ac:dyDescent="0.35">
      <c r="A883" t="s">
        <v>913</v>
      </c>
      <c r="B883" t="s">
        <v>21</v>
      </c>
      <c r="C883" t="s">
        <v>29</v>
      </c>
      <c r="D883" t="s">
        <v>33</v>
      </c>
      <c r="E883">
        <v>8</v>
      </c>
      <c r="F883" t="s">
        <v>31</v>
      </c>
      <c r="G883" t="s">
        <v>937</v>
      </c>
      <c r="H883" s="1">
        <v>43692</v>
      </c>
      <c r="I883" s="2"/>
    </row>
    <row r="884" spans="1:9" x14ac:dyDescent="0.35">
      <c r="A884" t="s">
        <v>914</v>
      </c>
      <c r="B884" t="s">
        <v>21</v>
      </c>
      <c r="C884" t="s">
        <v>19</v>
      </c>
      <c r="D884" t="s">
        <v>15</v>
      </c>
      <c r="E884">
        <v>1</v>
      </c>
      <c r="F884" t="s">
        <v>24</v>
      </c>
      <c r="G884" t="s">
        <v>936</v>
      </c>
      <c r="H884" s="1">
        <v>43181</v>
      </c>
      <c r="I884" s="2"/>
    </row>
    <row r="885" spans="1:9" x14ac:dyDescent="0.35">
      <c r="A885" t="s">
        <v>915</v>
      </c>
      <c r="B885" t="s">
        <v>21</v>
      </c>
      <c r="C885" t="s">
        <v>29</v>
      </c>
      <c r="D885" t="s">
        <v>43</v>
      </c>
      <c r="E885">
        <v>8</v>
      </c>
      <c r="F885" t="s">
        <v>44</v>
      </c>
      <c r="G885" t="s">
        <v>937</v>
      </c>
      <c r="H885" s="1">
        <v>44282</v>
      </c>
      <c r="I885" s="2"/>
    </row>
    <row r="886" spans="1:9" x14ac:dyDescent="0.35">
      <c r="A886" t="s">
        <v>916</v>
      </c>
      <c r="B886" t="s">
        <v>21</v>
      </c>
      <c r="C886" t="s">
        <v>14</v>
      </c>
      <c r="D886" t="s">
        <v>33</v>
      </c>
      <c r="E886">
        <v>13</v>
      </c>
      <c r="F886" t="s">
        <v>22</v>
      </c>
      <c r="G886" t="s">
        <v>937</v>
      </c>
      <c r="H886" s="1">
        <v>45334</v>
      </c>
      <c r="I886" s="2"/>
    </row>
    <row r="887" spans="1:9" x14ac:dyDescent="0.35">
      <c r="A887" t="s">
        <v>917</v>
      </c>
      <c r="B887" t="s">
        <v>16</v>
      </c>
      <c r="C887" t="s">
        <v>19</v>
      </c>
      <c r="D887" t="s">
        <v>43</v>
      </c>
      <c r="E887">
        <v>1</v>
      </c>
      <c r="F887" t="s">
        <v>37</v>
      </c>
      <c r="G887" t="s">
        <v>936</v>
      </c>
      <c r="H887" s="1">
        <v>43043</v>
      </c>
      <c r="I887" s="2"/>
    </row>
    <row r="888" spans="1:9" x14ac:dyDescent="0.35">
      <c r="A888" t="s">
        <v>918</v>
      </c>
      <c r="B888" t="s">
        <v>21</v>
      </c>
      <c r="C888" t="s">
        <v>35</v>
      </c>
      <c r="D888" t="s">
        <v>43</v>
      </c>
      <c r="E888">
        <v>3</v>
      </c>
      <c r="F888" t="s">
        <v>37</v>
      </c>
      <c r="G888" t="s">
        <v>936</v>
      </c>
      <c r="H888" s="1">
        <v>45004</v>
      </c>
      <c r="I888" s="2"/>
    </row>
    <row r="889" spans="1:9" x14ac:dyDescent="0.35">
      <c r="A889" t="s">
        <v>919</v>
      </c>
      <c r="B889" t="s">
        <v>21</v>
      </c>
      <c r="C889" t="s">
        <v>26</v>
      </c>
      <c r="D889" t="s">
        <v>33</v>
      </c>
      <c r="E889">
        <v>8</v>
      </c>
      <c r="F889" t="s">
        <v>27</v>
      </c>
      <c r="G889" t="s">
        <v>936</v>
      </c>
      <c r="H889" s="1">
        <v>44699</v>
      </c>
      <c r="I889" s="2"/>
    </row>
    <row r="890" spans="1:9" x14ac:dyDescent="0.35">
      <c r="A890" t="s">
        <v>920</v>
      </c>
      <c r="B890" t="s">
        <v>21</v>
      </c>
      <c r="C890" t="s">
        <v>14</v>
      </c>
      <c r="D890" t="s">
        <v>33</v>
      </c>
      <c r="E890">
        <v>2</v>
      </c>
      <c r="F890" t="s">
        <v>44</v>
      </c>
      <c r="G890" t="s">
        <v>937</v>
      </c>
      <c r="H890" s="1">
        <v>44673</v>
      </c>
      <c r="I890" s="2"/>
    </row>
    <row r="891" spans="1:9" x14ac:dyDescent="0.35">
      <c r="A891" t="s">
        <v>921</v>
      </c>
      <c r="B891" t="s">
        <v>21</v>
      </c>
      <c r="C891" t="s">
        <v>29</v>
      </c>
      <c r="D891" t="s">
        <v>43</v>
      </c>
      <c r="E891">
        <v>3</v>
      </c>
      <c r="F891" t="s">
        <v>44</v>
      </c>
      <c r="G891" t="s">
        <v>937</v>
      </c>
      <c r="H891" s="1">
        <v>44471</v>
      </c>
      <c r="I891" s="2"/>
    </row>
    <row r="892" spans="1:9" x14ac:dyDescent="0.35">
      <c r="A892" t="s">
        <v>922</v>
      </c>
      <c r="B892" t="s">
        <v>16</v>
      </c>
      <c r="C892" t="s">
        <v>26</v>
      </c>
      <c r="D892" t="s">
        <v>15</v>
      </c>
      <c r="E892">
        <v>10</v>
      </c>
      <c r="F892" t="s">
        <v>22</v>
      </c>
      <c r="G892" t="s">
        <v>937</v>
      </c>
      <c r="H892" s="1">
        <v>43662</v>
      </c>
      <c r="I892" s="2"/>
    </row>
    <row r="893" spans="1:9" x14ac:dyDescent="0.35">
      <c r="A893" t="s">
        <v>923</v>
      </c>
      <c r="B893" t="s">
        <v>21</v>
      </c>
      <c r="C893" t="s">
        <v>19</v>
      </c>
      <c r="D893" t="s">
        <v>43</v>
      </c>
      <c r="E893">
        <v>4</v>
      </c>
      <c r="F893" t="s">
        <v>24</v>
      </c>
      <c r="G893" t="s">
        <v>936</v>
      </c>
      <c r="H893" s="1">
        <v>42570</v>
      </c>
      <c r="I893" s="2"/>
    </row>
    <row r="894" spans="1:9" x14ac:dyDescent="0.35">
      <c r="A894" t="s">
        <v>924</v>
      </c>
      <c r="B894" t="s">
        <v>16</v>
      </c>
      <c r="C894" t="s">
        <v>14</v>
      </c>
      <c r="D894" t="s">
        <v>33</v>
      </c>
      <c r="E894">
        <v>11</v>
      </c>
      <c r="F894" t="s">
        <v>70</v>
      </c>
      <c r="G894" t="s">
        <v>937</v>
      </c>
      <c r="H894" s="1">
        <v>43502</v>
      </c>
      <c r="I894" s="2"/>
    </row>
    <row r="895" spans="1:9" x14ac:dyDescent="0.35">
      <c r="A895" t="s">
        <v>925</v>
      </c>
      <c r="B895" t="s">
        <v>16</v>
      </c>
      <c r="C895" t="s">
        <v>35</v>
      </c>
      <c r="D895" t="s">
        <v>15</v>
      </c>
      <c r="E895">
        <v>8</v>
      </c>
      <c r="F895" t="s">
        <v>24</v>
      </c>
      <c r="G895" t="s">
        <v>936</v>
      </c>
      <c r="H895" s="1">
        <v>44474</v>
      </c>
      <c r="I895" s="2"/>
    </row>
    <row r="896" spans="1:9" x14ac:dyDescent="0.35">
      <c r="A896" t="s">
        <v>926</v>
      </c>
      <c r="B896" t="s">
        <v>16</v>
      </c>
      <c r="C896" t="s">
        <v>19</v>
      </c>
      <c r="D896" t="s">
        <v>15</v>
      </c>
      <c r="E896">
        <v>2</v>
      </c>
      <c r="F896" t="s">
        <v>70</v>
      </c>
      <c r="G896" t="s">
        <v>937</v>
      </c>
      <c r="H896" s="1">
        <v>42142</v>
      </c>
      <c r="I896" s="2"/>
    </row>
    <row r="897" spans="1:9" x14ac:dyDescent="0.35">
      <c r="A897" t="s">
        <v>927</v>
      </c>
      <c r="B897" t="s">
        <v>21</v>
      </c>
      <c r="C897" t="s">
        <v>19</v>
      </c>
      <c r="D897" t="s">
        <v>33</v>
      </c>
      <c r="E897">
        <v>9</v>
      </c>
      <c r="F897" t="s">
        <v>31</v>
      </c>
      <c r="G897" t="s">
        <v>937</v>
      </c>
      <c r="H897" s="1">
        <v>42078</v>
      </c>
      <c r="I897" s="2"/>
    </row>
    <row r="898" spans="1:9" x14ac:dyDescent="0.35">
      <c r="A898" t="s">
        <v>928</v>
      </c>
      <c r="B898" t="s">
        <v>21</v>
      </c>
      <c r="C898" t="s">
        <v>14</v>
      </c>
      <c r="D898" t="s">
        <v>15</v>
      </c>
      <c r="E898">
        <v>0</v>
      </c>
      <c r="F898" t="s">
        <v>24</v>
      </c>
      <c r="G898" t="s">
        <v>936</v>
      </c>
      <c r="H898" s="1">
        <v>42037</v>
      </c>
      <c r="I898" s="2"/>
    </row>
    <row r="899" spans="1:9" x14ac:dyDescent="0.35">
      <c r="A899" t="s">
        <v>929</v>
      </c>
      <c r="B899" t="s">
        <v>16</v>
      </c>
      <c r="C899" t="s">
        <v>26</v>
      </c>
      <c r="D899" t="s">
        <v>33</v>
      </c>
      <c r="E899">
        <v>8</v>
      </c>
      <c r="F899" t="s">
        <v>27</v>
      </c>
      <c r="G899" t="s">
        <v>936</v>
      </c>
      <c r="H899" s="1">
        <v>44412</v>
      </c>
      <c r="I899" s="2"/>
    </row>
    <row r="900" spans="1:9" x14ac:dyDescent="0.35">
      <c r="A900" t="s">
        <v>930</v>
      </c>
      <c r="B900" t="s">
        <v>21</v>
      </c>
      <c r="C900" t="s">
        <v>26</v>
      </c>
      <c r="D900" t="s">
        <v>15</v>
      </c>
      <c r="E900">
        <v>1</v>
      </c>
      <c r="F900" t="s">
        <v>31</v>
      </c>
      <c r="G900" t="s">
        <v>937</v>
      </c>
      <c r="H900" s="1">
        <v>42497</v>
      </c>
      <c r="I900" s="2"/>
    </row>
    <row r="901" spans="1:9" x14ac:dyDescent="0.35">
      <c r="A901" t="s">
        <v>931</v>
      </c>
      <c r="B901" t="s">
        <v>21</v>
      </c>
      <c r="C901" t="s">
        <v>19</v>
      </c>
      <c r="D901" t="s">
        <v>33</v>
      </c>
      <c r="E901">
        <v>13</v>
      </c>
      <c r="F901" t="s">
        <v>37</v>
      </c>
      <c r="G901" t="s">
        <v>936</v>
      </c>
      <c r="H901" s="1">
        <v>42577</v>
      </c>
      <c r="I90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1"/>
  <sheetViews>
    <sheetView topLeftCell="F130" zoomScale="111" zoomScaleNormal="156" workbookViewId="0">
      <selection activeCell="N143" sqref="N143"/>
    </sheetView>
  </sheetViews>
  <sheetFormatPr defaultRowHeight="14.5" x14ac:dyDescent="0.35"/>
  <cols>
    <col min="10" max="10" width="15" bestFit="1" customWidth="1"/>
    <col min="11" max="11" width="16.26953125" customWidth="1"/>
    <col min="12" max="12" width="27.1796875" bestFit="1" customWidth="1"/>
    <col min="13" max="13" width="19.453125" bestFit="1" customWidth="1"/>
    <col min="14" max="14" width="12.90625" bestFit="1" customWidth="1"/>
  </cols>
  <sheetData>
    <row r="1" spans="1:14" s="3" customFormat="1" ht="19.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994</v>
      </c>
      <c r="L1" s="3" t="s">
        <v>10</v>
      </c>
      <c r="M1" s="3" t="s">
        <v>11</v>
      </c>
      <c r="N1" s="3" t="s">
        <v>12</v>
      </c>
    </row>
    <row r="2" spans="1:14" x14ac:dyDescent="0.35">
      <c r="A2" t="s">
        <v>13</v>
      </c>
      <c r="B2" t="s">
        <v>14</v>
      </c>
      <c r="C2" t="s">
        <v>15</v>
      </c>
      <c r="D2" t="s">
        <v>16</v>
      </c>
      <c r="E2">
        <v>7</v>
      </c>
      <c r="F2" t="s">
        <v>17</v>
      </c>
      <c r="G2">
        <f>Earnings!G2</f>
        <v>539814.46</v>
      </c>
      <c r="H2">
        <f>Deductions!B2+Deductions!C2+Deductions!D2+Tax!D2</f>
        <v>4158.8666666666668</v>
      </c>
      <c r="I2">
        <f t="shared" ref="I2:I65" si="0">G2-H2+J2</f>
        <v>535655.59333333327</v>
      </c>
      <c r="J2">
        <f>Overtime!D2</f>
        <v>0</v>
      </c>
      <c r="K2">
        <f t="shared" ref="K2:K65" si="1">IF(C2="Junior",0.06,IF(C2="Mid",0.08,IF(C2="Senior",0.1,IF(C2="Manager",0.12,0))))</f>
        <v>0.06</v>
      </c>
      <c r="L2">
        <f>IF(Performance!E2&lt;=1.5,0.01,IF(Performance!E2&lt;=2,0.02,IF(Performance!E2&lt;=3,0.03,"")))</f>
        <v>0.01</v>
      </c>
      <c r="M2">
        <f t="shared" ref="M2:M65" si="2">K2+L2</f>
        <v>6.9999999999999993E-2</v>
      </c>
      <c r="N2">
        <f>Earnings!B2*(1+M2)</f>
        <v>606724.24</v>
      </c>
    </row>
    <row r="3" spans="1:14" x14ac:dyDescent="0.35">
      <c r="A3" t="s">
        <v>18</v>
      </c>
      <c r="B3" t="s">
        <v>19</v>
      </c>
      <c r="C3" t="s">
        <v>20</v>
      </c>
      <c r="D3" t="s">
        <v>21</v>
      </c>
      <c r="E3">
        <v>19.600000000000001</v>
      </c>
      <c r="F3" t="s">
        <v>22</v>
      </c>
      <c r="G3">
        <f>Earnings!G3</f>
        <v>1295462.74</v>
      </c>
      <c r="H3">
        <f>Deductions!B3+Deductions!C3+Deductions!D3+Tax!D3</f>
        <v>20474.504749999996</v>
      </c>
      <c r="I3">
        <f t="shared" si="0"/>
        <v>1560752.0772499999</v>
      </c>
      <c r="J3">
        <f>Overtime!D3</f>
        <v>285763.842</v>
      </c>
      <c r="K3">
        <f t="shared" si="1"/>
        <v>0.1</v>
      </c>
      <c r="L3">
        <f>IF(Performance!E3&lt;=1.5,0.01,IF(Performance!E3&lt;=2,0.02,IF(Performance!E3&lt;=3,0.03,"")))</f>
        <v>0.03</v>
      </c>
      <c r="M3">
        <f t="shared" si="2"/>
        <v>0.13</v>
      </c>
      <c r="N3">
        <f>Earnings!B3*(1+M3)</f>
        <v>1537681.6146999998</v>
      </c>
    </row>
    <row r="4" spans="1:14" x14ac:dyDescent="0.35">
      <c r="A4" t="s">
        <v>23</v>
      </c>
      <c r="B4" t="s">
        <v>14</v>
      </c>
      <c r="C4" t="s">
        <v>15</v>
      </c>
      <c r="D4" t="s">
        <v>16</v>
      </c>
      <c r="E4">
        <v>8</v>
      </c>
      <c r="F4" t="s">
        <v>24</v>
      </c>
      <c r="G4">
        <f>Earnings!G4</f>
        <v>616474.26</v>
      </c>
      <c r="H4">
        <f>Deductions!B4+Deductions!C4+Deductions!D4+Tax!D4</f>
        <v>5500.9500000000007</v>
      </c>
      <c r="I4">
        <f t="shared" si="0"/>
        <v>630400.02</v>
      </c>
      <c r="J4">
        <f>Overtime!D4</f>
        <v>19426.71</v>
      </c>
      <c r="K4">
        <f t="shared" si="1"/>
        <v>0.06</v>
      </c>
      <c r="L4">
        <f>IF(Performance!E4&lt;=1.5,0.01,IF(Performance!E4&lt;=2,0.02,IF(Performance!E4&lt;=3,0.03,"")))</f>
        <v>0.01</v>
      </c>
      <c r="M4">
        <f t="shared" si="2"/>
        <v>6.9999999999999993E-2</v>
      </c>
      <c r="N4">
        <f>Earnings!B4*(1+M4)</f>
        <v>692885.99</v>
      </c>
    </row>
    <row r="5" spans="1:14" x14ac:dyDescent="0.35">
      <c r="A5" t="s">
        <v>25</v>
      </c>
      <c r="B5" t="s">
        <v>26</v>
      </c>
      <c r="C5" t="s">
        <v>15</v>
      </c>
      <c r="D5" t="s">
        <v>21</v>
      </c>
      <c r="E5">
        <v>11</v>
      </c>
      <c r="F5" t="s">
        <v>27</v>
      </c>
      <c r="G5">
        <f>Earnings!G5</f>
        <v>672030.7</v>
      </c>
      <c r="H5">
        <f>Deductions!B5+Deductions!C5+Deductions!D5+Tax!D5</f>
        <v>6473.5766666666668</v>
      </c>
      <c r="I5">
        <f t="shared" si="0"/>
        <v>665557.12333333329</v>
      </c>
      <c r="J5">
        <f>Overtime!D5</f>
        <v>0</v>
      </c>
      <c r="K5">
        <f t="shared" si="1"/>
        <v>0.06</v>
      </c>
      <c r="L5">
        <f>IF(Performance!E5&lt;=1.5,0.01,IF(Performance!E5&lt;=2,0.02,IF(Performance!E5&lt;=3,0.03,"")))</f>
        <v>0.01</v>
      </c>
      <c r="M5">
        <f t="shared" si="2"/>
        <v>6.9999999999999993E-2</v>
      </c>
      <c r="N5">
        <f>Earnings!B5*(1+M5)</f>
        <v>755328.62199999997</v>
      </c>
    </row>
    <row r="6" spans="1:14" x14ac:dyDescent="0.35">
      <c r="A6" t="s">
        <v>28</v>
      </c>
      <c r="B6" t="s">
        <v>29</v>
      </c>
      <c r="C6" t="s">
        <v>15</v>
      </c>
      <c r="D6" t="s">
        <v>16</v>
      </c>
      <c r="E6">
        <v>5</v>
      </c>
      <c r="F6" t="s">
        <v>22</v>
      </c>
      <c r="G6">
        <f>Earnings!G6</f>
        <v>952611.18</v>
      </c>
      <c r="H6">
        <f>Deductions!B6+Deductions!C6+Deductions!D6+Tax!D6</f>
        <v>11391.050000000001</v>
      </c>
      <c r="I6">
        <f t="shared" si="0"/>
        <v>996255.44</v>
      </c>
      <c r="J6">
        <f>Overtime!D6</f>
        <v>55035.31</v>
      </c>
      <c r="K6">
        <f t="shared" si="1"/>
        <v>0.06</v>
      </c>
      <c r="L6">
        <f>IF(Performance!E6&lt;=1.5,0.01,IF(Performance!E6&lt;=2,0.02,IF(Performance!E6&lt;=3,0.03,"")))</f>
        <v>0.02</v>
      </c>
      <c r="M6">
        <f t="shared" si="2"/>
        <v>0.08</v>
      </c>
      <c r="N6">
        <f>Earnings!B6*(1+M6)</f>
        <v>1080693.3600000001</v>
      </c>
    </row>
    <row r="7" spans="1:14" x14ac:dyDescent="0.35">
      <c r="A7" t="s">
        <v>30</v>
      </c>
      <c r="B7" t="s">
        <v>19</v>
      </c>
      <c r="C7" t="s">
        <v>15</v>
      </c>
      <c r="D7" t="s">
        <v>21</v>
      </c>
      <c r="E7">
        <v>2</v>
      </c>
      <c r="F7" t="s">
        <v>31</v>
      </c>
      <c r="G7">
        <f>Earnings!G7</f>
        <v>489313.86</v>
      </c>
      <c r="H7">
        <f>Deductions!B7+Deductions!C7+Deductions!D7+Tax!D7</f>
        <v>3274.7525000000005</v>
      </c>
      <c r="I7">
        <f t="shared" si="0"/>
        <v>486039.10749999998</v>
      </c>
      <c r="J7">
        <f>Overtime!D7</f>
        <v>0</v>
      </c>
      <c r="K7">
        <f t="shared" si="1"/>
        <v>0.06</v>
      </c>
      <c r="L7">
        <f>IF(Performance!E7&lt;=1.5,0.01,IF(Performance!E7&lt;=2,0.02,IF(Performance!E7&lt;=3,0.03,"")))</f>
        <v>0.03</v>
      </c>
      <c r="M7">
        <f t="shared" si="2"/>
        <v>0.09</v>
      </c>
      <c r="N7">
        <f>Earnings!B7*(1+M7)</f>
        <v>560243.81350000005</v>
      </c>
    </row>
    <row r="8" spans="1:14" x14ac:dyDescent="0.35">
      <c r="A8" t="s">
        <v>32</v>
      </c>
      <c r="B8" t="s">
        <v>26</v>
      </c>
      <c r="C8" t="s">
        <v>33</v>
      </c>
      <c r="D8" t="s">
        <v>21</v>
      </c>
      <c r="E8">
        <v>13.2</v>
      </c>
      <c r="F8" t="s">
        <v>31</v>
      </c>
      <c r="G8">
        <f>Earnings!G8</f>
        <v>1030780.49</v>
      </c>
      <c r="H8">
        <f>Deductions!B8+Deductions!C8+Deductions!D8+Tax!D8</f>
        <v>13483.815500000002</v>
      </c>
      <c r="I8">
        <f t="shared" si="0"/>
        <v>1017296.6745</v>
      </c>
      <c r="J8">
        <f>Overtime!D8</f>
        <v>0</v>
      </c>
      <c r="K8">
        <f t="shared" si="1"/>
        <v>0.08</v>
      </c>
      <c r="L8">
        <f>IF(Performance!E8&lt;=1.5,0.01,IF(Performance!E8&lt;=2,0.02,IF(Performance!E8&lt;=3,0.03,"")))</f>
        <v>0.01</v>
      </c>
      <c r="M8">
        <f t="shared" si="2"/>
        <v>0.09</v>
      </c>
      <c r="N8">
        <f>Earnings!B8*(1+M8)</f>
        <v>1180200.3558000003</v>
      </c>
    </row>
    <row r="9" spans="1:14" x14ac:dyDescent="0.35">
      <c r="A9" t="s">
        <v>34</v>
      </c>
      <c r="B9" t="s">
        <v>35</v>
      </c>
      <c r="C9" t="s">
        <v>33</v>
      </c>
      <c r="D9" t="s">
        <v>16</v>
      </c>
      <c r="E9">
        <v>3.6</v>
      </c>
      <c r="F9" t="s">
        <v>24</v>
      </c>
      <c r="G9">
        <f>Earnings!G9</f>
        <v>1237062.69</v>
      </c>
      <c r="H9">
        <f>Deductions!B9+Deductions!C9+Deductions!D9+Tax!D9</f>
        <v>18900.890000000003</v>
      </c>
      <c r="I9">
        <f t="shared" si="0"/>
        <v>1358500.8448000001</v>
      </c>
      <c r="J9">
        <f>Overtime!D9</f>
        <v>140339.0448</v>
      </c>
      <c r="K9">
        <f t="shared" si="1"/>
        <v>0.08</v>
      </c>
      <c r="L9">
        <f>IF(Performance!E9&lt;=1.5,0.01,IF(Performance!E9&lt;=2,0.02,IF(Performance!E9&lt;=3,0.03,"")))</f>
        <v>0.01</v>
      </c>
      <c r="M9">
        <f t="shared" si="2"/>
        <v>0.09</v>
      </c>
      <c r="N9">
        <f>Earnings!B9*(1+M9)</f>
        <v>1416384.8040000002</v>
      </c>
    </row>
    <row r="10" spans="1:14" x14ac:dyDescent="0.35">
      <c r="A10" t="s">
        <v>36</v>
      </c>
      <c r="B10" t="s">
        <v>35</v>
      </c>
      <c r="C10" t="s">
        <v>20</v>
      </c>
      <c r="D10" t="s">
        <v>21</v>
      </c>
      <c r="E10">
        <v>14</v>
      </c>
      <c r="F10" t="s">
        <v>37</v>
      </c>
      <c r="G10">
        <f>Earnings!G10</f>
        <v>1634425.17</v>
      </c>
      <c r="H10">
        <f>Deductions!B10+Deductions!C10+Deductions!D10+Tax!D10</f>
        <v>29375.828999999998</v>
      </c>
      <c r="I10">
        <f t="shared" si="0"/>
        <v>1605049.341</v>
      </c>
      <c r="J10">
        <f>Overtime!D10</f>
        <v>0</v>
      </c>
      <c r="K10">
        <f t="shared" si="1"/>
        <v>0.1</v>
      </c>
      <c r="L10">
        <f>IF(Performance!E10&lt;=1.5,0.01,IF(Performance!E10&lt;=2,0.02,IF(Performance!E10&lt;=3,0.03,"")))</f>
        <v>0.01</v>
      </c>
      <c r="M10">
        <f t="shared" si="2"/>
        <v>0.11</v>
      </c>
      <c r="N10">
        <f>Earnings!B10*(1+M10)</f>
        <v>1905684.8076000002</v>
      </c>
    </row>
    <row r="11" spans="1:14" x14ac:dyDescent="0.35">
      <c r="A11" t="s">
        <v>38</v>
      </c>
      <c r="B11" t="s">
        <v>19</v>
      </c>
      <c r="C11" t="s">
        <v>33</v>
      </c>
      <c r="D11" t="s">
        <v>16</v>
      </c>
      <c r="E11">
        <v>7.2</v>
      </c>
      <c r="F11" t="s">
        <v>31</v>
      </c>
      <c r="G11">
        <f>Earnings!G11</f>
        <v>1022572.52</v>
      </c>
      <c r="H11">
        <f>Deductions!B11+Deductions!C11+Deductions!D11+Tax!D11</f>
        <v>13268.270000000002</v>
      </c>
      <c r="I11">
        <f t="shared" si="0"/>
        <v>1183313.4395999999</v>
      </c>
      <c r="J11">
        <f>Overtime!D11</f>
        <v>174009.18960000001</v>
      </c>
      <c r="K11">
        <f t="shared" si="1"/>
        <v>0.08</v>
      </c>
      <c r="L11">
        <f>IF(Performance!E11&lt;=1.5,0.01,IF(Performance!E11&lt;=2,0.02,IF(Performance!E11&lt;=3,0.03,"")))</f>
        <v>0.03</v>
      </c>
      <c r="M11">
        <f t="shared" si="2"/>
        <v>0.11</v>
      </c>
      <c r="N11">
        <f>Earnings!B11*(1+M11)</f>
        <v>1192285.1880000001</v>
      </c>
    </row>
    <row r="12" spans="1:14" x14ac:dyDescent="0.35">
      <c r="A12" t="s">
        <v>39</v>
      </c>
      <c r="B12" t="s">
        <v>26</v>
      </c>
      <c r="C12" t="s">
        <v>15</v>
      </c>
      <c r="D12" t="s">
        <v>21</v>
      </c>
      <c r="E12">
        <v>6</v>
      </c>
      <c r="F12" t="s">
        <v>27</v>
      </c>
      <c r="G12">
        <f>Earnings!G12</f>
        <v>535136.18999999994</v>
      </c>
      <c r="H12">
        <f>Deductions!B12+Deductions!C12+Deductions!D12+Tax!D12</f>
        <v>4076.9641666666662</v>
      </c>
      <c r="I12">
        <f t="shared" si="0"/>
        <v>531059.22583333333</v>
      </c>
      <c r="J12">
        <f>Overtime!D12</f>
        <v>0</v>
      </c>
      <c r="K12">
        <f t="shared" si="1"/>
        <v>0.06</v>
      </c>
      <c r="L12">
        <f>IF(Performance!E12&lt;=1.5,0.01,IF(Performance!E12&lt;=2,0.02,IF(Performance!E12&lt;=3,0.03,"")))</f>
        <v>0.01</v>
      </c>
      <c r="M12">
        <f t="shared" si="2"/>
        <v>6.9999999999999993E-2</v>
      </c>
      <c r="N12">
        <f>Earnings!B12*(1+M12)</f>
        <v>601466.09950000001</v>
      </c>
    </row>
    <row r="13" spans="1:14" x14ac:dyDescent="0.35">
      <c r="A13" t="s">
        <v>40</v>
      </c>
      <c r="B13" t="s">
        <v>29</v>
      </c>
      <c r="C13" t="s">
        <v>33</v>
      </c>
      <c r="D13" t="s">
        <v>16</v>
      </c>
      <c r="E13">
        <v>8.4</v>
      </c>
      <c r="F13" t="s">
        <v>27</v>
      </c>
      <c r="G13">
        <f>Earnings!G13</f>
        <v>1143660.07</v>
      </c>
      <c r="H13">
        <f>Deductions!B13+Deductions!C13+Deductions!D13+Tax!D13</f>
        <v>16448.090000000004</v>
      </c>
      <c r="I13">
        <f t="shared" si="0"/>
        <v>1213707.2792</v>
      </c>
      <c r="J13">
        <f>Overtime!D13</f>
        <v>86495.299200000009</v>
      </c>
      <c r="K13">
        <f t="shared" si="1"/>
        <v>0.08</v>
      </c>
      <c r="L13">
        <f>IF(Performance!E13&lt;=1.5,0.01,IF(Performance!E13&lt;=2,0.02,IF(Performance!E13&lt;=3,0.03,"")))</f>
        <v>0.02</v>
      </c>
      <c r="M13">
        <f t="shared" si="2"/>
        <v>0.1</v>
      </c>
      <c r="N13">
        <f>Earnings!B13*(1+M13)</f>
        <v>1321455.9600000002</v>
      </c>
    </row>
    <row r="14" spans="1:14" x14ac:dyDescent="0.35">
      <c r="A14" t="s">
        <v>41</v>
      </c>
      <c r="B14" t="s">
        <v>14</v>
      </c>
      <c r="C14" t="s">
        <v>20</v>
      </c>
      <c r="D14" t="s">
        <v>16</v>
      </c>
      <c r="E14">
        <v>19.600000000000001</v>
      </c>
      <c r="F14" t="s">
        <v>31</v>
      </c>
      <c r="G14">
        <f>Earnings!G14</f>
        <v>1264012.8600000001</v>
      </c>
      <c r="H14">
        <f>Deductions!B14+Deductions!C14+Deductions!D14+Tax!D14</f>
        <v>19648.615000000002</v>
      </c>
      <c r="I14">
        <f t="shared" si="0"/>
        <v>1244364.2450000001</v>
      </c>
      <c r="J14">
        <f>Overtime!D14</f>
        <v>0</v>
      </c>
      <c r="K14">
        <f t="shared" si="1"/>
        <v>0.1</v>
      </c>
      <c r="L14">
        <f>IF(Performance!E14&lt;=1.5,0.01,IF(Performance!E14&lt;=2,0.02,IF(Performance!E14&lt;=3,0.03,"")))</f>
        <v>0.01</v>
      </c>
      <c r="M14">
        <f t="shared" si="2"/>
        <v>0.11</v>
      </c>
      <c r="N14">
        <f>Earnings!B14*(1+M14)</f>
        <v>1473796.5060000003</v>
      </c>
    </row>
    <row r="15" spans="1:14" x14ac:dyDescent="0.35">
      <c r="A15" t="s">
        <v>42</v>
      </c>
      <c r="B15" t="s">
        <v>14</v>
      </c>
      <c r="C15" t="s">
        <v>43</v>
      </c>
      <c r="D15" t="s">
        <v>21</v>
      </c>
      <c r="E15">
        <v>18.7</v>
      </c>
      <c r="F15" t="s">
        <v>44</v>
      </c>
      <c r="G15">
        <f>Earnings!G15</f>
        <v>1148462.2</v>
      </c>
      <c r="H15">
        <f>Deductions!B15+Deductions!C15+Deductions!D15+Tax!D15</f>
        <v>16674.196250000001</v>
      </c>
      <c r="I15">
        <f t="shared" si="0"/>
        <v>1131788.0037499999</v>
      </c>
      <c r="J15">
        <f>Overtime!D15</f>
        <v>0</v>
      </c>
      <c r="K15">
        <f t="shared" si="1"/>
        <v>0.12</v>
      </c>
      <c r="L15">
        <f>IF(Performance!E15&lt;=1.5,0.01,IF(Performance!E15&lt;=2,0.02,IF(Performance!E15&lt;=3,0.03,"")))</f>
        <v>0.01</v>
      </c>
      <c r="M15">
        <f t="shared" si="2"/>
        <v>0.13</v>
      </c>
      <c r="N15">
        <f>Earnings!B15*(1+M15)</f>
        <v>1363195.6705</v>
      </c>
    </row>
    <row r="16" spans="1:14" x14ac:dyDescent="0.35">
      <c r="A16" t="s">
        <v>45</v>
      </c>
      <c r="B16" t="s">
        <v>35</v>
      </c>
      <c r="C16" t="s">
        <v>20</v>
      </c>
      <c r="D16" t="s">
        <v>21</v>
      </c>
      <c r="E16">
        <v>11.2</v>
      </c>
      <c r="F16" t="s">
        <v>44</v>
      </c>
      <c r="G16">
        <f>Earnings!G16</f>
        <v>1310617.4099999999</v>
      </c>
      <c r="H16">
        <f>Deductions!B16+Deductions!C16+Deductions!D16+Tax!D16</f>
        <v>20872.473999999998</v>
      </c>
      <c r="I16">
        <f t="shared" si="0"/>
        <v>1289744.936</v>
      </c>
      <c r="J16">
        <f>Overtime!D16</f>
        <v>0</v>
      </c>
      <c r="K16">
        <f t="shared" si="1"/>
        <v>0.1</v>
      </c>
      <c r="L16">
        <f>IF(Performance!E16&lt;=1.5,0.01,IF(Performance!E16&lt;=2,0.02,IF(Performance!E16&lt;=3,0.03,"")))</f>
        <v>0.01</v>
      </c>
      <c r="M16">
        <f t="shared" si="2"/>
        <v>0.11</v>
      </c>
      <c r="N16">
        <f>Earnings!B16*(1+M16)</f>
        <v>1528135.8456000001</v>
      </c>
    </row>
    <row r="17" spans="1:14" x14ac:dyDescent="0.35">
      <c r="A17" t="s">
        <v>46</v>
      </c>
      <c r="B17" t="s">
        <v>35</v>
      </c>
      <c r="C17" t="s">
        <v>15</v>
      </c>
      <c r="D17" t="s">
        <v>21</v>
      </c>
      <c r="E17">
        <v>11</v>
      </c>
      <c r="F17" t="s">
        <v>27</v>
      </c>
      <c r="G17">
        <f>Earnings!G17</f>
        <v>1054257.27</v>
      </c>
      <c r="H17">
        <f>Deductions!B17+Deductions!C17+Deductions!D17+Tax!D17</f>
        <v>14060.327500000001</v>
      </c>
      <c r="I17">
        <f t="shared" si="0"/>
        <v>1195234.7764999999</v>
      </c>
      <c r="J17">
        <f>Overtime!D17</f>
        <v>155037.834</v>
      </c>
      <c r="K17">
        <f t="shared" si="1"/>
        <v>0.06</v>
      </c>
      <c r="L17">
        <f>IF(Performance!E17&lt;=1.5,0.01,IF(Performance!E17&lt;=2,0.02,IF(Performance!E17&lt;=3,0.03,"")))</f>
        <v>0.01</v>
      </c>
      <c r="M17">
        <f t="shared" si="2"/>
        <v>6.9999999999999993E-2</v>
      </c>
      <c r="N17">
        <f>Earnings!B17*(1+M17)</f>
        <v>1184932.0170000002</v>
      </c>
    </row>
    <row r="18" spans="1:14" x14ac:dyDescent="0.35">
      <c r="A18" t="s">
        <v>47</v>
      </c>
      <c r="B18" t="s">
        <v>26</v>
      </c>
      <c r="C18" t="s">
        <v>43</v>
      </c>
      <c r="D18" t="s">
        <v>21</v>
      </c>
      <c r="E18">
        <v>0</v>
      </c>
      <c r="F18" t="s">
        <v>17</v>
      </c>
      <c r="G18">
        <f>Earnings!G18</f>
        <v>1060954.99</v>
      </c>
      <c r="H18">
        <f>Deductions!B18+Deductions!C18+Deductions!D18+Tax!D18</f>
        <v>14376.212750000001</v>
      </c>
      <c r="I18">
        <f t="shared" si="0"/>
        <v>1273926.2763499999</v>
      </c>
      <c r="J18">
        <f>Overtime!D18</f>
        <v>227347.49909999999</v>
      </c>
      <c r="K18">
        <f t="shared" si="1"/>
        <v>0.12</v>
      </c>
      <c r="L18">
        <f>IF(Performance!E18&lt;=1.5,0.01,IF(Performance!E18&lt;=2,0.02,IF(Performance!E18&lt;=3,0.03,"")))</f>
        <v>0.01</v>
      </c>
      <c r="M18">
        <f t="shared" si="2"/>
        <v>0.13</v>
      </c>
      <c r="N18">
        <f>Earnings!B18*(1+M18)</f>
        <v>1259326.8162999998</v>
      </c>
    </row>
    <row r="19" spans="1:14" x14ac:dyDescent="0.35">
      <c r="A19" t="s">
        <v>48</v>
      </c>
      <c r="B19" t="s">
        <v>35</v>
      </c>
      <c r="C19" t="s">
        <v>20</v>
      </c>
      <c r="D19" t="s">
        <v>16</v>
      </c>
      <c r="E19">
        <v>4.2</v>
      </c>
      <c r="F19" t="s">
        <v>31</v>
      </c>
      <c r="G19">
        <f>Earnings!G19</f>
        <v>1429305.38</v>
      </c>
      <c r="H19">
        <f>Deductions!B19+Deductions!C19+Deductions!D19+Tax!D19</f>
        <v>23989.279999999999</v>
      </c>
      <c r="I19">
        <f t="shared" si="0"/>
        <v>1510412.0839999998</v>
      </c>
      <c r="J19">
        <f>Overtime!D19</f>
        <v>105095.984</v>
      </c>
      <c r="K19">
        <f t="shared" si="1"/>
        <v>0.1</v>
      </c>
      <c r="L19">
        <f>IF(Performance!E19&lt;=1.5,0.01,IF(Performance!E19&lt;=2,0.02,IF(Performance!E19&lt;=3,0.03,"")))</f>
        <v>0.01</v>
      </c>
      <c r="M19">
        <f t="shared" si="2"/>
        <v>0.11</v>
      </c>
      <c r="N19">
        <f>Earnings!B19*(1+M19)</f>
        <v>1666522.0320000001</v>
      </c>
    </row>
    <row r="20" spans="1:14" x14ac:dyDescent="0.35">
      <c r="A20" t="s">
        <v>49</v>
      </c>
      <c r="B20" t="s">
        <v>14</v>
      </c>
      <c r="C20" t="s">
        <v>43</v>
      </c>
      <c r="D20" t="s">
        <v>21</v>
      </c>
      <c r="E20">
        <v>25.5</v>
      </c>
      <c r="F20" t="s">
        <v>22</v>
      </c>
      <c r="G20">
        <f>Earnings!G20</f>
        <v>1191731.5</v>
      </c>
      <c r="H20">
        <f>Deductions!B20+Deductions!C20+Deductions!D20+Tax!D20</f>
        <v>17810.47</v>
      </c>
      <c r="I20">
        <f t="shared" si="0"/>
        <v>1173921.03</v>
      </c>
      <c r="J20">
        <f>Overtime!D20</f>
        <v>0</v>
      </c>
      <c r="K20">
        <f t="shared" si="1"/>
        <v>0.12</v>
      </c>
      <c r="L20">
        <f>IF(Performance!E20&lt;=1.5,0.01,IF(Performance!E20&lt;=2,0.02,IF(Performance!E20&lt;=3,0.03,"")))</f>
        <v>0.01</v>
      </c>
      <c r="M20">
        <f t="shared" si="2"/>
        <v>0.13</v>
      </c>
      <c r="N20">
        <f>Earnings!B20*(1+M20)</f>
        <v>1414555.2439999999</v>
      </c>
    </row>
    <row r="21" spans="1:14" x14ac:dyDescent="0.35">
      <c r="A21" t="s">
        <v>50</v>
      </c>
      <c r="B21" t="s">
        <v>35</v>
      </c>
      <c r="C21" t="s">
        <v>33</v>
      </c>
      <c r="D21" t="s">
        <v>16</v>
      </c>
      <c r="E21">
        <v>1.2</v>
      </c>
      <c r="F21" t="s">
        <v>17</v>
      </c>
      <c r="G21">
        <f>Earnings!G21</f>
        <v>888138.32</v>
      </c>
      <c r="H21">
        <f>Deductions!B21+Deductions!C21+Deductions!D21+Tax!D21</f>
        <v>10296.973333333333</v>
      </c>
      <c r="I21">
        <f t="shared" si="0"/>
        <v>1045766.6586666666</v>
      </c>
      <c r="J21">
        <f>Overtime!D21</f>
        <v>167925.31199999998</v>
      </c>
      <c r="K21">
        <f t="shared" si="1"/>
        <v>0.08</v>
      </c>
      <c r="L21">
        <f>IF(Performance!E21&lt;=1.5,0.01,IF(Performance!E21&lt;=2,0.02,IF(Performance!E21&lt;=3,0.03,"")))</f>
        <v>0.01</v>
      </c>
      <c r="M21">
        <f t="shared" si="2"/>
        <v>0.09</v>
      </c>
      <c r="N21">
        <f>Earnings!B21*(1+M21)</f>
        <v>1016881.0560000001</v>
      </c>
    </row>
    <row r="22" spans="1:14" x14ac:dyDescent="0.35">
      <c r="A22" t="s">
        <v>51</v>
      </c>
      <c r="B22" t="s">
        <v>35</v>
      </c>
      <c r="C22" t="s">
        <v>15</v>
      </c>
      <c r="D22" t="s">
        <v>16</v>
      </c>
      <c r="E22">
        <v>6</v>
      </c>
      <c r="F22" t="s">
        <v>22</v>
      </c>
      <c r="G22">
        <f>Earnings!G22</f>
        <v>753085.31</v>
      </c>
      <c r="H22">
        <f>Deductions!B22+Deductions!C22+Deductions!D22+Tax!D22</f>
        <v>7892.6000000000013</v>
      </c>
      <c r="I22">
        <f t="shared" si="0"/>
        <v>745192.71000000008</v>
      </c>
      <c r="J22">
        <f>Overtime!D22</f>
        <v>0</v>
      </c>
      <c r="K22">
        <f t="shared" si="1"/>
        <v>0.06</v>
      </c>
      <c r="L22">
        <f>IF(Performance!E22&lt;=1.5,0.01,IF(Performance!E22&lt;=2,0.02,IF(Performance!E22&lt;=3,0.03,"")))</f>
        <v>0.01</v>
      </c>
      <c r="M22">
        <f t="shared" si="2"/>
        <v>6.9999999999999993E-2</v>
      </c>
      <c r="N22">
        <f>Earnings!B22*(1+M22)</f>
        <v>846429.92</v>
      </c>
    </row>
    <row r="23" spans="1:14" x14ac:dyDescent="0.35">
      <c r="A23" t="s">
        <v>52</v>
      </c>
      <c r="B23" t="s">
        <v>19</v>
      </c>
      <c r="C23" t="s">
        <v>20</v>
      </c>
      <c r="D23" t="s">
        <v>16</v>
      </c>
      <c r="E23">
        <v>11.2</v>
      </c>
      <c r="F23" t="s">
        <v>24</v>
      </c>
      <c r="G23">
        <f>Earnings!G23</f>
        <v>1164118.17</v>
      </c>
      <c r="H23">
        <f>Deductions!B23+Deductions!C23+Deductions!D23+Tax!D23</f>
        <v>17025.329999999994</v>
      </c>
      <c r="I23">
        <f t="shared" si="0"/>
        <v>1147092.8399999999</v>
      </c>
      <c r="J23">
        <f>Overtime!D23</f>
        <v>0</v>
      </c>
      <c r="K23">
        <f t="shared" si="1"/>
        <v>0.1</v>
      </c>
      <c r="L23">
        <f>IF(Performance!E23&lt;=1.5,0.01,IF(Performance!E23&lt;=2,0.02,IF(Performance!E23&lt;=3,0.03,"")))</f>
        <v>0.03</v>
      </c>
      <c r="M23">
        <f t="shared" si="2"/>
        <v>0.13</v>
      </c>
      <c r="N23">
        <f>Earnings!B23*(1+M23)</f>
        <v>1381778.9159999997</v>
      </c>
    </row>
    <row r="24" spans="1:14" x14ac:dyDescent="0.35">
      <c r="A24" t="s">
        <v>53</v>
      </c>
      <c r="B24" t="s">
        <v>19</v>
      </c>
      <c r="C24" t="s">
        <v>33</v>
      </c>
      <c r="D24" t="s">
        <v>16</v>
      </c>
      <c r="E24">
        <v>9.6</v>
      </c>
      <c r="F24" t="s">
        <v>44</v>
      </c>
      <c r="G24">
        <f>Earnings!G24</f>
        <v>1043748.05</v>
      </c>
      <c r="H24">
        <f>Deductions!B24+Deductions!C24+Deductions!D24+Tax!D24</f>
        <v>13824.35</v>
      </c>
      <c r="I24">
        <f t="shared" si="0"/>
        <v>1128597.3600000001</v>
      </c>
      <c r="J24">
        <f>Overtime!D24</f>
        <v>98673.66</v>
      </c>
      <c r="K24">
        <f t="shared" si="1"/>
        <v>0.08</v>
      </c>
      <c r="L24">
        <f>IF(Performance!E24&lt;=1.5,0.01,IF(Performance!E24&lt;=2,0.02,IF(Performance!E24&lt;=3,0.03,"")))</f>
        <v>0.03</v>
      </c>
      <c r="M24">
        <f t="shared" si="2"/>
        <v>0.11</v>
      </c>
      <c r="N24">
        <f>Earnings!B24*(1+M24)</f>
        <v>1216975.1400000001</v>
      </c>
    </row>
    <row r="25" spans="1:14" x14ac:dyDescent="0.35">
      <c r="A25" t="s">
        <v>54</v>
      </c>
      <c r="B25" t="s">
        <v>35</v>
      </c>
      <c r="C25" t="s">
        <v>43</v>
      </c>
      <c r="D25" t="s">
        <v>21</v>
      </c>
      <c r="E25">
        <v>15.3</v>
      </c>
      <c r="F25" t="s">
        <v>37</v>
      </c>
      <c r="G25">
        <f>Earnings!G25</f>
        <v>1614241.76</v>
      </c>
      <c r="H25">
        <f>Deductions!B25+Deductions!C25+Deductions!D25+Tax!D25</f>
        <v>28905.802500000002</v>
      </c>
      <c r="I25">
        <f t="shared" si="0"/>
        <v>1585335.9575</v>
      </c>
      <c r="J25">
        <f>Overtime!D25</f>
        <v>0</v>
      </c>
      <c r="K25">
        <f t="shared" si="1"/>
        <v>0.12</v>
      </c>
      <c r="L25">
        <f>IF(Performance!E25&lt;=1.5,0.01,IF(Performance!E25&lt;=2,0.02,IF(Performance!E25&lt;=3,0.03,"")))</f>
        <v>0.01</v>
      </c>
      <c r="M25">
        <f t="shared" si="2"/>
        <v>0.13</v>
      </c>
      <c r="N25">
        <f>Earnings!B25*(1+M25)</f>
        <v>1916064.2729999998</v>
      </c>
    </row>
    <row r="26" spans="1:14" x14ac:dyDescent="0.35">
      <c r="A26" t="s">
        <v>55</v>
      </c>
      <c r="B26" t="s">
        <v>26</v>
      </c>
      <c r="C26" t="s">
        <v>15</v>
      </c>
      <c r="D26" t="s">
        <v>21</v>
      </c>
      <c r="E26">
        <v>14</v>
      </c>
      <c r="F26" t="s">
        <v>37</v>
      </c>
      <c r="G26">
        <f>Earnings!G26</f>
        <v>914104.21</v>
      </c>
      <c r="H26">
        <f>Deductions!B26+Deductions!C26+Deductions!D26+Tax!D26</f>
        <v>10711.558333333334</v>
      </c>
      <c r="I26">
        <f t="shared" si="0"/>
        <v>927397.48916666664</v>
      </c>
      <c r="J26">
        <f>Overtime!D26</f>
        <v>24004.837500000001</v>
      </c>
      <c r="K26">
        <f t="shared" si="1"/>
        <v>0.06</v>
      </c>
      <c r="L26">
        <f>IF(Performance!E26&lt;=1.5,0.01,IF(Performance!E26&lt;=2,0.02,IF(Performance!E26&lt;=3,0.03,"")))</f>
        <v>0.01</v>
      </c>
      <c r="M26">
        <f t="shared" si="2"/>
        <v>6.9999999999999993E-2</v>
      </c>
      <c r="N26">
        <f>Earnings!B26*(1+M26)</f>
        <v>1027407.045</v>
      </c>
    </row>
    <row r="27" spans="1:14" x14ac:dyDescent="0.35">
      <c r="A27" t="s">
        <v>56</v>
      </c>
      <c r="B27" t="s">
        <v>14</v>
      </c>
      <c r="C27" t="s">
        <v>33</v>
      </c>
      <c r="D27" t="s">
        <v>16</v>
      </c>
      <c r="E27">
        <v>8.4</v>
      </c>
      <c r="F27" t="s">
        <v>22</v>
      </c>
      <c r="G27">
        <f>Earnings!G27</f>
        <v>846232.8</v>
      </c>
      <c r="H27">
        <f>Deductions!B27+Deductions!C27+Deductions!D27+Tax!D27</f>
        <v>9563.3333333333321</v>
      </c>
      <c r="I27">
        <f t="shared" si="0"/>
        <v>836669.46666666667</v>
      </c>
      <c r="J27">
        <f>Overtime!D27</f>
        <v>0</v>
      </c>
      <c r="K27">
        <f t="shared" si="1"/>
        <v>0.08</v>
      </c>
      <c r="L27">
        <f>IF(Performance!E27&lt;=1.5,0.01,IF(Performance!E27&lt;=2,0.02,IF(Performance!E27&lt;=3,0.03,"")))</f>
        <v>0.01</v>
      </c>
      <c r="M27">
        <f t="shared" si="2"/>
        <v>0.09</v>
      </c>
      <c r="N27">
        <f>Earnings!B27*(1+M27)</f>
        <v>968901.00000000012</v>
      </c>
    </row>
    <row r="28" spans="1:14" x14ac:dyDescent="0.35">
      <c r="A28" t="s">
        <v>57</v>
      </c>
      <c r="B28" t="s">
        <v>26</v>
      </c>
      <c r="C28" t="s">
        <v>33</v>
      </c>
      <c r="D28" t="s">
        <v>21</v>
      </c>
      <c r="E28">
        <v>1.2</v>
      </c>
      <c r="F28" t="s">
        <v>37</v>
      </c>
      <c r="G28">
        <f>Earnings!G28</f>
        <v>517778.41</v>
      </c>
      <c r="H28">
        <f>Deductions!B28+Deductions!C28+Deductions!D28+Tax!D28</f>
        <v>3813.0813333333335</v>
      </c>
      <c r="I28">
        <f t="shared" si="0"/>
        <v>513965.32866666664</v>
      </c>
      <c r="J28">
        <f>Overtime!D28</f>
        <v>0</v>
      </c>
      <c r="K28">
        <f t="shared" si="1"/>
        <v>0.08</v>
      </c>
      <c r="L28">
        <f>IF(Performance!E28&lt;=1.5,0.01,IF(Performance!E28&lt;=2,0.02,IF(Performance!E28&lt;=3,0.03,"")))</f>
        <v>0.01</v>
      </c>
      <c r="M28">
        <f t="shared" si="2"/>
        <v>0.09</v>
      </c>
      <c r="N28">
        <f>Earnings!B28*(1+M28)</f>
        <v>592834.5192000001</v>
      </c>
    </row>
    <row r="29" spans="1:14" x14ac:dyDescent="0.35">
      <c r="A29" t="s">
        <v>58</v>
      </c>
      <c r="B29" t="s">
        <v>14</v>
      </c>
      <c r="C29" t="s">
        <v>20</v>
      </c>
      <c r="D29" t="s">
        <v>21</v>
      </c>
      <c r="E29">
        <v>0</v>
      </c>
      <c r="F29" t="s">
        <v>31</v>
      </c>
      <c r="G29">
        <f>Earnings!G29</f>
        <v>421265.36</v>
      </c>
      <c r="H29">
        <f>Deductions!B29+Deductions!C29+Deductions!D29+Tax!D29</f>
        <v>2882.1067916666666</v>
      </c>
      <c r="I29">
        <f t="shared" si="0"/>
        <v>418383.25320833334</v>
      </c>
      <c r="J29">
        <f>Overtime!D29</f>
        <v>0</v>
      </c>
      <c r="K29">
        <f t="shared" si="1"/>
        <v>0.1</v>
      </c>
      <c r="L29">
        <f>IF(Performance!E29&lt;=1.5,0.01,IF(Performance!E29&lt;=2,0.02,IF(Performance!E29&lt;=3,0.03,"")))</f>
        <v>0.01</v>
      </c>
      <c r="M29">
        <f t="shared" si="2"/>
        <v>0.11</v>
      </c>
      <c r="N29">
        <f>Earnings!B29*(1+M29)</f>
        <v>491181.24930000002</v>
      </c>
    </row>
    <row r="30" spans="1:14" x14ac:dyDescent="0.35">
      <c r="A30" t="s">
        <v>59</v>
      </c>
      <c r="B30" t="s">
        <v>29</v>
      </c>
      <c r="C30" t="s">
        <v>20</v>
      </c>
      <c r="D30" t="s">
        <v>21</v>
      </c>
      <c r="E30">
        <v>0</v>
      </c>
      <c r="F30" t="s">
        <v>27</v>
      </c>
      <c r="G30">
        <f>Earnings!G30</f>
        <v>1089363.55</v>
      </c>
      <c r="H30">
        <f>Deductions!B30+Deductions!C30+Deductions!D30+Tax!D30</f>
        <v>15062.235999999999</v>
      </c>
      <c r="I30">
        <f t="shared" si="0"/>
        <v>1074301.314</v>
      </c>
      <c r="J30">
        <f>Overtime!D30</f>
        <v>0</v>
      </c>
      <c r="K30">
        <f t="shared" si="1"/>
        <v>0.1</v>
      </c>
      <c r="L30">
        <f>IF(Performance!E30&lt;=1.5,0.01,IF(Performance!E30&lt;=2,0.02,IF(Performance!E30&lt;=3,0.03,"")))</f>
        <v>0.02</v>
      </c>
      <c r="M30">
        <f t="shared" si="2"/>
        <v>0.12000000000000001</v>
      </c>
      <c r="N30">
        <f>Earnings!B30*(1+M30)</f>
        <v>1281604.1728000001</v>
      </c>
    </row>
    <row r="31" spans="1:14" x14ac:dyDescent="0.35">
      <c r="A31" t="s">
        <v>60</v>
      </c>
      <c r="B31" t="s">
        <v>14</v>
      </c>
      <c r="C31" t="s">
        <v>15</v>
      </c>
      <c r="D31" t="s">
        <v>21</v>
      </c>
      <c r="E31">
        <v>8</v>
      </c>
      <c r="F31" t="s">
        <v>31</v>
      </c>
      <c r="G31">
        <f>Earnings!G31</f>
        <v>500474.16</v>
      </c>
      <c r="H31">
        <f>Deductions!B31+Deductions!C31+Deductions!D31+Tax!D31</f>
        <v>3470.1358333333337</v>
      </c>
      <c r="I31">
        <f t="shared" si="0"/>
        <v>497004.02416666667</v>
      </c>
      <c r="J31">
        <f>Overtime!D31</f>
        <v>0</v>
      </c>
      <c r="K31">
        <f t="shared" si="1"/>
        <v>0.06</v>
      </c>
      <c r="L31">
        <f>IF(Performance!E31&lt;=1.5,0.01,IF(Performance!E31&lt;=2,0.02,IF(Performance!E31&lt;=3,0.03,"")))</f>
        <v>0.01</v>
      </c>
      <c r="M31">
        <f t="shared" si="2"/>
        <v>6.9999999999999993E-2</v>
      </c>
      <c r="N31">
        <f>Earnings!B31*(1+M31)</f>
        <v>562507.72050000005</v>
      </c>
    </row>
    <row r="32" spans="1:14" x14ac:dyDescent="0.35">
      <c r="A32" t="s">
        <v>61</v>
      </c>
      <c r="B32" t="s">
        <v>19</v>
      </c>
      <c r="C32" t="s">
        <v>43</v>
      </c>
      <c r="D32" t="s">
        <v>16</v>
      </c>
      <c r="E32">
        <v>22.1</v>
      </c>
      <c r="F32" t="s">
        <v>27</v>
      </c>
      <c r="G32">
        <f>Earnings!G32</f>
        <v>1514985.86</v>
      </c>
      <c r="H32">
        <f>Deductions!B32+Deductions!C32+Deductions!D32+Tax!D32</f>
        <v>26299.2925</v>
      </c>
      <c r="I32">
        <f t="shared" si="0"/>
        <v>1610426.5025500001</v>
      </c>
      <c r="J32">
        <f>Overtime!D32</f>
        <v>121739.93505000001</v>
      </c>
      <c r="K32">
        <f t="shared" si="1"/>
        <v>0.12</v>
      </c>
      <c r="L32">
        <f>IF(Performance!E32&lt;=1.5,0.01,IF(Performance!E32&lt;=2,0.02,IF(Performance!E32&lt;=3,0.03,"")))</f>
        <v>0.03</v>
      </c>
      <c r="M32">
        <f t="shared" si="2"/>
        <v>0.15</v>
      </c>
      <c r="N32">
        <f>Earnings!B32*(1+M32)</f>
        <v>1830077.4549999998</v>
      </c>
    </row>
    <row r="33" spans="1:14" x14ac:dyDescent="0.35">
      <c r="A33" t="s">
        <v>62</v>
      </c>
      <c r="B33" t="s">
        <v>35</v>
      </c>
      <c r="C33" t="s">
        <v>20</v>
      </c>
      <c r="D33" t="s">
        <v>16</v>
      </c>
      <c r="E33">
        <v>7</v>
      </c>
      <c r="F33" t="s">
        <v>17</v>
      </c>
      <c r="G33">
        <f>Earnings!G33</f>
        <v>904807.27</v>
      </c>
      <c r="H33">
        <f>Deductions!B33+Deductions!C33+Deductions!D33+Tax!D33</f>
        <v>10628.796666666667</v>
      </c>
      <c r="I33">
        <f t="shared" si="0"/>
        <v>894178.47333333339</v>
      </c>
      <c r="J33">
        <f>Overtime!D33</f>
        <v>0</v>
      </c>
      <c r="K33">
        <f t="shared" si="1"/>
        <v>0.1</v>
      </c>
      <c r="L33">
        <f>IF(Performance!E33&lt;=1.5,0.01,IF(Performance!E33&lt;=2,0.02,IF(Performance!E33&lt;=3,0.03,"")))</f>
        <v>0.01</v>
      </c>
      <c r="M33">
        <f t="shared" si="2"/>
        <v>0.11</v>
      </c>
      <c r="N33">
        <f>Earnings!B33*(1+M33)</f>
        <v>1054974.8580000002</v>
      </c>
    </row>
    <row r="34" spans="1:14" x14ac:dyDescent="0.35">
      <c r="A34" t="s">
        <v>63</v>
      </c>
      <c r="B34" t="s">
        <v>19</v>
      </c>
      <c r="C34" t="s">
        <v>43</v>
      </c>
      <c r="D34" t="s">
        <v>16</v>
      </c>
      <c r="E34">
        <v>25.5</v>
      </c>
      <c r="F34" t="s">
        <v>27</v>
      </c>
      <c r="G34">
        <f>Earnings!G34</f>
        <v>1727366.87</v>
      </c>
      <c r="H34">
        <f>Deductions!B34+Deductions!C34+Deductions!D34+Tax!D34</f>
        <v>31876.524999999998</v>
      </c>
      <c r="I34">
        <f t="shared" si="0"/>
        <v>1895988.2855000002</v>
      </c>
      <c r="J34">
        <f>Overtime!D34</f>
        <v>200497.94050000003</v>
      </c>
      <c r="K34">
        <f t="shared" si="1"/>
        <v>0.12</v>
      </c>
      <c r="L34">
        <f>IF(Performance!E34&lt;=1.5,0.01,IF(Performance!E34&lt;=2,0.02,IF(Performance!E34&lt;=3,0.03,"")))</f>
        <v>0.03</v>
      </c>
      <c r="M34">
        <f t="shared" si="2"/>
        <v>0.15</v>
      </c>
      <c r="N34">
        <f>Earnings!B34*(1+M34)</f>
        <v>2086630.15</v>
      </c>
    </row>
    <row r="35" spans="1:14" x14ac:dyDescent="0.35">
      <c r="A35" t="s">
        <v>64</v>
      </c>
      <c r="B35" t="s">
        <v>19</v>
      </c>
      <c r="C35" t="s">
        <v>43</v>
      </c>
      <c r="D35" t="s">
        <v>21</v>
      </c>
      <c r="E35">
        <v>1.7</v>
      </c>
      <c r="F35" t="s">
        <v>27</v>
      </c>
      <c r="G35">
        <f>Earnings!G35</f>
        <v>1300136.1399999999</v>
      </c>
      <c r="H35">
        <f>Deductions!B35+Deductions!C35+Deductions!D35+Tax!D35</f>
        <v>20657.230500000001</v>
      </c>
      <c r="I35">
        <f t="shared" si="0"/>
        <v>1418779.2104499999</v>
      </c>
      <c r="J35">
        <f>Overtime!D35</f>
        <v>139300.30094999998</v>
      </c>
      <c r="K35">
        <f t="shared" si="1"/>
        <v>0.12</v>
      </c>
      <c r="L35">
        <f>IF(Performance!E35&lt;=1.5,0.01,IF(Performance!E35&lt;=2,0.02,IF(Performance!E35&lt;=3,0.03,"")))</f>
        <v>0.03</v>
      </c>
      <c r="M35">
        <f t="shared" si="2"/>
        <v>0.15</v>
      </c>
      <c r="N35">
        <f>Earnings!B35*(1+M35)</f>
        <v>1570542.6029999999</v>
      </c>
    </row>
    <row r="36" spans="1:14" x14ac:dyDescent="0.35">
      <c r="A36" t="s">
        <v>65</v>
      </c>
      <c r="B36" t="s">
        <v>26</v>
      </c>
      <c r="C36" t="s">
        <v>15</v>
      </c>
      <c r="D36" t="s">
        <v>21</v>
      </c>
      <c r="E36">
        <v>6</v>
      </c>
      <c r="F36" t="s">
        <v>17</v>
      </c>
      <c r="G36">
        <f>Earnings!G36</f>
        <v>490911.94</v>
      </c>
      <c r="H36">
        <f>Deductions!B36+Deductions!C36+Deductions!D36+Tax!D36</f>
        <v>3302.7299999999996</v>
      </c>
      <c r="I36">
        <f t="shared" si="0"/>
        <v>487609.21</v>
      </c>
      <c r="J36">
        <f>Overtime!D36</f>
        <v>0</v>
      </c>
      <c r="K36">
        <f t="shared" si="1"/>
        <v>0.06</v>
      </c>
      <c r="L36">
        <f>IF(Performance!E36&lt;=1.5,0.01,IF(Performance!E36&lt;=2,0.02,IF(Performance!E36&lt;=3,0.03,"")))</f>
        <v>0.01</v>
      </c>
      <c r="M36">
        <f t="shared" si="2"/>
        <v>6.9999999999999993E-2</v>
      </c>
      <c r="N36">
        <f>Earnings!B36*(1+M36)</f>
        <v>551760.26600000006</v>
      </c>
    </row>
    <row r="37" spans="1:14" x14ac:dyDescent="0.35">
      <c r="A37" t="s">
        <v>66</v>
      </c>
      <c r="B37" t="s">
        <v>35</v>
      </c>
      <c r="C37" t="s">
        <v>15</v>
      </c>
      <c r="D37" t="s">
        <v>21</v>
      </c>
      <c r="E37">
        <v>3</v>
      </c>
      <c r="F37" t="s">
        <v>17</v>
      </c>
      <c r="G37">
        <f>Earnings!G37</f>
        <v>761512.04</v>
      </c>
      <c r="H37">
        <f>Deductions!B37+Deductions!C37+Deductions!D37+Tax!D37</f>
        <v>8040.1266666666661</v>
      </c>
      <c r="I37">
        <f t="shared" si="0"/>
        <v>777469.14133333333</v>
      </c>
      <c r="J37">
        <f>Overtime!D37</f>
        <v>23997.227999999996</v>
      </c>
      <c r="K37">
        <f t="shared" si="1"/>
        <v>0.06</v>
      </c>
      <c r="L37">
        <f>IF(Performance!E37&lt;=1.5,0.01,IF(Performance!E37&lt;=2,0.02,IF(Performance!E37&lt;=3,0.03,"")))</f>
        <v>0.01</v>
      </c>
      <c r="M37">
        <f t="shared" si="2"/>
        <v>6.9999999999999993E-2</v>
      </c>
      <c r="N37">
        <f>Earnings!B37*(1+M37)</f>
        <v>855901.13199999998</v>
      </c>
    </row>
    <row r="38" spans="1:14" x14ac:dyDescent="0.35">
      <c r="A38" t="s">
        <v>67</v>
      </c>
      <c r="B38" t="s">
        <v>35</v>
      </c>
      <c r="C38" t="s">
        <v>15</v>
      </c>
      <c r="D38" t="s">
        <v>16</v>
      </c>
      <c r="E38">
        <v>1</v>
      </c>
      <c r="F38" t="s">
        <v>22</v>
      </c>
      <c r="G38">
        <f>Earnings!G38</f>
        <v>596366.12</v>
      </c>
      <c r="H38">
        <f>Deductions!B38+Deductions!C38+Deductions!D38+Tax!D38</f>
        <v>5148.9166666666661</v>
      </c>
      <c r="I38">
        <f t="shared" si="0"/>
        <v>631935.47833333339</v>
      </c>
      <c r="J38">
        <f>Overtime!D38</f>
        <v>40718.275000000001</v>
      </c>
      <c r="K38">
        <f t="shared" si="1"/>
        <v>0.06</v>
      </c>
      <c r="L38">
        <f>IF(Performance!E38&lt;=1.5,0.01,IF(Performance!E38&lt;=2,0.02,IF(Performance!E38&lt;=3,0.03,"")))</f>
        <v>0.01</v>
      </c>
      <c r="M38">
        <f t="shared" si="2"/>
        <v>6.9999999999999993E-2</v>
      </c>
      <c r="N38">
        <f>Earnings!B38*(1+M38)</f>
        <v>670285.45000000007</v>
      </c>
    </row>
    <row r="39" spans="1:14" x14ac:dyDescent="0.35">
      <c r="A39" t="s">
        <v>68</v>
      </c>
      <c r="B39" t="s">
        <v>19</v>
      </c>
      <c r="C39" t="s">
        <v>20</v>
      </c>
      <c r="D39" t="s">
        <v>21</v>
      </c>
      <c r="E39">
        <v>4.2</v>
      </c>
      <c r="F39" t="s">
        <v>44</v>
      </c>
      <c r="G39">
        <f>Earnings!G39</f>
        <v>1057470.24</v>
      </c>
      <c r="H39">
        <f>Deductions!B39+Deductions!C39+Deductions!D39+Tax!D39</f>
        <v>14224.701750000002</v>
      </c>
      <c r="I39">
        <f t="shared" si="0"/>
        <v>1082123.120875</v>
      </c>
      <c r="J39">
        <f>Overtime!D39</f>
        <v>38877.582625000003</v>
      </c>
      <c r="K39">
        <f t="shared" si="1"/>
        <v>0.1</v>
      </c>
      <c r="L39">
        <f>IF(Performance!E39&lt;=1.5,0.01,IF(Performance!E39&lt;=2,0.02,IF(Performance!E39&lt;=3,0.03,"")))</f>
        <v>0.03</v>
      </c>
      <c r="M39">
        <f t="shared" si="2"/>
        <v>0.13</v>
      </c>
      <c r="N39">
        <f>Earnings!B39*(1+M39)</f>
        <v>1255190.5190999999</v>
      </c>
    </row>
    <row r="40" spans="1:14" x14ac:dyDescent="0.35">
      <c r="A40" t="s">
        <v>69</v>
      </c>
      <c r="B40" t="s">
        <v>29</v>
      </c>
      <c r="C40" t="s">
        <v>33</v>
      </c>
      <c r="D40" t="s">
        <v>21</v>
      </c>
      <c r="E40">
        <v>7.2</v>
      </c>
      <c r="F40" t="s">
        <v>70</v>
      </c>
      <c r="G40">
        <f>Earnings!G40</f>
        <v>927011.45</v>
      </c>
      <c r="H40">
        <f>Deductions!B40+Deductions!C40+Deductions!D40+Tax!D40</f>
        <v>10977.525333333333</v>
      </c>
      <c r="I40">
        <f t="shared" si="0"/>
        <v>916033.92466666666</v>
      </c>
      <c r="J40">
        <f>Overtime!D40</f>
        <v>0</v>
      </c>
      <c r="K40">
        <f t="shared" si="1"/>
        <v>0.08</v>
      </c>
      <c r="L40">
        <f>IF(Performance!E40&lt;=1.5,0.01,IF(Performance!E40&lt;=2,0.02,IF(Performance!E40&lt;=3,0.03,"")))</f>
        <v>0.02</v>
      </c>
      <c r="M40">
        <f t="shared" si="2"/>
        <v>0.1</v>
      </c>
      <c r="N40">
        <f>Earnings!B40*(1+M40)</f>
        <v>1071126.672</v>
      </c>
    </row>
    <row r="41" spans="1:14" x14ac:dyDescent="0.35">
      <c r="A41" t="s">
        <v>71</v>
      </c>
      <c r="B41" t="s">
        <v>14</v>
      </c>
      <c r="C41" t="s">
        <v>20</v>
      </c>
      <c r="D41" t="s">
        <v>16</v>
      </c>
      <c r="E41">
        <v>7</v>
      </c>
      <c r="F41" t="s">
        <v>44</v>
      </c>
      <c r="G41">
        <f>Earnings!G41</f>
        <v>733219.93</v>
      </c>
      <c r="H41">
        <f>Deductions!B41+Deductions!C41+Deductions!D41+Tax!D41</f>
        <v>7624.8166666666666</v>
      </c>
      <c r="I41">
        <f t="shared" si="0"/>
        <v>817247.60433333344</v>
      </c>
      <c r="J41">
        <f>Overtime!D41</f>
        <v>91652.490999999995</v>
      </c>
      <c r="K41">
        <f t="shared" si="1"/>
        <v>0.1</v>
      </c>
      <c r="L41">
        <f>IF(Performance!E41&lt;=1.5,0.01,IF(Performance!E41&lt;=2,0.02,IF(Performance!E41&lt;=3,0.03,"")))</f>
        <v>0.01</v>
      </c>
      <c r="M41">
        <f t="shared" si="2"/>
        <v>0.11</v>
      </c>
      <c r="N41">
        <f>Earnings!B41*(1+M41)</f>
        <v>854909.79</v>
      </c>
    </row>
    <row r="42" spans="1:14" x14ac:dyDescent="0.35">
      <c r="A42" t="s">
        <v>72</v>
      </c>
      <c r="B42" t="s">
        <v>19</v>
      </c>
      <c r="C42" t="s">
        <v>33</v>
      </c>
      <c r="D42" t="s">
        <v>16</v>
      </c>
      <c r="E42">
        <v>7.2</v>
      </c>
      <c r="F42" t="s">
        <v>31</v>
      </c>
      <c r="G42">
        <f>Earnings!G42</f>
        <v>1030275.72</v>
      </c>
      <c r="H42">
        <f>Deductions!B42+Deductions!C42+Deductions!D42+Tax!D42</f>
        <v>13470.559999999998</v>
      </c>
      <c r="I42">
        <f t="shared" si="0"/>
        <v>1049271.8319999999</v>
      </c>
      <c r="J42">
        <f>Overtime!D42</f>
        <v>32466.671999999999</v>
      </c>
      <c r="K42">
        <f t="shared" si="1"/>
        <v>0.08</v>
      </c>
      <c r="L42">
        <f>IF(Performance!E42&lt;=1.5,0.01,IF(Performance!E42&lt;=2,0.02,IF(Performance!E42&lt;=3,0.03,"")))</f>
        <v>0.03</v>
      </c>
      <c r="M42">
        <f t="shared" si="2"/>
        <v>0.11</v>
      </c>
      <c r="N42">
        <f>Earnings!B42*(1+M42)</f>
        <v>1201266.8640000001</v>
      </c>
    </row>
    <row r="43" spans="1:14" x14ac:dyDescent="0.35">
      <c r="A43" t="s">
        <v>73</v>
      </c>
      <c r="B43" t="s">
        <v>29</v>
      </c>
      <c r="C43" t="s">
        <v>20</v>
      </c>
      <c r="D43" t="s">
        <v>16</v>
      </c>
      <c r="E43">
        <v>8.4</v>
      </c>
      <c r="F43" t="s">
        <v>27</v>
      </c>
      <c r="G43">
        <f>Earnings!G43</f>
        <v>1319222.77</v>
      </c>
      <c r="H43">
        <f>Deductions!B43+Deductions!C43+Deductions!D43+Tax!D43</f>
        <v>21098.454999999998</v>
      </c>
      <c r="I43">
        <f t="shared" si="0"/>
        <v>1298124.3149999999</v>
      </c>
      <c r="J43">
        <f>Overtime!D43</f>
        <v>0</v>
      </c>
      <c r="K43">
        <f t="shared" si="1"/>
        <v>0.1</v>
      </c>
      <c r="L43">
        <f>IF(Performance!E43&lt;=1.5,0.01,IF(Performance!E43&lt;=2,0.02,IF(Performance!E43&lt;=3,0.03,"")))</f>
        <v>0.02</v>
      </c>
      <c r="M43">
        <f t="shared" si="2"/>
        <v>0.12000000000000001</v>
      </c>
      <c r="N43">
        <f>Earnings!B43*(1+M43)</f>
        <v>1552026.784</v>
      </c>
    </row>
    <row r="44" spans="1:14" x14ac:dyDescent="0.35">
      <c r="A44" t="s">
        <v>74</v>
      </c>
      <c r="B44" t="s">
        <v>35</v>
      </c>
      <c r="C44" t="s">
        <v>43</v>
      </c>
      <c r="D44" t="s">
        <v>16</v>
      </c>
      <c r="E44">
        <v>22.1</v>
      </c>
      <c r="F44" t="s">
        <v>27</v>
      </c>
      <c r="G44">
        <f>Earnings!G44</f>
        <v>2232654.0099999998</v>
      </c>
      <c r="H44">
        <f>Deductions!B44+Deductions!C44+Deductions!D44+Tax!D44</f>
        <v>45145.619999999995</v>
      </c>
      <c r="I44">
        <f t="shared" si="0"/>
        <v>2785540.7139999997</v>
      </c>
      <c r="J44">
        <f>Overtime!D44</f>
        <v>598032.32400000002</v>
      </c>
      <c r="K44">
        <f t="shared" si="1"/>
        <v>0.12</v>
      </c>
      <c r="L44">
        <f>IF(Performance!E44&lt;=1.5,0.01,IF(Performance!E44&lt;=2,0.02,IF(Performance!E44&lt;=3,0.03,"")))</f>
        <v>0.01</v>
      </c>
      <c r="M44">
        <f t="shared" si="2"/>
        <v>0.13</v>
      </c>
      <c r="N44">
        <f>Earnings!B44*(1+M44)</f>
        <v>2650104.0239999997</v>
      </c>
    </row>
    <row r="45" spans="1:14" x14ac:dyDescent="0.35">
      <c r="A45" t="s">
        <v>75</v>
      </c>
      <c r="B45" t="s">
        <v>14</v>
      </c>
      <c r="C45" t="s">
        <v>15</v>
      </c>
      <c r="D45" t="s">
        <v>16</v>
      </c>
      <c r="E45">
        <v>0</v>
      </c>
      <c r="F45" t="s">
        <v>44</v>
      </c>
      <c r="G45">
        <f>Earnings!G45</f>
        <v>321161.01</v>
      </c>
      <c r="H45">
        <f>Deductions!B45+Deductions!C45+Deductions!D45+Tax!D45</f>
        <v>2363.9749999999999</v>
      </c>
      <c r="I45">
        <f t="shared" si="0"/>
        <v>318797.03500000003</v>
      </c>
      <c r="J45">
        <f>Overtime!D45</f>
        <v>0</v>
      </c>
      <c r="K45">
        <f t="shared" si="1"/>
        <v>0.06</v>
      </c>
      <c r="L45">
        <f>IF(Performance!E45&lt;=1.5,0.01,IF(Performance!E45&lt;=2,0.02,IF(Performance!E45&lt;=3,0.03,"")))</f>
        <v>0.01</v>
      </c>
      <c r="M45">
        <f t="shared" si="2"/>
        <v>6.9999999999999993E-2</v>
      </c>
      <c r="N45">
        <f>Earnings!B45*(1+M45)</f>
        <v>360968.78</v>
      </c>
    </row>
    <row r="46" spans="1:14" x14ac:dyDescent="0.35">
      <c r="A46" t="s">
        <v>76</v>
      </c>
      <c r="B46" t="s">
        <v>29</v>
      </c>
      <c r="C46" t="s">
        <v>20</v>
      </c>
      <c r="D46" t="s">
        <v>16</v>
      </c>
      <c r="E46">
        <v>14</v>
      </c>
      <c r="F46" t="s">
        <v>44</v>
      </c>
      <c r="G46">
        <f>Earnings!G46</f>
        <v>1222528.1299999999</v>
      </c>
      <c r="H46">
        <f>Deductions!B46+Deductions!C46+Deductions!D46+Tax!D46</f>
        <v>18559.204999999998</v>
      </c>
      <c r="I46">
        <f t="shared" si="0"/>
        <v>1455665.8921999999</v>
      </c>
      <c r="J46">
        <f>Overtime!D46</f>
        <v>251696.96720000004</v>
      </c>
      <c r="K46">
        <f t="shared" si="1"/>
        <v>0.1</v>
      </c>
      <c r="L46">
        <f>IF(Performance!E46&lt;=1.5,0.01,IF(Performance!E46&lt;=2,0.02,IF(Performance!E46&lt;=3,0.03,"")))</f>
        <v>0.02</v>
      </c>
      <c r="M46">
        <f t="shared" si="2"/>
        <v>0.12000000000000001</v>
      </c>
      <c r="N46">
        <f>Earnings!B46*(1+M46)</f>
        <v>1438268.3840000001</v>
      </c>
    </row>
    <row r="47" spans="1:14" x14ac:dyDescent="0.35">
      <c r="A47" t="s">
        <v>77</v>
      </c>
      <c r="B47" t="s">
        <v>26</v>
      </c>
      <c r="C47" t="s">
        <v>20</v>
      </c>
      <c r="D47" t="s">
        <v>16</v>
      </c>
      <c r="E47">
        <v>16.8</v>
      </c>
      <c r="F47" t="s">
        <v>17</v>
      </c>
      <c r="G47">
        <f>Earnings!G47</f>
        <v>1225055.1200000001</v>
      </c>
      <c r="H47">
        <f>Deductions!B47+Deductions!C47+Deductions!D47+Tax!D47</f>
        <v>18625.565000000002</v>
      </c>
      <c r="I47">
        <f t="shared" si="0"/>
        <v>1206429.5550000002</v>
      </c>
      <c r="J47">
        <f>Overtime!D47</f>
        <v>0</v>
      </c>
      <c r="K47">
        <f t="shared" si="1"/>
        <v>0.1</v>
      </c>
      <c r="L47">
        <f>IF(Performance!E47&lt;=1.5,0.01,IF(Performance!E47&lt;=2,0.02,IF(Performance!E47&lt;=3,0.03,"")))</f>
        <v>0.01</v>
      </c>
      <c r="M47">
        <f t="shared" si="2"/>
        <v>0.11</v>
      </c>
      <c r="N47">
        <f>Earnings!B47*(1+M47)</f>
        <v>1428373.0860000001</v>
      </c>
    </row>
    <row r="48" spans="1:14" x14ac:dyDescent="0.35">
      <c r="A48" t="s">
        <v>78</v>
      </c>
      <c r="B48" t="s">
        <v>26</v>
      </c>
      <c r="C48" t="s">
        <v>33</v>
      </c>
      <c r="D48" t="s">
        <v>16</v>
      </c>
      <c r="E48">
        <v>8.4</v>
      </c>
      <c r="F48" t="s">
        <v>24</v>
      </c>
      <c r="G48">
        <f>Earnings!G48</f>
        <v>1018858.58</v>
      </c>
      <c r="H48">
        <f>Deductions!B48+Deductions!C48+Deductions!D48+Tax!D48</f>
        <v>13170.740000000003</v>
      </c>
      <c r="I48">
        <f t="shared" si="0"/>
        <v>1198329.1680000001</v>
      </c>
      <c r="J48">
        <f>Overtime!D48</f>
        <v>192641.32800000001</v>
      </c>
      <c r="K48">
        <f t="shared" si="1"/>
        <v>0.08</v>
      </c>
      <c r="L48">
        <f>IF(Performance!E48&lt;=1.5,0.01,IF(Performance!E48&lt;=2,0.02,IF(Performance!E48&lt;=3,0.03,"")))</f>
        <v>0.01</v>
      </c>
      <c r="M48">
        <f t="shared" si="2"/>
        <v>0.09</v>
      </c>
      <c r="N48">
        <f>Earnings!B48*(1+M48)</f>
        <v>1166550.2640000002</v>
      </c>
    </row>
    <row r="49" spans="1:14" x14ac:dyDescent="0.35">
      <c r="A49" t="s">
        <v>79</v>
      </c>
      <c r="B49" t="s">
        <v>14</v>
      </c>
      <c r="C49" t="s">
        <v>20</v>
      </c>
      <c r="D49" t="s">
        <v>16</v>
      </c>
      <c r="E49">
        <v>12.6</v>
      </c>
      <c r="F49" t="s">
        <v>24</v>
      </c>
      <c r="G49">
        <f>Earnings!G49</f>
        <v>1094275.45</v>
      </c>
      <c r="H49">
        <f>Deductions!B49+Deductions!C49+Deductions!D49+Tax!D49</f>
        <v>15191.225</v>
      </c>
      <c r="I49">
        <f t="shared" si="0"/>
        <v>1240007.085</v>
      </c>
      <c r="J49">
        <f>Overtime!D49</f>
        <v>160922.85999999999</v>
      </c>
      <c r="K49">
        <f t="shared" si="1"/>
        <v>0.1</v>
      </c>
      <c r="L49">
        <f>IF(Performance!E49&lt;=1.5,0.01,IF(Performance!E49&lt;=2,0.02,IF(Performance!E49&lt;=3,0.03,"")))</f>
        <v>0.01</v>
      </c>
      <c r="M49">
        <f t="shared" si="2"/>
        <v>0.11</v>
      </c>
      <c r="N49">
        <f>Earnings!B49*(1+M49)</f>
        <v>1275888.3900000001</v>
      </c>
    </row>
    <row r="50" spans="1:14" x14ac:dyDescent="0.35">
      <c r="A50" t="s">
        <v>80</v>
      </c>
      <c r="B50" t="s">
        <v>35</v>
      </c>
      <c r="C50" t="s">
        <v>15</v>
      </c>
      <c r="D50" t="s">
        <v>21</v>
      </c>
      <c r="E50">
        <v>15</v>
      </c>
      <c r="F50" t="s">
        <v>31</v>
      </c>
      <c r="G50">
        <f>Earnings!G50</f>
        <v>1141953.32</v>
      </c>
      <c r="H50">
        <f>Deductions!B50+Deductions!C50+Deductions!D50+Tax!D50</f>
        <v>16363.270000000002</v>
      </c>
      <c r="I50">
        <f t="shared" si="0"/>
        <v>1275531.4000000001</v>
      </c>
      <c r="J50">
        <f>Overtime!D50</f>
        <v>149941.35</v>
      </c>
      <c r="K50">
        <f t="shared" si="1"/>
        <v>0.06</v>
      </c>
      <c r="L50">
        <f>IF(Performance!E50&lt;=1.5,0.01,IF(Performance!E50&lt;=2,0.02,IF(Performance!E50&lt;=3,0.03,"")))</f>
        <v>0.01</v>
      </c>
      <c r="M50">
        <f t="shared" si="2"/>
        <v>6.9999999999999993E-2</v>
      </c>
      <c r="N50">
        <f>Earnings!B50*(1+M50)</f>
        <v>1283497.9560000002</v>
      </c>
    </row>
    <row r="51" spans="1:14" x14ac:dyDescent="0.35">
      <c r="A51" t="s">
        <v>81</v>
      </c>
      <c r="B51" t="s">
        <v>29</v>
      </c>
      <c r="C51" t="s">
        <v>15</v>
      </c>
      <c r="D51" t="s">
        <v>16</v>
      </c>
      <c r="E51">
        <v>12</v>
      </c>
      <c r="F51" t="s">
        <v>70</v>
      </c>
      <c r="G51">
        <f>Earnings!G51</f>
        <v>1459063.76</v>
      </c>
      <c r="H51">
        <f>Deductions!B51+Deductions!C51+Deductions!D51+Tax!D51</f>
        <v>24690.75</v>
      </c>
      <c r="I51">
        <f t="shared" si="0"/>
        <v>1434373.01</v>
      </c>
      <c r="J51">
        <f>Overtime!D51</f>
        <v>0</v>
      </c>
      <c r="K51">
        <f t="shared" si="1"/>
        <v>0.06</v>
      </c>
      <c r="L51">
        <f>IF(Performance!E51&lt;=1.5,0.01,IF(Performance!E51&lt;=2,0.02,IF(Performance!E51&lt;=3,0.03,"")))</f>
        <v>0.02</v>
      </c>
      <c r="M51">
        <f t="shared" si="2"/>
        <v>0.08</v>
      </c>
      <c r="N51">
        <f>Earnings!B51*(1+M51)</f>
        <v>1655240.4000000001</v>
      </c>
    </row>
    <row r="52" spans="1:14" x14ac:dyDescent="0.35">
      <c r="A52" t="s">
        <v>82</v>
      </c>
      <c r="B52" t="s">
        <v>19</v>
      </c>
      <c r="C52" t="s">
        <v>43</v>
      </c>
      <c r="D52" t="s">
        <v>16</v>
      </c>
      <c r="E52">
        <v>18.7</v>
      </c>
      <c r="F52" t="s">
        <v>70</v>
      </c>
      <c r="G52">
        <f>Earnings!G52</f>
        <v>1499602.97</v>
      </c>
      <c r="H52">
        <f>Deductions!B52+Deductions!C52+Deductions!D52+Tax!D52</f>
        <v>25895.329999999998</v>
      </c>
      <c r="I52">
        <f t="shared" si="0"/>
        <v>1473707.64</v>
      </c>
      <c r="J52">
        <f>Overtime!D52</f>
        <v>0</v>
      </c>
      <c r="K52">
        <f t="shared" si="1"/>
        <v>0.12</v>
      </c>
      <c r="L52">
        <f>IF(Performance!E52&lt;=1.5,0.01,IF(Performance!E52&lt;=2,0.02,IF(Performance!E52&lt;=3,0.03,"")))</f>
        <v>0.03</v>
      </c>
      <c r="M52">
        <f t="shared" si="2"/>
        <v>0.15</v>
      </c>
      <c r="N52">
        <f>Earnings!B52*(1+M52)</f>
        <v>1811495.1799999997</v>
      </c>
    </row>
    <row r="53" spans="1:14" x14ac:dyDescent="0.35">
      <c r="A53" t="s">
        <v>83</v>
      </c>
      <c r="B53" t="s">
        <v>29</v>
      </c>
      <c r="C53" t="s">
        <v>15</v>
      </c>
      <c r="D53" t="s">
        <v>16</v>
      </c>
      <c r="E53">
        <v>1</v>
      </c>
      <c r="F53" t="s">
        <v>70</v>
      </c>
      <c r="G53">
        <f>Earnings!G53</f>
        <v>912560.54</v>
      </c>
      <c r="H53">
        <f>Deductions!B53+Deductions!C53+Deductions!D53+Tax!D53</f>
        <v>10684.533333333335</v>
      </c>
      <c r="I53">
        <f t="shared" si="0"/>
        <v>1045661.8066666666</v>
      </c>
      <c r="J53">
        <f>Overtime!D53</f>
        <v>143785.79999999999</v>
      </c>
      <c r="K53">
        <f t="shared" si="1"/>
        <v>0.06</v>
      </c>
      <c r="L53">
        <f>IF(Performance!E53&lt;=1.5,0.01,IF(Performance!E53&lt;=2,0.02,IF(Performance!E53&lt;=3,0.03,"")))</f>
        <v>0.02</v>
      </c>
      <c r="M53">
        <f t="shared" si="2"/>
        <v>0.08</v>
      </c>
      <c r="N53">
        <f>Earnings!B53*(1+M53)</f>
        <v>1035257.7600000001</v>
      </c>
    </row>
    <row r="54" spans="1:14" x14ac:dyDescent="0.35">
      <c r="A54" t="s">
        <v>84</v>
      </c>
      <c r="B54" t="s">
        <v>19</v>
      </c>
      <c r="C54" t="s">
        <v>43</v>
      </c>
      <c r="D54" t="s">
        <v>16</v>
      </c>
      <c r="E54">
        <v>8.5</v>
      </c>
      <c r="F54" t="s">
        <v>31</v>
      </c>
      <c r="G54">
        <f>Earnings!G54</f>
        <v>1303240.8799999999</v>
      </c>
      <c r="H54">
        <f>Deductions!B54+Deductions!C54+Deductions!D54+Tax!D54</f>
        <v>20738.762500000001</v>
      </c>
      <c r="I54">
        <f t="shared" si="0"/>
        <v>1457043.3062499999</v>
      </c>
      <c r="J54">
        <f>Overtime!D54</f>
        <v>174541.18875</v>
      </c>
      <c r="K54">
        <f t="shared" si="1"/>
        <v>0.12</v>
      </c>
      <c r="L54">
        <f>IF(Performance!E54&lt;=1.5,0.01,IF(Performance!E54&lt;=2,0.02,IF(Performance!E54&lt;=3,0.03,"")))</f>
        <v>0.03</v>
      </c>
      <c r="M54">
        <f t="shared" si="2"/>
        <v>0.15</v>
      </c>
      <c r="N54">
        <f>Earnings!B54*(1+M54)</f>
        <v>1574293.075</v>
      </c>
    </row>
    <row r="55" spans="1:14" x14ac:dyDescent="0.35">
      <c r="A55" t="s">
        <v>85</v>
      </c>
      <c r="B55" t="s">
        <v>29</v>
      </c>
      <c r="C55" t="s">
        <v>15</v>
      </c>
      <c r="D55" t="s">
        <v>16</v>
      </c>
      <c r="E55">
        <v>4</v>
      </c>
      <c r="F55" t="s">
        <v>31</v>
      </c>
      <c r="G55">
        <f>Earnings!G55</f>
        <v>756038.42</v>
      </c>
      <c r="H55">
        <f>Deductions!B55+Deductions!C55+Deductions!D55+Tax!D55</f>
        <v>7944.3</v>
      </c>
      <c r="I55">
        <f t="shared" si="0"/>
        <v>859276.24</v>
      </c>
      <c r="J55">
        <f>Overtime!D55</f>
        <v>111182.12</v>
      </c>
      <c r="K55">
        <f t="shared" si="1"/>
        <v>0.06</v>
      </c>
      <c r="L55">
        <f>IF(Performance!E55&lt;=1.5,0.01,IF(Performance!E55&lt;=2,0.02,IF(Performance!E55&lt;=3,0.03,"")))</f>
        <v>0.02</v>
      </c>
      <c r="M55">
        <f t="shared" si="2"/>
        <v>0.08</v>
      </c>
      <c r="N55">
        <f>Earnings!B55*(1+M55)</f>
        <v>857690.64</v>
      </c>
    </row>
    <row r="56" spans="1:14" x14ac:dyDescent="0.35">
      <c r="A56" t="s">
        <v>86</v>
      </c>
      <c r="B56" t="s">
        <v>29</v>
      </c>
      <c r="C56" t="s">
        <v>15</v>
      </c>
      <c r="D56" t="s">
        <v>21</v>
      </c>
      <c r="E56">
        <v>13</v>
      </c>
      <c r="F56" t="s">
        <v>22</v>
      </c>
      <c r="G56">
        <f>Earnings!G56</f>
        <v>1155873.8500000001</v>
      </c>
      <c r="H56">
        <f>Deductions!B56+Deductions!C56+Deductions!D56+Tax!D56</f>
        <v>16728.830000000002</v>
      </c>
      <c r="I56">
        <f t="shared" si="0"/>
        <v>1272701.872</v>
      </c>
      <c r="J56">
        <f>Overtime!D56</f>
        <v>133556.85200000001</v>
      </c>
      <c r="K56">
        <f t="shared" si="1"/>
        <v>0.06</v>
      </c>
      <c r="L56">
        <f>IF(Performance!E56&lt;=1.5,0.01,IF(Performance!E56&lt;=2,0.02,IF(Performance!E56&lt;=3,0.03,"")))</f>
        <v>0.02</v>
      </c>
      <c r="M56">
        <f t="shared" si="2"/>
        <v>0.08</v>
      </c>
      <c r="N56">
        <f>Earnings!B56*(1+M56)</f>
        <v>1311285.456</v>
      </c>
    </row>
    <row r="57" spans="1:14" x14ac:dyDescent="0.35">
      <c r="A57" t="s">
        <v>87</v>
      </c>
      <c r="B57" t="s">
        <v>19</v>
      </c>
      <c r="C57" t="s">
        <v>15</v>
      </c>
      <c r="D57" t="s">
        <v>21</v>
      </c>
      <c r="E57">
        <v>8</v>
      </c>
      <c r="F57" t="s">
        <v>17</v>
      </c>
      <c r="G57">
        <f>Earnings!G57</f>
        <v>983449.08</v>
      </c>
      <c r="H57">
        <f>Deductions!B57+Deductions!C57+Deductions!D57+Tax!D57</f>
        <v>12200.86875</v>
      </c>
      <c r="I57">
        <f t="shared" si="0"/>
        <v>971248.21124999993</v>
      </c>
      <c r="J57">
        <f>Overtime!D57</f>
        <v>0</v>
      </c>
      <c r="K57">
        <f t="shared" si="1"/>
        <v>0.06</v>
      </c>
      <c r="L57">
        <f>IF(Performance!E57&lt;=1.5,0.01,IF(Performance!E57&lt;=2,0.02,IF(Performance!E57&lt;=3,0.03,"")))</f>
        <v>0.03</v>
      </c>
      <c r="M57">
        <f t="shared" si="2"/>
        <v>0.09</v>
      </c>
      <c r="N57">
        <f>Earnings!B57*(1+M57)</f>
        <v>1126007.8775000002</v>
      </c>
    </row>
    <row r="58" spans="1:14" x14ac:dyDescent="0.35">
      <c r="A58" t="s">
        <v>88</v>
      </c>
      <c r="B58" t="s">
        <v>26</v>
      </c>
      <c r="C58" t="s">
        <v>15</v>
      </c>
      <c r="D58" t="s">
        <v>16</v>
      </c>
      <c r="E58">
        <v>12</v>
      </c>
      <c r="F58" t="s">
        <v>22</v>
      </c>
      <c r="G58">
        <f>Earnings!G58</f>
        <v>876490.22</v>
      </c>
      <c r="H58">
        <f>Deductions!B58+Deductions!C58+Deductions!D58+Tax!D58</f>
        <v>10053.049999999999</v>
      </c>
      <c r="I58">
        <f t="shared" si="0"/>
        <v>866437.16999999993</v>
      </c>
      <c r="J58">
        <f>Overtime!D58</f>
        <v>0</v>
      </c>
      <c r="K58">
        <f t="shared" si="1"/>
        <v>0.06</v>
      </c>
      <c r="L58">
        <f>IF(Performance!E58&lt;=1.5,0.01,IF(Performance!E58&lt;=2,0.02,IF(Performance!E58&lt;=3,0.03,"")))</f>
        <v>0.01</v>
      </c>
      <c r="M58">
        <f t="shared" si="2"/>
        <v>6.9999999999999993E-2</v>
      </c>
      <c r="N58">
        <f>Earnings!B58*(1+M58)</f>
        <v>985130.81</v>
      </c>
    </row>
    <row r="59" spans="1:14" x14ac:dyDescent="0.35">
      <c r="A59" t="s">
        <v>89</v>
      </c>
      <c r="B59" t="s">
        <v>26</v>
      </c>
      <c r="C59" t="s">
        <v>15</v>
      </c>
      <c r="D59" t="s">
        <v>21</v>
      </c>
      <c r="E59">
        <v>4</v>
      </c>
      <c r="F59" t="s">
        <v>37</v>
      </c>
      <c r="G59">
        <f>Earnings!G59</f>
        <v>677756.46</v>
      </c>
      <c r="H59">
        <f>Deductions!B59+Deductions!C59+Deductions!D59+Tax!D59</f>
        <v>6573.817500000001</v>
      </c>
      <c r="I59">
        <f t="shared" si="0"/>
        <v>671182.64249999996</v>
      </c>
      <c r="J59">
        <f>Overtime!D59</f>
        <v>0</v>
      </c>
      <c r="K59">
        <f t="shared" si="1"/>
        <v>0.06</v>
      </c>
      <c r="L59">
        <f>IF(Performance!E59&lt;=1.5,0.01,IF(Performance!E59&lt;=2,0.02,IF(Performance!E59&lt;=3,0.03,"")))</f>
        <v>0.01</v>
      </c>
      <c r="M59">
        <f t="shared" si="2"/>
        <v>6.9999999999999993E-2</v>
      </c>
      <c r="N59">
        <f>Earnings!B59*(1+M59)</f>
        <v>761764.08350000007</v>
      </c>
    </row>
    <row r="60" spans="1:14" x14ac:dyDescent="0.35">
      <c r="A60" t="s">
        <v>90</v>
      </c>
      <c r="B60" t="s">
        <v>19</v>
      </c>
      <c r="C60" t="s">
        <v>33</v>
      </c>
      <c r="D60" t="s">
        <v>21</v>
      </c>
      <c r="E60">
        <v>15.6</v>
      </c>
      <c r="F60" t="s">
        <v>27</v>
      </c>
      <c r="G60">
        <f>Earnings!G60</f>
        <v>1185213.67</v>
      </c>
      <c r="H60">
        <f>Deductions!B60+Deductions!C60+Deductions!D60+Tax!D60</f>
        <v>17539.308499999999</v>
      </c>
      <c r="I60">
        <f t="shared" si="0"/>
        <v>1167674.3614999999</v>
      </c>
      <c r="J60">
        <f>Overtime!D60</f>
        <v>0</v>
      </c>
      <c r="K60">
        <f t="shared" si="1"/>
        <v>0.08</v>
      </c>
      <c r="L60">
        <f>IF(Performance!E60&lt;=1.5,0.01,IF(Performance!E60&lt;=2,0.02,IF(Performance!E60&lt;=3,0.03,"")))</f>
        <v>0.03</v>
      </c>
      <c r="M60">
        <f t="shared" si="2"/>
        <v>0.11</v>
      </c>
      <c r="N60">
        <f>Earnings!B60*(1+M60)</f>
        <v>1381919.2974000003</v>
      </c>
    </row>
    <row r="61" spans="1:14" x14ac:dyDescent="0.35">
      <c r="A61" t="s">
        <v>91</v>
      </c>
      <c r="B61" t="s">
        <v>26</v>
      </c>
      <c r="C61" t="s">
        <v>43</v>
      </c>
      <c r="D61" t="s">
        <v>21</v>
      </c>
      <c r="E61">
        <v>0</v>
      </c>
      <c r="F61" t="s">
        <v>44</v>
      </c>
      <c r="G61">
        <f>Earnings!G61</f>
        <v>676022.27</v>
      </c>
      <c r="H61">
        <f>Deductions!B61+Deductions!C61+Deductions!D61+Tax!D61</f>
        <v>6683.4570000000012</v>
      </c>
      <c r="I61">
        <f t="shared" si="0"/>
        <v>669338.81299999997</v>
      </c>
      <c r="J61">
        <f>Overtime!D61</f>
        <v>0</v>
      </c>
      <c r="K61">
        <f t="shared" si="1"/>
        <v>0.12</v>
      </c>
      <c r="L61">
        <f>IF(Performance!E61&lt;=1.5,0.01,IF(Performance!E61&lt;=2,0.02,IF(Performance!E61&lt;=3,0.03,"")))</f>
        <v>0.01</v>
      </c>
      <c r="M61">
        <f t="shared" si="2"/>
        <v>0.13</v>
      </c>
      <c r="N61">
        <f>Earnings!B61*(1+M61)</f>
        <v>802421.38459999999</v>
      </c>
    </row>
    <row r="62" spans="1:14" x14ac:dyDescent="0.35">
      <c r="A62" t="s">
        <v>92</v>
      </c>
      <c r="B62" t="s">
        <v>26</v>
      </c>
      <c r="C62" t="s">
        <v>15</v>
      </c>
      <c r="D62" t="s">
        <v>16</v>
      </c>
      <c r="E62">
        <v>1</v>
      </c>
      <c r="F62" t="s">
        <v>31</v>
      </c>
      <c r="G62">
        <f>Earnings!G62</f>
        <v>449015.56</v>
      </c>
      <c r="H62">
        <f>Deductions!B62+Deductions!C62+Deductions!D62+Tax!D62</f>
        <v>2923.5625</v>
      </c>
      <c r="I62">
        <f t="shared" si="0"/>
        <v>516840.2475</v>
      </c>
      <c r="J62">
        <f>Overtime!D62</f>
        <v>70748.25</v>
      </c>
      <c r="K62">
        <f t="shared" si="1"/>
        <v>0.06</v>
      </c>
      <c r="L62">
        <f>IF(Performance!E62&lt;=1.5,0.01,IF(Performance!E62&lt;=2,0.02,IF(Performance!E62&lt;=3,0.03,"")))</f>
        <v>0.01</v>
      </c>
      <c r="M62">
        <f t="shared" si="2"/>
        <v>6.9999999999999993E-2</v>
      </c>
      <c r="N62">
        <f>Earnings!B62*(1+M62)</f>
        <v>504670.85000000003</v>
      </c>
    </row>
    <row r="63" spans="1:14" x14ac:dyDescent="0.35">
      <c r="A63" t="s">
        <v>93</v>
      </c>
      <c r="B63" t="s">
        <v>29</v>
      </c>
      <c r="C63" t="s">
        <v>20</v>
      </c>
      <c r="D63" t="s">
        <v>21</v>
      </c>
      <c r="E63">
        <v>12.6</v>
      </c>
      <c r="F63" t="s">
        <v>44</v>
      </c>
      <c r="G63">
        <f>Earnings!G63</f>
        <v>1548271.84</v>
      </c>
      <c r="H63">
        <f>Deductions!B63+Deductions!C63+Deductions!D63+Tax!D63</f>
        <v>27113.399249999999</v>
      </c>
      <c r="I63">
        <f t="shared" si="0"/>
        <v>1851304.6436749999</v>
      </c>
      <c r="J63">
        <f>Overtime!D63</f>
        <v>330146.20292499999</v>
      </c>
      <c r="K63">
        <f t="shared" si="1"/>
        <v>0.1</v>
      </c>
      <c r="L63">
        <f>IF(Performance!E63&lt;=1.5,0.01,IF(Performance!E63&lt;=2,0.02,IF(Performance!E63&lt;=3,0.03,"")))</f>
        <v>0.02</v>
      </c>
      <c r="M63">
        <f t="shared" si="2"/>
        <v>0.12000000000000001</v>
      </c>
      <c r="N63">
        <f>Earnings!B63*(1+M63)</f>
        <v>1821496.2864000001</v>
      </c>
    </row>
    <row r="64" spans="1:14" x14ac:dyDescent="0.35">
      <c r="A64" t="s">
        <v>94</v>
      </c>
      <c r="B64" t="s">
        <v>14</v>
      </c>
      <c r="C64" t="s">
        <v>43</v>
      </c>
      <c r="D64" t="s">
        <v>21</v>
      </c>
      <c r="E64">
        <v>18.7</v>
      </c>
      <c r="F64" t="s">
        <v>27</v>
      </c>
      <c r="G64">
        <f>Earnings!G64</f>
        <v>982137.61</v>
      </c>
      <c r="H64">
        <f>Deductions!B64+Deductions!C64+Deductions!D64+Tax!D64</f>
        <v>12306.429000000002</v>
      </c>
      <c r="I64">
        <f t="shared" si="0"/>
        <v>969831.18099999998</v>
      </c>
      <c r="J64">
        <f>Overtime!D64</f>
        <v>0</v>
      </c>
      <c r="K64">
        <f t="shared" si="1"/>
        <v>0.12</v>
      </c>
      <c r="L64">
        <f>IF(Performance!E64&lt;=1.5,0.01,IF(Performance!E64&lt;=2,0.02,IF(Performance!E64&lt;=3,0.03,"")))</f>
        <v>0.01</v>
      </c>
      <c r="M64">
        <f t="shared" si="2"/>
        <v>0.13</v>
      </c>
      <c r="N64">
        <f>Earnings!B64*(1+M64)</f>
        <v>1165772.5907999999</v>
      </c>
    </row>
    <row r="65" spans="1:14" x14ac:dyDescent="0.35">
      <c r="A65" t="s">
        <v>95</v>
      </c>
      <c r="B65" t="s">
        <v>26</v>
      </c>
      <c r="C65" t="s">
        <v>20</v>
      </c>
      <c r="D65" t="s">
        <v>16</v>
      </c>
      <c r="E65">
        <v>1.4</v>
      </c>
      <c r="F65" t="s">
        <v>22</v>
      </c>
      <c r="G65">
        <f>Earnings!G65</f>
        <v>840628.95</v>
      </c>
      <c r="H65">
        <f>Deductions!B65+Deductions!C65+Deductions!D65+Tax!D65</f>
        <v>9505.2266666666656</v>
      </c>
      <c r="I65">
        <f t="shared" si="0"/>
        <v>831123.72333333327</v>
      </c>
      <c r="J65">
        <f>Overtime!D65</f>
        <v>0</v>
      </c>
      <c r="K65">
        <f t="shared" si="1"/>
        <v>0.1</v>
      </c>
      <c r="L65">
        <f>IF(Performance!E65&lt;=1.5,0.01,IF(Performance!E65&lt;=2,0.02,IF(Performance!E65&lt;=3,0.03,"")))</f>
        <v>0.01</v>
      </c>
      <c r="M65">
        <f t="shared" si="2"/>
        <v>0.11</v>
      </c>
      <c r="N65">
        <f>Earnings!B65*(1+M65)</f>
        <v>980145.09600000002</v>
      </c>
    </row>
    <row r="66" spans="1:14" x14ac:dyDescent="0.35">
      <c r="A66" t="s">
        <v>96</v>
      </c>
      <c r="B66" t="s">
        <v>26</v>
      </c>
      <c r="C66" t="s">
        <v>43</v>
      </c>
      <c r="D66" t="s">
        <v>16</v>
      </c>
      <c r="E66">
        <v>25.5</v>
      </c>
      <c r="F66" t="s">
        <v>37</v>
      </c>
      <c r="G66">
        <f>Earnings!G66</f>
        <v>1628447.03</v>
      </c>
      <c r="H66">
        <f>Deductions!B66+Deductions!C66+Deductions!D66+Tax!D66</f>
        <v>29278.84</v>
      </c>
      <c r="I66">
        <f t="shared" ref="I66:I129" si="3">G66-H66+J66</f>
        <v>1599168.19</v>
      </c>
      <c r="J66">
        <f>Overtime!D66</f>
        <v>0</v>
      </c>
      <c r="K66">
        <f t="shared" ref="K66:K129" si="4">IF(C66="Junior",0.06,IF(C66="Mid",0.08,IF(C66="Senior",0.1,IF(C66="Manager",0.12,0))))</f>
        <v>0.12</v>
      </c>
      <c r="L66">
        <f>IF(Performance!E66&lt;=1.5,0.01,IF(Performance!E66&lt;=2,0.02,IF(Performance!E66&lt;=3,0.03,"")))</f>
        <v>0.01</v>
      </c>
      <c r="M66">
        <f t="shared" ref="M66:M129" si="5">K66+L66</f>
        <v>0.13</v>
      </c>
      <c r="N66">
        <f>Earnings!B66*(1+M66)</f>
        <v>1932925.568</v>
      </c>
    </row>
    <row r="67" spans="1:14" x14ac:dyDescent="0.35">
      <c r="A67" t="s">
        <v>97</v>
      </c>
      <c r="B67" t="s">
        <v>19</v>
      </c>
      <c r="C67" t="s">
        <v>20</v>
      </c>
      <c r="D67" t="s">
        <v>16</v>
      </c>
      <c r="E67">
        <v>21</v>
      </c>
      <c r="F67" t="s">
        <v>44</v>
      </c>
      <c r="G67">
        <f>Earnings!G67</f>
        <v>1291804.3999999999</v>
      </c>
      <c r="H67">
        <f>Deductions!B67+Deductions!C67+Deductions!D67+Tax!D67</f>
        <v>20378.434999999998</v>
      </c>
      <c r="I67">
        <f t="shared" si="3"/>
        <v>1271425.9649999999</v>
      </c>
      <c r="J67">
        <f>Overtime!D67</f>
        <v>0</v>
      </c>
      <c r="K67">
        <f t="shared" si="4"/>
        <v>0.1</v>
      </c>
      <c r="L67">
        <f>IF(Performance!E67&lt;=1.5,0.01,IF(Performance!E67&lt;=2,0.02,IF(Performance!E67&lt;=3,0.03,"")))</f>
        <v>0.03</v>
      </c>
      <c r="M67">
        <f t="shared" si="5"/>
        <v>0.13</v>
      </c>
      <c r="N67">
        <f>Earnings!B67*(1+M67)</f>
        <v>1533339.2619999996</v>
      </c>
    </row>
    <row r="68" spans="1:14" x14ac:dyDescent="0.35">
      <c r="A68" t="s">
        <v>98</v>
      </c>
      <c r="B68" t="s">
        <v>35</v>
      </c>
      <c r="C68" t="s">
        <v>33</v>
      </c>
      <c r="D68" t="s">
        <v>16</v>
      </c>
      <c r="E68">
        <v>0</v>
      </c>
      <c r="F68" t="s">
        <v>31</v>
      </c>
      <c r="G68">
        <f>Earnings!G68</f>
        <v>1131629.45</v>
      </c>
      <c r="H68">
        <f>Deductions!B68+Deductions!C68+Deductions!D68+Tax!D68</f>
        <v>16132.159999999998</v>
      </c>
      <c r="I68">
        <f t="shared" si="3"/>
        <v>1308064.4868000001</v>
      </c>
      <c r="J68">
        <f>Overtime!D68</f>
        <v>192567.19679999998</v>
      </c>
      <c r="K68">
        <f t="shared" si="4"/>
        <v>0.08</v>
      </c>
      <c r="L68">
        <f>IF(Performance!E68&lt;=1.5,0.01,IF(Performance!E68&lt;=2,0.02,IF(Performance!E68&lt;=3,0.03,"")))</f>
        <v>0.01</v>
      </c>
      <c r="M68">
        <f t="shared" si="5"/>
        <v>0.09</v>
      </c>
      <c r="N68">
        <f>Earnings!B68*(1+M68)</f>
        <v>1295668.176</v>
      </c>
    </row>
    <row r="69" spans="1:14" x14ac:dyDescent="0.35">
      <c r="A69" t="s">
        <v>99</v>
      </c>
      <c r="B69" t="s">
        <v>26</v>
      </c>
      <c r="C69" t="s">
        <v>20</v>
      </c>
      <c r="D69" t="s">
        <v>21</v>
      </c>
      <c r="E69">
        <v>12.6</v>
      </c>
      <c r="F69" t="s">
        <v>27</v>
      </c>
      <c r="G69">
        <f>Earnings!G69</f>
        <v>1150406.3899999999</v>
      </c>
      <c r="H69">
        <f>Deductions!B69+Deductions!C69+Deductions!D69+Tax!D69</f>
        <v>16665.251750000003</v>
      </c>
      <c r="I69">
        <f t="shared" si="3"/>
        <v>1294459.6782249999</v>
      </c>
      <c r="J69">
        <f>Overtime!D69</f>
        <v>160718.53997500002</v>
      </c>
      <c r="K69">
        <f t="shared" si="4"/>
        <v>0.1</v>
      </c>
      <c r="L69">
        <f>IF(Performance!E69&lt;=1.5,0.01,IF(Performance!E69&lt;=2,0.02,IF(Performance!E69&lt;=3,0.03,"")))</f>
        <v>0.01</v>
      </c>
      <c r="M69">
        <f t="shared" si="5"/>
        <v>0.11</v>
      </c>
      <c r="N69">
        <f>Earnings!B69*(1+M69)</f>
        <v>1341335.1777000001</v>
      </c>
    </row>
    <row r="70" spans="1:14" x14ac:dyDescent="0.35">
      <c r="A70" t="s">
        <v>100</v>
      </c>
      <c r="B70" t="s">
        <v>14</v>
      </c>
      <c r="C70" t="s">
        <v>15</v>
      </c>
      <c r="D70" t="s">
        <v>21</v>
      </c>
      <c r="E70">
        <v>10</v>
      </c>
      <c r="F70" t="s">
        <v>22</v>
      </c>
      <c r="G70">
        <f>Earnings!G70</f>
        <v>599589.16</v>
      </c>
      <c r="H70">
        <f>Deductions!B70+Deductions!C70+Deductions!D70+Tax!D70</f>
        <v>5205.3425000000007</v>
      </c>
      <c r="I70">
        <f t="shared" si="3"/>
        <v>594383.8175</v>
      </c>
      <c r="J70">
        <f>Overtime!D70</f>
        <v>0</v>
      </c>
      <c r="K70">
        <f t="shared" si="4"/>
        <v>0.06</v>
      </c>
      <c r="L70">
        <f>IF(Performance!E70&lt;=1.5,0.01,IF(Performance!E70&lt;=2,0.02,IF(Performance!E70&lt;=3,0.03,"")))</f>
        <v>0.01</v>
      </c>
      <c r="M70">
        <f t="shared" si="5"/>
        <v>6.9999999999999993E-2</v>
      </c>
      <c r="N70">
        <f>Earnings!B70*(1+M70)</f>
        <v>673907.98850000009</v>
      </c>
    </row>
    <row r="71" spans="1:14" x14ac:dyDescent="0.35">
      <c r="A71" t="s">
        <v>101</v>
      </c>
      <c r="B71" t="s">
        <v>35</v>
      </c>
      <c r="C71" t="s">
        <v>20</v>
      </c>
      <c r="D71" t="s">
        <v>21</v>
      </c>
      <c r="E71">
        <v>1.4</v>
      </c>
      <c r="F71" t="s">
        <v>37</v>
      </c>
      <c r="G71">
        <f>Earnings!G71</f>
        <v>1241377.45</v>
      </c>
      <c r="H71">
        <f>Deductions!B71+Deductions!C71+Deductions!D71+Tax!D71</f>
        <v>19054.197749999996</v>
      </c>
      <c r="I71">
        <f t="shared" si="3"/>
        <v>1459645.4100499998</v>
      </c>
      <c r="J71">
        <f>Overtime!D71</f>
        <v>237322.15779999999</v>
      </c>
      <c r="K71">
        <f t="shared" si="4"/>
        <v>0.1</v>
      </c>
      <c r="L71">
        <f>IF(Performance!E71&lt;=1.5,0.01,IF(Performance!E71&lt;=2,0.02,IF(Performance!E71&lt;=3,0.03,"")))</f>
        <v>0.01</v>
      </c>
      <c r="M71">
        <f t="shared" si="5"/>
        <v>0.11</v>
      </c>
      <c r="N71">
        <f>Earnings!B71*(1+M71)</f>
        <v>1447404.3801</v>
      </c>
    </row>
    <row r="72" spans="1:14" x14ac:dyDescent="0.35">
      <c r="A72" t="s">
        <v>102</v>
      </c>
      <c r="B72" t="s">
        <v>35</v>
      </c>
      <c r="C72" t="s">
        <v>20</v>
      </c>
      <c r="D72" t="s">
        <v>16</v>
      </c>
      <c r="E72">
        <v>12.6</v>
      </c>
      <c r="F72" t="s">
        <v>24</v>
      </c>
      <c r="G72">
        <f>Earnings!G72</f>
        <v>1174713.93</v>
      </c>
      <c r="H72">
        <f>Deductions!B72+Deductions!C72+Deductions!D72+Tax!D72</f>
        <v>17303.579999999994</v>
      </c>
      <c r="I72">
        <f t="shared" si="3"/>
        <v>1278336.7836</v>
      </c>
      <c r="J72">
        <f>Overtime!D72</f>
        <v>120926.43360000002</v>
      </c>
      <c r="K72">
        <f t="shared" si="4"/>
        <v>0.1</v>
      </c>
      <c r="L72">
        <f>IF(Performance!E72&lt;=1.5,0.01,IF(Performance!E72&lt;=2,0.02,IF(Performance!E72&lt;=3,0.03,"")))</f>
        <v>0.01</v>
      </c>
      <c r="M72">
        <f t="shared" si="5"/>
        <v>0.11</v>
      </c>
      <c r="N72">
        <f>Earnings!B72*(1+M72)</f>
        <v>1369676.952</v>
      </c>
    </row>
    <row r="73" spans="1:14" x14ac:dyDescent="0.35">
      <c r="A73" t="s">
        <v>103</v>
      </c>
      <c r="B73" t="s">
        <v>19</v>
      </c>
      <c r="C73" t="s">
        <v>43</v>
      </c>
      <c r="D73" t="s">
        <v>21</v>
      </c>
      <c r="E73">
        <v>23.8</v>
      </c>
      <c r="F73" t="s">
        <v>22</v>
      </c>
      <c r="G73">
        <f>Earnings!G73</f>
        <v>1686314.21</v>
      </c>
      <c r="H73">
        <f>Deductions!B73+Deductions!C73+Deductions!D73+Tax!D73</f>
        <v>30798.461499999994</v>
      </c>
      <c r="I73">
        <f t="shared" si="3"/>
        <v>1655515.7485</v>
      </c>
      <c r="J73">
        <f>Overtime!D73</f>
        <v>0</v>
      </c>
      <c r="K73">
        <f t="shared" si="4"/>
        <v>0.12</v>
      </c>
      <c r="L73">
        <f>IF(Performance!E73&lt;=1.5,0.01,IF(Performance!E73&lt;=2,0.02,IF(Performance!E73&lt;=3,0.03,"")))</f>
        <v>0.03</v>
      </c>
      <c r="M73">
        <f t="shared" si="5"/>
        <v>0.15</v>
      </c>
      <c r="N73">
        <f>Earnings!B73*(1+M73)</f>
        <v>2037039.2289999998</v>
      </c>
    </row>
    <row r="74" spans="1:14" x14ac:dyDescent="0.35">
      <c r="A74" t="s">
        <v>104</v>
      </c>
      <c r="B74" t="s">
        <v>26</v>
      </c>
      <c r="C74" t="s">
        <v>33</v>
      </c>
      <c r="D74" t="s">
        <v>21</v>
      </c>
      <c r="E74">
        <v>14.4</v>
      </c>
      <c r="F74" t="s">
        <v>17</v>
      </c>
      <c r="G74">
        <f>Earnings!G74</f>
        <v>1033030.28</v>
      </c>
      <c r="H74">
        <f>Deductions!B74+Deductions!C74+Deductions!D74+Tax!D74</f>
        <v>13542.896000000002</v>
      </c>
      <c r="I74">
        <f t="shared" si="3"/>
        <v>1019487.3840000001</v>
      </c>
      <c r="J74">
        <f>Overtime!D74</f>
        <v>0</v>
      </c>
      <c r="K74">
        <f t="shared" si="4"/>
        <v>0.08</v>
      </c>
      <c r="L74">
        <f>IF(Performance!E74&lt;=1.5,0.01,IF(Performance!E74&lt;=2,0.02,IF(Performance!E74&lt;=3,0.03,"")))</f>
        <v>0.01</v>
      </c>
      <c r="M74">
        <f t="shared" si="5"/>
        <v>0.09</v>
      </c>
      <c r="N74">
        <f>Earnings!B74*(1+M74)</f>
        <v>1182776.2656000003</v>
      </c>
    </row>
    <row r="75" spans="1:14" x14ac:dyDescent="0.35">
      <c r="A75" t="s">
        <v>105</v>
      </c>
      <c r="B75" t="s">
        <v>26</v>
      </c>
      <c r="C75" t="s">
        <v>43</v>
      </c>
      <c r="D75" t="s">
        <v>16</v>
      </c>
      <c r="E75">
        <v>11.9</v>
      </c>
      <c r="F75" t="s">
        <v>24</v>
      </c>
      <c r="G75">
        <f>Earnings!G75</f>
        <v>912096.25</v>
      </c>
      <c r="H75">
        <f>Deductions!B75+Deductions!C75+Deductions!D75+Tax!D75</f>
        <v>10816.405000000001</v>
      </c>
      <c r="I75">
        <f t="shared" si="3"/>
        <v>901279.84499999997</v>
      </c>
      <c r="J75">
        <f>Overtime!D75</f>
        <v>0</v>
      </c>
      <c r="K75">
        <f t="shared" si="4"/>
        <v>0.12</v>
      </c>
      <c r="L75">
        <f>IF(Performance!E75&lt;=1.5,0.01,IF(Performance!E75&lt;=2,0.02,IF(Performance!E75&lt;=3,0.03,"")))</f>
        <v>0.01</v>
      </c>
      <c r="M75">
        <f t="shared" si="5"/>
        <v>0.13</v>
      </c>
      <c r="N75">
        <f>Earnings!B75*(1+M75)</f>
        <v>1082635.2589999998</v>
      </c>
    </row>
    <row r="76" spans="1:14" x14ac:dyDescent="0.35">
      <c r="A76" t="s">
        <v>106</v>
      </c>
      <c r="B76" t="s">
        <v>14</v>
      </c>
      <c r="C76" t="s">
        <v>33</v>
      </c>
      <c r="D76" t="s">
        <v>21</v>
      </c>
      <c r="E76">
        <v>12</v>
      </c>
      <c r="F76" t="s">
        <v>17</v>
      </c>
      <c r="G76">
        <f>Earnings!G76</f>
        <v>686803.17</v>
      </c>
      <c r="H76">
        <f>Deductions!B76+Deductions!C76+Deductions!D76+Tax!D76</f>
        <v>6772.1983333333337</v>
      </c>
      <c r="I76">
        <f t="shared" si="3"/>
        <v>757945.61686666671</v>
      </c>
      <c r="J76">
        <f>Overtime!D76</f>
        <v>77914.645200000014</v>
      </c>
      <c r="K76">
        <f t="shared" si="4"/>
        <v>0.08</v>
      </c>
      <c r="L76">
        <f>IF(Performance!E76&lt;=1.5,0.01,IF(Performance!E76&lt;=2,0.02,IF(Performance!E76&lt;=3,0.03,"")))</f>
        <v>0.01</v>
      </c>
      <c r="M76">
        <f t="shared" si="5"/>
        <v>0.09</v>
      </c>
      <c r="N76">
        <f>Earnings!B76*(1+M76)</f>
        <v>786360.77100000007</v>
      </c>
    </row>
    <row r="77" spans="1:14" x14ac:dyDescent="0.35">
      <c r="A77" t="s">
        <v>107</v>
      </c>
      <c r="B77" t="s">
        <v>19</v>
      </c>
      <c r="C77" t="s">
        <v>20</v>
      </c>
      <c r="D77" t="s">
        <v>16</v>
      </c>
      <c r="E77">
        <v>4.2</v>
      </c>
      <c r="F77" t="s">
        <v>31</v>
      </c>
      <c r="G77">
        <f>Earnings!G77</f>
        <v>681131.44</v>
      </c>
      <c r="H77">
        <f>Deductions!B77+Deductions!C77+Deductions!D77+Tax!D77</f>
        <v>6712.9033333333327</v>
      </c>
      <c r="I77">
        <f t="shared" si="3"/>
        <v>794618.20226666657</v>
      </c>
      <c r="J77">
        <f>Overtime!D77</f>
        <v>120199.66560000001</v>
      </c>
      <c r="K77">
        <f t="shared" si="4"/>
        <v>0.1</v>
      </c>
      <c r="L77">
        <f>IF(Performance!E77&lt;=1.5,0.01,IF(Performance!E77&lt;=2,0.02,IF(Performance!E77&lt;=3,0.03,"")))</f>
        <v>0.03</v>
      </c>
      <c r="M77">
        <f t="shared" si="5"/>
        <v>0.13</v>
      </c>
      <c r="N77">
        <f>Earnings!B77*(1+M77)</f>
        <v>808485.8459999999</v>
      </c>
    </row>
    <row r="78" spans="1:14" x14ac:dyDescent="0.35">
      <c r="A78" t="s">
        <v>108</v>
      </c>
      <c r="B78" t="s">
        <v>14</v>
      </c>
      <c r="C78" t="s">
        <v>33</v>
      </c>
      <c r="D78" t="s">
        <v>21</v>
      </c>
      <c r="E78">
        <v>6</v>
      </c>
      <c r="F78" t="s">
        <v>22</v>
      </c>
      <c r="G78">
        <f>Earnings!G78</f>
        <v>706832.01</v>
      </c>
      <c r="H78">
        <f>Deductions!B78+Deductions!C78+Deductions!D78+Tax!D78</f>
        <v>7122.8433333333332</v>
      </c>
      <c r="I78">
        <f t="shared" si="3"/>
        <v>735347.75546666665</v>
      </c>
      <c r="J78">
        <f>Overtime!D78</f>
        <v>35638.588799999998</v>
      </c>
      <c r="K78">
        <f t="shared" si="4"/>
        <v>0.08</v>
      </c>
      <c r="L78">
        <f>IF(Performance!E78&lt;=1.5,0.01,IF(Performance!E78&lt;=2,0.02,IF(Performance!E78&lt;=3,0.03,"")))</f>
        <v>0.01</v>
      </c>
      <c r="M78">
        <f t="shared" si="5"/>
        <v>0.09</v>
      </c>
      <c r="N78">
        <f>Earnings!B78*(1+M78)</f>
        <v>809292.95400000003</v>
      </c>
    </row>
    <row r="79" spans="1:14" x14ac:dyDescent="0.35">
      <c r="A79" t="s">
        <v>109</v>
      </c>
      <c r="B79" t="s">
        <v>26</v>
      </c>
      <c r="C79" t="s">
        <v>43</v>
      </c>
      <c r="D79" t="s">
        <v>21</v>
      </c>
      <c r="E79">
        <v>15.3</v>
      </c>
      <c r="F79" t="s">
        <v>31</v>
      </c>
      <c r="G79">
        <f>Earnings!G79</f>
        <v>1057629.42</v>
      </c>
      <c r="H79">
        <f>Deductions!B79+Deductions!C79+Deductions!D79+Tax!D79</f>
        <v>14288.88175</v>
      </c>
      <c r="I79">
        <f t="shared" si="3"/>
        <v>1043340.53825</v>
      </c>
      <c r="J79">
        <f>Overtime!D79</f>
        <v>0</v>
      </c>
      <c r="K79">
        <f t="shared" si="4"/>
        <v>0.12</v>
      </c>
      <c r="L79">
        <f>IF(Performance!E79&lt;=1.5,0.01,IF(Performance!E79&lt;=2,0.02,IF(Performance!E79&lt;=3,0.03,"")))</f>
        <v>0.01</v>
      </c>
      <c r="M79">
        <f t="shared" si="5"/>
        <v>0.13</v>
      </c>
      <c r="N79">
        <f>Earnings!B79*(1+M79)</f>
        <v>1255379.4550999999</v>
      </c>
    </row>
    <row r="80" spans="1:14" x14ac:dyDescent="0.35">
      <c r="A80" t="s">
        <v>110</v>
      </c>
      <c r="B80" t="s">
        <v>19</v>
      </c>
      <c r="C80" t="s">
        <v>43</v>
      </c>
      <c r="D80" t="s">
        <v>16</v>
      </c>
      <c r="E80">
        <v>13.6</v>
      </c>
      <c r="F80" t="s">
        <v>70</v>
      </c>
      <c r="G80">
        <f>Earnings!G80</f>
        <v>1223151.1200000001</v>
      </c>
      <c r="H80">
        <f>Deductions!B80+Deductions!C80+Deductions!D80+Tax!D80</f>
        <v>18635.565000000002</v>
      </c>
      <c r="I80">
        <f t="shared" si="3"/>
        <v>1532145.3180000002</v>
      </c>
      <c r="J80">
        <f>Overtime!D80</f>
        <v>327629.76299999998</v>
      </c>
      <c r="K80">
        <f t="shared" si="4"/>
        <v>0.12</v>
      </c>
      <c r="L80">
        <f>IF(Performance!E80&lt;=1.5,0.01,IF(Performance!E80&lt;=2,0.02,IF(Performance!E80&lt;=3,0.03,"")))</f>
        <v>0.03</v>
      </c>
      <c r="M80">
        <f t="shared" si="5"/>
        <v>0.15</v>
      </c>
      <c r="N80">
        <f>Earnings!B80*(1+M80)</f>
        <v>1477545.99</v>
      </c>
    </row>
    <row r="81" spans="1:14" x14ac:dyDescent="0.35">
      <c r="A81" t="s">
        <v>111</v>
      </c>
      <c r="B81" t="s">
        <v>35</v>
      </c>
      <c r="C81" t="s">
        <v>43</v>
      </c>
      <c r="D81" t="s">
        <v>16</v>
      </c>
      <c r="E81">
        <v>13.6</v>
      </c>
      <c r="F81" t="s">
        <v>37</v>
      </c>
      <c r="G81">
        <f>Earnings!G81</f>
        <v>1922694.8</v>
      </c>
      <c r="H81">
        <f>Deductions!B81+Deductions!C81+Deductions!D81+Tax!D81</f>
        <v>37005.934999999998</v>
      </c>
      <c r="I81">
        <f t="shared" si="3"/>
        <v>2143192.6335</v>
      </c>
      <c r="J81">
        <f>Overtime!D81</f>
        <v>257503.76850000001</v>
      </c>
      <c r="K81">
        <f t="shared" si="4"/>
        <v>0.12</v>
      </c>
      <c r="L81">
        <f>IF(Performance!E81&lt;=1.5,0.01,IF(Performance!E81&lt;=2,0.02,IF(Performance!E81&lt;=3,0.03,"")))</f>
        <v>0.01</v>
      </c>
      <c r="M81">
        <f t="shared" si="5"/>
        <v>0.13</v>
      </c>
      <c r="N81">
        <f>Earnings!B81*(1+M81)</f>
        <v>2282190.2619999996</v>
      </c>
    </row>
    <row r="82" spans="1:14" x14ac:dyDescent="0.35">
      <c r="A82" t="s">
        <v>112</v>
      </c>
      <c r="B82" t="s">
        <v>26</v>
      </c>
      <c r="C82" t="s">
        <v>33</v>
      </c>
      <c r="D82" t="s">
        <v>21</v>
      </c>
      <c r="E82">
        <v>6</v>
      </c>
      <c r="F82" t="s">
        <v>44</v>
      </c>
      <c r="G82">
        <f>Earnings!G82</f>
        <v>616755.93999999994</v>
      </c>
      <c r="H82">
        <f>Deductions!B82+Deductions!C82+Deductions!D82+Tax!D82</f>
        <v>5545.8813333333328</v>
      </c>
      <c r="I82">
        <f t="shared" si="3"/>
        <v>630645.64491666667</v>
      </c>
      <c r="J82">
        <f>Overtime!D82</f>
        <v>19435.58625</v>
      </c>
      <c r="K82">
        <f t="shared" si="4"/>
        <v>0.08</v>
      </c>
      <c r="L82">
        <f>IF(Performance!E82&lt;=1.5,0.01,IF(Performance!E82&lt;=2,0.02,IF(Performance!E82&lt;=3,0.03,"")))</f>
        <v>0.01</v>
      </c>
      <c r="M82">
        <f t="shared" si="5"/>
        <v>0.09</v>
      </c>
      <c r="N82">
        <f>Earnings!B82*(1+M82)</f>
        <v>706159.63920000009</v>
      </c>
    </row>
    <row r="83" spans="1:14" x14ac:dyDescent="0.35">
      <c r="A83" t="s">
        <v>113</v>
      </c>
      <c r="B83" t="s">
        <v>26</v>
      </c>
      <c r="C83" t="s">
        <v>20</v>
      </c>
      <c r="D83" t="s">
        <v>21</v>
      </c>
      <c r="E83">
        <v>16.8</v>
      </c>
      <c r="F83" t="s">
        <v>17</v>
      </c>
      <c r="G83">
        <f>Earnings!G83</f>
        <v>976662.65</v>
      </c>
      <c r="H83">
        <f>Deductions!B83+Deductions!C83+Deductions!D83+Tax!D83</f>
        <v>12102.6535</v>
      </c>
      <c r="I83">
        <f t="shared" si="3"/>
        <v>964559.99650000001</v>
      </c>
      <c r="J83">
        <f>Overtime!D83</f>
        <v>0</v>
      </c>
      <c r="K83">
        <f t="shared" si="4"/>
        <v>0.1</v>
      </c>
      <c r="L83">
        <f>IF(Performance!E83&lt;=1.5,0.01,IF(Performance!E83&lt;=2,0.02,IF(Performance!E83&lt;=3,0.03,"")))</f>
        <v>0.01</v>
      </c>
      <c r="M83">
        <f t="shared" si="5"/>
        <v>0.11</v>
      </c>
      <c r="N83">
        <f>Earnings!B83*(1+M83)</f>
        <v>1138755.8154000002</v>
      </c>
    </row>
    <row r="84" spans="1:14" x14ac:dyDescent="0.35">
      <c r="A84" t="s">
        <v>114</v>
      </c>
      <c r="B84" t="s">
        <v>26</v>
      </c>
      <c r="C84" t="s">
        <v>15</v>
      </c>
      <c r="D84" t="s">
        <v>16</v>
      </c>
      <c r="E84">
        <v>1</v>
      </c>
      <c r="F84" t="s">
        <v>27</v>
      </c>
      <c r="G84">
        <f>Earnings!G84</f>
        <v>667033.07999999996</v>
      </c>
      <c r="H84">
        <f>Deductions!B84+Deductions!C84+Deductions!D84+Tax!D84</f>
        <v>6386.083333333333</v>
      </c>
      <c r="I84">
        <f t="shared" si="3"/>
        <v>660646.99666666659</v>
      </c>
      <c r="J84">
        <f>Overtime!D84</f>
        <v>0</v>
      </c>
      <c r="K84">
        <f t="shared" si="4"/>
        <v>0.06</v>
      </c>
      <c r="L84">
        <f>IF(Performance!E84&lt;=1.5,0.01,IF(Performance!E84&lt;=2,0.02,IF(Performance!E84&lt;=3,0.03,"")))</f>
        <v>0.01</v>
      </c>
      <c r="M84">
        <f t="shared" si="5"/>
        <v>6.9999999999999993E-2</v>
      </c>
      <c r="N84">
        <f>Earnings!B84*(1+M84)</f>
        <v>749711.55</v>
      </c>
    </row>
    <row r="85" spans="1:14" x14ac:dyDescent="0.35">
      <c r="A85" t="s">
        <v>115</v>
      </c>
      <c r="B85" t="s">
        <v>26</v>
      </c>
      <c r="C85" t="s">
        <v>20</v>
      </c>
      <c r="D85" t="s">
        <v>21</v>
      </c>
      <c r="E85">
        <v>21</v>
      </c>
      <c r="F85" t="s">
        <v>17</v>
      </c>
      <c r="G85">
        <f>Earnings!G85</f>
        <v>1031805.18</v>
      </c>
      <c r="H85">
        <f>Deductions!B85+Deductions!C85+Deductions!D85+Tax!D85</f>
        <v>13550.724249999999</v>
      </c>
      <c r="I85">
        <f t="shared" si="3"/>
        <v>1116882.8924750001</v>
      </c>
      <c r="J85">
        <f>Overtime!D85</f>
        <v>98628.436724999992</v>
      </c>
      <c r="K85">
        <f t="shared" si="4"/>
        <v>0.1</v>
      </c>
      <c r="L85">
        <f>IF(Performance!E85&lt;=1.5,0.01,IF(Performance!E85&lt;=2,0.02,IF(Performance!E85&lt;=3,0.03,"")))</f>
        <v>0.01</v>
      </c>
      <c r="M85">
        <f t="shared" si="5"/>
        <v>0.11</v>
      </c>
      <c r="N85">
        <f>Earnings!B85*(1+M85)</f>
        <v>1203050.1567000002</v>
      </c>
    </row>
    <row r="86" spans="1:14" x14ac:dyDescent="0.35">
      <c r="A86" t="s">
        <v>116</v>
      </c>
      <c r="B86" t="s">
        <v>29</v>
      </c>
      <c r="C86" t="s">
        <v>15</v>
      </c>
      <c r="D86" t="s">
        <v>16</v>
      </c>
      <c r="E86">
        <v>10</v>
      </c>
      <c r="F86" t="s">
        <v>27</v>
      </c>
      <c r="G86">
        <f>Earnings!G86</f>
        <v>1241364.21</v>
      </c>
      <c r="H86">
        <f>Deductions!B86+Deductions!C86+Deductions!D86+Tax!D86</f>
        <v>18973.850000000002</v>
      </c>
      <c r="I86">
        <f t="shared" si="3"/>
        <v>1261508.98</v>
      </c>
      <c r="J86">
        <f>Overtime!D86</f>
        <v>39118.619999999995</v>
      </c>
      <c r="K86">
        <f t="shared" si="4"/>
        <v>0.06</v>
      </c>
      <c r="L86">
        <f>IF(Performance!E86&lt;=1.5,0.01,IF(Performance!E86&lt;=2,0.02,IF(Performance!E86&lt;=3,0.03,"")))</f>
        <v>0.02</v>
      </c>
      <c r="M86">
        <f t="shared" si="5"/>
        <v>0.08</v>
      </c>
      <c r="N86">
        <f>Earnings!B86*(1+M86)</f>
        <v>1408270.32</v>
      </c>
    </row>
    <row r="87" spans="1:14" x14ac:dyDescent="0.35">
      <c r="A87" t="s">
        <v>117</v>
      </c>
      <c r="B87" t="s">
        <v>35</v>
      </c>
      <c r="C87" t="s">
        <v>15</v>
      </c>
      <c r="D87" t="s">
        <v>16</v>
      </c>
      <c r="E87">
        <v>5</v>
      </c>
      <c r="F87" t="s">
        <v>31</v>
      </c>
      <c r="G87">
        <f>Earnings!G87</f>
        <v>643666.24</v>
      </c>
      <c r="H87">
        <f>Deductions!B87+Deductions!C87+Deductions!D87+Tax!D87</f>
        <v>5977</v>
      </c>
      <c r="I87">
        <f t="shared" si="3"/>
        <v>637689.24</v>
      </c>
      <c r="J87">
        <f>Overtime!D87</f>
        <v>0</v>
      </c>
      <c r="K87">
        <f t="shared" si="4"/>
        <v>0.06</v>
      </c>
      <c r="L87">
        <f>IF(Performance!E87&lt;=1.5,0.01,IF(Performance!E87&lt;=2,0.02,IF(Performance!E87&lt;=3,0.03,"")))</f>
        <v>0.01</v>
      </c>
      <c r="M87">
        <f t="shared" si="5"/>
        <v>6.9999999999999993E-2</v>
      </c>
      <c r="N87">
        <f>Earnings!B87*(1+M87)</f>
        <v>723448.4</v>
      </c>
    </row>
    <row r="88" spans="1:14" x14ac:dyDescent="0.35">
      <c r="A88" t="s">
        <v>118</v>
      </c>
      <c r="B88" t="s">
        <v>26</v>
      </c>
      <c r="C88" t="s">
        <v>15</v>
      </c>
      <c r="D88" t="s">
        <v>16</v>
      </c>
      <c r="E88">
        <v>9</v>
      </c>
      <c r="F88" t="s">
        <v>31</v>
      </c>
      <c r="G88">
        <f>Earnings!G88</f>
        <v>731865.23</v>
      </c>
      <c r="H88">
        <f>Deductions!B88+Deductions!C88+Deductions!D88+Tax!D88</f>
        <v>7521.1000000000013</v>
      </c>
      <c r="I88">
        <f t="shared" si="3"/>
        <v>831971.37</v>
      </c>
      <c r="J88">
        <f>Overtime!D88</f>
        <v>107627.24</v>
      </c>
      <c r="K88">
        <f t="shared" si="4"/>
        <v>0.06</v>
      </c>
      <c r="L88">
        <f>IF(Performance!E88&lt;=1.5,0.01,IF(Performance!E88&lt;=2,0.02,IF(Performance!E88&lt;=3,0.03,"")))</f>
        <v>0.01</v>
      </c>
      <c r="M88">
        <f t="shared" si="5"/>
        <v>6.9999999999999993E-2</v>
      </c>
      <c r="N88">
        <f>Earnings!B88*(1+M88)</f>
        <v>822579.62</v>
      </c>
    </row>
    <row r="89" spans="1:14" x14ac:dyDescent="0.35">
      <c r="A89" t="s">
        <v>119</v>
      </c>
      <c r="B89" t="s">
        <v>19</v>
      </c>
      <c r="C89" t="s">
        <v>43</v>
      </c>
      <c r="D89" t="s">
        <v>16</v>
      </c>
      <c r="E89">
        <v>15.3</v>
      </c>
      <c r="F89" t="s">
        <v>70</v>
      </c>
      <c r="G89">
        <f>Earnings!G89</f>
        <v>1768053.45</v>
      </c>
      <c r="H89">
        <f>Deductions!B89+Deductions!C89+Deductions!D89+Tax!D89</f>
        <v>32944.974999999991</v>
      </c>
      <c r="I89">
        <f t="shared" si="3"/>
        <v>1735108.4749999999</v>
      </c>
      <c r="J89">
        <f>Overtime!D89</f>
        <v>0</v>
      </c>
      <c r="K89">
        <f t="shared" si="4"/>
        <v>0.12</v>
      </c>
      <c r="L89">
        <f>IF(Performance!E89&lt;=1.5,0.01,IF(Performance!E89&lt;=2,0.02,IF(Performance!E89&lt;=3,0.03,"")))</f>
        <v>0.03</v>
      </c>
      <c r="M89">
        <f t="shared" si="5"/>
        <v>0.15</v>
      </c>
      <c r="N89">
        <f>Earnings!B89*(1+M89)</f>
        <v>2135778.8499999996</v>
      </c>
    </row>
    <row r="90" spans="1:14" x14ac:dyDescent="0.35">
      <c r="A90" t="s">
        <v>120</v>
      </c>
      <c r="B90" t="s">
        <v>19</v>
      </c>
      <c r="C90" t="s">
        <v>33</v>
      </c>
      <c r="D90" t="s">
        <v>16</v>
      </c>
      <c r="E90">
        <v>10.8</v>
      </c>
      <c r="F90" t="s">
        <v>70</v>
      </c>
      <c r="G90">
        <f>Earnings!G90</f>
        <v>1138030.32</v>
      </c>
      <c r="H90">
        <f>Deductions!B90+Deductions!C90+Deductions!D90+Tax!D90</f>
        <v>16300.25</v>
      </c>
      <c r="I90">
        <f t="shared" si="3"/>
        <v>1121730.07</v>
      </c>
      <c r="J90">
        <f>Overtime!D90</f>
        <v>0</v>
      </c>
      <c r="K90">
        <f t="shared" si="4"/>
        <v>0.08</v>
      </c>
      <c r="L90">
        <f>IF(Performance!E90&lt;=1.5,0.01,IF(Performance!E90&lt;=2,0.02,IF(Performance!E90&lt;=3,0.03,"")))</f>
        <v>0.03</v>
      </c>
      <c r="M90">
        <f t="shared" si="5"/>
        <v>0.11</v>
      </c>
      <c r="N90">
        <f>Earnings!B90*(1+M90)</f>
        <v>1326905.1000000001</v>
      </c>
    </row>
    <row r="91" spans="1:14" x14ac:dyDescent="0.35">
      <c r="A91" t="s">
        <v>121</v>
      </c>
      <c r="B91" t="s">
        <v>19</v>
      </c>
      <c r="C91" t="s">
        <v>20</v>
      </c>
      <c r="D91" t="s">
        <v>16</v>
      </c>
      <c r="E91">
        <v>0</v>
      </c>
      <c r="F91" t="s">
        <v>44</v>
      </c>
      <c r="G91">
        <f>Earnings!G91</f>
        <v>1078810.97</v>
      </c>
      <c r="H91">
        <f>Deductions!B91+Deductions!C91+Deductions!D91+Tax!D91</f>
        <v>14785.12</v>
      </c>
      <c r="I91">
        <f t="shared" si="3"/>
        <v>1127485.3187999998</v>
      </c>
      <c r="J91">
        <f>Overtime!D91</f>
        <v>63459.468799999988</v>
      </c>
      <c r="K91">
        <f t="shared" si="4"/>
        <v>0.1</v>
      </c>
      <c r="L91">
        <f>IF(Performance!E91&lt;=1.5,0.01,IF(Performance!E91&lt;=2,0.02,IF(Performance!E91&lt;=3,0.03,"")))</f>
        <v>0.03</v>
      </c>
      <c r="M91">
        <f t="shared" si="5"/>
        <v>0.13</v>
      </c>
      <c r="N91">
        <f>Earnings!B91*(1+M91)</f>
        <v>1280521.4239999999</v>
      </c>
    </row>
    <row r="92" spans="1:14" x14ac:dyDescent="0.35">
      <c r="A92" t="s">
        <v>122</v>
      </c>
      <c r="B92" t="s">
        <v>35</v>
      </c>
      <c r="C92" t="s">
        <v>43</v>
      </c>
      <c r="D92" t="s">
        <v>16</v>
      </c>
      <c r="E92">
        <v>23.8</v>
      </c>
      <c r="F92" t="s">
        <v>31</v>
      </c>
      <c r="G92">
        <f>Earnings!G92</f>
        <v>1782327.74</v>
      </c>
      <c r="H92">
        <f>Deductions!B92+Deductions!C92+Deductions!D92+Tax!D92</f>
        <v>33319.824999999997</v>
      </c>
      <c r="I92">
        <f t="shared" si="3"/>
        <v>2035453.4440000001</v>
      </c>
      <c r="J92">
        <f>Overtime!D92</f>
        <v>286445.52900000004</v>
      </c>
      <c r="K92">
        <f t="shared" si="4"/>
        <v>0.12</v>
      </c>
      <c r="L92">
        <f>IF(Performance!E92&lt;=1.5,0.01,IF(Performance!E92&lt;=2,0.02,IF(Performance!E92&lt;=3,0.03,"")))</f>
        <v>0.01</v>
      </c>
      <c r="M92">
        <f t="shared" si="5"/>
        <v>0.13</v>
      </c>
      <c r="N92">
        <f>Earnings!B92*(1+M92)</f>
        <v>2115578.09</v>
      </c>
    </row>
    <row r="93" spans="1:14" x14ac:dyDescent="0.35">
      <c r="A93" t="s">
        <v>123</v>
      </c>
      <c r="B93" t="s">
        <v>26</v>
      </c>
      <c r="C93" t="s">
        <v>15</v>
      </c>
      <c r="D93" t="s">
        <v>16</v>
      </c>
      <c r="E93">
        <v>11</v>
      </c>
      <c r="F93" t="s">
        <v>24</v>
      </c>
      <c r="G93">
        <f>Earnings!G93</f>
        <v>886623.3</v>
      </c>
      <c r="H93">
        <f>Deductions!B93+Deductions!C93+Deductions!D93+Tax!D93</f>
        <v>10230.450000000001</v>
      </c>
      <c r="I93">
        <f t="shared" si="3"/>
        <v>876392.85000000009</v>
      </c>
      <c r="J93">
        <f>Overtime!D93</f>
        <v>0</v>
      </c>
      <c r="K93">
        <f t="shared" si="4"/>
        <v>0.06</v>
      </c>
      <c r="L93">
        <f>IF(Performance!E93&lt;=1.5,0.01,IF(Performance!E93&lt;=2,0.02,IF(Performance!E93&lt;=3,0.03,"")))</f>
        <v>0.01</v>
      </c>
      <c r="M93">
        <f t="shared" si="5"/>
        <v>6.9999999999999993E-2</v>
      </c>
      <c r="N93">
        <f>Earnings!B93*(1+M93)</f>
        <v>996519.89</v>
      </c>
    </row>
    <row r="94" spans="1:14" x14ac:dyDescent="0.35">
      <c r="A94" t="s">
        <v>124</v>
      </c>
      <c r="B94" t="s">
        <v>19</v>
      </c>
      <c r="C94" t="s">
        <v>33</v>
      </c>
      <c r="D94" t="s">
        <v>21</v>
      </c>
      <c r="E94">
        <v>18</v>
      </c>
      <c r="F94" t="s">
        <v>37</v>
      </c>
      <c r="G94">
        <f>Earnings!G94</f>
        <v>1176540.1100000001</v>
      </c>
      <c r="H94">
        <f>Deductions!B94+Deductions!C94+Deductions!D94+Tax!D94</f>
        <v>17311.536499999995</v>
      </c>
      <c r="I94">
        <f t="shared" si="3"/>
        <v>1203719.5857000002</v>
      </c>
      <c r="J94">
        <f>Overtime!D94</f>
        <v>44491.012199999997</v>
      </c>
      <c r="K94">
        <f t="shared" si="4"/>
        <v>0.08</v>
      </c>
      <c r="L94">
        <f>IF(Performance!E94&lt;=1.5,0.01,IF(Performance!E94&lt;=2,0.02,IF(Performance!E94&lt;=3,0.03,"")))</f>
        <v>0.03</v>
      </c>
      <c r="M94">
        <f t="shared" si="5"/>
        <v>0.11</v>
      </c>
      <c r="N94">
        <f>Earnings!B94*(1+M94)</f>
        <v>1371806.2206000001</v>
      </c>
    </row>
    <row r="95" spans="1:14" x14ac:dyDescent="0.35">
      <c r="A95" t="s">
        <v>125</v>
      </c>
      <c r="B95" t="s">
        <v>26</v>
      </c>
      <c r="C95" t="s">
        <v>33</v>
      </c>
      <c r="D95" t="s">
        <v>21</v>
      </c>
      <c r="E95">
        <v>9.6</v>
      </c>
      <c r="F95" t="s">
        <v>37</v>
      </c>
      <c r="G95">
        <f>Earnings!G95</f>
        <v>921137.91</v>
      </c>
      <c r="H95">
        <f>Deductions!B95+Deductions!C95+Deductions!D95+Tax!D95</f>
        <v>10874.697333333334</v>
      </c>
      <c r="I95">
        <f t="shared" si="3"/>
        <v>979929.10586666665</v>
      </c>
      <c r="J95">
        <f>Overtime!D95</f>
        <v>69665.893199999991</v>
      </c>
      <c r="K95">
        <f t="shared" si="4"/>
        <v>0.08</v>
      </c>
      <c r="L95">
        <f>IF(Performance!E95&lt;=1.5,0.01,IF(Performance!E95&lt;=2,0.02,IF(Performance!E95&lt;=3,0.03,"")))</f>
        <v>0.01</v>
      </c>
      <c r="M95">
        <f t="shared" si="5"/>
        <v>0.09</v>
      </c>
      <c r="N95">
        <f>Earnings!B95*(1+M95)</f>
        <v>1054664.2056</v>
      </c>
    </row>
    <row r="96" spans="1:14" x14ac:dyDescent="0.35">
      <c r="A96" t="s">
        <v>126</v>
      </c>
      <c r="B96" t="s">
        <v>29</v>
      </c>
      <c r="C96" t="s">
        <v>33</v>
      </c>
      <c r="D96" t="s">
        <v>16</v>
      </c>
      <c r="E96">
        <v>12</v>
      </c>
      <c r="F96" t="s">
        <v>37</v>
      </c>
      <c r="G96">
        <f>Earnings!G96</f>
        <v>1168696.9099999999</v>
      </c>
      <c r="H96">
        <f>Deductions!B96+Deductions!C96+Deductions!D96+Tax!D96</f>
        <v>17105.57</v>
      </c>
      <c r="I96">
        <f t="shared" si="3"/>
        <v>1151591.3399999999</v>
      </c>
      <c r="J96">
        <f>Overtime!D96</f>
        <v>0</v>
      </c>
      <c r="K96">
        <f t="shared" si="4"/>
        <v>0.08</v>
      </c>
      <c r="L96">
        <f>IF(Performance!E96&lt;=1.5,0.01,IF(Performance!E96&lt;=2,0.02,IF(Performance!E96&lt;=3,0.03,"")))</f>
        <v>0.02</v>
      </c>
      <c r="M96">
        <f t="shared" si="5"/>
        <v>0.1</v>
      </c>
      <c r="N96">
        <f>Earnings!B96*(1+M96)</f>
        <v>1350385.08</v>
      </c>
    </row>
    <row r="97" spans="1:14" x14ac:dyDescent="0.35">
      <c r="A97" t="s">
        <v>127</v>
      </c>
      <c r="B97" t="s">
        <v>35</v>
      </c>
      <c r="C97" t="s">
        <v>43</v>
      </c>
      <c r="D97" t="s">
        <v>21</v>
      </c>
      <c r="E97">
        <v>22.1</v>
      </c>
      <c r="F97" t="s">
        <v>44</v>
      </c>
      <c r="G97">
        <f>Earnings!G97</f>
        <v>1441006.2</v>
      </c>
      <c r="H97">
        <f>Deductions!B97+Deductions!C97+Deductions!D97+Tax!D97</f>
        <v>24356.549499999997</v>
      </c>
      <c r="I97">
        <f t="shared" si="3"/>
        <v>1558177.0451624999</v>
      </c>
      <c r="J97">
        <f>Overtime!D97</f>
        <v>141527.39466250001</v>
      </c>
      <c r="K97">
        <f t="shared" si="4"/>
        <v>0.12</v>
      </c>
      <c r="L97">
        <f>IF(Performance!E97&lt;=1.5,0.01,IF(Performance!E97&lt;=2,0.02,IF(Performance!E97&lt;=3,0.03,"")))</f>
        <v>0.01</v>
      </c>
      <c r="M97">
        <f t="shared" si="5"/>
        <v>0.13</v>
      </c>
      <c r="N97">
        <f>Earnings!B97*(1+M97)</f>
        <v>1710438.0373999998</v>
      </c>
    </row>
    <row r="98" spans="1:14" x14ac:dyDescent="0.35">
      <c r="A98" t="s">
        <v>128</v>
      </c>
      <c r="B98" t="s">
        <v>14</v>
      </c>
      <c r="C98" t="s">
        <v>20</v>
      </c>
      <c r="D98" t="s">
        <v>21</v>
      </c>
      <c r="E98">
        <v>19.600000000000001</v>
      </c>
      <c r="F98" t="s">
        <v>17</v>
      </c>
      <c r="G98">
        <f>Earnings!G98</f>
        <v>1096647.77</v>
      </c>
      <c r="H98">
        <f>Deductions!B98+Deductions!C98+Deductions!D98+Tax!D98</f>
        <v>15253.523249999998</v>
      </c>
      <c r="I98">
        <f t="shared" si="3"/>
        <v>1218475.216825</v>
      </c>
      <c r="J98">
        <f>Overtime!D98</f>
        <v>137080.97007500002</v>
      </c>
      <c r="K98">
        <f t="shared" si="4"/>
        <v>0.1</v>
      </c>
      <c r="L98">
        <f>IF(Performance!E98&lt;=1.5,0.01,IF(Performance!E98&lt;=2,0.02,IF(Performance!E98&lt;=3,0.03,"")))</f>
        <v>0.01</v>
      </c>
      <c r="M98">
        <f t="shared" si="5"/>
        <v>0.11</v>
      </c>
      <c r="N98">
        <f>Earnings!B98*(1+M98)</f>
        <v>1278654.4323</v>
      </c>
    </row>
    <row r="99" spans="1:14" x14ac:dyDescent="0.35">
      <c r="A99" t="s">
        <v>129</v>
      </c>
      <c r="B99" t="s">
        <v>35</v>
      </c>
      <c r="C99" t="s">
        <v>33</v>
      </c>
      <c r="D99" t="s">
        <v>21</v>
      </c>
      <c r="E99">
        <v>10.8</v>
      </c>
      <c r="F99" t="s">
        <v>44</v>
      </c>
      <c r="G99">
        <f>Earnings!G99</f>
        <v>1132407.2</v>
      </c>
      <c r="H99">
        <f>Deductions!B99+Deductions!C99+Deductions!D99+Tax!D99</f>
        <v>16152.584000000003</v>
      </c>
      <c r="I99">
        <f t="shared" si="3"/>
        <v>1273269.0581999999</v>
      </c>
      <c r="J99">
        <f>Overtime!D99</f>
        <v>157014.44220000002</v>
      </c>
      <c r="K99">
        <f t="shared" si="4"/>
        <v>0.08</v>
      </c>
      <c r="L99">
        <f>IF(Performance!E99&lt;=1.5,0.01,IF(Performance!E99&lt;=2,0.02,IF(Performance!E99&lt;=3,0.03,"")))</f>
        <v>0.01</v>
      </c>
      <c r="M99">
        <f t="shared" si="5"/>
        <v>0.09</v>
      </c>
      <c r="N99">
        <f>Earnings!B99*(1+M99)</f>
        <v>1296558.6624000003</v>
      </c>
    </row>
    <row r="100" spans="1:14" x14ac:dyDescent="0.35">
      <c r="A100" t="s">
        <v>130</v>
      </c>
      <c r="B100" t="s">
        <v>14</v>
      </c>
      <c r="C100" t="s">
        <v>20</v>
      </c>
      <c r="D100" t="s">
        <v>21</v>
      </c>
      <c r="E100">
        <v>11.2</v>
      </c>
      <c r="F100" t="s">
        <v>44</v>
      </c>
      <c r="G100">
        <f>Earnings!G100</f>
        <v>796014.53</v>
      </c>
      <c r="H100">
        <f>Deductions!B100+Deductions!C100+Deductions!D100+Tax!D100</f>
        <v>8724.1620000000003</v>
      </c>
      <c r="I100">
        <f t="shared" si="3"/>
        <v>787290.36800000002</v>
      </c>
      <c r="J100">
        <f>Overtime!D100</f>
        <v>0</v>
      </c>
      <c r="K100">
        <f t="shared" si="4"/>
        <v>0.1</v>
      </c>
      <c r="L100">
        <f>IF(Performance!E100&lt;=1.5,0.01,IF(Performance!E100&lt;=2,0.02,IF(Performance!E100&lt;=3,0.03,"")))</f>
        <v>0.01</v>
      </c>
      <c r="M100">
        <f t="shared" si="5"/>
        <v>0.11</v>
      </c>
      <c r="N100">
        <f>Earnings!B100*(1+M100)</f>
        <v>928126.18920000002</v>
      </c>
    </row>
    <row r="101" spans="1:14" x14ac:dyDescent="0.35">
      <c r="A101" t="s">
        <v>131</v>
      </c>
      <c r="B101" t="s">
        <v>35</v>
      </c>
      <c r="C101" t="s">
        <v>20</v>
      </c>
      <c r="D101" t="s">
        <v>21</v>
      </c>
      <c r="E101">
        <v>19.600000000000001</v>
      </c>
      <c r="F101" t="s">
        <v>44</v>
      </c>
      <c r="G101">
        <f>Earnings!G101</f>
        <v>1218404.24</v>
      </c>
      <c r="H101">
        <f>Deductions!B101+Deductions!C101+Deductions!D101+Tax!D101</f>
        <v>18450.909749999999</v>
      </c>
      <c r="I101">
        <f t="shared" si="3"/>
        <v>1441842.4098499999</v>
      </c>
      <c r="J101">
        <f>Overtime!D101</f>
        <v>241889.07959999997</v>
      </c>
      <c r="K101">
        <f t="shared" si="4"/>
        <v>0.1</v>
      </c>
      <c r="L101">
        <f>IF(Performance!E101&lt;=1.5,0.01,IF(Performance!E101&lt;=2,0.02,IF(Performance!E101&lt;=3,0.03,"")))</f>
        <v>0.01</v>
      </c>
      <c r="M101">
        <f t="shared" si="5"/>
        <v>0.11</v>
      </c>
      <c r="N101">
        <f>Earnings!B101*(1+M101)</f>
        <v>1420618.3929000001</v>
      </c>
    </row>
    <row r="102" spans="1:14" x14ac:dyDescent="0.35">
      <c r="A102" t="s">
        <v>132</v>
      </c>
      <c r="B102" t="s">
        <v>29</v>
      </c>
      <c r="C102" t="s">
        <v>20</v>
      </c>
      <c r="D102" t="s">
        <v>21</v>
      </c>
      <c r="E102">
        <v>5.6</v>
      </c>
      <c r="F102" t="s">
        <v>70</v>
      </c>
      <c r="G102">
        <f>Earnings!G102</f>
        <v>1016782.19</v>
      </c>
      <c r="H102">
        <f>Deductions!B102+Deductions!C102+Deductions!D102+Tax!D102</f>
        <v>13156.213000000002</v>
      </c>
      <c r="I102">
        <f t="shared" si="3"/>
        <v>1003625.977</v>
      </c>
      <c r="J102">
        <f>Overtime!D102</f>
        <v>0</v>
      </c>
      <c r="K102">
        <f t="shared" si="4"/>
        <v>0.1</v>
      </c>
      <c r="L102">
        <f>IF(Performance!E102&lt;=1.5,0.01,IF(Performance!E102&lt;=2,0.02,IF(Performance!E102&lt;=3,0.03,"")))</f>
        <v>0.02</v>
      </c>
      <c r="M102">
        <f t="shared" si="5"/>
        <v>0.12000000000000001</v>
      </c>
      <c r="N102">
        <f>Earnings!B102*(1+M102)</f>
        <v>1196214.3424000002</v>
      </c>
    </row>
    <row r="103" spans="1:14" x14ac:dyDescent="0.35">
      <c r="A103" t="s">
        <v>133</v>
      </c>
      <c r="B103" t="s">
        <v>35</v>
      </c>
      <c r="C103" t="s">
        <v>20</v>
      </c>
      <c r="D103" t="s">
        <v>16</v>
      </c>
      <c r="E103">
        <v>7</v>
      </c>
      <c r="F103" t="s">
        <v>44</v>
      </c>
      <c r="G103">
        <f>Earnings!G103</f>
        <v>947997.98</v>
      </c>
      <c r="H103">
        <f>Deductions!B103+Deductions!C103+Deductions!D103+Tax!D103</f>
        <v>11384.936666666666</v>
      </c>
      <c r="I103">
        <f t="shared" si="3"/>
        <v>1041171.6443333334</v>
      </c>
      <c r="J103">
        <f>Overtime!D103</f>
        <v>104558.601</v>
      </c>
      <c r="K103">
        <f t="shared" si="4"/>
        <v>0.1</v>
      </c>
      <c r="L103">
        <f>IF(Performance!E103&lt;=1.5,0.01,IF(Performance!E103&lt;=2,0.02,IF(Performance!E103&lt;=3,0.03,"")))</f>
        <v>0.01</v>
      </c>
      <c r="M103">
        <f t="shared" si="5"/>
        <v>0.11</v>
      </c>
      <c r="N103">
        <f>Earnings!B103*(1+M103)</f>
        <v>1105333.7820000001</v>
      </c>
    </row>
    <row r="104" spans="1:14" x14ac:dyDescent="0.35">
      <c r="A104" t="s">
        <v>134</v>
      </c>
      <c r="B104" t="s">
        <v>26</v>
      </c>
      <c r="C104" t="s">
        <v>33</v>
      </c>
      <c r="D104" t="s">
        <v>16</v>
      </c>
      <c r="E104">
        <v>15.6</v>
      </c>
      <c r="F104" t="s">
        <v>31</v>
      </c>
      <c r="G104">
        <f>Earnings!G104</f>
        <v>910145.51</v>
      </c>
      <c r="H104">
        <f>Deductions!B104+Deductions!C104+Deductions!D104+Tax!D104</f>
        <v>10682.253333333332</v>
      </c>
      <c r="I104">
        <f t="shared" si="3"/>
        <v>899463.25666666671</v>
      </c>
      <c r="J104">
        <f>Overtime!D104</f>
        <v>0</v>
      </c>
      <c r="K104">
        <f t="shared" si="4"/>
        <v>0.08</v>
      </c>
      <c r="L104">
        <f>IF(Performance!E104&lt;=1.5,0.01,IF(Performance!E104&lt;=2,0.02,IF(Performance!E104&lt;=3,0.03,"")))</f>
        <v>0.01</v>
      </c>
      <c r="M104">
        <f t="shared" si="5"/>
        <v>0.09</v>
      </c>
      <c r="N104">
        <f>Earnings!B104*(1+M104)</f>
        <v>1042078.368</v>
      </c>
    </row>
    <row r="105" spans="1:14" x14ac:dyDescent="0.35">
      <c r="A105" t="s">
        <v>135</v>
      </c>
      <c r="B105" t="s">
        <v>19</v>
      </c>
      <c r="C105" t="s">
        <v>15</v>
      </c>
      <c r="D105" t="s">
        <v>21</v>
      </c>
      <c r="E105">
        <v>6</v>
      </c>
      <c r="F105" t="s">
        <v>27</v>
      </c>
      <c r="G105">
        <f>Earnings!G105</f>
        <v>855080.35</v>
      </c>
      <c r="H105">
        <f>Deductions!B105+Deductions!C105+Deductions!D105+Tax!D105</f>
        <v>9678.2275000000009</v>
      </c>
      <c r="I105">
        <f t="shared" si="3"/>
        <v>845402.12249999994</v>
      </c>
      <c r="J105">
        <f>Overtime!D105</f>
        <v>0</v>
      </c>
      <c r="K105">
        <f t="shared" si="4"/>
        <v>0.06</v>
      </c>
      <c r="L105">
        <f>IF(Performance!E105&lt;=1.5,0.01,IF(Performance!E105&lt;=2,0.02,IF(Performance!E105&lt;=3,0.03,"")))</f>
        <v>0.03</v>
      </c>
      <c r="M105">
        <f t="shared" si="5"/>
        <v>0.09</v>
      </c>
      <c r="N105">
        <f>Earnings!B105*(1+M105)</f>
        <v>979031.07850000006</v>
      </c>
    </row>
    <row r="106" spans="1:14" x14ac:dyDescent="0.35">
      <c r="A106" t="s">
        <v>136</v>
      </c>
      <c r="B106" t="s">
        <v>29</v>
      </c>
      <c r="C106" t="s">
        <v>43</v>
      </c>
      <c r="D106" t="s">
        <v>16</v>
      </c>
      <c r="E106">
        <v>22.1</v>
      </c>
      <c r="F106" t="s">
        <v>37</v>
      </c>
      <c r="G106">
        <f>Earnings!G106</f>
        <v>2443741.92</v>
      </c>
      <c r="H106">
        <f>Deductions!B106+Deductions!C106+Deductions!D106+Tax!D106</f>
        <v>50688.894999999997</v>
      </c>
      <c r="I106">
        <f t="shared" si="3"/>
        <v>2807616.3866999997</v>
      </c>
      <c r="J106">
        <f>Overtime!D106</f>
        <v>414563.36169999989</v>
      </c>
      <c r="K106">
        <f t="shared" si="4"/>
        <v>0.12</v>
      </c>
      <c r="L106">
        <f>IF(Performance!E106&lt;=1.5,0.01,IF(Performance!E106&lt;=2,0.02,IF(Performance!E106&lt;=3,0.03,"")))</f>
        <v>0.02</v>
      </c>
      <c r="M106">
        <f t="shared" si="5"/>
        <v>0.13999999999999999</v>
      </c>
      <c r="N106">
        <f>Earnings!B106*(1+M106)</f>
        <v>2926329.6119999997</v>
      </c>
    </row>
    <row r="107" spans="1:14" x14ac:dyDescent="0.35">
      <c r="A107" t="s">
        <v>137</v>
      </c>
      <c r="B107" t="s">
        <v>14</v>
      </c>
      <c r="C107" t="s">
        <v>15</v>
      </c>
      <c r="D107" t="s">
        <v>16</v>
      </c>
      <c r="E107">
        <v>6</v>
      </c>
      <c r="F107" t="s">
        <v>24</v>
      </c>
      <c r="G107">
        <f>Earnings!G107</f>
        <v>579926.98</v>
      </c>
      <c r="H107">
        <f>Deductions!B107+Deductions!C107+Deductions!D107+Tax!D107</f>
        <v>4861.1166666666668</v>
      </c>
      <c r="I107">
        <f t="shared" si="3"/>
        <v>575065.86333333328</v>
      </c>
      <c r="J107">
        <f>Overtime!D107</f>
        <v>0</v>
      </c>
      <c r="K107">
        <f t="shared" si="4"/>
        <v>0.06</v>
      </c>
      <c r="L107">
        <f>IF(Performance!E107&lt;=1.5,0.01,IF(Performance!E107&lt;=2,0.02,IF(Performance!E107&lt;=3,0.03,"")))</f>
        <v>0.01</v>
      </c>
      <c r="M107">
        <f t="shared" si="5"/>
        <v>6.9999999999999993E-2</v>
      </c>
      <c r="N107">
        <f>Earnings!B107*(1+M107)</f>
        <v>651808.69000000006</v>
      </c>
    </row>
    <row r="108" spans="1:14" x14ac:dyDescent="0.35">
      <c r="A108" t="s">
        <v>138</v>
      </c>
      <c r="B108" t="s">
        <v>29</v>
      </c>
      <c r="C108" t="s">
        <v>15</v>
      </c>
      <c r="D108" t="s">
        <v>16</v>
      </c>
      <c r="E108">
        <v>2</v>
      </c>
      <c r="F108" t="s">
        <v>24</v>
      </c>
      <c r="G108">
        <f>Earnings!G108</f>
        <v>1071995.79</v>
      </c>
      <c r="H108">
        <f>Deductions!B108+Deductions!C108+Deductions!D108+Tax!D108</f>
        <v>14526.15</v>
      </c>
      <c r="I108">
        <f t="shared" si="3"/>
        <v>1215116.08</v>
      </c>
      <c r="J108">
        <f>Overtime!D108</f>
        <v>157646.44</v>
      </c>
      <c r="K108">
        <f t="shared" si="4"/>
        <v>0.06</v>
      </c>
      <c r="L108">
        <f>IF(Performance!E108&lt;=1.5,0.01,IF(Performance!E108&lt;=2,0.02,IF(Performance!E108&lt;=3,0.03,"")))</f>
        <v>0.02</v>
      </c>
      <c r="M108">
        <f t="shared" si="5"/>
        <v>0.08</v>
      </c>
      <c r="N108">
        <f>Earnings!B108*(1+M108)</f>
        <v>1216129.6800000002</v>
      </c>
    </row>
    <row r="109" spans="1:14" x14ac:dyDescent="0.35">
      <c r="A109" t="s">
        <v>139</v>
      </c>
      <c r="B109" t="s">
        <v>19</v>
      </c>
      <c r="C109" t="s">
        <v>43</v>
      </c>
      <c r="D109" t="s">
        <v>16</v>
      </c>
      <c r="E109">
        <v>5.0999999999999996</v>
      </c>
      <c r="F109" t="s">
        <v>31</v>
      </c>
      <c r="G109">
        <f>Earnings!G109</f>
        <v>919623.43</v>
      </c>
      <c r="H109">
        <f>Deductions!B109+Deductions!C109+Deductions!D109+Tax!D109</f>
        <v>10948.183333333334</v>
      </c>
      <c r="I109">
        <f t="shared" si="3"/>
        <v>1056471.8696666667</v>
      </c>
      <c r="J109">
        <f>Overtime!D109</f>
        <v>147796.62299999999</v>
      </c>
      <c r="K109">
        <f t="shared" si="4"/>
        <v>0.12</v>
      </c>
      <c r="L109">
        <f>IF(Performance!E109&lt;=1.5,0.01,IF(Performance!E109&lt;=2,0.02,IF(Performance!E109&lt;=3,0.03,"")))</f>
        <v>0.03</v>
      </c>
      <c r="M109">
        <f t="shared" si="5"/>
        <v>0.15</v>
      </c>
      <c r="N109">
        <f>Earnings!B109*(1+M109)</f>
        <v>1110889.6499999999</v>
      </c>
    </row>
    <row r="110" spans="1:14" x14ac:dyDescent="0.35">
      <c r="A110" t="s">
        <v>140</v>
      </c>
      <c r="B110" t="s">
        <v>26</v>
      </c>
      <c r="C110" t="s">
        <v>33</v>
      </c>
      <c r="D110" t="s">
        <v>21</v>
      </c>
      <c r="E110">
        <v>9.6</v>
      </c>
      <c r="F110" t="s">
        <v>37</v>
      </c>
      <c r="G110">
        <f>Earnings!G110</f>
        <v>828026.31</v>
      </c>
      <c r="H110">
        <f>Deductions!B110+Deductions!C110+Deductions!D110+Tax!D110</f>
        <v>9244.592333333334</v>
      </c>
      <c r="I110">
        <f t="shared" si="3"/>
        <v>865749.59736666677</v>
      </c>
      <c r="J110">
        <f>Overtime!D110</f>
        <v>46967.879699999998</v>
      </c>
      <c r="K110">
        <f t="shared" si="4"/>
        <v>0.08</v>
      </c>
      <c r="L110">
        <f>IF(Performance!E110&lt;=1.5,0.01,IF(Performance!E110&lt;=2,0.02,IF(Performance!E110&lt;=3,0.03,"")))</f>
        <v>0.01</v>
      </c>
      <c r="M110">
        <f t="shared" si="5"/>
        <v>0.09</v>
      </c>
      <c r="N110">
        <f>Earnings!B110*(1+M110)</f>
        <v>948055.33860000013</v>
      </c>
    </row>
    <row r="111" spans="1:14" x14ac:dyDescent="0.35">
      <c r="A111" t="s">
        <v>141</v>
      </c>
      <c r="B111" t="s">
        <v>29</v>
      </c>
      <c r="C111" t="s">
        <v>43</v>
      </c>
      <c r="D111" t="s">
        <v>16</v>
      </c>
      <c r="E111">
        <v>5.0999999999999996</v>
      </c>
      <c r="F111" t="s">
        <v>17</v>
      </c>
      <c r="G111">
        <f>Earnings!G111</f>
        <v>1159590.07</v>
      </c>
      <c r="H111">
        <f>Deductions!B111+Deductions!C111+Deductions!D111+Tax!D111</f>
        <v>16966.419999999998</v>
      </c>
      <c r="I111">
        <f t="shared" si="3"/>
        <v>1432521.1684000001</v>
      </c>
      <c r="J111">
        <f>Overtime!D111</f>
        <v>289897.5184</v>
      </c>
      <c r="K111">
        <f t="shared" si="4"/>
        <v>0.12</v>
      </c>
      <c r="L111">
        <f>IF(Performance!E111&lt;=1.5,0.01,IF(Performance!E111&lt;=2,0.02,IF(Performance!E111&lt;=3,0.03,"")))</f>
        <v>0.02</v>
      </c>
      <c r="M111">
        <f t="shared" si="5"/>
        <v>0.13999999999999999</v>
      </c>
      <c r="N111">
        <f>Earnings!B111*(1+M111)</f>
        <v>1388584.7519999999</v>
      </c>
    </row>
    <row r="112" spans="1:14" x14ac:dyDescent="0.35">
      <c r="A112" t="s">
        <v>142</v>
      </c>
      <c r="B112" t="s">
        <v>29</v>
      </c>
      <c r="C112" t="s">
        <v>43</v>
      </c>
      <c r="D112" t="s">
        <v>21</v>
      </c>
      <c r="E112">
        <v>25.5</v>
      </c>
      <c r="F112" t="s">
        <v>44</v>
      </c>
      <c r="G112">
        <f>Earnings!G112</f>
        <v>1664614.22</v>
      </c>
      <c r="H112">
        <f>Deductions!B112+Deductions!C112+Deductions!D112+Tax!D112</f>
        <v>30228.608750000003</v>
      </c>
      <c r="I112">
        <f t="shared" si="3"/>
        <v>1812737.1349500001</v>
      </c>
      <c r="J112">
        <f>Overtime!D112</f>
        <v>178351.52369999999</v>
      </c>
      <c r="K112">
        <f t="shared" si="4"/>
        <v>0.12</v>
      </c>
      <c r="L112">
        <f>IF(Performance!E112&lt;=1.5,0.01,IF(Performance!E112&lt;=2,0.02,IF(Performance!E112&lt;=3,0.03,"")))</f>
        <v>0.02</v>
      </c>
      <c r="M112">
        <f t="shared" si="5"/>
        <v>0.13999999999999999</v>
      </c>
      <c r="N112">
        <f>Earnings!B112*(1+M112)</f>
        <v>1993340.5589999999</v>
      </c>
    </row>
    <row r="113" spans="1:14" x14ac:dyDescent="0.35">
      <c r="A113" t="s">
        <v>143</v>
      </c>
      <c r="B113" t="s">
        <v>19</v>
      </c>
      <c r="C113" t="s">
        <v>43</v>
      </c>
      <c r="D113" t="s">
        <v>21</v>
      </c>
      <c r="E113">
        <v>20.399999999999999</v>
      </c>
      <c r="F113" t="s">
        <v>27</v>
      </c>
      <c r="G113">
        <f>Earnings!G113</f>
        <v>1266591.3999999999</v>
      </c>
      <c r="H113">
        <f>Deductions!B113+Deductions!C113+Deductions!D113+Tax!D113</f>
        <v>19776.328749999997</v>
      </c>
      <c r="I113">
        <f t="shared" si="3"/>
        <v>1586080.6244999999</v>
      </c>
      <c r="J113">
        <f>Overtime!D113</f>
        <v>339265.55325</v>
      </c>
      <c r="K113">
        <f t="shared" si="4"/>
        <v>0.12</v>
      </c>
      <c r="L113">
        <f>IF(Performance!E113&lt;=1.5,0.01,IF(Performance!E113&lt;=2,0.02,IF(Performance!E113&lt;=3,0.03,"")))</f>
        <v>0.03</v>
      </c>
      <c r="M113">
        <f t="shared" si="5"/>
        <v>0.15</v>
      </c>
      <c r="N113">
        <f>Earnings!B113*(1+M113)</f>
        <v>1530021.1224999998</v>
      </c>
    </row>
    <row r="114" spans="1:14" x14ac:dyDescent="0.35">
      <c r="A114" t="s">
        <v>144</v>
      </c>
      <c r="B114" t="s">
        <v>35</v>
      </c>
      <c r="C114" t="s">
        <v>15</v>
      </c>
      <c r="D114" t="s">
        <v>21</v>
      </c>
      <c r="E114">
        <v>6</v>
      </c>
      <c r="F114" t="s">
        <v>24</v>
      </c>
      <c r="G114">
        <f>Earnings!G114</f>
        <v>840539.41</v>
      </c>
      <c r="H114">
        <f>Deductions!B114+Deductions!C114+Deductions!D114+Tax!D114</f>
        <v>9423.6591666666682</v>
      </c>
      <c r="I114">
        <f t="shared" si="3"/>
        <v>963553.68333333335</v>
      </c>
      <c r="J114">
        <f>Overtime!D114</f>
        <v>132437.9325</v>
      </c>
      <c r="K114">
        <f t="shared" si="4"/>
        <v>0.06</v>
      </c>
      <c r="L114">
        <f>IF(Performance!E114&lt;=1.5,0.01,IF(Performance!E114&lt;=2,0.02,IF(Performance!E114&lt;=3,0.03,"")))</f>
        <v>0.01</v>
      </c>
      <c r="M114">
        <f t="shared" si="5"/>
        <v>6.9999999999999993E-2</v>
      </c>
      <c r="N114">
        <f>Earnings!B114*(1+M114)</f>
        <v>944723.91850000015</v>
      </c>
    </row>
    <row r="115" spans="1:14" x14ac:dyDescent="0.35">
      <c r="A115" t="s">
        <v>145</v>
      </c>
      <c r="B115" t="s">
        <v>14</v>
      </c>
      <c r="C115" t="s">
        <v>15</v>
      </c>
      <c r="D115" t="s">
        <v>16</v>
      </c>
      <c r="E115">
        <v>4</v>
      </c>
      <c r="F115" t="s">
        <v>17</v>
      </c>
      <c r="G115">
        <f>Earnings!G115</f>
        <v>544789.62</v>
      </c>
      <c r="H115">
        <f>Deductions!B115+Deductions!C115+Deductions!D115+Tax!D115</f>
        <v>4245.9666666666672</v>
      </c>
      <c r="I115">
        <f t="shared" si="3"/>
        <v>572017.84333333327</v>
      </c>
      <c r="J115">
        <f>Overtime!D115</f>
        <v>31474.19</v>
      </c>
      <c r="K115">
        <f t="shared" si="4"/>
        <v>0.06</v>
      </c>
      <c r="L115">
        <f>IF(Performance!E115&lt;=1.5,0.01,IF(Performance!E115&lt;=2,0.02,IF(Performance!E115&lt;=3,0.03,"")))</f>
        <v>0.01</v>
      </c>
      <c r="M115">
        <f t="shared" si="5"/>
        <v>6.9999999999999993E-2</v>
      </c>
      <c r="N115">
        <f>Earnings!B115*(1+M115)</f>
        <v>612316.06000000006</v>
      </c>
    </row>
    <row r="116" spans="1:14" x14ac:dyDescent="0.35">
      <c r="A116" t="s">
        <v>146</v>
      </c>
      <c r="B116" t="s">
        <v>29</v>
      </c>
      <c r="C116" t="s">
        <v>15</v>
      </c>
      <c r="D116" t="s">
        <v>16</v>
      </c>
      <c r="E116">
        <v>13</v>
      </c>
      <c r="F116" t="s">
        <v>22</v>
      </c>
      <c r="G116">
        <f>Earnings!G116</f>
        <v>1444375.35</v>
      </c>
      <c r="H116">
        <f>Deductions!B116+Deductions!C116+Deductions!D116+Tax!D116</f>
        <v>24305.024999999998</v>
      </c>
      <c r="I116">
        <f t="shared" si="3"/>
        <v>1420070.3250000002</v>
      </c>
      <c r="J116">
        <f>Overtime!D116</f>
        <v>0</v>
      </c>
      <c r="K116">
        <f t="shared" si="4"/>
        <v>0.06</v>
      </c>
      <c r="L116">
        <f>IF(Performance!E116&lt;=1.5,0.01,IF(Performance!E116&lt;=2,0.02,IF(Performance!E116&lt;=3,0.03,"")))</f>
        <v>0.02</v>
      </c>
      <c r="M116">
        <f t="shared" si="5"/>
        <v>0.08</v>
      </c>
      <c r="N116">
        <f>Earnings!B116*(1+M116)</f>
        <v>1638577.08</v>
      </c>
    </row>
    <row r="117" spans="1:14" x14ac:dyDescent="0.35">
      <c r="A117" t="s">
        <v>147</v>
      </c>
      <c r="B117" t="s">
        <v>26</v>
      </c>
      <c r="C117" t="s">
        <v>33</v>
      </c>
      <c r="D117" t="s">
        <v>16</v>
      </c>
      <c r="E117">
        <v>13.2</v>
      </c>
      <c r="F117" t="s">
        <v>70</v>
      </c>
      <c r="G117">
        <f>Earnings!G117</f>
        <v>1137536.8</v>
      </c>
      <c r="H117">
        <f>Deductions!B117+Deductions!C117+Deductions!D117+Tax!D117</f>
        <v>16287.290000000003</v>
      </c>
      <c r="I117">
        <f t="shared" si="3"/>
        <v>1178604.3067999999</v>
      </c>
      <c r="J117">
        <f>Overtime!D117</f>
        <v>57354.796800000004</v>
      </c>
      <c r="K117">
        <f t="shared" si="4"/>
        <v>0.08</v>
      </c>
      <c r="L117">
        <f>IF(Performance!E117&lt;=1.5,0.01,IF(Performance!E117&lt;=2,0.02,IF(Performance!E117&lt;=3,0.03,"")))</f>
        <v>0.01</v>
      </c>
      <c r="M117">
        <f t="shared" si="5"/>
        <v>0.09</v>
      </c>
      <c r="N117">
        <f>Earnings!B117*(1+M117)</f>
        <v>1302431.8440000003</v>
      </c>
    </row>
    <row r="118" spans="1:14" x14ac:dyDescent="0.35">
      <c r="A118" t="s">
        <v>148</v>
      </c>
      <c r="B118" t="s">
        <v>35</v>
      </c>
      <c r="C118" t="s">
        <v>15</v>
      </c>
      <c r="D118" t="s">
        <v>21</v>
      </c>
      <c r="E118">
        <v>7</v>
      </c>
      <c r="F118" t="s">
        <v>27</v>
      </c>
      <c r="G118">
        <f>Earnings!G118</f>
        <v>805721.82</v>
      </c>
      <c r="H118">
        <f>Deductions!B118+Deductions!C118+Deductions!D118+Tax!D118</f>
        <v>8814.1074999999983</v>
      </c>
      <c r="I118">
        <f t="shared" si="3"/>
        <v>851920.23174999992</v>
      </c>
      <c r="J118">
        <f>Overtime!D118</f>
        <v>55012.519249999998</v>
      </c>
      <c r="K118">
        <f t="shared" si="4"/>
        <v>0.06</v>
      </c>
      <c r="L118">
        <f>IF(Performance!E118&lt;=1.5,0.01,IF(Performance!E118&lt;=2,0.02,IF(Performance!E118&lt;=3,0.03,"")))</f>
        <v>0.01</v>
      </c>
      <c r="M118">
        <f t="shared" si="5"/>
        <v>6.9999999999999993E-2</v>
      </c>
      <c r="N118">
        <f>Earnings!B118*(1+M118)</f>
        <v>905590.70149999997</v>
      </c>
    </row>
    <row r="119" spans="1:14" x14ac:dyDescent="0.35">
      <c r="A119" t="s">
        <v>149</v>
      </c>
      <c r="B119" t="s">
        <v>29</v>
      </c>
      <c r="C119" t="s">
        <v>43</v>
      </c>
      <c r="D119" t="s">
        <v>21</v>
      </c>
      <c r="E119">
        <v>17</v>
      </c>
      <c r="F119" t="s">
        <v>37</v>
      </c>
      <c r="G119">
        <f>Earnings!G119</f>
        <v>1694734.99</v>
      </c>
      <c r="H119">
        <f>Deductions!B119+Deductions!C119+Deductions!D119+Tax!D119</f>
        <v>31019.595250000002</v>
      </c>
      <c r="I119">
        <f t="shared" si="3"/>
        <v>1784767.89485</v>
      </c>
      <c r="J119">
        <f>Overtime!D119</f>
        <v>121052.5001</v>
      </c>
      <c r="K119">
        <f t="shared" si="4"/>
        <v>0.12</v>
      </c>
      <c r="L119">
        <f>IF(Performance!E119&lt;=1.5,0.01,IF(Performance!E119&lt;=2,0.02,IF(Performance!E119&lt;=3,0.03,"")))</f>
        <v>0.02</v>
      </c>
      <c r="M119">
        <f t="shared" si="5"/>
        <v>0.13999999999999999</v>
      </c>
      <c r="N119">
        <f>Earnings!B119*(1+M119)</f>
        <v>2029409.5433999998</v>
      </c>
    </row>
    <row r="120" spans="1:14" x14ac:dyDescent="0.35">
      <c r="A120" t="s">
        <v>150</v>
      </c>
      <c r="B120" t="s">
        <v>35</v>
      </c>
      <c r="C120" t="s">
        <v>20</v>
      </c>
      <c r="D120" t="s">
        <v>16</v>
      </c>
      <c r="E120">
        <v>8.4</v>
      </c>
      <c r="F120" t="s">
        <v>24</v>
      </c>
      <c r="G120">
        <f>Earnings!G120</f>
        <v>1090603.58</v>
      </c>
      <c r="H120">
        <f>Deductions!B120+Deductions!C120+Deductions!D120+Tax!D120</f>
        <v>15094.800000000001</v>
      </c>
      <c r="I120">
        <f t="shared" si="3"/>
        <v>1075508.78</v>
      </c>
      <c r="J120">
        <f>Overtime!D120</f>
        <v>0</v>
      </c>
      <c r="K120">
        <f t="shared" si="4"/>
        <v>0.1</v>
      </c>
      <c r="L120">
        <f>IF(Performance!E120&lt;=1.5,0.01,IF(Performance!E120&lt;=2,0.02,IF(Performance!E120&lt;=3,0.03,"")))</f>
        <v>0.01</v>
      </c>
      <c r="M120">
        <f t="shared" si="5"/>
        <v>0.11</v>
      </c>
      <c r="N120">
        <f>Earnings!B120*(1+M120)</f>
        <v>1271607.1200000001</v>
      </c>
    </row>
    <row r="121" spans="1:14" x14ac:dyDescent="0.35">
      <c r="A121" t="s">
        <v>151</v>
      </c>
      <c r="B121" t="s">
        <v>29</v>
      </c>
      <c r="C121" t="s">
        <v>15</v>
      </c>
      <c r="D121" t="s">
        <v>16</v>
      </c>
      <c r="E121">
        <v>7</v>
      </c>
      <c r="F121" t="s">
        <v>22</v>
      </c>
      <c r="G121">
        <f>Earnings!G121</f>
        <v>1203825.8999999999</v>
      </c>
      <c r="H121">
        <f>Deductions!B121+Deductions!C121+Deductions!D121+Tax!D121</f>
        <v>17988.074999999997</v>
      </c>
      <c r="I121">
        <f t="shared" si="3"/>
        <v>1185837.825</v>
      </c>
      <c r="J121">
        <f>Overtime!D121</f>
        <v>0</v>
      </c>
      <c r="K121">
        <f t="shared" si="4"/>
        <v>0.06</v>
      </c>
      <c r="L121">
        <f>IF(Performance!E121&lt;=1.5,0.01,IF(Performance!E121&lt;=2,0.02,IF(Performance!E121&lt;=3,0.03,"")))</f>
        <v>0.02</v>
      </c>
      <c r="M121">
        <f t="shared" si="5"/>
        <v>0.08</v>
      </c>
      <c r="N121">
        <f>Earnings!B121*(1+M121)</f>
        <v>1365684.84</v>
      </c>
    </row>
    <row r="122" spans="1:14" x14ac:dyDescent="0.35">
      <c r="A122" t="s">
        <v>152</v>
      </c>
      <c r="B122" t="s">
        <v>29</v>
      </c>
      <c r="C122" t="s">
        <v>33</v>
      </c>
      <c r="D122" t="s">
        <v>21</v>
      </c>
      <c r="E122">
        <v>2.4</v>
      </c>
      <c r="F122" t="s">
        <v>24</v>
      </c>
      <c r="G122">
        <f>Earnings!G122</f>
        <v>920691.86</v>
      </c>
      <c r="H122">
        <f>Deductions!B122+Deductions!C122+Deductions!D122+Tax!D122</f>
        <v>10866.888333333334</v>
      </c>
      <c r="I122">
        <f t="shared" si="3"/>
        <v>1083905.3656666668</v>
      </c>
      <c r="J122">
        <f>Overtime!D122</f>
        <v>174080.394</v>
      </c>
      <c r="K122">
        <f t="shared" si="4"/>
        <v>0.08</v>
      </c>
      <c r="L122">
        <f>IF(Performance!E122&lt;=1.5,0.01,IF(Performance!E122&lt;=2,0.02,IF(Performance!E122&lt;=3,0.03,"")))</f>
        <v>0.02</v>
      </c>
      <c r="M122">
        <f t="shared" si="5"/>
        <v>0.1</v>
      </c>
      <c r="N122">
        <f>Earnings!B122*(1+M122)</f>
        <v>1063824.6300000001</v>
      </c>
    </row>
    <row r="123" spans="1:14" x14ac:dyDescent="0.35">
      <c r="A123" t="s">
        <v>153</v>
      </c>
      <c r="B123" t="s">
        <v>29</v>
      </c>
      <c r="C123" t="s">
        <v>15</v>
      </c>
      <c r="D123" t="s">
        <v>16</v>
      </c>
      <c r="E123">
        <v>11</v>
      </c>
      <c r="F123" t="s">
        <v>31</v>
      </c>
      <c r="G123">
        <f>Earnings!G123</f>
        <v>967130.14</v>
      </c>
      <c r="H123">
        <f>Deductions!B123+Deductions!C123+Deductions!D123+Tax!D123</f>
        <v>11772.324999999999</v>
      </c>
      <c r="I123">
        <f t="shared" si="3"/>
        <v>955357.81500000006</v>
      </c>
      <c r="J123">
        <f>Overtime!D123</f>
        <v>0</v>
      </c>
      <c r="K123">
        <f t="shared" si="4"/>
        <v>0.06</v>
      </c>
      <c r="L123">
        <f>IF(Performance!E123&lt;=1.5,0.01,IF(Performance!E123&lt;=2,0.02,IF(Performance!E123&lt;=3,0.03,"")))</f>
        <v>0.02</v>
      </c>
      <c r="M123">
        <f t="shared" si="5"/>
        <v>0.08</v>
      </c>
      <c r="N123">
        <f>Earnings!B123*(1+M123)</f>
        <v>1097164.4400000002</v>
      </c>
    </row>
    <row r="124" spans="1:14" x14ac:dyDescent="0.35">
      <c r="A124" t="s">
        <v>154</v>
      </c>
      <c r="B124" t="s">
        <v>35</v>
      </c>
      <c r="C124" t="s">
        <v>20</v>
      </c>
      <c r="D124" t="s">
        <v>21</v>
      </c>
      <c r="E124">
        <v>14</v>
      </c>
      <c r="F124" t="s">
        <v>70</v>
      </c>
      <c r="G124">
        <f>Earnings!G124</f>
        <v>1019581.67</v>
      </c>
      <c r="H124">
        <f>Deductions!B124+Deductions!C124+Deductions!D124+Tax!D124</f>
        <v>13229.728749999997</v>
      </c>
      <c r="I124">
        <f t="shared" si="3"/>
        <v>1073824.2577</v>
      </c>
      <c r="J124">
        <f>Overtime!D124</f>
        <v>67472.316449999998</v>
      </c>
      <c r="K124">
        <f t="shared" si="4"/>
        <v>0.1</v>
      </c>
      <c r="L124">
        <f>IF(Performance!E124&lt;=1.5,0.01,IF(Performance!E124&lt;=2,0.02,IF(Performance!E124&lt;=3,0.03,"")))</f>
        <v>0.01</v>
      </c>
      <c r="M124">
        <f t="shared" si="5"/>
        <v>0.11</v>
      </c>
      <c r="N124">
        <f>Earnings!B124*(1+M124)</f>
        <v>1188797.9565000001</v>
      </c>
    </row>
    <row r="125" spans="1:14" x14ac:dyDescent="0.35">
      <c r="A125" t="s">
        <v>155</v>
      </c>
      <c r="B125" t="s">
        <v>19</v>
      </c>
      <c r="C125" t="s">
        <v>15</v>
      </c>
      <c r="D125" t="s">
        <v>21</v>
      </c>
      <c r="E125">
        <v>13</v>
      </c>
      <c r="F125" t="s">
        <v>24</v>
      </c>
      <c r="G125">
        <f>Earnings!G125</f>
        <v>825960.48</v>
      </c>
      <c r="H125">
        <f>Deductions!B125+Deductions!C125+Deductions!D125+Tax!D125</f>
        <v>9168.4258333333346</v>
      </c>
      <c r="I125">
        <f t="shared" si="3"/>
        <v>942594.85891666671</v>
      </c>
      <c r="J125">
        <f>Overtime!D125</f>
        <v>125802.80474999998</v>
      </c>
      <c r="K125">
        <f t="shared" si="4"/>
        <v>0.06</v>
      </c>
      <c r="L125">
        <f>IF(Performance!E125&lt;=1.5,0.01,IF(Performance!E125&lt;=2,0.02,IF(Performance!E125&lt;=3,0.03,"")))</f>
        <v>0.03</v>
      </c>
      <c r="M125">
        <f t="shared" si="5"/>
        <v>0.09</v>
      </c>
      <c r="N125">
        <f>Earnings!B125*(1+M125)</f>
        <v>945690.04950000008</v>
      </c>
    </row>
    <row r="126" spans="1:14" x14ac:dyDescent="0.35">
      <c r="A126" t="s">
        <v>156</v>
      </c>
      <c r="B126" t="s">
        <v>14</v>
      </c>
      <c r="C126" t="s">
        <v>20</v>
      </c>
      <c r="D126" t="s">
        <v>21</v>
      </c>
      <c r="E126">
        <v>5.6</v>
      </c>
      <c r="F126" t="s">
        <v>22</v>
      </c>
      <c r="G126">
        <f>Earnings!G126</f>
        <v>853714.71</v>
      </c>
      <c r="H126">
        <f>Deductions!B126+Deductions!C126+Deductions!D126+Tax!D126</f>
        <v>9734.319166666668</v>
      </c>
      <c r="I126">
        <f t="shared" si="3"/>
        <v>1013467.8701833332</v>
      </c>
      <c r="J126">
        <f>Overtime!D126</f>
        <v>169487.47934999995</v>
      </c>
      <c r="K126">
        <f t="shared" si="4"/>
        <v>0.1</v>
      </c>
      <c r="L126">
        <f>IF(Performance!E126&lt;=1.5,0.01,IF(Performance!E126&lt;=2,0.02,IF(Performance!E126&lt;=3,0.03,"")))</f>
        <v>0.01</v>
      </c>
      <c r="M126">
        <f t="shared" si="5"/>
        <v>0.11</v>
      </c>
      <c r="N126">
        <f>Earnings!B126*(1+M126)</f>
        <v>995402.65650000016</v>
      </c>
    </row>
    <row r="127" spans="1:14" x14ac:dyDescent="0.35">
      <c r="A127" t="s">
        <v>157</v>
      </c>
      <c r="B127" t="s">
        <v>14</v>
      </c>
      <c r="C127" t="s">
        <v>33</v>
      </c>
      <c r="D127" t="s">
        <v>16</v>
      </c>
      <c r="E127">
        <v>18</v>
      </c>
      <c r="F127" t="s">
        <v>27</v>
      </c>
      <c r="G127">
        <f>Earnings!G127</f>
        <v>1044411.78</v>
      </c>
      <c r="H127">
        <f>Deductions!B127+Deductions!C127+Deductions!D127+Tax!D127</f>
        <v>13841.779999999999</v>
      </c>
      <c r="I127">
        <f t="shared" si="3"/>
        <v>1201713.1072</v>
      </c>
      <c r="J127">
        <f>Overtime!D127</f>
        <v>171143.1072</v>
      </c>
      <c r="K127">
        <f t="shared" si="4"/>
        <v>0.08</v>
      </c>
      <c r="L127">
        <f>IF(Performance!E127&lt;=1.5,0.01,IF(Performance!E127&lt;=2,0.02,IF(Performance!E127&lt;=3,0.03,"")))</f>
        <v>0.01</v>
      </c>
      <c r="M127">
        <f t="shared" si="5"/>
        <v>0.09</v>
      </c>
      <c r="N127">
        <f>Earnings!B127*(1+M127)</f>
        <v>1195807.608</v>
      </c>
    </row>
    <row r="128" spans="1:14" x14ac:dyDescent="0.35">
      <c r="A128" t="s">
        <v>158</v>
      </c>
      <c r="B128" t="s">
        <v>29</v>
      </c>
      <c r="C128" t="s">
        <v>43</v>
      </c>
      <c r="D128" t="s">
        <v>16</v>
      </c>
      <c r="E128">
        <v>11.9</v>
      </c>
      <c r="F128" t="s">
        <v>27</v>
      </c>
      <c r="G128">
        <f>Earnings!G128</f>
        <v>1441952.32</v>
      </c>
      <c r="H128">
        <f>Deductions!B128+Deductions!C128+Deductions!D128+Tax!D128</f>
        <v>24381.395</v>
      </c>
      <c r="I128">
        <f t="shared" si="3"/>
        <v>1546316.6680000001</v>
      </c>
      <c r="J128">
        <f>Overtime!D128</f>
        <v>128745.74299999999</v>
      </c>
      <c r="K128">
        <f t="shared" si="4"/>
        <v>0.12</v>
      </c>
      <c r="L128">
        <f>IF(Performance!E128&lt;=1.5,0.01,IF(Performance!E128&lt;=2,0.02,IF(Performance!E128&lt;=3,0.03,"")))</f>
        <v>0.02</v>
      </c>
      <c r="M128">
        <f t="shared" si="5"/>
        <v>0.13999999999999999</v>
      </c>
      <c r="N128">
        <f>Earnings!B128*(1+M128)</f>
        <v>1726707.612</v>
      </c>
    </row>
    <row r="129" spans="1:14" x14ac:dyDescent="0.35">
      <c r="A129" t="s">
        <v>159</v>
      </c>
      <c r="B129" t="s">
        <v>19</v>
      </c>
      <c r="C129" t="s">
        <v>15</v>
      </c>
      <c r="D129" t="s">
        <v>16</v>
      </c>
      <c r="E129">
        <v>0</v>
      </c>
      <c r="F129" t="s">
        <v>17</v>
      </c>
      <c r="G129">
        <f>Earnings!G129</f>
        <v>402279.02</v>
      </c>
      <c r="H129">
        <f>Deductions!B129+Deductions!C129+Deductions!D129+Tax!D129</f>
        <v>2719.0083333333332</v>
      </c>
      <c r="I129">
        <f t="shared" si="3"/>
        <v>399560.01166666666</v>
      </c>
      <c r="J129">
        <f>Overtime!D129</f>
        <v>0</v>
      </c>
      <c r="K129">
        <f t="shared" si="4"/>
        <v>0.06</v>
      </c>
      <c r="L129">
        <f>IF(Performance!E129&lt;=1.5,0.01,IF(Performance!E129&lt;=2,0.02,IF(Performance!E129&lt;=3,0.03,"")))</f>
        <v>0.03</v>
      </c>
      <c r="M129">
        <f t="shared" si="5"/>
        <v>0.09</v>
      </c>
      <c r="N129">
        <f>Earnings!B129*(1+M129)</f>
        <v>460592.58</v>
      </c>
    </row>
    <row r="130" spans="1:14" x14ac:dyDescent="0.35">
      <c r="A130" t="s">
        <v>160</v>
      </c>
      <c r="B130" t="s">
        <v>14</v>
      </c>
      <c r="C130" t="s">
        <v>33</v>
      </c>
      <c r="D130" t="s">
        <v>16</v>
      </c>
      <c r="E130">
        <v>16.8</v>
      </c>
      <c r="F130" t="s">
        <v>22</v>
      </c>
      <c r="G130">
        <f>Earnings!G130</f>
        <v>875449.68</v>
      </c>
      <c r="H130">
        <f>Deductions!B130+Deductions!C130+Deductions!D130+Tax!D130</f>
        <v>10074.833333333332</v>
      </c>
      <c r="I130">
        <f t="shared" ref="I130:I193" si="6">G130-H130+J130</f>
        <v>903997.62666666671</v>
      </c>
      <c r="J130">
        <f>Overtime!D130</f>
        <v>38622.78</v>
      </c>
      <c r="K130">
        <f t="shared" ref="K130:K193" si="7">IF(C130="Junior",0.06,IF(C130="Mid",0.08,IF(C130="Senior",0.1,IF(C130="Manager",0.12,0))))</f>
        <v>0.08</v>
      </c>
      <c r="L130">
        <f>IF(Performance!E130&lt;=1.5,0.01,IF(Performance!E130&lt;=2,0.02,IF(Performance!E130&lt;=3,0.03,"")))</f>
        <v>0.01</v>
      </c>
      <c r="M130">
        <f t="shared" ref="M130:M193" si="8">K130+L130</f>
        <v>0.09</v>
      </c>
      <c r="N130">
        <f>Earnings!B130*(1+M130)</f>
        <v>1002353.1000000001</v>
      </c>
    </row>
    <row r="131" spans="1:14" x14ac:dyDescent="0.35">
      <c r="A131" t="s">
        <v>161</v>
      </c>
      <c r="B131" t="s">
        <v>19</v>
      </c>
      <c r="C131" t="s">
        <v>15</v>
      </c>
      <c r="D131" t="s">
        <v>16</v>
      </c>
      <c r="E131">
        <v>4</v>
      </c>
      <c r="F131" t="s">
        <v>70</v>
      </c>
      <c r="G131">
        <f>Earnings!G131</f>
        <v>756658.17</v>
      </c>
      <c r="H131">
        <f>Deductions!B131+Deductions!C131+Deductions!D131+Tax!D131</f>
        <v>7955.1500000000005</v>
      </c>
      <c r="I131">
        <f t="shared" si="6"/>
        <v>748703.02</v>
      </c>
      <c r="J131">
        <f>Overtime!D131</f>
        <v>0</v>
      </c>
      <c r="K131">
        <f t="shared" si="7"/>
        <v>0.06</v>
      </c>
      <c r="L131">
        <f>IF(Performance!E131&lt;=1.5,0.01,IF(Performance!E131&lt;=2,0.02,IF(Performance!E131&lt;=3,0.03,"")))</f>
        <v>0.03</v>
      </c>
      <c r="M131">
        <f t="shared" si="8"/>
        <v>0.09</v>
      </c>
      <c r="N131">
        <f>Earnings!B131*(1+M131)</f>
        <v>866341.81</v>
      </c>
    </row>
    <row r="132" spans="1:14" x14ac:dyDescent="0.35">
      <c r="A132" t="s">
        <v>162</v>
      </c>
      <c r="B132" t="s">
        <v>19</v>
      </c>
      <c r="C132" t="s">
        <v>20</v>
      </c>
      <c r="D132" t="s">
        <v>21</v>
      </c>
      <c r="E132">
        <v>19.600000000000001</v>
      </c>
      <c r="F132" t="s">
        <v>22</v>
      </c>
      <c r="G132">
        <f>Earnings!G132</f>
        <v>1356422.01</v>
      </c>
      <c r="H132">
        <f>Deductions!B132+Deductions!C132+Deductions!D132+Tax!D132</f>
        <v>22075.326000000001</v>
      </c>
      <c r="I132">
        <f t="shared" si="6"/>
        <v>1483952.0542499998</v>
      </c>
      <c r="J132">
        <f>Overtime!D132</f>
        <v>149605.37024999998</v>
      </c>
      <c r="K132">
        <f t="shared" si="7"/>
        <v>0.1</v>
      </c>
      <c r="L132">
        <f>IF(Performance!E132&lt;=1.5,0.01,IF(Performance!E132&lt;=2,0.02,IF(Performance!E132&lt;=3,0.03,"")))</f>
        <v>0.03</v>
      </c>
      <c r="M132">
        <f t="shared" si="8"/>
        <v>0.13</v>
      </c>
      <c r="N132">
        <f>Earnings!B132*(1+M132)</f>
        <v>1610038.7352</v>
      </c>
    </row>
    <row r="133" spans="1:14" x14ac:dyDescent="0.35">
      <c r="A133" t="s">
        <v>163</v>
      </c>
      <c r="B133" t="s">
        <v>29</v>
      </c>
      <c r="C133" t="s">
        <v>33</v>
      </c>
      <c r="D133" t="s">
        <v>21</v>
      </c>
      <c r="E133">
        <v>12</v>
      </c>
      <c r="F133" t="s">
        <v>37</v>
      </c>
      <c r="G133">
        <f>Earnings!G133</f>
        <v>1370268.02</v>
      </c>
      <c r="H133">
        <f>Deductions!B133+Deductions!C133+Deductions!D133+Tax!D133</f>
        <v>22398.928999999996</v>
      </c>
      <c r="I133">
        <f t="shared" si="6"/>
        <v>1581044.9493</v>
      </c>
      <c r="J133">
        <f>Overtime!D133</f>
        <v>233175.85829999999</v>
      </c>
      <c r="K133">
        <f t="shared" si="7"/>
        <v>0.08</v>
      </c>
      <c r="L133">
        <f>IF(Performance!E133&lt;=1.5,0.01,IF(Performance!E133&lt;=2,0.02,IF(Performance!E133&lt;=3,0.03,"")))</f>
        <v>0.02</v>
      </c>
      <c r="M133">
        <f t="shared" si="8"/>
        <v>0.1</v>
      </c>
      <c r="N133">
        <f>Earnings!B133*(1+M133)</f>
        <v>1583292.8759999999</v>
      </c>
    </row>
    <row r="134" spans="1:14" x14ac:dyDescent="0.35">
      <c r="A134" t="s">
        <v>164</v>
      </c>
      <c r="B134" t="s">
        <v>14</v>
      </c>
      <c r="C134" t="s">
        <v>43</v>
      </c>
      <c r="D134" t="s">
        <v>21</v>
      </c>
      <c r="E134">
        <v>0</v>
      </c>
      <c r="F134" t="s">
        <v>37</v>
      </c>
      <c r="G134">
        <f>Earnings!G134</f>
        <v>689587.45</v>
      </c>
      <c r="H134">
        <f>Deductions!B134+Deductions!C134+Deductions!D134+Tax!D134</f>
        <v>6920.9428333333326</v>
      </c>
      <c r="I134">
        <f t="shared" si="6"/>
        <v>725765.72337916668</v>
      </c>
      <c r="J134">
        <f>Overtime!D134</f>
        <v>43099.216212500003</v>
      </c>
      <c r="K134">
        <f t="shared" si="7"/>
        <v>0.12</v>
      </c>
      <c r="L134">
        <f>IF(Performance!E134&lt;=1.5,0.01,IF(Performance!E134&lt;=2,0.02,IF(Performance!E134&lt;=3,0.03,"")))</f>
        <v>0.01</v>
      </c>
      <c r="M134">
        <f t="shared" si="8"/>
        <v>0.13</v>
      </c>
      <c r="N134">
        <f>Earnings!B134*(1+M134)</f>
        <v>818522.92409999983</v>
      </c>
    </row>
    <row r="135" spans="1:14" x14ac:dyDescent="0.35">
      <c r="A135" t="s">
        <v>165</v>
      </c>
      <c r="B135" t="s">
        <v>26</v>
      </c>
      <c r="C135" t="s">
        <v>15</v>
      </c>
      <c r="D135" t="s">
        <v>21</v>
      </c>
      <c r="E135">
        <v>13</v>
      </c>
      <c r="F135" t="s">
        <v>31</v>
      </c>
      <c r="G135">
        <f>Earnings!G135</f>
        <v>814106.51</v>
      </c>
      <c r="H135">
        <f>Deductions!B135+Deductions!C135+Deductions!D135+Tax!D135</f>
        <v>8960.8983333333344</v>
      </c>
      <c r="I135">
        <f t="shared" si="6"/>
        <v>929142.92716666672</v>
      </c>
      <c r="J135">
        <f>Overtime!D135</f>
        <v>123997.31550000001</v>
      </c>
      <c r="K135">
        <f t="shared" si="7"/>
        <v>0.06</v>
      </c>
      <c r="L135">
        <f>IF(Performance!E135&lt;=1.5,0.01,IF(Performance!E135&lt;=2,0.02,IF(Performance!E135&lt;=3,0.03,"")))</f>
        <v>0.01</v>
      </c>
      <c r="M135">
        <f t="shared" si="8"/>
        <v>6.9999999999999993E-2</v>
      </c>
      <c r="N135">
        <f>Earnings!B135*(1+M135)</f>
        <v>915014.67300000007</v>
      </c>
    </row>
    <row r="136" spans="1:14" x14ac:dyDescent="0.35">
      <c r="A136" t="s">
        <v>166</v>
      </c>
      <c r="B136" t="s">
        <v>14</v>
      </c>
      <c r="C136" t="s">
        <v>20</v>
      </c>
      <c r="D136" t="s">
        <v>21</v>
      </c>
      <c r="E136">
        <v>15.4</v>
      </c>
      <c r="F136" t="s">
        <v>70</v>
      </c>
      <c r="G136">
        <f>Earnings!G136</f>
        <v>1091894.6000000001</v>
      </c>
      <c r="H136">
        <f>Deductions!B136+Deductions!C136+Deductions!D136+Tax!D136</f>
        <v>15128.702750000002</v>
      </c>
      <c r="I136">
        <f t="shared" si="6"/>
        <v>1301567.7248500001</v>
      </c>
      <c r="J136">
        <f>Overtime!D136</f>
        <v>224801.82760000002</v>
      </c>
      <c r="K136">
        <f t="shared" si="7"/>
        <v>0.1</v>
      </c>
      <c r="L136">
        <f>IF(Performance!E136&lt;=1.5,0.01,IF(Performance!E136&lt;=2,0.02,IF(Performance!E136&lt;=3,0.03,"")))</f>
        <v>0.01</v>
      </c>
      <c r="M136">
        <f t="shared" si="8"/>
        <v>0.11</v>
      </c>
      <c r="N136">
        <f>Earnings!B136*(1+M136)</f>
        <v>1273112.4021000003</v>
      </c>
    </row>
    <row r="137" spans="1:14" x14ac:dyDescent="0.35">
      <c r="A137" t="s">
        <v>167</v>
      </c>
      <c r="B137" t="s">
        <v>26</v>
      </c>
      <c r="C137" t="s">
        <v>33</v>
      </c>
      <c r="D137" t="s">
        <v>16</v>
      </c>
      <c r="E137">
        <v>3.6</v>
      </c>
      <c r="F137" t="s">
        <v>24</v>
      </c>
      <c r="G137">
        <f>Earnings!G137</f>
        <v>800299.18</v>
      </c>
      <c r="H137">
        <f>Deductions!B137+Deductions!C137+Deductions!D137+Tax!D137</f>
        <v>8759.1733333333323</v>
      </c>
      <c r="I137">
        <f t="shared" si="6"/>
        <v>791540.00666666671</v>
      </c>
      <c r="J137">
        <f>Overtime!D137</f>
        <v>0</v>
      </c>
      <c r="K137">
        <f t="shared" si="7"/>
        <v>0.08</v>
      </c>
      <c r="L137">
        <f>IF(Performance!E137&lt;=1.5,0.01,IF(Performance!E137&lt;=2,0.02,IF(Performance!E137&lt;=3,0.03,"")))</f>
        <v>0.01</v>
      </c>
      <c r="M137">
        <f t="shared" si="8"/>
        <v>0.09</v>
      </c>
      <c r="N137">
        <f>Earnings!B137*(1+M137)</f>
        <v>916308.9360000001</v>
      </c>
    </row>
    <row r="138" spans="1:14" x14ac:dyDescent="0.35">
      <c r="A138" t="s">
        <v>168</v>
      </c>
      <c r="B138" t="s">
        <v>26</v>
      </c>
      <c r="C138" t="s">
        <v>33</v>
      </c>
      <c r="D138" t="s">
        <v>21</v>
      </c>
      <c r="E138">
        <v>2.4</v>
      </c>
      <c r="F138" t="s">
        <v>37</v>
      </c>
      <c r="G138">
        <f>Earnings!G138</f>
        <v>456857.3</v>
      </c>
      <c r="H138">
        <f>Deductions!B138+Deductions!C138+Deductions!D138+Tax!D138</f>
        <v>2997.8838333333333</v>
      </c>
      <c r="I138">
        <f t="shared" si="6"/>
        <v>453859.41616666666</v>
      </c>
      <c r="J138">
        <f>Overtime!D138</f>
        <v>0</v>
      </c>
      <c r="K138">
        <f t="shared" si="7"/>
        <v>0.08</v>
      </c>
      <c r="L138">
        <f>IF(Performance!E138&lt;=1.5,0.01,IF(Performance!E138&lt;=2,0.02,IF(Performance!E138&lt;=3,0.03,"")))</f>
        <v>0.01</v>
      </c>
      <c r="M138">
        <f t="shared" si="8"/>
        <v>0.09</v>
      </c>
      <c r="N138">
        <f>Earnings!B138*(1+M138)</f>
        <v>523082.41080000001</v>
      </c>
    </row>
    <row r="139" spans="1:14" x14ac:dyDescent="0.35">
      <c r="A139" t="s">
        <v>169</v>
      </c>
      <c r="B139" t="s">
        <v>14</v>
      </c>
      <c r="C139" t="s">
        <v>43</v>
      </c>
      <c r="D139" t="s">
        <v>16</v>
      </c>
      <c r="E139">
        <v>20.399999999999999</v>
      </c>
      <c r="F139" t="s">
        <v>31</v>
      </c>
      <c r="G139">
        <f>Earnings!G139</f>
        <v>1314197.44</v>
      </c>
      <c r="H139">
        <f>Deductions!B139+Deductions!C139+Deductions!D139+Tax!D139</f>
        <v>21026.487499999999</v>
      </c>
      <c r="I139">
        <f t="shared" si="6"/>
        <v>1574784.6905</v>
      </c>
      <c r="J139">
        <f>Overtime!D139</f>
        <v>281613.73800000001</v>
      </c>
      <c r="K139">
        <f t="shared" si="7"/>
        <v>0.12</v>
      </c>
      <c r="L139">
        <f>IF(Performance!E139&lt;=1.5,0.01,IF(Performance!E139&lt;=2,0.02,IF(Performance!E139&lt;=3,0.03,"")))</f>
        <v>0.01</v>
      </c>
      <c r="M139">
        <f t="shared" si="8"/>
        <v>0.13</v>
      </c>
      <c r="N139">
        <f>Earnings!B139*(1+M139)</f>
        <v>1559919.2349999999</v>
      </c>
    </row>
    <row r="140" spans="1:14" x14ac:dyDescent="0.35">
      <c r="A140" t="s">
        <v>170</v>
      </c>
      <c r="B140" t="s">
        <v>35</v>
      </c>
      <c r="C140" t="s">
        <v>43</v>
      </c>
      <c r="D140" t="s">
        <v>16</v>
      </c>
      <c r="E140">
        <v>8.5</v>
      </c>
      <c r="F140" t="s">
        <v>17</v>
      </c>
      <c r="G140">
        <f>Earnings!G140</f>
        <v>1651983.42</v>
      </c>
      <c r="H140">
        <f>Deductions!B140+Deductions!C140+Deductions!D140+Tax!D140</f>
        <v>29896.9175</v>
      </c>
      <c r="I140">
        <f t="shared" si="6"/>
        <v>1622086.5024999999</v>
      </c>
      <c r="J140">
        <f>Overtime!D140</f>
        <v>0</v>
      </c>
      <c r="K140">
        <f t="shared" si="7"/>
        <v>0.12</v>
      </c>
      <c r="L140">
        <f>IF(Performance!E140&lt;=1.5,0.01,IF(Performance!E140&lt;=2,0.02,IF(Performance!E140&lt;=3,0.03,"")))</f>
        <v>0.01</v>
      </c>
      <c r="M140">
        <f t="shared" si="8"/>
        <v>0.13</v>
      </c>
      <c r="N140">
        <f>Earnings!B140*(1+M140)</f>
        <v>1960862.6709999999</v>
      </c>
    </row>
    <row r="141" spans="1:14" x14ac:dyDescent="0.35">
      <c r="A141" t="s">
        <v>171</v>
      </c>
      <c r="B141" t="s">
        <v>35</v>
      </c>
      <c r="C141" t="s">
        <v>33</v>
      </c>
      <c r="D141" t="s">
        <v>16</v>
      </c>
      <c r="E141">
        <v>6</v>
      </c>
      <c r="F141" t="s">
        <v>22</v>
      </c>
      <c r="G141">
        <f>Earnings!G141</f>
        <v>1076735.99</v>
      </c>
      <c r="H141">
        <f>Deductions!B141+Deductions!C141+Deductions!D141+Tax!D141</f>
        <v>14690.63</v>
      </c>
      <c r="I141">
        <f t="shared" si="6"/>
        <v>1062045.3600000001</v>
      </c>
      <c r="J141">
        <f>Overtime!D141</f>
        <v>0</v>
      </c>
      <c r="K141">
        <f t="shared" si="7"/>
        <v>0.08</v>
      </c>
      <c r="L141">
        <f>IF(Performance!E141&lt;=1.5,0.01,IF(Performance!E141&lt;=2,0.02,IF(Performance!E141&lt;=3,0.03,"")))</f>
        <v>0.01</v>
      </c>
      <c r="M141">
        <f t="shared" si="8"/>
        <v>0.09</v>
      </c>
      <c r="N141">
        <f>Earnings!B141*(1+M141)</f>
        <v>1232817.4680000001</v>
      </c>
    </row>
    <row r="142" spans="1:14" x14ac:dyDescent="0.35">
      <c r="A142" t="s">
        <v>172</v>
      </c>
      <c r="B142" t="s">
        <v>14</v>
      </c>
      <c r="C142" t="s">
        <v>15</v>
      </c>
      <c r="D142" t="s">
        <v>21</v>
      </c>
      <c r="E142">
        <v>5</v>
      </c>
      <c r="F142" t="s">
        <v>27</v>
      </c>
      <c r="G142">
        <f>Earnings!G142</f>
        <v>466175.69</v>
      </c>
      <c r="H142">
        <f>Deductions!B142+Deductions!C142+Deductions!D142+Tax!D142</f>
        <v>2998.6681250000001</v>
      </c>
      <c r="I142">
        <f t="shared" si="6"/>
        <v>463177.02187499998</v>
      </c>
      <c r="J142">
        <f>Overtime!D142</f>
        <v>0</v>
      </c>
      <c r="K142">
        <f t="shared" si="7"/>
        <v>0.06</v>
      </c>
      <c r="L142">
        <f>IF(Performance!E142&lt;=1.5,0.01,IF(Performance!E142&lt;=2,0.02,IF(Performance!E142&lt;=3,0.03,"")))</f>
        <v>0.01</v>
      </c>
      <c r="M142">
        <f t="shared" si="8"/>
        <v>6.9999999999999993E-2</v>
      </c>
      <c r="N142">
        <f>Earnings!B142*(1+M142)</f>
        <v>523957.97450000001</v>
      </c>
    </row>
    <row r="143" spans="1:14" x14ac:dyDescent="0.35">
      <c r="A143" t="s">
        <v>173</v>
      </c>
      <c r="B143" t="s">
        <v>26</v>
      </c>
      <c r="C143" t="s">
        <v>15</v>
      </c>
      <c r="D143" t="s">
        <v>21</v>
      </c>
      <c r="E143">
        <v>3</v>
      </c>
      <c r="F143" t="s">
        <v>24</v>
      </c>
      <c r="G143">
        <f>Earnings!G143</f>
        <v>569750.29</v>
      </c>
      <c r="H143">
        <f>Deductions!B143+Deductions!C143+Deductions!D143+Tax!D143</f>
        <v>4682.9533333333329</v>
      </c>
      <c r="I143">
        <f t="shared" si="6"/>
        <v>600975.96866666665</v>
      </c>
      <c r="J143">
        <f>Overtime!D143</f>
        <v>35908.631999999998</v>
      </c>
      <c r="K143">
        <f t="shared" si="7"/>
        <v>0.06</v>
      </c>
      <c r="L143">
        <f>IF(Performance!E143&lt;=1.5,0.01,IF(Performance!E143&lt;=2,0.02,IF(Performance!E143&lt;=3,0.03,"")))</f>
        <v>0.01</v>
      </c>
      <c r="M143">
        <f t="shared" si="8"/>
        <v>6.9999999999999993E-2</v>
      </c>
      <c r="N143">
        <f>Earnings!B143*(1+M143)</f>
        <v>640370.60399999993</v>
      </c>
    </row>
    <row r="144" spans="1:14" x14ac:dyDescent="0.35">
      <c r="A144" t="s">
        <v>174</v>
      </c>
      <c r="B144" t="s">
        <v>14</v>
      </c>
      <c r="C144" t="s">
        <v>15</v>
      </c>
      <c r="D144" t="s">
        <v>16</v>
      </c>
      <c r="E144">
        <v>7</v>
      </c>
      <c r="F144" t="s">
        <v>31</v>
      </c>
      <c r="G144">
        <f>Earnings!G144</f>
        <v>724313.02</v>
      </c>
      <c r="H144">
        <f>Deductions!B144+Deductions!C144+Deductions!D144+Tax!D144</f>
        <v>7388.8833333333341</v>
      </c>
      <c r="I144">
        <f t="shared" si="6"/>
        <v>716924.13666666672</v>
      </c>
      <c r="J144">
        <f>Overtime!D144</f>
        <v>0</v>
      </c>
      <c r="K144">
        <f t="shared" si="7"/>
        <v>0.06</v>
      </c>
      <c r="L144">
        <f>IF(Performance!E144&lt;=1.5,0.01,IF(Performance!E144&lt;=2,0.02,IF(Performance!E144&lt;=3,0.03,"")))</f>
        <v>0.01</v>
      </c>
      <c r="M144">
        <f t="shared" si="8"/>
        <v>6.9999999999999993E-2</v>
      </c>
      <c r="N144">
        <f>Earnings!B144*(1+M144)</f>
        <v>814091.31</v>
      </c>
    </row>
    <row r="145" spans="1:14" x14ac:dyDescent="0.35">
      <c r="A145" t="s">
        <v>175</v>
      </c>
      <c r="B145" t="s">
        <v>26</v>
      </c>
      <c r="C145" t="s">
        <v>43</v>
      </c>
      <c r="D145" t="s">
        <v>21</v>
      </c>
      <c r="E145">
        <v>11.9</v>
      </c>
      <c r="F145" t="s">
        <v>70</v>
      </c>
      <c r="G145">
        <f>Earnings!G145</f>
        <v>1050417.1000000001</v>
      </c>
      <c r="H145">
        <f>Deductions!B145+Deductions!C145+Deductions!D145+Tax!D145</f>
        <v>14099.4825</v>
      </c>
      <c r="I145">
        <f t="shared" si="6"/>
        <v>1036317.6175000001</v>
      </c>
      <c r="J145">
        <f>Overtime!D145</f>
        <v>0</v>
      </c>
      <c r="K145">
        <f t="shared" si="7"/>
        <v>0.12</v>
      </c>
      <c r="L145">
        <f>IF(Performance!E145&lt;=1.5,0.01,IF(Performance!E145&lt;=2,0.02,IF(Performance!E145&lt;=3,0.03,"")))</f>
        <v>0.01</v>
      </c>
      <c r="M145">
        <f t="shared" si="8"/>
        <v>0.13</v>
      </c>
      <c r="N145">
        <f>Earnings!B145*(1+M145)</f>
        <v>1246818.6089999999</v>
      </c>
    </row>
    <row r="146" spans="1:14" x14ac:dyDescent="0.35">
      <c r="A146" t="s">
        <v>176</v>
      </c>
      <c r="B146" t="s">
        <v>35</v>
      </c>
      <c r="C146" t="s">
        <v>20</v>
      </c>
      <c r="D146" t="s">
        <v>21</v>
      </c>
      <c r="E146">
        <v>11.2</v>
      </c>
      <c r="F146" t="s">
        <v>17</v>
      </c>
      <c r="G146">
        <f>Earnings!G146</f>
        <v>1127476.23</v>
      </c>
      <c r="H146">
        <f>Deductions!B146+Deductions!C146+Deductions!D146+Tax!D146</f>
        <v>16063.09425</v>
      </c>
      <c r="I146">
        <f t="shared" si="6"/>
        <v>1111413.1357499999</v>
      </c>
      <c r="J146">
        <f>Overtime!D146</f>
        <v>0</v>
      </c>
      <c r="K146">
        <f t="shared" si="7"/>
        <v>0.1</v>
      </c>
      <c r="L146">
        <f>IF(Performance!E146&lt;=1.5,0.01,IF(Performance!E146&lt;=2,0.02,IF(Performance!E146&lt;=3,0.03,"")))</f>
        <v>0.01</v>
      </c>
      <c r="M146">
        <f t="shared" si="8"/>
        <v>0.11</v>
      </c>
      <c r="N146">
        <f>Earnings!B146*(1+M146)</f>
        <v>1314599.3847000001</v>
      </c>
    </row>
    <row r="147" spans="1:14" x14ac:dyDescent="0.35">
      <c r="A147" t="s">
        <v>177</v>
      </c>
      <c r="B147" t="s">
        <v>35</v>
      </c>
      <c r="C147" t="s">
        <v>33</v>
      </c>
      <c r="D147" t="s">
        <v>16</v>
      </c>
      <c r="E147">
        <v>9.6</v>
      </c>
      <c r="F147" t="s">
        <v>24</v>
      </c>
      <c r="G147">
        <f>Earnings!G147</f>
        <v>1066894.21</v>
      </c>
      <c r="H147">
        <f>Deductions!B147+Deductions!C147+Deductions!D147+Tax!D147</f>
        <v>14432.179999999998</v>
      </c>
      <c r="I147">
        <f t="shared" si="6"/>
        <v>1193668.6172</v>
      </c>
      <c r="J147">
        <f>Overtime!D147</f>
        <v>141206.58719999998</v>
      </c>
      <c r="K147">
        <f t="shared" si="7"/>
        <v>0.08</v>
      </c>
      <c r="L147">
        <f>IF(Performance!E147&lt;=1.5,0.01,IF(Performance!E147&lt;=2,0.02,IF(Performance!E147&lt;=3,0.03,"")))</f>
        <v>0.01</v>
      </c>
      <c r="M147">
        <f t="shared" si="8"/>
        <v>0.09</v>
      </c>
      <c r="N147">
        <f>Earnings!B147*(1+M147)</f>
        <v>1221549.048</v>
      </c>
    </row>
    <row r="148" spans="1:14" x14ac:dyDescent="0.35">
      <c r="A148" t="s">
        <v>178</v>
      </c>
      <c r="B148" t="s">
        <v>29</v>
      </c>
      <c r="C148" t="s">
        <v>15</v>
      </c>
      <c r="D148" t="s">
        <v>21</v>
      </c>
      <c r="E148">
        <v>7</v>
      </c>
      <c r="F148" t="s">
        <v>31</v>
      </c>
      <c r="G148">
        <f>Earnings!G148</f>
        <v>806017.56</v>
      </c>
      <c r="H148">
        <f>Deductions!B148+Deductions!C148+Deductions!D148+Tax!D148</f>
        <v>8819.2849999999999</v>
      </c>
      <c r="I148">
        <f t="shared" si="6"/>
        <v>797198.27500000002</v>
      </c>
      <c r="J148">
        <f>Overtime!D148</f>
        <v>0</v>
      </c>
      <c r="K148">
        <f t="shared" si="7"/>
        <v>0.06</v>
      </c>
      <c r="L148">
        <f>IF(Performance!E148&lt;=1.5,0.01,IF(Performance!E148&lt;=2,0.02,IF(Performance!E148&lt;=3,0.03,"")))</f>
        <v>0.02</v>
      </c>
      <c r="M148">
        <f t="shared" si="8"/>
        <v>0.08</v>
      </c>
      <c r="N148">
        <f>Earnings!B148*(1+M148)</f>
        <v>914389.66800000006</v>
      </c>
    </row>
    <row r="149" spans="1:14" x14ac:dyDescent="0.35">
      <c r="A149" t="s">
        <v>179</v>
      </c>
      <c r="B149" t="s">
        <v>19</v>
      </c>
      <c r="C149" t="s">
        <v>15</v>
      </c>
      <c r="D149" t="s">
        <v>16</v>
      </c>
      <c r="E149">
        <v>3</v>
      </c>
      <c r="F149" t="s">
        <v>17</v>
      </c>
      <c r="G149">
        <f>Earnings!G149</f>
        <v>564524.57999999996</v>
      </c>
      <c r="H149">
        <f>Deductions!B149+Deductions!C149+Deductions!D149+Tax!D149</f>
        <v>4591.4666666666672</v>
      </c>
      <c r="I149">
        <f t="shared" si="6"/>
        <v>559933.11333333328</v>
      </c>
      <c r="J149">
        <f>Overtime!D149</f>
        <v>0</v>
      </c>
      <c r="K149">
        <f t="shared" si="7"/>
        <v>0.06</v>
      </c>
      <c r="L149">
        <f>IF(Performance!E149&lt;=1.5,0.01,IF(Performance!E149&lt;=2,0.02,IF(Performance!E149&lt;=3,0.03,"")))</f>
        <v>0.03</v>
      </c>
      <c r="M149">
        <f t="shared" si="8"/>
        <v>0.09</v>
      </c>
      <c r="N149">
        <f>Earnings!B149*(1+M149)</f>
        <v>646356.92000000004</v>
      </c>
    </row>
    <row r="150" spans="1:14" x14ac:dyDescent="0.35">
      <c r="A150" t="s">
        <v>180</v>
      </c>
      <c r="B150" t="s">
        <v>14</v>
      </c>
      <c r="C150" t="s">
        <v>15</v>
      </c>
      <c r="D150" t="s">
        <v>21</v>
      </c>
      <c r="E150">
        <v>5</v>
      </c>
      <c r="F150" t="s">
        <v>24</v>
      </c>
      <c r="G150">
        <f>Earnings!G150</f>
        <v>656280.56999999995</v>
      </c>
      <c r="H150">
        <f>Deductions!B150+Deductions!C150+Deductions!D150+Tax!D150</f>
        <v>6197.8391666666666</v>
      </c>
      <c r="I150">
        <f t="shared" si="6"/>
        <v>650082.73083333333</v>
      </c>
      <c r="J150">
        <f>Overtime!D150</f>
        <v>0</v>
      </c>
      <c r="K150">
        <f t="shared" si="7"/>
        <v>0.06</v>
      </c>
      <c r="L150">
        <f>IF(Performance!E150&lt;=1.5,0.01,IF(Performance!E150&lt;=2,0.02,IF(Performance!E150&lt;=3,0.03,"")))</f>
        <v>0.01</v>
      </c>
      <c r="M150">
        <f t="shared" si="8"/>
        <v>6.9999999999999993E-2</v>
      </c>
      <c r="N150">
        <f>Earnings!B150*(1+M150)</f>
        <v>737626.27450000006</v>
      </c>
    </row>
    <row r="151" spans="1:14" x14ac:dyDescent="0.35">
      <c r="A151" t="s">
        <v>181</v>
      </c>
      <c r="B151" t="s">
        <v>26</v>
      </c>
      <c r="C151" t="s">
        <v>15</v>
      </c>
      <c r="D151" t="s">
        <v>21</v>
      </c>
      <c r="E151">
        <v>10</v>
      </c>
      <c r="F151" t="s">
        <v>22</v>
      </c>
      <c r="G151">
        <f>Earnings!G151</f>
        <v>859941.5</v>
      </c>
      <c r="H151">
        <f>Deductions!B151+Deductions!C151+Deductions!D151+Tax!D151</f>
        <v>9763.3316666666688</v>
      </c>
      <c r="I151">
        <f t="shared" si="6"/>
        <v>850178.16833333333</v>
      </c>
      <c r="J151">
        <f>Overtime!D151</f>
        <v>0</v>
      </c>
      <c r="K151">
        <f t="shared" si="7"/>
        <v>0.06</v>
      </c>
      <c r="L151">
        <f>IF(Performance!E151&lt;=1.5,0.01,IF(Performance!E151&lt;=2,0.02,IF(Performance!E151&lt;=3,0.03,"")))</f>
        <v>0.01</v>
      </c>
      <c r="M151">
        <f t="shared" si="8"/>
        <v>6.9999999999999993E-2</v>
      </c>
      <c r="N151">
        <f>Earnings!B151*(1+M151)</f>
        <v>966530.89300000004</v>
      </c>
    </row>
    <row r="152" spans="1:14" x14ac:dyDescent="0.35">
      <c r="A152" t="s">
        <v>182</v>
      </c>
      <c r="B152" t="s">
        <v>26</v>
      </c>
      <c r="C152" t="s">
        <v>33</v>
      </c>
      <c r="D152" t="s">
        <v>21</v>
      </c>
      <c r="E152">
        <v>15.6</v>
      </c>
      <c r="F152" t="s">
        <v>70</v>
      </c>
      <c r="G152">
        <f>Earnings!G152</f>
        <v>844140.55</v>
      </c>
      <c r="H152">
        <f>Deductions!B152+Deductions!C152+Deductions!D152+Tax!D152</f>
        <v>9526.7043333333349</v>
      </c>
      <c r="I152">
        <f t="shared" si="6"/>
        <v>834613.84566666675</v>
      </c>
      <c r="J152">
        <f>Overtime!D152</f>
        <v>0</v>
      </c>
      <c r="K152">
        <f t="shared" si="7"/>
        <v>0.08</v>
      </c>
      <c r="L152">
        <f>IF(Performance!E152&lt;=1.5,0.01,IF(Performance!E152&lt;=2,0.02,IF(Performance!E152&lt;=3,0.03,"")))</f>
        <v>0.01</v>
      </c>
      <c r="M152">
        <f t="shared" si="8"/>
        <v>0.09</v>
      </c>
      <c r="N152">
        <f>Earnings!B152*(1+M152)</f>
        <v>966505.46340000012</v>
      </c>
    </row>
    <row r="153" spans="1:14" x14ac:dyDescent="0.35">
      <c r="A153" t="s">
        <v>183</v>
      </c>
      <c r="B153" t="s">
        <v>29</v>
      </c>
      <c r="C153" t="s">
        <v>33</v>
      </c>
      <c r="D153" t="s">
        <v>16</v>
      </c>
      <c r="E153">
        <v>0</v>
      </c>
      <c r="F153" t="s">
        <v>70</v>
      </c>
      <c r="G153">
        <f>Earnings!G153</f>
        <v>1019432.06</v>
      </c>
      <c r="H153">
        <f>Deductions!B153+Deductions!C153+Deductions!D153+Tax!D153</f>
        <v>13185.800000000001</v>
      </c>
      <c r="I153">
        <f t="shared" si="6"/>
        <v>1102621.1400000001</v>
      </c>
      <c r="J153">
        <f>Overtime!D153</f>
        <v>96374.88</v>
      </c>
      <c r="K153">
        <f t="shared" si="7"/>
        <v>0.08</v>
      </c>
      <c r="L153">
        <f>IF(Performance!E153&lt;=1.5,0.01,IF(Performance!E153&lt;=2,0.02,IF(Performance!E153&lt;=3,0.03,"")))</f>
        <v>0.02</v>
      </c>
      <c r="M153">
        <f t="shared" si="8"/>
        <v>0.1</v>
      </c>
      <c r="N153">
        <f>Earnings!B153*(1+M153)</f>
        <v>1177915.2000000002</v>
      </c>
    </row>
    <row r="154" spans="1:14" x14ac:dyDescent="0.35">
      <c r="A154" t="s">
        <v>184</v>
      </c>
      <c r="B154" t="s">
        <v>19</v>
      </c>
      <c r="C154" t="s">
        <v>20</v>
      </c>
      <c r="D154" t="s">
        <v>16</v>
      </c>
      <c r="E154">
        <v>8.4</v>
      </c>
      <c r="F154" t="s">
        <v>70</v>
      </c>
      <c r="G154">
        <f>Earnings!G154</f>
        <v>1385937.4</v>
      </c>
      <c r="H154">
        <f>Deductions!B154+Deductions!C154+Deductions!D154+Tax!D154</f>
        <v>22850.415000000001</v>
      </c>
      <c r="I154">
        <f t="shared" si="6"/>
        <v>1648427.0385999999</v>
      </c>
      <c r="J154">
        <f>Overtime!D154</f>
        <v>285340.05360000004</v>
      </c>
      <c r="K154">
        <f t="shared" si="7"/>
        <v>0.1</v>
      </c>
      <c r="L154">
        <f>IF(Performance!E154&lt;=1.5,0.01,IF(Performance!E154&lt;=2,0.02,IF(Performance!E154&lt;=3,0.03,"")))</f>
        <v>0.03</v>
      </c>
      <c r="M154">
        <f t="shared" si="8"/>
        <v>0.13</v>
      </c>
      <c r="N154">
        <f>Earnings!B154*(1+M154)</f>
        <v>1645072.7579999999</v>
      </c>
    </row>
    <row r="155" spans="1:14" x14ac:dyDescent="0.35">
      <c r="A155" t="s">
        <v>185</v>
      </c>
      <c r="B155" t="s">
        <v>35</v>
      </c>
      <c r="C155" t="s">
        <v>43</v>
      </c>
      <c r="D155" t="s">
        <v>16</v>
      </c>
      <c r="E155">
        <v>20.399999999999999</v>
      </c>
      <c r="F155" t="s">
        <v>44</v>
      </c>
      <c r="G155">
        <f>Earnings!G155</f>
        <v>1962483.17</v>
      </c>
      <c r="H155">
        <f>Deductions!B155+Deductions!C155+Deductions!D155+Tax!D155</f>
        <v>38050.797499999993</v>
      </c>
      <c r="I155">
        <f t="shared" si="6"/>
        <v>2344964.4800999998</v>
      </c>
      <c r="J155">
        <f>Overtime!D155</f>
        <v>420532.10759999999</v>
      </c>
      <c r="K155">
        <f t="shared" si="7"/>
        <v>0.12</v>
      </c>
      <c r="L155">
        <f>IF(Performance!E155&lt;=1.5,0.01,IF(Performance!E155&lt;=2,0.02,IF(Performance!E155&lt;=3,0.03,"")))</f>
        <v>0.01</v>
      </c>
      <c r="M155">
        <f t="shared" si="8"/>
        <v>0.13</v>
      </c>
      <c r="N155">
        <f>Earnings!B155*(1+M155)</f>
        <v>2329418.0469999998</v>
      </c>
    </row>
    <row r="156" spans="1:14" x14ac:dyDescent="0.35">
      <c r="A156" t="s">
        <v>186</v>
      </c>
      <c r="B156" t="s">
        <v>35</v>
      </c>
      <c r="C156" t="s">
        <v>33</v>
      </c>
      <c r="D156" t="s">
        <v>21</v>
      </c>
      <c r="E156">
        <v>8.4</v>
      </c>
      <c r="F156" t="s">
        <v>70</v>
      </c>
      <c r="G156">
        <f>Earnings!G156</f>
        <v>1179879.52</v>
      </c>
      <c r="H156">
        <f>Deductions!B156+Deductions!C156+Deductions!D156+Tax!D156</f>
        <v>17399.231</v>
      </c>
      <c r="I156">
        <f t="shared" si="6"/>
        <v>1326077.03</v>
      </c>
      <c r="J156">
        <f>Overtime!D156</f>
        <v>163596.74100000001</v>
      </c>
      <c r="K156">
        <f t="shared" si="7"/>
        <v>0.08</v>
      </c>
      <c r="L156">
        <f>IF(Performance!E156&lt;=1.5,0.01,IF(Performance!E156&lt;=2,0.02,IF(Performance!E156&lt;=3,0.03,"")))</f>
        <v>0.01</v>
      </c>
      <c r="M156">
        <f t="shared" si="8"/>
        <v>0.09</v>
      </c>
      <c r="N156">
        <f>Earnings!B156*(1+M156)</f>
        <v>1350912.4716</v>
      </c>
    </row>
    <row r="157" spans="1:14" x14ac:dyDescent="0.35">
      <c r="A157" t="s">
        <v>187</v>
      </c>
      <c r="B157" t="s">
        <v>14</v>
      </c>
      <c r="C157" t="s">
        <v>20</v>
      </c>
      <c r="D157" t="s">
        <v>21</v>
      </c>
      <c r="E157">
        <v>21</v>
      </c>
      <c r="F157" t="s">
        <v>70</v>
      </c>
      <c r="G157">
        <f>Earnings!G157</f>
        <v>1040745.54</v>
      </c>
      <c r="H157">
        <f>Deductions!B157+Deductions!C157+Deductions!D157+Tax!D157</f>
        <v>13785.502500000002</v>
      </c>
      <c r="I157">
        <f t="shared" si="6"/>
        <v>1164705.7701000001</v>
      </c>
      <c r="J157">
        <f>Overtime!D157</f>
        <v>137745.73259999999</v>
      </c>
      <c r="K157">
        <f t="shared" si="7"/>
        <v>0.1</v>
      </c>
      <c r="L157">
        <f>IF(Performance!E157&lt;=1.5,0.01,IF(Performance!E157&lt;=2,0.02,IF(Performance!E157&lt;=3,0.03,"")))</f>
        <v>0.01</v>
      </c>
      <c r="M157">
        <f t="shared" si="8"/>
        <v>0.11</v>
      </c>
      <c r="N157">
        <f>Earnings!B157*(1+M157)</f>
        <v>1213474.3110000002</v>
      </c>
    </row>
    <row r="158" spans="1:14" x14ac:dyDescent="0.35">
      <c r="A158" t="s">
        <v>188</v>
      </c>
      <c r="B158" t="s">
        <v>14</v>
      </c>
      <c r="C158" t="s">
        <v>20</v>
      </c>
      <c r="D158" t="s">
        <v>21</v>
      </c>
      <c r="E158">
        <v>15.4</v>
      </c>
      <c r="F158" t="s">
        <v>17</v>
      </c>
      <c r="G158">
        <f>Earnings!G158</f>
        <v>1029965.45</v>
      </c>
      <c r="H158">
        <f>Deductions!B158+Deductions!C158+Deductions!D158+Tax!D158</f>
        <v>13502.411999999998</v>
      </c>
      <c r="I158">
        <f t="shared" si="6"/>
        <v>1152781.99385</v>
      </c>
      <c r="J158">
        <f>Overtime!D158</f>
        <v>136318.95585</v>
      </c>
      <c r="K158">
        <f t="shared" si="7"/>
        <v>0.1</v>
      </c>
      <c r="L158">
        <f>IF(Performance!E158&lt;=1.5,0.01,IF(Performance!E158&lt;=2,0.02,IF(Performance!E158&lt;=3,0.03,"")))</f>
        <v>0.01</v>
      </c>
      <c r="M158">
        <f t="shared" si="8"/>
        <v>0.11</v>
      </c>
      <c r="N158">
        <f>Earnings!B158*(1+M158)</f>
        <v>1200905.0928</v>
      </c>
    </row>
    <row r="159" spans="1:14" x14ac:dyDescent="0.35">
      <c r="A159" t="s">
        <v>189</v>
      </c>
      <c r="B159" t="s">
        <v>19</v>
      </c>
      <c r="C159" t="s">
        <v>33</v>
      </c>
      <c r="D159" t="s">
        <v>21</v>
      </c>
      <c r="E159">
        <v>0</v>
      </c>
      <c r="F159" t="s">
        <v>44</v>
      </c>
      <c r="G159">
        <f>Earnings!G159</f>
        <v>721170.73</v>
      </c>
      <c r="H159">
        <f>Deductions!B159+Deductions!C159+Deductions!D159+Tax!D159</f>
        <v>7373.8713333333335</v>
      </c>
      <c r="I159">
        <f t="shared" si="6"/>
        <v>836517.08721666667</v>
      </c>
      <c r="J159">
        <f>Overtime!D159</f>
        <v>122720.22854999999</v>
      </c>
      <c r="K159">
        <f t="shared" si="7"/>
        <v>0.08</v>
      </c>
      <c r="L159">
        <f>IF(Performance!E159&lt;=1.5,0.01,IF(Performance!E159&lt;=2,0.02,IF(Performance!E159&lt;=3,0.03,"")))</f>
        <v>0.03</v>
      </c>
      <c r="M159">
        <f t="shared" si="8"/>
        <v>0.11</v>
      </c>
      <c r="N159">
        <f>Earnings!B159*(1+M159)</f>
        <v>840860.83080000011</v>
      </c>
    </row>
    <row r="160" spans="1:14" x14ac:dyDescent="0.35">
      <c r="A160" t="s">
        <v>190</v>
      </c>
      <c r="B160" t="s">
        <v>35</v>
      </c>
      <c r="C160" t="s">
        <v>20</v>
      </c>
      <c r="D160" t="s">
        <v>21</v>
      </c>
      <c r="E160">
        <v>9.8000000000000007</v>
      </c>
      <c r="F160" t="s">
        <v>22</v>
      </c>
      <c r="G160">
        <f>Earnings!G160</f>
        <v>1518011.89</v>
      </c>
      <c r="H160">
        <f>Deductions!B160+Deductions!C160+Deductions!D160+Tax!D160</f>
        <v>26318.757499999996</v>
      </c>
      <c r="I160">
        <f t="shared" si="6"/>
        <v>1491693.1324999998</v>
      </c>
      <c r="J160">
        <f>Overtime!D160</f>
        <v>0</v>
      </c>
      <c r="K160">
        <f t="shared" si="7"/>
        <v>0.1</v>
      </c>
      <c r="L160">
        <f>IF(Performance!E160&lt;=1.5,0.01,IF(Performance!E160&lt;=2,0.02,IF(Performance!E160&lt;=3,0.03,"")))</f>
        <v>0.01</v>
      </c>
      <c r="M160">
        <f t="shared" si="8"/>
        <v>0.11</v>
      </c>
      <c r="N160">
        <f>Earnings!B160*(1+M160)</f>
        <v>1769950.8330000001</v>
      </c>
    </row>
    <row r="161" spans="1:14" x14ac:dyDescent="0.35">
      <c r="A161" t="s">
        <v>191</v>
      </c>
      <c r="B161" t="s">
        <v>19</v>
      </c>
      <c r="C161" t="s">
        <v>43</v>
      </c>
      <c r="D161" t="s">
        <v>16</v>
      </c>
      <c r="E161">
        <v>11.9</v>
      </c>
      <c r="F161" t="s">
        <v>70</v>
      </c>
      <c r="G161">
        <f>Earnings!G161</f>
        <v>1048462.64</v>
      </c>
      <c r="H161">
        <f>Deductions!B161+Deductions!C161+Deductions!D161+Tax!D161</f>
        <v>14048.157500000001</v>
      </c>
      <c r="I161">
        <f t="shared" si="6"/>
        <v>1034414.4825</v>
      </c>
      <c r="J161">
        <f>Overtime!D161</f>
        <v>0</v>
      </c>
      <c r="K161">
        <f t="shared" si="7"/>
        <v>0.12</v>
      </c>
      <c r="L161">
        <f>IF(Performance!E161&lt;=1.5,0.01,IF(Performance!E161&lt;=2,0.02,IF(Performance!E161&lt;=3,0.03,"")))</f>
        <v>0.03</v>
      </c>
      <c r="M161">
        <f t="shared" si="8"/>
        <v>0.15</v>
      </c>
      <c r="N161">
        <f>Earnings!B161*(1+M161)</f>
        <v>1266525.2449999999</v>
      </c>
    </row>
    <row r="162" spans="1:14" x14ac:dyDescent="0.35">
      <c r="A162" t="s">
        <v>192</v>
      </c>
      <c r="B162" t="s">
        <v>35</v>
      </c>
      <c r="C162" t="s">
        <v>15</v>
      </c>
      <c r="D162" t="s">
        <v>16</v>
      </c>
      <c r="E162">
        <v>3</v>
      </c>
      <c r="F162" t="s">
        <v>27</v>
      </c>
      <c r="G162">
        <f>Earnings!G162</f>
        <v>809392.3</v>
      </c>
      <c r="H162">
        <f>Deductions!B162+Deductions!C162+Deductions!D162+Tax!D162</f>
        <v>8878.3666666666686</v>
      </c>
      <c r="I162">
        <f t="shared" si="6"/>
        <v>800513.93333333335</v>
      </c>
      <c r="J162">
        <f>Overtime!D162</f>
        <v>0</v>
      </c>
      <c r="K162">
        <f t="shared" si="7"/>
        <v>0.06</v>
      </c>
      <c r="L162">
        <f>IF(Performance!E162&lt;=1.5,0.01,IF(Performance!E162&lt;=2,0.02,IF(Performance!E162&lt;=3,0.03,"")))</f>
        <v>0.01</v>
      </c>
      <c r="M162">
        <f t="shared" si="8"/>
        <v>6.9999999999999993E-2</v>
      </c>
      <c r="N162">
        <f>Earnings!B162*(1+M162)</f>
        <v>909716.14</v>
      </c>
    </row>
    <row r="163" spans="1:14" x14ac:dyDescent="0.35">
      <c r="A163" t="s">
        <v>193</v>
      </c>
      <c r="B163" t="s">
        <v>26</v>
      </c>
      <c r="C163" t="s">
        <v>20</v>
      </c>
      <c r="D163" t="s">
        <v>16</v>
      </c>
      <c r="E163">
        <v>14</v>
      </c>
      <c r="F163" t="s">
        <v>24</v>
      </c>
      <c r="G163">
        <f>Earnings!G163</f>
        <v>886237.36</v>
      </c>
      <c r="H163">
        <f>Deductions!B163+Deductions!C163+Deductions!D163+Tax!D163</f>
        <v>10303.693333333335</v>
      </c>
      <c r="I163">
        <f t="shared" si="6"/>
        <v>1019295.5930666666</v>
      </c>
      <c r="J163">
        <f>Overtime!D163</f>
        <v>143361.9264</v>
      </c>
      <c r="K163">
        <f t="shared" si="7"/>
        <v>0.1</v>
      </c>
      <c r="L163">
        <f>IF(Performance!E163&lt;=1.5,0.01,IF(Performance!E163&lt;=2,0.02,IF(Performance!E163&lt;=3,0.03,"")))</f>
        <v>0.01</v>
      </c>
      <c r="M163">
        <f t="shared" si="8"/>
        <v>0.11</v>
      </c>
      <c r="N163">
        <f>Earnings!B163*(1+M163)</f>
        <v>1033322.976</v>
      </c>
    </row>
    <row r="164" spans="1:14" x14ac:dyDescent="0.35">
      <c r="A164" t="s">
        <v>194</v>
      </c>
      <c r="B164" t="s">
        <v>35</v>
      </c>
      <c r="C164" t="s">
        <v>20</v>
      </c>
      <c r="D164" t="s">
        <v>21</v>
      </c>
      <c r="E164">
        <v>19.600000000000001</v>
      </c>
      <c r="F164" t="s">
        <v>27</v>
      </c>
      <c r="G164">
        <f>Earnings!G164</f>
        <v>1233133.48</v>
      </c>
      <c r="H164">
        <f>Deductions!B164+Deductions!C164+Deductions!D164+Tax!D164</f>
        <v>18837.706999999999</v>
      </c>
      <c r="I164">
        <f t="shared" si="6"/>
        <v>1214295.773</v>
      </c>
      <c r="J164">
        <f>Overtime!D164</f>
        <v>0</v>
      </c>
      <c r="K164">
        <f t="shared" si="7"/>
        <v>0.1</v>
      </c>
      <c r="L164">
        <f>IF(Performance!E164&lt;=1.5,0.01,IF(Performance!E164&lt;=2,0.02,IF(Performance!E164&lt;=3,0.03,"")))</f>
        <v>0.01</v>
      </c>
      <c r="M164">
        <f t="shared" si="8"/>
        <v>0.11</v>
      </c>
      <c r="N164">
        <f>Earnings!B164*(1+M164)</f>
        <v>1437792.1908000002</v>
      </c>
    </row>
    <row r="165" spans="1:14" x14ac:dyDescent="0.35">
      <c r="A165" t="s">
        <v>195</v>
      </c>
      <c r="B165" t="s">
        <v>19</v>
      </c>
      <c r="C165" t="s">
        <v>43</v>
      </c>
      <c r="D165" t="s">
        <v>16</v>
      </c>
      <c r="E165">
        <v>6.8</v>
      </c>
      <c r="F165" t="s">
        <v>24</v>
      </c>
      <c r="G165">
        <f>Earnings!G165</f>
        <v>1314584.24</v>
      </c>
      <c r="H165">
        <f>Deductions!B165+Deductions!C165+Deductions!D165+Tax!D165</f>
        <v>21036.645</v>
      </c>
      <c r="I165">
        <f t="shared" si="6"/>
        <v>1293547.595</v>
      </c>
      <c r="J165">
        <f>Overtime!D165</f>
        <v>0</v>
      </c>
      <c r="K165">
        <f t="shared" si="7"/>
        <v>0.12</v>
      </c>
      <c r="L165">
        <f>IF(Performance!E165&lt;=1.5,0.01,IF(Performance!E165&lt;=2,0.02,IF(Performance!E165&lt;=3,0.03,"")))</f>
        <v>0.03</v>
      </c>
      <c r="M165">
        <f t="shared" si="8"/>
        <v>0.15</v>
      </c>
      <c r="N165">
        <f>Earnings!B165*(1+M165)</f>
        <v>1587995.67</v>
      </c>
    </row>
    <row r="166" spans="1:14" x14ac:dyDescent="0.35">
      <c r="A166" t="s">
        <v>196</v>
      </c>
      <c r="B166" t="s">
        <v>35</v>
      </c>
      <c r="C166" t="s">
        <v>43</v>
      </c>
      <c r="D166" t="s">
        <v>16</v>
      </c>
      <c r="E166">
        <v>8.5</v>
      </c>
      <c r="F166" t="s">
        <v>70</v>
      </c>
      <c r="G166">
        <f>Earnings!G166</f>
        <v>1389700.66</v>
      </c>
      <c r="H166">
        <f>Deductions!B166+Deductions!C166+Deductions!D166+Tax!D166</f>
        <v>23009.24</v>
      </c>
      <c r="I166">
        <f t="shared" si="6"/>
        <v>1366691.42</v>
      </c>
      <c r="J166">
        <f>Overtime!D166</f>
        <v>0</v>
      </c>
      <c r="K166">
        <f t="shared" si="7"/>
        <v>0.12</v>
      </c>
      <c r="L166">
        <f>IF(Performance!E166&lt;=1.5,0.01,IF(Performance!E166&lt;=2,0.02,IF(Performance!E166&lt;=3,0.03,"")))</f>
        <v>0.01</v>
      </c>
      <c r="M166">
        <f t="shared" si="8"/>
        <v>0.13</v>
      </c>
      <c r="N166">
        <f>Earnings!B166*(1+M166)</f>
        <v>1649539.648</v>
      </c>
    </row>
    <row r="167" spans="1:14" x14ac:dyDescent="0.35">
      <c r="A167" t="s">
        <v>197</v>
      </c>
      <c r="B167" t="s">
        <v>29</v>
      </c>
      <c r="C167" t="s">
        <v>15</v>
      </c>
      <c r="D167" t="s">
        <v>21</v>
      </c>
      <c r="E167">
        <v>12</v>
      </c>
      <c r="F167" t="s">
        <v>37</v>
      </c>
      <c r="G167">
        <f>Earnings!G167</f>
        <v>1189201.8899999999</v>
      </c>
      <c r="H167">
        <f>Deductions!B167+Deductions!C167+Deductions!D167+Tax!D167</f>
        <v>17604.041249999995</v>
      </c>
      <c r="I167">
        <f t="shared" si="6"/>
        <v>1171597.8487499999</v>
      </c>
      <c r="J167">
        <f>Overtime!D167</f>
        <v>0</v>
      </c>
      <c r="K167">
        <f t="shared" si="7"/>
        <v>0.06</v>
      </c>
      <c r="L167">
        <f>IF(Performance!E167&lt;=1.5,0.01,IF(Performance!E167&lt;=2,0.02,IF(Performance!E167&lt;=3,0.03,"")))</f>
        <v>0.02</v>
      </c>
      <c r="M167">
        <f t="shared" si="8"/>
        <v>0.08</v>
      </c>
      <c r="N167">
        <f>Earnings!B167*(1+M167)</f>
        <v>1349094.5819999999</v>
      </c>
    </row>
    <row r="168" spans="1:14" x14ac:dyDescent="0.35">
      <c r="A168" t="s">
        <v>198</v>
      </c>
      <c r="B168" t="s">
        <v>19</v>
      </c>
      <c r="C168" t="s">
        <v>15</v>
      </c>
      <c r="D168" t="s">
        <v>21</v>
      </c>
      <c r="E168">
        <v>12</v>
      </c>
      <c r="F168" t="s">
        <v>22</v>
      </c>
      <c r="G168">
        <f>Earnings!G168</f>
        <v>1000196.76</v>
      </c>
      <c r="H168">
        <f>Deductions!B168+Deductions!C168+Deductions!D168+Tax!D168</f>
        <v>12640.671250000001</v>
      </c>
      <c r="I168">
        <f t="shared" si="6"/>
        <v>987556.08875</v>
      </c>
      <c r="J168">
        <f>Overtime!D168</f>
        <v>0</v>
      </c>
      <c r="K168">
        <f t="shared" si="7"/>
        <v>0.06</v>
      </c>
      <c r="L168">
        <f>IF(Performance!E168&lt;=1.5,0.01,IF(Performance!E168&lt;=2,0.02,IF(Performance!E168&lt;=3,0.03,"")))</f>
        <v>0.03</v>
      </c>
      <c r="M168">
        <f t="shared" si="8"/>
        <v>0.09</v>
      </c>
      <c r="N168">
        <f>Earnings!B168*(1+M168)</f>
        <v>1145183.2665000001</v>
      </c>
    </row>
    <row r="169" spans="1:14" x14ac:dyDescent="0.35">
      <c r="A169" t="s">
        <v>199</v>
      </c>
      <c r="B169" t="s">
        <v>14</v>
      </c>
      <c r="C169" t="s">
        <v>33</v>
      </c>
      <c r="D169" t="s">
        <v>21</v>
      </c>
      <c r="E169">
        <v>14.4</v>
      </c>
      <c r="F169" t="s">
        <v>31</v>
      </c>
      <c r="G169">
        <f>Earnings!G169</f>
        <v>814142.33</v>
      </c>
      <c r="H169">
        <f>Deductions!B169+Deductions!C169+Deductions!D169+Tax!D169</f>
        <v>9001.5253333333349</v>
      </c>
      <c r="I169">
        <f t="shared" si="6"/>
        <v>846189.99786666664</v>
      </c>
      <c r="J169">
        <f>Overtime!D169</f>
        <v>41049.193200000002</v>
      </c>
      <c r="K169">
        <f t="shared" si="7"/>
        <v>0.08</v>
      </c>
      <c r="L169">
        <f>IF(Performance!E169&lt;=1.5,0.01,IF(Performance!E169&lt;=2,0.02,IF(Performance!E169&lt;=3,0.03,"")))</f>
        <v>0.01</v>
      </c>
      <c r="M169">
        <f t="shared" si="8"/>
        <v>0.09</v>
      </c>
      <c r="N169">
        <f>Earnings!B169*(1+M169)</f>
        <v>932158.75680000009</v>
      </c>
    </row>
    <row r="170" spans="1:14" x14ac:dyDescent="0.35">
      <c r="A170" t="s">
        <v>200</v>
      </c>
      <c r="B170" t="s">
        <v>14</v>
      </c>
      <c r="C170" t="s">
        <v>33</v>
      </c>
      <c r="D170" t="s">
        <v>16</v>
      </c>
      <c r="E170">
        <v>13.2</v>
      </c>
      <c r="F170" t="s">
        <v>22</v>
      </c>
      <c r="G170">
        <f>Earnings!G170</f>
        <v>977897.83</v>
      </c>
      <c r="H170">
        <f>Deductions!B170+Deductions!C170+Deductions!D170+Tax!D170</f>
        <v>12095.089999999998</v>
      </c>
      <c r="I170">
        <f t="shared" si="6"/>
        <v>1015108.5128</v>
      </c>
      <c r="J170">
        <f>Overtime!D170</f>
        <v>49305.772799999999</v>
      </c>
      <c r="K170">
        <f t="shared" si="7"/>
        <v>0.08</v>
      </c>
      <c r="L170">
        <f>IF(Performance!E170&lt;=1.5,0.01,IF(Performance!E170&lt;=2,0.02,IF(Performance!E170&lt;=3,0.03,"")))</f>
        <v>0.01</v>
      </c>
      <c r="M170">
        <f t="shared" si="8"/>
        <v>0.09</v>
      </c>
      <c r="N170">
        <f>Earnings!B170*(1+M170)</f>
        <v>1119651.9240000001</v>
      </c>
    </row>
    <row r="171" spans="1:14" x14ac:dyDescent="0.35">
      <c r="A171" t="s">
        <v>201</v>
      </c>
      <c r="B171" t="s">
        <v>35</v>
      </c>
      <c r="C171" t="s">
        <v>20</v>
      </c>
      <c r="D171" t="s">
        <v>21</v>
      </c>
      <c r="E171">
        <v>12.6</v>
      </c>
      <c r="F171" t="s">
        <v>24</v>
      </c>
      <c r="G171">
        <f>Earnings!G171</f>
        <v>1527225.73</v>
      </c>
      <c r="H171">
        <f>Deductions!B171+Deductions!C171+Deductions!D171+Tax!D171</f>
        <v>26560.71775</v>
      </c>
      <c r="I171">
        <f t="shared" si="6"/>
        <v>1579272.2185499999</v>
      </c>
      <c r="J171">
        <f>Overtime!D171</f>
        <v>78607.206300000005</v>
      </c>
      <c r="K171">
        <f t="shared" si="7"/>
        <v>0.1</v>
      </c>
      <c r="L171">
        <f>IF(Performance!E171&lt;=1.5,0.01,IF(Performance!E171&lt;=2,0.02,IF(Performance!E171&lt;=3,0.03,"")))</f>
        <v>0.01</v>
      </c>
      <c r="M171">
        <f t="shared" si="8"/>
        <v>0.11</v>
      </c>
      <c r="N171">
        <f>Earnings!B171*(1+M171)</f>
        <v>1780693.8681000001</v>
      </c>
    </row>
    <row r="172" spans="1:14" x14ac:dyDescent="0.35">
      <c r="A172" t="s">
        <v>202</v>
      </c>
      <c r="B172" t="s">
        <v>14</v>
      </c>
      <c r="C172" t="s">
        <v>20</v>
      </c>
      <c r="D172" t="s">
        <v>16</v>
      </c>
      <c r="E172">
        <v>14</v>
      </c>
      <c r="F172" t="s">
        <v>31</v>
      </c>
      <c r="G172">
        <f>Earnings!G172</f>
        <v>1093695.68</v>
      </c>
      <c r="H172">
        <f>Deductions!B172+Deductions!C172+Deductions!D172+Tax!D172</f>
        <v>15176</v>
      </c>
      <c r="I172">
        <f t="shared" si="6"/>
        <v>1078519.68</v>
      </c>
      <c r="J172">
        <f>Overtime!D172</f>
        <v>0</v>
      </c>
      <c r="K172">
        <f t="shared" si="7"/>
        <v>0.1</v>
      </c>
      <c r="L172">
        <f>IF(Performance!E172&lt;=1.5,0.01,IF(Performance!E172&lt;=2,0.02,IF(Performance!E172&lt;=3,0.03,"")))</f>
        <v>0.01</v>
      </c>
      <c r="M172">
        <f t="shared" si="8"/>
        <v>0.11</v>
      </c>
      <c r="N172">
        <f>Earnings!B172*(1+M172)</f>
        <v>1275212.4000000001</v>
      </c>
    </row>
    <row r="173" spans="1:14" x14ac:dyDescent="0.35">
      <c r="A173" t="s">
        <v>203</v>
      </c>
      <c r="B173" t="s">
        <v>35</v>
      </c>
      <c r="C173" t="s">
        <v>43</v>
      </c>
      <c r="D173" t="s">
        <v>16</v>
      </c>
      <c r="E173">
        <v>6.8</v>
      </c>
      <c r="F173" t="s">
        <v>22</v>
      </c>
      <c r="G173">
        <f>Earnings!G173</f>
        <v>1720109.97</v>
      </c>
      <c r="H173">
        <f>Deductions!B173+Deductions!C173+Deductions!D173+Tax!D173</f>
        <v>31685.954999999998</v>
      </c>
      <c r="I173">
        <f t="shared" si="6"/>
        <v>1688424.0149999999</v>
      </c>
      <c r="J173">
        <f>Overtime!D173</f>
        <v>0</v>
      </c>
      <c r="K173">
        <f t="shared" si="7"/>
        <v>0.12</v>
      </c>
      <c r="L173">
        <f>IF(Performance!E173&lt;=1.5,0.01,IF(Performance!E173&lt;=2,0.02,IF(Performance!E173&lt;=3,0.03,"")))</f>
        <v>0.01</v>
      </c>
      <c r="M173">
        <f t="shared" si="8"/>
        <v>0.13</v>
      </c>
      <c r="N173">
        <f>Earnings!B173*(1+M173)</f>
        <v>2041727.1659999997</v>
      </c>
    </row>
    <row r="174" spans="1:14" x14ac:dyDescent="0.35">
      <c r="A174" t="s">
        <v>204</v>
      </c>
      <c r="B174" t="s">
        <v>14</v>
      </c>
      <c r="C174" t="s">
        <v>43</v>
      </c>
      <c r="D174" t="s">
        <v>21</v>
      </c>
      <c r="E174">
        <v>20.399999999999999</v>
      </c>
      <c r="F174" t="s">
        <v>70</v>
      </c>
      <c r="G174">
        <f>Earnings!G174</f>
        <v>1443315.5</v>
      </c>
      <c r="H174">
        <f>Deductions!B174+Deductions!C174+Deductions!D174+Tax!D174</f>
        <v>24417.192749999998</v>
      </c>
      <c r="I174">
        <f t="shared" si="6"/>
        <v>1586425.9981</v>
      </c>
      <c r="J174">
        <f>Overtime!D174</f>
        <v>167527.69084999998</v>
      </c>
      <c r="K174">
        <f t="shared" si="7"/>
        <v>0.12</v>
      </c>
      <c r="L174">
        <f>IF(Performance!E174&lt;=1.5,0.01,IF(Performance!E174&lt;=2,0.02,IF(Performance!E174&lt;=3,0.03,"")))</f>
        <v>0.01</v>
      </c>
      <c r="M174">
        <f t="shared" si="8"/>
        <v>0.13</v>
      </c>
      <c r="N174">
        <f>Earnings!B174*(1+M174)</f>
        <v>1713179.1122999997</v>
      </c>
    </row>
    <row r="175" spans="1:14" x14ac:dyDescent="0.35">
      <c r="A175" t="s">
        <v>205</v>
      </c>
      <c r="B175" t="s">
        <v>35</v>
      </c>
      <c r="C175" t="s">
        <v>33</v>
      </c>
      <c r="D175" t="s">
        <v>16</v>
      </c>
      <c r="E175">
        <v>13.2</v>
      </c>
      <c r="F175" t="s">
        <v>24</v>
      </c>
      <c r="G175">
        <f>Earnings!G175</f>
        <v>1030528.2</v>
      </c>
      <c r="H175">
        <f>Deductions!B175+Deductions!C175+Deductions!D175+Tax!D175</f>
        <v>13477.190000000002</v>
      </c>
      <c r="I175">
        <f t="shared" si="6"/>
        <v>1017051.01</v>
      </c>
      <c r="J175">
        <f>Overtime!D175</f>
        <v>0</v>
      </c>
      <c r="K175">
        <f t="shared" si="7"/>
        <v>0.08</v>
      </c>
      <c r="L175">
        <f>IF(Performance!E175&lt;=1.5,0.01,IF(Performance!E175&lt;=2,0.02,IF(Performance!E175&lt;=3,0.03,"")))</f>
        <v>0.01</v>
      </c>
      <c r="M175">
        <f t="shared" si="8"/>
        <v>0.09</v>
      </c>
      <c r="N175">
        <f>Earnings!B175*(1+M175)</f>
        <v>1179911.4840000002</v>
      </c>
    </row>
    <row r="176" spans="1:14" x14ac:dyDescent="0.35">
      <c r="A176" t="s">
        <v>206</v>
      </c>
      <c r="B176" t="s">
        <v>26</v>
      </c>
      <c r="C176" t="s">
        <v>15</v>
      </c>
      <c r="D176" t="s">
        <v>21</v>
      </c>
      <c r="E176">
        <v>14</v>
      </c>
      <c r="F176" t="s">
        <v>37</v>
      </c>
      <c r="G176">
        <f>Earnings!G176</f>
        <v>739034.98</v>
      </c>
      <c r="H176">
        <f>Deductions!B176+Deductions!C176+Deductions!D176+Tax!D176</f>
        <v>7646.6208333333343</v>
      </c>
      <c r="I176">
        <f t="shared" si="6"/>
        <v>758558.76291666669</v>
      </c>
      <c r="J176">
        <f>Overtime!D176</f>
        <v>27170.403750000001</v>
      </c>
      <c r="K176">
        <f t="shared" si="7"/>
        <v>0.06</v>
      </c>
      <c r="L176">
        <f>IF(Performance!E176&lt;=1.5,0.01,IF(Performance!E176&lt;=2,0.02,IF(Performance!E176&lt;=3,0.03,"")))</f>
        <v>0.01</v>
      </c>
      <c r="M176">
        <f t="shared" si="8"/>
        <v>6.9999999999999993E-2</v>
      </c>
      <c r="N176">
        <f>Earnings!B176*(1+M176)</f>
        <v>830638.0575</v>
      </c>
    </row>
    <row r="177" spans="1:14" x14ac:dyDescent="0.35">
      <c r="A177" t="s">
        <v>207</v>
      </c>
      <c r="B177" t="s">
        <v>14</v>
      </c>
      <c r="C177" t="s">
        <v>15</v>
      </c>
      <c r="D177" t="s">
        <v>21</v>
      </c>
      <c r="E177">
        <v>9</v>
      </c>
      <c r="F177" t="s">
        <v>37</v>
      </c>
      <c r="G177">
        <f>Earnings!G177</f>
        <v>669270.47</v>
      </c>
      <c r="H177">
        <f>Deductions!B177+Deductions!C177+Deductions!D177+Tax!D177</f>
        <v>6425.2533333333331</v>
      </c>
      <c r="I177">
        <f t="shared" si="6"/>
        <v>662845.21666666667</v>
      </c>
      <c r="J177">
        <f>Overtime!D177</f>
        <v>0</v>
      </c>
      <c r="K177">
        <f t="shared" si="7"/>
        <v>0.06</v>
      </c>
      <c r="L177">
        <f>IF(Performance!E177&lt;=1.5,0.01,IF(Performance!E177&lt;=2,0.02,IF(Performance!E177&lt;=3,0.03,"")))</f>
        <v>0.01</v>
      </c>
      <c r="M177">
        <f t="shared" si="8"/>
        <v>6.9999999999999993E-2</v>
      </c>
      <c r="N177">
        <f>Earnings!B177*(1+M177)</f>
        <v>752226.26399999997</v>
      </c>
    </row>
    <row r="178" spans="1:14" x14ac:dyDescent="0.35">
      <c r="A178" t="s">
        <v>208</v>
      </c>
      <c r="B178" t="s">
        <v>35</v>
      </c>
      <c r="C178" t="s">
        <v>20</v>
      </c>
      <c r="D178" t="s">
        <v>16</v>
      </c>
      <c r="E178">
        <v>19.600000000000001</v>
      </c>
      <c r="F178" t="s">
        <v>70</v>
      </c>
      <c r="G178">
        <f>Earnings!G178</f>
        <v>1587788.63</v>
      </c>
      <c r="H178">
        <f>Deductions!B178+Deductions!C178+Deductions!D178+Tax!D178</f>
        <v>28151.129999999994</v>
      </c>
      <c r="I178">
        <f t="shared" si="6"/>
        <v>1723086.3296000001</v>
      </c>
      <c r="J178">
        <f>Overtime!D178</f>
        <v>163448.8296</v>
      </c>
      <c r="K178">
        <f t="shared" si="7"/>
        <v>0.1</v>
      </c>
      <c r="L178">
        <f>IF(Performance!E178&lt;=1.5,0.01,IF(Performance!E178&lt;=2,0.02,IF(Performance!E178&lt;=3,0.03,"")))</f>
        <v>0.01</v>
      </c>
      <c r="M178">
        <f t="shared" si="8"/>
        <v>0.11</v>
      </c>
      <c r="N178">
        <f>Earnings!B178*(1+M178)</f>
        <v>1851308.172</v>
      </c>
    </row>
    <row r="179" spans="1:14" x14ac:dyDescent="0.35">
      <c r="A179" t="s">
        <v>209</v>
      </c>
      <c r="B179" t="s">
        <v>29</v>
      </c>
      <c r="C179" t="s">
        <v>15</v>
      </c>
      <c r="D179" t="s">
        <v>21</v>
      </c>
      <c r="E179">
        <v>8</v>
      </c>
      <c r="F179" t="s">
        <v>27</v>
      </c>
      <c r="G179">
        <f>Earnings!G179</f>
        <v>955503.12</v>
      </c>
      <c r="H179">
        <f>Deductions!B179+Deductions!C179+Deductions!D179+Tax!D179</f>
        <v>11466.99375</v>
      </c>
      <c r="I179">
        <f t="shared" si="6"/>
        <v>1039385.7025</v>
      </c>
      <c r="J179">
        <f>Overtime!D179</f>
        <v>95349.576250000013</v>
      </c>
      <c r="K179">
        <f t="shared" si="7"/>
        <v>0.06</v>
      </c>
      <c r="L179">
        <f>IF(Performance!E179&lt;=1.5,0.01,IF(Performance!E179&lt;=2,0.02,IF(Performance!E179&lt;=3,0.03,"")))</f>
        <v>0.02</v>
      </c>
      <c r="M179">
        <f t="shared" si="8"/>
        <v>0.08</v>
      </c>
      <c r="N179">
        <f>Earnings!B179*(1+M179)</f>
        <v>1083974.1300000001</v>
      </c>
    </row>
    <row r="180" spans="1:14" x14ac:dyDescent="0.35">
      <c r="A180" t="s">
        <v>210</v>
      </c>
      <c r="B180" t="s">
        <v>26</v>
      </c>
      <c r="C180" t="s">
        <v>43</v>
      </c>
      <c r="D180" t="s">
        <v>21</v>
      </c>
      <c r="E180">
        <v>15.3</v>
      </c>
      <c r="F180" t="s">
        <v>37</v>
      </c>
      <c r="G180">
        <f>Earnings!G180</f>
        <v>1195496.79</v>
      </c>
      <c r="H180">
        <f>Deductions!B180+Deductions!C180+Deductions!D180+Tax!D180</f>
        <v>17909.348249999995</v>
      </c>
      <c r="I180">
        <f t="shared" si="6"/>
        <v>1295002.3037375</v>
      </c>
      <c r="J180">
        <f>Overtime!D180</f>
        <v>117414.8619875</v>
      </c>
      <c r="K180">
        <f t="shared" si="7"/>
        <v>0.12</v>
      </c>
      <c r="L180">
        <f>IF(Performance!E180&lt;=1.5,0.01,IF(Performance!E180&lt;=2,0.02,IF(Performance!E180&lt;=3,0.03,"")))</f>
        <v>0.01</v>
      </c>
      <c r="M180">
        <f t="shared" si="8"/>
        <v>0.13</v>
      </c>
      <c r="N180">
        <f>Earnings!B180*(1+M180)</f>
        <v>1419024.5408999999</v>
      </c>
    </row>
    <row r="181" spans="1:14" x14ac:dyDescent="0.35">
      <c r="A181" t="s">
        <v>211</v>
      </c>
      <c r="B181" t="s">
        <v>35</v>
      </c>
      <c r="C181" t="s">
        <v>15</v>
      </c>
      <c r="D181" t="s">
        <v>21</v>
      </c>
      <c r="E181">
        <v>8</v>
      </c>
      <c r="F181" t="s">
        <v>17</v>
      </c>
      <c r="G181">
        <f>Earnings!G181</f>
        <v>914995.95</v>
      </c>
      <c r="H181">
        <f>Deductions!B181+Deductions!C181+Deductions!D181+Tax!D181</f>
        <v>10727.17</v>
      </c>
      <c r="I181">
        <f t="shared" si="6"/>
        <v>904268.77999999991</v>
      </c>
      <c r="J181">
        <f>Overtime!D181</f>
        <v>0</v>
      </c>
      <c r="K181">
        <f t="shared" si="7"/>
        <v>0.06</v>
      </c>
      <c r="L181">
        <f>IF(Performance!E181&lt;=1.5,0.01,IF(Performance!E181&lt;=2,0.02,IF(Performance!E181&lt;=3,0.03,"")))</f>
        <v>0.01</v>
      </c>
      <c r="M181">
        <f t="shared" si="8"/>
        <v>6.9999999999999993E-2</v>
      </c>
      <c r="N181">
        <f>Earnings!B181*(1+M181)</f>
        <v>1028409.314</v>
      </c>
    </row>
    <row r="182" spans="1:14" x14ac:dyDescent="0.35">
      <c r="A182" t="s">
        <v>212</v>
      </c>
      <c r="B182" t="s">
        <v>35</v>
      </c>
      <c r="C182" t="s">
        <v>43</v>
      </c>
      <c r="D182" t="s">
        <v>21</v>
      </c>
      <c r="E182">
        <v>3.4</v>
      </c>
      <c r="F182" t="s">
        <v>37</v>
      </c>
      <c r="G182">
        <f>Earnings!G182</f>
        <v>1232846.79</v>
      </c>
      <c r="H182">
        <f>Deductions!B182+Deductions!C182+Deductions!D182+Tax!D182</f>
        <v>18890.178249999997</v>
      </c>
      <c r="I182">
        <f t="shared" si="6"/>
        <v>1500153.186375</v>
      </c>
      <c r="J182">
        <f>Overtime!D182</f>
        <v>286196.57462500001</v>
      </c>
      <c r="K182">
        <f t="shared" si="7"/>
        <v>0.12</v>
      </c>
      <c r="L182">
        <f>IF(Performance!E182&lt;=1.5,0.01,IF(Performance!E182&lt;=2,0.02,IF(Performance!E182&lt;=3,0.03,"")))</f>
        <v>0.01</v>
      </c>
      <c r="M182">
        <f t="shared" si="8"/>
        <v>0.13</v>
      </c>
      <c r="N182">
        <f>Earnings!B182*(1+M182)</f>
        <v>1463358.0568999997</v>
      </c>
    </row>
    <row r="183" spans="1:14" x14ac:dyDescent="0.35">
      <c r="A183" t="s">
        <v>213</v>
      </c>
      <c r="B183" t="s">
        <v>26</v>
      </c>
      <c r="C183" t="s">
        <v>33</v>
      </c>
      <c r="D183" t="s">
        <v>16</v>
      </c>
      <c r="E183">
        <v>2.4</v>
      </c>
      <c r="F183" t="s">
        <v>70</v>
      </c>
      <c r="G183">
        <f>Earnings!G183</f>
        <v>644055.42000000004</v>
      </c>
      <c r="H183">
        <f>Deductions!B183+Deductions!C183+Deductions!D183+Tax!D183</f>
        <v>6023.8133333333335</v>
      </c>
      <c r="I183">
        <f t="shared" si="6"/>
        <v>751688.4450666667</v>
      </c>
      <c r="J183">
        <f>Overtime!D183</f>
        <v>113656.83840000001</v>
      </c>
      <c r="K183">
        <f t="shared" si="7"/>
        <v>0.08</v>
      </c>
      <c r="L183">
        <f>IF(Performance!E183&lt;=1.5,0.01,IF(Performance!E183&lt;=2,0.02,IF(Performance!E183&lt;=3,0.03,"")))</f>
        <v>0.01</v>
      </c>
      <c r="M183">
        <f t="shared" si="8"/>
        <v>0.09</v>
      </c>
      <c r="N183">
        <f>Earnings!B183*(1+M183)</f>
        <v>737416.39200000011</v>
      </c>
    </row>
    <row r="184" spans="1:14" x14ac:dyDescent="0.35">
      <c r="A184" t="s">
        <v>214</v>
      </c>
      <c r="B184" t="s">
        <v>19</v>
      </c>
      <c r="C184" t="s">
        <v>43</v>
      </c>
      <c r="D184" t="s">
        <v>21</v>
      </c>
      <c r="E184">
        <v>18.7</v>
      </c>
      <c r="F184" t="s">
        <v>70</v>
      </c>
      <c r="G184">
        <f>Earnings!G184</f>
        <v>1450621.6</v>
      </c>
      <c r="H184">
        <f>Deductions!B184+Deductions!C184+Deductions!D184+Tax!D184</f>
        <v>24609.054749999999</v>
      </c>
      <c r="I184">
        <f t="shared" si="6"/>
        <v>1426012.5452500002</v>
      </c>
      <c r="J184">
        <f>Overtime!D184</f>
        <v>0</v>
      </c>
      <c r="K184">
        <f t="shared" si="7"/>
        <v>0.12</v>
      </c>
      <c r="L184">
        <f>IF(Performance!E184&lt;=1.5,0.01,IF(Performance!E184&lt;=2,0.02,IF(Performance!E184&lt;=3,0.03,"")))</f>
        <v>0.03</v>
      </c>
      <c r="M184">
        <f t="shared" si="8"/>
        <v>0.15</v>
      </c>
      <c r="N184">
        <f>Earnings!B184*(1+M184)</f>
        <v>1752326.5184999998</v>
      </c>
    </row>
    <row r="185" spans="1:14" x14ac:dyDescent="0.35">
      <c r="A185" t="s">
        <v>215</v>
      </c>
      <c r="B185" t="s">
        <v>14</v>
      </c>
      <c r="C185" t="s">
        <v>20</v>
      </c>
      <c r="D185" t="s">
        <v>21</v>
      </c>
      <c r="E185">
        <v>16.8</v>
      </c>
      <c r="F185" t="s">
        <v>22</v>
      </c>
      <c r="G185">
        <f>Earnings!G185</f>
        <v>1073666.96</v>
      </c>
      <c r="H185">
        <f>Deductions!B185+Deductions!C185+Deductions!D185+Tax!D185</f>
        <v>14650.035749999997</v>
      </c>
      <c r="I185">
        <f t="shared" si="6"/>
        <v>1059016.9242499999</v>
      </c>
      <c r="J185">
        <f>Overtime!D185</f>
        <v>0</v>
      </c>
      <c r="K185">
        <f t="shared" si="7"/>
        <v>0.1</v>
      </c>
      <c r="L185">
        <f>IF(Performance!E185&lt;=1.5,0.01,IF(Performance!E185&lt;=2,0.02,IF(Performance!E185&lt;=3,0.03,"")))</f>
        <v>0.01</v>
      </c>
      <c r="M185">
        <f t="shared" si="8"/>
        <v>0.11</v>
      </c>
      <c r="N185">
        <f>Earnings!B185*(1+M185)</f>
        <v>1251859.5873</v>
      </c>
    </row>
    <row r="186" spans="1:14" x14ac:dyDescent="0.35">
      <c r="A186" t="s">
        <v>216</v>
      </c>
      <c r="B186" t="s">
        <v>19</v>
      </c>
      <c r="C186" t="s">
        <v>20</v>
      </c>
      <c r="D186" t="s">
        <v>16</v>
      </c>
      <c r="E186">
        <v>7</v>
      </c>
      <c r="F186" t="s">
        <v>22</v>
      </c>
      <c r="G186">
        <f>Earnings!G186</f>
        <v>1243736.97</v>
      </c>
      <c r="H186">
        <f>Deductions!B186+Deductions!C186+Deductions!D186+Tax!D186</f>
        <v>19116.16</v>
      </c>
      <c r="I186">
        <f t="shared" si="6"/>
        <v>1325217.1828000001</v>
      </c>
      <c r="J186">
        <f>Overtime!D186</f>
        <v>100596.3728</v>
      </c>
      <c r="K186">
        <f t="shared" si="7"/>
        <v>0.1</v>
      </c>
      <c r="L186">
        <f>IF(Performance!E186&lt;=1.5,0.01,IF(Performance!E186&lt;=2,0.02,IF(Performance!E186&lt;=3,0.03,"")))</f>
        <v>0.03</v>
      </c>
      <c r="M186">
        <f t="shared" si="8"/>
        <v>0.13</v>
      </c>
      <c r="N186">
        <f>Earnings!B186*(1+M186)</f>
        <v>1476284.4319999998</v>
      </c>
    </row>
    <row r="187" spans="1:14" x14ac:dyDescent="0.35">
      <c r="A187" t="s">
        <v>217</v>
      </c>
      <c r="B187" t="s">
        <v>14</v>
      </c>
      <c r="C187" t="s">
        <v>20</v>
      </c>
      <c r="D187" t="s">
        <v>21</v>
      </c>
      <c r="E187">
        <v>19.600000000000001</v>
      </c>
      <c r="F187" t="s">
        <v>44</v>
      </c>
      <c r="G187">
        <f>Earnings!G187</f>
        <v>1141767.3799999999</v>
      </c>
      <c r="H187">
        <f>Deductions!B187+Deductions!C187+Deductions!D187+Tax!D187</f>
        <v>16438.387000000002</v>
      </c>
      <c r="I187">
        <f t="shared" si="6"/>
        <v>1326817.3527999998</v>
      </c>
      <c r="J187">
        <f>Overtime!D187</f>
        <v>201488.35980000001</v>
      </c>
      <c r="K187">
        <f t="shared" si="7"/>
        <v>0.1</v>
      </c>
      <c r="L187">
        <f>IF(Performance!E187&lt;=1.5,0.01,IF(Performance!E187&lt;=2,0.02,IF(Performance!E187&lt;=3,0.03,"")))</f>
        <v>0.01</v>
      </c>
      <c r="M187">
        <f t="shared" si="8"/>
        <v>0.11</v>
      </c>
      <c r="N187">
        <f>Earnings!B187*(1+M187)</f>
        <v>1331262.3828</v>
      </c>
    </row>
    <row r="188" spans="1:14" x14ac:dyDescent="0.35">
      <c r="A188" t="s">
        <v>218</v>
      </c>
      <c r="B188" t="s">
        <v>29</v>
      </c>
      <c r="C188" t="s">
        <v>15</v>
      </c>
      <c r="D188" t="s">
        <v>16</v>
      </c>
      <c r="E188">
        <v>7</v>
      </c>
      <c r="F188" t="s">
        <v>44</v>
      </c>
      <c r="G188">
        <f>Earnings!G188</f>
        <v>802660.71</v>
      </c>
      <c r="H188">
        <f>Deductions!B188+Deductions!C188+Deductions!D188+Tax!D188</f>
        <v>8760.5166666666664</v>
      </c>
      <c r="I188">
        <f t="shared" si="6"/>
        <v>793900.19333333324</v>
      </c>
      <c r="J188">
        <f>Overtime!D188</f>
        <v>0</v>
      </c>
      <c r="K188">
        <f t="shared" si="7"/>
        <v>0.06</v>
      </c>
      <c r="L188">
        <f>IF(Performance!E188&lt;=1.5,0.01,IF(Performance!E188&lt;=2,0.02,IF(Performance!E188&lt;=3,0.03,"")))</f>
        <v>0.02</v>
      </c>
      <c r="M188">
        <f t="shared" si="8"/>
        <v>0.08</v>
      </c>
      <c r="N188">
        <f>Earnings!B188*(1+M188)</f>
        <v>910581.4800000001</v>
      </c>
    </row>
    <row r="189" spans="1:14" x14ac:dyDescent="0.35">
      <c r="A189" t="s">
        <v>219</v>
      </c>
      <c r="B189" t="s">
        <v>19</v>
      </c>
      <c r="C189" t="s">
        <v>33</v>
      </c>
      <c r="D189" t="s">
        <v>21</v>
      </c>
      <c r="E189">
        <v>8.4</v>
      </c>
      <c r="F189" t="s">
        <v>44</v>
      </c>
      <c r="G189">
        <f>Earnings!G189</f>
        <v>718471.64</v>
      </c>
      <c r="H189">
        <f>Deductions!B189+Deductions!C189+Deductions!D189+Tax!D189</f>
        <v>7326.6183333333329</v>
      </c>
      <c r="I189">
        <f t="shared" si="6"/>
        <v>751898.66506666678</v>
      </c>
      <c r="J189">
        <f>Overtime!D189</f>
        <v>40753.643400000008</v>
      </c>
      <c r="K189">
        <f t="shared" si="7"/>
        <v>0.08</v>
      </c>
      <c r="L189">
        <f>IF(Performance!E189&lt;=1.5,0.01,IF(Performance!E189&lt;=2,0.02,IF(Performance!E189&lt;=3,0.03,"")))</f>
        <v>0.03</v>
      </c>
      <c r="M189">
        <f t="shared" si="8"/>
        <v>0.11</v>
      </c>
      <c r="N189">
        <f>Earnings!B189*(1+M189)</f>
        <v>837713.78100000008</v>
      </c>
    </row>
    <row r="190" spans="1:14" x14ac:dyDescent="0.35">
      <c r="A190" t="s">
        <v>220</v>
      </c>
      <c r="B190" t="s">
        <v>29</v>
      </c>
      <c r="C190" t="s">
        <v>43</v>
      </c>
      <c r="D190" t="s">
        <v>21</v>
      </c>
      <c r="E190">
        <v>5.0999999999999996</v>
      </c>
      <c r="F190" t="s">
        <v>70</v>
      </c>
      <c r="G190">
        <f>Earnings!G190</f>
        <v>1704982.3</v>
      </c>
      <c r="H190">
        <f>Deductions!B190+Deductions!C190+Deductions!D190+Tax!D190</f>
        <v>31288.694749999999</v>
      </c>
      <c r="I190">
        <f t="shared" si="6"/>
        <v>1673693.60525</v>
      </c>
      <c r="J190">
        <f>Overtime!D190</f>
        <v>0</v>
      </c>
      <c r="K190">
        <f t="shared" si="7"/>
        <v>0.12</v>
      </c>
      <c r="L190">
        <f>IF(Performance!E190&lt;=1.5,0.01,IF(Performance!E190&lt;=2,0.02,IF(Performance!E190&lt;=3,0.03,"")))</f>
        <v>0.02</v>
      </c>
      <c r="M190">
        <f t="shared" si="8"/>
        <v>0.13999999999999999</v>
      </c>
      <c r="N190">
        <f>Earnings!B190*(1+M190)</f>
        <v>2041680.4805999999</v>
      </c>
    </row>
    <row r="191" spans="1:14" x14ac:dyDescent="0.35">
      <c r="A191" t="s">
        <v>221</v>
      </c>
      <c r="B191" t="s">
        <v>26</v>
      </c>
      <c r="C191" t="s">
        <v>15</v>
      </c>
      <c r="D191" t="s">
        <v>21</v>
      </c>
      <c r="E191">
        <v>0</v>
      </c>
      <c r="F191" t="s">
        <v>70</v>
      </c>
      <c r="G191">
        <f>Earnings!G191</f>
        <v>576110.93999999994</v>
      </c>
      <c r="H191">
        <f>Deductions!B191+Deductions!C191+Deductions!D191+Tax!D191</f>
        <v>4794.3091666666678</v>
      </c>
      <c r="I191">
        <f t="shared" si="6"/>
        <v>589471.38733333326</v>
      </c>
      <c r="J191">
        <f>Overtime!D191</f>
        <v>18154.7565</v>
      </c>
      <c r="K191">
        <f t="shared" si="7"/>
        <v>0.06</v>
      </c>
      <c r="L191">
        <f>IF(Performance!E191&lt;=1.5,0.01,IF(Performance!E191&lt;=2,0.02,IF(Performance!E191&lt;=3,0.03,"")))</f>
        <v>0.01</v>
      </c>
      <c r="M191">
        <f t="shared" si="8"/>
        <v>6.9999999999999993E-2</v>
      </c>
      <c r="N191">
        <f>Earnings!B191*(1+M191)</f>
        <v>647519.64850000013</v>
      </c>
    </row>
    <row r="192" spans="1:14" x14ac:dyDescent="0.35">
      <c r="A192" t="s">
        <v>222</v>
      </c>
      <c r="B192" t="s">
        <v>35</v>
      </c>
      <c r="C192" t="s">
        <v>15</v>
      </c>
      <c r="D192" t="s">
        <v>21</v>
      </c>
      <c r="E192">
        <v>4</v>
      </c>
      <c r="F192" t="s">
        <v>24</v>
      </c>
      <c r="G192">
        <f>Earnings!G192</f>
        <v>712814.62</v>
      </c>
      <c r="H192">
        <f>Deductions!B192+Deductions!C192+Deductions!D192+Tax!D192</f>
        <v>7187.5808333333334</v>
      </c>
      <c r="I192">
        <f t="shared" si="6"/>
        <v>806708.94391666667</v>
      </c>
      <c r="J192">
        <f>Overtime!D192</f>
        <v>101081.90475</v>
      </c>
      <c r="K192">
        <f t="shared" si="7"/>
        <v>0.06</v>
      </c>
      <c r="L192">
        <f>IF(Performance!E192&lt;=1.5,0.01,IF(Performance!E192&lt;=2,0.02,IF(Performance!E192&lt;=3,0.03,"")))</f>
        <v>0.01</v>
      </c>
      <c r="M192">
        <f t="shared" si="8"/>
        <v>6.9999999999999993E-2</v>
      </c>
      <c r="N192">
        <f>Earnings!B192*(1+M192)</f>
        <v>801167.68949999998</v>
      </c>
    </row>
    <row r="193" spans="1:14" x14ac:dyDescent="0.35">
      <c r="A193" t="s">
        <v>223</v>
      </c>
      <c r="B193" t="s">
        <v>14</v>
      </c>
      <c r="C193" t="s">
        <v>15</v>
      </c>
      <c r="D193" t="s">
        <v>21</v>
      </c>
      <c r="E193">
        <v>4</v>
      </c>
      <c r="F193" t="s">
        <v>24</v>
      </c>
      <c r="G193">
        <f>Earnings!G193</f>
        <v>524270.73</v>
      </c>
      <c r="H193">
        <f>Deductions!B193+Deductions!C193+Deductions!D193+Tax!D193</f>
        <v>3886.7425000000012</v>
      </c>
      <c r="I193">
        <f t="shared" si="6"/>
        <v>520383.98749999999</v>
      </c>
      <c r="J193">
        <f>Overtime!D193</f>
        <v>0</v>
      </c>
      <c r="K193">
        <f t="shared" si="7"/>
        <v>0.06</v>
      </c>
      <c r="L193">
        <f>IF(Performance!E193&lt;=1.5,0.01,IF(Performance!E193&lt;=2,0.02,IF(Performance!E193&lt;=3,0.03,"")))</f>
        <v>0.01</v>
      </c>
      <c r="M193">
        <f t="shared" si="8"/>
        <v>6.9999999999999993E-2</v>
      </c>
      <c r="N193">
        <f>Earnings!B193*(1+M193)</f>
        <v>589253.8685000001</v>
      </c>
    </row>
    <row r="194" spans="1:14" x14ac:dyDescent="0.35">
      <c r="A194" t="s">
        <v>224</v>
      </c>
      <c r="B194" t="s">
        <v>14</v>
      </c>
      <c r="C194" t="s">
        <v>20</v>
      </c>
      <c r="D194" t="s">
        <v>21</v>
      </c>
      <c r="E194">
        <v>21</v>
      </c>
      <c r="F194" t="s">
        <v>17</v>
      </c>
      <c r="G194">
        <f>Earnings!G194</f>
        <v>1288132.94</v>
      </c>
      <c r="H194">
        <f>Deductions!B194+Deductions!C194+Deductions!D194+Tax!D194</f>
        <v>20282.020500000002</v>
      </c>
      <c r="I194">
        <f t="shared" ref="I194:I257" si="9">G194-H194+J194</f>
        <v>1267850.9194999998</v>
      </c>
      <c r="J194">
        <f>Overtime!D194</f>
        <v>0</v>
      </c>
      <c r="K194">
        <f t="shared" ref="K194:K257" si="10">IF(C194="Junior",0.06,IF(C194="Mid",0.08,IF(C194="Senior",0.1,IF(C194="Manager",0.12,0))))</f>
        <v>0.1</v>
      </c>
      <c r="L194">
        <f>IF(Performance!E194&lt;=1.5,0.01,IF(Performance!E194&lt;=2,0.02,IF(Performance!E194&lt;=3,0.03,"")))</f>
        <v>0.01</v>
      </c>
      <c r="M194">
        <f t="shared" ref="M194:M257" si="11">K194+L194</f>
        <v>0.11</v>
      </c>
      <c r="N194">
        <f>Earnings!B194*(1+M194)</f>
        <v>1501919.7102000001</v>
      </c>
    </row>
    <row r="195" spans="1:14" x14ac:dyDescent="0.35">
      <c r="A195" t="s">
        <v>225</v>
      </c>
      <c r="B195" t="s">
        <v>14</v>
      </c>
      <c r="C195" t="s">
        <v>43</v>
      </c>
      <c r="D195" t="s">
        <v>21</v>
      </c>
      <c r="E195">
        <v>20.399999999999999</v>
      </c>
      <c r="F195" t="s">
        <v>22</v>
      </c>
      <c r="G195">
        <f>Earnings!G195</f>
        <v>1411624.96</v>
      </c>
      <c r="H195">
        <f>Deductions!B195+Deductions!C195+Deductions!D195+Tax!D195</f>
        <v>23584.983250000001</v>
      </c>
      <c r="I195">
        <f t="shared" si="9"/>
        <v>1388039.9767499999</v>
      </c>
      <c r="J195">
        <f>Overtime!D195</f>
        <v>0</v>
      </c>
      <c r="K195">
        <f t="shared" si="10"/>
        <v>0.12</v>
      </c>
      <c r="L195">
        <f>IF(Performance!E195&lt;=1.5,0.01,IF(Performance!E195&lt;=2,0.02,IF(Performance!E195&lt;=3,0.03,"")))</f>
        <v>0.01</v>
      </c>
      <c r="M195">
        <f t="shared" si="11"/>
        <v>0.13</v>
      </c>
      <c r="N195">
        <f>Earnings!B195*(1+M195)</f>
        <v>1675563.2429</v>
      </c>
    </row>
    <row r="196" spans="1:14" x14ac:dyDescent="0.35">
      <c r="A196" t="s">
        <v>226</v>
      </c>
      <c r="B196" t="s">
        <v>26</v>
      </c>
      <c r="C196" t="s">
        <v>43</v>
      </c>
      <c r="D196" t="s">
        <v>16</v>
      </c>
      <c r="E196">
        <v>23.8</v>
      </c>
      <c r="F196" t="s">
        <v>22</v>
      </c>
      <c r="G196">
        <f>Earnings!G196</f>
        <v>1306563.45</v>
      </c>
      <c r="H196">
        <f>Deductions!B196+Deductions!C196+Deductions!D196+Tax!D196</f>
        <v>20826.015000000003</v>
      </c>
      <c r="I196">
        <f t="shared" si="9"/>
        <v>1577381.0625</v>
      </c>
      <c r="J196">
        <f>Overtime!D196</f>
        <v>291643.6275</v>
      </c>
      <c r="K196">
        <f t="shared" si="10"/>
        <v>0.12</v>
      </c>
      <c r="L196">
        <f>IF(Performance!E196&lt;=1.5,0.01,IF(Performance!E196&lt;=2,0.02,IF(Performance!E196&lt;=3,0.03,"")))</f>
        <v>0.01</v>
      </c>
      <c r="M196">
        <f t="shared" si="11"/>
        <v>0.13</v>
      </c>
      <c r="N196">
        <f>Earnings!B196*(1+M196)</f>
        <v>1550857.878</v>
      </c>
    </row>
    <row r="197" spans="1:14" x14ac:dyDescent="0.35">
      <c r="A197" t="s">
        <v>227</v>
      </c>
      <c r="B197" t="s">
        <v>26</v>
      </c>
      <c r="C197" t="s">
        <v>43</v>
      </c>
      <c r="D197" t="s">
        <v>16</v>
      </c>
      <c r="E197">
        <v>5.0999999999999996</v>
      </c>
      <c r="F197" t="s">
        <v>27</v>
      </c>
      <c r="G197">
        <f>Earnings!G197</f>
        <v>795534.23</v>
      </c>
      <c r="H197">
        <f>Deductions!B197+Deductions!C197+Deductions!D197+Tax!D197</f>
        <v>8775.753333333334</v>
      </c>
      <c r="I197">
        <f t="shared" si="9"/>
        <v>786758.47666666668</v>
      </c>
      <c r="J197">
        <f>Overtime!D197</f>
        <v>0</v>
      </c>
      <c r="K197">
        <f t="shared" si="10"/>
        <v>0.12</v>
      </c>
      <c r="L197">
        <f>IF(Performance!E197&lt;=1.5,0.01,IF(Performance!E197&lt;=2,0.02,IF(Performance!E197&lt;=3,0.03,"")))</f>
        <v>0.01</v>
      </c>
      <c r="M197">
        <f t="shared" si="11"/>
        <v>0.13</v>
      </c>
      <c r="N197">
        <f>Earnings!B197*(1+M197)</f>
        <v>944279.07599999988</v>
      </c>
    </row>
    <row r="198" spans="1:14" x14ac:dyDescent="0.35">
      <c r="A198" t="s">
        <v>228</v>
      </c>
      <c r="B198" t="s">
        <v>29</v>
      </c>
      <c r="C198" t="s">
        <v>20</v>
      </c>
      <c r="D198" t="s">
        <v>16</v>
      </c>
      <c r="E198">
        <v>2.8</v>
      </c>
      <c r="F198" t="s">
        <v>22</v>
      </c>
      <c r="G198">
        <f>Earnings!G198</f>
        <v>1574196.74</v>
      </c>
      <c r="H198">
        <f>Deductions!B198+Deductions!C198+Deductions!D198+Tax!D198</f>
        <v>27794.2</v>
      </c>
      <c r="I198">
        <f t="shared" si="9"/>
        <v>1824201.9640000002</v>
      </c>
      <c r="J198">
        <f>Overtime!D198</f>
        <v>277799.424</v>
      </c>
      <c r="K198">
        <f t="shared" si="10"/>
        <v>0.1</v>
      </c>
      <c r="L198">
        <f>IF(Performance!E198&lt;=1.5,0.01,IF(Performance!E198&lt;=2,0.02,IF(Performance!E198&lt;=3,0.03,"")))</f>
        <v>0.02</v>
      </c>
      <c r="M198">
        <f t="shared" si="11"/>
        <v>0.12000000000000001</v>
      </c>
      <c r="N198">
        <f>Earnings!B198*(1+M198)</f>
        <v>1851996.1600000001</v>
      </c>
    </row>
    <row r="199" spans="1:14" x14ac:dyDescent="0.35">
      <c r="A199" t="s">
        <v>229</v>
      </c>
      <c r="B199" t="s">
        <v>19</v>
      </c>
      <c r="C199" t="s">
        <v>33</v>
      </c>
      <c r="D199" t="s">
        <v>16</v>
      </c>
      <c r="E199">
        <v>15.6</v>
      </c>
      <c r="F199" t="s">
        <v>22</v>
      </c>
      <c r="G199">
        <f>Earnings!G199</f>
        <v>1193731.46</v>
      </c>
      <c r="H199">
        <f>Deductions!B199+Deductions!C199+Deductions!D199+Tax!D199</f>
        <v>17762.989999999998</v>
      </c>
      <c r="I199">
        <f t="shared" si="9"/>
        <v>1175968.47</v>
      </c>
      <c r="J199">
        <f>Overtime!D199</f>
        <v>0</v>
      </c>
      <c r="K199">
        <f t="shared" si="10"/>
        <v>0.08</v>
      </c>
      <c r="L199">
        <f>IF(Performance!E199&lt;=1.5,0.01,IF(Performance!E199&lt;=2,0.02,IF(Performance!E199&lt;=3,0.03,"")))</f>
        <v>0.03</v>
      </c>
      <c r="M199">
        <f t="shared" si="11"/>
        <v>0.11</v>
      </c>
      <c r="N199">
        <f>Earnings!B199*(1+M199)</f>
        <v>1391850.7560000003</v>
      </c>
    </row>
    <row r="200" spans="1:14" x14ac:dyDescent="0.35">
      <c r="A200" t="s">
        <v>230</v>
      </c>
      <c r="B200" t="s">
        <v>14</v>
      </c>
      <c r="C200" t="s">
        <v>43</v>
      </c>
      <c r="D200" t="s">
        <v>16</v>
      </c>
      <c r="E200">
        <v>25.5</v>
      </c>
      <c r="F200" t="s">
        <v>24</v>
      </c>
      <c r="G200">
        <f>Earnings!G200</f>
        <v>1583809.94</v>
      </c>
      <c r="H200">
        <f>Deductions!B200+Deductions!C200+Deductions!D200+Tax!D200</f>
        <v>28106.647499999995</v>
      </c>
      <c r="I200">
        <f t="shared" si="9"/>
        <v>1555703.2925</v>
      </c>
      <c r="J200">
        <f>Overtime!D200</f>
        <v>0</v>
      </c>
      <c r="K200">
        <f t="shared" si="10"/>
        <v>0.12</v>
      </c>
      <c r="L200">
        <f>IF(Performance!E200&lt;=1.5,0.01,IF(Performance!E200&lt;=2,0.02,IF(Performance!E200&lt;=3,0.03,"")))</f>
        <v>0.01</v>
      </c>
      <c r="M200">
        <f t="shared" si="11"/>
        <v>0.13</v>
      </c>
      <c r="N200">
        <f>Earnings!B200*(1+M200)</f>
        <v>1879942.4669999997</v>
      </c>
    </row>
    <row r="201" spans="1:14" x14ac:dyDescent="0.35">
      <c r="A201" t="s">
        <v>231</v>
      </c>
      <c r="B201" t="s">
        <v>35</v>
      </c>
      <c r="C201" t="s">
        <v>15</v>
      </c>
      <c r="D201" t="s">
        <v>16</v>
      </c>
      <c r="E201">
        <v>4</v>
      </c>
      <c r="F201" t="s">
        <v>44</v>
      </c>
      <c r="G201">
        <f>Earnings!G201</f>
        <v>908728.74</v>
      </c>
      <c r="H201">
        <f>Deductions!B201+Deductions!C201+Deductions!D201+Tax!D201</f>
        <v>10617.45</v>
      </c>
      <c r="I201">
        <f t="shared" si="9"/>
        <v>1022202.4</v>
      </c>
      <c r="J201">
        <f>Overtime!D201</f>
        <v>124091.10999999999</v>
      </c>
      <c r="K201">
        <f t="shared" si="10"/>
        <v>0.06</v>
      </c>
      <c r="L201">
        <f>IF(Performance!E201&lt;=1.5,0.01,IF(Performance!E201&lt;=2,0.02,IF(Performance!E201&lt;=3,0.03,"")))</f>
        <v>0.01</v>
      </c>
      <c r="M201">
        <f t="shared" si="11"/>
        <v>6.9999999999999993E-2</v>
      </c>
      <c r="N201">
        <f>Earnings!B201*(1+M201)</f>
        <v>1021365.29</v>
      </c>
    </row>
    <row r="202" spans="1:14" x14ac:dyDescent="0.35">
      <c r="A202" t="s">
        <v>232</v>
      </c>
      <c r="B202" t="s">
        <v>19</v>
      </c>
      <c r="C202" t="s">
        <v>43</v>
      </c>
      <c r="D202" t="s">
        <v>21</v>
      </c>
      <c r="E202">
        <v>6.8</v>
      </c>
      <c r="F202" t="s">
        <v>70</v>
      </c>
      <c r="G202">
        <f>Earnings!G202</f>
        <v>1306890.29</v>
      </c>
      <c r="H202">
        <f>Deductions!B202+Deductions!C202+Deductions!D202+Tax!D202</f>
        <v>20834.597749999997</v>
      </c>
      <c r="I202">
        <f t="shared" si="9"/>
        <v>1286055.6922500001</v>
      </c>
      <c r="J202">
        <f>Overtime!D202</f>
        <v>0</v>
      </c>
      <c r="K202">
        <f t="shared" si="10"/>
        <v>0.12</v>
      </c>
      <c r="L202">
        <f>IF(Performance!E202&lt;=1.5,0.01,IF(Performance!E202&lt;=2,0.02,IF(Performance!E202&lt;=3,0.03,"")))</f>
        <v>0.03</v>
      </c>
      <c r="M202">
        <f t="shared" si="11"/>
        <v>0.15</v>
      </c>
      <c r="N202">
        <f>Earnings!B202*(1+M202)</f>
        <v>1578701.4964999999</v>
      </c>
    </row>
    <row r="203" spans="1:14" x14ac:dyDescent="0.35">
      <c r="A203" t="s">
        <v>233</v>
      </c>
      <c r="B203" t="s">
        <v>26</v>
      </c>
      <c r="C203" t="s">
        <v>43</v>
      </c>
      <c r="D203" t="s">
        <v>21</v>
      </c>
      <c r="E203">
        <v>5.0999999999999996</v>
      </c>
      <c r="F203" t="s">
        <v>70</v>
      </c>
      <c r="G203">
        <f>Earnings!G203</f>
        <v>730770.39</v>
      </c>
      <c r="H203">
        <f>Deductions!B203+Deductions!C203+Deductions!D203+Tax!D203</f>
        <v>7641.9326666666666</v>
      </c>
      <c r="I203">
        <f t="shared" si="9"/>
        <v>873197.37555833336</v>
      </c>
      <c r="J203">
        <f>Overtime!D203</f>
        <v>150068.918225</v>
      </c>
      <c r="K203">
        <f t="shared" si="10"/>
        <v>0.12</v>
      </c>
      <c r="L203">
        <f>IF(Performance!E203&lt;=1.5,0.01,IF(Performance!E203&lt;=2,0.02,IF(Performance!E203&lt;=3,0.03,"")))</f>
        <v>0.01</v>
      </c>
      <c r="M203">
        <f t="shared" si="11"/>
        <v>0.13</v>
      </c>
      <c r="N203">
        <f>Earnings!B203*(1+M203)</f>
        <v>867406.03479999991</v>
      </c>
    </row>
    <row r="204" spans="1:14" x14ac:dyDescent="0.35">
      <c r="A204" t="s">
        <v>234</v>
      </c>
      <c r="B204" t="s">
        <v>19</v>
      </c>
      <c r="C204" t="s">
        <v>20</v>
      </c>
      <c r="D204" t="s">
        <v>21</v>
      </c>
      <c r="E204">
        <v>9.8000000000000007</v>
      </c>
      <c r="F204" t="s">
        <v>27</v>
      </c>
      <c r="G204">
        <f>Earnings!G204</f>
        <v>1258504.8</v>
      </c>
      <c r="H204">
        <f>Deductions!B204+Deductions!C204+Deductions!D204+Tax!D204</f>
        <v>19503.970499999999</v>
      </c>
      <c r="I204">
        <f t="shared" si="9"/>
        <v>1239000.8295</v>
      </c>
      <c r="J204">
        <f>Overtime!D204</f>
        <v>0</v>
      </c>
      <c r="K204">
        <f t="shared" si="10"/>
        <v>0.1</v>
      </c>
      <c r="L204">
        <f>IF(Performance!E204&lt;=1.5,0.01,IF(Performance!E204&lt;=2,0.02,IF(Performance!E204&lt;=3,0.03,"")))</f>
        <v>0.03</v>
      </c>
      <c r="M204">
        <f t="shared" si="11"/>
        <v>0.13</v>
      </c>
      <c r="N204">
        <f>Earnings!B204*(1+M204)</f>
        <v>1493813.4665999999</v>
      </c>
    </row>
    <row r="205" spans="1:14" x14ac:dyDescent="0.35">
      <c r="A205" t="s">
        <v>235</v>
      </c>
      <c r="B205" t="s">
        <v>26</v>
      </c>
      <c r="C205" t="s">
        <v>33</v>
      </c>
      <c r="D205" t="s">
        <v>21</v>
      </c>
      <c r="E205">
        <v>15.6</v>
      </c>
      <c r="F205" t="s">
        <v>31</v>
      </c>
      <c r="G205">
        <f>Earnings!G205</f>
        <v>953737.55</v>
      </c>
      <c r="H205">
        <f>Deductions!B205+Deductions!C205+Deductions!D205+Tax!D205</f>
        <v>11460.629000000001</v>
      </c>
      <c r="I205">
        <f t="shared" si="9"/>
        <v>1086539.7426</v>
      </c>
      <c r="J205">
        <f>Overtime!D205</f>
        <v>144262.8216</v>
      </c>
      <c r="K205">
        <f t="shared" si="10"/>
        <v>0.08</v>
      </c>
      <c r="L205">
        <f>IF(Performance!E205&lt;=1.5,0.01,IF(Performance!E205&lt;=2,0.02,IF(Performance!E205&lt;=3,0.03,"")))</f>
        <v>0.01</v>
      </c>
      <c r="M205">
        <f t="shared" si="11"/>
        <v>0.09</v>
      </c>
      <c r="N205">
        <f>Earnings!B205*(1+M205)</f>
        <v>1091989.4244000001</v>
      </c>
    </row>
    <row r="206" spans="1:14" x14ac:dyDescent="0.35">
      <c r="A206" t="s">
        <v>236</v>
      </c>
      <c r="B206" t="s">
        <v>19</v>
      </c>
      <c r="C206" t="s">
        <v>33</v>
      </c>
      <c r="D206" t="s">
        <v>21</v>
      </c>
      <c r="E206">
        <v>13.2</v>
      </c>
      <c r="F206" t="s">
        <v>44</v>
      </c>
      <c r="G206">
        <f>Earnings!G206</f>
        <v>896026.7</v>
      </c>
      <c r="H206">
        <f>Deductions!B206+Deductions!C206+Deductions!D206+Tax!D206</f>
        <v>10435.075333333334</v>
      </c>
      <c r="I206">
        <f t="shared" si="9"/>
        <v>885591.62466666661</v>
      </c>
      <c r="J206">
        <f>Overtime!D206</f>
        <v>0</v>
      </c>
      <c r="K206">
        <f t="shared" si="10"/>
        <v>0.08</v>
      </c>
      <c r="L206">
        <f>IF(Performance!E206&lt;=1.5,0.01,IF(Performance!E206&lt;=2,0.02,IF(Performance!E206&lt;=3,0.03,"")))</f>
        <v>0.03</v>
      </c>
      <c r="M206">
        <f t="shared" si="11"/>
        <v>0.11</v>
      </c>
      <c r="N206">
        <f>Earnings!B206*(1+M206)</f>
        <v>1044737.0172000001</v>
      </c>
    </row>
    <row r="207" spans="1:14" x14ac:dyDescent="0.35">
      <c r="A207" t="s">
        <v>237</v>
      </c>
      <c r="B207" t="s">
        <v>35</v>
      </c>
      <c r="C207" t="s">
        <v>33</v>
      </c>
      <c r="D207" t="s">
        <v>21</v>
      </c>
      <c r="E207">
        <v>0</v>
      </c>
      <c r="F207" t="s">
        <v>17</v>
      </c>
      <c r="G207">
        <f>Earnings!G207</f>
        <v>984897.03</v>
      </c>
      <c r="H207">
        <f>Deductions!B207+Deductions!C207+Deductions!D207+Tax!D207</f>
        <v>12278.8925</v>
      </c>
      <c r="I207">
        <f t="shared" si="9"/>
        <v>972618.13750000007</v>
      </c>
      <c r="J207">
        <f>Overtime!D207</f>
        <v>0</v>
      </c>
      <c r="K207">
        <f t="shared" si="10"/>
        <v>0.08</v>
      </c>
      <c r="L207">
        <f>IF(Performance!E207&lt;=1.5,0.01,IF(Performance!E207&lt;=2,0.02,IF(Performance!E207&lt;=3,0.03,"")))</f>
        <v>0.01</v>
      </c>
      <c r="M207">
        <f t="shared" si="11"/>
        <v>0.09</v>
      </c>
      <c r="N207">
        <f>Earnings!B207*(1+M207)</f>
        <v>1127665.713</v>
      </c>
    </row>
    <row r="208" spans="1:14" x14ac:dyDescent="0.35">
      <c r="A208" t="s">
        <v>238</v>
      </c>
      <c r="B208" t="s">
        <v>35</v>
      </c>
      <c r="C208" t="s">
        <v>20</v>
      </c>
      <c r="D208" t="s">
        <v>21</v>
      </c>
      <c r="E208">
        <v>19.600000000000001</v>
      </c>
      <c r="F208" t="s">
        <v>27</v>
      </c>
      <c r="G208">
        <f>Earnings!G208</f>
        <v>1269688.79</v>
      </c>
      <c r="H208">
        <f>Deductions!B208+Deductions!C208+Deductions!D208+Tax!D208</f>
        <v>19797.667749999997</v>
      </c>
      <c r="I208">
        <f t="shared" si="9"/>
        <v>1249891.12225</v>
      </c>
      <c r="J208">
        <f>Overtime!D208</f>
        <v>0</v>
      </c>
      <c r="K208">
        <f t="shared" si="10"/>
        <v>0.1</v>
      </c>
      <c r="L208">
        <f>IF(Performance!E208&lt;=1.5,0.01,IF(Performance!E208&lt;=2,0.02,IF(Performance!E208&lt;=3,0.03,"")))</f>
        <v>0.01</v>
      </c>
      <c r="M208">
        <f t="shared" si="11"/>
        <v>0.11</v>
      </c>
      <c r="N208">
        <f>Earnings!B208*(1+M208)</f>
        <v>1480414.4481000002</v>
      </c>
    </row>
    <row r="209" spans="1:14" x14ac:dyDescent="0.35">
      <c r="A209" t="s">
        <v>239</v>
      </c>
      <c r="B209" t="s">
        <v>26</v>
      </c>
      <c r="C209" t="s">
        <v>33</v>
      </c>
      <c r="D209" t="s">
        <v>21</v>
      </c>
      <c r="E209">
        <v>4.8</v>
      </c>
      <c r="F209" t="s">
        <v>24</v>
      </c>
      <c r="G209">
        <f>Earnings!G209</f>
        <v>733549.43</v>
      </c>
      <c r="H209">
        <f>Deductions!B209+Deductions!C209+Deductions!D209+Tax!D209</f>
        <v>7590.5853333333334</v>
      </c>
      <c r="I209">
        <f t="shared" si="9"/>
        <v>836915.90266666666</v>
      </c>
      <c r="J209">
        <f>Overtime!D209</f>
        <v>110957.058</v>
      </c>
      <c r="K209">
        <f t="shared" si="10"/>
        <v>0.08</v>
      </c>
      <c r="L209">
        <f>IF(Performance!E209&lt;=1.5,0.01,IF(Performance!E209&lt;=2,0.02,IF(Performance!E209&lt;=3,0.03,"")))</f>
        <v>0.01</v>
      </c>
      <c r="M209">
        <f t="shared" si="11"/>
        <v>0.09</v>
      </c>
      <c r="N209">
        <f>Earnings!B209*(1+M209)</f>
        <v>839883.28080000007</v>
      </c>
    </row>
    <row r="210" spans="1:14" x14ac:dyDescent="0.35">
      <c r="A210" t="s">
        <v>240</v>
      </c>
      <c r="B210" t="s">
        <v>14</v>
      </c>
      <c r="C210" t="s">
        <v>20</v>
      </c>
      <c r="D210" t="s">
        <v>16</v>
      </c>
      <c r="E210">
        <v>11.2</v>
      </c>
      <c r="F210" t="s">
        <v>31</v>
      </c>
      <c r="G210">
        <f>Earnings!G210</f>
        <v>940646.26</v>
      </c>
      <c r="H210">
        <f>Deductions!B210+Deductions!C210+Deductions!D210+Tax!D210</f>
        <v>11256.230000000001</v>
      </c>
      <c r="I210">
        <f t="shared" si="9"/>
        <v>929390.03</v>
      </c>
      <c r="J210">
        <f>Overtime!D210</f>
        <v>0</v>
      </c>
      <c r="K210">
        <f t="shared" si="10"/>
        <v>0.1</v>
      </c>
      <c r="L210">
        <f>IF(Performance!E210&lt;=1.5,0.01,IF(Performance!E210&lt;=2,0.02,IF(Performance!E210&lt;=3,0.03,"")))</f>
        <v>0.01</v>
      </c>
      <c r="M210">
        <f t="shared" si="11"/>
        <v>0.11</v>
      </c>
      <c r="N210">
        <f>Earnings!B210*(1+M210)</f>
        <v>1096761.9180000001</v>
      </c>
    </row>
    <row r="211" spans="1:14" x14ac:dyDescent="0.35">
      <c r="A211" t="s">
        <v>241</v>
      </c>
      <c r="B211" t="s">
        <v>14</v>
      </c>
      <c r="C211" t="s">
        <v>15</v>
      </c>
      <c r="D211" t="s">
        <v>21</v>
      </c>
      <c r="E211">
        <v>14</v>
      </c>
      <c r="F211" t="s">
        <v>24</v>
      </c>
      <c r="G211">
        <f>Earnings!G211</f>
        <v>787991.96</v>
      </c>
      <c r="H211">
        <f>Deductions!B211+Deductions!C211+Deductions!D211+Tax!D211</f>
        <v>8503.7108333333344</v>
      </c>
      <c r="I211">
        <f t="shared" si="9"/>
        <v>779488.24916666665</v>
      </c>
      <c r="J211">
        <f>Overtime!D211</f>
        <v>0</v>
      </c>
      <c r="K211">
        <f t="shared" si="10"/>
        <v>0.06</v>
      </c>
      <c r="L211">
        <f>IF(Performance!E211&lt;=1.5,0.01,IF(Performance!E211&lt;=2,0.02,IF(Performance!E211&lt;=3,0.03,"")))</f>
        <v>0.01</v>
      </c>
      <c r="M211">
        <f t="shared" si="11"/>
        <v>6.9999999999999993E-2</v>
      </c>
      <c r="N211">
        <f>Earnings!B211*(1+M211)</f>
        <v>885663.23550000007</v>
      </c>
    </row>
    <row r="212" spans="1:14" x14ac:dyDescent="0.35">
      <c r="A212" t="s">
        <v>242</v>
      </c>
      <c r="B212" t="s">
        <v>26</v>
      </c>
      <c r="C212" t="s">
        <v>15</v>
      </c>
      <c r="D212" t="s">
        <v>21</v>
      </c>
      <c r="E212">
        <v>7</v>
      </c>
      <c r="F212" t="s">
        <v>70</v>
      </c>
      <c r="G212">
        <f>Earnings!G212</f>
        <v>786761.07</v>
      </c>
      <c r="H212">
        <f>Deductions!B212+Deductions!C212+Deductions!D212+Tax!D212</f>
        <v>8482.1616666666669</v>
      </c>
      <c r="I212">
        <f t="shared" si="9"/>
        <v>873318.32383333333</v>
      </c>
      <c r="J212">
        <f>Overtime!D212</f>
        <v>95039.415500000003</v>
      </c>
      <c r="K212">
        <f t="shared" si="10"/>
        <v>0.06</v>
      </c>
      <c r="L212">
        <f>IF(Performance!E212&lt;=1.5,0.01,IF(Performance!E212&lt;=2,0.02,IF(Performance!E212&lt;=3,0.03,"")))</f>
        <v>0.01</v>
      </c>
      <c r="M212">
        <f t="shared" si="11"/>
        <v>6.9999999999999993E-2</v>
      </c>
      <c r="N212">
        <f>Earnings!B212*(1+M212)</f>
        <v>884279.77899999998</v>
      </c>
    </row>
    <row r="213" spans="1:14" x14ac:dyDescent="0.35">
      <c r="A213" t="s">
        <v>243</v>
      </c>
      <c r="B213" t="s">
        <v>26</v>
      </c>
      <c r="C213" t="s">
        <v>15</v>
      </c>
      <c r="D213" t="s">
        <v>16</v>
      </c>
      <c r="E213">
        <v>9</v>
      </c>
      <c r="F213" t="s">
        <v>44</v>
      </c>
      <c r="G213">
        <f>Earnings!G213</f>
        <v>592994.14</v>
      </c>
      <c r="H213">
        <f>Deductions!B213+Deductions!C213+Deductions!D213+Tax!D213</f>
        <v>5089.8833333333332</v>
      </c>
      <c r="I213">
        <f t="shared" si="9"/>
        <v>662651.41666666674</v>
      </c>
      <c r="J213">
        <f>Overtime!D213</f>
        <v>74747.16</v>
      </c>
      <c r="K213">
        <f t="shared" si="10"/>
        <v>0.06</v>
      </c>
      <c r="L213">
        <f>IF(Performance!E213&lt;=1.5,0.01,IF(Performance!E213&lt;=2,0.02,IF(Performance!E213&lt;=3,0.03,"")))</f>
        <v>0.01</v>
      </c>
      <c r="M213">
        <f t="shared" si="11"/>
        <v>6.9999999999999993E-2</v>
      </c>
      <c r="N213">
        <f>Earnings!B213*(1+M213)</f>
        <v>666495.51</v>
      </c>
    </row>
    <row r="214" spans="1:14" x14ac:dyDescent="0.35">
      <c r="A214" t="s">
        <v>244</v>
      </c>
      <c r="B214" t="s">
        <v>35</v>
      </c>
      <c r="C214" t="s">
        <v>43</v>
      </c>
      <c r="D214" t="s">
        <v>16</v>
      </c>
      <c r="E214">
        <v>8.5</v>
      </c>
      <c r="F214" t="s">
        <v>17</v>
      </c>
      <c r="G214">
        <f>Earnings!G214</f>
        <v>1188527.07</v>
      </c>
      <c r="H214">
        <f>Deductions!B214+Deductions!C214+Deductions!D214+Tax!D214</f>
        <v>17726.32</v>
      </c>
      <c r="I214">
        <f t="shared" si="9"/>
        <v>1170800.75</v>
      </c>
      <c r="J214">
        <f>Overtime!D214</f>
        <v>0</v>
      </c>
      <c r="K214">
        <f t="shared" si="10"/>
        <v>0.12</v>
      </c>
      <c r="L214">
        <f>IF(Performance!E214&lt;=1.5,0.01,IF(Performance!E214&lt;=2,0.02,IF(Performance!E214&lt;=3,0.03,"")))</f>
        <v>0.01</v>
      </c>
      <c r="M214">
        <f t="shared" si="11"/>
        <v>0.13</v>
      </c>
      <c r="N214">
        <f>Earnings!B214*(1+M214)</f>
        <v>1410751.6639999999</v>
      </c>
    </row>
    <row r="215" spans="1:14" x14ac:dyDescent="0.35">
      <c r="A215" t="s">
        <v>245</v>
      </c>
      <c r="B215" t="s">
        <v>26</v>
      </c>
      <c r="C215" t="s">
        <v>33</v>
      </c>
      <c r="D215" t="s">
        <v>16</v>
      </c>
      <c r="E215">
        <v>15.6</v>
      </c>
      <c r="F215" t="s">
        <v>70</v>
      </c>
      <c r="G215">
        <f>Earnings!G215</f>
        <v>963950.27</v>
      </c>
      <c r="H215">
        <f>Deductions!B215+Deductions!C215+Deductions!D215+Tax!D215</f>
        <v>11728.820000000002</v>
      </c>
      <c r="I215">
        <f t="shared" si="9"/>
        <v>952221.45000000007</v>
      </c>
      <c r="J215">
        <f>Overtime!D215</f>
        <v>0</v>
      </c>
      <c r="K215">
        <f t="shared" si="10"/>
        <v>0.08</v>
      </c>
      <c r="L215">
        <f>IF(Performance!E215&lt;=1.5,0.01,IF(Performance!E215&lt;=2,0.02,IF(Performance!E215&lt;=3,0.03,"")))</f>
        <v>0.01</v>
      </c>
      <c r="M215">
        <f t="shared" si="11"/>
        <v>0.09</v>
      </c>
      <c r="N215">
        <f>Earnings!B215*(1+M215)</f>
        <v>1103682.5520000001</v>
      </c>
    </row>
    <row r="216" spans="1:14" x14ac:dyDescent="0.35">
      <c r="A216" t="s">
        <v>246</v>
      </c>
      <c r="B216" t="s">
        <v>14</v>
      </c>
      <c r="C216" t="s">
        <v>15</v>
      </c>
      <c r="D216" t="s">
        <v>16</v>
      </c>
      <c r="E216">
        <v>11</v>
      </c>
      <c r="F216" t="s">
        <v>70</v>
      </c>
      <c r="G216">
        <f>Earnings!G216</f>
        <v>698834.64</v>
      </c>
      <c r="H216">
        <f>Deductions!B216+Deductions!C216+Deductions!D216+Tax!D216</f>
        <v>6942.833333333333</v>
      </c>
      <c r="I216">
        <f t="shared" si="9"/>
        <v>754287.7566666666</v>
      </c>
      <c r="J216">
        <f>Overtime!D216</f>
        <v>62395.95</v>
      </c>
      <c r="K216">
        <f t="shared" si="10"/>
        <v>0.06</v>
      </c>
      <c r="L216">
        <f>IF(Performance!E216&lt;=1.5,0.01,IF(Performance!E216&lt;=2,0.02,IF(Performance!E216&lt;=3,0.03,"")))</f>
        <v>0.01</v>
      </c>
      <c r="M216">
        <f t="shared" si="11"/>
        <v>6.9999999999999993E-2</v>
      </c>
      <c r="N216">
        <f>Earnings!B216*(1+M216)</f>
        <v>785454.9</v>
      </c>
    </row>
    <row r="217" spans="1:14" x14ac:dyDescent="0.35">
      <c r="A217" t="s">
        <v>247</v>
      </c>
      <c r="B217" t="s">
        <v>26</v>
      </c>
      <c r="C217" t="s">
        <v>43</v>
      </c>
      <c r="D217" t="s">
        <v>21</v>
      </c>
      <c r="E217">
        <v>0</v>
      </c>
      <c r="F217" t="s">
        <v>27</v>
      </c>
      <c r="G217">
        <f>Earnings!G217</f>
        <v>1053010.83</v>
      </c>
      <c r="H217">
        <f>Deductions!B217+Deductions!C217+Deductions!D217+Tax!D217</f>
        <v>14167.59525</v>
      </c>
      <c r="I217">
        <f t="shared" si="9"/>
        <v>1038843.2347500001</v>
      </c>
      <c r="J217">
        <f>Overtime!D217</f>
        <v>0</v>
      </c>
      <c r="K217">
        <f t="shared" si="10"/>
        <v>0.12</v>
      </c>
      <c r="L217">
        <f>IF(Performance!E217&lt;=1.5,0.01,IF(Performance!E217&lt;=2,0.02,IF(Performance!E217&lt;=3,0.03,"")))</f>
        <v>0.01</v>
      </c>
      <c r="M217">
        <f t="shared" si="11"/>
        <v>0.13</v>
      </c>
      <c r="N217">
        <f>Earnings!B217*(1+M217)</f>
        <v>1249897.3052999999</v>
      </c>
    </row>
    <row r="218" spans="1:14" x14ac:dyDescent="0.35">
      <c r="A218" t="s">
        <v>248</v>
      </c>
      <c r="B218" t="s">
        <v>19</v>
      </c>
      <c r="C218" t="s">
        <v>20</v>
      </c>
      <c r="D218" t="s">
        <v>16</v>
      </c>
      <c r="E218">
        <v>5.6</v>
      </c>
      <c r="F218" t="s">
        <v>44</v>
      </c>
      <c r="G218">
        <f>Earnings!G218</f>
        <v>1171800.43</v>
      </c>
      <c r="H218">
        <f>Deductions!B218+Deductions!C218+Deductions!D218+Tax!D218</f>
        <v>17227.07</v>
      </c>
      <c r="I218">
        <f t="shared" si="9"/>
        <v>1154573.3599999999</v>
      </c>
      <c r="J218">
        <f>Overtime!D218</f>
        <v>0</v>
      </c>
      <c r="K218">
        <f t="shared" si="10"/>
        <v>0.1</v>
      </c>
      <c r="L218">
        <f>IF(Performance!E218&lt;=1.5,0.01,IF(Performance!E218&lt;=2,0.02,IF(Performance!E218&lt;=3,0.03,"")))</f>
        <v>0.03</v>
      </c>
      <c r="M218">
        <f t="shared" si="11"/>
        <v>0.13</v>
      </c>
      <c r="N218">
        <f>Earnings!B218*(1+M218)</f>
        <v>1390897.564</v>
      </c>
    </row>
    <row r="219" spans="1:14" x14ac:dyDescent="0.35">
      <c r="A219" t="s">
        <v>249</v>
      </c>
      <c r="B219" t="s">
        <v>35</v>
      </c>
      <c r="C219" t="s">
        <v>33</v>
      </c>
      <c r="D219" t="s">
        <v>21</v>
      </c>
      <c r="E219">
        <v>1.2</v>
      </c>
      <c r="F219" t="s">
        <v>37</v>
      </c>
      <c r="G219">
        <f>Earnings!G219</f>
        <v>1020294.52</v>
      </c>
      <c r="H219">
        <f>Deductions!B219+Deductions!C219+Deductions!D219+Tax!D219</f>
        <v>13208.448499999999</v>
      </c>
      <c r="I219">
        <f t="shared" si="9"/>
        <v>1007086.0715000001</v>
      </c>
      <c r="J219">
        <f>Overtime!D219</f>
        <v>0</v>
      </c>
      <c r="K219">
        <f t="shared" si="10"/>
        <v>0.08</v>
      </c>
      <c r="L219">
        <f>IF(Performance!E219&lt;=1.5,0.01,IF(Performance!E219&lt;=2,0.02,IF(Performance!E219&lt;=3,0.03,"")))</f>
        <v>0.01</v>
      </c>
      <c r="M219">
        <f t="shared" si="11"/>
        <v>0.09</v>
      </c>
      <c r="N219">
        <f>Earnings!B219*(1+M219)</f>
        <v>1168194.3546</v>
      </c>
    </row>
    <row r="220" spans="1:14" x14ac:dyDescent="0.35">
      <c r="A220" t="s">
        <v>250</v>
      </c>
      <c r="B220" t="s">
        <v>26</v>
      </c>
      <c r="C220" t="s">
        <v>33</v>
      </c>
      <c r="D220" t="s">
        <v>21</v>
      </c>
      <c r="E220">
        <v>9.6</v>
      </c>
      <c r="F220" t="s">
        <v>27</v>
      </c>
      <c r="G220">
        <f>Earnings!G220</f>
        <v>655464.62</v>
      </c>
      <c r="H220">
        <f>Deductions!B220+Deductions!C220+Deductions!D220+Tax!D220</f>
        <v>6223.5543333333335</v>
      </c>
      <c r="I220">
        <f t="shared" si="9"/>
        <v>649241.06566666672</v>
      </c>
      <c r="J220">
        <f>Overtime!D220</f>
        <v>0</v>
      </c>
      <c r="K220">
        <f t="shared" si="10"/>
        <v>0.08</v>
      </c>
      <c r="L220">
        <f>IF(Performance!E220&lt;=1.5,0.01,IF(Performance!E220&lt;=2,0.02,IF(Performance!E220&lt;=3,0.03,"")))</f>
        <v>0.01</v>
      </c>
      <c r="M220">
        <f t="shared" si="11"/>
        <v>0.09</v>
      </c>
      <c r="N220">
        <f>Earnings!B220*(1+M220)</f>
        <v>750479.45340000011</v>
      </c>
    </row>
    <row r="221" spans="1:14" x14ac:dyDescent="0.35">
      <c r="A221" t="s">
        <v>251</v>
      </c>
      <c r="B221" t="s">
        <v>26</v>
      </c>
      <c r="C221" t="s">
        <v>43</v>
      </c>
      <c r="D221" t="s">
        <v>16</v>
      </c>
      <c r="E221">
        <v>5.0999999999999996</v>
      </c>
      <c r="F221" t="s">
        <v>17</v>
      </c>
      <c r="G221">
        <f>Earnings!G221</f>
        <v>729895.16</v>
      </c>
      <c r="H221">
        <f>Deductions!B221+Deductions!C221+Deductions!D221+Tax!D221</f>
        <v>7626.6100000000006</v>
      </c>
      <c r="I221">
        <f t="shared" si="9"/>
        <v>722268.55</v>
      </c>
      <c r="J221">
        <f>Overtime!D221</f>
        <v>0</v>
      </c>
      <c r="K221">
        <f t="shared" si="10"/>
        <v>0.12</v>
      </c>
      <c r="L221">
        <f>IF(Performance!E221&lt;=1.5,0.01,IF(Performance!E221&lt;=2,0.02,IF(Performance!E221&lt;=3,0.03,"")))</f>
        <v>0.01</v>
      </c>
      <c r="M221">
        <f t="shared" si="11"/>
        <v>0.13</v>
      </c>
      <c r="N221">
        <f>Earnings!B221*(1+M221)</f>
        <v>866367.15799999994</v>
      </c>
    </row>
    <row r="222" spans="1:14" x14ac:dyDescent="0.35">
      <c r="A222" t="s">
        <v>252</v>
      </c>
      <c r="B222" t="s">
        <v>35</v>
      </c>
      <c r="C222" t="s">
        <v>43</v>
      </c>
      <c r="D222" t="s">
        <v>16</v>
      </c>
      <c r="E222">
        <v>25.5</v>
      </c>
      <c r="F222" t="s">
        <v>17</v>
      </c>
      <c r="G222">
        <f>Earnings!G222</f>
        <v>2341360.3199999998</v>
      </c>
      <c r="H222">
        <f>Deductions!B222+Deductions!C222+Deductions!D222+Tax!D222</f>
        <v>48000.302499999998</v>
      </c>
      <c r="I222">
        <f t="shared" si="9"/>
        <v>2293360.0174999996</v>
      </c>
      <c r="J222">
        <f>Overtime!D222</f>
        <v>0</v>
      </c>
      <c r="K222">
        <f t="shared" si="10"/>
        <v>0.12</v>
      </c>
      <c r="L222">
        <f>IF(Performance!E222&lt;=1.5,0.01,IF(Performance!E222&lt;=2,0.02,IF(Performance!E222&lt;=3,0.03,"")))</f>
        <v>0.01</v>
      </c>
      <c r="M222">
        <f t="shared" si="11"/>
        <v>0.13</v>
      </c>
      <c r="N222">
        <f>Earnings!B222*(1+M222)</f>
        <v>2779135.673</v>
      </c>
    </row>
    <row r="223" spans="1:14" x14ac:dyDescent="0.35">
      <c r="A223" t="s">
        <v>253</v>
      </c>
      <c r="B223" t="s">
        <v>26</v>
      </c>
      <c r="C223" t="s">
        <v>33</v>
      </c>
      <c r="D223" t="s">
        <v>21</v>
      </c>
      <c r="E223">
        <v>12</v>
      </c>
      <c r="F223" t="s">
        <v>70</v>
      </c>
      <c r="G223">
        <f>Earnings!G223</f>
        <v>1045214.72</v>
      </c>
      <c r="H223">
        <f>Deductions!B223+Deductions!C223+Deductions!D223+Tax!D223</f>
        <v>13862.865500000002</v>
      </c>
      <c r="I223">
        <f t="shared" si="9"/>
        <v>1031351.8545</v>
      </c>
      <c r="J223">
        <f>Overtime!D223</f>
        <v>0</v>
      </c>
      <c r="K223">
        <f t="shared" si="10"/>
        <v>0.08</v>
      </c>
      <c r="L223">
        <f>IF(Performance!E223&lt;=1.5,0.01,IF(Performance!E223&lt;=2,0.02,IF(Performance!E223&lt;=3,0.03,"")))</f>
        <v>0.01</v>
      </c>
      <c r="M223">
        <f t="shared" si="11"/>
        <v>0.09</v>
      </c>
      <c r="N223">
        <f>Earnings!B223*(1+M223)</f>
        <v>1196726.9358000001</v>
      </c>
    </row>
    <row r="224" spans="1:14" x14ac:dyDescent="0.35">
      <c r="A224" t="s">
        <v>254</v>
      </c>
      <c r="B224" t="s">
        <v>14</v>
      </c>
      <c r="C224" t="s">
        <v>15</v>
      </c>
      <c r="D224" t="s">
        <v>16</v>
      </c>
      <c r="E224">
        <v>12</v>
      </c>
      <c r="F224" t="s">
        <v>31</v>
      </c>
      <c r="G224">
        <f>Earnings!G224</f>
        <v>849691.42</v>
      </c>
      <c r="H224">
        <f>Deductions!B224+Deductions!C224+Deductions!D224+Tax!D224</f>
        <v>9583.883333333335</v>
      </c>
      <c r="I224">
        <f t="shared" si="9"/>
        <v>920435.50666666671</v>
      </c>
      <c r="J224">
        <f>Overtime!D224</f>
        <v>80327.97</v>
      </c>
      <c r="K224">
        <f t="shared" si="10"/>
        <v>0.06</v>
      </c>
      <c r="L224">
        <f>IF(Performance!E224&lt;=1.5,0.01,IF(Performance!E224&lt;=2,0.02,IF(Performance!E224&lt;=3,0.03,"")))</f>
        <v>0.01</v>
      </c>
      <c r="M224">
        <f t="shared" si="11"/>
        <v>6.9999999999999993E-2</v>
      </c>
      <c r="N224">
        <f>Earnings!B224*(1+M224)</f>
        <v>955010.31</v>
      </c>
    </row>
    <row r="225" spans="1:14" x14ac:dyDescent="0.35">
      <c r="A225" t="s">
        <v>255</v>
      </c>
      <c r="B225" t="s">
        <v>19</v>
      </c>
      <c r="C225" t="s">
        <v>20</v>
      </c>
      <c r="D225" t="s">
        <v>16</v>
      </c>
      <c r="E225">
        <v>0</v>
      </c>
      <c r="F225" t="s">
        <v>70</v>
      </c>
      <c r="G225">
        <f>Earnings!G225</f>
        <v>962027.04</v>
      </c>
      <c r="H225">
        <f>Deductions!B225+Deductions!C225+Deductions!D225+Tax!D225</f>
        <v>11718.315000000001</v>
      </c>
      <c r="I225">
        <f t="shared" si="9"/>
        <v>1006898.5506000001</v>
      </c>
      <c r="J225">
        <f>Overtime!D225</f>
        <v>56589.825599999989</v>
      </c>
      <c r="K225">
        <f t="shared" si="10"/>
        <v>0.1</v>
      </c>
      <c r="L225">
        <f>IF(Performance!E225&lt;=1.5,0.01,IF(Performance!E225&lt;=2,0.02,IF(Performance!E225&lt;=3,0.03,"")))</f>
        <v>0.03</v>
      </c>
      <c r="M225">
        <f t="shared" si="11"/>
        <v>0.13</v>
      </c>
      <c r="N225">
        <f>Earnings!B225*(1+M225)</f>
        <v>1141901.8379999998</v>
      </c>
    </row>
    <row r="226" spans="1:14" x14ac:dyDescent="0.35">
      <c r="A226" t="s">
        <v>256</v>
      </c>
      <c r="B226" t="s">
        <v>29</v>
      </c>
      <c r="C226" t="s">
        <v>20</v>
      </c>
      <c r="D226" t="s">
        <v>16</v>
      </c>
      <c r="E226">
        <v>16.8</v>
      </c>
      <c r="F226" t="s">
        <v>70</v>
      </c>
      <c r="G226">
        <f>Earnings!G226</f>
        <v>1474537.95</v>
      </c>
      <c r="H226">
        <f>Deductions!B226+Deductions!C226+Deductions!D226+Tax!D226</f>
        <v>25177.109999999997</v>
      </c>
      <c r="I226">
        <f t="shared" si="9"/>
        <v>1449360.8399999999</v>
      </c>
      <c r="J226">
        <f>Overtime!D226</f>
        <v>0</v>
      </c>
      <c r="K226">
        <f t="shared" si="10"/>
        <v>0.1</v>
      </c>
      <c r="L226">
        <f>IF(Performance!E226&lt;=1.5,0.01,IF(Performance!E226&lt;=2,0.02,IF(Performance!E226&lt;=3,0.03,"")))</f>
        <v>0.02</v>
      </c>
      <c r="M226">
        <f t="shared" si="11"/>
        <v>0.12000000000000001</v>
      </c>
      <c r="N226">
        <f>Earnings!B226*(1+M226)</f>
        <v>1734750.5280000002</v>
      </c>
    </row>
    <row r="227" spans="1:14" x14ac:dyDescent="0.35">
      <c r="A227" t="s">
        <v>257</v>
      </c>
      <c r="B227" t="s">
        <v>14</v>
      </c>
      <c r="C227" t="s">
        <v>15</v>
      </c>
      <c r="D227" t="s">
        <v>16</v>
      </c>
      <c r="E227">
        <v>12</v>
      </c>
      <c r="F227" t="s">
        <v>37</v>
      </c>
      <c r="G227">
        <f>Earnings!G227</f>
        <v>784526.06</v>
      </c>
      <c r="H227">
        <f>Deductions!B227+Deductions!C227+Deductions!D227+Tax!D227</f>
        <v>8443.0333333333328</v>
      </c>
      <c r="I227">
        <f t="shared" si="9"/>
        <v>891454.50666666671</v>
      </c>
      <c r="J227">
        <f>Overtime!D227</f>
        <v>115371.48</v>
      </c>
      <c r="K227">
        <f t="shared" si="10"/>
        <v>0.06</v>
      </c>
      <c r="L227">
        <f>IF(Performance!E227&lt;=1.5,0.01,IF(Performance!E227&lt;=2,0.02,IF(Performance!E227&lt;=3,0.03,"")))</f>
        <v>0.01</v>
      </c>
      <c r="M227">
        <f t="shared" si="11"/>
        <v>6.9999999999999993E-2</v>
      </c>
      <c r="N227">
        <f>Earnings!B227*(1+M227)</f>
        <v>881767.74000000011</v>
      </c>
    </row>
    <row r="228" spans="1:14" x14ac:dyDescent="0.35">
      <c r="A228" t="s">
        <v>258</v>
      </c>
      <c r="B228" t="s">
        <v>14</v>
      </c>
      <c r="C228" t="s">
        <v>20</v>
      </c>
      <c r="D228" t="s">
        <v>21</v>
      </c>
      <c r="E228">
        <v>9.8000000000000007</v>
      </c>
      <c r="F228" t="s">
        <v>44</v>
      </c>
      <c r="G228">
        <f>Earnings!G228</f>
        <v>845602.42</v>
      </c>
      <c r="H228">
        <f>Deductions!B228+Deductions!C228+Deductions!D228+Tax!D228</f>
        <v>9592.2973333333321</v>
      </c>
      <c r="I228">
        <f t="shared" si="9"/>
        <v>910622.10206666682</v>
      </c>
      <c r="J228">
        <f>Overtime!D228</f>
        <v>74611.979400000011</v>
      </c>
      <c r="K228">
        <f t="shared" si="10"/>
        <v>0.1</v>
      </c>
      <c r="L228">
        <f>IF(Performance!E228&lt;=1.5,0.01,IF(Performance!E228&lt;=2,0.02,IF(Performance!E228&lt;=3,0.03,"")))</f>
        <v>0.01</v>
      </c>
      <c r="M228">
        <f t="shared" si="11"/>
        <v>0.11</v>
      </c>
      <c r="N228">
        <f>Earnings!B228*(1+M228)</f>
        <v>985944.0024</v>
      </c>
    </row>
    <row r="229" spans="1:14" x14ac:dyDescent="0.35">
      <c r="A229" t="s">
        <v>259</v>
      </c>
      <c r="B229" t="s">
        <v>35</v>
      </c>
      <c r="C229" t="s">
        <v>15</v>
      </c>
      <c r="D229" t="s">
        <v>21</v>
      </c>
      <c r="E229">
        <v>3</v>
      </c>
      <c r="F229" t="s">
        <v>70</v>
      </c>
      <c r="G229">
        <f>Earnings!G229</f>
        <v>764706.38</v>
      </c>
      <c r="H229">
        <f>Deductions!B229+Deductions!C229+Deductions!D229+Tax!D229</f>
        <v>8096.05</v>
      </c>
      <c r="I229">
        <f t="shared" si="9"/>
        <v>824887.68499999994</v>
      </c>
      <c r="J229">
        <f>Overtime!D229</f>
        <v>68277.354999999996</v>
      </c>
      <c r="K229">
        <f t="shared" si="10"/>
        <v>0.06</v>
      </c>
      <c r="L229">
        <f>IF(Performance!E229&lt;=1.5,0.01,IF(Performance!E229&lt;=2,0.02,IF(Performance!E229&lt;=3,0.03,"")))</f>
        <v>0.01</v>
      </c>
      <c r="M229">
        <f t="shared" si="11"/>
        <v>6.9999999999999993E-2</v>
      </c>
      <c r="N229">
        <f>Earnings!B229*(1+M229)</f>
        <v>859491.41</v>
      </c>
    </row>
    <row r="230" spans="1:14" x14ac:dyDescent="0.35">
      <c r="A230" t="s">
        <v>260</v>
      </c>
      <c r="B230" t="s">
        <v>14</v>
      </c>
      <c r="C230" t="s">
        <v>33</v>
      </c>
      <c r="D230" t="s">
        <v>16</v>
      </c>
      <c r="E230">
        <v>4.8</v>
      </c>
      <c r="F230" t="s">
        <v>44</v>
      </c>
      <c r="G230">
        <f>Earnings!G230</f>
        <v>667759.07999999996</v>
      </c>
      <c r="H230">
        <f>Deductions!B230+Deductions!C230+Deductions!D230+Tax!D230</f>
        <v>6438.7933333333331</v>
      </c>
      <c r="I230">
        <f t="shared" si="9"/>
        <v>720240.20506666659</v>
      </c>
      <c r="J230">
        <f>Overtime!D230</f>
        <v>58919.918400000002</v>
      </c>
      <c r="K230">
        <f t="shared" si="10"/>
        <v>0.08</v>
      </c>
      <c r="L230">
        <f>IF(Performance!E230&lt;=1.5,0.01,IF(Performance!E230&lt;=2,0.02,IF(Performance!E230&lt;=3,0.03,"")))</f>
        <v>0.01</v>
      </c>
      <c r="M230">
        <f t="shared" si="11"/>
        <v>0.09</v>
      </c>
      <c r="N230">
        <f>Earnings!B230*(1+M230)</f>
        <v>764556.08400000003</v>
      </c>
    </row>
    <row r="231" spans="1:14" x14ac:dyDescent="0.35">
      <c r="A231" t="s">
        <v>261</v>
      </c>
      <c r="B231" t="s">
        <v>35</v>
      </c>
      <c r="C231" t="s">
        <v>15</v>
      </c>
      <c r="D231" t="s">
        <v>16</v>
      </c>
      <c r="E231">
        <v>4</v>
      </c>
      <c r="F231" t="s">
        <v>17</v>
      </c>
      <c r="G231">
        <f>Earnings!G231</f>
        <v>1013613.44</v>
      </c>
      <c r="H231">
        <f>Deductions!B231+Deductions!C231+Deductions!D231+Tax!D231</f>
        <v>12993</v>
      </c>
      <c r="I231">
        <f t="shared" si="9"/>
        <v>1000620.44</v>
      </c>
      <c r="J231">
        <f>Overtime!D231</f>
        <v>0</v>
      </c>
      <c r="K231">
        <f t="shared" si="10"/>
        <v>0.06</v>
      </c>
      <c r="L231">
        <f>IF(Performance!E231&lt;=1.5,0.01,IF(Performance!E231&lt;=2,0.02,IF(Performance!E231&lt;=3,0.03,"")))</f>
        <v>0.01</v>
      </c>
      <c r="M231">
        <f t="shared" si="11"/>
        <v>6.9999999999999993E-2</v>
      </c>
      <c r="N231">
        <f>Earnings!B231*(1+M231)</f>
        <v>1139250.4000000001</v>
      </c>
    </row>
    <row r="232" spans="1:14" x14ac:dyDescent="0.35">
      <c r="A232" t="s">
        <v>262</v>
      </c>
      <c r="B232" t="s">
        <v>14</v>
      </c>
      <c r="C232" t="s">
        <v>20</v>
      </c>
      <c r="D232" t="s">
        <v>16</v>
      </c>
      <c r="E232">
        <v>18.2</v>
      </c>
      <c r="F232" t="s">
        <v>44</v>
      </c>
      <c r="G232">
        <f>Earnings!G232</f>
        <v>922448.21</v>
      </c>
      <c r="H232">
        <f>Deductions!B232+Deductions!C232+Deductions!D232+Tax!D232</f>
        <v>10937.636666666667</v>
      </c>
      <c r="I232">
        <f t="shared" si="9"/>
        <v>1087860.9657333333</v>
      </c>
      <c r="J232">
        <f>Overtime!D232</f>
        <v>176350.39240000001</v>
      </c>
      <c r="K232">
        <f t="shared" si="10"/>
        <v>0.1</v>
      </c>
      <c r="L232">
        <f>IF(Performance!E232&lt;=1.5,0.01,IF(Performance!E232&lt;=2,0.02,IF(Performance!E232&lt;=3,0.03,"")))</f>
        <v>0.01</v>
      </c>
      <c r="M232">
        <f t="shared" si="11"/>
        <v>0.11</v>
      </c>
      <c r="N232">
        <f>Earnings!B232*(1+M232)</f>
        <v>1075543.602</v>
      </c>
    </row>
    <row r="233" spans="1:14" x14ac:dyDescent="0.35">
      <c r="A233" t="s">
        <v>263</v>
      </c>
      <c r="B233" t="s">
        <v>26</v>
      </c>
      <c r="C233" t="s">
        <v>20</v>
      </c>
      <c r="D233" t="s">
        <v>16</v>
      </c>
      <c r="E233">
        <v>14</v>
      </c>
      <c r="F233" t="s">
        <v>70</v>
      </c>
      <c r="G233">
        <f>Earnings!G233</f>
        <v>1037787.39</v>
      </c>
      <c r="H233">
        <f>Deductions!B233+Deductions!C233+Deductions!D233+Tax!D233</f>
        <v>13707.820000000002</v>
      </c>
      <c r="I233">
        <f t="shared" si="9"/>
        <v>1062233.5180000002</v>
      </c>
      <c r="J233">
        <f>Overtime!D233</f>
        <v>38153.948000000004</v>
      </c>
      <c r="K233">
        <f t="shared" si="10"/>
        <v>0.1</v>
      </c>
      <c r="L233">
        <f>IF(Performance!E233&lt;=1.5,0.01,IF(Performance!E233&lt;=2,0.02,IF(Performance!E233&lt;=3,0.03,"")))</f>
        <v>0.01</v>
      </c>
      <c r="M233">
        <f t="shared" si="11"/>
        <v>0.11</v>
      </c>
      <c r="N233">
        <f>Earnings!B233*(1+M233)</f>
        <v>1210025.2080000001</v>
      </c>
    </row>
    <row r="234" spans="1:14" x14ac:dyDescent="0.35">
      <c r="A234" t="s">
        <v>264</v>
      </c>
      <c r="B234" t="s">
        <v>35</v>
      </c>
      <c r="C234" t="s">
        <v>20</v>
      </c>
      <c r="D234" t="s">
        <v>16</v>
      </c>
      <c r="E234">
        <v>14</v>
      </c>
      <c r="F234" t="s">
        <v>17</v>
      </c>
      <c r="G234">
        <f>Earnings!G234</f>
        <v>1601481.82</v>
      </c>
      <c r="H234">
        <f>Deductions!B234+Deductions!C234+Deductions!D234+Tax!D234</f>
        <v>28510.720000000001</v>
      </c>
      <c r="I234">
        <f t="shared" si="9"/>
        <v>1843809.9368000003</v>
      </c>
      <c r="J234">
        <f>Overtime!D234</f>
        <v>270838.83680000005</v>
      </c>
      <c r="K234">
        <f t="shared" si="10"/>
        <v>0.1</v>
      </c>
      <c r="L234">
        <f>IF(Performance!E234&lt;=1.5,0.01,IF(Performance!E234&lt;=2,0.02,IF(Performance!E234&lt;=3,0.03,"")))</f>
        <v>0.01</v>
      </c>
      <c r="M234">
        <f t="shared" si="11"/>
        <v>0.11</v>
      </c>
      <c r="N234">
        <f>Earnings!B234*(1+M234)</f>
        <v>1867273.9680000001</v>
      </c>
    </row>
    <row r="235" spans="1:14" x14ac:dyDescent="0.35">
      <c r="A235" t="s">
        <v>265</v>
      </c>
      <c r="B235" t="s">
        <v>19</v>
      </c>
      <c r="C235" t="s">
        <v>15</v>
      </c>
      <c r="D235" t="s">
        <v>21</v>
      </c>
      <c r="E235">
        <v>5</v>
      </c>
      <c r="F235" t="s">
        <v>44</v>
      </c>
      <c r="G235">
        <f>Earnings!G235</f>
        <v>783423.84</v>
      </c>
      <c r="H235">
        <f>Deductions!B235+Deductions!C235+Deductions!D235+Tax!D235</f>
        <v>8423.7366666666676</v>
      </c>
      <c r="I235">
        <f t="shared" si="9"/>
        <v>775000.10333333327</v>
      </c>
      <c r="J235">
        <f>Overtime!D235</f>
        <v>0</v>
      </c>
      <c r="K235">
        <f t="shared" si="10"/>
        <v>0.06</v>
      </c>
      <c r="L235">
        <f>IF(Performance!E235&lt;=1.5,0.01,IF(Performance!E235&lt;=2,0.02,IF(Performance!E235&lt;=3,0.03,"")))</f>
        <v>0.03</v>
      </c>
      <c r="M235">
        <f t="shared" si="11"/>
        <v>0.09</v>
      </c>
      <c r="N235">
        <f>Earnings!B235*(1+M235)</f>
        <v>896987.37800000003</v>
      </c>
    </row>
    <row r="236" spans="1:14" x14ac:dyDescent="0.35">
      <c r="A236" t="s">
        <v>266</v>
      </c>
      <c r="B236" t="s">
        <v>29</v>
      </c>
      <c r="C236" t="s">
        <v>20</v>
      </c>
      <c r="D236" t="s">
        <v>16</v>
      </c>
      <c r="E236">
        <v>0</v>
      </c>
      <c r="F236" t="s">
        <v>44</v>
      </c>
      <c r="G236">
        <f>Earnings!G236</f>
        <v>1264917.83</v>
      </c>
      <c r="H236">
        <f>Deductions!B236+Deductions!C236+Deductions!D236+Tax!D236</f>
        <v>19672.38</v>
      </c>
      <c r="I236">
        <f t="shared" si="9"/>
        <v>1310351.5148000002</v>
      </c>
      <c r="J236">
        <f>Overtime!D236</f>
        <v>65106.0648</v>
      </c>
      <c r="K236">
        <f t="shared" si="10"/>
        <v>0.1</v>
      </c>
      <c r="L236">
        <f>IF(Performance!E236&lt;=1.5,0.01,IF(Performance!E236&lt;=2,0.02,IF(Performance!E236&lt;=3,0.03,"")))</f>
        <v>0.02</v>
      </c>
      <c r="M236">
        <f t="shared" si="11"/>
        <v>0.12000000000000001</v>
      </c>
      <c r="N236">
        <f>Earnings!B236*(1+M236)</f>
        <v>1488138.6240000001</v>
      </c>
    </row>
    <row r="237" spans="1:14" x14ac:dyDescent="0.35">
      <c r="A237" t="s">
        <v>267</v>
      </c>
      <c r="B237" t="s">
        <v>26</v>
      </c>
      <c r="C237" t="s">
        <v>20</v>
      </c>
      <c r="D237" t="s">
        <v>16</v>
      </c>
      <c r="E237">
        <v>7</v>
      </c>
      <c r="F237" t="s">
        <v>27</v>
      </c>
      <c r="G237">
        <f>Earnings!G237</f>
        <v>1041187.36</v>
      </c>
      <c r="H237">
        <f>Deductions!B237+Deductions!C237+Deductions!D237+Tax!D237</f>
        <v>13797.104999999998</v>
      </c>
      <c r="I237">
        <f t="shared" si="9"/>
        <v>1126915.5172000001</v>
      </c>
      <c r="J237">
        <f>Overtime!D237</f>
        <v>99525.262199999997</v>
      </c>
      <c r="K237">
        <f t="shared" si="10"/>
        <v>0.1</v>
      </c>
      <c r="L237">
        <f>IF(Performance!E237&lt;=1.5,0.01,IF(Performance!E237&lt;=2,0.02,IF(Performance!E237&lt;=3,0.03,"")))</f>
        <v>0.01</v>
      </c>
      <c r="M237">
        <f t="shared" si="11"/>
        <v>0.11</v>
      </c>
      <c r="N237">
        <f>Earnings!B237*(1+M237)</f>
        <v>1213989.4620000001</v>
      </c>
    </row>
    <row r="238" spans="1:14" x14ac:dyDescent="0.35">
      <c r="A238" t="s">
        <v>268</v>
      </c>
      <c r="B238" t="s">
        <v>14</v>
      </c>
      <c r="C238" t="s">
        <v>33</v>
      </c>
      <c r="D238" t="s">
        <v>16</v>
      </c>
      <c r="E238">
        <v>2.4</v>
      </c>
      <c r="F238" t="s">
        <v>31</v>
      </c>
      <c r="G238">
        <f>Earnings!G238</f>
        <v>676160.28</v>
      </c>
      <c r="H238">
        <f>Deductions!B238+Deductions!C238+Deductions!D238+Tax!D238</f>
        <v>6585.8733333333339</v>
      </c>
      <c r="I238">
        <f t="shared" si="9"/>
        <v>669574.40666666673</v>
      </c>
      <c r="J238">
        <f>Overtime!D238</f>
        <v>0</v>
      </c>
      <c r="K238">
        <f t="shared" si="10"/>
        <v>0.08</v>
      </c>
      <c r="L238">
        <f>IF(Performance!E238&lt;=1.5,0.01,IF(Performance!E238&lt;=2,0.02,IF(Performance!E238&lt;=3,0.03,"")))</f>
        <v>0.01</v>
      </c>
      <c r="M238">
        <f t="shared" si="11"/>
        <v>0.09</v>
      </c>
      <c r="N238">
        <f>Earnings!B238*(1+M238)</f>
        <v>774175.11600000004</v>
      </c>
    </row>
    <row r="239" spans="1:14" x14ac:dyDescent="0.35">
      <c r="A239" t="s">
        <v>269</v>
      </c>
      <c r="B239" t="s">
        <v>35</v>
      </c>
      <c r="C239" t="s">
        <v>20</v>
      </c>
      <c r="D239" t="s">
        <v>21</v>
      </c>
      <c r="E239">
        <v>9.8000000000000007</v>
      </c>
      <c r="F239" t="s">
        <v>24</v>
      </c>
      <c r="G239">
        <f>Earnings!G239</f>
        <v>1517459.84</v>
      </c>
      <c r="H239">
        <f>Deductions!B239+Deductions!C239+Deductions!D239+Tax!D239</f>
        <v>26304.260499999993</v>
      </c>
      <c r="I239">
        <f t="shared" si="9"/>
        <v>1491155.5795</v>
      </c>
      <c r="J239">
        <f>Overtime!D239</f>
        <v>0</v>
      </c>
      <c r="K239">
        <f t="shared" si="10"/>
        <v>0.1</v>
      </c>
      <c r="L239">
        <f>IF(Performance!E239&lt;=1.5,0.01,IF(Performance!E239&lt;=2,0.02,IF(Performance!E239&lt;=3,0.03,"")))</f>
        <v>0.01</v>
      </c>
      <c r="M239">
        <f t="shared" si="11"/>
        <v>0.11</v>
      </c>
      <c r="N239">
        <f>Earnings!B239*(1+M239)</f>
        <v>1769307.1662000001</v>
      </c>
    </row>
    <row r="240" spans="1:14" x14ac:dyDescent="0.35">
      <c r="A240" t="s">
        <v>270</v>
      </c>
      <c r="B240" t="s">
        <v>14</v>
      </c>
      <c r="C240" t="s">
        <v>43</v>
      </c>
      <c r="D240" t="s">
        <v>21</v>
      </c>
      <c r="E240">
        <v>6.8</v>
      </c>
      <c r="F240" t="s">
        <v>24</v>
      </c>
      <c r="G240">
        <f>Earnings!G240</f>
        <v>957554.84</v>
      </c>
      <c r="H240">
        <f>Deductions!B240+Deductions!C240+Deductions!D240+Tax!D240</f>
        <v>11660.873000000001</v>
      </c>
      <c r="I240">
        <f t="shared" si="9"/>
        <v>945893.96699999995</v>
      </c>
      <c r="J240">
        <f>Overtime!D240</f>
        <v>0</v>
      </c>
      <c r="K240">
        <f t="shared" si="10"/>
        <v>0.12</v>
      </c>
      <c r="L240">
        <f>IF(Performance!E240&lt;=1.5,0.01,IF(Performance!E240&lt;=2,0.02,IF(Performance!E240&lt;=3,0.03,"")))</f>
        <v>0.01</v>
      </c>
      <c r="M240">
        <f t="shared" si="11"/>
        <v>0.13</v>
      </c>
      <c r="N240">
        <f>Earnings!B240*(1+M240)</f>
        <v>1136593.4595999999</v>
      </c>
    </row>
    <row r="241" spans="1:14" x14ac:dyDescent="0.35">
      <c r="A241" t="s">
        <v>271</v>
      </c>
      <c r="B241" t="s">
        <v>35</v>
      </c>
      <c r="C241" t="s">
        <v>15</v>
      </c>
      <c r="D241" t="s">
        <v>21</v>
      </c>
      <c r="E241">
        <v>4</v>
      </c>
      <c r="F241" t="s">
        <v>70</v>
      </c>
      <c r="G241">
        <f>Earnings!G241</f>
        <v>631233.22</v>
      </c>
      <c r="H241">
        <f>Deductions!B241+Deductions!C241+Deductions!D241+Tax!D241</f>
        <v>5759.3349999999991</v>
      </c>
      <c r="I241">
        <f t="shared" si="9"/>
        <v>625473.88500000001</v>
      </c>
      <c r="J241">
        <f>Overtime!D241</f>
        <v>0</v>
      </c>
      <c r="K241">
        <f t="shared" si="10"/>
        <v>0.06</v>
      </c>
      <c r="L241">
        <f>IF(Performance!E241&lt;=1.5,0.01,IF(Performance!E241&lt;=2,0.02,IF(Performance!E241&lt;=3,0.03,"")))</f>
        <v>0.01</v>
      </c>
      <c r="M241">
        <f t="shared" si="11"/>
        <v>6.9999999999999993E-2</v>
      </c>
      <c r="N241">
        <f>Earnings!B241*(1+M241)</f>
        <v>709474.30700000003</v>
      </c>
    </row>
    <row r="242" spans="1:14" x14ac:dyDescent="0.35">
      <c r="A242" t="s">
        <v>272</v>
      </c>
      <c r="B242" t="s">
        <v>26</v>
      </c>
      <c r="C242" t="s">
        <v>20</v>
      </c>
      <c r="D242" t="s">
        <v>21</v>
      </c>
      <c r="E242">
        <v>15.4</v>
      </c>
      <c r="F242" t="s">
        <v>22</v>
      </c>
      <c r="G242">
        <f>Earnings!G242</f>
        <v>912678.52</v>
      </c>
      <c r="H242">
        <f>Deductions!B242+Deductions!C242+Deductions!D242+Tax!D242</f>
        <v>10766.598666666667</v>
      </c>
      <c r="I242">
        <f t="shared" si="9"/>
        <v>901911.92133333336</v>
      </c>
      <c r="J242">
        <f>Overtime!D242</f>
        <v>0</v>
      </c>
      <c r="K242">
        <f t="shared" si="10"/>
        <v>0.1</v>
      </c>
      <c r="L242">
        <f>IF(Performance!E242&lt;=1.5,0.01,IF(Performance!E242&lt;=2,0.02,IF(Performance!E242&lt;=3,0.03,"")))</f>
        <v>0.01</v>
      </c>
      <c r="M242">
        <f t="shared" si="11"/>
        <v>0.11</v>
      </c>
      <c r="N242">
        <f>Earnings!B242*(1+M242)</f>
        <v>1064152.4712</v>
      </c>
    </row>
    <row r="243" spans="1:14" x14ac:dyDescent="0.35">
      <c r="A243" t="s">
        <v>273</v>
      </c>
      <c r="B243" t="s">
        <v>14</v>
      </c>
      <c r="C243" t="s">
        <v>43</v>
      </c>
      <c r="D243" t="s">
        <v>21</v>
      </c>
      <c r="E243">
        <v>20.399999999999999</v>
      </c>
      <c r="F243" t="s">
        <v>22</v>
      </c>
      <c r="G243">
        <f>Earnings!G243</f>
        <v>1297400.96</v>
      </c>
      <c r="H243">
        <f>Deductions!B243+Deductions!C243+Deductions!D243+Tax!D243</f>
        <v>20585.403249999999</v>
      </c>
      <c r="I243">
        <f t="shared" si="9"/>
        <v>1357903.1161875001</v>
      </c>
      <c r="J243">
        <f>Overtime!D243</f>
        <v>81087.559437499993</v>
      </c>
      <c r="K243">
        <f t="shared" si="10"/>
        <v>0.12</v>
      </c>
      <c r="L243">
        <f>IF(Performance!E243&lt;=1.5,0.01,IF(Performance!E243&lt;=2,0.02,IF(Performance!E243&lt;=3,0.03,"")))</f>
        <v>0.01</v>
      </c>
      <c r="M243">
        <f t="shared" si="11"/>
        <v>0.13</v>
      </c>
      <c r="N243">
        <f>Earnings!B243*(1+M243)</f>
        <v>1539982.2268999997</v>
      </c>
    </row>
    <row r="244" spans="1:14" x14ac:dyDescent="0.35">
      <c r="A244" t="s">
        <v>274</v>
      </c>
      <c r="B244" t="s">
        <v>14</v>
      </c>
      <c r="C244" t="s">
        <v>15</v>
      </c>
      <c r="D244" t="s">
        <v>16</v>
      </c>
      <c r="E244">
        <v>9</v>
      </c>
      <c r="F244" t="s">
        <v>24</v>
      </c>
      <c r="G244">
        <f>Earnings!G244</f>
        <v>751291.74</v>
      </c>
      <c r="H244">
        <f>Deductions!B244+Deductions!C244+Deductions!D244+Tax!D244</f>
        <v>7861.2</v>
      </c>
      <c r="I244">
        <f t="shared" si="9"/>
        <v>743430.54</v>
      </c>
      <c r="J244">
        <f>Overtime!D244</f>
        <v>0</v>
      </c>
      <c r="K244">
        <f t="shared" si="10"/>
        <v>0.06</v>
      </c>
      <c r="L244">
        <f>IF(Performance!E244&lt;=1.5,0.01,IF(Performance!E244&lt;=2,0.02,IF(Performance!E244&lt;=3,0.03,"")))</f>
        <v>0.01</v>
      </c>
      <c r="M244">
        <f t="shared" si="11"/>
        <v>6.9999999999999993E-2</v>
      </c>
      <c r="N244">
        <f>Earnings!B244*(1+M244)</f>
        <v>844414.04</v>
      </c>
    </row>
    <row r="245" spans="1:14" x14ac:dyDescent="0.35">
      <c r="A245" t="s">
        <v>275</v>
      </c>
      <c r="B245" t="s">
        <v>14</v>
      </c>
      <c r="C245" t="s">
        <v>20</v>
      </c>
      <c r="D245" t="s">
        <v>21</v>
      </c>
      <c r="E245">
        <v>18.2</v>
      </c>
      <c r="F245" t="s">
        <v>24</v>
      </c>
      <c r="G245">
        <f>Earnings!G245</f>
        <v>1097202.3400000001</v>
      </c>
      <c r="H245">
        <f>Deductions!B245+Deductions!C245+Deductions!D245+Tax!D245</f>
        <v>15268.08675</v>
      </c>
      <c r="I245">
        <f t="shared" si="9"/>
        <v>1081934.2532500001</v>
      </c>
      <c r="J245">
        <f>Overtime!D245</f>
        <v>0</v>
      </c>
      <c r="K245">
        <f t="shared" si="10"/>
        <v>0.1</v>
      </c>
      <c r="L245">
        <f>IF(Performance!E245&lt;=1.5,0.01,IF(Performance!E245&lt;=2,0.02,IF(Performance!E245&lt;=3,0.03,"")))</f>
        <v>0.01</v>
      </c>
      <c r="M245">
        <f t="shared" si="11"/>
        <v>0.11</v>
      </c>
      <c r="N245">
        <f>Earnings!B245*(1+M245)</f>
        <v>1279301.0517000002</v>
      </c>
    </row>
    <row r="246" spans="1:14" x14ac:dyDescent="0.35">
      <c r="A246" t="s">
        <v>276</v>
      </c>
      <c r="B246" t="s">
        <v>29</v>
      </c>
      <c r="C246" t="s">
        <v>20</v>
      </c>
      <c r="D246" t="s">
        <v>21</v>
      </c>
      <c r="E246">
        <v>7</v>
      </c>
      <c r="F246" t="s">
        <v>70</v>
      </c>
      <c r="G246">
        <f>Earnings!G246</f>
        <v>1158274.3</v>
      </c>
      <c r="H246">
        <f>Deductions!B246+Deductions!C246+Deductions!D246+Tax!D246</f>
        <v>16871.867249999996</v>
      </c>
      <c r="I246">
        <f t="shared" si="9"/>
        <v>1235086.3846500001</v>
      </c>
      <c r="J246">
        <f>Overtime!D246</f>
        <v>93683.9519</v>
      </c>
      <c r="K246">
        <f t="shared" si="10"/>
        <v>0.1</v>
      </c>
      <c r="L246">
        <f>IF(Performance!E246&lt;=1.5,0.01,IF(Performance!E246&lt;=2,0.02,IF(Performance!E246&lt;=3,0.03,"")))</f>
        <v>0.02</v>
      </c>
      <c r="M246">
        <f t="shared" si="11"/>
        <v>0.12000000000000001</v>
      </c>
      <c r="N246">
        <f>Earnings!B246*(1+M246)</f>
        <v>1362675.6528</v>
      </c>
    </row>
    <row r="247" spans="1:14" x14ac:dyDescent="0.35">
      <c r="A247" t="s">
        <v>277</v>
      </c>
      <c r="B247" t="s">
        <v>19</v>
      </c>
      <c r="C247" t="s">
        <v>20</v>
      </c>
      <c r="D247" t="s">
        <v>21</v>
      </c>
      <c r="E247">
        <v>5.6</v>
      </c>
      <c r="F247" t="s">
        <v>24</v>
      </c>
      <c r="G247">
        <f>Earnings!G247</f>
        <v>893140.4</v>
      </c>
      <c r="H247">
        <f>Deductions!B247+Deductions!C247+Deductions!D247+Tax!D247</f>
        <v>10424.544833333333</v>
      </c>
      <c r="I247">
        <f t="shared" si="9"/>
        <v>1007492.8242666667</v>
      </c>
      <c r="J247">
        <f>Overtime!D247</f>
        <v>124776.96910000002</v>
      </c>
      <c r="K247">
        <f t="shared" si="10"/>
        <v>0.1</v>
      </c>
      <c r="L247">
        <f>IF(Performance!E247&lt;=1.5,0.01,IF(Performance!E247&lt;=2,0.02,IF(Performance!E247&lt;=3,0.03,"")))</f>
        <v>0.03</v>
      </c>
      <c r="M247">
        <f t="shared" si="11"/>
        <v>0.13</v>
      </c>
      <c r="N247">
        <f>Earnings!B247*(1+M247)</f>
        <v>1060135.1396999999</v>
      </c>
    </row>
    <row r="248" spans="1:14" x14ac:dyDescent="0.35">
      <c r="A248" t="s">
        <v>278</v>
      </c>
      <c r="B248" t="s">
        <v>26</v>
      </c>
      <c r="C248" t="s">
        <v>43</v>
      </c>
      <c r="D248" t="s">
        <v>16</v>
      </c>
      <c r="E248">
        <v>0</v>
      </c>
      <c r="F248" t="s">
        <v>70</v>
      </c>
      <c r="G248">
        <f>Earnings!G248</f>
        <v>675550.91</v>
      </c>
      <c r="H248">
        <f>Deductions!B248+Deductions!C248+Deductions!D248+Tax!D248</f>
        <v>6675.2050000000008</v>
      </c>
      <c r="I248">
        <f t="shared" si="9"/>
        <v>668875.70500000007</v>
      </c>
      <c r="J248">
        <f>Overtime!D248</f>
        <v>0</v>
      </c>
      <c r="K248">
        <f t="shared" si="10"/>
        <v>0.12</v>
      </c>
      <c r="L248">
        <f>IF(Performance!E248&lt;=1.5,0.01,IF(Performance!E248&lt;=2,0.02,IF(Performance!E248&lt;=3,0.03,"")))</f>
        <v>0.01</v>
      </c>
      <c r="M248">
        <f t="shared" si="11"/>
        <v>0.13</v>
      </c>
      <c r="N248">
        <f>Earnings!B248*(1+M248)</f>
        <v>801861.89899999998</v>
      </c>
    </row>
    <row r="249" spans="1:14" x14ac:dyDescent="0.35">
      <c r="A249" t="s">
        <v>279</v>
      </c>
      <c r="B249" t="s">
        <v>29</v>
      </c>
      <c r="C249" t="s">
        <v>15</v>
      </c>
      <c r="D249" t="s">
        <v>16</v>
      </c>
      <c r="E249">
        <v>12</v>
      </c>
      <c r="F249" t="s">
        <v>27</v>
      </c>
      <c r="G249">
        <f>Earnings!G249</f>
        <v>1163121.23</v>
      </c>
      <c r="H249">
        <f>Deductions!B249+Deductions!C249+Deductions!D249+Tax!D249</f>
        <v>16919.150000000001</v>
      </c>
      <c r="I249">
        <f t="shared" si="9"/>
        <v>1274487.51</v>
      </c>
      <c r="J249">
        <f>Overtime!D249</f>
        <v>128285.43</v>
      </c>
      <c r="K249">
        <f t="shared" si="10"/>
        <v>0.06</v>
      </c>
      <c r="L249">
        <f>IF(Performance!E249&lt;=1.5,0.01,IF(Performance!E249&lt;=2,0.02,IF(Performance!E249&lt;=3,0.03,"")))</f>
        <v>0.02</v>
      </c>
      <c r="M249">
        <f t="shared" si="11"/>
        <v>0.08</v>
      </c>
      <c r="N249">
        <f>Earnings!B249*(1+M249)</f>
        <v>1319507.28</v>
      </c>
    </row>
    <row r="250" spans="1:14" x14ac:dyDescent="0.35">
      <c r="A250" t="s">
        <v>280</v>
      </c>
      <c r="B250" t="s">
        <v>35</v>
      </c>
      <c r="C250" t="s">
        <v>15</v>
      </c>
      <c r="D250" t="s">
        <v>16</v>
      </c>
      <c r="E250">
        <v>7</v>
      </c>
      <c r="F250" t="s">
        <v>44</v>
      </c>
      <c r="G250">
        <f>Earnings!G250</f>
        <v>1037364.89</v>
      </c>
      <c r="H250">
        <f>Deductions!B250+Deductions!C250+Deductions!D250+Tax!D250</f>
        <v>13616.725</v>
      </c>
      <c r="I250">
        <f t="shared" si="9"/>
        <v>1110921.6850000001</v>
      </c>
      <c r="J250">
        <f>Overtime!D250</f>
        <v>87173.51999999999</v>
      </c>
      <c r="K250">
        <f t="shared" si="10"/>
        <v>0.06</v>
      </c>
      <c r="L250">
        <f>IF(Performance!E250&lt;=1.5,0.01,IF(Performance!E250&lt;=2,0.02,IF(Performance!E250&lt;=3,0.03,"")))</f>
        <v>0.01</v>
      </c>
      <c r="M250">
        <f t="shared" si="11"/>
        <v>6.9999999999999993E-2</v>
      </c>
      <c r="N250">
        <f>Earnings!B250*(1+M250)</f>
        <v>1165945.83</v>
      </c>
    </row>
    <row r="251" spans="1:14" x14ac:dyDescent="0.35">
      <c r="A251" t="s">
        <v>281</v>
      </c>
      <c r="B251" t="s">
        <v>14</v>
      </c>
      <c r="C251" t="s">
        <v>43</v>
      </c>
      <c r="D251" t="s">
        <v>16</v>
      </c>
      <c r="E251">
        <v>25.5</v>
      </c>
      <c r="F251" t="s">
        <v>24</v>
      </c>
      <c r="G251">
        <f>Earnings!G251</f>
        <v>1333488.77</v>
      </c>
      <c r="H251">
        <f>Deductions!B251+Deductions!C251+Deductions!D251+Tax!D251</f>
        <v>21533.087499999998</v>
      </c>
      <c r="I251">
        <f t="shared" si="9"/>
        <v>1490547.9287500002</v>
      </c>
      <c r="J251">
        <f>Overtime!D251</f>
        <v>178592.24625</v>
      </c>
      <c r="K251">
        <f t="shared" si="10"/>
        <v>0.12</v>
      </c>
      <c r="L251">
        <f>IF(Performance!E251&lt;=1.5,0.01,IF(Performance!E251&lt;=2,0.02,IF(Performance!E251&lt;=3,0.03,"")))</f>
        <v>0.01</v>
      </c>
      <c r="M251">
        <f t="shared" si="11"/>
        <v>0.13</v>
      </c>
      <c r="N251">
        <f>Earnings!B251*(1+M251)</f>
        <v>1582817.5549999999</v>
      </c>
    </row>
    <row r="252" spans="1:14" x14ac:dyDescent="0.35">
      <c r="A252" t="s">
        <v>282</v>
      </c>
      <c r="B252" t="s">
        <v>35</v>
      </c>
      <c r="C252" t="s">
        <v>43</v>
      </c>
      <c r="D252" t="s">
        <v>16</v>
      </c>
      <c r="E252">
        <v>13.6</v>
      </c>
      <c r="F252" t="s">
        <v>31</v>
      </c>
      <c r="G252">
        <f>Earnings!G252</f>
        <v>1339323.1000000001</v>
      </c>
      <c r="H252">
        <f>Deductions!B252+Deductions!C252+Deductions!D252+Tax!D252</f>
        <v>21686.3</v>
      </c>
      <c r="I252">
        <f t="shared" si="9"/>
        <v>1317636.8</v>
      </c>
      <c r="J252">
        <f>Overtime!D252</f>
        <v>0</v>
      </c>
      <c r="K252">
        <f t="shared" si="10"/>
        <v>0.12</v>
      </c>
      <c r="L252">
        <f>IF(Performance!E252&lt;=1.5,0.01,IF(Performance!E252&lt;=2,0.02,IF(Performance!E252&lt;=3,0.03,"")))</f>
        <v>0.01</v>
      </c>
      <c r="M252">
        <f t="shared" si="11"/>
        <v>0.13</v>
      </c>
      <c r="N252">
        <f>Earnings!B252*(1+M252)</f>
        <v>1589742.7599999998</v>
      </c>
    </row>
    <row r="253" spans="1:14" x14ac:dyDescent="0.35">
      <c r="A253" t="s">
        <v>283</v>
      </c>
      <c r="B253" t="s">
        <v>35</v>
      </c>
      <c r="C253" t="s">
        <v>43</v>
      </c>
      <c r="D253" t="s">
        <v>21</v>
      </c>
      <c r="E253">
        <v>25.5</v>
      </c>
      <c r="F253" t="s">
        <v>22</v>
      </c>
      <c r="G253">
        <f>Earnings!G253</f>
        <v>1571842.68</v>
      </c>
      <c r="H253">
        <f>Deductions!B253+Deductions!C253+Deductions!D253+Tax!D253</f>
        <v>27792.381249999995</v>
      </c>
      <c r="I253">
        <f t="shared" si="9"/>
        <v>1852805.1105</v>
      </c>
      <c r="J253">
        <f>Overtime!D253</f>
        <v>308754.81174999999</v>
      </c>
      <c r="K253">
        <f t="shared" si="10"/>
        <v>0.12</v>
      </c>
      <c r="L253">
        <f>IF(Performance!E253&lt;=1.5,0.01,IF(Performance!E253&lt;=2,0.02,IF(Performance!E253&lt;=3,0.03,"")))</f>
        <v>0.01</v>
      </c>
      <c r="M253">
        <f t="shared" si="11"/>
        <v>0.13</v>
      </c>
      <c r="N253">
        <f>Earnings!B253*(1+M253)</f>
        <v>1865737.6324999998</v>
      </c>
    </row>
    <row r="254" spans="1:14" x14ac:dyDescent="0.35">
      <c r="A254" t="s">
        <v>284</v>
      </c>
      <c r="B254" t="s">
        <v>14</v>
      </c>
      <c r="C254" t="s">
        <v>33</v>
      </c>
      <c r="D254" t="s">
        <v>16</v>
      </c>
      <c r="E254">
        <v>0</v>
      </c>
      <c r="F254" t="s">
        <v>22</v>
      </c>
      <c r="G254">
        <f>Earnings!G254</f>
        <v>362037.98</v>
      </c>
      <c r="H254">
        <f>Deductions!B254+Deductions!C254+Deductions!D254+Tax!D254</f>
        <v>2582.8833333333332</v>
      </c>
      <c r="I254">
        <f t="shared" si="9"/>
        <v>359455.09666666662</v>
      </c>
      <c r="J254">
        <f>Overtime!D254</f>
        <v>0</v>
      </c>
      <c r="K254">
        <f t="shared" si="10"/>
        <v>0.08</v>
      </c>
      <c r="L254">
        <f>IF(Performance!E254&lt;=1.5,0.01,IF(Performance!E254&lt;=2,0.02,IF(Performance!E254&lt;=3,0.03,"")))</f>
        <v>0.01</v>
      </c>
      <c r="M254">
        <f t="shared" si="11"/>
        <v>0.09</v>
      </c>
      <c r="N254">
        <f>Earnings!B254*(1+M254)</f>
        <v>414518.28</v>
      </c>
    </row>
    <row r="255" spans="1:14" x14ac:dyDescent="0.35">
      <c r="A255" t="s">
        <v>285</v>
      </c>
      <c r="B255" t="s">
        <v>35</v>
      </c>
      <c r="C255" t="s">
        <v>43</v>
      </c>
      <c r="D255" t="s">
        <v>16</v>
      </c>
      <c r="E255">
        <v>0</v>
      </c>
      <c r="F255" t="s">
        <v>44</v>
      </c>
      <c r="G255">
        <f>Earnings!G255</f>
        <v>1161852.6000000001</v>
      </c>
      <c r="H255">
        <f>Deductions!B255+Deductions!C255+Deductions!D255+Tax!D255</f>
        <v>17025.834999999999</v>
      </c>
      <c r="I255">
        <f t="shared" si="9"/>
        <v>1144826.7650000001</v>
      </c>
      <c r="J255">
        <f>Overtime!D255</f>
        <v>0</v>
      </c>
      <c r="K255">
        <f t="shared" si="10"/>
        <v>0.12</v>
      </c>
      <c r="L255">
        <f>IF(Performance!E255&lt;=1.5,0.01,IF(Performance!E255&lt;=2,0.02,IF(Performance!E255&lt;=3,0.03,"")))</f>
        <v>0.01</v>
      </c>
      <c r="M255">
        <f t="shared" si="11"/>
        <v>0.13</v>
      </c>
      <c r="N255">
        <f>Earnings!B255*(1+M255)</f>
        <v>1379089.7419999999</v>
      </c>
    </row>
    <row r="256" spans="1:14" x14ac:dyDescent="0.35">
      <c r="A256" t="s">
        <v>286</v>
      </c>
      <c r="B256" t="s">
        <v>26</v>
      </c>
      <c r="C256" t="s">
        <v>33</v>
      </c>
      <c r="D256" t="s">
        <v>16</v>
      </c>
      <c r="E256">
        <v>3.6</v>
      </c>
      <c r="F256" t="s">
        <v>17</v>
      </c>
      <c r="G256">
        <f>Earnings!G256</f>
        <v>631592.98</v>
      </c>
      <c r="H256">
        <f>Deductions!B256+Deductions!C256+Deductions!D256+Tax!D256</f>
        <v>5805.6333333333332</v>
      </c>
      <c r="I256">
        <f t="shared" si="9"/>
        <v>713361.16266666667</v>
      </c>
      <c r="J256">
        <f>Overtime!D256</f>
        <v>87573.815999999992</v>
      </c>
      <c r="K256">
        <f t="shared" si="10"/>
        <v>0.08</v>
      </c>
      <c r="L256">
        <f>IF(Performance!E256&lt;=1.5,0.01,IF(Performance!E256&lt;=2,0.02,IF(Performance!E256&lt;=3,0.03,"")))</f>
        <v>0.01</v>
      </c>
      <c r="M256">
        <f t="shared" si="11"/>
        <v>0.09</v>
      </c>
      <c r="N256">
        <f>Earnings!B256*(1+M256)</f>
        <v>723147.42</v>
      </c>
    </row>
    <row r="257" spans="1:14" x14ac:dyDescent="0.35">
      <c r="A257" t="s">
        <v>287</v>
      </c>
      <c r="B257" t="s">
        <v>29</v>
      </c>
      <c r="C257" t="s">
        <v>43</v>
      </c>
      <c r="D257" t="s">
        <v>21</v>
      </c>
      <c r="E257">
        <v>23.8</v>
      </c>
      <c r="F257" t="s">
        <v>17</v>
      </c>
      <c r="G257">
        <f>Earnings!G257</f>
        <v>2004068.28</v>
      </c>
      <c r="H257">
        <f>Deductions!B257+Deductions!C257+Deductions!D257+Tax!D257</f>
        <v>39142.843500000003</v>
      </c>
      <c r="I257">
        <f t="shared" si="9"/>
        <v>2322794.7740000002</v>
      </c>
      <c r="J257">
        <f>Overtime!D257</f>
        <v>357869.33750000002</v>
      </c>
      <c r="K257">
        <f t="shared" si="10"/>
        <v>0.12</v>
      </c>
      <c r="L257">
        <f>IF(Performance!E257&lt;=1.5,0.01,IF(Performance!E257&lt;=2,0.02,IF(Performance!E257&lt;=3,0.03,"")))</f>
        <v>0.02</v>
      </c>
      <c r="M257">
        <f t="shared" si="11"/>
        <v>0.13999999999999999</v>
      </c>
      <c r="N257">
        <f>Earnings!B257*(1+M257)</f>
        <v>2399829.6636000001</v>
      </c>
    </row>
    <row r="258" spans="1:14" x14ac:dyDescent="0.35">
      <c r="A258" t="s">
        <v>288</v>
      </c>
      <c r="B258" t="s">
        <v>29</v>
      </c>
      <c r="C258" t="s">
        <v>43</v>
      </c>
      <c r="D258" t="s">
        <v>21</v>
      </c>
      <c r="E258">
        <v>25.5</v>
      </c>
      <c r="F258" t="s">
        <v>22</v>
      </c>
      <c r="G258">
        <f>Earnings!G258</f>
        <v>2445986.16</v>
      </c>
      <c r="H258">
        <f>Deductions!B258+Deductions!C258+Deductions!D258+Tax!D258</f>
        <v>50747.829749999997</v>
      </c>
      <c r="I258">
        <f t="shared" ref="I258:I321" si="12">G258-H258+J258</f>
        <v>2395238.3302500001</v>
      </c>
      <c r="J258">
        <f>Overtime!D258</f>
        <v>0</v>
      </c>
      <c r="K258">
        <f t="shared" ref="K258:K321" si="13">IF(C258="Junior",0.06,IF(C258="Mid",0.08,IF(C258="Senior",0.1,IF(C258="Manager",0.12,0))))</f>
        <v>0.12</v>
      </c>
      <c r="L258">
        <f>IF(Performance!E258&lt;=1.5,0.01,IF(Performance!E258&lt;=2,0.02,IF(Performance!E258&lt;=3,0.03,"")))</f>
        <v>0.02</v>
      </c>
      <c r="M258">
        <f t="shared" ref="M258:M321" si="14">K258+L258</f>
        <v>0.13999999999999999</v>
      </c>
      <c r="N258">
        <f>Earnings!B258*(1+M258)</f>
        <v>2929017.0365999998</v>
      </c>
    </row>
    <row r="259" spans="1:14" x14ac:dyDescent="0.35">
      <c r="A259" t="s">
        <v>289</v>
      </c>
      <c r="B259" t="s">
        <v>35</v>
      </c>
      <c r="C259" t="s">
        <v>43</v>
      </c>
      <c r="D259" t="s">
        <v>21</v>
      </c>
      <c r="E259">
        <v>5.0999999999999996</v>
      </c>
      <c r="F259" t="s">
        <v>24</v>
      </c>
      <c r="G259">
        <f>Earnings!G259</f>
        <v>1090692.92</v>
      </c>
      <c r="H259">
        <f>Deductions!B259+Deductions!C259+Deductions!D259+Tax!D259</f>
        <v>15157.146000000002</v>
      </c>
      <c r="I259">
        <f t="shared" si="12"/>
        <v>1075535.774</v>
      </c>
      <c r="J259">
        <f>Overtime!D259</f>
        <v>0</v>
      </c>
      <c r="K259">
        <f t="shared" si="13"/>
        <v>0.12</v>
      </c>
      <c r="L259">
        <f>IF(Performance!E259&lt;=1.5,0.01,IF(Performance!E259&lt;=2,0.02,IF(Performance!E259&lt;=3,0.03,"")))</f>
        <v>0.01</v>
      </c>
      <c r="M259">
        <f t="shared" si="14"/>
        <v>0.13</v>
      </c>
      <c r="N259">
        <f>Earnings!B259*(1+M259)</f>
        <v>1294624.9992</v>
      </c>
    </row>
    <row r="260" spans="1:14" x14ac:dyDescent="0.35">
      <c r="A260" t="s">
        <v>290</v>
      </c>
      <c r="B260" t="s">
        <v>19</v>
      </c>
      <c r="C260" t="s">
        <v>20</v>
      </c>
      <c r="D260" t="s">
        <v>21</v>
      </c>
      <c r="E260">
        <v>8.4</v>
      </c>
      <c r="F260" t="s">
        <v>17</v>
      </c>
      <c r="G260">
        <f>Earnings!G260</f>
        <v>1077036.21</v>
      </c>
      <c r="H260">
        <f>Deductions!B260+Deductions!C260+Deductions!D260+Tax!D260</f>
        <v>14738.514000000001</v>
      </c>
      <c r="I260">
        <f t="shared" si="12"/>
        <v>1062297.696</v>
      </c>
      <c r="J260">
        <f>Overtime!D260</f>
        <v>0</v>
      </c>
      <c r="K260">
        <f t="shared" si="13"/>
        <v>0.1</v>
      </c>
      <c r="L260">
        <f>IF(Performance!E260&lt;=1.5,0.01,IF(Performance!E260&lt;=2,0.02,IF(Performance!E260&lt;=3,0.03,"")))</f>
        <v>0.03</v>
      </c>
      <c r="M260">
        <f t="shared" si="14"/>
        <v>0.13</v>
      </c>
      <c r="N260">
        <f>Earnings!B260*(1+M260)</f>
        <v>1278414.8328</v>
      </c>
    </row>
    <row r="261" spans="1:14" x14ac:dyDescent="0.35">
      <c r="A261" t="s">
        <v>291</v>
      </c>
      <c r="B261" t="s">
        <v>19</v>
      </c>
      <c r="C261" t="s">
        <v>15</v>
      </c>
      <c r="D261" t="s">
        <v>16</v>
      </c>
      <c r="E261">
        <v>2</v>
      </c>
      <c r="F261" t="s">
        <v>44</v>
      </c>
      <c r="G261">
        <f>Earnings!G261</f>
        <v>438402.66</v>
      </c>
      <c r="H261">
        <f>Deductions!B261+Deductions!C261+Deductions!D261+Tax!D261</f>
        <v>2877.1125000000002</v>
      </c>
      <c r="I261">
        <f t="shared" si="12"/>
        <v>435525.54749999999</v>
      </c>
      <c r="J261">
        <f>Overtime!D261</f>
        <v>0</v>
      </c>
      <c r="K261">
        <f t="shared" si="13"/>
        <v>0.06</v>
      </c>
      <c r="L261">
        <f>IF(Performance!E261&lt;=1.5,0.01,IF(Performance!E261&lt;=2,0.02,IF(Performance!E261&lt;=3,0.03,"")))</f>
        <v>0.03</v>
      </c>
      <c r="M261">
        <f t="shared" si="14"/>
        <v>0.09</v>
      </c>
      <c r="N261">
        <f>Earnings!B261*(1+M261)</f>
        <v>501952.63000000006</v>
      </c>
    </row>
    <row r="262" spans="1:14" x14ac:dyDescent="0.35">
      <c r="A262" t="s">
        <v>292</v>
      </c>
      <c r="B262" t="s">
        <v>14</v>
      </c>
      <c r="C262" t="s">
        <v>43</v>
      </c>
      <c r="D262" t="s">
        <v>21</v>
      </c>
      <c r="E262">
        <v>23.8</v>
      </c>
      <c r="F262" t="s">
        <v>44</v>
      </c>
      <c r="G262">
        <f>Earnings!G262</f>
        <v>1316042.9099999999</v>
      </c>
      <c r="H262">
        <f>Deductions!B262+Deductions!C262+Deductions!D262+Tax!D262</f>
        <v>21074.950249999998</v>
      </c>
      <c r="I262">
        <f t="shared" si="12"/>
        <v>1294967.9597499999</v>
      </c>
      <c r="J262">
        <f>Overtime!D262</f>
        <v>0</v>
      </c>
      <c r="K262">
        <f t="shared" si="13"/>
        <v>0.12</v>
      </c>
      <c r="L262">
        <f>IF(Performance!E262&lt;=1.5,0.01,IF(Performance!E262&lt;=2,0.02,IF(Performance!E262&lt;=3,0.03,"")))</f>
        <v>0.01</v>
      </c>
      <c r="M262">
        <f t="shared" si="14"/>
        <v>0.13</v>
      </c>
      <c r="N262">
        <f>Earnings!B262*(1+M262)</f>
        <v>1562109.7512999999</v>
      </c>
    </row>
    <row r="263" spans="1:14" x14ac:dyDescent="0.35">
      <c r="A263" t="s">
        <v>293</v>
      </c>
      <c r="B263" t="s">
        <v>14</v>
      </c>
      <c r="C263" t="s">
        <v>20</v>
      </c>
      <c r="D263" t="s">
        <v>16</v>
      </c>
      <c r="E263">
        <v>0</v>
      </c>
      <c r="F263" t="s">
        <v>27</v>
      </c>
      <c r="G263">
        <f>Earnings!G263</f>
        <v>709716</v>
      </c>
      <c r="H263">
        <f>Deductions!B263+Deductions!C263+Deductions!D263+Tax!D263</f>
        <v>7213.333333333333</v>
      </c>
      <c r="I263">
        <f t="shared" si="12"/>
        <v>702502.66666666663</v>
      </c>
      <c r="J263">
        <f>Overtime!D263</f>
        <v>0</v>
      </c>
      <c r="K263">
        <f t="shared" si="13"/>
        <v>0.1</v>
      </c>
      <c r="L263">
        <f>IF(Performance!E263&lt;=1.5,0.01,IF(Performance!E263&lt;=2,0.02,IF(Performance!E263&lt;=3,0.03,"")))</f>
        <v>0.01</v>
      </c>
      <c r="M263">
        <f t="shared" si="14"/>
        <v>0.11</v>
      </c>
      <c r="N263">
        <f>Earnings!B263*(1+M263)</f>
        <v>827505.00000000012</v>
      </c>
    </row>
    <row r="264" spans="1:14" x14ac:dyDescent="0.35">
      <c r="A264" t="s">
        <v>294</v>
      </c>
      <c r="B264" t="s">
        <v>26</v>
      </c>
      <c r="C264" t="s">
        <v>43</v>
      </c>
      <c r="D264" t="s">
        <v>16</v>
      </c>
      <c r="E264">
        <v>17</v>
      </c>
      <c r="F264" t="s">
        <v>44</v>
      </c>
      <c r="G264">
        <f>Earnings!G264</f>
        <v>1216353.8400000001</v>
      </c>
      <c r="H264">
        <f>Deductions!B264+Deductions!C264+Deductions!D264+Tax!D264</f>
        <v>18457.065000000002</v>
      </c>
      <c r="I264">
        <f t="shared" si="12"/>
        <v>1415102.817</v>
      </c>
      <c r="J264">
        <f>Overtime!D264</f>
        <v>217206.04199999999</v>
      </c>
      <c r="K264">
        <f t="shared" si="13"/>
        <v>0.12</v>
      </c>
      <c r="L264">
        <f>IF(Performance!E264&lt;=1.5,0.01,IF(Performance!E264&lt;=2,0.02,IF(Performance!E264&lt;=3,0.03,"")))</f>
        <v>0.01</v>
      </c>
      <c r="M264">
        <f t="shared" si="14"/>
        <v>0.13</v>
      </c>
      <c r="N264">
        <f>Earnings!B264*(1+M264)</f>
        <v>1443781.338</v>
      </c>
    </row>
    <row r="265" spans="1:14" x14ac:dyDescent="0.35">
      <c r="A265" t="s">
        <v>295</v>
      </c>
      <c r="B265" t="s">
        <v>19</v>
      </c>
      <c r="C265" t="s">
        <v>33</v>
      </c>
      <c r="D265" t="s">
        <v>16</v>
      </c>
      <c r="E265">
        <v>4.8</v>
      </c>
      <c r="F265" t="s">
        <v>44</v>
      </c>
      <c r="G265">
        <f>Earnings!G265</f>
        <v>913110.04</v>
      </c>
      <c r="H265">
        <f>Deductions!B265+Deductions!C265+Deductions!D265+Tax!D265</f>
        <v>10734.153333333334</v>
      </c>
      <c r="I265">
        <f t="shared" si="12"/>
        <v>988699.31466666667</v>
      </c>
      <c r="J265">
        <f>Overtime!D265</f>
        <v>86323.428</v>
      </c>
      <c r="K265">
        <f t="shared" si="13"/>
        <v>0.08</v>
      </c>
      <c r="L265">
        <f>IF(Performance!E265&lt;=1.5,0.01,IF(Performance!E265&lt;=2,0.02,IF(Performance!E265&lt;=3,0.03,"")))</f>
        <v>0.03</v>
      </c>
      <c r="M265">
        <f t="shared" si="14"/>
        <v>0.11</v>
      </c>
      <c r="N265">
        <f>Earnings!B265*(1+M265)</f>
        <v>1064655.612</v>
      </c>
    </row>
    <row r="266" spans="1:14" x14ac:dyDescent="0.35">
      <c r="A266" t="s">
        <v>296</v>
      </c>
      <c r="B266" t="s">
        <v>35</v>
      </c>
      <c r="C266" t="s">
        <v>43</v>
      </c>
      <c r="D266" t="s">
        <v>16</v>
      </c>
      <c r="E266">
        <v>8.5</v>
      </c>
      <c r="F266" t="s">
        <v>17</v>
      </c>
      <c r="G266">
        <f>Earnings!G266</f>
        <v>1314003.24</v>
      </c>
      <c r="H266">
        <f>Deductions!B266+Deductions!C266+Deductions!D266+Tax!D266</f>
        <v>21021.387500000001</v>
      </c>
      <c r="I266">
        <f t="shared" si="12"/>
        <v>1292981.8525</v>
      </c>
      <c r="J266">
        <f>Overtime!D266</f>
        <v>0</v>
      </c>
      <c r="K266">
        <f t="shared" si="13"/>
        <v>0.12</v>
      </c>
      <c r="L266">
        <f>IF(Performance!E266&lt;=1.5,0.01,IF(Performance!E266&lt;=2,0.02,IF(Performance!E266&lt;=3,0.03,"")))</f>
        <v>0.01</v>
      </c>
      <c r="M266">
        <f t="shared" si="14"/>
        <v>0.13</v>
      </c>
      <c r="N266">
        <f>Earnings!B266*(1+M266)</f>
        <v>1559688.7149999999</v>
      </c>
    </row>
    <row r="267" spans="1:14" x14ac:dyDescent="0.35">
      <c r="A267" t="s">
        <v>297</v>
      </c>
      <c r="B267" t="s">
        <v>29</v>
      </c>
      <c r="C267" t="s">
        <v>33</v>
      </c>
      <c r="D267" t="s">
        <v>21</v>
      </c>
      <c r="E267">
        <v>7.2</v>
      </c>
      <c r="F267" t="s">
        <v>70</v>
      </c>
      <c r="G267">
        <f>Earnings!G267</f>
        <v>921238.84</v>
      </c>
      <c r="H267">
        <f>Deductions!B267+Deductions!C267+Deductions!D267+Tax!D267</f>
        <v>10876.464333333333</v>
      </c>
      <c r="I267">
        <f t="shared" si="12"/>
        <v>910362.37566666666</v>
      </c>
      <c r="J267">
        <f>Overtime!D267</f>
        <v>0</v>
      </c>
      <c r="K267">
        <f t="shared" si="13"/>
        <v>0.08</v>
      </c>
      <c r="L267">
        <f>IF(Performance!E267&lt;=1.5,0.01,IF(Performance!E267&lt;=2,0.02,IF(Performance!E267&lt;=3,0.03,"")))</f>
        <v>0.02</v>
      </c>
      <c r="M267">
        <f t="shared" si="14"/>
        <v>0.1</v>
      </c>
      <c r="N267">
        <f>Earnings!B267*(1+M267)</f>
        <v>1064456.6460000002</v>
      </c>
    </row>
    <row r="268" spans="1:14" x14ac:dyDescent="0.35">
      <c r="A268" t="s">
        <v>298</v>
      </c>
      <c r="B268" t="s">
        <v>35</v>
      </c>
      <c r="C268" t="s">
        <v>15</v>
      </c>
      <c r="D268" t="s">
        <v>16</v>
      </c>
      <c r="E268">
        <v>9</v>
      </c>
      <c r="F268" t="s">
        <v>44</v>
      </c>
      <c r="G268">
        <f>Earnings!G268</f>
        <v>815307.08</v>
      </c>
      <c r="H268">
        <f>Deductions!B268+Deductions!C268+Deductions!D268+Tax!D268</f>
        <v>8981.9166666666679</v>
      </c>
      <c r="I268">
        <f t="shared" si="12"/>
        <v>806325.16333333333</v>
      </c>
      <c r="J268">
        <f>Overtime!D268</f>
        <v>0</v>
      </c>
      <c r="K268">
        <f t="shared" si="13"/>
        <v>0.06</v>
      </c>
      <c r="L268">
        <f>IF(Performance!E268&lt;=1.5,0.01,IF(Performance!E268&lt;=2,0.02,IF(Performance!E268&lt;=3,0.03,"")))</f>
        <v>0.01</v>
      </c>
      <c r="M268">
        <f t="shared" si="14"/>
        <v>6.9999999999999993E-2</v>
      </c>
      <c r="N268">
        <f>Earnings!B268*(1+M268)</f>
        <v>916364.05</v>
      </c>
    </row>
    <row r="269" spans="1:14" x14ac:dyDescent="0.35">
      <c r="A269" t="s">
        <v>299</v>
      </c>
      <c r="B269" t="s">
        <v>14</v>
      </c>
      <c r="C269" t="s">
        <v>20</v>
      </c>
      <c r="D269" t="s">
        <v>21</v>
      </c>
      <c r="E269">
        <v>1.4</v>
      </c>
      <c r="F269" t="s">
        <v>17</v>
      </c>
      <c r="G269">
        <f>Earnings!G269</f>
        <v>506157.59</v>
      </c>
      <c r="H269">
        <f>Deductions!B269+Deductions!C269+Deductions!D269+Tax!D269</f>
        <v>3649.635666666667</v>
      </c>
      <c r="I269">
        <f t="shared" si="12"/>
        <v>521116.68958333338</v>
      </c>
      <c r="J269">
        <f>Overtime!D269</f>
        <v>18608.735250000002</v>
      </c>
      <c r="K269">
        <f t="shared" si="13"/>
        <v>0.1</v>
      </c>
      <c r="L269">
        <f>IF(Performance!E269&lt;=1.5,0.01,IF(Performance!E269&lt;=2,0.02,IF(Performance!E269&lt;=3,0.03,"")))</f>
        <v>0.01</v>
      </c>
      <c r="M269">
        <f t="shared" si="14"/>
        <v>0.11</v>
      </c>
      <c r="N269">
        <f>Earnings!B269*(1+M269)</f>
        <v>590162.73540000012</v>
      </c>
    </row>
    <row r="270" spans="1:14" x14ac:dyDescent="0.35">
      <c r="A270" t="s">
        <v>300</v>
      </c>
      <c r="B270" t="s">
        <v>35</v>
      </c>
      <c r="C270" t="s">
        <v>15</v>
      </c>
      <c r="D270" t="s">
        <v>21</v>
      </c>
      <c r="E270">
        <v>4</v>
      </c>
      <c r="F270" t="s">
        <v>44</v>
      </c>
      <c r="G270">
        <f>Earnings!G270</f>
        <v>678213.18</v>
      </c>
      <c r="H270">
        <f>Deductions!B270+Deductions!C270+Deductions!D270+Tax!D270</f>
        <v>6581.8133333333344</v>
      </c>
      <c r="I270">
        <f t="shared" si="12"/>
        <v>671631.3666666667</v>
      </c>
      <c r="J270">
        <f>Overtime!D270</f>
        <v>0</v>
      </c>
      <c r="K270">
        <f t="shared" si="13"/>
        <v>0.06</v>
      </c>
      <c r="L270">
        <f>IF(Performance!E270&lt;=1.5,0.01,IF(Performance!E270&lt;=2,0.02,IF(Performance!E270&lt;=3,0.03,"")))</f>
        <v>0.01</v>
      </c>
      <c r="M270">
        <f t="shared" si="14"/>
        <v>6.9999999999999993E-2</v>
      </c>
      <c r="N270">
        <f>Earnings!B270*(1+M270)</f>
        <v>762277.41600000008</v>
      </c>
    </row>
    <row r="271" spans="1:14" x14ac:dyDescent="0.35">
      <c r="A271" t="s">
        <v>301</v>
      </c>
      <c r="B271" t="s">
        <v>26</v>
      </c>
      <c r="C271" t="s">
        <v>15</v>
      </c>
      <c r="D271" t="s">
        <v>21</v>
      </c>
      <c r="E271">
        <v>12</v>
      </c>
      <c r="F271" t="s">
        <v>24</v>
      </c>
      <c r="G271">
        <f>Earnings!G271</f>
        <v>866396.21</v>
      </c>
      <c r="H271">
        <f>Deductions!B271+Deductions!C271+Deductions!D271+Tax!D271</f>
        <v>9876.3341666666674</v>
      </c>
      <c r="I271">
        <f t="shared" si="12"/>
        <v>929326.27983333322</v>
      </c>
      <c r="J271">
        <f>Overtime!D271</f>
        <v>72806.40400000001</v>
      </c>
      <c r="K271">
        <f t="shared" si="13"/>
        <v>0.06</v>
      </c>
      <c r="L271">
        <f>IF(Performance!E271&lt;=1.5,0.01,IF(Performance!E271&lt;=2,0.02,IF(Performance!E271&lt;=3,0.03,"")))</f>
        <v>0.01</v>
      </c>
      <c r="M271">
        <f t="shared" si="14"/>
        <v>6.9999999999999993E-2</v>
      </c>
      <c r="N271">
        <f>Earnings!B271*(1+M271)</f>
        <v>973785.65350000013</v>
      </c>
    </row>
    <row r="272" spans="1:14" x14ac:dyDescent="0.35">
      <c r="A272" t="s">
        <v>302</v>
      </c>
      <c r="B272" t="s">
        <v>29</v>
      </c>
      <c r="C272" t="s">
        <v>43</v>
      </c>
      <c r="D272" t="s">
        <v>21</v>
      </c>
      <c r="E272">
        <v>18.7</v>
      </c>
      <c r="F272" t="s">
        <v>44</v>
      </c>
      <c r="G272">
        <f>Earnings!G272</f>
        <v>2305966.3199999998</v>
      </c>
      <c r="H272">
        <f>Deductions!B272+Deductions!C272+Deductions!D272+Tax!D272</f>
        <v>47070.837999999996</v>
      </c>
      <c r="I272">
        <f t="shared" si="12"/>
        <v>2258895.4819999998</v>
      </c>
      <c r="J272">
        <f>Overtime!D272</f>
        <v>0</v>
      </c>
      <c r="K272">
        <f t="shared" si="13"/>
        <v>0.12</v>
      </c>
      <c r="L272">
        <f>IF(Performance!E272&lt;=1.5,0.01,IF(Performance!E272&lt;=2,0.02,IF(Performance!E272&lt;=3,0.03,"")))</f>
        <v>0.02</v>
      </c>
      <c r="M272">
        <f t="shared" si="14"/>
        <v>0.13999999999999999</v>
      </c>
      <c r="N272">
        <f>Earnings!B272*(1+M272)</f>
        <v>2761346.2127999999</v>
      </c>
    </row>
    <row r="273" spans="1:14" x14ac:dyDescent="0.35">
      <c r="A273" t="s">
        <v>303</v>
      </c>
      <c r="B273" t="s">
        <v>19</v>
      </c>
      <c r="C273" t="s">
        <v>33</v>
      </c>
      <c r="D273" t="s">
        <v>16</v>
      </c>
      <c r="E273">
        <v>13.2</v>
      </c>
      <c r="F273" t="s">
        <v>70</v>
      </c>
      <c r="G273">
        <f>Earnings!G273</f>
        <v>1238068</v>
      </c>
      <c r="H273">
        <f>Deductions!B273+Deductions!C273+Deductions!D273+Tax!D273</f>
        <v>18927.290000000005</v>
      </c>
      <c r="I273">
        <f t="shared" si="12"/>
        <v>1219140.71</v>
      </c>
      <c r="J273">
        <f>Overtime!D273</f>
        <v>0</v>
      </c>
      <c r="K273">
        <f t="shared" si="13"/>
        <v>0.08</v>
      </c>
      <c r="L273">
        <f>IF(Performance!E273&lt;=1.5,0.01,IF(Performance!E273&lt;=2,0.02,IF(Performance!E273&lt;=3,0.03,"")))</f>
        <v>0.03</v>
      </c>
      <c r="M273">
        <f t="shared" si="14"/>
        <v>0.11</v>
      </c>
      <c r="N273">
        <f>Earnings!B273*(1+M273)</f>
        <v>1443545.6760000002</v>
      </c>
    </row>
    <row r="274" spans="1:14" x14ac:dyDescent="0.35">
      <c r="A274" t="s">
        <v>304</v>
      </c>
      <c r="B274" t="s">
        <v>29</v>
      </c>
      <c r="C274" t="s">
        <v>33</v>
      </c>
      <c r="D274" t="s">
        <v>16</v>
      </c>
      <c r="E274">
        <v>2.4</v>
      </c>
      <c r="F274" t="s">
        <v>27</v>
      </c>
      <c r="G274">
        <f>Earnings!G274</f>
        <v>1189101.31</v>
      </c>
      <c r="H274">
        <f>Deductions!B274+Deductions!C274+Deductions!D274+Tax!D274</f>
        <v>17641.400000000001</v>
      </c>
      <c r="I274">
        <f t="shared" si="12"/>
        <v>1321346.6300000001</v>
      </c>
      <c r="J274">
        <f>Overtime!D274</f>
        <v>149886.72000000003</v>
      </c>
      <c r="K274">
        <f t="shared" si="13"/>
        <v>0.08</v>
      </c>
      <c r="L274">
        <f>IF(Performance!E274&lt;=1.5,0.01,IF(Performance!E274&lt;=2,0.02,IF(Performance!E274&lt;=3,0.03,"")))</f>
        <v>0.02</v>
      </c>
      <c r="M274">
        <f t="shared" si="14"/>
        <v>0.1</v>
      </c>
      <c r="N274">
        <f>Earnings!B274*(1+M274)</f>
        <v>1373961.6</v>
      </c>
    </row>
    <row r="275" spans="1:14" x14ac:dyDescent="0.35">
      <c r="A275" t="s">
        <v>305</v>
      </c>
      <c r="B275" t="s">
        <v>14</v>
      </c>
      <c r="C275" t="s">
        <v>15</v>
      </c>
      <c r="D275" t="s">
        <v>16</v>
      </c>
      <c r="E275">
        <v>15</v>
      </c>
      <c r="F275" t="s">
        <v>22</v>
      </c>
      <c r="G275">
        <f>Earnings!G275</f>
        <v>826005.66</v>
      </c>
      <c r="H275">
        <f>Deductions!B275+Deductions!C275+Deductions!D275+Tax!D275</f>
        <v>9169.2166666666672</v>
      </c>
      <c r="I275">
        <f t="shared" si="12"/>
        <v>816836.44333333336</v>
      </c>
      <c r="J275">
        <f>Overtime!D275</f>
        <v>0</v>
      </c>
      <c r="K275">
        <f t="shared" si="13"/>
        <v>0.06</v>
      </c>
      <c r="L275">
        <f>IF(Performance!E275&lt;=1.5,0.01,IF(Performance!E275&lt;=2,0.02,IF(Performance!E275&lt;=3,0.03,"")))</f>
        <v>0.01</v>
      </c>
      <c r="M275">
        <f t="shared" si="14"/>
        <v>6.9999999999999993E-2</v>
      </c>
      <c r="N275">
        <f>Earnings!B275*(1+M275)</f>
        <v>928388.71000000008</v>
      </c>
    </row>
    <row r="276" spans="1:14" x14ac:dyDescent="0.35">
      <c r="A276" t="s">
        <v>306</v>
      </c>
      <c r="B276" t="s">
        <v>29</v>
      </c>
      <c r="C276" t="s">
        <v>43</v>
      </c>
      <c r="D276" t="s">
        <v>21</v>
      </c>
      <c r="E276">
        <v>1.7</v>
      </c>
      <c r="F276" t="s">
        <v>44</v>
      </c>
      <c r="G276">
        <f>Earnings!G276</f>
        <v>983462.92</v>
      </c>
      <c r="H276">
        <f>Deductions!B276+Deductions!C276+Deductions!D276+Tax!D276</f>
        <v>12341.232000000002</v>
      </c>
      <c r="I276">
        <f t="shared" si="12"/>
        <v>1050149.9575375002</v>
      </c>
      <c r="J276">
        <f>Overtime!D276</f>
        <v>79028.269537500018</v>
      </c>
      <c r="K276">
        <f t="shared" si="13"/>
        <v>0.12</v>
      </c>
      <c r="L276">
        <f>IF(Performance!E276&lt;=1.5,0.01,IF(Performance!E276&lt;=2,0.02,IF(Performance!E276&lt;=3,0.03,"")))</f>
        <v>0.02</v>
      </c>
      <c r="M276">
        <f t="shared" si="14"/>
        <v>0.13999999999999999</v>
      </c>
      <c r="N276">
        <f>Earnings!B276*(1+M276)</f>
        <v>1177676.1791999999</v>
      </c>
    </row>
    <row r="277" spans="1:14" x14ac:dyDescent="0.35">
      <c r="A277" t="s">
        <v>307</v>
      </c>
      <c r="B277" t="s">
        <v>19</v>
      </c>
      <c r="C277" t="s">
        <v>15</v>
      </c>
      <c r="D277" t="s">
        <v>16</v>
      </c>
      <c r="E277">
        <v>8</v>
      </c>
      <c r="F277" t="s">
        <v>22</v>
      </c>
      <c r="G277">
        <f>Earnings!G277</f>
        <v>639663.07999999996</v>
      </c>
      <c r="H277">
        <f>Deductions!B277+Deductions!C277+Deductions!D277+Tax!D277</f>
        <v>5906.9166666666661</v>
      </c>
      <c r="I277">
        <f t="shared" si="12"/>
        <v>633756.16333333333</v>
      </c>
      <c r="J277">
        <f>Overtime!D277</f>
        <v>0</v>
      </c>
      <c r="K277">
        <f t="shared" si="13"/>
        <v>0.06</v>
      </c>
      <c r="L277">
        <f>IF(Performance!E277&lt;=1.5,0.01,IF(Performance!E277&lt;=2,0.02,IF(Performance!E277&lt;=3,0.03,"")))</f>
        <v>0.03</v>
      </c>
      <c r="M277">
        <f t="shared" si="14"/>
        <v>0.09</v>
      </c>
      <c r="N277">
        <f>Earnings!B277*(1+M277)</f>
        <v>732387.35000000009</v>
      </c>
    </row>
    <row r="278" spans="1:14" x14ac:dyDescent="0.35">
      <c r="A278" t="s">
        <v>308</v>
      </c>
      <c r="B278" t="s">
        <v>29</v>
      </c>
      <c r="C278" t="s">
        <v>15</v>
      </c>
      <c r="D278" t="s">
        <v>21</v>
      </c>
      <c r="E278">
        <v>1</v>
      </c>
      <c r="F278" t="s">
        <v>17</v>
      </c>
      <c r="G278">
        <f>Earnings!G278</f>
        <v>741493.14</v>
      </c>
      <c r="H278">
        <f>Deductions!B278+Deductions!C278+Deductions!D278+Tax!D278</f>
        <v>7689.6558333333332</v>
      </c>
      <c r="I278">
        <f t="shared" si="12"/>
        <v>733803.48416666663</v>
      </c>
      <c r="J278">
        <f>Overtime!D278</f>
        <v>0</v>
      </c>
      <c r="K278">
        <f t="shared" si="13"/>
        <v>0.06</v>
      </c>
      <c r="L278">
        <f>IF(Performance!E278&lt;=1.5,0.01,IF(Performance!E278&lt;=2,0.02,IF(Performance!E278&lt;=3,0.03,"")))</f>
        <v>0.02</v>
      </c>
      <c r="M278">
        <f t="shared" si="14"/>
        <v>0.08</v>
      </c>
      <c r="N278">
        <f>Earnings!B278*(1+M278)</f>
        <v>841189.69799999997</v>
      </c>
    </row>
    <row r="279" spans="1:14" x14ac:dyDescent="0.35">
      <c r="A279" t="s">
        <v>309</v>
      </c>
      <c r="B279" t="s">
        <v>29</v>
      </c>
      <c r="C279" t="s">
        <v>15</v>
      </c>
      <c r="D279" t="s">
        <v>16</v>
      </c>
      <c r="E279">
        <v>11</v>
      </c>
      <c r="F279" t="s">
        <v>22</v>
      </c>
      <c r="G279">
        <f>Earnings!G279</f>
        <v>886887.96</v>
      </c>
      <c r="H279">
        <f>Deductions!B279+Deductions!C279+Deductions!D279+Tax!D279</f>
        <v>10235.083333333334</v>
      </c>
      <c r="I279">
        <f t="shared" si="12"/>
        <v>997761.52666666661</v>
      </c>
      <c r="J279">
        <f>Overtime!D279</f>
        <v>121108.65</v>
      </c>
      <c r="K279">
        <f t="shared" si="13"/>
        <v>0.06</v>
      </c>
      <c r="L279">
        <f>IF(Performance!E279&lt;=1.5,0.01,IF(Performance!E279&lt;=2,0.02,IF(Performance!E279&lt;=3,0.03,"")))</f>
        <v>0.02</v>
      </c>
      <c r="M279">
        <f t="shared" si="14"/>
        <v>0.08</v>
      </c>
      <c r="N279">
        <f>Earnings!B279*(1+M279)</f>
        <v>1006133.4</v>
      </c>
    </row>
    <row r="280" spans="1:14" x14ac:dyDescent="0.35">
      <c r="A280" t="s">
        <v>310</v>
      </c>
      <c r="B280" t="s">
        <v>19</v>
      </c>
      <c r="C280" t="s">
        <v>20</v>
      </c>
      <c r="D280" t="s">
        <v>21</v>
      </c>
      <c r="E280">
        <v>18.2</v>
      </c>
      <c r="F280" t="s">
        <v>31</v>
      </c>
      <c r="G280">
        <f>Earnings!G280</f>
        <v>1525007.42</v>
      </c>
      <c r="H280">
        <f>Deductions!B280+Deductions!C280+Deductions!D280+Tax!D280</f>
        <v>26502.463749999999</v>
      </c>
      <c r="I280">
        <f t="shared" si="12"/>
        <v>1498504.9562499998</v>
      </c>
      <c r="J280">
        <f>Overtime!D280</f>
        <v>0</v>
      </c>
      <c r="K280">
        <f t="shared" si="13"/>
        <v>0.1</v>
      </c>
      <c r="L280">
        <f>IF(Performance!E280&lt;=1.5,0.01,IF(Performance!E280&lt;=2,0.02,IF(Performance!E280&lt;=3,0.03,"")))</f>
        <v>0.03</v>
      </c>
      <c r="M280">
        <f t="shared" si="14"/>
        <v>0.13</v>
      </c>
      <c r="N280">
        <f>Earnings!B280*(1+M280)</f>
        <v>1810145.3614999999</v>
      </c>
    </row>
    <row r="281" spans="1:14" x14ac:dyDescent="0.35">
      <c r="A281" t="s">
        <v>311</v>
      </c>
      <c r="B281" t="s">
        <v>26</v>
      </c>
      <c r="C281" t="s">
        <v>20</v>
      </c>
      <c r="D281" t="s">
        <v>16</v>
      </c>
      <c r="E281">
        <v>21</v>
      </c>
      <c r="F281" t="s">
        <v>44</v>
      </c>
      <c r="G281">
        <f>Earnings!G281</f>
        <v>1369064.16</v>
      </c>
      <c r="H281">
        <f>Deductions!B281+Deductions!C281+Deductions!D281+Tax!D281</f>
        <v>22407.315000000002</v>
      </c>
      <c r="I281">
        <f t="shared" si="12"/>
        <v>1346656.845</v>
      </c>
      <c r="J281">
        <f>Overtime!D281</f>
        <v>0</v>
      </c>
      <c r="K281">
        <f t="shared" si="13"/>
        <v>0.1</v>
      </c>
      <c r="L281">
        <f>IF(Performance!E281&lt;=1.5,0.01,IF(Performance!E281&lt;=2,0.02,IF(Performance!E281&lt;=3,0.03,"")))</f>
        <v>0.01</v>
      </c>
      <c r="M281">
        <f t="shared" si="14"/>
        <v>0.11</v>
      </c>
      <c r="N281">
        <f>Earnings!B281*(1+M281)</f>
        <v>1596282.7860000003</v>
      </c>
    </row>
    <row r="282" spans="1:14" x14ac:dyDescent="0.35">
      <c r="A282" t="s">
        <v>312</v>
      </c>
      <c r="B282" t="s">
        <v>26</v>
      </c>
      <c r="C282" t="s">
        <v>33</v>
      </c>
      <c r="D282" t="s">
        <v>16</v>
      </c>
      <c r="E282">
        <v>6</v>
      </c>
      <c r="F282" t="s">
        <v>24</v>
      </c>
      <c r="G282">
        <f>Earnings!G282</f>
        <v>738629</v>
      </c>
      <c r="H282">
        <f>Deductions!B282+Deductions!C282+Deductions!D282+Tax!D282</f>
        <v>7679.5133333333333</v>
      </c>
      <c r="I282">
        <f t="shared" si="12"/>
        <v>730949.48666666669</v>
      </c>
      <c r="J282">
        <f>Overtime!D282</f>
        <v>0</v>
      </c>
      <c r="K282">
        <f t="shared" si="13"/>
        <v>0.08</v>
      </c>
      <c r="L282">
        <f>IF(Performance!E282&lt;=1.5,0.01,IF(Performance!E282&lt;=2,0.02,IF(Performance!E282&lt;=3,0.03,"")))</f>
        <v>0.01</v>
      </c>
      <c r="M282">
        <f t="shared" si="14"/>
        <v>0.09</v>
      </c>
      <c r="N282">
        <f>Earnings!B282*(1+M282)</f>
        <v>845699.17200000014</v>
      </c>
    </row>
    <row r="283" spans="1:14" x14ac:dyDescent="0.35">
      <c r="A283" t="s">
        <v>313</v>
      </c>
      <c r="B283" t="s">
        <v>29</v>
      </c>
      <c r="C283" t="s">
        <v>15</v>
      </c>
      <c r="D283" t="s">
        <v>21</v>
      </c>
      <c r="E283">
        <v>13</v>
      </c>
      <c r="F283" t="s">
        <v>17</v>
      </c>
      <c r="G283">
        <f>Earnings!G283</f>
        <v>1415662.75</v>
      </c>
      <c r="H283">
        <f>Deductions!B283+Deductions!C283+Deductions!D283+Tax!D283</f>
        <v>23551.017499999998</v>
      </c>
      <c r="I283">
        <f t="shared" si="12"/>
        <v>1392111.7324999999</v>
      </c>
      <c r="J283">
        <f>Overtime!D283</f>
        <v>0</v>
      </c>
      <c r="K283">
        <f t="shared" si="13"/>
        <v>0.06</v>
      </c>
      <c r="L283">
        <f>IF(Performance!E283&lt;=1.5,0.01,IF(Performance!E283&lt;=2,0.02,IF(Performance!E283&lt;=3,0.03,"")))</f>
        <v>0.02</v>
      </c>
      <c r="M283">
        <f t="shared" si="14"/>
        <v>0.08</v>
      </c>
      <c r="N283">
        <f>Earnings!B283*(1+M283)</f>
        <v>1606003.956</v>
      </c>
    </row>
    <row r="284" spans="1:14" x14ac:dyDescent="0.35">
      <c r="A284" t="s">
        <v>314</v>
      </c>
      <c r="B284" t="s">
        <v>35</v>
      </c>
      <c r="C284" t="s">
        <v>15</v>
      </c>
      <c r="D284" t="s">
        <v>21</v>
      </c>
      <c r="E284">
        <v>2</v>
      </c>
      <c r="F284" t="s">
        <v>17</v>
      </c>
      <c r="G284">
        <f>Earnings!G284</f>
        <v>824422.1</v>
      </c>
      <c r="H284">
        <f>Deductions!B284+Deductions!C284+Deductions!D284+Tax!D284</f>
        <v>9141.493333333332</v>
      </c>
      <c r="I284">
        <f t="shared" si="12"/>
        <v>815280.60666666669</v>
      </c>
      <c r="J284">
        <f>Overtime!D284</f>
        <v>0</v>
      </c>
      <c r="K284">
        <f t="shared" si="13"/>
        <v>0.06</v>
      </c>
      <c r="L284">
        <f>IF(Performance!E284&lt;=1.5,0.01,IF(Performance!E284&lt;=2,0.02,IF(Performance!E284&lt;=3,0.03,"")))</f>
        <v>0.01</v>
      </c>
      <c r="M284">
        <f t="shared" si="14"/>
        <v>6.9999999999999993E-2</v>
      </c>
      <c r="N284">
        <f>Earnings!B284*(1+M284)</f>
        <v>926608.87199999997</v>
      </c>
    </row>
    <row r="285" spans="1:14" x14ac:dyDescent="0.35">
      <c r="A285" t="s">
        <v>315</v>
      </c>
      <c r="B285" t="s">
        <v>29</v>
      </c>
      <c r="C285" t="s">
        <v>15</v>
      </c>
      <c r="D285" t="s">
        <v>16</v>
      </c>
      <c r="E285">
        <v>6</v>
      </c>
      <c r="F285" t="s">
        <v>24</v>
      </c>
      <c r="G285">
        <f>Earnings!G285</f>
        <v>946616.44</v>
      </c>
      <c r="H285">
        <f>Deductions!B285+Deductions!C285+Deductions!D285+Tax!D285</f>
        <v>11280.75</v>
      </c>
      <c r="I285">
        <f t="shared" si="12"/>
        <v>935335.69</v>
      </c>
      <c r="J285">
        <f>Overtime!D285</f>
        <v>0</v>
      </c>
      <c r="K285">
        <f t="shared" si="13"/>
        <v>0.06</v>
      </c>
      <c r="L285">
        <f>IF(Performance!E285&lt;=1.5,0.01,IF(Performance!E285&lt;=2,0.02,IF(Performance!E285&lt;=3,0.03,"")))</f>
        <v>0.02</v>
      </c>
      <c r="M285">
        <f t="shared" si="14"/>
        <v>0.08</v>
      </c>
      <c r="N285">
        <f>Earnings!B285*(1+M285)</f>
        <v>1073892.6000000001</v>
      </c>
    </row>
    <row r="286" spans="1:14" x14ac:dyDescent="0.35">
      <c r="A286" t="s">
        <v>316</v>
      </c>
      <c r="B286" t="s">
        <v>29</v>
      </c>
      <c r="C286" t="s">
        <v>43</v>
      </c>
      <c r="D286" t="s">
        <v>21</v>
      </c>
      <c r="E286">
        <v>3.4</v>
      </c>
      <c r="F286" t="s">
        <v>27</v>
      </c>
      <c r="G286">
        <f>Earnings!G286</f>
        <v>1378732.12</v>
      </c>
      <c r="H286">
        <f>Deductions!B286+Deductions!C286+Deductions!D286+Tax!D286</f>
        <v>22721.200499999999</v>
      </c>
      <c r="I286">
        <f t="shared" si="12"/>
        <v>1356010.9195000001</v>
      </c>
      <c r="J286">
        <f>Overtime!D286</f>
        <v>0</v>
      </c>
      <c r="K286">
        <f t="shared" si="13"/>
        <v>0.12</v>
      </c>
      <c r="L286">
        <f>IF(Performance!E286&lt;=1.5,0.01,IF(Performance!E286&lt;=2,0.02,IF(Performance!E286&lt;=3,0.03,"")))</f>
        <v>0.02</v>
      </c>
      <c r="M286">
        <f t="shared" si="14"/>
        <v>0.13999999999999999</v>
      </c>
      <c r="N286">
        <f>Earnings!B286*(1+M286)</f>
        <v>1651002.7427999999</v>
      </c>
    </row>
    <row r="287" spans="1:14" x14ac:dyDescent="0.35">
      <c r="A287" t="s">
        <v>317</v>
      </c>
      <c r="B287" t="s">
        <v>29</v>
      </c>
      <c r="C287" t="s">
        <v>43</v>
      </c>
      <c r="D287" t="s">
        <v>21</v>
      </c>
      <c r="E287">
        <v>5.0999999999999996</v>
      </c>
      <c r="F287" t="s">
        <v>37</v>
      </c>
      <c r="G287">
        <f>Earnings!G287</f>
        <v>1718269.2</v>
      </c>
      <c r="H287">
        <f>Deductions!B287+Deductions!C287+Deductions!D287+Tax!D287</f>
        <v>31637.615500000004</v>
      </c>
      <c r="I287">
        <f t="shared" si="12"/>
        <v>1824706.7883124999</v>
      </c>
      <c r="J287">
        <f>Overtime!D287</f>
        <v>138075.2038125</v>
      </c>
      <c r="K287">
        <f t="shared" si="13"/>
        <v>0.12</v>
      </c>
      <c r="L287">
        <f>IF(Performance!E287&lt;=1.5,0.01,IF(Performance!E287&lt;=2,0.02,IF(Performance!E287&lt;=3,0.03,"")))</f>
        <v>0.02</v>
      </c>
      <c r="M287">
        <f t="shared" si="14"/>
        <v>0.13999999999999999</v>
      </c>
      <c r="N287">
        <f>Earnings!B287*(1+M287)</f>
        <v>2057591.2667999999</v>
      </c>
    </row>
    <row r="288" spans="1:14" x14ac:dyDescent="0.35">
      <c r="A288" t="s">
        <v>318</v>
      </c>
      <c r="B288" t="s">
        <v>29</v>
      </c>
      <c r="C288" t="s">
        <v>33</v>
      </c>
      <c r="D288" t="s">
        <v>21</v>
      </c>
      <c r="E288">
        <v>0</v>
      </c>
      <c r="F288" t="s">
        <v>31</v>
      </c>
      <c r="G288">
        <f>Earnings!G288</f>
        <v>743002.22</v>
      </c>
      <c r="H288">
        <f>Deductions!B288+Deductions!C288+Deductions!D288+Tax!D288</f>
        <v>7756.0753333333341</v>
      </c>
      <c r="I288">
        <f t="shared" si="12"/>
        <v>796122.37761666661</v>
      </c>
      <c r="J288">
        <f>Overtime!D288</f>
        <v>60876.232949999998</v>
      </c>
      <c r="K288">
        <f t="shared" si="13"/>
        <v>0.08</v>
      </c>
      <c r="L288">
        <f>IF(Performance!E288&lt;=1.5,0.01,IF(Performance!E288&lt;=2,0.02,IF(Performance!E288&lt;=3,0.03,"")))</f>
        <v>0.02</v>
      </c>
      <c r="M288">
        <f t="shared" si="14"/>
        <v>0.1</v>
      </c>
      <c r="N288">
        <f>Earnings!B288*(1+M288)</f>
        <v>858510.97200000007</v>
      </c>
    </row>
    <row r="289" spans="1:14" x14ac:dyDescent="0.35">
      <c r="A289" t="s">
        <v>319</v>
      </c>
      <c r="B289" t="s">
        <v>14</v>
      </c>
      <c r="C289" t="s">
        <v>33</v>
      </c>
      <c r="D289" t="s">
        <v>16</v>
      </c>
      <c r="E289">
        <v>7.2</v>
      </c>
      <c r="F289" t="s">
        <v>70</v>
      </c>
      <c r="G289">
        <f>Earnings!G289</f>
        <v>612707.96</v>
      </c>
      <c r="H289">
        <f>Deductions!B289+Deductions!C289+Deductions!D289+Tax!D289</f>
        <v>5475.0133333333342</v>
      </c>
      <c r="I289">
        <f t="shared" si="12"/>
        <v>715357.88106666668</v>
      </c>
      <c r="J289">
        <f>Overtime!D289</f>
        <v>108124.9344</v>
      </c>
      <c r="K289">
        <f t="shared" si="13"/>
        <v>0.08</v>
      </c>
      <c r="L289">
        <f>IF(Performance!E289&lt;=1.5,0.01,IF(Performance!E289&lt;=2,0.02,IF(Performance!E289&lt;=3,0.03,"")))</f>
        <v>0.01</v>
      </c>
      <c r="M289">
        <f t="shared" si="14"/>
        <v>0.09</v>
      </c>
      <c r="N289">
        <f>Earnings!B289*(1+M289)</f>
        <v>701524.87200000009</v>
      </c>
    </row>
    <row r="290" spans="1:14" x14ac:dyDescent="0.35">
      <c r="A290" t="s">
        <v>320</v>
      </c>
      <c r="B290" t="s">
        <v>26</v>
      </c>
      <c r="C290" t="s">
        <v>20</v>
      </c>
      <c r="D290" t="s">
        <v>21</v>
      </c>
      <c r="E290">
        <v>12.6</v>
      </c>
      <c r="F290" t="s">
        <v>24</v>
      </c>
      <c r="G290">
        <f>Earnings!G290</f>
        <v>1204649.95</v>
      </c>
      <c r="H290">
        <f>Deductions!B290+Deductions!C290+Deductions!D290+Tax!D290</f>
        <v>18089.715000000004</v>
      </c>
      <c r="I290">
        <f t="shared" si="12"/>
        <v>1186560.2349999999</v>
      </c>
      <c r="J290">
        <f>Overtime!D290</f>
        <v>0</v>
      </c>
      <c r="K290">
        <f t="shared" si="13"/>
        <v>0.1</v>
      </c>
      <c r="L290">
        <f>IF(Performance!E290&lt;=1.5,0.01,IF(Performance!E290&lt;=2,0.02,IF(Performance!E290&lt;=3,0.03,"")))</f>
        <v>0.01</v>
      </c>
      <c r="M290">
        <f t="shared" si="14"/>
        <v>0.11</v>
      </c>
      <c r="N290">
        <f>Earnings!B290*(1+M290)</f>
        <v>1404581.3460000001</v>
      </c>
    </row>
    <row r="291" spans="1:14" x14ac:dyDescent="0.35">
      <c r="A291" t="s">
        <v>321</v>
      </c>
      <c r="B291" t="s">
        <v>35</v>
      </c>
      <c r="C291" t="s">
        <v>15</v>
      </c>
      <c r="D291" t="s">
        <v>16</v>
      </c>
      <c r="E291">
        <v>1</v>
      </c>
      <c r="F291" t="s">
        <v>27</v>
      </c>
      <c r="G291">
        <f>Earnings!G291</f>
        <v>800671.03</v>
      </c>
      <c r="H291">
        <f>Deductions!B291+Deductions!C291+Deductions!D291+Tax!D291</f>
        <v>8725.6833333333343</v>
      </c>
      <c r="I291">
        <f t="shared" si="12"/>
        <v>791945.34666666668</v>
      </c>
      <c r="J291">
        <f>Overtime!D291</f>
        <v>0</v>
      </c>
      <c r="K291">
        <f t="shared" si="13"/>
        <v>0.06</v>
      </c>
      <c r="L291">
        <f>IF(Performance!E291&lt;=1.5,0.01,IF(Performance!E291&lt;=2,0.02,IF(Performance!E291&lt;=3,0.03,"")))</f>
        <v>0.01</v>
      </c>
      <c r="M291">
        <f t="shared" si="14"/>
        <v>6.9999999999999993E-2</v>
      </c>
      <c r="N291">
        <f>Earnings!B291*(1+M291)</f>
        <v>899913.87</v>
      </c>
    </row>
    <row r="292" spans="1:14" x14ac:dyDescent="0.35">
      <c r="A292" t="s">
        <v>322</v>
      </c>
      <c r="B292" t="s">
        <v>29</v>
      </c>
      <c r="C292" t="s">
        <v>43</v>
      </c>
      <c r="D292" t="s">
        <v>16</v>
      </c>
      <c r="E292">
        <v>18.7</v>
      </c>
      <c r="F292" t="s">
        <v>31</v>
      </c>
      <c r="G292">
        <f>Earnings!G292</f>
        <v>1906483.29</v>
      </c>
      <c r="H292">
        <f>Deductions!B292+Deductions!C292+Deductions!D292+Tax!D292</f>
        <v>36580.212500000001</v>
      </c>
      <c r="I292">
        <f t="shared" si="12"/>
        <v>1869903.0775000001</v>
      </c>
      <c r="J292">
        <f>Overtime!D292</f>
        <v>0</v>
      </c>
      <c r="K292">
        <f t="shared" si="13"/>
        <v>0.12</v>
      </c>
      <c r="L292">
        <f>IF(Performance!E292&lt;=1.5,0.01,IF(Performance!E292&lt;=2,0.02,IF(Performance!E292&lt;=3,0.03,"")))</f>
        <v>0.02</v>
      </c>
      <c r="M292">
        <f t="shared" si="14"/>
        <v>0.13999999999999999</v>
      </c>
      <c r="N292">
        <f>Earnings!B292*(1+M292)</f>
        <v>2282973.69</v>
      </c>
    </row>
    <row r="293" spans="1:14" x14ac:dyDescent="0.35">
      <c r="A293" t="s">
        <v>323</v>
      </c>
      <c r="B293" t="s">
        <v>29</v>
      </c>
      <c r="C293" t="s">
        <v>33</v>
      </c>
      <c r="D293" t="s">
        <v>16</v>
      </c>
      <c r="E293">
        <v>12</v>
      </c>
      <c r="F293" t="s">
        <v>27</v>
      </c>
      <c r="G293">
        <f>Earnings!G293</f>
        <v>1421677.96</v>
      </c>
      <c r="H293">
        <f>Deductions!B293+Deductions!C293+Deductions!D293+Tax!D293</f>
        <v>23748.98</v>
      </c>
      <c r="I293">
        <f t="shared" si="12"/>
        <v>1397928.98</v>
      </c>
      <c r="J293">
        <f>Overtime!D293</f>
        <v>0</v>
      </c>
      <c r="K293">
        <f t="shared" si="13"/>
        <v>0.08</v>
      </c>
      <c r="L293">
        <f>IF(Performance!E293&lt;=1.5,0.01,IF(Performance!E293&lt;=2,0.02,IF(Performance!E293&lt;=3,0.03,"")))</f>
        <v>0.02</v>
      </c>
      <c r="M293">
        <f t="shared" si="14"/>
        <v>0.1</v>
      </c>
      <c r="N293">
        <f>Earnings!B293*(1+M293)</f>
        <v>1642695.12</v>
      </c>
    </row>
    <row r="294" spans="1:14" x14ac:dyDescent="0.35">
      <c r="A294" t="s">
        <v>324</v>
      </c>
      <c r="B294" t="s">
        <v>26</v>
      </c>
      <c r="C294" t="s">
        <v>15</v>
      </c>
      <c r="D294" t="s">
        <v>21</v>
      </c>
      <c r="E294">
        <v>10</v>
      </c>
      <c r="F294" t="s">
        <v>22</v>
      </c>
      <c r="G294">
        <f>Earnings!G294</f>
        <v>759095.48</v>
      </c>
      <c r="H294">
        <f>Deductions!B294+Deductions!C294+Deductions!D294+Tax!D294</f>
        <v>7997.82</v>
      </c>
      <c r="I294">
        <f t="shared" si="12"/>
        <v>751097.66</v>
      </c>
      <c r="J294">
        <f>Overtime!D294</f>
        <v>0</v>
      </c>
      <c r="K294">
        <f t="shared" si="13"/>
        <v>0.06</v>
      </c>
      <c r="L294">
        <f>IF(Performance!E294&lt;=1.5,0.01,IF(Performance!E294&lt;=2,0.02,IF(Performance!E294&lt;=3,0.03,"")))</f>
        <v>0.01</v>
      </c>
      <c r="M294">
        <f t="shared" si="14"/>
        <v>6.9999999999999993E-2</v>
      </c>
      <c r="N294">
        <f>Earnings!B294*(1+M294)</f>
        <v>853185.04399999999</v>
      </c>
    </row>
    <row r="295" spans="1:14" x14ac:dyDescent="0.35">
      <c r="A295" t="s">
        <v>325</v>
      </c>
      <c r="B295" t="s">
        <v>26</v>
      </c>
      <c r="C295" t="s">
        <v>43</v>
      </c>
      <c r="D295" t="s">
        <v>21</v>
      </c>
      <c r="E295">
        <v>8.5</v>
      </c>
      <c r="F295" t="s">
        <v>31</v>
      </c>
      <c r="G295">
        <f>Earnings!G295</f>
        <v>1274541.71</v>
      </c>
      <c r="H295">
        <f>Deductions!B295+Deductions!C295+Deductions!D295+Tax!D295</f>
        <v>19985.107749999999</v>
      </c>
      <c r="I295">
        <f t="shared" si="12"/>
        <v>1436633.9904499999</v>
      </c>
      <c r="J295">
        <f>Overtime!D295</f>
        <v>182077.38819999999</v>
      </c>
      <c r="K295">
        <f t="shared" si="13"/>
        <v>0.12</v>
      </c>
      <c r="L295">
        <f>IF(Performance!E295&lt;=1.5,0.01,IF(Performance!E295&lt;=2,0.02,IF(Performance!E295&lt;=3,0.03,"")))</f>
        <v>0.01</v>
      </c>
      <c r="M295">
        <f t="shared" si="14"/>
        <v>0.13</v>
      </c>
      <c r="N295">
        <f>Earnings!B295*(1+M295)</f>
        <v>1512848.8702999998</v>
      </c>
    </row>
    <row r="296" spans="1:14" x14ac:dyDescent="0.35">
      <c r="A296" t="s">
        <v>326</v>
      </c>
      <c r="B296" t="s">
        <v>29</v>
      </c>
      <c r="C296" t="s">
        <v>20</v>
      </c>
      <c r="D296" t="s">
        <v>16</v>
      </c>
      <c r="E296">
        <v>4.2</v>
      </c>
      <c r="F296" t="s">
        <v>37</v>
      </c>
      <c r="G296">
        <f>Earnings!G296</f>
        <v>1481219.28</v>
      </c>
      <c r="H296">
        <f>Deductions!B296+Deductions!C296+Deductions!D296+Tax!D296</f>
        <v>25352.565000000002</v>
      </c>
      <c r="I296">
        <f t="shared" si="12"/>
        <v>1455866.7150000001</v>
      </c>
      <c r="J296">
        <f>Overtime!D296</f>
        <v>0</v>
      </c>
      <c r="K296">
        <f t="shared" si="13"/>
        <v>0.1</v>
      </c>
      <c r="L296">
        <f>IF(Performance!E296&lt;=1.5,0.01,IF(Performance!E296&lt;=2,0.02,IF(Performance!E296&lt;=3,0.03,"")))</f>
        <v>0.02</v>
      </c>
      <c r="M296">
        <f t="shared" si="14"/>
        <v>0.12000000000000001</v>
      </c>
      <c r="N296">
        <f>Earnings!B296*(1+M296)</f>
        <v>1742610.9120000002</v>
      </c>
    </row>
    <row r="297" spans="1:14" x14ac:dyDescent="0.35">
      <c r="A297" t="s">
        <v>327</v>
      </c>
      <c r="B297" t="s">
        <v>35</v>
      </c>
      <c r="C297" t="s">
        <v>15</v>
      </c>
      <c r="D297" t="s">
        <v>21</v>
      </c>
      <c r="E297">
        <v>5</v>
      </c>
      <c r="F297" t="s">
        <v>17</v>
      </c>
      <c r="G297">
        <f>Earnings!G297</f>
        <v>889383.34</v>
      </c>
      <c r="H297">
        <f>Deductions!B297+Deductions!C297+Deductions!D297+Tax!D297</f>
        <v>10278.769999999999</v>
      </c>
      <c r="I297">
        <f t="shared" si="12"/>
        <v>879104.57</v>
      </c>
      <c r="J297">
        <f>Overtime!D297</f>
        <v>0</v>
      </c>
      <c r="K297">
        <f t="shared" si="13"/>
        <v>0.06</v>
      </c>
      <c r="L297">
        <f>IF(Performance!E297&lt;=1.5,0.01,IF(Performance!E297&lt;=2,0.02,IF(Performance!E297&lt;=3,0.03,"")))</f>
        <v>0.01</v>
      </c>
      <c r="M297">
        <f t="shared" si="14"/>
        <v>6.9999999999999993E-2</v>
      </c>
      <c r="N297">
        <f>Earnings!B297*(1+M297)</f>
        <v>999622.03399999999</v>
      </c>
    </row>
    <row r="298" spans="1:14" x14ac:dyDescent="0.35">
      <c r="A298" t="s">
        <v>328</v>
      </c>
      <c r="B298" t="s">
        <v>26</v>
      </c>
      <c r="C298" t="s">
        <v>43</v>
      </c>
      <c r="D298" t="s">
        <v>16</v>
      </c>
      <c r="E298">
        <v>10.199999999999999</v>
      </c>
      <c r="F298" t="s">
        <v>22</v>
      </c>
      <c r="G298">
        <f>Earnings!G298</f>
        <v>1123022.33</v>
      </c>
      <c r="H298">
        <f>Deductions!B298+Deductions!C298+Deductions!D298+Tax!D298</f>
        <v>16006.132500000002</v>
      </c>
      <c r="I298">
        <f t="shared" si="12"/>
        <v>1387771.7789</v>
      </c>
      <c r="J298">
        <f>Overtime!D298</f>
        <v>280755.58140000002</v>
      </c>
      <c r="K298">
        <f t="shared" si="13"/>
        <v>0.12</v>
      </c>
      <c r="L298">
        <f>IF(Performance!E298&lt;=1.5,0.01,IF(Performance!E298&lt;=2,0.02,IF(Performance!E298&lt;=3,0.03,"")))</f>
        <v>0.01</v>
      </c>
      <c r="M298">
        <f t="shared" si="14"/>
        <v>0.13</v>
      </c>
      <c r="N298">
        <f>Earnings!B298*(1+M298)</f>
        <v>1332999.189</v>
      </c>
    </row>
    <row r="299" spans="1:14" x14ac:dyDescent="0.35">
      <c r="A299" t="s">
        <v>329</v>
      </c>
      <c r="B299" t="s">
        <v>14</v>
      </c>
      <c r="C299" t="s">
        <v>43</v>
      </c>
      <c r="D299" t="s">
        <v>21</v>
      </c>
      <c r="E299">
        <v>3.4</v>
      </c>
      <c r="F299" t="s">
        <v>44</v>
      </c>
      <c r="G299">
        <f>Earnings!G299</f>
        <v>794875.62</v>
      </c>
      <c r="H299">
        <f>Deductions!B299+Deductions!C299+Deductions!D299+Tax!D299</f>
        <v>8764.2231666666667</v>
      </c>
      <c r="I299">
        <f t="shared" si="12"/>
        <v>786111.3968333333</v>
      </c>
      <c r="J299">
        <f>Overtime!D299</f>
        <v>0</v>
      </c>
      <c r="K299">
        <f t="shared" si="13"/>
        <v>0.12</v>
      </c>
      <c r="L299">
        <f>IF(Performance!E299&lt;=1.5,0.01,IF(Performance!E299&lt;=2,0.02,IF(Performance!E299&lt;=3,0.03,"")))</f>
        <v>0.01</v>
      </c>
      <c r="M299">
        <f t="shared" si="14"/>
        <v>0.13</v>
      </c>
      <c r="N299">
        <f>Earnings!B299*(1+M299)</f>
        <v>943497.33069999993</v>
      </c>
    </row>
    <row r="300" spans="1:14" x14ac:dyDescent="0.35">
      <c r="A300" t="s">
        <v>330</v>
      </c>
      <c r="B300" t="s">
        <v>14</v>
      </c>
      <c r="C300" t="s">
        <v>33</v>
      </c>
      <c r="D300" t="s">
        <v>16</v>
      </c>
      <c r="E300">
        <v>13.2</v>
      </c>
      <c r="F300" t="s">
        <v>37</v>
      </c>
      <c r="G300">
        <f>Earnings!G300</f>
        <v>1060846.3500000001</v>
      </c>
      <c r="H300">
        <f>Deductions!B300+Deductions!C300+Deductions!D300+Tax!D300</f>
        <v>14273.359999999999</v>
      </c>
      <c r="I300">
        <f t="shared" si="12"/>
        <v>1173607.1116000002</v>
      </c>
      <c r="J300">
        <f>Overtime!D300</f>
        <v>127034.12160000001</v>
      </c>
      <c r="K300">
        <f t="shared" si="13"/>
        <v>0.08</v>
      </c>
      <c r="L300">
        <f>IF(Performance!E300&lt;=1.5,0.01,IF(Performance!E300&lt;=2,0.02,IF(Performance!E300&lt;=3,0.03,"")))</f>
        <v>0.01</v>
      </c>
      <c r="M300">
        <f t="shared" si="14"/>
        <v>0.09</v>
      </c>
      <c r="N300">
        <f>Earnings!B300*(1+M300)</f>
        <v>1214624.496</v>
      </c>
    </row>
    <row r="301" spans="1:14" x14ac:dyDescent="0.35">
      <c r="A301" t="s">
        <v>331</v>
      </c>
      <c r="B301" t="s">
        <v>35</v>
      </c>
      <c r="C301" t="s">
        <v>33</v>
      </c>
      <c r="D301" t="s">
        <v>16</v>
      </c>
      <c r="E301">
        <v>10.8</v>
      </c>
      <c r="F301" t="s">
        <v>44</v>
      </c>
      <c r="G301">
        <f>Earnings!G301</f>
        <v>1422824.93</v>
      </c>
      <c r="H301">
        <f>Deductions!B301+Deductions!C301+Deductions!D301+Tax!D301</f>
        <v>23779.1</v>
      </c>
      <c r="I301">
        <f t="shared" si="12"/>
        <v>1399045.8299999998</v>
      </c>
      <c r="J301">
        <f>Overtime!D301</f>
        <v>0</v>
      </c>
      <c r="K301">
        <f t="shared" si="13"/>
        <v>0.08</v>
      </c>
      <c r="L301">
        <f>IF(Performance!E301&lt;=1.5,0.01,IF(Performance!E301&lt;=2,0.02,IF(Performance!E301&lt;=3,0.03,"")))</f>
        <v>0.01</v>
      </c>
      <c r="M301">
        <f t="shared" si="14"/>
        <v>0.09</v>
      </c>
      <c r="N301">
        <f>Earnings!B301*(1+M301)</f>
        <v>1629074.76</v>
      </c>
    </row>
    <row r="302" spans="1:14" x14ac:dyDescent="0.35">
      <c r="A302" t="s">
        <v>332</v>
      </c>
      <c r="B302" t="s">
        <v>14</v>
      </c>
      <c r="C302" t="s">
        <v>43</v>
      </c>
      <c r="D302" t="s">
        <v>16</v>
      </c>
      <c r="E302">
        <v>1.7</v>
      </c>
      <c r="F302" t="s">
        <v>22</v>
      </c>
      <c r="G302">
        <f>Earnings!G302</f>
        <v>997329.29</v>
      </c>
      <c r="H302">
        <f>Deductions!B302+Deductions!C302+Deductions!D302+Tax!D302</f>
        <v>12705.37</v>
      </c>
      <c r="I302">
        <f t="shared" si="12"/>
        <v>984623.92</v>
      </c>
      <c r="J302">
        <f>Overtime!D302</f>
        <v>0</v>
      </c>
      <c r="K302">
        <f t="shared" si="13"/>
        <v>0.12</v>
      </c>
      <c r="L302">
        <f>IF(Performance!E302&lt;=1.5,0.01,IF(Performance!E302&lt;=2,0.02,IF(Performance!E302&lt;=3,0.03,"")))</f>
        <v>0.01</v>
      </c>
      <c r="M302">
        <f t="shared" si="14"/>
        <v>0.13</v>
      </c>
      <c r="N302">
        <f>Earnings!B302*(1+M302)</f>
        <v>1183804.7239999999</v>
      </c>
    </row>
    <row r="303" spans="1:14" x14ac:dyDescent="0.35">
      <c r="A303" t="s">
        <v>333</v>
      </c>
      <c r="B303" t="s">
        <v>19</v>
      </c>
      <c r="C303" t="s">
        <v>43</v>
      </c>
      <c r="D303" t="s">
        <v>16</v>
      </c>
      <c r="E303">
        <v>22.1</v>
      </c>
      <c r="F303" t="s">
        <v>31</v>
      </c>
      <c r="G303">
        <f>Earnings!G303</f>
        <v>1801453.99</v>
      </c>
      <c r="H303">
        <f>Deductions!B303+Deductions!C303+Deductions!D303+Tax!D303</f>
        <v>33822.089999999997</v>
      </c>
      <c r="I303">
        <f t="shared" si="12"/>
        <v>1944560.4165999999</v>
      </c>
      <c r="J303">
        <f>Overtime!D303</f>
        <v>176928.51659999997</v>
      </c>
      <c r="K303">
        <f t="shared" si="13"/>
        <v>0.12</v>
      </c>
      <c r="L303">
        <f>IF(Performance!E303&lt;=1.5,0.01,IF(Performance!E303&lt;=2,0.02,IF(Performance!E303&lt;=3,0.03,"")))</f>
        <v>0.03</v>
      </c>
      <c r="M303">
        <f t="shared" si="14"/>
        <v>0.15</v>
      </c>
      <c r="N303">
        <f>Earnings!B303*(1+M303)</f>
        <v>2176126.14</v>
      </c>
    </row>
    <row r="304" spans="1:14" x14ac:dyDescent="0.35">
      <c r="A304" t="s">
        <v>334</v>
      </c>
      <c r="B304" t="s">
        <v>35</v>
      </c>
      <c r="C304" t="s">
        <v>15</v>
      </c>
      <c r="D304" t="s">
        <v>21</v>
      </c>
      <c r="E304">
        <v>6</v>
      </c>
      <c r="F304" t="s">
        <v>27</v>
      </c>
      <c r="G304">
        <f>Earnings!G304</f>
        <v>793843.43</v>
      </c>
      <c r="H304">
        <f>Deductions!B304+Deductions!C304+Deductions!D304+Tax!D304</f>
        <v>8606.1525000000001</v>
      </c>
      <c r="I304">
        <f t="shared" si="12"/>
        <v>785237.27750000008</v>
      </c>
      <c r="J304">
        <f>Overtime!D304</f>
        <v>0</v>
      </c>
      <c r="K304">
        <f t="shared" si="13"/>
        <v>0.06</v>
      </c>
      <c r="L304">
        <f>IF(Performance!E304&lt;=1.5,0.01,IF(Performance!E304&lt;=2,0.02,IF(Performance!E304&lt;=3,0.03,"")))</f>
        <v>0.01</v>
      </c>
      <c r="M304">
        <f t="shared" si="14"/>
        <v>6.9999999999999993E-2</v>
      </c>
      <c r="N304">
        <f>Earnings!B304*(1+M304)</f>
        <v>892239.99050000007</v>
      </c>
    </row>
    <row r="305" spans="1:14" x14ac:dyDescent="0.35">
      <c r="A305" t="s">
        <v>335</v>
      </c>
      <c r="B305" t="s">
        <v>29</v>
      </c>
      <c r="C305" t="s">
        <v>33</v>
      </c>
      <c r="D305" t="s">
        <v>21</v>
      </c>
      <c r="E305">
        <v>7.2</v>
      </c>
      <c r="F305" t="s">
        <v>17</v>
      </c>
      <c r="G305">
        <f>Earnings!G305</f>
        <v>1235563.06</v>
      </c>
      <c r="H305">
        <f>Deductions!B305+Deductions!C305+Deductions!D305+Tax!D305</f>
        <v>18861.509000000002</v>
      </c>
      <c r="I305">
        <f t="shared" si="12"/>
        <v>1302360.3341000001</v>
      </c>
      <c r="J305">
        <f>Overtime!D305</f>
        <v>85658.783100000001</v>
      </c>
      <c r="K305">
        <f t="shared" si="13"/>
        <v>0.08</v>
      </c>
      <c r="L305">
        <f>IF(Performance!E305&lt;=1.5,0.01,IF(Performance!E305&lt;=2,0.02,IF(Performance!E305&lt;=3,0.03,"")))</f>
        <v>0.02</v>
      </c>
      <c r="M305">
        <f t="shared" si="14"/>
        <v>0.1</v>
      </c>
      <c r="N305">
        <f>Earnings!B305*(1+M305)</f>
        <v>1427646.3960000002</v>
      </c>
    </row>
    <row r="306" spans="1:14" x14ac:dyDescent="0.35">
      <c r="A306" t="s">
        <v>336</v>
      </c>
      <c r="B306" t="s">
        <v>26</v>
      </c>
      <c r="C306" t="s">
        <v>15</v>
      </c>
      <c r="D306" t="s">
        <v>21</v>
      </c>
      <c r="E306">
        <v>8</v>
      </c>
      <c r="F306" t="s">
        <v>70</v>
      </c>
      <c r="G306">
        <f>Earnings!G306</f>
        <v>597016.15</v>
      </c>
      <c r="H306">
        <f>Deductions!B306+Deductions!C306+Deductions!D306+Tax!D306</f>
        <v>5160.2966666666671</v>
      </c>
      <c r="I306">
        <f t="shared" si="12"/>
        <v>591855.85333333339</v>
      </c>
      <c r="J306">
        <f>Overtime!D306</f>
        <v>0</v>
      </c>
      <c r="K306">
        <f t="shared" si="13"/>
        <v>0.06</v>
      </c>
      <c r="L306">
        <f>IF(Performance!E306&lt;=1.5,0.01,IF(Performance!E306&lt;=2,0.02,IF(Performance!E306&lt;=3,0.03,"")))</f>
        <v>0.01</v>
      </c>
      <c r="M306">
        <f t="shared" si="14"/>
        <v>6.9999999999999993E-2</v>
      </c>
      <c r="N306">
        <f>Earnings!B306*(1+M306)</f>
        <v>671016.04600000009</v>
      </c>
    </row>
    <row r="307" spans="1:14" x14ac:dyDescent="0.35">
      <c r="A307" t="s">
        <v>337</v>
      </c>
      <c r="B307" t="s">
        <v>35</v>
      </c>
      <c r="C307" t="s">
        <v>33</v>
      </c>
      <c r="D307" t="s">
        <v>21</v>
      </c>
      <c r="E307">
        <v>10.8</v>
      </c>
      <c r="F307" t="s">
        <v>22</v>
      </c>
      <c r="G307">
        <f>Earnings!G307</f>
        <v>1198604.94</v>
      </c>
      <c r="H307">
        <f>Deductions!B307+Deductions!C307+Deductions!D307+Tax!D307</f>
        <v>17890.97</v>
      </c>
      <c r="I307">
        <f t="shared" si="12"/>
        <v>1180713.97</v>
      </c>
      <c r="J307">
        <f>Overtime!D307</f>
        <v>0</v>
      </c>
      <c r="K307">
        <f t="shared" si="13"/>
        <v>0.08</v>
      </c>
      <c r="L307">
        <f>IF(Performance!E307&lt;=1.5,0.01,IF(Performance!E307&lt;=2,0.02,IF(Performance!E307&lt;=3,0.03,"")))</f>
        <v>0.01</v>
      </c>
      <c r="M307">
        <f t="shared" si="14"/>
        <v>0.09</v>
      </c>
      <c r="N307">
        <f>Earnings!B307*(1+M307)</f>
        <v>1372352.2920000001</v>
      </c>
    </row>
    <row r="308" spans="1:14" x14ac:dyDescent="0.35">
      <c r="A308" t="s">
        <v>338</v>
      </c>
      <c r="B308" t="s">
        <v>26</v>
      </c>
      <c r="C308" t="s">
        <v>20</v>
      </c>
      <c r="D308" t="s">
        <v>16</v>
      </c>
      <c r="E308">
        <v>0</v>
      </c>
      <c r="F308" t="s">
        <v>22</v>
      </c>
      <c r="G308">
        <f>Earnings!G308</f>
        <v>632586.86</v>
      </c>
      <c r="H308">
        <f>Deductions!B308+Deductions!C308+Deductions!D308+Tax!D308</f>
        <v>5863.0333333333328</v>
      </c>
      <c r="I308">
        <f t="shared" si="12"/>
        <v>626723.82666666666</v>
      </c>
      <c r="J308">
        <f>Overtime!D308</f>
        <v>0</v>
      </c>
      <c r="K308">
        <f t="shared" si="13"/>
        <v>0.1</v>
      </c>
      <c r="L308">
        <f>IF(Performance!E308&lt;=1.5,0.01,IF(Performance!E308&lt;=2,0.02,IF(Performance!E308&lt;=3,0.03,"")))</f>
        <v>0.01</v>
      </c>
      <c r="M308">
        <f t="shared" si="14"/>
        <v>0.11</v>
      </c>
      <c r="N308">
        <f>Earnings!B308*(1+M308)</f>
        <v>737575.02</v>
      </c>
    </row>
    <row r="309" spans="1:14" x14ac:dyDescent="0.35">
      <c r="A309" t="s">
        <v>339</v>
      </c>
      <c r="B309" t="s">
        <v>14</v>
      </c>
      <c r="C309" t="s">
        <v>43</v>
      </c>
      <c r="D309" t="s">
        <v>21</v>
      </c>
      <c r="E309">
        <v>13.6</v>
      </c>
      <c r="F309" t="s">
        <v>70</v>
      </c>
      <c r="G309">
        <f>Earnings!G309</f>
        <v>1180326.47</v>
      </c>
      <c r="H309">
        <f>Deductions!B309+Deductions!C309+Deductions!D309+Tax!D309</f>
        <v>17510.968249999998</v>
      </c>
      <c r="I309">
        <f t="shared" si="12"/>
        <v>1162815.5017500001</v>
      </c>
      <c r="J309">
        <f>Overtime!D309</f>
        <v>0</v>
      </c>
      <c r="K309">
        <f t="shared" si="13"/>
        <v>0.12</v>
      </c>
      <c r="L309">
        <f>IF(Performance!E309&lt;=1.5,0.01,IF(Performance!E309&lt;=2,0.02,IF(Performance!E309&lt;=3,0.03,"")))</f>
        <v>0.01</v>
      </c>
      <c r="M309">
        <f t="shared" si="14"/>
        <v>0.13</v>
      </c>
      <c r="N309">
        <f>Earnings!B309*(1+M309)</f>
        <v>1401017.7648999998</v>
      </c>
    </row>
    <row r="310" spans="1:14" x14ac:dyDescent="0.35">
      <c r="A310" t="s">
        <v>340</v>
      </c>
      <c r="B310" t="s">
        <v>26</v>
      </c>
      <c r="C310" t="s">
        <v>20</v>
      </c>
      <c r="D310" t="s">
        <v>21</v>
      </c>
      <c r="E310">
        <v>18.2</v>
      </c>
      <c r="F310" t="s">
        <v>24</v>
      </c>
      <c r="G310">
        <f>Earnings!G310</f>
        <v>1158241.3799999999</v>
      </c>
      <c r="H310">
        <f>Deductions!B310+Deductions!C310+Deductions!D310+Tax!D310</f>
        <v>16871.00275</v>
      </c>
      <c r="I310">
        <f t="shared" si="12"/>
        <v>1141370.3772499999</v>
      </c>
      <c r="J310">
        <f>Overtime!D310</f>
        <v>0</v>
      </c>
      <c r="K310">
        <f t="shared" si="13"/>
        <v>0.1</v>
      </c>
      <c r="L310">
        <f>IF(Performance!E310&lt;=1.5,0.01,IF(Performance!E310&lt;=2,0.02,IF(Performance!E310&lt;=3,0.03,"")))</f>
        <v>0.01</v>
      </c>
      <c r="M310">
        <f t="shared" si="14"/>
        <v>0.11</v>
      </c>
      <c r="N310">
        <f>Earnings!B310*(1+M310)</f>
        <v>1350470.5221000002</v>
      </c>
    </row>
    <row r="311" spans="1:14" x14ac:dyDescent="0.35">
      <c r="A311" t="s">
        <v>341</v>
      </c>
      <c r="B311" t="s">
        <v>29</v>
      </c>
      <c r="C311" t="s">
        <v>33</v>
      </c>
      <c r="D311" t="s">
        <v>21</v>
      </c>
      <c r="E311">
        <v>3.6</v>
      </c>
      <c r="F311" t="s">
        <v>31</v>
      </c>
      <c r="G311">
        <f>Earnings!G311</f>
        <v>912934.28</v>
      </c>
      <c r="H311">
        <f>Deductions!B311+Deductions!C311+Deductions!D311+Tax!D311</f>
        <v>10731.076333333333</v>
      </c>
      <c r="I311">
        <f t="shared" si="12"/>
        <v>1074816.8271666667</v>
      </c>
      <c r="J311">
        <f>Overtime!D311</f>
        <v>172613.62349999999</v>
      </c>
      <c r="K311">
        <f t="shared" si="13"/>
        <v>0.08</v>
      </c>
      <c r="L311">
        <f>IF(Performance!E311&lt;=1.5,0.01,IF(Performance!E311&lt;=2,0.02,IF(Performance!E311&lt;=3,0.03,"")))</f>
        <v>0.02</v>
      </c>
      <c r="M311">
        <f t="shared" si="14"/>
        <v>0.1</v>
      </c>
      <c r="N311">
        <f>Earnings!B311*(1+M311)</f>
        <v>1054861.0379999999</v>
      </c>
    </row>
    <row r="312" spans="1:14" x14ac:dyDescent="0.35">
      <c r="A312" t="s">
        <v>342</v>
      </c>
      <c r="B312" t="s">
        <v>29</v>
      </c>
      <c r="C312" t="s">
        <v>20</v>
      </c>
      <c r="D312" t="s">
        <v>21</v>
      </c>
      <c r="E312">
        <v>8.4</v>
      </c>
      <c r="F312" t="s">
        <v>27</v>
      </c>
      <c r="G312">
        <f>Earnings!G312</f>
        <v>1460552.28</v>
      </c>
      <c r="H312">
        <f>Deductions!B312+Deductions!C312+Deductions!D312+Tax!D312</f>
        <v>24809.839250000001</v>
      </c>
      <c r="I312">
        <f t="shared" si="12"/>
        <v>1435742.4407500001</v>
      </c>
      <c r="J312">
        <f>Overtime!D312</f>
        <v>0</v>
      </c>
      <c r="K312">
        <f t="shared" si="13"/>
        <v>0.1</v>
      </c>
      <c r="L312">
        <f>IF(Performance!E312&lt;=1.5,0.01,IF(Performance!E312&lt;=2,0.02,IF(Performance!E312&lt;=3,0.03,"")))</f>
        <v>0.02</v>
      </c>
      <c r="M312">
        <f t="shared" si="14"/>
        <v>0.12000000000000001</v>
      </c>
      <c r="N312">
        <f>Earnings!B312*(1+M312)</f>
        <v>1718296.7984000002</v>
      </c>
    </row>
    <row r="313" spans="1:14" x14ac:dyDescent="0.35">
      <c r="A313" t="s">
        <v>343</v>
      </c>
      <c r="B313" t="s">
        <v>26</v>
      </c>
      <c r="C313" t="s">
        <v>33</v>
      </c>
      <c r="D313" t="s">
        <v>21</v>
      </c>
      <c r="E313">
        <v>10.8</v>
      </c>
      <c r="F313" t="s">
        <v>17</v>
      </c>
      <c r="G313">
        <f>Earnings!G313</f>
        <v>700197.69</v>
      </c>
      <c r="H313">
        <f>Deductions!B313+Deductions!C313+Deductions!D313+Tax!D313</f>
        <v>7006.6963333333342</v>
      </c>
      <c r="I313">
        <f t="shared" si="12"/>
        <v>741734.11081666662</v>
      </c>
      <c r="J313">
        <f>Overtime!D313</f>
        <v>48543.117150000005</v>
      </c>
      <c r="K313">
        <f t="shared" si="13"/>
        <v>0.08</v>
      </c>
      <c r="L313">
        <f>IF(Performance!E313&lt;=1.5,0.01,IF(Performance!E313&lt;=2,0.02,IF(Performance!E313&lt;=3,0.03,"")))</f>
        <v>0.01</v>
      </c>
      <c r="M313">
        <f t="shared" si="14"/>
        <v>0.09</v>
      </c>
      <c r="N313">
        <f>Earnings!B313*(1+M313)</f>
        <v>801696.94020000007</v>
      </c>
    </row>
    <row r="314" spans="1:14" x14ac:dyDescent="0.35">
      <c r="A314" t="s">
        <v>344</v>
      </c>
      <c r="B314" t="s">
        <v>29</v>
      </c>
      <c r="C314" t="s">
        <v>20</v>
      </c>
      <c r="D314" t="s">
        <v>21</v>
      </c>
      <c r="E314">
        <v>7</v>
      </c>
      <c r="F314" t="s">
        <v>27</v>
      </c>
      <c r="G314">
        <f>Earnings!G314</f>
        <v>1038311.98</v>
      </c>
      <c r="H314">
        <f>Deductions!B314+Deductions!C314+Deductions!D314+Tax!D314</f>
        <v>13721.596000000003</v>
      </c>
      <c r="I314">
        <f t="shared" si="12"/>
        <v>1024590.384</v>
      </c>
      <c r="J314">
        <f>Overtime!D314</f>
        <v>0</v>
      </c>
      <c r="K314">
        <f t="shared" si="13"/>
        <v>0.1</v>
      </c>
      <c r="L314">
        <f>IF(Performance!E314&lt;=1.5,0.01,IF(Performance!E314&lt;=2,0.02,IF(Performance!E314&lt;=3,0.03,"")))</f>
        <v>0.02</v>
      </c>
      <c r="M314">
        <f t="shared" si="14"/>
        <v>0.12000000000000001</v>
      </c>
      <c r="N314">
        <f>Earnings!B314*(1+M314)</f>
        <v>1221543.5008000003</v>
      </c>
    </row>
    <row r="315" spans="1:14" x14ac:dyDescent="0.35">
      <c r="A315" t="s">
        <v>345</v>
      </c>
      <c r="B315" t="s">
        <v>29</v>
      </c>
      <c r="C315" t="s">
        <v>20</v>
      </c>
      <c r="D315" t="s">
        <v>21</v>
      </c>
      <c r="E315">
        <v>8.4</v>
      </c>
      <c r="F315" t="s">
        <v>24</v>
      </c>
      <c r="G315">
        <f>Earnings!G315</f>
        <v>1330256.82</v>
      </c>
      <c r="H315">
        <f>Deductions!B315+Deductions!C315+Deductions!D315+Tax!D315</f>
        <v>21388.214750000003</v>
      </c>
      <c r="I315">
        <f t="shared" si="12"/>
        <v>1308868.60525</v>
      </c>
      <c r="J315">
        <f>Overtime!D315</f>
        <v>0</v>
      </c>
      <c r="K315">
        <f t="shared" si="13"/>
        <v>0.1</v>
      </c>
      <c r="L315">
        <f>IF(Performance!E315&lt;=1.5,0.01,IF(Performance!E315&lt;=2,0.02,IF(Performance!E315&lt;=3,0.03,"")))</f>
        <v>0.02</v>
      </c>
      <c r="M315">
        <f t="shared" si="14"/>
        <v>0.12000000000000001</v>
      </c>
      <c r="N315">
        <f>Earnings!B315*(1+M315)</f>
        <v>1565008.0208000003</v>
      </c>
    </row>
    <row r="316" spans="1:14" x14ac:dyDescent="0.35">
      <c r="A316" t="s">
        <v>346</v>
      </c>
      <c r="B316" t="s">
        <v>35</v>
      </c>
      <c r="C316" t="s">
        <v>43</v>
      </c>
      <c r="D316" t="s">
        <v>16</v>
      </c>
      <c r="E316">
        <v>1.7</v>
      </c>
      <c r="F316" t="s">
        <v>37</v>
      </c>
      <c r="G316">
        <f>Earnings!G316</f>
        <v>1090944.02</v>
      </c>
      <c r="H316">
        <f>Deductions!B316+Deductions!C316+Deductions!D316+Tax!D316</f>
        <v>15163.740000000003</v>
      </c>
      <c r="I316">
        <f t="shared" si="12"/>
        <v>1241369.9972000001</v>
      </c>
      <c r="J316">
        <f>Overtime!D316</f>
        <v>165589.71720000001</v>
      </c>
      <c r="K316">
        <f t="shared" si="13"/>
        <v>0.12</v>
      </c>
      <c r="L316">
        <f>IF(Performance!E316&lt;=1.5,0.01,IF(Performance!E316&lt;=2,0.02,IF(Performance!E316&lt;=3,0.03,"")))</f>
        <v>0.01</v>
      </c>
      <c r="M316">
        <f t="shared" si="14"/>
        <v>0.13</v>
      </c>
      <c r="N316">
        <f>Earnings!B316*(1+M316)</f>
        <v>1294923.048</v>
      </c>
    </row>
    <row r="317" spans="1:14" x14ac:dyDescent="0.35">
      <c r="A317" t="s">
        <v>347</v>
      </c>
      <c r="B317" t="s">
        <v>35</v>
      </c>
      <c r="C317" t="s">
        <v>20</v>
      </c>
      <c r="D317" t="s">
        <v>21</v>
      </c>
      <c r="E317">
        <v>0</v>
      </c>
      <c r="F317" t="s">
        <v>44</v>
      </c>
      <c r="G317">
        <f>Earnings!G317</f>
        <v>828490.27</v>
      </c>
      <c r="H317">
        <f>Deductions!B317+Deductions!C317+Deductions!D317+Tax!D317</f>
        <v>9292.7148333333353</v>
      </c>
      <c r="I317">
        <f t="shared" si="12"/>
        <v>819197.55516666663</v>
      </c>
      <c r="J317">
        <f>Overtime!D317</f>
        <v>0</v>
      </c>
      <c r="K317">
        <f t="shared" si="13"/>
        <v>0.1</v>
      </c>
      <c r="L317">
        <f>IF(Performance!E317&lt;=1.5,0.01,IF(Performance!E317&lt;=2,0.02,IF(Performance!E317&lt;=3,0.03,"")))</f>
        <v>0.01</v>
      </c>
      <c r="M317">
        <f t="shared" si="14"/>
        <v>0.11</v>
      </c>
      <c r="N317">
        <f>Earnings!B317*(1+M317)</f>
        <v>965991.80790000013</v>
      </c>
    </row>
    <row r="318" spans="1:14" x14ac:dyDescent="0.35">
      <c r="A318" t="s">
        <v>348</v>
      </c>
      <c r="B318" t="s">
        <v>35</v>
      </c>
      <c r="C318" t="s">
        <v>33</v>
      </c>
      <c r="D318" t="s">
        <v>21</v>
      </c>
      <c r="E318">
        <v>14.4</v>
      </c>
      <c r="F318" t="s">
        <v>70</v>
      </c>
      <c r="G318">
        <f>Earnings!G318</f>
        <v>1192037.9099999999</v>
      </c>
      <c r="H318">
        <f>Deductions!B318+Deductions!C318+Deductions!D318+Tax!D318</f>
        <v>17718.516499999998</v>
      </c>
      <c r="I318">
        <f t="shared" si="12"/>
        <v>1271986.3642</v>
      </c>
      <c r="J318">
        <f>Overtime!D318</f>
        <v>97666.970700000005</v>
      </c>
      <c r="K318">
        <f t="shared" si="13"/>
        <v>0.08</v>
      </c>
      <c r="L318">
        <f>IF(Performance!E318&lt;=1.5,0.01,IF(Performance!E318&lt;=2,0.02,IF(Performance!E318&lt;=3,0.03,"")))</f>
        <v>0.01</v>
      </c>
      <c r="M318">
        <f t="shared" si="14"/>
        <v>0.09</v>
      </c>
      <c r="N318">
        <f>Earnings!B318*(1+M318)</f>
        <v>1364833.3193999999</v>
      </c>
    </row>
    <row r="319" spans="1:14" x14ac:dyDescent="0.35">
      <c r="A319" t="s">
        <v>349</v>
      </c>
      <c r="B319" t="s">
        <v>26</v>
      </c>
      <c r="C319" t="s">
        <v>33</v>
      </c>
      <c r="D319" t="s">
        <v>21</v>
      </c>
      <c r="E319">
        <v>14.4</v>
      </c>
      <c r="F319" t="s">
        <v>17</v>
      </c>
      <c r="G319">
        <f>Earnings!G319</f>
        <v>995322.23</v>
      </c>
      <c r="H319">
        <f>Deductions!B319+Deductions!C319+Deductions!D319+Tax!D319</f>
        <v>12552.663500000001</v>
      </c>
      <c r="I319">
        <f t="shared" si="12"/>
        <v>1139595.5489999999</v>
      </c>
      <c r="J319">
        <f>Overtime!D319</f>
        <v>156825.98250000001</v>
      </c>
      <c r="K319">
        <f t="shared" si="13"/>
        <v>0.08</v>
      </c>
      <c r="L319">
        <f>IF(Performance!E319&lt;=1.5,0.01,IF(Performance!E319&lt;=2,0.02,IF(Performance!E319&lt;=3,0.03,"")))</f>
        <v>0.01</v>
      </c>
      <c r="M319">
        <f t="shared" si="14"/>
        <v>0.09</v>
      </c>
      <c r="N319">
        <f>Earnings!B319*(1+M319)</f>
        <v>1139602.1286000002</v>
      </c>
    </row>
    <row r="320" spans="1:14" x14ac:dyDescent="0.35">
      <c r="A320" t="s">
        <v>350</v>
      </c>
      <c r="B320" t="s">
        <v>26</v>
      </c>
      <c r="C320" t="s">
        <v>43</v>
      </c>
      <c r="D320" t="s">
        <v>16</v>
      </c>
      <c r="E320">
        <v>22.1</v>
      </c>
      <c r="F320" t="s">
        <v>37</v>
      </c>
      <c r="G320">
        <f>Earnings!G320</f>
        <v>1518496.17</v>
      </c>
      <c r="H320">
        <f>Deductions!B320+Deductions!C320+Deductions!D320+Tax!D320</f>
        <v>26391.474999999995</v>
      </c>
      <c r="I320">
        <f t="shared" si="12"/>
        <v>1492104.6949999998</v>
      </c>
      <c r="J320">
        <f>Overtime!D320</f>
        <v>0</v>
      </c>
      <c r="K320">
        <f t="shared" si="13"/>
        <v>0.12</v>
      </c>
      <c r="L320">
        <f>IF(Performance!E320&lt;=1.5,0.01,IF(Performance!E320&lt;=2,0.02,IF(Performance!E320&lt;=3,0.03,"")))</f>
        <v>0.01</v>
      </c>
      <c r="M320">
        <f t="shared" si="14"/>
        <v>0.13</v>
      </c>
      <c r="N320">
        <f>Earnings!B320*(1+M320)</f>
        <v>1802416.67</v>
      </c>
    </row>
    <row r="321" spans="1:14" x14ac:dyDescent="0.35">
      <c r="A321" t="s">
        <v>351</v>
      </c>
      <c r="B321" t="s">
        <v>29</v>
      </c>
      <c r="C321" t="s">
        <v>43</v>
      </c>
      <c r="D321" t="s">
        <v>16</v>
      </c>
      <c r="E321">
        <v>13.6</v>
      </c>
      <c r="F321" t="s">
        <v>17</v>
      </c>
      <c r="G321">
        <f>Earnings!G321</f>
        <v>1470345.53</v>
      </c>
      <c r="H321">
        <f>Deductions!B321+Deductions!C321+Deductions!D321+Tax!D321</f>
        <v>25127.015000000003</v>
      </c>
      <c r="I321">
        <f t="shared" si="12"/>
        <v>1537115.1107000001</v>
      </c>
      <c r="J321">
        <f>Overtime!D321</f>
        <v>91896.595700000005</v>
      </c>
      <c r="K321">
        <f t="shared" si="13"/>
        <v>0.12</v>
      </c>
      <c r="L321">
        <f>IF(Performance!E321&lt;=1.5,0.01,IF(Performance!E321&lt;=2,0.02,IF(Performance!E321&lt;=3,0.03,"")))</f>
        <v>0.02</v>
      </c>
      <c r="M321">
        <f t="shared" si="14"/>
        <v>0.13999999999999999</v>
      </c>
      <c r="N321">
        <f>Earnings!B321*(1+M321)</f>
        <v>1760707.8839999998</v>
      </c>
    </row>
    <row r="322" spans="1:14" x14ac:dyDescent="0.35">
      <c r="A322" t="s">
        <v>352</v>
      </c>
      <c r="B322" t="s">
        <v>26</v>
      </c>
      <c r="C322" t="s">
        <v>43</v>
      </c>
      <c r="D322" t="s">
        <v>21</v>
      </c>
      <c r="E322">
        <v>5.0999999999999996</v>
      </c>
      <c r="F322" t="s">
        <v>44</v>
      </c>
      <c r="G322">
        <f>Earnings!G322</f>
        <v>1054339.21</v>
      </c>
      <c r="H322">
        <f>Deductions!B322+Deductions!C322+Deductions!D322+Tax!D322</f>
        <v>14202.479249999999</v>
      </c>
      <c r="I322">
        <f t="shared" ref="I322:I385" si="15">G322-H322+J322</f>
        <v>1218997.8475124999</v>
      </c>
      <c r="J322">
        <f>Overtime!D322</f>
        <v>178861.11676249997</v>
      </c>
      <c r="K322">
        <f t="shared" ref="K322:K385" si="16">IF(C322="Junior",0.06,IF(C322="Mid",0.08,IF(C322="Senior",0.1,IF(C322="Manager",0.12,0))))</f>
        <v>0.12</v>
      </c>
      <c r="L322">
        <f>IF(Performance!E322&lt;=1.5,0.01,IF(Performance!E322&lt;=2,0.02,IF(Performance!E322&lt;=3,0.03,"")))</f>
        <v>0.01</v>
      </c>
      <c r="M322">
        <f t="shared" ref="M322:M385" si="17">K322+L322</f>
        <v>0.13</v>
      </c>
      <c r="N322">
        <f>Earnings!B322*(1+M322)</f>
        <v>1251474.0620999997</v>
      </c>
    </row>
    <row r="323" spans="1:14" x14ac:dyDescent="0.35">
      <c r="A323" t="s">
        <v>353</v>
      </c>
      <c r="B323" t="s">
        <v>35</v>
      </c>
      <c r="C323" t="s">
        <v>15</v>
      </c>
      <c r="D323" t="s">
        <v>21</v>
      </c>
      <c r="E323">
        <v>3</v>
      </c>
      <c r="F323" t="s">
        <v>37</v>
      </c>
      <c r="G323">
        <f>Earnings!G323</f>
        <v>725200.38</v>
      </c>
      <c r="H323">
        <f>Deductions!B323+Deductions!C323+Deductions!D323+Tax!D323</f>
        <v>7404.4183333333331</v>
      </c>
      <c r="I323">
        <f t="shared" si="15"/>
        <v>717795.96166666667</v>
      </c>
      <c r="J323">
        <f>Overtime!D323</f>
        <v>0</v>
      </c>
      <c r="K323">
        <f t="shared" si="16"/>
        <v>0.06</v>
      </c>
      <c r="L323">
        <f>IF(Performance!E323&lt;=1.5,0.01,IF(Performance!E323&lt;=2,0.02,IF(Performance!E323&lt;=3,0.03,"")))</f>
        <v>0.01</v>
      </c>
      <c r="M323">
        <f t="shared" si="17"/>
        <v>6.9999999999999993E-2</v>
      </c>
      <c r="N323">
        <f>Earnings!B323*(1+M323)</f>
        <v>815088.65700000001</v>
      </c>
    </row>
    <row r="324" spans="1:14" x14ac:dyDescent="0.35">
      <c r="A324" t="s">
        <v>354</v>
      </c>
      <c r="B324" t="s">
        <v>29</v>
      </c>
      <c r="C324" t="s">
        <v>15</v>
      </c>
      <c r="D324" t="s">
        <v>16</v>
      </c>
      <c r="E324">
        <v>11</v>
      </c>
      <c r="F324" t="s">
        <v>24</v>
      </c>
      <c r="G324">
        <f>Earnings!G324</f>
        <v>1143964.1399999999</v>
      </c>
      <c r="H324">
        <f>Deductions!B324+Deductions!C324+Deductions!D324+Tax!D324</f>
        <v>16416.074999999997</v>
      </c>
      <c r="I324">
        <f t="shared" si="15"/>
        <v>1127548.0649999999</v>
      </c>
      <c r="J324">
        <f>Overtime!D324</f>
        <v>0</v>
      </c>
      <c r="K324">
        <f t="shared" si="16"/>
        <v>0.06</v>
      </c>
      <c r="L324">
        <f>IF(Performance!E324&lt;=1.5,0.01,IF(Performance!E324&lt;=2,0.02,IF(Performance!E324&lt;=3,0.03,"")))</f>
        <v>0.02</v>
      </c>
      <c r="M324">
        <f t="shared" si="17"/>
        <v>0.08</v>
      </c>
      <c r="N324">
        <f>Earnings!B324*(1+M324)</f>
        <v>1297774.4400000002</v>
      </c>
    </row>
    <row r="325" spans="1:14" x14ac:dyDescent="0.35">
      <c r="A325" t="s">
        <v>355</v>
      </c>
      <c r="B325" t="s">
        <v>35</v>
      </c>
      <c r="C325" t="s">
        <v>33</v>
      </c>
      <c r="D325" t="s">
        <v>16</v>
      </c>
      <c r="E325">
        <v>12</v>
      </c>
      <c r="F325" t="s">
        <v>31</v>
      </c>
      <c r="G325">
        <f>Earnings!G325</f>
        <v>1238347.8899999999</v>
      </c>
      <c r="H325">
        <f>Deductions!B325+Deductions!C325+Deductions!D325+Tax!D325</f>
        <v>18934.640000000003</v>
      </c>
      <c r="I325">
        <f t="shared" si="15"/>
        <v>1219413.25</v>
      </c>
      <c r="J325">
        <f>Overtime!D325</f>
        <v>0</v>
      </c>
      <c r="K325">
        <f t="shared" si="16"/>
        <v>0.08</v>
      </c>
      <c r="L325">
        <f>IF(Performance!E325&lt;=1.5,0.01,IF(Performance!E325&lt;=2,0.02,IF(Performance!E325&lt;=3,0.03,"")))</f>
        <v>0.01</v>
      </c>
      <c r="M325">
        <f t="shared" si="17"/>
        <v>0.09</v>
      </c>
      <c r="N325">
        <f>Earnings!B325*(1+M325)</f>
        <v>1417856.3040000002</v>
      </c>
    </row>
    <row r="326" spans="1:14" x14ac:dyDescent="0.35">
      <c r="A326" t="s">
        <v>356</v>
      </c>
      <c r="B326" t="s">
        <v>26</v>
      </c>
      <c r="C326" t="s">
        <v>15</v>
      </c>
      <c r="D326" t="s">
        <v>21</v>
      </c>
      <c r="E326">
        <v>6</v>
      </c>
      <c r="F326" t="s">
        <v>17</v>
      </c>
      <c r="G326">
        <f>Earnings!G326</f>
        <v>675532.54</v>
      </c>
      <c r="H326">
        <f>Deductions!B326+Deductions!C326+Deductions!D326+Tax!D326</f>
        <v>6534.8833333333341</v>
      </c>
      <c r="I326">
        <f t="shared" si="15"/>
        <v>668997.65666666673</v>
      </c>
      <c r="J326">
        <f>Overtime!D326</f>
        <v>0</v>
      </c>
      <c r="K326">
        <f t="shared" si="16"/>
        <v>0.06</v>
      </c>
      <c r="L326">
        <f>IF(Performance!E326&lt;=1.5,0.01,IF(Performance!E326&lt;=2,0.02,IF(Performance!E326&lt;=3,0.03,"")))</f>
        <v>0.01</v>
      </c>
      <c r="M326">
        <f t="shared" si="17"/>
        <v>6.9999999999999993E-2</v>
      </c>
      <c r="N326">
        <f>Earnings!B326*(1+M326)</f>
        <v>759264.51</v>
      </c>
    </row>
    <row r="327" spans="1:14" x14ac:dyDescent="0.35">
      <c r="A327" t="s">
        <v>357</v>
      </c>
      <c r="B327" t="s">
        <v>35</v>
      </c>
      <c r="C327" t="s">
        <v>33</v>
      </c>
      <c r="D327" t="s">
        <v>21</v>
      </c>
      <c r="E327">
        <v>16.8</v>
      </c>
      <c r="F327" t="s">
        <v>31</v>
      </c>
      <c r="G327">
        <f>Earnings!G327</f>
        <v>1115673.27</v>
      </c>
      <c r="H327">
        <f>Deductions!B327+Deductions!C327+Deductions!D327+Tax!D327</f>
        <v>15713.1425</v>
      </c>
      <c r="I327">
        <f t="shared" si="15"/>
        <v>1099960.1274999999</v>
      </c>
      <c r="J327">
        <f>Overtime!D327</f>
        <v>0</v>
      </c>
      <c r="K327">
        <f t="shared" si="16"/>
        <v>0.08</v>
      </c>
      <c r="L327">
        <f>IF(Performance!E327&lt;=1.5,0.01,IF(Performance!E327&lt;=2,0.02,IF(Performance!E327&lt;=3,0.03,"")))</f>
        <v>0.01</v>
      </c>
      <c r="M327">
        <f t="shared" si="17"/>
        <v>0.09</v>
      </c>
      <c r="N327">
        <f>Earnings!B327*(1+M327)</f>
        <v>1277399.013</v>
      </c>
    </row>
    <row r="328" spans="1:14" x14ac:dyDescent="0.35">
      <c r="A328" t="s">
        <v>358</v>
      </c>
      <c r="B328" t="s">
        <v>19</v>
      </c>
      <c r="C328" t="s">
        <v>43</v>
      </c>
      <c r="D328" t="s">
        <v>21</v>
      </c>
      <c r="E328">
        <v>18.7</v>
      </c>
      <c r="F328" t="s">
        <v>22</v>
      </c>
      <c r="G328">
        <f>Earnings!G328</f>
        <v>1468888.4</v>
      </c>
      <c r="H328">
        <f>Deductions!B328+Deductions!C328+Deductions!D328+Tax!D328</f>
        <v>25088.75</v>
      </c>
      <c r="I328">
        <f t="shared" si="15"/>
        <v>1706101.15</v>
      </c>
      <c r="J328">
        <f>Overtime!D328</f>
        <v>262301.5</v>
      </c>
      <c r="K328">
        <f t="shared" si="16"/>
        <v>0.12</v>
      </c>
      <c r="L328">
        <f>IF(Performance!E328&lt;=1.5,0.01,IF(Performance!E328&lt;=2,0.02,IF(Performance!E328&lt;=3,0.03,"")))</f>
        <v>0.03</v>
      </c>
      <c r="M328">
        <f t="shared" si="17"/>
        <v>0.15</v>
      </c>
      <c r="N328">
        <f>Earnings!B328*(1+M328)</f>
        <v>1774392.4999999998</v>
      </c>
    </row>
    <row r="329" spans="1:14" x14ac:dyDescent="0.35">
      <c r="A329" t="s">
        <v>359</v>
      </c>
      <c r="B329" t="s">
        <v>14</v>
      </c>
      <c r="C329" t="s">
        <v>20</v>
      </c>
      <c r="D329" t="s">
        <v>21</v>
      </c>
      <c r="E329">
        <v>18.2</v>
      </c>
      <c r="F329" t="s">
        <v>44</v>
      </c>
      <c r="G329">
        <f>Earnings!G329</f>
        <v>998758.40000000002</v>
      </c>
      <c r="H329">
        <f>Deductions!B329+Deductions!C329+Deductions!D329+Tax!D329</f>
        <v>12682.89925</v>
      </c>
      <c r="I329">
        <f t="shared" si="15"/>
        <v>986075.50075000001</v>
      </c>
      <c r="J329">
        <f>Overtime!D329</f>
        <v>0</v>
      </c>
      <c r="K329">
        <f t="shared" si="16"/>
        <v>0.1</v>
      </c>
      <c r="L329">
        <f>IF(Performance!E329&lt;=1.5,0.01,IF(Performance!E329&lt;=2,0.02,IF(Performance!E329&lt;=3,0.03,"")))</f>
        <v>0.01</v>
      </c>
      <c r="M329">
        <f t="shared" si="17"/>
        <v>0.11</v>
      </c>
      <c r="N329">
        <f>Earnings!B329*(1+M329)</f>
        <v>1164518.7267</v>
      </c>
    </row>
    <row r="330" spans="1:14" x14ac:dyDescent="0.35">
      <c r="A330" t="s">
        <v>360</v>
      </c>
      <c r="B330" t="s">
        <v>35</v>
      </c>
      <c r="C330" t="s">
        <v>15</v>
      </c>
      <c r="D330" t="s">
        <v>21</v>
      </c>
      <c r="E330">
        <v>6</v>
      </c>
      <c r="F330" t="s">
        <v>44</v>
      </c>
      <c r="G330">
        <f>Earnings!G330</f>
        <v>1029403.45</v>
      </c>
      <c r="H330">
        <f>Deductions!B330+Deductions!C330+Deductions!D330+Tax!D330</f>
        <v>13407.653749999998</v>
      </c>
      <c r="I330">
        <f t="shared" si="15"/>
        <v>1059248.0422499999</v>
      </c>
      <c r="J330">
        <f>Overtime!D330</f>
        <v>43252.245999999999</v>
      </c>
      <c r="K330">
        <f t="shared" si="16"/>
        <v>0.06</v>
      </c>
      <c r="L330">
        <f>IF(Performance!E330&lt;=1.5,0.01,IF(Performance!E330&lt;=2,0.02,IF(Performance!E330&lt;=3,0.03,"")))</f>
        <v>0.01</v>
      </c>
      <c r="M330">
        <f t="shared" si="17"/>
        <v>6.9999999999999993E-2</v>
      </c>
      <c r="N330">
        <f>Earnings!B330*(1+M330)</f>
        <v>1156997.5804999999</v>
      </c>
    </row>
    <row r="331" spans="1:14" x14ac:dyDescent="0.35">
      <c r="A331" t="s">
        <v>361</v>
      </c>
      <c r="B331" t="s">
        <v>35</v>
      </c>
      <c r="C331" t="s">
        <v>33</v>
      </c>
      <c r="D331" t="s">
        <v>16</v>
      </c>
      <c r="E331">
        <v>10.8</v>
      </c>
      <c r="F331" t="s">
        <v>27</v>
      </c>
      <c r="G331">
        <f>Earnings!G331</f>
        <v>1427239.16</v>
      </c>
      <c r="H331">
        <f>Deductions!B331+Deductions!C331+Deductions!D331+Tax!D331</f>
        <v>23895.02</v>
      </c>
      <c r="I331">
        <f t="shared" si="15"/>
        <v>1403344.14</v>
      </c>
      <c r="J331">
        <f>Overtime!D331</f>
        <v>0</v>
      </c>
      <c r="K331">
        <f t="shared" si="16"/>
        <v>0.08</v>
      </c>
      <c r="L331">
        <f>IF(Performance!E331&lt;=1.5,0.01,IF(Performance!E331&lt;=2,0.02,IF(Performance!E331&lt;=3,0.03,"")))</f>
        <v>0.01</v>
      </c>
      <c r="M331">
        <f t="shared" si="17"/>
        <v>0.09</v>
      </c>
      <c r="N331">
        <f>Earnings!B331*(1+M331)</f>
        <v>1634128.8720000002</v>
      </c>
    </row>
    <row r="332" spans="1:14" x14ac:dyDescent="0.35">
      <c r="A332" t="s">
        <v>362</v>
      </c>
      <c r="B332" t="s">
        <v>19</v>
      </c>
      <c r="C332" t="s">
        <v>20</v>
      </c>
      <c r="D332" t="s">
        <v>21</v>
      </c>
      <c r="E332">
        <v>1.4</v>
      </c>
      <c r="F332" t="s">
        <v>17</v>
      </c>
      <c r="G332">
        <f>Earnings!G332</f>
        <v>620702.02</v>
      </c>
      <c r="H332">
        <f>Deductions!B332+Deductions!C332+Deductions!D332+Tax!D332</f>
        <v>5654.9653333333335</v>
      </c>
      <c r="I332">
        <f t="shared" si="15"/>
        <v>742838.64796666673</v>
      </c>
      <c r="J332">
        <f>Overtime!D332</f>
        <v>127791.59330000002</v>
      </c>
      <c r="K332">
        <f t="shared" si="16"/>
        <v>0.1</v>
      </c>
      <c r="L332">
        <f>IF(Performance!E332&lt;=1.5,0.01,IF(Performance!E332&lt;=2,0.02,IF(Performance!E332&lt;=3,0.03,"")))</f>
        <v>0.03</v>
      </c>
      <c r="M332">
        <f t="shared" si="17"/>
        <v>0.13</v>
      </c>
      <c r="N332">
        <f>Earnings!B332*(1+M332)</f>
        <v>736757.6496</v>
      </c>
    </row>
    <row r="333" spans="1:14" x14ac:dyDescent="0.35">
      <c r="A333" t="s">
        <v>363</v>
      </c>
      <c r="B333" t="s">
        <v>19</v>
      </c>
      <c r="C333" t="s">
        <v>20</v>
      </c>
      <c r="D333" t="s">
        <v>21</v>
      </c>
      <c r="E333">
        <v>2.8</v>
      </c>
      <c r="F333" t="s">
        <v>44</v>
      </c>
      <c r="G333">
        <f>Earnings!G333</f>
        <v>790690.33</v>
      </c>
      <c r="H333">
        <f>Deductions!B333+Deductions!C333+Deductions!D333+Tax!D333</f>
        <v>8630.9511666666658</v>
      </c>
      <c r="I333">
        <f t="shared" si="15"/>
        <v>782059.37883333326</v>
      </c>
      <c r="J333">
        <f>Overtime!D333</f>
        <v>0</v>
      </c>
      <c r="K333">
        <f t="shared" si="16"/>
        <v>0.1</v>
      </c>
      <c r="L333">
        <f>IF(Performance!E333&lt;=1.5,0.01,IF(Performance!E333&lt;=2,0.02,IF(Performance!E333&lt;=3,0.03,"")))</f>
        <v>0.03</v>
      </c>
      <c r="M333">
        <f t="shared" si="17"/>
        <v>0.13</v>
      </c>
      <c r="N333">
        <f>Earnings!B333*(1+M333)</f>
        <v>938529.48909999989</v>
      </c>
    </row>
    <row r="334" spans="1:14" x14ac:dyDescent="0.35">
      <c r="A334" t="s">
        <v>364</v>
      </c>
      <c r="B334" t="s">
        <v>14</v>
      </c>
      <c r="C334" t="s">
        <v>20</v>
      </c>
      <c r="D334" t="s">
        <v>16</v>
      </c>
      <c r="E334">
        <v>12.6</v>
      </c>
      <c r="F334" t="s">
        <v>27</v>
      </c>
      <c r="G334">
        <f>Earnings!G334</f>
        <v>923354.51</v>
      </c>
      <c r="H334">
        <f>Deductions!B334+Deductions!C334+Deductions!D334+Tax!D334</f>
        <v>10953.503333333332</v>
      </c>
      <c r="I334">
        <f t="shared" si="15"/>
        <v>912401.00666666671</v>
      </c>
      <c r="J334">
        <f>Overtime!D334</f>
        <v>0</v>
      </c>
      <c r="K334">
        <f t="shared" si="16"/>
        <v>0.1</v>
      </c>
      <c r="L334">
        <f>IF(Performance!E334&lt;=1.5,0.01,IF(Performance!E334&lt;=2,0.02,IF(Performance!E334&lt;=3,0.03,"")))</f>
        <v>0.01</v>
      </c>
      <c r="M334">
        <f t="shared" si="17"/>
        <v>0.11</v>
      </c>
      <c r="N334">
        <f>Earnings!B334*(1+M334)</f>
        <v>1076600.3219999999</v>
      </c>
    </row>
    <row r="335" spans="1:14" x14ac:dyDescent="0.35">
      <c r="A335" t="s">
        <v>365</v>
      </c>
      <c r="B335" t="s">
        <v>26</v>
      </c>
      <c r="C335" t="s">
        <v>43</v>
      </c>
      <c r="D335" t="s">
        <v>16</v>
      </c>
      <c r="E335">
        <v>20.399999999999999</v>
      </c>
      <c r="F335" t="s">
        <v>17</v>
      </c>
      <c r="G335">
        <f>Earnings!G335</f>
        <v>1451517.07</v>
      </c>
      <c r="H335">
        <f>Deductions!B335+Deductions!C335+Deductions!D335+Tax!D335</f>
        <v>24632.569999999996</v>
      </c>
      <c r="I335">
        <f t="shared" si="15"/>
        <v>1426884.5</v>
      </c>
      <c r="J335">
        <f>Overtime!D335</f>
        <v>0</v>
      </c>
      <c r="K335">
        <f t="shared" si="16"/>
        <v>0.12</v>
      </c>
      <c r="L335">
        <f>IF(Performance!E335&lt;=1.5,0.01,IF(Performance!E335&lt;=2,0.02,IF(Performance!E335&lt;=3,0.03,"")))</f>
        <v>0.01</v>
      </c>
      <c r="M335">
        <f t="shared" si="17"/>
        <v>0.13</v>
      </c>
      <c r="N335">
        <f>Earnings!B335*(1+M335)</f>
        <v>1722914.1639999999</v>
      </c>
    </row>
    <row r="336" spans="1:14" x14ac:dyDescent="0.35">
      <c r="A336" t="s">
        <v>366</v>
      </c>
      <c r="B336" t="s">
        <v>29</v>
      </c>
      <c r="C336" t="s">
        <v>20</v>
      </c>
      <c r="D336" t="s">
        <v>16</v>
      </c>
      <c r="E336">
        <v>19.600000000000001</v>
      </c>
      <c r="F336" t="s">
        <v>31</v>
      </c>
      <c r="G336">
        <f>Earnings!G336</f>
        <v>1462148.24</v>
      </c>
      <c r="H336">
        <f>Deductions!B336+Deductions!C336+Deductions!D336+Tax!D336</f>
        <v>24851.75</v>
      </c>
      <c r="I336">
        <f t="shared" si="15"/>
        <v>1598562.84</v>
      </c>
      <c r="J336">
        <f>Overtime!D336</f>
        <v>161266.35</v>
      </c>
      <c r="K336">
        <f t="shared" si="16"/>
        <v>0.1</v>
      </c>
      <c r="L336">
        <f>IF(Performance!E336&lt;=1.5,0.01,IF(Performance!E336&lt;=2,0.02,IF(Performance!E336&lt;=3,0.03,"")))</f>
        <v>0.02</v>
      </c>
      <c r="M336">
        <f t="shared" si="17"/>
        <v>0.12000000000000001</v>
      </c>
      <c r="N336">
        <f>Earnings!B336*(1+M336)</f>
        <v>1720174.4000000001</v>
      </c>
    </row>
    <row r="337" spans="1:14" x14ac:dyDescent="0.35">
      <c r="A337" t="s">
        <v>367</v>
      </c>
      <c r="B337" t="s">
        <v>19</v>
      </c>
      <c r="C337" t="s">
        <v>33</v>
      </c>
      <c r="D337" t="s">
        <v>16</v>
      </c>
      <c r="E337">
        <v>1.2</v>
      </c>
      <c r="F337" t="s">
        <v>44</v>
      </c>
      <c r="G337">
        <f>Earnings!G337</f>
        <v>628967.74</v>
      </c>
      <c r="H337">
        <f>Deductions!B337+Deductions!C337+Deductions!D337+Tax!D337</f>
        <v>5759.6733333333341</v>
      </c>
      <c r="I337">
        <f t="shared" si="15"/>
        <v>623208.06666666665</v>
      </c>
      <c r="J337">
        <f>Overtime!D337</f>
        <v>0</v>
      </c>
      <c r="K337">
        <f t="shared" si="16"/>
        <v>0.08</v>
      </c>
      <c r="L337">
        <f>IF(Performance!E337&lt;=1.5,0.01,IF(Performance!E337&lt;=2,0.02,IF(Performance!E337&lt;=3,0.03,"")))</f>
        <v>0.03</v>
      </c>
      <c r="M337">
        <f t="shared" si="17"/>
        <v>0.11</v>
      </c>
      <c r="N337">
        <f>Earnings!B337*(1+M337)</f>
        <v>733355.24400000006</v>
      </c>
    </row>
    <row r="338" spans="1:14" x14ac:dyDescent="0.35">
      <c r="A338" t="s">
        <v>368</v>
      </c>
      <c r="B338" t="s">
        <v>26</v>
      </c>
      <c r="C338" t="s">
        <v>33</v>
      </c>
      <c r="D338" t="s">
        <v>21</v>
      </c>
      <c r="E338">
        <v>2.4</v>
      </c>
      <c r="F338" t="s">
        <v>70</v>
      </c>
      <c r="G338">
        <f>Earnings!G338</f>
        <v>527001.12</v>
      </c>
      <c r="H338">
        <f>Deductions!B338+Deductions!C338+Deductions!D338+Tax!D338</f>
        <v>3974.5433333333331</v>
      </c>
      <c r="I338">
        <f t="shared" si="15"/>
        <v>622669.64466666663</v>
      </c>
      <c r="J338">
        <f>Overtime!D338</f>
        <v>99643.068000000014</v>
      </c>
      <c r="K338">
        <f t="shared" si="16"/>
        <v>0.08</v>
      </c>
      <c r="L338">
        <f>IF(Performance!E338&lt;=1.5,0.01,IF(Performance!E338&lt;=2,0.02,IF(Performance!E338&lt;=3,0.03,"")))</f>
        <v>0.01</v>
      </c>
      <c r="M338">
        <f t="shared" si="17"/>
        <v>0.09</v>
      </c>
      <c r="N338">
        <f>Earnings!B338*(1+M338)</f>
        <v>603394.13399999996</v>
      </c>
    </row>
    <row r="339" spans="1:14" x14ac:dyDescent="0.35">
      <c r="A339" t="s">
        <v>369</v>
      </c>
      <c r="B339" t="s">
        <v>14</v>
      </c>
      <c r="C339" t="s">
        <v>43</v>
      </c>
      <c r="D339" t="s">
        <v>16</v>
      </c>
      <c r="E339">
        <v>23.8</v>
      </c>
      <c r="F339" t="s">
        <v>27</v>
      </c>
      <c r="G339">
        <f>Earnings!G339</f>
        <v>1300803.57</v>
      </c>
      <c r="H339">
        <f>Deductions!B339+Deductions!C339+Deductions!D339+Tax!D339</f>
        <v>20674.757500000003</v>
      </c>
      <c r="I339">
        <f t="shared" si="15"/>
        <v>1280128.8125</v>
      </c>
      <c r="J339">
        <f>Overtime!D339</f>
        <v>0</v>
      </c>
      <c r="K339">
        <f t="shared" si="16"/>
        <v>0.12</v>
      </c>
      <c r="L339">
        <f>IF(Performance!E339&lt;=1.5,0.01,IF(Performance!E339&lt;=2,0.02,IF(Performance!E339&lt;=3,0.03,"")))</f>
        <v>0.01</v>
      </c>
      <c r="M339">
        <f t="shared" si="17"/>
        <v>0.13</v>
      </c>
      <c r="N339">
        <f>Earnings!B339*(1+M339)</f>
        <v>1544021.0389999999</v>
      </c>
    </row>
    <row r="340" spans="1:14" x14ac:dyDescent="0.35">
      <c r="A340" t="s">
        <v>370</v>
      </c>
      <c r="B340" t="s">
        <v>29</v>
      </c>
      <c r="C340" t="s">
        <v>20</v>
      </c>
      <c r="D340" t="s">
        <v>21</v>
      </c>
      <c r="E340">
        <v>18.2</v>
      </c>
      <c r="F340" t="s">
        <v>17</v>
      </c>
      <c r="G340">
        <f>Earnings!G340</f>
        <v>1735238.09</v>
      </c>
      <c r="H340">
        <f>Deductions!B340+Deductions!C340+Deductions!D340+Tax!D340</f>
        <v>32023.22725</v>
      </c>
      <c r="I340">
        <f t="shared" si="15"/>
        <v>1907360.52195</v>
      </c>
      <c r="J340">
        <f>Overtime!D340</f>
        <v>204145.65919999999</v>
      </c>
      <c r="K340">
        <f t="shared" si="16"/>
        <v>0.1</v>
      </c>
      <c r="L340">
        <f>IF(Performance!E340&lt;=1.5,0.01,IF(Performance!E340&lt;=2,0.02,IF(Performance!E340&lt;=3,0.03,"")))</f>
        <v>0.02</v>
      </c>
      <c r="M340">
        <f t="shared" si="17"/>
        <v>0.12000000000000001</v>
      </c>
      <c r="N340">
        <f>Earnings!B340*(1+M340)</f>
        <v>2041456.5808000003</v>
      </c>
    </row>
    <row r="341" spans="1:14" x14ac:dyDescent="0.35">
      <c r="A341" t="s">
        <v>371</v>
      </c>
      <c r="B341" t="s">
        <v>14</v>
      </c>
      <c r="C341" t="s">
        <v>15</v>
      </c>
      <c r="D341" t="s">
        <v>21</v>
      </c>
      <c r="E341">
        <v>8</v>
      </c>
      <c r="F341" t="s">
        <v>17</v>
      </c>
      <c r="G341">
        <f>Earnings!G341</f>
        <v>727831.27</v>
      </c>
      <c r="H341">
        <f>Deductions!B341+Deductions!C341+Deductions!D341+Tax!D341</f>
        <v>7450.4775000000009</v>
      </c>
      <c r="I341">
        <f t="shared" si="15"/>
        <v>819769.51699999999</v>
      </c>
      <c r="J341">
        <f>Overtime!D341</f>
        <v>99388.724499999997</v>
      </c>
      <c r="K341">
        <f t="shared" si="16"/>
        <v>0.06</v>
      </c>
      <c r="L341">
        <f>IF(Performance!E341&lt;=1.5,0.01,IF(Performance!E341&lt;=2,0.02,IF(Performance!E341&lt;=3,0.03,"")))</f>
        <v>0.01</v>
      </c>
      <c r="M341">
        <f t="shared" si="17"/>
        <v>6.9999999999999993E-2</v>
      </c>
      <c r="N341">
        <f>Earnings!B341*(1+M341)</f>
        <v>818045.65550000011</v>
      </c>
    </row>
    <row r="342" spans="1:14" x14ac:dyDescent="0.35">
      <c r="A342" t="s">
        <v>372</v>
      </c>
      <c r="B342" t="s">
        <v>19</v>
      </c>
      <c r="C342" t="s">
        <v>20</v>
      </c>
      <c r="D342" t="s">
        <v>16</v>
      </c>
      <c r="E342">
        <v>7</v>
      </c>
      <c r="F342" t="s">
        <v>17</v>
      </c>
      <c r="G342">
        <f>Earnings!G342</f>
        <v>758141.96</v>
      </c>
      <c r="H342">
        <f>Deductions!B342+Deductions!C342+Deductions!D342+Tax!D342</f>
        <v>8061.1266666666661</v>
      </c>
      <c r="I342">
        <f t="shared" si="15"/>
        <v>750080.83333333326</v>
      </c>
      <c r="J342">
        <f>Overtime!D342</f>
        <v>0</v>
      </c>
      <c r="K342">
        <f t="shared" si="16"/>
        <v>0.1</v>
      </c>
      <c r="L342">
        <f>IF(Performance!E342&lt;=1.5,0.01,IF(Performance!E342&lt;=2,0.02,IF(Performance!E342&lt;=3,0.03,"")))</f>
        <v>0.03</v>
      </c>
      <c r="M342">
        <f t="shared" si="17"/>
        <v>0.13</v>
      </c>
      <c r="N342">
        <f>Earnings!B342*(1+M342)</f>
        <v>899895.38799999992</v>
      </c>
    </row>
    <row r="343" spans="1:14" x14ac:dyDescent="0.35">
      <c r="A343" t="s">
        <v>373</v>
      </c>
      <c r="B343" t="s">
        <v>14</v>
      </c>
      <c r="C343" t="s">
        <v>15</v>
      </c>
      <c r="D343" t="s">
        <v>21</v>
      </c>
      <c r="E343">
        <v>10</v>
      </c>
      <c r="F343" t="s">
        <v>22</v>
      </c>
      <c r="G343">
        <f>Earnings!G343</f>
        <v>681585.69</v>
      </c>
      <c r="H343">
        <f>Deductions!B343+Deductions!C343+Deductions!D343+Tax!D343</f>
        <v>6640.8558333333331</v>
      </c>
      <c r="I343">
        <f t="shared" si="15"/>
        <v>674944.83416666661</v>
      </c>
      <c r="J343">
        <f>Overtime!D343</f>
        <v>0</v>
      </c>
      <c r="K343">
        <f t="shared" si="16"/>
        <v>0.06</v>
      </c>
      <c r="L343">
        <f>IF(Performance!E343&lt;=1.5,0.01,IF(Performance!E343&lt;=2,0.02,IF(Performance!E343&lt;=3,0.03,"")))</f>
        <v>0.01</v>
      </c>
      <c r="M343">
        <f t="shared" si="17"/>
        <v>6.9999999999999993E-2</v>
      </c>
      <c r="N343">
        <f>Earnings!B343*(1+M343)</f>
        <v>766067.94449999998</v>
      </c>
    </row>
    <row r="344" spans="1:14" x14ac:dyDescent="0.35">
      <c r="A344" t="s">
        <v>374</v>
      </c>
      <c r="B344" t="s">
        <v>14</v>
      </c>
      <c r="C344" t="s">
        <v>43</v>
      </c>
      <c r="D344" t="s">
        <v>16</v>
      </c>
      <c r="E344">
        <v>15.3</v>
      </c>
      <c r="F344" t="s">
        <v>70</v>
      </c>
      <c r="G344">
        <f>Earnings!G344</f>
        <v>1080560.3600000001</v>
      </c>
      <c r="H344">
        <f>Deductions!B344+Deductions!C344+Deductions!D344+Tax!D344</f>
        <v>14891.059999999998</v>
      </c>
      <c r="I344">
        <f t="shared" si="15"/>
        <v>1065669.3</v>
      </c>
      <c r="J344">
        <f>Overtime!D344</f>
        <v>0</v>
      </c>
      <c r="K344">
        <f t="shared" si="16"/>
        <v>0.12</v>
      </c>
      <c r="L344">
        <f>IF(Performance!E344&lt;=1.5,0.01,IF(Performance!E344&lt;=2,0.02,IF(Performance!E344&lt;=3,0.03,"")))</f>
        <v>0.01</v>
      </c>
      <c r="M344">
        <f t="shared" si="17"/>
        <v>0.13</v>
      </c>
      <c r="N344">
        <f>Earnings!B344*(1+M344)</f>
        <v>1282597.9119999998</v>
      </c>
    </row>
    <row r="345" spans="1:14" x14ac:dyDescent="0.35">
      <c r="A345" t="s">
        <v>375</v>
      </c>
      <c r="B345" t="s">
        <v>35</v>
      </c>
      <c r="C345" t="s">
        <v>43</v>
      </c>
      <c r="D345" t="s">
        <v>21</v>
      </c>
      <c r="E345">
        <v>17</v>
      </c>
      <c r="F345" t="s">
        <v>31</v>
      </c>
      <c r="G345">
        <f>Earnings!G345</f>
        <v>1292381.0900000001</v>
      </c>
      <c r="H345">
        <f>Deductions!B345+Deductions!C345+Deductions!D345+Tax!D345</f>
        <v>20453.578999999998</v>
      </c>
      <c r="I345">
        <f t="shared" si="15"/>
        <v>1548866.3136000002</v>
      </c>
      <c r="J345">
        <f>Overtime!D345</f>
        <v>276938.8026</v>
      </c>
      <c r="K345">
        <f t="shared" si="16"/>
        <v>0.12</v>
      </c>
      <c r="L345">
        <f>IF(Performance!E345&lt;=1.5,0.01,IF(Performance!E345&lt;=2,0.02,IF(Performance!E345&lt;=3,0.03,"")))</f>
        <v>0.01</v>
      </c>
      <c r="M345">
        <f t="shared" si="17"/>
        <v>0.13</v>
      </c>
      <c r="N345">
        <f>Earnings!B345*(1+M345)</f>
        <v>1534023.7707999998</v>
      </c>
    </row>
    <row r="346" spans="1:14" x14ac:dyDescent="0.35">
      <c r="A346" t="s">
        <v>376</v>
      </c>
      <c r="B346" t="s">
        <v>19</v>
      </c>
      <c r="C346" t="s">
        <v>43</v>
      </c>
      <c r="D346" t="s">
        <v>21</v>
      </c>
      <c r="E346">
        <v>22.1</v>
      </c>
      <c r="F346" t="s">
        <v>27</v>
      </c>
      <c r="G346">
        <f>Earnings!G346</f>
        <v>1584760.58</v>
      </c>
      <c r="H346">
        <f>Deductions!B346+Deductions!C346+Deductions!D346+Tax!D346</f>
        <v>28131.611999999997</v>
      </c>
      <c r="I346">
        <f t="shared" si="15"/>
        <v>1556628.9680000001</v>
      </c>
      <c r="J346">
        <f>Overtime!D346</f>
        <v>0</v>
      </c>
      <c r="K346">
        <f t="shared" si="16"/>
        <v>0.12</v>
      </c>
      <c r="L346">
        <f>IF(Performance!E346&lt;=1.5,0.01,IF(Performance!E346&lt;=2,0.02,IF(Performance!E346&lt;=3,0.03,"")))</f>
        <v>0.03</v>
      </c>
      <c r="M346">
        <f t="shared" si="17"/>
        <v>0.15</v>
      </c>
      <c r="N346">
        <f>Earnings!B346*(1+M346)</f>
        <v>1914364.1519999998</v>
      </c>
    </row>
    <row r="347" spans="1:14" x14ac:dyDescent="0.35">
      <c r="A347" t="s">
        <v>377</v>
      </c>
      <c r="B347" t="s">
        <v>14</v>
      </c>
      <c r="C347" t="s">
        <v>33</v>
      </c>
      <c r="D347" t="s">
        <v>16</v>
      </c>
      <c r="E347">
        <v>13.2</v>
      </c>
      <c r="F347" t="s">
        <v>27</v>
      </c>
      <c r="G347">
        <f>Earnings!G347</f>
        <v>824131.93</v>
      </c>
      <c r="H347">
        <f>Deductions!B347+Deductions!C347+Deductions!D347+Tax!D347</f>
        <v>9176.4133333333339</v>
      </c>
      <c r="I347">
        <f t="shared" si="15"/>
        <v>960390.56306666671</v>
      </c>
      <c r="J347">
        <f>Overtime!D347</f>
        <v>145435.04639999999</v>
      </c>
      <c r="K347">
        <f t="shared" si="16"/>
        <v>0.08</v>
      </c>
      <c r="L347">
        <f>IF(Performance!E347&lt;=1.5,0.01,IF(Performance!E347&lt;=2,0.02,IF(Performance!E347&lt;=3,0.03,"")))</f>
        <v>0.01</v>
      </c>
      <c r="M347">
        <f t="shared" si="17"/>
        <v>0.09</v>
      </c>
      <c r="N347">
        <f>Earnings!B347*(1+M347)</f>
        <v>943596.43200000015</v>
      </c>
    </row>
    <row r="348" spans="1:14" x14ac:dyDescent="0.35">
      <c r="A348" t="s">
        <v>378</v>
      </c>
      <c r="B348" t="s">
        <v>26</v>
      </c>
      <c r="C348" t="s">
        <v>20</v>
      </c>
      <c r="D348" t="s">
        <v>16</v>
      </c>
      <c r="E348">
        <v>11.2</v>
      </c>
      <c r="F348" t="s">
        <v>22</v>
      </c>
      <c r="G348">
        <f>Earnings!G348</f>
        <v>813386.52</v>
      </c>
      <c r="H348">
        <f>Deductions!B348+Deductions!C348+Deductions!D348+Tax!D348</f>
        <v>9028.2933333333349</v>
      </c>
      <c r="I348">
        <f t="shared" si="15"/>
        <v>923973.89066666667</v>
      </c>
      <c r="J348">
        <f>Overtime!D348</f>
        <v>119615.66399999999</v>
      </c>
      <c r="K348">
        <f t="shared" si="16"/>
        <v>0.1</v>
      </c>
      <c r="L348">
        <f>IF(Performance!E348&lt;=1.5,0.01,IF(Performance!E348&lt;=2,0.02,IF(Performance!E348&lt;=3,0.03,"")))</f>
        <v>0.01</v>
      </c>
      <c r="M348">
        <f t="shared" si="17"/>
        <v>0.11</v>
      </c>
      <c r="N348">
        <f>Earnings!B348*(1+M348)</f>
        <v>948381.33600000001</v>
      </c>
    </row>
    <row r="349" spans="1:14" x14ac:dyDescent="0.35">
      <c r="A349" t="s">
        <v>379</v>
      </c>
      <c r="B349" t="s">
        <v>19</v>
      </c>
      <c r="C349" t="s">
        <v>43</v>
      </c>
      <c r="D349" t="s">
        <v>21</v>
      </c>
      <c r="E349">
        <v>1.7</v>
      </c>
      <c r="F349" t="s">
        <v>17</v>
      </c>
      <c r="G349">
        <f>Earnings!G349</f>
        <v>1144018.8799999999</v>
      </c>
      <c r="H349">
        <f>Deductions!B349+Deductions!C349+Deductions!D349+Tax!D349</f>
        <v>16557.512750000002</v>
      </c>
      <c r="I349">
        <f t="shared" si="15"/>
        <v>1178533.6384999999</v>
      </c>
      <c r="J349">
        <f>Overtime!D349</f>
        <v>51072.271250000005</v>
      </c>
      <c r="K349">
        <f t="shared" si="16"/>
        <v>0.12</v>
      </c>
      <c r="L349">
        <f>IF(Performance!E349&lt;=1.5,0.01,IF(Performance!E349&lt;=2,0.02,IF(Performance!E349&lt;=3,0.03,"")))</f>
        <v>0.03</v>
      </c>
      <c r="M349">
        <f t="shared" si="17"/>
        <v>0.15</v>
      </c>
      <c r="N349">
        <f>Earnings!B349*(1+M349)</f>
        <v>1381955.5865</v>
      </c>
    </row>
    <row r="350" spans="1:14" x14ac:dyDescent="0.35">
      <c r="A350" t="s">
        <v>380</v>
      </c>
      <c r="B350" t="s">
        <v>19</v>
      </c>
      <c r="C350" t="s">
        <v>20</v>
      </c>
      <c r="D350" t="s">
        <v>21</v>
      </c>
      <c r="E350">
        <v>14</v>
      </c>
      <c r="F350" t="s">
        <v>70</v>
      </c>
      <c r="G350">
        <f>Earnings!G350</f>
        <v>1013671.24</v>
      </c>
      <c r="H350">
        <f>Deductions!B350+Deductions!C350+Deductions!D350+Tax!D350</f>
        <v>13074.517749999999</v>
      </c>
      <c r="I350">
        <f t="shared" si="15"/>
        <v>1000596.72225</v>
      </c>
      <c r="J350">
        <f>Overtime!D350</f>
        <v>0</v>
      </c>
      <c r="K350">
        <f t="shared" si="16"/>
        <v>0.1</v>
      </c>
      <c r="L350">
        <f>IF(Performance!E350&lt;=1.5,0.01,IF(Performance!E350&lt;=2,0.02,IF(Performance!E350&lt;=3,0.03,"")))</f>
        <v>0.03</v>
      </c>
      <c r="M350">
        <f t="shared" si="17"/>
        <v>0.13</v>
      </c>
      <c r="N350">
        <f>Earnings!B350*(1+M350)</f>
        <v>1203202.2022999998</v>
      </c>
    </row>
    <row r="351" spans="1:14" x14ac:dyDescent="0.35">
      <c r="A351" t="s">
        <v>381</v>
      </c>
      <c r="B351" t="s">
        <v>29</v>
      </c>
      <c r="C351" t="s">
        <v>33</v>
      </c>
      <c r="D351" t="s">
        <v>21</v>
      </c>
      <c r="E351">
        <v>8.4</v>
      </c>
      <c r="F351" t="s">
        <v>24</v>
      </c>
      <c r="G351">
        <f>Earnings!G351</f>
        <v>1303620.97</v>
      </c>
      <c r="H351">
        <f>Deductions!B351+Deductions!C351+Deductions!D351+Tax!D351</f>
        <v>20648.744000000002</v>
      </c>
      <c r="I351">
        <f t="shared" si="15"/>
        <v>1282972.226</v>
      </c>
      <c r="J351">
        <f>Overtime!D351</f>
        <v>0</v>
      </c>
      <c r="K351">
        <f t="shared" si="16"/>
        <v>0.08</v>
      </c>
      <c r="L351">
        <f>IF(Performance!E351&lt;=1.5,0.01,IF(Performance!E351&lt;=2,0.02,IF(Performance!E351&lt;=3,0.03,"")))</f>
        <v>0.02</v>
      </c>
      <c r="M351">
        <f t="shared" si="17"/>
        <v>0.1</v>
      </c>
      <c r="N351">
        <f>Earnings!B351*(1+M351)</f>
        <v>1506284.736</v>
      </c>
    </row>
    <row r="352" spans="1:14" x14ac:dyDescent="0.35">
      <c r="A352" t="s">
        <v>382</v>
      </c>
      <c r="B352" t="s">
        <v>14</v>
      </c>
      <c r="C352" t="s">
        <v>20</v>
      </c>
      <c r="D352" t="s">
        <v>16</v>
      </c>
      <c r="E352">
        <v>15.4</v>
      </c>
      <c r="F352" t="s">
        <v>27</v>
      </c>
      <c r="G352">
        <f>Earnings!G352</f>
        <v>1157688.74</v>
      </c>
      <c r="H352">
        <f>Deductions!B352+Deductions!C352+Deductions!D352+Tax!D352</f>
        <v>16856.490000000005</v>
      </c>
      <c r="I352">
        <f t="shared" si="15"/>
        <v>1140832.25</v>
      </c>
      <c r="J352">
        <f>Overtime!D352</f>
        <v>0</v>
      </c>
      <c r="K352">
        <f t="shared" si="16"/>
        <v>0.1</v>
      </c>
      <c r="L352">
        <f>IF(Performance!E352&lt;=1.5,0.01,IF(Performance!E352&lt;=2,0.02,IF(Performance!E352&lt;=3,0.03,"")))</f>
        <v>0.01</v>
      </c>
      <c r="M352">
        <f t="shared" si="17"/>
        <v>0.11</v>
      </c>
      <c r="N352">
        <f>Earnings!B352*(1+M352)</f>
        <v>1349826.1560000002</v>
      </c>
    </row>
    <row r="353" spans="1:14" x14ac:dyDescent="0.35">
      <c r="A353" t="s">
        <v>383</v>
      </c>
      <c r="B353" t="s">
        <v>14</v>
      </c>
      <c r="C353" t="s">
        <v>20</v>
      </c>
      <c r="D353" t="s">
        <v>16</v>
      </c>
      <c r="E353">
        <v>18.2</v>
      </c>
      <c r="F353" t="s">
        <v>27</v>
      </c>
      <c r="G353">
        <f>Earnings!G353</f>
        <v>1269040.18</v>
      </c>
      <c r="H353">
        <f>Deductions!B353+Deductions!C353+Deductions!D353+Tax!D353</f>
        <v>19780.634999999998</v>
      </c>
      <c r="I353">
        <f t="shared" si="15"/>
        <v>1333240.1451999999</v>
      </c>
      <c r="J353">
        <f>Overtime!D353</f>
        <v>83980.600200000001</v>
      </c>
      <c r="K353">
        <f t="shared" si="16"/>
        <v>0.1</v>
      </c>
      <c r="L353">
        <f>IF(Performance!E353&lt;=1.5,0.01,IF(Performance!E353&lt;=2,0.02,IF(Performance!E353&lt;=3,0.03,"")))</f>
        <v>0.01</v>
      </c>
      <c r="M353">
        <f t="shared" si="17"/>
        <v>0.11</v>
      </c>
      <c r="N353">
        <f>Earnings!B353*(1+M353)</f>
        <v>1479658.1940000001</v>
      </c>
    </row>
    <row r="354" spans="1:14" x14ac:dyDescent="0.35">
      <c r="A354" t="s">
        <v>384</v>
      </c>
      <c r="B354" t="s">
        <v>29</v>
      </c>
      <c r="C354" t="s">
        <v>43</v>
      </c>
      <c r="D354" t="s">
        <v>21</v>
      </c>
      <c r="E354">
        <v>3.4</v>
      </c>
      <c r="F354" t="s">
        <v>31</v>
      </c>
      <c r="G354">
        <f>Earnings!G354</f>
        <v>1858939.39</v>
      </c>
      <c r="H354">
        <f>Deductions!B354+Deductions!C354+Deductions!D354+Tax!D354</f>
        <v>35331.685749999997</v>
      </c>
      <c r="I354">
        <f t="shared" si="15"/>
        <v>1823607.70425</v>
      </c>
      <c r="J354">
        <f>Overtime!D354</f>
        <v>0</v>
      </c>
      <c r="K354">
        <f t="shared" si="16"/>
        <v>0.12</v>
      </c>
      <c r="L354">
        <f>IF(Performance!E354&lt;=1.5,0.01,IF(Performance!E354&lt;=2,0.02,IF(Performance!E354&lt;=3,0.03,"")))</f>
        <v>0.02</v>
      </c>
      <c r="M354">
        <f t="shared" si="17"/>
        <v>0.13999999999999999</v>
      </c>
      <c r="N354">
        <f>Earnings!B354*(1+M354)</f>
        <v>2226040.8701999998</v>
      </c>
    </row>
    <row r="355" spans="1:14" x14ac:dyDescent="0.35">
      <c r="A355" t="s">
        <v>385</v>
      </c>
      <c r="B355" t="s">
        <v>19</v>
      </c>
      <c r="C355" t="s">
        <v>15</v>
      </c>
      <c r="D355" t="s">
        <v>16</v>
      </c>
      <c r="E355">
        <v>13</v>
      </c>
      <c r="F355" t="s">
        <v>22</v>
      </c>
      <c r="G355">
        <f>Earnings!G355</f>
        <v>946982.96</v>
      </c>
      <c r="H355">
        <f>Deductions!B355+Deductions!C355+Deductions!D355+Tax!D355</f>
        <v>11287.166666666666</v>
      </c>
      <c r="I355">
        <f t="shared" si="15"/>
        <v>935695.79333333333</v>
      </c>
      <c r="J355">
        <f>Overtime!D355</f>
        <v>0</v>
      </c>
      <c r="K355">
        <f t="shared" si="16"/>
        <v>0.06</v>
      </c>
      <c r="L355">
        <f>IF(Performance!E355&lt;=1.5,0.01,IF(Performance!E355&lt;=2,0.02,IF(Performance!E355&lt;=3,0.03,"")))</f>
        <v>0.03</v>
      </c>
      <c r="M355">
        <f t="shared" si="17"/>
        <v>0.09</v>
      </c>
      <c r="N355">
        <f>Earnings!B355*(1+M355)</f>
        <v>1084255.7000000002</v>
      </c>
    </row>
    <row r="356" spans="1:14" x14ac:dyDescent="0.35">
      <c r="A356" t="s">
        <v>386</v>
      </c>
      <c r="B356" t="s">
        <v>14</v>
      </c>
      <c r="C356" t="s">
        <v>15</v>
      </c>
      <c r="D356" t="s">
        <v>21</v>
      </c>
      <c r="E356">
        <v>2</v>
      </c>
      <c r="F356" t="s">
        <v>24</v>
      </c>
      <c r="G356">
        <f>Earnings!G356</f>
        <v>592439.88</v>
      </c>
      <c r="H356">
        <f>Deductions!B356+Deductions!C356+Deductions!D356+Tax!D356</f>
        <v>5080.18</v>
      </c>
      <c r="I356">
        <f t="shared" si="15"/>
        <v>587359.69999999995</v>
      </c>
      <c r="J356">
        <f>Overtime!D356</f>
        <v>0</v>
      </c>
      <c r="K356">
        <f t="shared" si="16"/>
        <v>0.06</v>
      </c>
      <c r="L356">
        <f>IF(Performance!E356&lt;=1.5,0.01,IF(Performance!E356&lt;=2,0.02,IF(Performance!E356&lt;=3,0.03,"")))</f>
        <v>0.01</v>
      </c>
      <c r="M356">
        <f t="shared" si="17"/>
        <v>6.9999999999999993E-2</v>
      </c>
      <c r="N356">
        <f>Earnings!B356*(1+M356)</f>
        <v>665872.5560000001</v>
      </c>
    </row>
    <row r="357" spans="1:14" x14ac:dyDescent="0.35">
      <c r="A357" t="s">
        <v>387</v>
      </c>
      <c r="B357" t="s">
        <v>35</v>
      </c>
      <c r="C357" t="s">
        <v>15</v>
      </c>
      <c r="D357" t="s">
        <v>21</v>
      </c>
      <c r="E357">
        <v>2</v>
      </c>
      <c r="F357" t="s">
        <v>31</v>
      </c>
      <c r="G357">
        <f>Earnings!G357</f>
        <v>645889.02</v>
      </c>
      <c r="H357">
        <f>Deductions!B357+Deductions!C357+Deductions!D357+Tax!D357</f>
        <v>6015.9141666666656</v>
      </c>
      <c r="I357">
        <f t="shared" si="15"/>
        <v>639873.10583333333</v>
      </c>
      <c r="J357">
        <f>Overtime!D357</f>
        <v>0</v>
      </c>
      <c r="K357">
        <f t="shared" si="16"/>
        <v>0.06</v>
      </c>
      <c r="L357">
        <f>IF(Performance!E357&lt;=1.5,0.01,IF(Performance!E357&lt;=2,0.02,IF(Performance!E357&lt;=3,0.03,"")))</f>
        <v>0.01</v>
      </c>
      <c r="M357">
        <f t="shared" si="17"/>
        <v>6.9999999999999993E-2</v>
      </c>
      <c r="N357">
        <f>Earnings!B357*(1+M357)</f>
        <v>725946.68949999998</v>
      </c>
    </row>
    <row r="358" spans="1:14" x14ac:dyDescent="0.35">
      <c r="A358" t="s">
        <v>388</v>
      </c>
      <c r="B358" t="s">
        <v>14</v>
      </c>
      <c r="C358" t="s">
        <v>20</v>
      </c>
      <c r="D358" t="s">
        <v>21</v>
      </c>
      <c r="E358">
        <v>7</v>
      </c>
      <c r="F358" t="s">
        <v>24</v>
      </c>
      <c r="G358">
        <f>Earnings!G358</f>
        <v>623673.69999999995</v>
      </c>
      <c r="H358">
        <f>Deductions!B358+Deductions!C358+Deductions!D358+Tax!D358</f>
        <v>5706.9905000000017</v>
      </c>
      <c r="I358">
        <f t="shared" si="15"/>
        <v>640895.88937500003</v>
      </c>
      <c r="J358">
        <f>Overtime!D358</f>
        <v>22929.179874999998</v>
      </c>
      <c r="K358">
        <f t="shared" si="16"/>
        <v>0.1</v>
      </c>
      <c r="L358">
        <f>IF(Performance!E358&lt;=1.5,0.01,IF(Performance!E358&lt;=2,0.02,IF(Performance!E358&lt;=3,0.03,"")))</f>
        <v>0.01</v>
      </c>
      <c r="M358">
        <f t="shared" si="17"/>
        <v>0.11</v>
      </c>
      <c r="N358">
        <f>Earnings!B358*(1+M358)</f>
        <v>727182.56730000011</v>
      </c>
    </row>
    <row r="359" spans="1:14" x14ac:dyDescent="0.35">
      <c r="A359" t="s">
        <v>389</v>
      </c>
      <c r="B359" t="s">
        <v>14</v>
      </c>
      <c r="C359" t="s">
        <v>20</v>
      </c>
      <c r="D359" t="s">
        <v>16</v>
      </c>
      <c r="E359">
        <v>15.4</v>
      </c>
      <c r="F359" t="s">
        <v>24</v>
      </c>
      <c r="G359">
        <f>Earnings!G359</f>
        <v>1123334.49</v>
      </c>
      <c r="H359">
        <f>Deductions!B359+Deductions!C359+Deductions!D359+Tax!D359</f>
        <v>15954.33</v>
      </c>
      <c r="I359">
        <f t="shared" si="15"/>
        <v>1107380.1599999999</v>
      </c>
      <c r="J359">
        <f>Overtime!D359</f>
        <v>0</v>
      </c>
      <c r="K359">
        <f t="shared" si="16"/>
        <v>0.1</v>
      </c>
      <c r="L359">
        <f>IF(Performance!E359&lt;=1.5,0.01,IF(Performance!E359&lt;=2,0.02,IF(Performance!E359&lt;=3,0.03,"")))</f>
        <v>0.01</v>
      </c>
      <c r="M359">
        <f t="shared" si="17"/>
        <v>0.11</v>
      </c>
      <c r="N359">
        <f>Earnings!B359*(1+M359)</f>
        <v>1309770.2520000001</v>
      </c>
    </row>
    <row r="360" spans="1:14" x14ac:dyDescent="0.35">
      <c r="A360" t="s">
        <v>390</v>
      </c>
      <c r="B360" t="s">
        <v>35</v>
      </c>
      <c r="C360" t="s">
        <v>20</v>
      </c>
      <c r="D360" t="s">
        <v>16</v>
      </c>
      <c r="E360">
        <v>2.8</v>
      </c>
      <c r="F360" t="s">
        <v>44</v>
      </c>
      <c r="G360">
        <f>Earnings!G360</f>
        <v>1053812.97</v>
      </c>
      <c r="H360">
        <f>Deductions!B360+Deductions!C360+Deductions!D360+Tax!D360</f>
        <v>14128.659999999998</v>
      </c>
      <c r="I360">
        <f t="shared" si="15"/>
        <v>1039684.3099999999</v>
      </c>
      <c r="J360">
        <f>Overtime!D360</f>
        <v>0</v>
      </c>
      <c r="K360">
        <f t="shared" si="16"/>
        <v>0.1</v>
      </c>
      <c r="L360">
        <f>IF(Performance!E360&lt;=1.5,0.01,IF(Performance!E360&lt;=2,0.02,IF(Performance!E360&lt;=3,0.03,"")))</f>
        <v>0.01</v>
      </c>
      <c r="M360">
        <f t="shared" si="17"/>
        <v>0.11</v>
      </c>
      <c r="N360">
        <f>Earnings!B360*(1+M360)</f>
        <v>1228710.504</v>
      </c>
    </row>
    <row r="361" spans="1:14" x14ac:dyDescent="0.35">
      <c r="A361" t="s">
        <v>391</v>
      </c>
      <c r="B361" t="s">
        <v>29</v>
      </c>
      <c r="C361" t="s">
        <v>20</v>
      </c>
      <c r="D361" t="s">
        <v>21</v>
      </c>
      <c r="E361">
        <v>9.8000000000000007</v>
      </c>
      <c r="F361" t="s">
        <v>31</v>
      </c>
      <c r="G361">
        <f>Earnings!G361</f>
        <v>1739663.32</v>
      </c>
      <c r="H361">
        <f>Deductions!B361+Deductions!C361+Deductions!D361+Tax!D361</f>
        <v>32139.435999999998</v>
      </c>
      <c r="I361">
        <f t="shared" si="15"/>
        <v>1707523.8840000001</v>
      </c>
      <c r="J361">
        <f>Overtime!D361</f>
        <v>0</v>
      </c>
      <c r="K361">
        <f t="shared" si="16"/>
        <v>0.1</v>
      </c>
      <c r="L361">
        <f>IF(Performance!E361&lt;=1.5,0.01,IF(Performance!E361&lt;=2,0.02,IF(Performance!E361&lt;=3,0.03,"")))</f>
        <v>0.02</v>
      </c>
      <c r="M361">
        <f t="shared" si="17"/>
        <v>0.12000000000000001</v>
      </c>
      <c r="N361">
        <f>Earnings!B361*(1+M361)</f>
        <v>2046662.7328000001</v>
      </c>
    </row>
    <row r="362" spans="1:14" x14ac:dyDescent="0.35">
      <c r="A362" t="s">
        <v>392</v>
      </c>
      <c r="B362" t="s">
        <v>14</v>
      </c>
      <c r="C362" t="s">
        <v>15</v>
      </c>
      <c r="D362" t="s">
        <v>21</v>
      </c>
      <c r="E362">
        <v>2</v>
      </c>
      <c r="F362" t="s">
        <v>31</v>
      </c>
      <c r="G362">
        <f>Earnings!G362</f>
        <v>569453.65</v>
      </c>
      <c r="H362">
        <f>Deductions!B362+Deductions!C362+Deductions!D362+Tax!D362</f>
        <v>4677.76</v>
      </c>
      <c r="I362">
        <f t="shared" si="15"/>
        <v>594684.17000000004</v>
      </c>
      <c r="J362">
        <f>Overtime!D362</f>
        <v>29908.28</v>
      </c>
      <c r="K362">
        <f t="shared" si="16"/>
        <v>0.06</v>
      </c>
      <c r="L362">
        <f>IF(Performance!E362&lt;=1.5,0.01,IF(Performance!E362&lt;=2,0.02,IF(Performance!E362&lt;=3,0.03,"")))</f>
        <v>0.01</v>
      </c>
      <c r="M362">
        <f t="shared" si="17"/>
        <v>6.9999999999999993E-2</v>
      </c>
      <c r="N362">
        <f>Earnings!B362*(1+M362)</f>
        <v>640037.19200000004</v>
      </c>
    </row>
    <row r="363" spans="1:14" x14ac:dyDescent="0.35">
      <c r="A363" t="s">
        <v>393</v>
      </c>
      <c r="B363" t="s">
        <v>29</v>
      </c>
      <c r="C363" t="s">
        <v>43</v>
      </c>
      <c r="D363" t="s">
        <v>16</v>
      </c>
      <c r="E363">
        <v>22.1</v>
      </c>
      <c r="F363" t="s">
        <v>24</v>
      </c>
      <c r="G363">
        <f>Earnings!G363</f>
        <v>1830219.43</v>
      </c>
      <c r="H363">
        <f>Deductions!B363+Deductions!C363+Deductions!D363+Tax!D363</f>
        <v>34577.485000000001</v>
      </c>
      <c r="I363">
        <f t="shared" si="15"/>
        <v>1795641.9449999998</v>
      </c>
      <c r="J363">
        <f>Overtime!D363</f>
        <v>0</v>
      </c>
      <c r="K363">
        <f t="shared" si="16"/>
        <v>0.12</v>
      </c>
      <c r="L363">
        <f>IF(Performance!E363&lt;=1.5,0.01,IF(Performance!E363&lt;=2,0.02,IF(Performance!E363&lt;=3,0.03,"")))</f>
        <v>0.02</v>
      </c>
      <c r="M363">
        <f t="shared" si="17"/>
        <v>0.13999999999999999</v>
      </c>
      <c r="N363">
        <f>Earnings!B363*(1+M363)</f>
        <v>2191649.3159999996</v>
      </c>
    </row>
    <row r="364" spans="1:14" x14ac:dyDescent="0.35">
      <c r="A364" t="s">
        <v>394</v>
      </c>
      <c r="B364" t="s">
        <v>29</v>
      </c>
      <c r="C364" t="s">
        <v>33</v>
      </c>
      <c r="D364" t="s">
        <v>16</v>
      </c>
      <c r="E364">
        <v>14.4</v>
      </c>
      <c r="F364" t="s">
        <v>70</v>
      </c>
      <c r="G364">
        <f>Earnings!G364</f>
        <v>1715017.72</v>
      </c>
      <c r="H364">
        <f>Deductions!B364+Deductions!C364+Deductions!D364+Tax!D364</f>
        <v>31452.23</v>
      </c>
      <c r="I364">
        <f t="shared" si="15"/>
        <v>1932170.9996</v>
      </c>
      <c r="J364">
        <f>Overtime!D364</f>
        <v>248605.50960000002</v>
      </c>
      <c r="K364">
        <f t="shared" si="16"/>
        <v>0.08</v>
      </c>
      <c r="L364">
        <f>IF(Performance!E364&lt;=1.5,0.01,IF(Performance!E364&lt;=2,0.02,IF(Performance!E364&lt;=3,0.03,"")))</f>
        <v>0.02</v>
      </c>
      <c r="M364">
        <f t="shared" si="17"/>
        <v>0.1</v>
      </c>
      <c r="N364">
        <f>Earnings!B364*(1+M364)</f>
        <v>1981638.12</v>
      </c>
    </row>
    <row r="365" spans="1:14" x14ac:dyDescent="0.35">
      <c r="A365" t="s">
        <v>395</v>
      </c>
      <c r="B365" t="s">
        <v>29</v>
      </c>
      <c r="C365" t="s">
        <v>15</v>
      </c>
      <c r="D365" t="s">
        <v>16</v>
      </c>
      <c r="E365">
        <v>6</v>
      </c>
      <c r="F365" t="s">
        <v>31</v>
      </c>
      <c r="G365">
        <f>Earnings!G365</f>
        <v>1055579.5</v>
      </c>
      <c r="H365">
        <f>Deductions!B365+Deductions!C365+Deductions!D365+Tax!D365</f>
        <v>14095.050000000001</v>
      </c>
      <c r="I365">
        <f t="shared" si="15"/>
        <v>1041484.45</v>
      </c>
      <c r="J365">
        <f>Overtime!D365</f>
        <v>0</v>
      </c>
      <c r="K365">
        <f t="shared" si="16"/>
        <v>0.06</v>
      </c>
      <c r="L365">
        <f>IF(Performance!E365&lt;=1.5,0.01,IF(Performance!E365&lt;=2,0.02,IF(Performance!E365&lt;=3,0.03,"")))</f>
        <v>0.02</v>
      </c>
      <c r="M365">
        <f t="shared" si="17"/>
        <v>0.08</v>
      </c>
      <c r="N365">
        <f>Earnings!B365*(1+M365)</f>
        <v>1197506.1600000001</v>
      </c>
    </row>
    <row r="366" spans="1:14" x14ac:dyDescent="0.35">
      <c r="A366" t="s">
        <v>396</v>
      </c>
      <c r="B366" t="s">
        <v>19</v>
      </c>
      <c r="C366" t="s">
        <v>43</v>
      </c>
      <c r="D366" t="s">
        <v>21</v>
      </c>
      <c r="E366">
        <v>10.199999999999999</v>
      </c>
      <c r="F366" t="s">
        <v>31</v>
      </c>
      <c r="G366">
        <f>Earnings!G366</f>
        <v>1494967.14</v>
      </c>
      <c r="H366">
        <f>Deductions!B366+Deductions!C366+Deductions!D366+Tax!D366</f>
        <v>25773.590749999992</v>
      </c>
      <c r="I366">
        <f t="shared" si="15"/>
        <v>1469193.5492499999</v>
      </c>
      <c r="J366">
        <f>Overtime!D366</f>
        <v>0</v>
      </c>
      <c r="K366">
        <f t="shared" si="16"/>
        <v>0.12</v>
      </c>
      <c r="L366">
        <f>IF(Performance!E366&lt;=1.5,0.01,IF(Performance!E366&lt;=2,0.02,IF(Performance!E366&lt;=3,0.03,"")))</f>
        <v>0.03</v>
      </c>
      <c r="M366">
        <f t="shared" si="17"/>
        <v>0.15</v>
      </c>
      <c r="N366">
        <f>Earnings!B366*(1+M366)</f>
        <v>1805895.1744999997</v>
      </c>
    </row>
    <row r="367" spans="1:14" x14ac:dyDescent="0.35">
      <c r="A367" t="s">
        <v>397</v>
      </c>
      <c r="B367" t="s">
        <v>14</v>
      </c>
      <c r="C367" t="s">
        <v>15</v>
      </c>
      <c r="D367" t="s">
        <v>16</v>
      </c>
      <c r="E367">
        <v>14</v>
      </c>
      <c r="F367" t="s">
        <v>37</v>
      </c>
      <c r="G367">
        <f>Earnings!G367</f>
        <v>966757.9</v>
      </c>
      <c r="H367">
        <f>Deductions!B367+Deductions!C367+Deductions!D367+Tax!D367</f>
        <v>11762.550000000001</v>
      </c>
      <c r="I367">
        <f t="shared" si="15"/>
        <v>954995.35</v>
      </c>
      <c r="J367">
        <f>Overtime!D367</f>
        <v>0</v>
      </c>
      <c r="K367">
        <f t="shared" si="16"/>
        <v>0.06</v>
      </c>
      <c r="L367">
        <f>IF(Performance!E367&lt;=1.5,0.01,IF(Performance!E367&lt;=2,0.02,IF(Performance!E367&lt;=3,0.03,"")))</f>
        <v>0.01</v>
      </c>
      <c r="M367">
        <f t="shared" si="17"/>
        <v>6.9999999999999993E-2</v>
      </c>
      <c r="N367">
        <f>Earnings!B367*(1+M367)</f>
        <v>1086587.1400000001</v>
      </c>
    </row>
    <row r="368" spans="1:14" x14ac:dyDescent="0.35">
      <c r="A368" t="s">
        <v>398</v>
      </c>
      <c r="B368" t="s">
        <v>29</v>
      </c>
      <c r="C368" t="s">
        <v>43</v>
      </c>
      <c r="D368" t="s">
        <v>21</v>
      </c>
      <c r="E368">
        <v>11.9</v>
      </c>
      <c r="F368" t="s">
        <v>24</v>
      </c>
      <c r="G368">
        <f>Earnings!G368</f>
        <v>1309028.92</v>
      </c>
      <c r="H368">
        <f>Deductions!B368+Deductions!C368+Deductions!D368+Tax!D368</f>
        <v>20890.759499999996</v>
      </c>
      <c r="I368">
        <f t="shared" si="15"/>
        <v>1627083.1479374999</v>
      </c>
      <c r="J368">
        <f>Overtime!D368</f>
        <v>338944.98743749998</v>
      </c>
      <c r="K368">
        <f t="shared" si="16"/>
        <v>0.12</v>
      </c>
      <c r="L368">
        <f>IF(Performance!E368&lt;=1.5,0.01,IF(Performance!E368&lt;=2,0.02,IF(Performance!E368&lt;=3,0.03,"")))</f>
        <v>0.02</v>
      </c>
      <c r="M368">
        <f t="shared" si="17"/>
        <v>0.13999999999999999</v>
      </c>
      <c r="N368">
        <f>Earnings!B368*(1+M368)</f>
        <v>1567534.6331999998</v>
      </c>
    </row>
    <row r="369" spans="1:14" x14ac:dyDescent="0.35">
      <c r="A369" t="s">
        <v>399</v>
      </c>
      <c r="B369" t="s">
        <v>14</v>
      </c>
      <c r="C369" t="s">
        <v>20</v>
      </c>
      <c r="D369" t="s">
        <v>21</v>
      </c>
      <c r="E369">
        <v>0</v>
      </c>
      <c r="F369" t="s">
        <v>22</v>
      </c>
      <c r="G369">
        <f>Earnings!G369</f>
        <v>467492.86</v>
      </c>
      <c r="H369">
        <f>Deductions!B369+Deductions!C369+Deductions!D369+Tax!D369</f>
        <v>3084.4330416666667</v>
      </c>
      <c r="I369">
        <f t="shared" si="15"/>
        <v>464408.42695833329</v>
      </c>
      <c r="J369">
        <f>Overtime!D369</f>
        <v>0</v>
      </c>
      <c r="K369">
        <f t="shared" si="16"/>
        <v>0.1</v>
      </c>
      <c r="L369">
        <f>IF(Performance!E369&lt;=1.5,0.01,IF(Performance!E369&lt;=2,0.02,IF(Performance!E369&lt;=3,0.03,"")))</f>
        <v>0.01</v>
      </c>
      <c r="M369">
        <f t="shared" si="17"/>
        <v>0.11</v>
      </c>
      <c r="N369">
        <f>Earnings!B369*(1+M369)</f>
        <v>545080.96230000001</v>
      </c>
    </row>
    <row r="370" spans="1:14" x14ac:dyDescent="0.35">
      <c r="A370" t="s">
        <v>400</v>
      </c>
      <c r="B370" t="s">
        <v>14</v>
      </c>
      <c r="C370" t="s">
        <v>43</v>
      </c>
      <c r="D370" t="s">
        <v>21</v>
      </c>
      <c r="E370">
        <v>15.3</v>
      </c>
      <c r="F370" t="s">
        <v>44</v>
      </c>
      <c r="G370">
        <f>Earnings!G370</f>
        <v>1153506.67</v>
      </c>
      <c r="H370">
        <f>Deductions!B370+Deductions!C370+Deductions!D370+Tax!D370</f>
        <v>16806.666749999997</v>
      </c>
      <c r="I370">
        <f t="shared" si="15"/>
        <v>1136700.0032499998</v>
      </c>
      <c r="J370">
        <f>Overtime!D370</f>
        <v>0</v>
      </c>
      <c r="K370">
        <f t="shared" si="16"/>
        <v>0.12</v>
      </c>
      <c r="L370">
        <f>IF(Performance!E370&lt;=1.5,0.01,IF(Performance!E370&lt;=2,0.02,IF(Performance!E370&lt;=3,0.03,"")))</f>
        <v>0.01</v>
      </c>
      <c r="M370">
        <f t="shared" si="17"/>
        <v>0.13</v>
      </c>
      <c r="N370">
        <f>Earnings!B370*(1+M370)</f>
        <v>1369183.3370999999</v>
      </c>
    </row>
    <row r="371" spans="1:14" x14ac:dyDescent="0.35">
      <c r="A371" t="s">
        <v>401</v>
      </c>
      <c r="B371" t="s">
        <v>26</v>
      </c>
      <c r="C371" t="s">
        <v>15</v>
      </c>
      <c r="D371" t="s">
        <v>21</v>
      </c>
      <c r="E371">
        <v>15</v>
      </c>
      <c r="F371" t="s">
        <v>31</v>
      </c>
      <c r="G371">
        <f>Earnings!G371</f>
        <v>1002061.63</v>
      </c>
      <c r="H371">
        <f>Deductions!B371+Deductions!C371+Deductions!D371+Tax!D371</f>
        <v>12689.643750000001</v>
      </c>
      <c r="I371">
        <f t="shared" si="15"/>
        <v>989371.98624999996</v>
      </c>
      <c r="J371">
        <f>Overtime!D371</f>
        <v>0</v>
      </c>
      <c r="K371">
        <f t="shared" si="16"/>
        <v>0.06</v>
      </c>
      <c r="L371">
        <f>IF(Performance!E371&lt;=1.5,0.01,IF(Performance!E371&lt;=2,0.02,IF(Performance!E371&lt;=3,0.03,"")))</f>
        <v>0.01</v>
      </c>
      <c r="M371">
        <f t="shared" si="17"/>
        <v>6.9999999999999993E-2</v>
      </c>
      <c r="N371">
        <f>Earnings!B371*(1+M371)</f>
        <v>1126266.7525000002</v>
      </c>
    </row>
    <row r="372" spans="1:14" x14ac:dyDescent="0.35">
      <c r="A372" t="s">
        <v>402</v>
      </c>
      <c r="B372" t="s">
        <v>26</v>
      </c>
      <c r="C372" t="s">
        <v>20</v>
      </c>
      <c r="D372" t="s">
        <v>16</v>
      </c>
      <c r="E372">
        <v>5.6</v>
      </c>
      <c r="F372" t="s">
        <v>17</v>
      </c>
      <c r="G372">
        <f>Earnings!G372</f>
        <v>688084.66</v>
      </c>
      <c r="H372">
        <f>Deductions!B372+Deductions!C372+Deductions!D372+Tax!D372</f>
        <v>6834.6333333333341</v>
      </c>
      <c r="I372">
        <f t="shared" si="15"/>
        <v>681250.02666666673</v>
      </c>
      <c r="J372">
        <f>Overtime!D372</f>
        <v>0</v>
      </c>
      <c r="K372">
        <f t="shared" si="16"/>
        <v>0.1</v>
      </c>
      <c r="L372">
        <f>IF(Performance!E372&lt;=1.5,0.01,IF(Performance!E372&lt;=2,0.02,IF(Performance!E372&lt;=3,0.03,"")))</f>
        <v>0.01</v>
      </c>
      <c r="M372">
        <f t="shared" si="17"/>
        <v>0.11</v>
      </c>
      <c r="N372">
        <f>Earnings!B372*(1+M372)</f>
        <v>802283.58000000007</v>
      </c>
    </row>
    <row r="373" spans="1:14" x14ac:dyDescent="0.35">
      <c r="A373" t="s">
        <v>403</v>
      </c>
      <c r="B373" t="s">
        <v>19</v>
      </c>
      <c r="C373" t="s">
        <v>33</v>
      </c>
      <c r="D373" t="s">
        <v>16</v>
      </c>
      <c r="E373">
        <v>6</v>
      </c>
      <c r="F373" t="s">
        <v>22</v>
      </c>
      <c r="G373">
        <f>Earnings!G373</f>
        <v>925381.7</v>
      </c>
      <c r="H373">
        <f>Deductions!B373+Deductions!C373+Deductions!D373+Tax!D373</f>
        <v>10948.993333333334</v>
      </c>
      <c r="I373">
        <f t="shared" si="15"/>
        <v>914432.70666666667</v>
      </c>
      <c r="J373">
        <f>Overtime!D373</f>
        <v>0</v>
      </c>
      <c r="K373">
        <f t="shared" si="16"/>
        <v>0.08</v>
      </c>
      <c r="L373">
        <f>IF(Performance!E373&lt;=1.5,0.01,IF(Performance!E373&lt;=2,0.02,IF(Performance!E373&lt;=3,0.03,"")))</f>
        <v>0.03</v>
      </c>
      <c r="M373">
        <f t="shared" si="17"/>
        <v>0.11</v>
      </c>
      <c r="N373">
        <f>Earnings!B373*(1+M373)</f>
        <v>1078963.956</v>
      </c>
    </row>
    <row r="374" spans="1:14" x14ac:dyDescent="0.35">
      <c r="A374" t="s">
        <v>404</v>
      </c>
      <c r="B374" t="s">
        <v>29</v>
      </c>
      <c r="C374" t="s">
        <v>33</v>
      </c>
      <c r="D374" t="s">
        <v>21</v>
      </c>
      <c r="E374">
        <v>9.6</v>
      </c>
      <c r="F374" t="s">
        <v>17</v>
      </c>
      <c r="G374">
        <f>Earnings!G374</f>
        <v>1127281.42</v>
      </c>
      <c r="H374">
        <f>Deductions!B374+Deductions!C374+Deductions!D374+Tax!D374</f>
        <v>16017.978499999997</v>
      </c>
      <c r="I374">
        <f t="shared" si="15"/>
        <v>1295986.0289</v>
      </c>
      <c r="J374">
        <f>Overtime!D374</f>
        <v>184722.58739999999</v>
      </c>
      <c r="K374">
        <f t="shared" si="16"/>
        <v>0.08</v>
      </c>
      <c r="L374">
        <f>IF(Performance!E374&lt;=1.5,0.01,IF(Performance!E374&lt;=2,0.02,IF(Performance!E374&lt;=3,0.03,"")))</f>
        <v>0.02</v>
      </c>
      <c r="M374">
        <f t="shared" si="17"/>
        <v>0.1</v>
      </c>
      <c r="N374">
        <f>Earnings!B374*(1+M374)</f>
        <v>1302531.054</v>
      </c>
    </row>
    <row r="375" spans="1:14" x14ac:dyDescent="0.35">
      <c r="A375" t="s">
        <v>405</v>
      </c>
      <c r="B375" t="s">
        <v>29</v>
      </c>
      <c r="C375" t="s">
        <v>43</v>
      </c>
      <c r="D375" t="s">
        <v>21</v>
      </c>
      <c r="E375">
        <v>25.5</v>
      </c>
      <c r="F375" t="s">
        <v>31</v>
      </c>
      <c r="G375">
        <f>Earnings!G375</f>
        <v>2377053.2400000002</v>
      </c>
      <c r="H375">
        <f>Deductions!B375+Deductions!C375+Deductions!D375+Tax!D375</f>
        <v>48937.616749999994</v>
      </c>
      <c r="I375">
        <f t="shared" si="15"/>
        <v>2328115.6232500002</v>
      </c>
      <c r="J375">
        <f>Overtime!D375</f>
        <v>0</v>
      </c>
      <c r="K375">
        <f t="shared" si="16"/>
        <v>0.12</v>
      </c>
      <c r="L375">
        <f>IF(Performance!E375&lt;=1.5,0.01,IF(Performance!E375&lt;=2,0.02,IF(Performance!E375&lt;=3,0.03,"")))</f>
        <v>0.02</v>
      </c>
      <c r="M375">
        <f t="shared" si="17"/>
        <v>0.13999999999999999</v>
      </c>
      <c r="N375">
        <f>Earnings!B375*(1+M375)</f>
        <v>2846471.3237999999</v>
      </c>
    </row>
    <row r="376" spans="1:14" x14ac:dyDescent="0.35">
      <c r="A376" t="s">
        <v>406</v>
      </c>
      <c r="B376" t="s">
        <v>29</v>
      </c>
      <c r="C376" t="s">
        <v>20</v>
      </c>
      <c r="D376" t="s">
        <v>21</v>
      </c>
      <c r="E376">
        <v>4.2</v>
      </c>
      <c r="F376" t="s">
        <v>24</v>
      </c>
      <c r="G376">
        <f>Earnings!G376</f>
        <v>976021.97</v>
      </c>
      <c r="H376">
        <f>Deductions!B376+Deductions!C376+Deductions!D376+Tax!D376</f>
        <v>12085.829</v>
      </c>
      <c r="I376">
        <f t="shared" si="15"/>
        <v>1172058.4704499999</v>
      </c>
      <c r="J376">
        <f>Overtime!D376</f>
        <v>208122.32945000002</v>
      </c>
      <c r="K376">
        <f t="shared" si="16"/>
        <v>0.1</v>
      </c>
      <c r="L376">
        <f>IF(Performance!E376&lt;=1.5,0.01,IF(Performance!E376&lt;=2,0.02,IF(Performance!E376&lt;=3,0.03,"")))</f>
        <v>0.02</v>
      </c>
      <c r="M376">
        <f t="shared" si="17"/>
        <v>0.12000000000000001</v>
      </c>
      <c r="N376">
        <f>Earnings!B376*(1+M376)</f>
        <v>1148261.1392000001</v>
      </c>
    </row>
    <row r="377" spans="1:14" x14ac:dyDescent="0.35">
      <c r="A377" t="s">
        <v>407</v>
      </c>
      <c r="B377" t="s">
        <v>19</v>
      </c>
      <c r="C377" t="s">
        <v>15</v>
      </c>
      <c r="D377" t="s">
        <v>21</v>
      </c>
      <c r="E377">
        <v>12</v>
      </c>
      <c r="F377" t="s">
        <v>37</v>
      </c>
      <c r="G377">
        <f>Earnings!G377</f>
        <v>725921.18</v>
      </c>
      <c r="H377">
        <f>Deductions!B377+Deductions!C377+Deductions!D377+Tax!D377</f>
        <v>7417.0375000000004</v>
      </c>
      <c r="I377">
        <f t="shared" si="15"/>
        <v>813819.42375000007</v>
      </c>
      <c r="J377">
        <f>Overtime!D377</f>
        <v>95315.281250000015</v>
      </c>
      <c r="K377">
        <f t="shared" si="16"/>
        <v>0.06</v>
      </c>
      <c r="L377">
        <f>IF(Performance!E377&lt;=1.5,0.01,IF(Performance!E377&lt;=2,0.02,IF(Performance!E377&lt;=3,0.03,"")))</f>
        <v>0.03</v>
      </c>
      <c r="M377">
        <f t="shared" si="17"/>
        <v>0.09</v>
      </c>
      <c r="N377">
        <f>Earnings!B377*(1+M377)</f>
        <v>831149.25250000006</v>
      </c>
    </row>
    <row r="378" spans="1:14" x14ac:dyDescent="0.35">
      <c r="A378" t="s">
        <v>408</v>
      </c>
      <c r="B378" t="s">
        <v>14</v>
      </c>
      <c r="C378" t="s">
        <v>43</v>
      </c>
      <c r="D378" t="s">
        <v>16</v>
      </c>
      <c r="E378">
        <v>3.4</v>
      </c>
      <c r="F378" t="s">
        <v>24</v>
      </c>
      <c r="G378">
        <f>Earnings!G378</f>
        <v>1015597.79</v>
      </c>
      <c r="H378">
        <f>Deductions!B378+Deductions!C378+Deductions!D378+Tax!D378</f>
        <v>13185.109999999999</v>
      </c>
      <c r="I378">
        <f t="shared" si="15"/>
        <v>1056819.7044000002</v>
      </c>
      <c r="J378">
        <f>Overtime!D378</f>
        <v>54407.024399999995</v>
      </c>
      <c r="K378">
        <f t="shared" si="16"/>
        <v>0.12</v>
      </c>
      <c r="L378">
        <f>IF(Performance!E378&lt;=1.5,0.01,IF(Performance!E378&lt;=2,0.02,IF(Performance!E378&lt;=3,0.03,"")))</f>
        <v>0.01</v>
      </c>
      <c r="M378">
        <f t="shared" si="17"/>
        <v>0.13</v>
      </c>
      <c r="N378">
        <f>Earnings!B378*(1+M378)</f>
        <v>1205488.9719999998</v>
      </c>
    </row>
    <row r="379" spans="1:14" x14ac:dyDescent="0.35">
      <c r="A379" t="s">
        <v>409</v>
      </c>
      <c r="B379" t="s">
        <v>14</v>
      </c>
      <c r="C379" t="s">
        <v>20</v>
      </c>
      <c r="D379" t="s">
        <v>21</v>
      </c>
      <c r="E379">
        <v>4.2</v>
      </c>
      <c r="F379" t="s">
        <v>70</v>
      </c>
      <c r="G379">
        <f>Earnings!G379</f>
        <v>868276.82</v>
      </c>
      <c r="H379">
        <f>Deductions!B379+Deductions!C379+Deductions!D379+Tax!D379</f>
        <v>9989.2580000000016</v>
      </c>
      <c r="I379">
        <f t="shared" si="15"/>
        <v>947668.9985499999</v>
      </c>
      <c r="J379">
        <f>Overtime!D379</f>
        <v>89381.436549999999</v>
      </c>
      <c r="K379">
        <f t="shared" si="16"/>
        <v>0.1</v>
      </c>
      <c r="L379">
        <f>IF(Performance!E379&lt;=1.5,0.01,IF(Performance!E379&lt;=2,0.02,IF(Performance!E379&lt;=3,0.03,"")))</f>
        <v>0.01</v>
      </c>
      <c r="M379">
        <f t="shared" si="17"/>
        <v>0.11</v>
      </c>
      <c r="N379">
        <f>Earnings!B379*(1+M379)</f>
        <v>1012381.5828000001</v>
      </c>
    </row>
    <row r="380" spans="1:14" x14ac:dyDescent="0.35">
      <c r="A380" t="s">
        <v>410</v>
      </c>
      <c r="B380" t="s">
        <v>19</v>
      </c>
      <c r="C380" t="s">
        <v>43</v>
      </c>
      <c r="D380" t="s">
        <v>21</v>
      </c>
      <c r="E380">
        <v>11.9</v>
      </c>
      <c r="F380" t="s">
        <v>44</v>
      </c>
      <c r="G380">
        <f>Earnings!G380</f>
        <v>1317458.92</v>
      </c>
      <c r="H380">
        <f>Deductions!B380+Deductions!C380+Deductions!D380+Tax!D380</f>
        <v>21112.135749999998</v>
      </c>
      <c r="I380">
        <f t="shared" si="15"/>
        <v>1296346.78425</v>
      </c>
      <c r="J380">
        <f>Overtime!D380</f>
        <v>0</v>
      </c>
      <c r="K380">
        <f t="shared" si="16"/>
        <v>0.12</v>
      </c>
      <c r="L380">
        <f>IF(Performance!E380&lt;=1.5,0.01,IF(Performance!E380&lt;=2,0.02,IF(Performance!E380&lt;=3,0.03,"")))</f>
        <v>0.03</v>
      </c>
      <c r="M380">
        <f t="shared" si="17"/>
        <v>0.15</v>
      </c>
      <c r="N380">
        <f>Earnings!B380*(1+M380)</f>
        <v>1591468.2444999998</v>
      </c>
    </row>
    <row r="381" spans="1:14" x14ac:dyDescent="0.35">
      <c r="A381" t="s">
        <v>411</v>
      </c>
      <c r="B381" t="s">
        <v>35</v>
      </c>
      <c r="C381" t="s">
        <v>20</v>
      </c>
      <c r="D381" t="s">
        <v>21</v>
      </c>
      <c r="E381">
        <v>5.6</v>
      </c>
      <c r="F381" t="s">
        <v>31</v>
      </c>
      <c r="G381">
        <f>Earnings!G381</f>
        <v>923963.8</v>
      </c>
      <c r="H381">
        <f>Deductions!B381+Deductions!C381+Deductions!D381+Tax!D381</f>
        <v>10964.170166666667</v>
      </c>
      <c r="I381">
        <f t="shared" si="15"/>
        <v>953762.73823333345</v>
      </c>
      <c r="J381">
        <f>Overtime!D381</f>
        <v>40763.108400000005</v>
      </c>
      <c r="K381">
        <f t="shared" si="16"/>
        <v>0.1</v>
      </c>
      <c r="L381">
        <f>IF(Performance!E381&lt;=1.5,0.01,IF(Performance!E381&lt;=2,0.02,IF(Performance!E381&lt;=3,0.03,"")))</f>
        <v>0.01</v>
      </c>
      <c r="M381">
        <f t="shared" si="17"/>
        <v>0.11</v>
      </c>
      <c r="N381">
        <f>Earnings!B381*(1+M381)</f>
        <v>1077310.7331000001</v>
      </c>
    </row>
    <row r="382" spans="1:14" x14ac:dyDescent="0.35">
      <c r="A382" t="s">
        <v>412</v>
      </c>
      <c r="B382" t="s">
        <v>35</v>
      </c>
      <c r="C382" t="s">
        <v>20</v>
      </c>
      <c r="D382" t="s">
        <v>16</v>
      </c>
      <c r="E382">
        <v>14</v>
      </c>
      <c r="F382" t="s">
        <v>44</v>
      </c>
      <c r="G382">
        <f>Earnings!G382</f>
        <v>1338684.31</v>
      </c>
      <c r="H382">
        <f>Deductions!B382+Deductions!C382+Deductions!D382+Tax!D382</f>
        <v>21609.524999999998</v>
      </c>
      <c r="I382">
        <f t="shared" si="15"/>
        <v>1317074.7850000001</v>
      </c>
      <c r="J382">
        <f>Overtime!D382</f>
        <v>0</v>
      </c>
      <c r="K382">
        <f t="shared" si="16"/>
        <v>0.1</v>
      </c>
      <c r="L382">
        <f>IF(Performance!E382&lt;=1.5,0.01,IF(Performance!E382&lt;=2,0.02,IF(Performance!E382&lt;=3,0.03,"")))</f>
        <v>0.01</v>
      </c>
      <c r="M382">
        <f t="shared" si="17"/>
        <v>0.11</v>
      </c>
      <c r="N382">
        <f>Earnings!B382*(1+M382)</f>
        <v>1560860.9100000001</v>
      </c>
    </row>
    <row r="383" spans="1:14" x14ac:dyDescent="0.35">
      <c r="A383" t="s">
        <v>413</v>
      </c>
      <c r="B383" t="s">
        <v>26</v>
      </c>
      <c r="C383" t="s">
        <v>15</v>
      </c>
      <c r="D383" t="s">
        <v>16</v>
      </c>
      <c r="E383">
        <v>3</v>
      </c>
      <c r="F383" t="s">
        <v>17</v>
      </c>
      <c r="G383">
        <f>Earnings!G383</f>
        <v>566000.18000000005</v>
      </c>
      <c r="H383">
        <f>Deductions!B383+Deductions!C383+Deductions!D383+Tax!D383</f>
        <v>4617.3</v>
      </c>
      <c r="I383">
        <f t="shared" si="15"/>
        <v>561382.88</v>
      </c>
      <c r="J383">
        <f>Overtime!D383</f>
        <v>0</v>
      </c>
      <c r="K383">
        <f t="shared" si="16"/>
        <v>0.06</v>
      </c>
      <c r="L383">
        <f>IF(Performance!E383&lt;=1.5,0.01,IF(Performance!E383&lt;=2,0.02,IF(Performance!E383&lt;=3,0.03,"")))</f>
        <v>0.01</v>
      </c>
      <c r="M383">
        <f t="shared" si="17"/>
        <v>6.9999999999999993E-2</v>
      </c>
      <c r="N383">
        <f>Earnings!B383*(1+M383)</f>
        <v>636155.66</v>
      </c>
    </row>
    <row r="384" spans="1:14" x14ac:dyDescent="0.35">
      <c r="A384" t="s">
        <v>414</v>
      </c>
      <c r="B384" t="s">
        <v>26</v>
      </c>
      <c r="C384" t="s">
        <v>15</v>
      </c>
      <c r="D384" t="s">
        <v>16</v>
      </c>
      <c r="E384">
        <v>12</v>
      </c>
      <c r="F384" t="s">
        <v>37</v>
      </c>
      <c r="G384">
        <f>Earnings!G384</f>
        <v>931858.54</v>
      </c>
      <c r="H384">
        <f>Deductions!B384+Deductions!C384+Deductions!D384+Tax!D384</f>
        <v>11022.383333333333</v>
      </c>
      <c r="I384">
        <f t="shared" si="15"/>
        <v>1028508.8866666667</v>
      </c>
      <c r="J384">
        <f>Overtime!D384</f>
        <v>107672.73000000001</v>
      </c>
      <c r="K384">
        <f t="shared" si="16"/>
        <v>0.06</v>
      </c>
      <c r="L384">
        <f>IF(Performance!E384&lt;=1.5,0.01,IF(Performance!E384&lt;=2,0.02,IF(Performance!E384&lt;=3,0.03,"")))</f>
        <v>0.01</v>
      </c>
      <c r="M384">
        <f t="shared" si="17"/>
        <v>6.9999999999999993E-2</v>
      </c>
      <c r="N384">
        <f>Earnings!B384*(1+M384)</f>
        <v>1047362.01</v>
      </c>
    </row>
    <row r="385" spans="1:14" x14ac:dyDescent="0.35">
      <c r="A385" t="s">
        <v>415</v>
      </c>
      <c r="B385" t="s">
        <v>14</v>
      </c>
      <c r="C385" t="s">
        <v>33</v>
      </c>
      <c r="D385" t="s">
        <v>16</v>
      </c>
      <c r="E385">
        <v>9.6</v>
      </c>
      <c r="F385" t="s">
        <v>24</v>
      </c>
      <c r="G385">
        <f>Earnings!G385</f>
        <v>624907.65</v>
      </c>
      <c r="H385">
        <f>Deductions!B385+Deductions!C385+Deductions!D385+Tax!D385</f>
        <v>5688.5933333333323</v>
      </c>
      <c r="I385">
        <f t="shared" si="15"/>
        <v>619219.05666666664</v>
      </c>
      <c r="J385">
        <f>Overtime!D385</f>
        <v>0</v>
      </c>
      <c r="K385">
        <f t="shared" si="16"/>
        <v>0.08</v>
      </c>
      <c r="L385">
        <f>IF(Performance!E385&lt;=1.5,0.01,IF(Performance!E385&lt;=2,0.02,IF(Performance!E385&lt;=3,0.03,"")))</f>
        <v>0.01</v>
      </c>
      <c r="M385">
        <f t="shared" si="17"/>
        <v>0.09</v>
      </c>
      <c r="N385">
        <f>Earnings!B385*(1+M385)</f>
        <v>715493.00400000007</v>
      </c>
    </row>
    <row r="386" spans="1:14" x14ac:dyDescent="0.35">
      <c r="A386" t="s">
        <v>416</v>
      </c>
      <c r="B386" t="s">
        <v>19</v>
      </c>
      <c r="C386" t="s">
        <v>43</v>
      </c>
      <c r="D386" t="s">
        <v>21</v>
      </c>
      <c r="E386">
        <v>18.7</v>
      </c>
      <c r="F386" t="s">
        <v>17</v>
      </c>
      <c r="G386">
        <f>Earnings!G386</f>
        <v>1554799.71</v>
      </c>
      <c r="H386">
        <f>Deductions!B386+Deductions!C386+Deductions!D386+Tax!D386</f>
        <v>27344.824249999994</v>
      </c>
      <c r="I386">
        <f t="shared" ref="I386:I449" si="18">G386-H386+J386</f>
        <v>1791215.5512124998</v>
      </c>
      <c r="J386">
        <f>Overtime!D386</f>
        <v>263760.66546249995</v>
      </c>
      <c r="K386">
        <f t="shared" ref="K386:K449" si="19">IF(C386="Junior",0.06,IF(C386="Mid",0.08,IF(C386="Senior",0.1,IF(C386="Manager",0.12,0))))</f>
        <v>0.12</v>
      </c>
      <c r="L386">
        <f>IF(Performance!E386&lt;=1.5,0.01,IF(Performance!E386&lt;=2,0.02,IF(Performance!E386&lt;=3,0.03,"")))</f>
        <v>0.03</v>
      </c>
      <c r="M386">
        <f t="shared" ref="M386:M449" si="20">K386+L386</f>
        <v>0.15</v>
      </c>
      <c r="N386">
        <f>Earnings!B386*(1+M386)</f>
        <v>1878171.9154999999</v>
      </c>
    </row>
    <row r="387" spans="1:14" x14ac:dyDescent="0.35">
      <c r="A387" t="s">
        <v>417</v>
      </c>
      <c r="B387" t="s">
        <v>29</v>
      </c>
      <c r="C387" t="s">
        <v>20</v>
      </c>
      <c r="D387" t="s">
        <v>21</v>
      </c>
      <c r="E387">
        <v>18.2</v>
      </c>
      <c r="F387" t="s">
        <v>37</v>
      </c>
      <c r="G387">
        <f>Earnings!G387</f>
        <v>1730822.99</v>
      </c>
      <c r="H387">
        <f>Deductions!B387+Deductions!C387+Deductions!D387+Tax!D387</f>
        <v>31907.284499999998</v>
      </c>
      <c r="I387">
        <f t="shared" si="18"/>
        <v>1826182.1017499999</v>
      </c>
      <c r="J387">
        <f>Overtime!D387</f>
        <v>127266.39624999999</v>
      </c>
      <c r="K387">
        <f t="shared" si="19"/>
        <v>0.1</v>
      </c>
      <c r="L387">
        <f>IF(Performance!E387&lt;=1.5,0.01,IF(Performance!E387&lt;=2,0.02,IF(Performance!E387&lt;=3,0.03,"")))</f>
        <v>0.02</v>
      </c>
      <c r="M387">
        <f t="shared" si="20"/>
        <v>0.12000000000000001</v>
      </c>
      <c r="N387">
        <f>Earnings!B387*(1+M387)</f>
        <v>2036262.3456000001</v>
      </c>
    </row>
    <row r="388" spans="1:14" x14ac:dyDescent="0.35">
      <c r="A388" t="s">
        <v>418</v>
      </c>
      <c r="B388" t="s">
        <v>14</v>
      </c>
      <c r="C388" t="s">
        <v>15</v>
      </c>
      <c r="D388" t="s">
        <v>21</v>
      </c>
      <c r="E388">
        <v>8</v>
      </c>
      <c r="F388" t="s">
        <v>31</v>
      </c>
      <c r="G388">
        <f>Earnings!G388</f>
        <v>658633.81999999995</v>
      </c>
      <c r="H388">
        <f>Deductions!B388+Deductions!C388+Deductions!D388+Tax!D388</f>
        <v>6239.0375000000004</v>
      </c>
      <c r="I388">
        <f t="shared" si="18"/>
        <v>676609.26124999998</v>
      </c>
      <c r="J388">
        <f>Overtime!D388</f>
        <v>24214.478750000002</v>
      </c>
      <c r="K388">
        <f t="shared" si="19"/>
        <v>0.06</v>
      </c>
      <c r="L388">
        <f>IF(Performance!E388&lt;=1.5,0.01,IF(Performance!E388&lt;=2,0.02,IF(Performance!E388&lt;=3,0.03,"")))</f>
        <v>0.01</v>
      </c>
      <c r="M388">
        <f t="shared" si="20"/>
        <v>6.9999999999999993E-2</v>
      </c>
      <c r="N388">
        <f>Earnings!B388*(1+M388)</f>
        <v>740271.20750000002</v>
      </c>
    </row>
    <row r="389" spans="1:14" x14ac:dyDescent="0.35">
      <c r="A389" t="s">
        <v>419</v>
      </c>
      <c r="B389" t="s">
        <v>35</v>
      </c>
      <c r="C389" t="s">
        <v>33</v>
      </c>
      <c r="D389" t="s">
        <v>21</v>
      </c>
      <c r="E389">
        <v>1.2</v>
      </c>
      <c r="F389" t="s">
        <v>44</v>
      </c>
      <c r="G389">
        <f>Earnings!G389</f>
        <v>1001177.31</v>
      </c>
      <c r="H389">
        <f>Deductions!B389+Deductions!C389+Deductions!D389+Tax!D389</f>
        <v>12706.421000000002</v>
      </c>
      <c r="I389">
        <f t="shared" si="18"/>
        <v>988470.88900000008</v>
      </c>
      <c r="J389">
        <f>Overtime!D389</f>
        <v>0</v>
      </c>
      <c r="K389">
        <f t="shared" si="19"/>
        <v>0.08</v>
      </c>
      <c r="L389">
        <f>IF(Performance!E389&lt;=1.5,0.01,IF(Performance!E389&lt;=2,0.02,IF(Performance!E389&lt;=3,0.03,"")))</f>
        <v>0.01</v>
      </c>
      <c r="M389">
        <f t="shared" si="20"/>
        <v>0.09</v>
      </c>
      <c r="N389">
        <f>Earnings!B389*(1+M389)</f>
        <v>1146305.9556000002</v>
      </c>
    </row>
    <row r="390" spans="1:14" x14ac:dyDescent="0.35">
      <c r="A390" t="s">
        <v>420</v>
      </c>
      <c r="B390" t="s">
        <v>19</v>
      </c>
      <c r="C390" t="s">
        <v>43</v>
      </c>
      <c r="D390" t="s">
        <v>16</v>
      </c>
      <c r="E390">
        <v>25.5</v>
      </c>
      <c r="F390" t="s">
        <v>17</v>
      </c>
      <c r="G390">
        <f>Earnings!G390</f>
        <v>2143329.66</v>
      </c>
      <c r="H390">
        <f>Deductions!B390+Deductions!C390+Deductions!D390+Tax!D390</f>
        <v>42799.917500000003</v>
      </c>
      <c r="I390">
        <f t="shared" si="18"/>
        <v>2617225.2851500004</v>
      </c>
      <c r="J390">
        <f>Overtime!D390</f>
        <v>516695.54265000002</v>
      </c>
      <c r="K390">
        <f t="shared" si="19"/>
        <v>0.12</v>
      </c>
      <c r="L390">
        <f>IF(Performance!E390&lt;=1.5,0.01,IF(Performance!E390&lt;=2,0.02,IF(Performance!E390&lt;=3,0.03,"")))</f>
        <v>0.03</v>
      </c>
      <c r="M390">
        <f t="shared" si="20"/>
        <v>0.15</v>
      </c>
      <c r="N390">
        <f>Earnings!B390*(1+M390)</f>
        <v>2589106.2050000001</v>
      </c>
    </row>
    <row r="391" spans="1:14" x14ac:dyDescent="0.35">
      <c r="A391" t="s">
        <v>421</v>
      </c>
      <c r="B391" t="s">
        <v>29</v>
      </c>
      <c r="C391" t="s">
        <v>20</v>
      </c>
      <c r="D391" t="s">
        <v>21</v>
      </c>
      <c r="E391">
        <v>21</v>
      </c>
      <c r="F391" t="s">
        <v>24</v>
      </c>
      <c r="G391">
        <f>Earnings!G391</f>
        <v>1904417.33</v>
      </c>
      <c r="H391">
        <f>Deductions!B391+Deductions!C391+Deductions!D391+Tax!D391</f>
        <v>36465.95925</v>
      </c>
      <c r="I391">
        <f t="shared" si="18"/>
        <v>2274040.3608750002</v>
      </c>
      <c r="J391">
        <f>Overtime!D391</f>
        <v>406088.99012500001</v>
      </c>
      <c r="K391">
        <f t="shared" si="19"/>
        <v>0.1</v>
      </c>
      <c r="L391">
        <f>IF(Performance!E391&lt;=1.5,0.01,IF(Performance!E391&lt;=2,0.02,IF(Performance!E391&lt;=3,0.03,"")))</f>
        <v>0.02</v>
      </c>
      <c r="M391">
        <f t="shared" si="20"/>
        <v>0.12000000000000001</v>
      </c>
      <c r="N391">
        <f>Earnings!B391*(1+M391)</f>
        <v>2240490.9744000002</v>
      </c>
    </row>
    <row r="392" spans="1:14" x14ac:dyDescent="0.35">
      <c r="A392" t="s">
        <v>422</v>
      </c>
      <c r="B392" t="s">
        <v>29</v>
      </c>
      <c r="C392" t="s">
        <v>20</v>
      </c>
      <c r="D392" t="s">
        <v>21</v>
      </c>
      <c r="E392">
        <v>15.4</v>
      </c>
      <c r="F392" t="s">
        <v>44</v>
      </c>
      <c r="G392">
        <f>Earnings!G392</f>
        <v>1191826.28</v>
      </c>
      <c r="H392">
        <f>Deductions!B392+Deductions!C392+Deductions!D392+Tax!D392</f>
        <v>17752.959000000003</v>
      </c>
      <c r="I392">
        <f t="shared" si="18"/>
        <v>1174073.321</v>
      </c>
      <c r="J392">
        <f>Overtime!D392</f>
        <v>0</v>
      </c>
      <c r="K392">
        <f t="shared" si="19"/>
        <v>0.1</v>
      </c>
      <c r="L392">
        <f>IF(Performance!E392&lt;=1.5,0.01,IF(Performance!E392&lt;=2,0.02,IF(Performance!E392&lt;=3,0.03,"")))</f>
        <v>0.02</v>
      </c>
      <c r="M392">
        <f t="shared" si="20"/>
        <v>0.12000000000000001</v>
      </c>
      <c r="N392">
        <f>Earnings!B392*(1+M392)</f>
        <v>1402148.5632000002</v>
      </c>
    </row>
    <row r="393" spans="1:14" x14ac:dyDescent="0.35">
      <c r="A393" t="s">
        <v>423</v>
      </c>
      <c r="B393" t="s">
        <v>29</v>
      </c>
      <c r="C393" t="s">
        <v>15</v>
      </c>
      <c r="D393" t="s">
        <v>16</v>
      </c>
      <c r="E393">
        <v>2</v>
      </c>
      <c r="F393" t="s">
        <v>27</v>
      </c>
      <c r="G393">
        <f>Earnings!G393</f>
        <v>982163.17</v>
      </c>
      <c r="H393">
        <f>Deductions!B393+Deductions!C393+Deductions!D393+Tax!D393</f>
        <v>12167.1</v>
      </c>
      <c r="I393">
        <f t="shared" si="18"/>
        <v>1057689.21</v>
      </c>
      <c r="J393">
        <f>Overtime!D393</f>
        <v>87693.14</v>
      </c>
      <c r="K393">
        <f t="shared" si="19"/>
        <v>0.06</v>
      </c>
      <c r="L393">
        <f>IF(Performance!E393&lt;=1.5,0.01,IF(Performance!E393&lt;=2,0.02,IF(Performance!E393&lt;=3,0.03,"")))</f>
        <v>0.02</v>
      </c>
      <c r="M393">
        <f t="shared" si="20"/>
        <v>0.08</v>
      </c>
      <c r="N393">
        <f>Earnings!B393*(1+M393)</f>
        <v>1114218.72</v>
      </c>
    </row>
    <row r="394" spans="1:14" x14ac:dyDescent="0.35">
      <c r="A394" t="s">
        <v>424</v>
      </c>
      <c r="B394" t="s">
        <v>19</v>
      </c>
      <c r="C394" t="s">
        <v>43</v>
      </c>
      <c r="D394" t="s">
        <v>21</v>
      </c>
      <c r="E394">
        <v>17</v>
      </c>
      <c r="F394" t="s">
        <v>37</v>
      </c>
      <c r="G394">
        <f>Earnings!G394</f>
        <v>1685673.08</v>
      </c>
      <c r="H394">
        <f>Deductions!B394+Deductions!C394+Deductions!D394+Tax!D394</f>
        <v>30781.625</v>
      </c>
      <c r="I394">
        <f t="shared" si="18"/>
        <v>1654891.4550000001</v>
      </c>
      <c r="J394">
        <f>Overtime!D394</f>
        <v>0</v>
      </c>
      <c r="K394">
        <f t="shared" si="19"/>
        <v>0.12</v>
      </c>
      <c r="L394">
        <f>IF(Performance!E394&lt;=1.5,0.01,IF(Performance!E394&lt;=2,0.02,IF(Performance!E394&lt;=3,0.03,"")))</f>
        <v>0.03</v>
      </c>
      <c r="M394">
        <f t="shared" si="20"/>
        <v>0.15</v>
      </c>
      <c r="N394">
        <f>Earnings!B394*(1+M394)</f>
        <v>2036264.7499999998</v>
      </c>
    </row>
    <row r="395" spans="1:14" x14ac:dyDescent="0.35">
      <c r="A395" t="s">
        <v>425</v>
      </c>
      <c r="B395" t="s">
        <v>35</v>
      </c>
      <c r="C395" t="s">
        <v>43</v>
      </c>
      <c r="D395" t="s">
        <v>21</v>
      </c>
      <c r="E395">
        <v>0</v>
      </c>
      <c r="F395" t="s">
        <v>37</v>
      </c>
      <c r="G395">
        <f>Earnings!G395</f>
        <v>1074141.95</v>
      </c>
      <c r="H395">
        <f>Deductions!B395+Deductions!C395+Deductions!D395+Tax!D395</f>
        <v>14722.509250000003</v>
      </c>
      <c r="I395">
        <f t="shared" si="18"/>
        <v>1126553.3130625</v>
      </c>
      <c r="J395">
        <f>Overtime!D395</f>
        <v>67133.872312499996</v>
      </c>
      <c r="K395">
        <f t="shared" si="19"/>
        <v>0.12</v>
      </c>
      <c r="L395">
        <f>IF(Performance!E395&lt;=1.5,0.01,IF(Performance!E395&lt;=2,0.02,IF(Performance!E395&lt;=3,0.03,"")))</f>
        <v>0.01</v>
      </c>
      <c r="M395">
        <f t="shared" si="20"/>
        <v>0.13</v>
      </c>
      <c r="N395">
        <f>Earnings!B395*(1+M395)</f>
        <v>1274979.4180999999</v>
      </c>
    </row>
    <row r="396" spans="1:14" x14ac:dyDescent="0.35">
      <c r="A396" t="s">
        <v>426</v>
      </c>
      <c r="B396" t="s">
        <v>14</v>
      </c>
      <c r="C396" t="s">
        <v>43</v>
      </c>
      <c r="D396" t="s">
        <v>16</v>
      </c>
      <c r="E396">
        <v>3.4</v>
      </c>
      <c r="F396" t="s">
        <v>44</v>
      </c>
      <c r="G396">
        <f>Earnings!G396</f>
        <v>1066566.06</v>
      </c>
      <c r="H396">
        <f>Deductions!B396+Deductions!C396+Deductions!D396+Tax!D396</f>
        <v>14523.5625</v>
      </c>
      <c r="I396">
        <f t="shared" si="18"/>
        <v>1052042.4975000001</v>
      </c>
      <c r="J396">
        <f>Overtime!D396</f>
        <v>0</v>
      </c>
      <c r="K396">
        <f t="shared" si="19"/>
        <v>0.12</v>
      </c>
      <c r="L396">
        <f>IF(Performance!E396&lt;=1.5,0.01,IF(Performance!E396&lt;=2,0.02,IF(Performance!E396&lt;=3,0.03,"")))</f>
        <v>0.01</v>
      </c>
      <c r="M396">
        <f t="shared" si="20"/>
        <v>0.13</v>
      </c>
      <c r="N396">
        <f>Earnings!B396*(1+M396)</f>
        <v>1265987.0249999999</v>
      </c>
    </row>
    <row r="397" spans="1:14" x14ac:dyDescent="0.35">
      <c r="A397" t="s">
        <v>427</v>
      </c>
      <c r="B397" t="s">
        <v>35</v>
      </c>
      <c r="C397" t="s">
        <v>43</v>
      </c>
      <c r="D397" t="s">
        <v>21</v>
      </c>
      <c r="E397">
        <v>17</v>
      </c>
      <c r="F397" t="s">
        <v>24</v>
      </c>
      <c r="G397">
        <f>Earnings!G397</f>
        <v>1543164.06</v>
      </c>
      <c r="H397">
        <f>Deductions!B397+Deductions!C397+Deductions!D397+Tax!D397</f>
        <v>27039.266249999997</v>
      </c>
      <c r="I397">
        <f t="shared" si="18"/>
        <v>1901915.8084499999</v>
      </c>
      <c r="J397">
        <f>Overtime!D397</f>
        <v>385791.0147</v>
      </c>
      <c r="K397">
        <f t="shared" si="19"/>
        <v>0.12</v>
      </c>
      <c r="L397">
        <f>IF(Performance!E397&lt;=1.5,0.01,IF(Performance!E397&lt;=2,0.02,IF(Performance!E397&lt;=3,0.03,"")))</f>
        <v>0.01</v>
      </c>
      <c r="M397">
        <f t="shared" si="20"/>
        <v>0.13</v>
      </c>
      <c r="N397">
        <f>Earnings!B397*(1+M397)</f>
        <v>1831696.8344999996</v>
      </c>
    </row>
    <row r="398" spans="1:14" x14ac:dyDescent="0.35">
      <c r="A398" t="s">
        <v>428</v>
      </c>
      <c r="B398" t="s">
        <v>29</v>
      </c>
      <c r="C398" t="s">
        <v>20</v>
      </c>
      <c r="D398" t="s">
        <v>16</v>
      </c>
      <c r="E398">
        <v>4.2</v>
      </c>
      <c r="F398" t="s">
        <v>70</v>
      </c>
      <c r="G398">
        <f>Earnings!G398</f>
        <v>1676153.27</v>
      </c>
      <c r="H398">
        <f>Deductions!B398+Deductions!C398+Deductions!D398+Tax!D398</f>
        <v>30471.629999999994</v>
      </c>
      <c r="I398">
        <f t="shared" si="18"/>
        <v>1645681.6400000001</v>
      </c>
      <c r="J398">
        <f>Overtime!D398</f>
        <v>0</v>
      </c>
      <c r="K398">
        <f t="shared" si="19"/>
        <v>0.1</v>
      </c>
      <c r="L398">
        <f>IF(Performance!E398&lt;=1.5,0.01,IF(Performance!E398&lt;=2,0.02,IF(Performance!E398&lt;=3,0.03,"")))</f>
        <v>0.02</v>
      </c>
      <c r="M398">
        <f t="shared" si="20"/>
        <v>0.12000000000000001</v>
      </c>
      <c r="N398">
        <f>Earnings!B398*(1+M398)</f>
        <v>1971945.0240000002</v>
      </c>
    </row>
    <row r="399" spans="1:14" x14ac:dyDescent="0.35">
      <c r="A399" t="s">
        <v>429</v>
      </c>
      <c r="B399" t="s">
        <v>19</v>
      </c>
      <c r="C399" t="s">
        <v>15</v>
      </c>
      <c r="D399" t="s">
        <v>21</v>
      </c>
      <c r="E399">
        <v>15</v>
      </c>
      <c r="F399" t="s">
        <v>44</v>
      </c>
      <c r="G399">
        <f>Earnings!G399</f>
        <v>878785.58</v>
      </c>
      <c r="H399">
        <f>Deductions!B399+Deductions!C399+Deductions!D399+Tax!D399</f>
        <v>10093.235000000001</v>
      </c>
      <c r="I399">
        <f t="shared" si="18"/>
        <v>970232.696</v>
      </c>
      <c r="J399">
        <f>Overtime!D399</f>
        <v>101540.35100000001</v>
      </c>
      <c r="K399">
        <f t="shared" si="19"/>
        <v>0.06</v>
      </c>
      <c r="L399">
        <f>IF(Performance!E399&lt;=1.5,0.01,IF(Performance!E399&lt;=2,0.02,IF(Performance!E399&lt;=3,0.03,"")))</f>
        <v>0.03</v>
      </c>
      <c r="M399">
        <f t="shared" si="20"/>
        <v>0.09</v>
      </c>
      <c r="N399">
        <f>Earnings!B399*(1+M399)</f>
        <v>1006172.569</v>
      </c>
    </row>
    <row r="400" spans="1:14" x14ac:dyDescent="0.35">
      <c r="A400" t="s">
        <v>430</v>
      </c>
      <c r="B400" t="s">
        <v>29</v>
      </c>
      <c r="C400" t="s">
        <v>15</v>
      </c>
      <c r="D400" t="s">
        <v>21</v>
      </c>
      <c r="E400">
        <v>14</v>
      </c>
      <c r="F400" t="s">
        <v>37</v>
      </c>
      <c r="G400">
        <f>Earnings!G400</f>
        <v>1358596.01</v>
      </c>
      <c r="H400">
        <f>Deductions!B400+Deductions!C400+Deductions!D400+Tax!D400</f>
        <v>22052.416249999998</v>
      </c>
      <c r="I400">
        <f t="shared" si="18"/>
        <v>1457846.8089999999</v>
      </c>
      <c r="J400">
        <f>Overtime!D400</f>
        <v>121303.21525000001</v>
      </c>
      <c r="K400">
        <f t="shared" si="19"/>
        <v>0.06</v>
      </c>
      <c r="L400">
        <f>IF(Performance!E400&lt;=1.5,0.01,IF(Performance!E400&lt;=2,0.02,IF(Performance!E400&lt;=3,0.03,"")))</f>
        <v>0.02</v>
      </c>
      <c r="M400">
        <f t="shared" si="20"/>
        <v>0.08</v>
      </c>
      <c r="N400">
        <f>Earnings!B400*(1+M400)</f>
        <v>1541264.382</v>
      </c>
    </row>
    <row r="401" spans="1:14" x14ac:dyDescent="0.35">
      <c r="A401" t="s">
        <v>431</v>
      </c>
      <c r="B401" t="s">
        <v>29</v>
      </c>
      <c r="C401" t="s">
        <v>43</v>
      </c>
      <c r="D401" t="s">
        <v>21</v>
      </c>
      <c r="E401">
        <v>10.199999999999999</v>
      </c>
      <c r="F401" t="s">
        <v>44</v>
      </c>
      <c r="G401">
        <f>Earnings!G401</f>
        <v>1544188.03</v>
      </c>
      <c r="H401">
        <f>Deductions!B401+Deductions!C401+Deductions!D401+Tax!D401</f>
        <v>27066.155999999999</v>
      </c>
      <c r="I401">
        <f t="shared" si="18"/>
        <v>1723932.7708750002</v>
      </c>
      <c r="J401">
        <f>Overtime!D401</f>
        <v>206810.89687500001</v>
      </c>
      <c r="K401">
        <f t="shared" si="19"/>
        <v>0.12</v>
      </c>
      <c r="L401">
        <f>IF(Performance!E401&lt;=1.5,0.01,IF(Performance!E401&lt;=2,0.02,IF(Performance!E401&lt;=3,0.03,"")))</f>
        <v>0.02</v>
      </c>
      <c r="M401">
        <f t="shared" si="20"/>
        <v>0.13999999999999999</v>
      </c>
      <c r="N401">
        <f>Earnings!B401*(1+M401)</f>
        <v>1849132.7135999999</v>
      </c>
    </row>
    <row r="402" spans="1:14" x14ac:dyDescent="0.35">
      <c r="A402" t="s">
        <v>432</v>
      </c>
      <c r="B402" t="s">
        <v>29</v>
      </c>
      <c r="C402" t="s">
        <v>15</v>
      </c>
      <c r="D402" t="s">
        <v>21</v>
      </c>
      <c r="E402">
        <v>4</v>
      </c>
      <c r="F402" t="s">
        <v>44</v>
      </c>
      <c r="G402">
        <f>Earnings!G402</f>
        <v>789821.56</v>
      </c>
      <c r="H402">
        <f>Deductions!B402+Deductions!C402+Deductions!D402+Tax!D402</f>
        <v>8535.7416666666686</v>
      </c>
      <c r="I402">
        <f t="shared" si="18"/>
        <v>781285.81833333336</v>
      </c>
      <c r="J402">
        <f>Overtime!D402</f>
        <v>0</v>
      </c>
      <c r="K402">
        <f t="shared" si="19"/>
        <v>0.06</v>
      </c>
      <c r="L402">
        <f>IF(Performance!E402&lt;=1.5,0.01,IF(Performance!E402&lt;=2,0.02,IF(Performance!E402&lt;=3,0.03,"")))</f>
        <v>0.02</v>
      </c>
      <c r="M402">
        <f t="shared" si="20"/>
        <v>0.08</v>
      </c>
      <c r="N402">
        <f>Earnings!B402*(1+M402)</f>
        <v>896016.06</v>
      </c>
    </row>
    <row r="403" spans="1:14" x14ac:dyDescent="0.35">
      <c r="A403" t="s">
        <v>433</v>
      </c>
      <c r="B403" t="s">
        <v>29</v>
      </c>
      <c r="C403" t="s">
        <v>20</v>
      </c>
      <c r="D403" t="s">
        <v>21</v>
      </c>
      <c r="E403">
        <v>9.8000000000000007</v>
      </c>
      <c r="F403" t="s">
        <v>24</v>
      </c>
      <c r="G403">
        <f>Earnings!G403</f>
        <v>1202969.75</v>
      </c>
      <c r="H403">
        <f>Deductions!B403+Deductions!C403+Deductions!D403+Tax!D403</f>
        <v>18045.592249999994</v>
      </c>
      <c r="I403">
        <f t="shared" si="18"/>
        <v>1299913.91445</v>
      </c>
      <c r="J403">
        <f>Overtime!D403</f>
        <v>114989.75669999998</v>
      </c>
      <c r="K403">
        <f t="shared" si="19"/>
        <v>0.1</v>
      </c>
      <c r="L403">
        <f>IF(Performance!E403&lt;=1.5,0.01,IF(Performance!E403&lt;=2,0.02,IF(Performance!E403&lt;=3,0.03,"")))</f>
        <v>0.02</v>
      </c>
      <c r="M403">
        <f t="shared" si="20"/>
        <v>0.12000000000000001</v>
      </c>
      <c r="N403">
        <f>Earnings!B403*(1+M403)</f>
        <v>1415258.5328000002</v>
      </c>
    </row>
    <row r="404" spans="1:14" x14ac:dyDescent="0.35">
      <c r="A404" t="s">
        <v>434</v>
      </c>
      <c r="B404" t="s">
        <v>19</v>
      </c>
      <c r="C404" t="s">
        <v>15</v>
      </c>
      <c r="D404" t="s">
        <v>16</v>
      </c>
      <c r="E404">
        <v>6</v>
      </c>
      <c r="F404" t="s">
        <v>37</v>
      </c>
      <c r="G404">
        <f>Earnings!G404</f>
        <v>702033.36</v>
      </c>
      <c r="H404">
        <f>Deductions!B404+Deductions!C404+Deductions!D404+Tax!D404</f>
        <v>6998.833333333333</v>
      </c>
      <c r="I404">
        <f t="shared" si="18"/>
        <v>717157.42666666664</v>
      </c>
      <c r="J404">
        <f>Overtime!D404</f>
        <v>22122.9</v>
      </c>
      <c r="K404">
        <f t="shared" si="19"/>
        <v>0.06</v>
      </c>
      <c r="L404">
        <f>IF(Performance!E404&lt;=1.5,0.01,IF(Performance!E404&lt;=2,0.02,IF(Performance!E404&lt;=3,0.03,"")))</f>
        <v>0.03</v>
      </c>
      <c r="M404">
        <f t="shared" si="20"/>
        <v>0.09</v>
      </c>
      <c r="N404">
        <f>Earnings!B404*(1+M404)</f>
        <v>803798.70000000007</v>
      </c>
    </row>
    <row r="405" spans="1:14" x14ac:dyDescent="0.35">
      <c r="A405" t="s">
        <v>435</v>
      </c>
      <c r="B405" t="s">
        <v>35</v>
      </c>
      <c r="C405" t="s">
        <v>43</v>
      </c>
      <c r="D405" t="s">
        <v>16</v>
      </c>
      <c r="E405">
        <v>11.9</v>
      </c>
      <c r="F405" t="s">
        <v>70</v>
      </c>
      <c r="G405">
        <f>Earnings!G405</f>
        <v>1214848.72</v>
      </c>
      <c r="H405">
        <f>Deductions!B405+Deductions!C405+Deductions!D405+Tax!D405</f>
        <v>18417.54</v>
      </c>
      <c r="I405">
        <f t="shared" si="18"/>
        <v>1196431.18</v>
      </c>
      <c r="J405">
        <f>Overtime!D405</f>
        <v>0</v>
      </c>
      <c r="K405">
        <f t="shared" si="19"/>
        <v>0.12</v>
      </c>
      <c r="L405">
        <f>IF(Performance!E405&lt;=1.5,0.01,IF(Performance!E405&lt;=2,0.02,IF(Performance!E405&lt;=3,0.03,"")))</f>
        <v>0.01</v>
      </c>
      <c r="M405">
        <f t="shared" si="20"/>
        <v>0.13</v>
      </c>
      <c r="N405">
        <f>Earnings!B405*(1+M405)</f>
        <v>1441994.808</v>
      </c>
    </row>
    <row r="406" spans="1:14" x14ac:dyDescent="0.35">
      <c r="A406" t="s">
        <v>436</v>
      </c>
      <c r="B406" t="s">
        <v>35</v>
      </c>
      <c r="C406" t="s">
        <v>15</v>
      </c>
      <c r="D406" t="s">
        <v>16</v>
      </c>
      <c r="E406">
        <v>5</v>
      </c>
      <c r="F406" t="s">
        <v>27</v>
      </c>
      <c r="G406">
        <f>Earnings!G406</f>
        <v>722829.8</v>
      </c>
      <c r="H406">
        <f>Deductions!B406+Deductions!C406+Deductions!D406+Tax!D406</f>
        <v>7362.916666666667</v>
      </c>
      <c r="I406">
        <f t="shared" si="18"/>
        <v>791394.38333333342</v>
      </c>
      <c r="J406">
        <f>Overtime!D406</f>
        <v>75927.5</v>
      </c>
      <c r="K406">
        <f t="shared" si="19"/>
        <v>0.06</v>
      </c>
      <c r="L406">
        <f>IF(Performance!E406&lt;=1.5,0.01,IF(Performance!E406&lt;=2,0.02,IF(Performance!E406&lt;=3,0.03,"")))</f>
        <v>0.01</v>
      </c>
      <c r="M406">
        <f t="shared" si="20"/>
        <v>6.9999999999999993E-2</v>
      </c>
      <c r="N406">
        <f>Earnings!B406*(1+M406)</f>
        <v>812424.25</v>
      </c>
    </row>
    <row r="407" spans="1:14" x14ac:dyDescent="0.35">
      <c r="A407" t="s">
        <v>437</v>
      </c>
      <c r="B407" t="s">
        <v>26</v>
      </c>
      <c r="C407" t="s">
        <v>15</v>
      </c>
      <c r="D407" t="s">
        <v>21</v>
      </c>
      <c r="E407">
        <v>11</v>
      </c>
      <c r="F407" t="s">
        <v>37</v>
      </c>
      <c r="G407">
        <f>Earnings!G407</f>
        <v>673844.93</v>
      </c>
      <c r="H407">
        <f>Deductions!B407+Deductions!C407+Deductions!D407+Tax!D407</f>
        <v>6505.338333333334</v>
      </c>
      <c r="I407">
        <f t="shared" si="18"/>
        <v>745199.82466666668</v>
      </c>
      <c r="J407">
        <f>Overtime!D407</f>
        <v>77860.232999999993</v>
      </c>
      <c r="K407">
        <f t="shared" si="19"/>
        <v>0.06</v>
      </c>
      <c r="L407">
        <f>IF(Performance!E407&lt;=1.5,0.01,IF(Performance!E407&lt;=2,0.02,IF(Performance!E407&lt;=3,0.03,"")))</f>
        <v>0.01</v>
      </c>
      <c r="M407">
        <f t="shared" si="20"/>
        <v>6.9999999999999993E-2</v>
      </c>
      <c r="N407">
        <f>Earnings!B407*(1+M407)</f>
        <v>757367.72100000014</v>
      </c>
    </row>
    <row r="408" spans="1:14" x14ac:dyDescent="0.35">
      <c r="A408" t="s">
        <v>438</v>
      </c>
      <c r="B408" t="s">
        <v>19</v>
      </c>
      <c r="C408" t="s">
        <v>20</v>
      </c>
      <c r="D408" t="s">
        <v>16</v>
      </c>
      <c r="E408">
        <v>19.600000000000001</v>
      </c>
      <c r="F408" t="s">
        <v>44</v>
      </c>
      <c r="G408">
        <f>Earnings!G408</f>
        <v>1623325.08</v>
      </c>
      <c r="H408">
        <f>Deductions!B408+Deductions!C408+Deductions!D408+Tax!D408</f>
        <v>29084.334999999995</v>
      </c>
      <c r="I408">
        <f t="shared" si="18"/>
        <v>1653921.814</v>
      </c>
      <c r="J408">
        <f>Overtime!D408</f>
        <v>59681.069000000003</v>
      </c>
      <c r="K408">
        <f t="shared" si="19"/>
        <v>0.1</v>
      </c>
      <c r="L408">
        <f>IF(Performance!E408&lt;=1.5,0.01,IF(Performance!E408&lt;=2,0.02,IF(Performance!E408&lt;=3,0.03,"")))</f>
        <v>0.03</v>
      </c>
      <c r="M408">
        <f t="shared" si="20"/>
        <v>0.13</v>
      </c>
      <c r="N408">
        <f>Earnings!B408*(1+M408)</f>
        <v>1926845.9419999998</v>
      </c>
    </row>
    <row r="409" spans="1:14" x14ac:dyDescent="0.35">
      <c r="A409" t="s">
        <v>439</v>
      </c>
      <c r="B409" t="s">
        <v>19</v>
      </c>
      <c r="C409" t="s">
        <v>43</v>
      </c>
      <c r="D409" t="s">
        <v>16</v>
      </c>
      <c r="E409">
        <v>0</v>
      </c>
      <c r="F409" t="s">
        <v>44</v>
      </c>
      <c r="G409">
        <f>Earnings!G409</f>
        <v>1288840.3500000001</v>
      </c>
      <c r="H409">
        <f>Deductions!B409+Deductions!C409+Deductions!D409+Tax!D409</f>
        <v>20360.5975</v>
      </c>
      <c r="I409">
        <f t="shared" si="18"/>
        <v>1383554.7840000002</v>
      </c>
      <c r="J409">
        <f>Overtime!D409</f>
        <v>115075.03150000001</v>
      </c>
      <c r="K409">
        <f t="shared" si="19"/>
        <v>0.12</v>
      </c>
      <c r="L409">
        <f>IF(Performance!E409&lt;=1.5,0.01,IF(Performance!E409&lt;=2,0.02,IF(Performance!E409&lt;=3,0.03,"")))</f>
        <v>0.03</v>
      </c>
      <c r="M409">
        <f t="shared" si="20"/>
        <v>0.15</v>
      </c>
      <c r="N409">
        <f>Earnings!B409*(1+M409)</f>
        <v>1556897.4849999999</v>
      </c>
    </row>
    <row r="410" spans="1:14" x14ac:dyDescent="0.35">
      <c r="A410" t="s">
        <v>440</v>
      </c>
      <c r="B410" t="s">
        <v>26</v>
      </c>
      <c r="C410" t="s">
        <v>15</v>
      </c>
      <c r="D410" t="s">
        <v>16</v>
      </c>
      <c r="E410">
        <v>7</v>
      </c>
      <c r="F410" t="s">
        <v>37</v>
      </c>
      <c r="G410">
        <f>Earnings!G410</f>
        <v>807871.01</v>
      </c>
      <c r="H410">
        <f>Deductions!B410+Deductions!C410+Deductions!D410+Tax!D410</f>
        <v>8851.7333333333336</v>
      </c>
      <c r="I410">
        <f t="shared" si="18"/>
        <v>799019.27666666673</v>
      </c>
      <c r="J410">
        <f>Overtime!D410</f>
        <v>0</v>
      </c>
      <c r="K410">
        <f t="shared" si="19"/>
        <v>0.06</v>
      </c>
      <c r="L410">
        <f>IF(Performance!E410&lt;=1.5,0.01,IF(Performance!E410&lt;=2,0.02,IF(Performance!E410&lt;=3,0.03,"")))</f>
        <v>0.01</v>
      </c>
      <c r="M410">
        <f t="shared" si="20"/>
        <v>6.9999999999999993E-2</v>
      </c>
      <c r="N410">
        <f>Earnings!B410*(1+M410)</f>
        <v>908006.28</v>
      </c>
    </row>
    <row r="411" spans="1:14" x14ac:dyDescent="0.35">
      <c r="A411" t="s">
        <v>441</v>
      </c>
      <c r="B411" t="s">
        <v>29</v>
      </c>
      <c r="C411" t="s">
        <v>33</v>
      </c>
      <c r="D411" t="s">
        <v>21</v>
      </c>
      <c r="E411">
        <v>12</v>
      </c>
      <c r="F411" t="s">
        <v>22</v>
      </c>
      <c r="G411">
        <f>Earnings!G411</f>
        <v>1113040.3799999999</v>
      </c>
      <c r="H411">
        <f>Deductions!B411+Deductions!C411+Deductions!D411+Tax!D411</f>
        <v>15644.0015</v>
      </c>
      <c r="I411">
        <f t="shared" si="18"/>
        <v>1097396.3784999999</v>
      </c>
      <c r="J411">
        <f>Overtime!D411</f>
        <v>0</v>
      </c>
      <c r="K411">
        <f t="shared" si="19"/>
        <v>0.08</v>
      </c>
      <c r="L411">
        <f>IF(Performance!E411&lt;=1.5,0.01,IF(Performance!E411&lt;=2,0.02,IF(Performance!E411&lt;=3,0.03,"")))</f>
        <v>0.02</v>
      </c>
      <c r="M411">
        <f t="shared" si="20"/>
        <v>0.1</v>
      </c>
      <c r="N411">
        <f>Earnings!B411*(1+M411)</f>
        <v>1286076.0660000001</v>
      </c>
    </row>
    <row r="412" spans="1:14" x14ac:dyDescent="0.35">
      <c r="A412" t="s">
        <v>442</v>
      </c>
      <c r="B412" t="s">
        <v>19</v>
      </c>
      <c r="C412" t="s">
        <v>20</v>
      </c>
      <c r="D412" t="s">
        <v>21</v>
      </c>
      <c r="E412">
        <v>5.6</v>
      </c>
      <c r="F412" t="s">
        <v>24</v>
      </c>
      <c r="G412">
        <f>Earnings!G412</f>
        <v>820732.51</v>
      </c>
      <c r="H412">
        <f>Deductions!B412+Deductions!C412+Deductions!D412+Tax!D412</f>
        <v>9156.8996666666681</v>
      </c>
      <c r="I412">
        <f t="shared" si="18"/>
        <v>811575.61033333337</v>
      </c>
      <c r="J412">
        <f>Overtime!D412</f>
        <v>0</v>
      </c>
      <c r="K412">
        <f t="shared" si="19"/>
        <v>0.1</v>
      </c>
      <c r="L412">
        <f>IF(Performance!E412&lt;=1.5,0.01,IF(Performance!E412&lt;=2,0.02,IF(Performance!E412&lt;=3,0.03,"")))</f>
        <v>0.03</v>
      </c>
      <c r="M412">
        <f t="shared" si="20"/>
        <v>0.13</v>
      </c>
      <c r="N412">
        <f>Earnings!B412*(1+M412)</f>
        <v>974188.79739999992</v>
      </c>
    </row>
    <row r="413" spans="1:14" x14ac:dyDescent="0.35">
      <c r="A413" t="s">
        <v>443</v>
      </c>
      <c r="B413" t="s">
        <v>29</v>
      </c>
      <c r="C413" t="s">
        <v>33</v>
      </c>
      <c r="D413" t="s">
        <v>16</v>
      </c>
      <c r="E413">
        <v>18</v>
      </c>
      <c r="F413" t="s">
        <v>70</v>
      </c>
      <c r="G413">
        <f>Earnings!G413</f>
        <v>1426173.3</v>
      </c>
      <c r="H413">
        <f>Deductions!B413+Deductions!C413+Deductions!D413+Tax!D413</f>
        <v>23867.03</v>
      </c>
      <c r="I413">
        <f t="shared" si="18"/>
        <v>1402306.27</v>
      </c>
      <c r="J413">
        <f>Overtime!D413</f>
        <v>0</v>
      </c>
      <c r="K413">
        <f t="shared" si="19"/>
        <v>0.08</v>
      </c>
      <c r="L413">
        <f>IF(Performance!E413&lt;=1.5,0.01,IF(Performance!E413&lt;=2,0.02,IF(Performance!E413&lt;=3,0.03,"")))</f>
        <v>0.02</v>
      </c>
      <c r="M413">
        <f t="shared" si="20"/>
        <v>0.1</v>
      </c>
      <c r="N413">
        <f>Earnings!B413*(1+M413)</f>
        <v>1647889.32</v>
      </c>
    </row>
    <row r="414" spans="1:14" x14ac:dyDescent="0.35">
      <c r="A414" t="s">
        <v>444</v>
      </c>
      <c r="B414" t="s">
        <v>14</v>
      </c>
      <c r="C414" t="s">
        <v>43</v>
      </c>
      <c r="D414" t="s">
        <v>16</v>
      </c>
      <c r="E414">
        <v>17</v>
      </c>
      <c r="F414" t="s">
        <v>31</v>
      </c>
      <c r="G414">
        <f>Earnings!G414</f>
        <v>1319131.95</v>
      </c>
      <c r="H414">
        <f>Deductions!B414+Deductions!C414+Deductions!D414+Tax!D414</f>
        <v>21156.070000000003</v>
      </c>
      <c r="I414">
        <f t="shared" si="18"/>
        <v>1568869.0474</v>
      </c>
      <c r="J414">
        <f>Overtime!D414</f>
        <v>270893.16740000003</v>
      </c>
      <c r="K414">
        <f t="shared" si="19"/>
        <v>0.12</v>
      </c>
      <c r="L414">
        <f>IF(Performance!E414&lt;=1.5,0.01,IF(Performance!E414&lt;=2,0.02,IF(Performance!E414&lt;=3,0.03,"")))</f>
        <v>0.01</v>
      </c>
      <c r="M414">
        <f t="shared" si="20"/>
        <v>0.13</v>
      </c>
      <c r="N414">
        <f>Earnings!B414*(1+M414)</f>
        <v>1565776.3639999998</v>
      </c>
    </row>
    <row r="415" spans="1:14" x14ac:dyDescent="0.35">
      <c r="A415" t="s">
        <v>445</v>
      </c>
      <c r="B415" t="s">
        <v>35</v>
      </c>
      <c r="C415" t="s">
        <v>33</v>
      </c>
      <c r="D415" t="s">
        <v>16</v>
      </c>
      <c r="E415">
        <v>15.6</v>
      </c>
      <c r="F415" t="s">
        <v>44</v>
      </c>
      <c r="G415">
        <f>Earnings!G415</f>
        <v>1053312.22</v>
      </c>
      <c r="H415">
        <f>Deductions!B415+Deductions!C415+Deductions!D415+Tax!D415</f>
        <v>14075.509999999997</v>
      </c>
      <c r="I415">
        <f t="shared" si="18"/>
        <v>1039236.71</v>
      </c>
      <c r="J415">
        <f>Overtime!D415</f>
        <v>0</v>
      </c>
      <c r="K415">
        <f t="shared" si="19"/>
        <v>0.08</v>
      </c>
      <c r="L415">
        <f>IF(Performance!E415&lt;=1.5,0.01,IF(Performance!E415&lt;=2,0.02,IF(Performance!E415&lt;=3,0.03,"")))</f>
        <v>0.01</v>
      </c>
      <c r="M415">
        <f t="shared" si="20"/>
        <v>0.09</v>
      </c>
      <c r="N415">
        <f>Earnings!B415*(1+M415)</f>
        <v>1205998.236</v>
      </c>
    </row>
    <row r="416" spans="1:14" x14ac:dyDescent="0.35">
      <c r="A416" t="s">
        <v>446</v>
      </c>
      <c r="B416" t="s">
        <v>14</v>
      </c>
      <c r="C416" t="s">
        <v>20</v>
      </c>
      <c r="D416" t="s">
        <v>21</v>
      </c>
      <c r="E416">
        <v>15.4</v>
      </c>
      <c r="F416" t="s">
        <v>44</v>
      </c>
      <c r="G416">
        <f>Earnings!G416</f>
        <v>1058490.77</v>
      </c>
      <c r="H416">
        <f>Deductions!B416+Deductions!C416+Deductions!D416+Tax!D416</f>
        <v>14251.501250000001</v>
      </c>
      <c r="I416">
        <f t="shared" si="18"/>
        <v>1238814.7775000001</v>
      </c>
      <c r="J416">
        <f>Overtime!D416</f>
        <v>194575.50875000001</v>
      </c>
      <c r="K416">
        <f t="shared" si="19"/>
        <v>0.1</v>
      </c>
      <c r="L416">
        <f>IF(Performance!E416&lt;=1.5,0.01,IF(Performance!E416&lt;=2,0.02,IF(Performance!E416&lt;=3,0.03,"")))</f>
        <v>0.01</v>
      </c>
      <c r="M416">
        <f t="shared" si="20"/>
        <v>0.11</v>
      </c>
      <c r="N416">
        <f>Earnings!B416*(1+M416)</f>
        <v>1234164.6555000001</v>
      </c>
    </row>
    <row r="417" spans="1:14" x14ac:dyDescent="0.35">
      <c r="A417" t="s">
        <v>447</v>
      </c>
      <c r="B417" t="s">
        <v>35</v>
      </c>
      <c r="C417" t="s">
        <v>33</v>
      </c>
      <c r="D417" t="s">
        <v>21</v>
      </c>
      <c r="E417">
        <v>7.2</v>
      </c>
      <c r="F417" t="s">
        <v>37</v>
      </c>
      <c r="G417">
        <f>Earnings!G417</f>
        <v>1160054.71</v>
      </c>
      <c r="H417">
        <f>Deductions!B417+Deductions!C417+Deductions!D417+Tax!D417</f>
        <v>16878.621500000001</v>
      </c>
      <c r="I417">
        <f t="shared" si="18"/>
        <v>1333269.0851</v>
      </c>
      <c r="J417">
        <f>Overtime!D417</f>
        <v>190092.99660000001</v>
      </c>
      <c r="K417">
        <f t="shared" si="19"/>
        <v>0.08</v>
      </c>
      <c r="L417">
        <f>IF(Performance!E417&lt;=1.5,0.01,IF(Performance!E417&lt;=2,0.02,IF(Performance!E417&lt;=3,0.03,"")))</f>
        <v>0.01</v>
      </c>
      <c r="M417">
        <f t="shared" si="20"/>
        <v>0.09</v>
      </c>
      <c r="N417">
        <f>Earnings!B417*(1+M417)</f>
        <v>1328213.8974000001</v>
      </c>
    </row>
    <row r="418" spans="1:14" x14ac:dyDescent="0.35">
      <c r="A418" t="s">
        <v>448</v>
      </c>
      <c r="B418" t="s">
        <v>35</v>
      </c>
      <c r="C418" t="s">
        <v>43</v>
      </c>
      <c r="D418" t="s">
        <v>16</v>
      </c>
      <c r="E418">
        <v>11.9</v>
      </c>
      <c r="F418" t="s">
        <v>44</v>
      </c>
      <c r="G418">
        <f>Earnings!G418</f>
        <v>1315234.8400000001</v>
      </c>
      <c r="H418">
        <f>Deductions!B418+Deductions!C418+Deductions!D418+Tax!D418</f>
        <v>21053.73</v>
      </c>
      <c r="I418">
        <f t="shared" si="18"/>
        <v>1294181.1100000001</v>
      </c>
      <c r="J418">
        <f>Overtime!D418</f>
        <v>0</v>
      </c>
      <c r="K418">
        <f t="shared" si="19"/>
        <v>0.12</v>
      </c>
      <c r="L418">
        <f>IF(Performance!E418&lt;=1.5,0.01,IF(Performance!E418&lt;=2,0.02,IF(Performance!E418&lt;=3,0.03,"")))</f>
        <v>0.01</v>
      </c>
      <c r="M418">
        <f t="shared" si="20"/>
        <v>0.13</v>
      </c>
      <c r="N418">
        <f>Earnings!B418*(1+M418)</f>
        <v>1561150.5959999999</v>
      </c>
    </row>
    <row r="419" spans="1:14" x14ac:dyDescent="0.35">
      <c r="A419" t="s">
        <v>449</v>
      </c>
      <c r="B419" t="s">
        <v>14</v>
      </c>
      <c r="C419" t="s">
        <v>20</v>
      </c>
      <c r="D419" t="s">
        <v>16</v>
      </c>
      <c r="E419">
        <v>9.8000000000000007</v>
      </c>
      <c r="F419" t="s">
        <v>44</v>
      </c>
      <c r="G419">
        <f>Earnings!G419</f>
        <v>750731.59</v>
      </c>
      <c r="H419">
        <f>Deductions!B419+Deductions!C419+Deductions!D419+Tax!D419</f>
        <v>7931.3933333333334</v>
      </c>
      <c r="I419">
        <f t="shared" si="18"/>
        <v>742800.19666666666</v>
      </c>
      <c r="J419">
        <f>Overtime!D419</f>
        <v>0</v>
      </c>
      <c r="K419">
        <f t="shared" si="19"/>
        <v>0.1</v>
      </c>
      <c r="L419">
        <f>IF(Performance!E419&lt;=1.5,0.01,IF(Performance!E419&lt;=2,0.02,IF(Performance!E419&lt;=3,0.03,"")))</f>
        <v>0.01</v>
      </c>
      <c r="M419">
        <f t="shared" si="20"/>
        <v>0.11</v>
      </c>
      <c r="N419">
        <f>Earnings!B419*(1+M419)</f>
        <v>875327.79600000009</v>
      </c>
    </row>
    <row r="420" spans="1:14" x14ac:dyDescent="0.35">
      <c r="A420" t="s">
        <v>450</v>
      </c>
      <c r="B420" t="s">
        <v>29</v>
      </c>
      <c r="C420" t="s">
        <v>20</v>
      </c>
      <c r="D420" t="s">
        <v>16</v>
      </c>
      <c r="E420">
        <v>15.4</v>
      </c>
      <c r="F420" t="s">
        <v>44</v>
      </c>
      <c r="G420">
        <f>Earnings!G420</f>
        <v>1768255.08</v>
      </c>
      <c r="H420">
        <f>Deductions!B420+Deductions!C420+Deductions!D420+Tax!D420</f>
        <v>32890.270000000004</v>
      </c>
      <c r="I420">
        <f t="shared" si="18"/>
        <v>1930392.9440000001</v>
      </c>
      <c r="J420">
        <f>Overtime!D420</f>
        <v>195028.13399999999</v>
      </c>
      <c r="K420">
        <f t="shared" si="19"/>
        <v>0.1</v>
      </c>
      <c r="L420">
        <f>IF(Performance!E420&lt;=1.5,0.01,IF(Performance!E420&lt;=2,0.02,IF(Performance!E420&lt;=3,0.03,"")))</f>
        <v>0.02</v>
      </c>
      <c r="M420">
        <f t="shared" si="20"/>
        <v>0.12000000000000001</v>
      </c>
      <c r="N420">
        <f>Earnings!B420*(1+M420)</f>
        <v>2080300.0960000001</v>
      </c>
    </row>
    <row r="421" spans="1:14" x14ac:dyDescent="0.35">
      <c r="A421" t="s">
        <v>451</v>
      </c>
      <c r="B421" t="s">
        <v>26</v>
      </c>
      <c r="C421" t="s">
        <v>20</v>
      </c>
      <c r="D421" t="s">
        <v>21</v>
      </c>
      <c r="E421">
        <v>4.2</v>
      </c>
      <c r="F421" t="s">
        <v>44</v>
      </c>
      <c r="G421">
        <f>Earnings!G421</f>
        <v>951022.91</v>
      </c>
      <c r="H421">
        <f>Deductions!B421+Deductions!C421+Deductions!D421+Tax!D421</f>
        <v>11437.894</v>
      </c>
      <c r="I421">
        <f t="shared" si="18"/>
        <v>1065455.6959000002</v>
      </c>
      <c r="J421">
        <f>Overtime!D421</f>
        <v>125870.6799</v>
      </c>
      <c r="K421">
        <f t="shared" si="19"/>
        <v>0.1</v>
      </c>
      <c r="L421">
        <f>IF(Performance!E421&lt;=1.5,0.01,IF(Performance!E421&lt;=2,0.02,IF(Performance!E421&lt;=3,0.03,"")))</f>
        <v>0.01</v>
      </c>
      <c r="M421">
        <f t="shared" si="20"/>
        <v>0.11</v>
      </c>
      <c r="N421">
        <f>Earnings!B421*(1+M421)</f>
        <v>1108860.7404</v>
      </c>
    </row>
    <row r="422" spans="1:14" x14ac:dyDescent="0.35">
      <c r="A422" t="s">
        <v>452</v>
      </c>
      <c r="B422" t="s">
        <v>26</v>
      </c>
      <c r="C422" t="s">
        <v>15</v>
      </c>
      <c r="D422" t="s">
        <v>16</v>
      </c>
      <c r="E422">
        <v>7</v>
      </c>
      <c r="F422" t="s">
        <v>31</v>
      </c>
      <c r="G422">
        <f>Earnings!G422</f>
        <v>807359.78</v>
      </c>
      <c r="H422">
        <f>Deductions!B422+Deductions!C422+Deductions!D422+Tax!D422</f>
        <v>8842.7833333333328</v>
      </c>
      <c r="I422">
        <f t="shared" si="18"/>
        <v>900285.03666666674</v>
      </c>
      <c r="J422">
        <f>Overtime!D422</f>
        <v>101768.04000000001</v>
      </c>
      <c r="K422">
        <f t="shared" si="19"/>
        <v>0.06</v>
      </c>
      <c r="L422">
        <f>IF(Performance!E422&lt;=1.5,0.01,IF(Performance!E422&lt;=2,0.02,IF(Performance!E422&lt;=3,0.03,"")))</f>
        <v>0.01</v>
      </c>
      <c r="M422">
        <f t="shared" si="20"/>
        <v>6.9999999999999993E-2</v>
      </c>
      <c r="N422">
        <f>Earnings!B422*(1+M422)</f>
        <v>907431.69000000006</v>
      </c>
    </row>
    <row r="423" spans="1:14" x14ac:dyDescent="0.35">
      <c r="A423" t="s">
        <v>453</v>
      </c>
      <c r="B423" t="s">
        <v>26</v>
      </c>
      <c r="C423" t="s">
        <v>15</v>
      </c>
      <c r="D423" t="s">
        <v>21</v>
      </c>
      <c r="E423">
        <v>5</v>
      </c>
      <c r="F423" t="s">
        <v>22</v>
      </c>
      <c r="G423">
        <f>Earnings!G423</f>
        <v>720350.98</v>
      </c>
      <c r="H423">
        <f>Deductions!B423+Deductions!C423+Deductions!D423+Tax!D423</f>
        <v>7319.5199999999995</v>
      </c>
      <c r="I423">
        <f t="shared" si="18"/>
        <v>743298.30799999996</v>
      </c>
      <c r="J423">
        <f>Overtime!D423</f>
        <v>30266.847999999998</v>
      </c>
      <c r="K423">
        <f t="shared" si="19"/>
        <v>0.06</v>
      </c>
      <c r="L423">
        <f>IF(Performance!E423&lt;=1.5,0.01,IF(Performance!E423&lt;=2,0.02,IF(Performance!E423&lt;=3,0.03,"")))</f>
        <v>0.01</v>
      </c>
      <c r="M423">
        <f t="shared" si="20"/>
        <v>6.9999999999999993E-2</v>
      </c>
      <c r="N423">
        <f>Earnings!B423*(1+M423)</f>
        <v>809638.18400000001</v>
      </c>
    </row>
    <row r="424" spans="1:14" x14ac:dyDescent="0.35">
      <c r="A424" t="s">
        <v>454</v>
      </c>
      <c r="B424" t="s">
        <v>35</v>
      </c>
      <c r="C424" t="s">
        <v>33</v>
      </c>
      <c r="D424" t="s">
        <v>21</v>
      </c>
      <c r="E424">
        <v>14.4</v>
      </c>
      <c r="F424" t="s">
        <v>70</v>
      </c>
      <c r="G424">
        <f>Earnings!G424</f>
        <v>1385803.8</v>
      </c>
      <c r="H424">
        <f>Deductions!B424+Deductions!C424+Deductions!D424+Tax!D424</f>
        <v>22806.906500000001</v>
      </c>
      <c r="I424">
        <f t="shared" si="18"/>
        <v>1362996.8935</v>
      </c>
      <c r="J424">
        <f>Overtime!D424</f>
        <v>0</v>
      </c>
      <c r="K424">
        <f t="shared" si="19"/>
        <v>0.08</v>
      </c>
      <c r="L424">
        <f>IF(Performance!E424&lt;=1.5,0.01,IF(Performance!E424&lt;=2,0.02,IF(Performance!E424&lt;=3,0.03,"")))</f>
        <v>0.01</v>
      </c>
      <c r="M424">
        <f t="shared" si="20"/>
        <v>0.09</v>
      </c>
      <c r="N424">
        <f>Earnings!B424*(1+M424)</f>
        <v>1586687.1234000002</v>
      </c>
    </row>
    <row r="425" spans="1:14" x14ac:dyDescent="0.35">
      <c r="A425" t="s">
        <v>455</v>
      </c>
      <c r="B425" t="s">
        <v>14</v>
      </c>
      <c r="C425" t="s">
        <v>33</v>
      </c>
      <c r="D425" t="s">
        <v>21</v>
      </c>
      <c r="E425">
        <v>1.2</v>
      </c>
      <c r="F425" t="s">
        <v>37</v>
      </c>
      <c r="G425">
        <f>Earnings!G425</f>
        <v>388651.79</v>
      </c>
      <c r="H425">
        <f>Deductions!B425+Deductions!C425+Deductions!D425+Tax!D425</f>
        <v>2699.3653333333332</v>
      </c>
      <c r="I425">
        <f t="shared" si="18"/>
        <v>385952.42466666666</v>
      </c>
      <c r="J425">
        <f>Overtime!D425</f>
        <v>0</v>
      </c>
      <c r="K425">
        <f t="shared" si="19"/>
        <v>0.08</v>
      </c>
      <c r="L425">
        <f>IF(Performance!E425&lt;=1.5,0.01,IF(Performance!E425&lt;=2,0.02,IF(Performance!E425&lt;=3,0.03,"")))</f>
        <v>0.01</v>
      </c>
      <c r="M425">
        <f t="shared" si="20"/>
        <v>0.09</v>
      </c>
      <c r="N425">
        <f>Earnings!B425*(1+M425)</f>
        <v>444989.97120000003</v>
      </c>
    </row>
    <row r="426" spans="1:14" x14ac:dyDescent="0.35">
      <c r="A426" t="s">
        <v>456</v>
      </c>
      <c r="B426" t="s">
        <v>35</v>
      </c>
      <c r="C426" t="s">
        <v>43</v>
      </c>
      <c r="D426" t="s">
        <v>21</v>
      </c>
      <c r="E426">
        <v>25.5</v>
      </c>
      <c r="F426" t="s">
        <v>70</v>
      </c>
      <c r="G426">
        <f>Earnings!G426</f>
        <v>2159270.7400000002</v>
      </c>
      <c r="H426">
        <f>Deductions!B426+Deductions!C426+Deductions!D426+Tax!D426</f>
        <v>43218.538249999991</v>
      </c>
      <c r="I426">
        <f t="shared" si="18"/>
        <v>2116052.20175</v>
      </c>
      <c r="J426">
        <f>Overtime!D426</f>
        <v>0</v>
      </c>
      <c r="K426">
        <f t="shared" si="19"/>
        <v>0.12</v>
      </c>
      <c r="L426">
        <f>IF(Performance!E426&lt;=1.5,0.01,IF(Performance!E426&lt;=2,0.02,IF(Performance!E426&lt;=3,0.03,"")))</f>
        <v>0.01</v>
      </c>
      <c r="M426">
        <f t="shared" si="20"/>
        <v>0.13</v>
      </c>
      <c r="N426">
        <f>Earnings!B426*(1+M426)</f>
        <v>2562999.9288999997</v>
      </c>
    </row>
    <row r="427" spans="1:14" x14ac:dyDescent="0.35">
      <c r="A427" t="s">
        <v>457</v>
      </c>
      <c r="B427" t="s">
        <v>19</v>
      </c>
      <c r="C427" t="s">
        <v>15</v>
      </c>
      <c r="D427" t="s">
        <v>21</v>
      </c>
      <c r="E427">
        <v>6</v>
      </c>
      <c r="F427" t="s">
        <v>27</v>
      </c>
      <c r="G427">
        <f>Earnings!G427</f>
        <v>741099.73</v>
      </c>
      <c r="H427">
        <f>Deductions!B427+Deductions!C427+Deductions!D427+Tax!D427</f>
        <v>7682.7683333333334</v>
      </c>
      <c r="I427">
        <f t="shared" si="18"/>
        <v>850186.87666666671</v>
      </c>
      <c r="J427">
        <f>Overtime!D427</f>
        <v>116769.91500000001</v>
      </c>
      <c r="K427">
        <f t="shared" si="19"/>
        <v>0.06</v>
      </c>
      <c r="L427">
        <f>IF(Performance!E427&lt;=1.5,0.01,IF(Performance!E427&lt;=2,0.02,IF(Performance!E427&lt;=3,0.03,"")))</f>
        <v>0.03</v>
      </c>
      <c r="M427">
        <f t="shared" si="20"/>
        <v>0.09</v>
      </c>
      <c r="N427">
        <f>Earnings!B427*(1+M427)</f>
        <v>848528.049</v>
      </c>
    </row>
    <row r="428" spans="1:14" x14ac:dyDescent="0.35">
      <c r="A428" t="s">
        <v>458</v>
      </c>
      <c r="B428" t="s">
        <v>14</v>
      </c>
      <c r="C428" t="s">
        <v>33</v>
      </c>
      <c r="D428" t="s">
        <v>21</v>
      </c>
      <c r="E428">
        <v>14.4</v>
      </c>
      <c r="F428" t="s">
        <v>31</v>
      </c>
      <c r="G428">
        <f>Earnings!G428</f>
        <v>993490.27</v>
      </c>
      <c r="H428">
        <f>Deductions!B428+Deductions!C428+Deductions!D428+Tax!D428</f>
        <v>12504.5555</v>
      </c>
      <c r="I428">
        <f t="shared" si="18"/>
        <v>980985.7145</v>
      </c>
      <c r="J428">
        <f>Overtime!D428</f>
        <v>0</v>
      </c>
      <c r="K428">
        <f t="shared" si="19"/>
        <v>0.08</v>
      </c>
      <c r="L428">
        <f>IF(Performance!E428&lt;=1.5,0.01,IF(Performance!E428&lt;=2,0.02,IF(Performance!E428&lt;=3,0.03,"")))</f>
        <v>0.01</v>
      </c>
      <c r="M428">
        <f t="shared" si="20"/>
        <v>0.09</v>
      </c>
      <c r="N428">
        <f>Earnings!B428*(1+M428)</f>
        <v>1137504.6198</v>
      </c>
    </row>
    <row r="429" spans="1:14" x14ac:dyDescent="0.35">
      <c r="A429" t="s">
        <v>459</v>
      </c>
      <c r="B429" t="s">
        <v>26</v>
      </c>
      <c r="C429" t="s">
        <v>43</v>
      </c>
      <c r="D429" t="s">
        <v>16</v>
      </c>
      <c r="E429">
        <v>6.8</v>
      </c>
      <c r="F429" t="s">
        <v>27</v>
      </c>
      <c r="G429">
        <f>Earnings!G429</f>
        <v>1240791.68</v>
      </c>
      <c r="H429">
        <f>Deductions!B429+Deductions!C429+Deductions!D429+Tax!D429</f>
        <v>19098.815000000002</v>
      </c>
      <c r="I429">
        <f t="shared" si="18"/>
        <v>1476498.2982999999</v>
      </c>
      <c r="J429">
        <f>Overtime!D429</f>
        <v>254805.4333</v>
      </c>
      <c r="K429">
        <f t="shared" si="19"/>
        <v>0.12</v>
      </c>
      <c r="L429">
        <f>IF(Performance!E429&lt;=1.5,0.01,IF(Performance!E429&lt;=2,0.02,IF(Performance!E429&lt;=3,0.03,"")))</f>
        <v>0.01</v>
      </c>
      <c r="M429">
        <f t="shared" si="20"/>
        <v>0.13</v>
      </c>
      <c r="N429">
        <f>Earnings!B429*(1+M429)</f>
        <v>1472788.4380000001</v>
      </c>
    </row>
    <row r="430" spans="1:14" x14ac:dyDescent="0.35">
      <c r="A430" t="s">
        <v>460</v>
      </c>
      <c r="B430" t="s">
        <v>29</v>
      </c>
      <c r="C430" t="s">
        <v>43</v>
      </c>
      <c r="D430" t="s">
        <v>21</v>
      </c>
      <c r="E430">
        <v>6.8</v>
      </c>
      <c r="F430" t="s">
        <v>27</v>
      </c>
      <c r="G430">
        <f>Earnings!G430</f>
        <v>1323072.26</v>
      </c>
      <c r="H430">
        <f>Deductions!B430+Deductions!C430+Deductions!D430+Tax!D430</f>
        <v>21259.544750000001</v>
      </c>
      <c r="I430">
        <f t="shared" si="18"/>
        <v>1301812.7152499999</v>
      </c>
      <c r="J430">
        <f>Overtime!D430</f>
        <v>0</v>
      </c>
      <c r="K430">
        <f t="shared" si="19"/>
        <v>0.12</v>
      </c>
      <c r="L430">
        <f>IF(Performance!E430&lt;=1.5,0.01,IF(Performance!E430&lt;=2,0.02,IF(Performance!E430&lt;=3,0.03,"")))</f>
        <v>0.02</v>
      </c>
      <c r="M430">
        <f t="shared" si="20"/>
        <v>0.13999999999999999</v>
      </c>
      <c r="N430">
        <f>Earnings!B430*(1+M430)</f>
        <v>1584351.2405999999</v>
      </c>
    </row>
    <row r="431" spans="1:14" x14ac:dyDescent="0.35">
      <c r="A431" t="s">
        <v>461</v>
      </c>
      <c r="B431" t="s">
        <v>35</v>
      </c>
      <c r="C431" t="s">
        <v>43</v>
      </c>
      <c r="D431" t="s">
        <v>21</v>
      </c>
      <c r="E431">
        <v>5.0999999999999996</v>
      </c>
      <c r="F431" t="s">
        <v>22</v>
      </c>
      <c r="G431">
        <f>Earnings!G431</f>
        <v>1219667.51</v>
      </c>
      <c r="H431">
        <f>Deductions!B431+Deductions!C431+Deductions!D431+Tax!D431</f>
        <v>18544.083750000002</v>
      </c>
      <c r="I431">
        <f t="shared" si="18"/>
        <v>1201123.42625</v>
      </c>
      <c r="J431">
        <f>Overtime!D431</f>
        <v>0</v>
      </c>
      <c r="K431">
        <f t="shared" si="19"/>
        <v>0.12</v>
      </c>
      <c r="L431">
        <f>IF(Performance!E431&lt;=1.5,0.01,IF(Performance!E431&lt;=2,0.02,IF(Performance!E431&lt;=3,0.03,"")))</f>
        <v>0.01</v>
      </c>
      <c r="M431">
        <f t="shared" si="20"/>
        <v>0.13</v>
      </c>
      <c r="N431">
        <f>Earnings!B431*(1+M431)</f>
        <v>1447714.5855</v>
      </c>
    </row>
    <row r="432" spans="1:14" x14ac:dyDescent="0.35">
      <c r="A432" t="s">
        <v>462</v>
      </c>
      <c r="B432" t="s">
        <v>26</v>
      </c>
      <c r="C432" t="s">
        <v>33</v>
      </c>
      <c r="D432" t="s">
        <v>21</v>
      </c>
      <c r="E432">
        <v>1.2</v>
      </c>
      <c r="F432" t="s">
        <v>27</v>
      </c>
      <c r="G432">
        <f>Earnings!G432</f>
        <v>441844.62</v>
      </c>
      <c r="H432">
        <f>Deductions!B432+Deductions!C432+Deductions!D432+Tax!D432</f>
        <v>2932.1770833333335</v>
      </c>
      <c r="I432">
        <f t="shared" si="18"/>
        <v>438912.44291666668</v>
      </c>
      <c r="J432">
        <f>Overtime!D432</f>
        <v>0</v>
      </c>
      <c r="K432">
        <f t="shared" si="19"/>
        <v>0.08</v>
      </c>
      <c r="L432">
        <f>IF(Performance!E432&lt;=1.5,0.01,IF(Performance!E432&lt;=2,0.02,IF(Performance!E432&lt;=3,0.03,"")))</f>
        <v>0.01</v>
      </c>
      <c r="M432">
        <f t="shared" si="20"/>
        <v>0.09</v>
      </c>
      <c r="N432">
        <f>Earnings!B432*(1+M432)</f>
        <v>505893.52500000002</v>
      </c>
    </row>
    <row r="433" spans="1:14" x14ac:dyDescent="0.35">
      <c r="A433" t="s">
        <v>463</v>
      </c>
      <c r="B433" t="s">
        <v>19</v>
      </c>
      <c r="C433" t="s">
        <v>33</v>
      </c>
      <c r="D433" t="s">
        <v>16</v>
      </c>
      <c r="E433">
        <v>14.4</v>
      </c>
      <c r="F433" t="s">
        <v>44</v>
      </c>
      <c r="G433">
        <f>Earnings!G433</f>
        <v>1058712.3500000001</v>
      </c>
      <c r="H433">
        <f>Deductions!B433+Deductions!C433+Deductions!D433+Tax!D433</f>
        <v>14217.320000000002</v>
      </c>
      <c r="I433">
        <f t="shared" si="18"/>
        <v>1044495.0300000001</v>
      </c>
      <c r="J433">
        <f>Overtime!D433</f>
        <v>0</v>
      </c>
      <c r="K433">
        <f t="shared" si="19"/>
        <v>0.08</v>
      </c>
      <c r="L433">
        <f>IF(Performance!E433&lt;=1.5,0.01,IF(Performance!E433&lt;=2,0.02,IF(Performance!E433&lt;=3,0.03,"")))</f>
        <v>0.03</v>
      </c>
      <c r="M433">
        <f t="shared" si="20"/>
        <v>0.11</v>
      </c>
      <c r="N433">
        <f>Earnings!B433*(1+M433)</f>
        <v>1234423.0080000001</v>
      </c>
    </row>
    <row r="434" spans="1:14" x14ac:dyDescent="0.35">
      <c r="A434" t="s">
        <v>464</v>
      </c>
      <c r="B434" t="s">
        <v>35</v>
      </c>
      <c r="C434" t="s">
        <v>33</v>
      </c>
      <c r="D434" t="s">
        <v>16</v>
      </c>
      <c r="E434">
        <v>4.8</v>
      </c>
      <c r="F434" t="s">
        <v>27</v>
      </c>
      <c r="G434">
        <f>Earnings!G434</f>
        <v>989151.61</v>
      </c>
      <c r="H434">
        <f>Deductions!B434+Deductions!C434+Deductions!D434+Tax!D434</f>
        <v>12390.62</v>
      </c>
      <c r="I434">
        <f t="shared" si="18"/>
        <v>976760.99</v>
      </c>
      <c r="J434">
        <f>Overtime!D434</f>
        <v>0</v>
      </c>
      <c r="K434">
        <f t="shared" si="19"/>
        <v>0.08</v>
      </c>
      <c r="L434">
        <f>IF(Performance!E434&lt;=1.5,0.01,IF(Performance!E434&lt;=2,0.02,IF(Performance!E434&lt;=3,0.03,"")))</f>
        <v>0.01</v>
      </c>
      <c r="M434">
        <f t="shared" si="20"/>
        <v>0.09</v>
      </c>
      <c r="N434">
        <f>Earnings!B434*(1+M434)</f>
        <v>1132537.0320000001</v>
      </c>
    </row>
    <row r="435" spans="1:14" x14ac:dyDescent="0.35">
      <c r="A435" t="s">
        <v>465</v>
      </c>
      <c r="B435" t="s">
        <v>35</v>
      </c>
      <c r="C435" t="s">
        <v>15</v>
      </c>
      <c r="D435" t="s">
        <v>21</v>
      </c>
      <c r="E435">
        <v>10</v>
      </c>
      <c r="F435" t="s">
        <v>44</v>
      </c>
      <c r="G435">
        <f>Earnings!G435</f>
        <v>852061.47</v>
      </c>
      <c r="H435">
        <f>Deductions!B435+Deductions!C435+Deductions!D435+Tax!D435</f>
        <v>9625.3758333333353</v>
      </c>
      <c r="I435">
        <f t="shared" si="18"/>
        <v>842436.09416666662</v>
      </c>
      <c r="J435">
        <f>Overtime!D435</f>
        <v>0</v>
      </c>
      <c r="K435">
        <f t="shared" si="19"/>
        <v>0.06</v>
      </c>
      <c r="L435">
        <f>IF(Performance!E435&lt;=1.5,0.01,IF(Performance!E435&lt;=2,0.02,IF(Performance!E435&lt;=3,0.03,"")))</f>
        <v>0.01</v>
      </c>
      <c r="M435">
        <f t="shared" si="20"/>
        <v>6.9999999999999993E-2</v>
      </c>
      <c r="N435">
        <f>Earnings!B435*(1+M435)</f>
        <v>957674.12850000011</v>
      </c>
    </row>
    <row r="436" spans="1:14" x14ac:dyDescent="0.35">
      <c r="A436" t="s">
        <v>466</v>
      </c>
      <c r="B436" t="s">
        <v>29</v>
      </c>
      <c r="C436" t="s">
        <v>33</v>
      </c>
      <c r="D436" t="s">
        <v>16</v>
      </c>
      <c r="E436">
        <v>2.4</v>
      </c>
      <c r="F436" t="s">
        <v>24</v>
      </c>
      <c r="G436">
        <f>Earnings!G436</f>
        <v>1088329.07</v>
      </c>
      <c r="H436">
        <f>Deductions!B436+Deductions!C436+Deductions!D436+Tax!D436</f>
        <v>14995.070000000002</v>
      </c>
      <c r="I436">
        <f t="shared" si="18"/>
        <v>1073334</v>
      </c>
      <c r="J436">
        <f>Overtime!D436</f>
        <v>0</v>
      </c>
      <c r="K436">
        <f t="shared" si="19"/>
        <v>0.08</v>
      </c>
      <c r="L436">
        <f>IF(Performance!E436&lt;=1.5,0.01,IF(Performance!E436&lt;=2,0.02,IF(Performance!E436&lt;=3,0.03,"")))</f>
        <v>0.02</v>
      </c>
      <c r="M436">
        <f t="shared" si="20"/>
        <v>0.1</v>
      </c>
      <c r="N436">
        <f>Earnings!B436*(1+M436)</f>
        <v>1257523.08</v>
      </c>
    </row>
    <row r="437" spans="1:14" x14ac:dyDescent="0.35">
      <c r="A437" t="s">
        <v>467</v>
      </c>
      <c r="B437" t="s">
        <v>35</v>
      </c>
      <c r="C437" t="s">
        <v>20</v>
      </c>
      <c r="D437" t="s">
        <v>16</v>
      </c>
      <c r="E437">
        <v>4.2</v>
      </c>
      <c r="F437" t="s">
        <v>17</v>
      </c>
      <c r="G437">
        <f>Earnings!G437</f>
        <v>1026605.19</v>
      </c>
      <c r="H437">
        <f>Deductions!B437+Deductions!C437+Deductions!D437+Tax!D437</f>
        <v>13414.17</v>
      </c>
      <c r="I437">
        <f t="shared" si="18"/>
        <v>1013191.0199999999</v>
      </c>
      <c r="J437">
        <f>Overtime!D437</f>
        <v>0</v>
      </c>
      <c r="K437">
        <f t="shared" si="19"/>
        <v>0.1</v>
      </c>
      <c r="L437">
        <f>IF(Performance!E437&lt;=1.5,0.01,IF(Performance!E437&lt;=2,0.02,IF(Performance!E437&lt;=3,0.03,"")))</f>
        <v>0.01</v>
      </c>
      <c r="M437">
        <f t="shared" si="20"/>
        <v>0.11</v>
      </c>
      <c r="N437">
        <f>Earnings!B437*(1+M437)</f>
        <v>1196987.148</v>
      </c>
    </row>
    <row r="438" spans="1:14" x14ac:dyDescent="0.35">
      <c r="A438" t="s">
        <v>468</v>
      </c>
      <c r="B438" t="s">
        <v>14</v>
      </c>
      <c r="C438" t="s">
        <v>15</v>
      </c>
      <c r="D438" t="s">
        <v>16</v>
      </c>
      <c r="E438">
        <v>6</v>
      </c>
      <c r="F438" t="s">
        <v>27</v>
      </c>
      <c r="G438">
        <f>Earnings!G438</f>
        <v>509436.14</v>
      </c>
      <c r="H438">
        <f>Deductions!B438+Deductions!C438+Deductions!D438+Tax!D438</f>
        <v>3627.0333333333338</v>
      </c>
      <c r="I438">
        <f t="shared" si="18"/>
        <v>505809.10666666669</v>
      </c>
      <c r="J438">
        <f>Overtime!D438</f>
        <v>0</v>
      </c>
      <c r="K438">
        <f t="shared" si="19"/>
        <v>0.06</v>
      </c>
      <c r="L438">
        <f>IF(Performance!E438&lt;=1.5,0.01,IF(Performance!E438&lt;=2,0.02,IF(Performance!E438&lt;=3,0.03,"")))</f>
        <v>0.01</v>
      </c>
      <c r="M438">
        <f t="shared" si="20"/>
        <v>6.9999999999999993E-2</v>
      </c>
      <c r="N438">
        <f>Earnings!B438*(1+M438)</f>
        <v>572580.54</v>
      </c>
    </row>
    <row r="439" spans="1:14" x14ac:dyDescent="0.35">
      <c r="A439" t="s">
        <v>469</v>
      </c>
      <c r="B439" t="s">
        <v>29</v>
      </c>
      <c r="C439" t="s">
        <v>43</v>
      </c>
      <c r="D439" t="s">
        <v>21</v>
      </c>
      <c r="E439">
        <v>17</v>
      </c>
      <c r="F439" t="s">
        <v>27</v>
      </c>
      <c r="G439">
        <f>Earnings!G439</f>
        <v>1663199.74</v>
      </c>
      <c r="H439">
        <f>Deductions!B439+Deductions!C439+Deductions!D439+Tax!D439</f>
        <v>30191.463749999999</v>
      </c>
      <c r="I439">
        <f t="shared" si="18"/>
        <v>1633008.2762499999</v>
      </c>
      <c r="J439">
        <f>Overtime!D439</f>
        <v>0</v>
      </c>
      <c r="K439">
        <f t="shared" si="19"/>
        <v>0.12</v>
      </c>
      <c r="L439">
        <f>IF(Performance!E439&lt;=1.5,0.01,IF(Performance!E439&lt;=2,0.02,IF(Performance!E439&lt;=3,0.03,"")))</f>
        <v>0.02</v>
      </c>
      <c r="M439">
        <f t="shared" si="20"/>
        <v>0.13999999999999999</v>
      </c>
      <c r="N439">
        <f>Earnings!B439*(1+M439)</f>
        <v>1991646.747</v>
      </c>
    </row>
    <row r="440" spans="1:14" x14ac:dyDescent="0.35">
      <c r="A440" t="s">
        <v>470</v>
      </c>
      <c r="B440" t="s">
        <v>26</v>
      </c>
      <c r="C440" t="s">
        <v>43</v>
      </c>
      <c r="D440" t="s">
        <v>21</v>
      </c>
      <c r="E440">
        <v>15.3</v>
      </c>
      <c r="F440" t="s">
        <v>31</v>
      </c>
      <c r="G440">
        <f>Earnings!G440</f>
        <v>1153912.56</v>
      </c>
      <c r="H440">
        <f>Deductions!B440+Deductions!C440+Deductions!D440+Tax!D440</f>
        <v>16817.325750000004</v>
      </c>
      <c r="I440">
        <f t="shared" si="18"/>
        <v>1394665.0020625</v>
      </c>
      <c r="J440">
        <f>Overtime!D440</f>
        <v>257569.76781250004</v>
      </c>
      <c r="K440">
        <f t="shared" si="19"/>
        <v>0.12</v>
      </c>
      <c r="L440">
        <f>IF(Performance!E440&lt;=1.5,0.01,IF(Performance!E440&lt;=2,0.02,IF(Performance!E440&lt;=3,0.03,"")))</f>
        <v>0.01</v>
      </c>
      <c r="M440">
        <f t="shared" si="20"/>
        <v>0.13</v>
      </c>
      <c r="N440">
        <f>Earnings!B440*(1+M440)</f>
        <v>1369665.1239</v>
      </c>
    </row>
    <row r="441" spans="1:14" x14ac:dyDescent="0.35">
      <c r="A441" t="s">
        <v>471</v>
      </c>
      <c r="B441" t="s">
        <v>14</v>
      </c>
      <c r="C441" t="s">
        <v>33</v>
      </c>
      <c r="D441" t="s">
        <v>16</v>
      </c>
      <c r="E441">
        <v>2.4</v>
      </c>
      <c r="F441" t="s">
        <v>37</v>
      </c>
      <c r="G441">
        <f>Earnings!G441</f>
        <v>717980.12</v>
      </c>
      <c r="H441">
        <f>Deductions!B441+Deductions!C441+Deductions!D441+Tax!D441</f>
        <v>7318.0133333333342</v>
      </c>
      <c r="I441">
        <f t="shared" si="18"/>
        <v>710662.10666666669</v>
      </c>
      <c r="J441">
        <f>Overtime!D441</f>
        <v>0</v>
      </c>
      <c r="K441">
        <f t="shared" si="19"/>
        <v>0.08</v>
      </c>
      <c r="L441">
        <f>IF(Performance!E441&lt;=1.5,0.01,IF(Performance!E441&lt;=2,0.02,IF(Performance!E441&lt;=3,0.03,"")))</f>
        <v>0.01</v>
      </c>
      <c r="M441">
        <f t="shared" si="20"/>
        <v>0.09</v>
      </c>
      <c r="N441">
        <f>Earnings!B441*(1+M441)</f>
        <v>822057.07200000016</v>
      </c>
    </row>
    <row r="442" spans="1:14" x14ac:dyDescent="0.35">
      <c r="A442" t="s">
        <v>472</v>
      </c>
      <c r="B442" t="s">
        <v>14</v>
      </c>
      <c r="C442" t="s">
        <v>33</v>
      </c>
      <c r="D442" t="s">
        <v>16</v>
      </c>
      <c r="E442">
        <v>7.2</v>
      </c>
      <c r="F442" t="s">
        <v>37</v>
      </c>
      <c r="G442">
        <f>Earnings!G442</f>
        <v>574435.28</v>
      </c>
      <c r="H442">
        <f>Deductions!B442+Deductions!C442+Deductions!D442+Tax!D442</f>
        <v>4804.9733333333334</v>
      </c>
      <c r="I442">
        <f t="shared" si="18"/>
        <v>569630.30666666664</v>
      </c>
      <c r="J442">
        <f>Overtime!D442</f>
        <v>0</v>
      </c>
      <c r="K442">
        <f t="shared" si="19"/>
        <v>0.08</v>
      </c>
      <c r="L442">
        <f>IF(Performance!E442&lt;=1.5,0.01,IF(Performance!E442&lt;=2,0.02,IF(Performance!E442&lt;=3,0.03,"")))</f>
        <v>0.01</v>
      </c>
      <c r="M442">
        <f t="shared" si="20"/>
        <v>0.09</v>
      </c>
      <c r="N442">
        <f>Earnings!B442*(1+M442)</f>
        <v>657704.25600000005</v>
      </c>
    </row>
    <row r="443" spans="1:14" x14ac:dyDescent="0.35">
      <c r="A443" t="s">
        <v>473</v>
      </c>
      <c r="B443" t="s">
        <v>29</v>
      </c>
      <c r="C443" t="s">
        <v>15</v>
      </c>
      <c r="D443" t="s">
        <v>16</v>
      </c>
      <c r="E443">
        <v>8</v>
      </c>
      <c r="F443" t="s">
        <v>22</v>
      </c>
      <c r="G443">
        <f>Earnings!G443</f>
        <v>1237603.81</v>
      </c>
      <c r="H443">
        <f>Deductions!B443+Deductions!C443+Deductions!D443+Tax!D443</f>
        <v>18875.100000000002</v>
      </c>
      <c r="I443">
        <f t="shared" si="18"/>
        <v>1218728.71</v>
      </c>
      <c r="J443">
        <f>Overtime!D443</f>
        <v>0</v>
      </c>
      <c r="K443">
        <f t="shared" si="19"/>
        <v>0.06</v>
      </c>
      <c r="L443">
        <f>IF(Performance!E443&lt;=1.5,0.01,IF(Performance!E443&lt;=2,0.02,IF(Performance!E443&lt;=3,0.03,"")))</f>
        <v>0.02</v>
      </c>
      <c r="M443">
        <f t="shared" si="20"/>
        <v>0.08</v>
      </c>
      <c r="N443">
        <f>Earnings!B443*(1+M443)</f>
        <v>1404004.32</v>
      </c>
    </row>
    <row r="444" spans="1:14" x14ac:dyDescent="0.35">
      <c r="A444" t="s">
        <v>474</v>
      </c>
      <c r="B444" t="s">
        <v>19</v>
      </c>
      <c r="C444" t="s">
        <v>20</v>
      </c>
      <c r="D444" t="s">
        <v>16</v>
      </c>
      <c r="E444">
        <v>21</v>
      </c>
      <c r="F444" t="s">
        <v>24</v>
      </c>
      <c r="G444">
        <f>Earnings!G444</f>
        <v>1796187.9</v>
      </c>
      <c r="H444">
        <f>Deductions!B444+Deductions!C444+Deductions!D444+Tax!D444</f>
        <v>33623.800000000003</v>
      </c>
      <c r="I444">
        <f t="shared" si="18"/>
        <v>1762564.0999999999</v>
      </c>
      <c r="J444">
        <f>Overtime!D444</f>
        <v>0</v>
      </c>
      <c r="K444">
        <f t="shared" si="19"/>
        <v>0.1</v>
      </c>
      <c r="L444">
        <f>IF(Performance!E444&lt;=1.5,0.01,IF(Performance!E444&lt;=2,0.02,IF(Performance!E444&lt;=3,0.03,"")))</f>
        <v>0.03</v>
      </c>
      <c r="M444">
        <f t="shared" si="20"/>
        <v>0.13</v>
      </c>
      <c r="N444">
        <f>Earnings!B444*(1+M444)</f>
        <v>2132029.7599999998</v>
      </c>
    </row>
    <row r="445" spans="1:14" x14ac:dyDescent="0.35">
      <c r="A445" t="s">
        <v>475</v>
      </c>
      <c r="B445" t="s">
        <v>19</v>
      </c>
      <c r="C445" t="s">
        <v>43</v>
      </c>
      <c r="D445" t="s">
        <v>21</v>
      </c>
      <c r="E445">
        <v>18.7</v>
      </c>
      <c r="F445" t="s">
        <v>31</v>
      </c>
      <c r="G445">
        <f>Earnings!G445</f>
        <v>1276769.52</v>
      </c>
      <c r="H445">
        <f>Deductions!B445+Deductions!C445+Deductions!D445+Tax!D445</f>
        <v>20043.611249999998</v>
      </c>
      <c r="I445">
        <f t="shared" si="18"/>
        <v>1256725.9087499999</v>
      </c>
      <c r="J445">
        <f>Overtime!D445</f>
        <v>0</v>
      </c>
      <c r="K445">
        <f t="shared" si="19"/>
        <v>0.12</v>
      </c>
      <c r="L445">
        <f>IF(Performance!E445&lt;=1.5,0.01,IF(Performance!E445&lt;=2,0.02,IF(Performance!E445&lt;=3,0.03,"")))</f>
        <v>0.03</v>
      </c>
      <c r="M445">
        <f t="shared" si="20"/>
        <v>0.15</v>
      </c>
      <c r="N445">
        <f>Earnings!B445*(1+M445)</f>
        <v>1542316.1174999999</v>
      </c>
    </row>
    <row r="446" spans="1:14" x14ac:dyDescent="0.35">
      <c r="A446" t="s">
        <v>476</v>
      </c>
      <c r="B446" t="s">
        <v>35</v>
      </c>
      <c r="C446" t="s">
        <v>20</v>
      </c>
      <c r="D446" t="s">
        <v>21</v>
      </c>
      <c r="E446">
        <v>1.4</v>
      </c>
      <c r="F446" t="s">
        <v>27</v>
      </c>
      <c r="G446">
        <f>Earnings!G446</f>
        <v>1288083.56</v>
      </c>
      <c r="H446">
        <f>Deductions!B446+Deductions!C446+Deductions!D446+Tax!D446</f>
        <v>20280.723750000001</v>
      </c>
      <c r="I446">
        <f t="shared" si="18"/>
        <v>1267802.8362500002</v>
      </c>
      <c r="J446">
        <f>Overtime!D446</f>
        <v>0</v>
      </c>
      <c r="K446">
        <f t="shared" si="19"/>
        <v>0.1</v>
      </c>
      <c r="L446">
        <f>IF(Performance!E446&lt;=1.5,0.01,IF(Performance!E446&lt;=2,0.02,IF(Performance!E446&lt;=3,0.03,"")))</f>
        <v>0.01</v>
      </c>
      <c r="M446">
        <f t="shared" si="20"/>
        <v>0.11</v>
      </c>
      <c r="N446">
        <f>Earnings!B446*(1+M446)</f>
        <v>1501862.1345000002</v>
      </c>
    </row>
    <row r="447" spans="1:14" x14ac:dyDescent="0.35">
      <c r="A447" t="s">
        <v>477</v>
      </c>
      <c r="B447" t="s">
        <v>35</v>
      </c>
      <c r="C447" t="s">
        <v>20</v>
      </c>
      <c r="D447" t="s">
        <v>21</v>
      </c>
      <c r="E447">
        <v>21</v>
      </c>
      <c r="F447" t="s">
        <v>27</v>
      </c>
      <c r="G447">
        <f>Earnings!G447</f>
        <v>1712635.87</v>
      </c>
      <c r="H447">
        <f>Deductions!B447+Deductions!C447+Deductions!D447+Tax!D447</f>
        <v>31429.681499999995</v>
      </c>
      <c r="I447">
        <f t="shared" si="18"/>
        <v>1819728.2067500001</v>
      </c>
      <c r="J447">
        <f>Overtime!D447</f>
        <v>138522.01825000002</v>
      </c>
      <c r="K447">
        <f t="shared" si="19"/>
        <v>0.1</v>
      </c>
      <c r="L447">
        <f>IF(Performance!E447&lt;=1.5,0.01,IF(Performance!E447&lt;=2,0.02,IF(Performance!E447&lt;=3,0.03,"")))</f>
        <v>0.01</v>
      </c>
      <c r="M447">
        <f t="shared" si="20"/>
        <v>0.11</v>
      </c>
      <c r="N447">
        <f>Earnings!B447*(1+M447)</f>
        <v>1996875.8586000002</v>
      </c>
    </row>
    <row r="448" spans="1:14" x14ac:dyDescent="0.35">
      <c r="A448" t="s">
        <v>478</v>
      </c>
      <c r="B448" t="s">
        <v>19</v>
      </c>
      <c r="C448" t="s">
        <v>20</v>
      </c>
      <c r="D448" t="s">
        <v>21</v>
      </c>
      <c r="E448">
        <v>14</v>
      </c>
      <c r="F448" t="s">
        <v>37</v>
      </c>
      <c r="G448">
        <f>Earnings!G448</f>
        <v>1187639.0900000001</v>
      </c>
      <c r="H448">
        <f>Deductions!B448+Deductions!C448+Deductions!D448+Tax!D448</f>
        <v>17643.001250000001</v>
      </c>
      <c r="I448">
        <f t="shared" si="18"/>
        <v>1169996.0887500001</v>
      </c>
      <c r="J448">
        <f>Overtime!D448</f>
        <v>0</v>
      </c>
      <c r="K448">
        <f t="shared" si="19"/>
        <v>0.1</v>
      </c>
      <c r="L448">
        <f>IF(Performance!E448&lt;=1.5,0.01,IF(Performance!E448&lt;=2,0.02,IF(Performance!E448&lt;=3,0.03,"")))</f>
        <v>0.03</v>
      </c>
      <c r="M448">
        <f t="shared" si="20"/>
        <v>0.13</v>
      </c>
      <c r="N448">
        <f>Earnings!B448*(1+M448)</f>
        <v>1409697.6564999998</v>
      </c>
    </row>
    <row r="449" spans="1:14" x14ac:dyDescent="0.35">
      <c r="A449" t="s">
        <v>479</v>
      </c>
      <c r="B449" t="s">
        <v>19</v>
      </c>
      <c r="C449" t="s">
        <v>43</v>
      </c>
      <c r="D449" t="s">
        <v>16</v>
      </c>
      <c r="E449">
        <v>20.399999999999999</v>
      </c>
      <c r="F449" t="s">
        <v>27</v>
      </c>
      <c r="G449">
        <f>Earnings!G449</f>
        <v>1905272.73</v>
      </c>
      <c r="H449">
        <f>Deductions!B449+Deductions!C449+Deductions!D449+Tax!D449</f>
        <v>36548.422499999993</v>
      </c>
      <c r="I449">
        <f t="shared" si="18"/>
        <v>1868724.3074999999</v>
      </c>
      <c r="J449">
        <f>Overtime!D449</f>
        <v>0</v>
      </c>
      <c r="K449">
        <f t="shared" si="19"/>
        <v>0.12</v>
      </c>
      <c r="L449">
        <f>IF(Performance!E449&lt;=1.5,0.01,IF(Performance!E449&lt;=2,0.02,IF(Performance!E449&lt;=3,0.03,"")))</f>
        <v>0.03</v>
      </c>
      <c r="M449">
        <f t="shared" si="20"/>
        <v>0.15</v>
      </c>
      <c r="N449">
        <f>Earnings!B449*(1+M449)</f>
        <v>2301537.4349999996</v>
      </c>
    </row>
    <row r="450" spans="1:14" x14ac:dyDescent="0.35">
      <c r="A450" t="s">
        <v>480</v>
      </c>
      <c r="B450" t="s">
        <v>26</v>
      </c>
      <c r="C450" t="s">
        <v>43</v>
      </c>
      <c r="D450" t="s">
        <v>16</v>
      </c>
      <c r="E450">
        <v>23.8</v>
      </c>
      <c r="F450" t="s">
        <v>44</v>
      </c>
      <c r="G450">
        <f>Earnings!G450</f>
        <v>1298754.67</v>
      </c>
      <c r="H450">
        <f>Deductions!B450+Deductions!C450+Deductions!D450+Tax!D450</f>
        <v>20620.952500000003</v>
      </c>
      <c r="I450">
        <f t="shared" ref="I450:I513" si="21">G450-H450+J450</f>
        <v>1626014.433</v>
      </c>
      <c r="J450">
        <f>Overtime!D450</f>
        <v>347880.71549999999</v>
      </c>
      <c r="K450">
        <f t="shared" ref="K450:K513" si="22">IF(C450="Junior",0.06,IF(C450="Mid",0.08,IF(C450="Senior",0.1,IF(C450="Manager",0.12,0))))</f>
        <v>0.12</v>
      </c>
      <c r="L450">
        <f>IF(Performance!E450&lt;=1.5,0.01,IF(Performance!E450&lt;=2,0.02,IF(Performance!E450&lt;=3,0.03,"")))</f>
        <v>0.01</v>
      </c>
      <c r="M450">
        <f t="shared" ref="M450:M513" si="23">K450+L450</f>
        <v>0.13</v>
      </c>
      <c r="N450">
        <f>Earnings!B450*(1+M450)</f>
        <v>1541589.0530000001</v>
      </c>
    </row>
    <row r="451" spans="1:14" x14ac:dyDescent="0.35">
      <c r="A451" t="s">
        <v>481</v>
      </c>
      <c r="B451" t="s">
        <v>14</v>
      </c>
      <c r="C451" t="s">
        <v>15</v>
      </c>
      <c r="D451" t="s">
        <v>21</v>
      </c>
      <c r="E451">
        <v>7</v>
      </c>
      <c r="F451" t="s">
        <v>17</v>
      </c>
      <c r="G451">
        <f>Earnings!G451</f>
        <v>569009.59</v>
      </c>
      <c r="H451">
        <f>Deductions!B451+Deductions!C451+Deductions!D451+Tax!D451</f>
        <v>4669.9858333333341</v>
      </c>
      <c r="I451">
        <f t="shared" si="21"/>
        <v>564339.60416666663</v>
      </c>
      <c r="J451">
        <f>Overtime!D451</f>
        <v>0</v>
      </c>
      <c r="K451">
        <f t="shared" si="22"/>
        <v>0.06</v>
      </c>
      <c r="L451">
        <f>IF(Performance!E451&lt;=1.5,0.01,IF(Performance!E451&lt;=2,0.02,IF(Performance!E451&lt;=3,0.03,"")))</f>
        <v>0.01</v>
      </c>
      <c r="M451">
        <f t="shared" si="23"/>
        <v>6.9999999999999993E-2</v>
      </c>
      <c r="N451">
        <f>Earnings!B451*(1+M451)</f>
        <v>639538.09050000005</v>
      </c>
    </row>
    <row r="452" spans="1:14" x14ac:dyDescent="0.35">
      <c r="A452" t="s">
        <v>482</v>
      </c>
      <c r="B452" t="s">
        <v>19</v>
      </c>
      <c r="C452" t="s">
        <v>33</v>
      </c>
      <c r="D452" t="s">
        <v>21</v>
      </c>
      <c r="E452">
        <v>12</v>
      </c>
      <c r="F452" t="s">
        <v>22</v>
      </c>
      <c r="G452">
        <f>Earnings!G452</f>
        <v>1189488.5900000001</v>
      </c>
      <c r="H452">
        <f>Deductions!B452+Deductions!C452+Deductions!D452+Tax!D452</f>
        <v>17651.57</v>
      </c>
      <c r="I452">
        <f t="shared" si="21"/>
        <v>1276791.8952000001</v>
      </c>
      <c r="J452">
        <f>Overtime!D452</f>
        <v>104954.87520000001</v>
      </c>
      <c r="K452">
        <f t="shared" si="22"/>
        <v>0.08</v>
      </c>
      <c r="L452">
        <f>IF(Performance!E452&lt;=1.5,0.01,IF(Performance!E452&lt;=2,0.02,IF(Performance!E452&lt;=3,0.03,"")))</f>
        <v>0.03</v>
      </c>
      <c r="M452">
        <f t="shared" si="23"/>
        <v>0.11</v>
      </c>
      <c r="N452">
        <f>Earnings!B452*(1+M452)</f>
        <v>1386903.7080000001</v>
      </c>
    </row>
    <row r="453" spans="1:14" x14ac:dyDescent="0.35">
      <c r="A453" t="s">
        <v>483</v>
      </c>
      <c r="B453" t="s">
        <v>29</v>
      </c>
      <c r="C453" t="s">
        <v>15</v>
      </c>
      <c r="D453" t="s">
        <v>21</v>
      </c>
      <c r="E453">
        <v>14</v>
      </c>
      <c r="F453" t="s">
        <v>17</v>
      </c>
      <c r="G453">
        <f>Earnings!G453</f>
        <v>1451182.15</v>
      </c>
      <c r="H453">
        <f>Deductions!B453+Deductions!C453+Deductions!D453+Tax!D453</f>
        <v>24483.774999999998</v>
      </c>
      <c r="I453">
        <f t="shared" si="21"/>
        <v>1426698.375</v>
      </c>
      <c r="J453">
        <f>Overtime!D453</f>
        <v>0</v>
      </c>
      <c r="K453">
        <f t="shared" si="22"/>
        <v>0.06</v>
      </c>
      <c r="L453">
        <f>IF(Performance!E453&lt;=1.5,0.01,IF(Performance!E453&lt;=2,0.02,IF(Performance!E453&lt;=3,0.03,"")))</f>
        <v>0.02</v>
      </c>
      <c r="M453">
        <f t="shared" si="23"/>
        <v>0.08</v>
      </c>
      <c r="N453">
        <f>Earnings!B453*(1+M453)</f>
        <v>1646299.08</v>
      </c>
    </row>
    <row r="454" spans="1:14" x14ac:dyDescent="0.35">
      <c r="A454" t="s">
        <v>484</v>
      </c>
      <c r="B454" t="s">
        <v>29</v>
      </c>
      <c r="C454" t="s">
        <v>15</v>
      </c>
      <c r="D454" t="s">
        <v>21</v>
      </c>
      <c r="E454">
        <v>1</v>
      </c>
      <c r="F454" t="s">
        <v>44</v>
      </c>
      <c r="G454">
        <f>Earnings!G454</f>
        <v>931040.91</v>
      </c>
      <c r="H454">
        <f>Deductions!B454+Deductions!C454+Deductions!D454+Tax!D454</f>
        <v>11008.069166666668</v>
      </c>
      <c r="I454">
        <f t="shared" si="21"/>
        <v>1066730.4633333334</v>
      </c>
      <c r="J454">
        <f>Overtime!D454</f>
        <v>146697.62249999997</v>
      </c>
      <c r="K454">
        <f t="shared" si="22"/>
        <v>0.06</v>
      </c>
      <c r="L454">
        <f>IF(Performance!E454&lt;=1.5,0.01,IF(Performance!E454&lt;=2,0.02,IF(Performance!E454&lt;=3,0.03,"")))</f>
        <v>0.02</v>
      </c>
      <c r="M454">
        <f t="shared" si="23"/>
        <v>0.08</v>
      </c>
      <c r="N454">
        <f>Earnings!B454*(1+M454)</f>
        <v>1056222.882</v>
      </c>
    </row>
    <row r="455" spans="1:14" x14ac:dyDescent="0.35">
      <c r="A455" t="s">
        <v>485</v>
      </c>
      <c r="B455" t="s">
        <v>19</v>
      </c>
      <c r="C455" t="s">
        <v>15</v>
      </c>
      <c r="D455" t="s">
        <v>21</v>
      </c>
      <c r="E455">
        <v>4</v>
      </c>
      <c r="F455" t="s">
        <v>24</v>
      </c>
      <c r="G455">
        <f>Earnings!G455</f>
        <v>585785.31000000006</v>
      </c>
      <c r="H455">
        <f>Deductions!B455+Deductions!C455+Deductions!D455+Tax!D455</f>
        <v>4963.6783333333333</v>
      </c>
      <c r="I455">
        <f t="shared" si="21"/>
        <v>648506.90866666671</v>
      </c>
      <c r="J455">
        <f>Overtime!D455</f>
        <v>67685.277000000002</v>
      </c>
      <c r="K455">
        <f t="shared" si="22"/>
        <v>0.06</v>
      </c>
      <c r="L455">
        <f>IF(Performance!E455&lt;=1.5,0.01,IF(Performance!E455&lt;=2,0.02,IF(Performance!E455&lt;=3,0.03,"")))</f>
        <v>0.03</v>
      </c>
      <c r="M455">
        <f t="shared" si="23"/>
        <v>0.09</v>
      </c>
      <c r="N455">
        <f>Earnings!B455*(1+M455)</f>
        <v>670699.56299999997</v>
      </c>
    </row>
    <row r="456" spans="1:14" x14ac:dyDescent="0.35">
      <c r="A456" t="s">
        <v>486</v>
      </c>
      <c r="B456" t="s">
        <v>14</v>
      </c>
      <c r="C456" t="s">
        <v>43</v>
      </c>
      <c r="D456" t="s">
        <v>21</v>
      </c>
      <c r="E456">
        <v>0</v>
      </c>
      <c r="F456" t="s">
        <v>27</v>
      </c>
      <c r="G456">
        <f>Earnings!G456</f>
        <v>485136.44</v>
      </c>
      <c r="H456">
        <f>Deductions!B456+Deductions!C456+Deductions!D456+Tax!D456</f>
        <v>3341.6183333333329</v>
      </c>
      <c r="I456">
        <f t="shared" si="21"/>
        <v>503452.69841666665</v>
      </c>
      <c r="J456">
        <f>Overtime!D456</f>
        <v>21657.876749999999</v>
      </c>
      <c r="K456">
        <f t="shared" si="22"/>
        <v>0.12</v>
      </c>
      <c r="L456">
        <f>IF(Performance!E456&lt;=1.5,0.01,IF(Performance!E456&lt;=2,0.02,IF(Performance!E456&lt;=3,0.03,"")))</f>
        <v>0.01</v>
      </c>
      <c r="M456">
        <f t="shared" si="23"/>
        <v>0.13</v>
      </c>
      <c r="N456">
        <f>Earnings!B456*(1+M456)</f>
        <v>575844.72299999988</v>
      </c>
    </row>
    <row r="457" spans="1:14" x14ac:dyDescent="0.35">
      <c r="A457" t="s">
        <v>487</v>
      </c>
      <c r="B457" t="s">
        <v>19</v>
      </c>
      <c r="C457" t="s">
        <v>15</v>
      </c>
      <c r="D457" t="s">
        <v>16</v>
      </c>
      <c r="E457">
        <v>0</v>
      </c>
      <c r="F457" t="s">
        <v>37</v>
      </c>
      <c r="G457">
        <f>Earnings!G457</f>
        <v>636044.53</v>
      </c>
      <c r="H457">
        <f>Deductions!B457+Deductions!C457+Deductions!D457+Tax!D457</f>
        <v>5843.5666666666675</v>
      </c>
      <c r="I457">
        <f t="shared" si="21"/>
        <v>713715.21333333338</v>
      </c>
      <c r="J457">
        <f>Overtime!D457</f>
        <v>83514.25</v>
      </c>
      <c r="K457">
        <f t="shared" si="22"/>
        <v>0.06</v>
      </c>
      <c r="L457">
        <f>IF(Performance!E457&lt;=1.5,0.01,IF(Performance!E457&lt;=2,0.02,IF(Performance!E457&lt;=3,0.03,"")))</f>
        <v>0.03</v>
      </c>
      <c r="M457">
        <f t="shared" si="23"/>
        <v>0.09</v>
      </c>
      <c r="N457">
        <f>Earnings!B457*(1+M457)</f>
        <v>728244.26</v>
      </c>
    </row>
    <row r="458" spans="1:14" x14ac:dyDescent="0.35">
      <c r="A458" t="s">
        <v>488</v>
      </c>
      <c r="B458" t="s">
        <v>14</v>
      </c>
      <c r="C458" t="s">
        <v>33</v>
      </c>
      <c r="D458" t="s">
        <v>21</v>
      </c>
      <c r="E458">
        <v>18</v>
      </c>
      <c r="F458" t="s">
        <v>31</v>
      </c>
      <c r="G458">
        <f>Earnings!G458</f>
        <v>1001894.68</v>
      </c>
      <c r="H458">
        <f>Deductions!B458+Deductions!C458+Deductions!D458+Tax!D458</f>
        <v>12725.259499999998</v>
      </c>
      <c r="I458">
        <f t="shared" si="21"/>
        <v>1045999.58075</v>
      </c>
      <c r="J458">
        <f>Overtime!D458</f>
        <v>56830.160250000008</v>
      </c>
      <c r="K458">
        <f t="shared" si="22"/>
        <v>0.08</v>
      </c>
      <c r="L458">
        <f>IF(Performance!E458&lt;=1.5,0.01,IF(Performance!E458&lt;=2,0.02,IF(Performance!E458&lt;=3,0.03,"")))</f>
        <v>0.01</v>
      </c>
      <c r="M458">
        <f t="shared" si="23"/>
        <v>0.09</v>
      </c>
      <c r="N458">
        <f>Earnings!B458*(1+M458)</f>
        <v>1147127.3141999999</v>
      </c>
    </row>
    <row r="459" spans="1:14" x14ac:dyDescent="0.35">
      <c r="A459" t="s">
        <v>489</v>
      </c>
      <c r="B459" t="s">
        <v>14</v>
      </c>
      <c r="C459" t="s">
        <v>20</v>
      </c>
      <c r="D459" t="s">
        <v>16</v>
      </c>
      <c r="E459">
        <v>0</v>
      </c>
      <c r="F459" t="s">
        <v>22</v>
      </c>
      <c r="G459">
        <f>Earnings!G459</f>
        <v>607322.31000000006</v>
      </c>
      <c r="H459">
        <f>Deductions!B459+Deductions!C459+Deductions!D459+Tax!D459</f>
        <v>5420.7266666666674</v>
      </c>
      <c r="I459">
        <f t="shared" si="21"/>
        <v>659954.45093333337</v>
      </c>
      <c r="J459">
        <f>Overtime!D459</f>
        <v>58052.867599999998</v>
      </c>
      <c r="K459">
        <f t="shared" si="22"/>
        <v>0.1</v>
      </c>
      <c r="L459">
        <f>IF(Performance!E459&lt;=1.5,0.01,IF(Performance!E459&lt;=2,0.02,IF(Performance!E459&lt;=3,0.03,"")))</f>
        <v>0.01</v>
      </c>
      <c r="M459">
        <f t="shared" si="23"/>
        <v>0.11</v>
      </c>
      <c r="N459">
        <f>Earnings!B459*(1+M459)</f>
        <v>708117.39600000007</v>
      </c>
    </row>
    <row r="460" spans="1:14" x14ac:dyDescent="0.35">
      <c r="A460" t="s">
        <v>490</v>
      </c>
      <c r="B460" t="s">
        <v>26</v>
      </c>
      <c r="C460" t="s">
        <v>15</v>
      </c>
      <c r="D460" t="s">
        <v>16</v>
      </c>
      <c r="E460">
        <v>3</v>
      </c>
      <c r="F460" t="s">
        <v>22</v>
      </c>
      <c r="G460">
        <f>Earnings!G460</f>
        <v>584654.62</v>
      </c>
      <c r="H460">
        <f>Deductions!B460+Deductions!C460+Deductions!D460+Tax!D460</f>
        <v>4943.8833333333332</v>
      </c>
      <c r="I460">
        <f t="shared" si="21"/>
        <v>579710.73666666669</v>
      </c>
      <c r="J460">
        <f>Overtime!D460</f>
        <v>0</v>
      </c>
      <c r="K460">
        <f t="shared" si="22"/>
        <v>0.06</v>
      </c>
      <c r="L460">
        <f>IF(Performance!E460&lt;=1.5,0.01,IF(Performance!E460&lt;=2,0.02,IF(Performance!E460&lt;=3,0.03,"")))</f>
        <v>0.01</v>
      </c>
      <c r="M460">
        <f t="shared" si="23"/>
        <v>6.9999999999999993E-2</v>
      </c>
      <c r="N460">
        <f>Earnings!B460*(1+M460)</f>
        <v>657122.31000000006</v>
      </c>
    </row>
    <row r="461" spans="1:14" x14ac:dyDescent="0.35">
      <c r="A461" t="s">
        <v>491</v>
      </c>
      <c r="B461" t="s">
        <v>14</v>
      </c>
      <c r="C461" t="s">
        <v>43</v>
      </c>
      <c r="D461" t="s">
        <v>21</v>
      </c>
      <c r="E461">
        <v>25.5</v>
      </c>
      <c r="F461" t="s">
        <v>17</v>
      </c>
      <c r="G461">
        <f>Earnings!G461</f>
        <v>1354764.34</v>
      </c>
      <c r="H461">
        <f>Deductions!B461+Deductions!C461+Deductions!D461+Tax!D461</f>
        <v>22091.7945</v>
      </c>
      <c r="I461">
        <f t="shared" si="21"/>
        <v>1635075.2976875</v>
      </c>
      <c r="J461">
        <f>Overtime!D461</f>
        <v>302402.75218750001</v>
      </c>
      <c r="K461">
        <f t="shared" si="22"/>
        <v>0.12</v>
      </c>
      <c r="L461">
        <f>IF(Performance!E461&lt;=1.5,0.01,IF(Performance!E461&lt;=2,0.02,IF(Performance!E461&lt;=3,0.03,"")))</f>
        <v>0.01</v>
      </c>
      <c r="M461">
        <f t="shared" si="23"/>
        <v>0.13</v>
      </c>
      <c r="N461">
        <f>Earnings!B461*(1+M461)</f>
        <v>1608071.1113999998</v>
      </c>
    </row>
    <row r="462" spans="1:14" x14ac:dyDescent="0.35">
      <c r="A462" t="s">
        <v>492</v>
      </c>
      <c r="B462" t="s">
        <v>26</v>
      </c>
      <c r="C462" t="s">
        <v>20</v>
      </c>
      <c r="D462" t="s">
        <v>21</v>
      </c>
      <c r="E462">
        <v>7</v>
      </c>
      <c r="F462" t="s">
        <v>37</v>
      </c>
      <c r="G462">
        <f>Earnings!G462</f>
        <v>661859.81999999995</v>
      </c>
      <c r="H462">
        <f>Deductions!B462+Deductions!C462+Deductions!D462+Tax!D462</f>
        <v>6375.5150000000003</v>
      </c>
      <c r="I462">
        <f t="shared" si="21"/>
        <v>767416.47989999992</v>
      </c>
      <c r="J462">
        <f>Overtime!D462</f>
        <v>111932.1749</v>
      </c>
      <c r="K462">
        <f t="shared" si="22"/>
        <v>0.1</v>
      </c>
      <c r="L462">
        <f>IF(Performance!E462&lt;=1.5,0.01,IF(Performance!E462&lt;=2,0.02,IF(Performance!E462&lt;=3,0.03,"")))</f>
        <v>0.01</v>
      </c>
      <c r="M462">
        <f t="shared" si="23"/>
        <v>0.11</v>
      </c>
      <c r="N462">
        <f>Earnings!B462*(1+M462)</f>
        <v>771706.29900000012</v>
      </c>
    </row>
    <row r="463" spans="1:14" x14ac:dyDescent="0.35">
      <c r="A463" t="s">
        <v>493</v>
      </c>
      <c r="B463" t="s">
        <v>29</v>
      </c>
      <c r="C463" t="s">
        <v>33</v>
      </c>
      <c r="D463" t="s">
        <v>21</v>
      </c>
      <c r="E463">
        <v>13.2</v>
      </c>
      <c r="F463" t="s">
        <v>27</v>
      </c>
      <c r="G463">
        <f>Earnings!G463</f>
        <v>1129474.77</v>
      </c>
      <c r="H463">
        <f>Deductions!B463+Deductions!C463+Deductions!D463+Tax!D463</f>
        <v>16075.577000000003</v>
      </c>
      <c r="I463">
        <f t="shared" si="21"/>
        <v>1255769.9619999998</v>
      </c>
      <c r="J463">
        <f>Overtime!D463</f>
        <v>142370.76899999997</v>
      </c>
      <c r="K463">
        <f t="shared" si="22"/>
        <v>0.08</v>
      </c>
      <c r="L463">
        <f>IF(Performance!E463&lt;=1.5,0.01,IF(Performance!E463&lt;=2,0.02,IF(Performance!E463&lt;=3,0.03,"")))</f>
        <v>0.02</v>
      </c>
      <c r="M463">
        <f t="shared" si="23"/>
        <v>0.1</v>
      </c>
      <c r="N463">
        <f>Earnings!B463*(1+M463)</f>
        <v>1305065.3880000003</v>
      </c>
    </row>
    <row r="464" spans="1:14" x14ac:dyDescent="0.35">
      <c r="A464" t="s">
        <v>494</v>
      </c>
      <c r="B464" t="s">
        <v>29</v>
      </c>
      <c r="C464" t="s">
        <v>33</v>
      </c>
      <c r="D464" t="s">
        <v>21</v>
      </c>
      <c r="E464">
        <v>16.8</v>
      </c>
      <c r="F464" t="s">
        <v>31</v>
      </c>
      <c r="G464">
        <f>Earnings!G464</f>
        <v>1506315.46</v>
      </c>
      <c r="H464">
        <f>Deductions!B464+Deductions!C464+Deductions!D464+Tax!D464</f>
        <v>25971.603499999997</v>
      </c>
      <c r="I464">
        <f t="shared" si="21"/>
        <v>1698696.3092</v>
      </c>
      <c r="J464">
        <f>Overtime!D464</f>
        <v>218352.45270000002</v>
      </c>
      <c r="K464">
        <f t="shared" si="22"/>
        <v>0.08</v>
      </c>
      <c r="L464">
        <f>IF(Performance!E464&lt;=1.5,0.01,IF(Performance!E464&lt;=2,0.02,IF(Performance!E464&lt;=3,0.03,"")))</f>
        <v>0.02</v>
      </c>
      <c r="M464">
        <f t="shared" si="23"/>
        <v>0.1</v>
      </c>
      <c r="N464">
        <f>Earnings!B464*(1+M464)</f>
        <v>1740490.554</v>
      </c>
    </row>
    <row r="465" spans="1:14" x14ac:dyDescent="0.35">
      <c r="A465" t="s">
        <v>495</v>
      </c>
      <c r="B465" t="s">
        <v>19</v>
      </c>
      <c r="C465" t="s">
        <v>43</v>
      </c>
      <c r="D465" t="s">
        <v>21</v>
      </c>
      <c r="E465">
        <v>23.8</v>
      </c>
      <c r="F465" t="s">
        <v>24</v>
      </c>
      <c r="G465">
        <f>Earnings!G465</f>
        <v>1450936.79</v>
      </c>
      <c r="H465">
        <f>Deductions!B465+Deductions!C465+Deductions!D465+Tax!D465</f>
        <v>24617.3315</v>
      </c>
      <c r="I465">
        <f t="shared" si="21"/>
        <v>1426319.4584999999</v>
      </c>
      <c r="J465">
        <f>Overtime!D465</f>
        <v>0</v>
      </c>
      <c r="K465">
        <f t="shared" si="22"/>
        <v>0.12</v>
      </c>
      <c r="L465">
        <f>IF(Performance!E465&lt;=1.5,0.01,IF(Performance!E465&lt;=2,0.02,IF(Performance!E465&lt;=3,0.03,"")))</f>
        <v>0.03</v>
      </c>
      <c r="M465">
        <f t="shared" si="23"/>
        <v>0.15</v>
      </c>
      <c r="N465">
        <f>Earnings!B465*(1+M465)</f>
        <v>1752707.2489999998</v>
      </c>
    </row>
    <row r="466" spans="1:14" x14ac:dyDescent="0.35">
      <c r="A466" t="s">
        <v>496</v>
      </c>
      <c r="B466" t="s">
        <v>26</v>
      </c>
      <c r="C466" t="s">
        <v>33</v>
      </c>
      <c r="D466" t="s">
        <v>16</v>
      </c>
      <c r="E466">
        <v>7.2</v>
      </c>
      <c r="F466" t="s">
        <v>17</v>
      </c>
      <c r="G466">
        <f>Earnings!G466</f>
        <v>905951.76</v>
      </c>
      <c r="H466">
        <f>Deductions!B466+Deductions!C466+Deductions!D466+Tax!D466</f>
        <v>10608.833333333334</v>
      </c>
      <c r="I466">
        <f t="shared" si="21"/>
        <v>895342.92666666664</v>
      </c>
      <c r="J466">
        <f>Overtime!D466</f>
        <v>0</v>
      </c>
      <c r="K466">
        <f t="shared" si="22"/>
        <v>0.08</v>
      </c>
      <c r="L466">
        <f>IF(Performance!E466&lt;=1.5,0.01,IF(Performance!E466&lt;=2,0.02,IF(Performance!E466&lt;=3,0.03,"")))</f>
        <v>0.01</v>
      </c>
      <c r="M466">
        <f t="shared" si="23"/>
        <v>0.09</v>
      </c>
      <c r="N466">
        <f>Earnings!B466*(1+M466)</f>
        <v>1037276.7000000001</v>
      </c>
    </row>
    <row r="467" spans="1:14" x14ac:dyDescent="0.35">
      <c r="A467" t="s">
        <v>497</v>
      </c>
      <c r="B467" t="s">
        <v>19</v>
      </c>
      <c r="C467" t="s">
        <v>15</v>
      </c>
      <c r="D467" t="s">
        <v>21</v>
      </c>
      <c r="E467">
        <v>14</v>
      </c>
      <c r="F467" t="s">
        <v>44</v>
      </c>
      <c r="G467">
        <f>Earnings!G467</f>
        <v>1045414.95</v>
      </c>
      <c r="H467">
        <f>Deductions!B467+Deductions!C467+Deductions!D467+Tax!D467</f>
        <v>13828.123749999999</v>
      </c>
      <c r="I467">
        <f t="shared" si="21"/>
        <v>1059039.95</v>
      </c>
      <c r="J467">
        <f>Overtime!D467</f>
        <v>27453.123749999999</v>
      </c>
      <c r="K467">
        <f t="shared" si="22"/>
        <v>0.06</v>
      </c>
      <c r="L467">
        <f>IF(Performance!E467&lt;=1.5,0.01,IF(Performance!E467&lt;=2,0.02,IF(Performance!E467&lt;=3,0.03,"")))</f>
        <v>0.03</v>
      </c>
      <c r="M467">
        <f t="shared" si="23"/>
        <v>0.09</v>
      </c>
      <c r="N467">
        <f>Earnings!B467*(1+M467)</f>
        <v>1196956.1955000001</v>
      </c>
    </row>
    <row r="468" spans="1:14" x14ac:dyDescent="0.35">
      <c r="A468" t="s">
        <v>498</v>
      </c>
      <c r="B468" t="s">
        <v>29</v>
      </c>
      <c r="C468" t="s">
        <v>43</v>
      </c>
      <c r="D468" t="s">
        <v>21</v>
      </c>
      <c r="E468">
        <v>17</v>
      </c>
      <c r="F468" t="s">
        <v>70</v>
      </c>
      <c r="G468">
        <f>Earnings!G468</f>
        <v>1463193.58</v>
      </c>
      <c r="H468">
        <f>Deductions!B468+Deductions!C468+Deductions!D468+Tax!D468</f>
        <v>24939.201000000001</v>
      </c>
      <c r="I468">
        <f t="shared" si="21"/>
        <v>1503575.5211250002</v>
      </c>
      <c r="J468">
        <f>Overtime!D468</f>
        <v>65321.142124999991</v>
      </c>
      <c r="K468">
        <f t="shared" si="22"/>
        <v>0.12</v>
      </c>
      <c r="L468">
        <f>IF(Performance!E468&lt;=1.5,0.01,IF(Performance!E468&lt;=2,0.02,IF(Performance!E468&lt;=3,0.03,"")))</f>
        <v>0.02</v>
      </c>
      <c r="M468">
        <f t="shared" si="23"/>
        <v>0.13999999999999999</v>
      </c>
      <c r="N468">
        <f>Earnings!B468*(1+M468)</f>
        <v>1752143.5655999999</v>
      </c>
    </row>
    <row r="469" spans="1:14" x14ac:dyDescent="0.35">
      <c r="A469" t="s">
        <v>499</v>
      </c>
      <c r="B469" t="s">
        <v>29</v>
      </c>
      <c r="C469" t="s">
        <v>43</v>
      </c>
      <c r="D469" t="s">
        <v>16</v>
      </c>
      <c r="E469">
        <v>5.0999999999999996</v>
      </c>
      <c r="F469" t="s">
        <v>22</v>
      </c>
      <c r="G469">
        <f>Earnings!G469</f>
        <v>1788291.54</v>
      </c>
      <c r="H469">
        <f>Deductions!B469+Deductions!C469+Deductions!D469+Tax!D469</f>
        <v>33476.4375</v>
      </c>
      <c r="I469">
        <f t="shared" si="21"/>
        <v>1754815.1025</v>
      </c>
      <c r="J469">
        <f>Overtime!D469</f>
        <v>0</v>
      </c>
      <c r="K469">
        <f t="shared" si="22"/>
        <v>0.12</v>
      </c>
      <c r="L469">
        <f>IF(Performance!E469&lt;=1.5,0.01,IF(Performance!E469&lt;=2,0.02,IF(Performance!E469&lt;=3,0.03,"")))</f>
        <v>0.02</v>
      </c>
      <c r="M469">
        <f t="shared" si="23"/>
        <v>0.13999999999999999</v>
      </c>
      <c r="N469">
        <f>Earnings!B469*(1+M469)</f>
        <v>2141441.5499999998</v>
      </c>
    </row>
    <row r="470" spans="1:14" x14ac:dyDescent="0.35">
      <c r="A470" t="s">
        <v>500</v>
      </c>
      <c r="B470" t="s">
        <v>26</v>
      </c>
      <c r="C470" t="s">
        <v>33</v>
      </c>
      <c r="D470" t="s">
        <v>21</v>
      </c>
      <c r="E470">
        <v>13.2</v>
      </c>
      <c r="F470" t="s">
        <v>27</v>
      </c>
      <c r="G470">
        <f>Earnings!G470</f>
        <v>883275.75</v>
      </c>
      <c r="H470">
        <f>Deductions!B470+Deductions!C470+Deductions!D470+Tax!D470</f>
        <v>10211.844333333334</v>
      </c>
      <c r="I470">
        <f t="shared" si="21"/>
        <v>873063.90566666669</v>
      </c>
      <c r="J470">
        <f>Overtime!D470</f>
        <v>0</v>
      </c>
      <c r="K470">
        <f t="shared" si="22"/>
        <v>0.08</v>
      </c>
      <c r="L470">
        <f>IF(Performance!E470&lt;=1.5,0.01,IF(Performance!E470&lt;=2,0.02,IF(Performance!E470&lt;=3,0.03,"")))</f>
        <v>0.01</v>
      </c>
      <c r="M470">
        <f t="shared" si="23"/>
        <v>0.09</v>
      </c>
      <c r="N470">
        <f>Earnings!B470*(1+M470)</f>
        <v>1011313.6194000001</v>
      </c>
    </row>
    <row r="471" spans="1:14" x14ac:dyDescent="0.35">
      <c r="A471" t="s">
        <v>501</v>
      </c>
      <c r="B471" t="s">
        <v>35</v>
      </c>
      <c r="C471" t="s">
        <v>43</v>
      </c>
      <c r="D471" t="s">
        <v>21</v>
      </c>
      <c r="E471">
        <v>6.8</v>
      </c>
      <c r="F471" t="s">
        <v>44</v>
      </c>
      <c r="G471">
        <f>Earnings!G471</f>
        <v>1224033.95</v>
      </c>
      <c r="H471">
        <f>Deductions!B471+Deductions!C471+Deductions!D471+Tax!D471</f>
        <v>18658.748749999999</v>
      </c>
      <c r="I471">
        <f t="shared" si="21"/>
        <v>1391166.0690249999</v>
      </c>
      <c r="J471">
        <f>Overtime!D471</f>
        <v>185790.86777499999</v>
      </c>
      <c r="K471">
        <f t="shared" si="22"/>
        <v>0.12</v>
      </c>
      <c r="L471">
        <f>IF(Performance!E471&lt;=1.5,0.01,IF(Performance!E471&lt;=2,0.02,IF(Performance!E471&lt;=3,0.03,"")))</f>
        <v>0.01</v>
      </c>
      <c r="M471">
        <f t="shared" si="23"/>
        <v>0.13</v>
      </c>
      <c r="N471">
        <f>Earnings!B471*(1+M471)</f>
        <v>1452897.4434999998</v>
      </c>
    </row>
    <row r="472" spans="1:14" x14ac:dyDescent="0.35">
      <c r="A472" t="s">
        <v>502</v>
      </c>
      <c r="B472" t="s">
        <v>14</v>
      </c>
      <c r="C472" t="s">
        <v>15</v>
      </c>
      <c r="D472" t="s">
        <v>21</v>
      </c>
      <c r="E472">
        <v>0</v>
      </c>
      <c r="F472" t="s">
        <v>70</v>
      </c>
      <c r="G472">
        <f>Earnings!G472</f>
        <v>369659.03</v>
      </c>
      <c r="H472">
        <f>Deductions!B472+Deductions!C472+Deductions!D472+Tax!D472</f>
        <v>2576.23875</v>
      </c>
      <c r="I472">
        <f t="shared" si="21"/>
        <v>367082.79125000001</v>
      </c>
      <c r="J472">
        <f>Overtime!D472</f>
        <v>0</v>
      </c>
      <c r="K472">
        <f t="shared" si="22"/>
        <v>0.06</v>
      </c>
      <c r="L472">
        <f>IF(Performance!E472&lt;=1.5,0.01,IF(Performance!E472&lt;=2,0.02,IF(Performance!E472&lt;=3,0.03,"")))</f>
        <v>0.01</v>
      </c>
      <c r="M472">
        <f t="shared" si="23"/>
        <v>6.9999999999999993E-2</v>
      </c>
      <c r="N472">
        <f>Earnings!B472*(1+M472)</f>
        <v>415478.11100000003</v>
      </c>
    </row>
    <row r="473" spans="1:14" x14ac:dyDescent="0.35">
      <c r="A473" t="s">
        <v>503</v>
      </c>
      <c r="B473" t="s">
        <v>26</v>
      </c>
      <c r="C473" t="s">
        <v>43</v>
      </c>
      <c r="D473" t="s">
        <v>16</v>
      </c>
      <c r="E473">
        <v>10.199999999999999</v>
      </c>
      <c r="F473" t="s">
        <v>24</v>
      </c>
      <c r="G473">
        <f>Earnings!G473</f>
        <v>1151383.17</v>
      </c>
      <c r="H473">
        <f>Deductions!B473+Deductions!C473+Deductions!D473+Tax!D473</f>
        <v>16750.902500000004</v>
      </c>
      <c r="I473">
        <f t="shared" si="21"/>
        <v>1134632.2674999998</v>
      </c>
      <c r="J473">
        <f>Overtime!D473</f>
        <v>0</v>
      </c>
      <c r="K473">
        <f t="shared" si="22"/>
        <v>0.12</v>
      </c>
      <c r="L473">
        <f>IF(Performance!E473&lt;=1.5,0.01,IF(Performance!E473&lt;=2,0.02,IF(Performance!E473&lt;=3,0.03,"")))</f>
        <v>0.01</v>
      </c>
      <c r="M473">
        <f t="shared" si="23"/>
        <v>0.13</v>
      </c>
      <c r="N473">
        <f>Earnings!B473*(1+M473)</f>
        <v>1366662.7930000001</v>
      </c>
    </row>
    <row r="474" spans="1:14" x14ac:dyDescent="0.35">
      <c r="A474" t="s">
        <v>504</v>
      </c>
      <c r="B474" t="s">
        <v>35</v>
      </c>
      <c r="C474" t="s">
        <v>15</v>
      </c>
      <c r="D474" t="s">
        <v>16</v>
      </c>
      <c r="E474">
        <v>14</v>
      </c>
      <c r="F474" t="s">
        <v>17</v>
      </c>
      <c r="G474">
        <f>Earnings!G474</f>
        <v>1232054.6000000001</v>
      </c>
      <c r="H474">
        <f>Deductions!B474+Deductions!C474+Deductions!D474+Tax!D474</f>
        <v>18729.375</v>
      </c>
      <c r="I474">
        <f t="shared" si="21"/>
        <v>1278033.9750000001</v>
      </c>
      <c r="J474">
        <f>Overtime!D474</f>
        <v>64708.75</v>
      </c>
      <c r="K474">
        <f t="shared" si="22"/>
        <v>0.06</v>
      </c>
      <c r="L474">
        <f>IF(Performance!E474&lt;=1.5,0.01,IF(Performance!E474&lt;=2,0.02,IF(Performance!E474&lt;=3,0.03,"")))</f>
        <v>0.01</v>
      </c>
      <c r="M474">
        <f t="shared" si="23"/>
        <v>6.9999999999999993E-2</v>
      </c>
      <c r="N474">
        <f>Earnings!B474*(1+M474)</f>
        <v>1384767.25</v>
      </c>
    </row>
    <row r="475" spans="1:14" x14ac:dyDescent="0.35">
      <c r="A475" t="s">
        <v>505</v>
      </c>
      <c r="B475" t="s">
        <v>29</v>
      </c>
      <c r="C475" t="s">
        <v>15</v>
      </c>
      <c r="D475" t="s">
        <v>16</v>
      </c>
      <c r="E475">
        <v>10</v>
      </c>
      <c r="F475" t="s">
        <v>22</v>
      </c>
      <c r="G475">
        <f>Earnings!G475</f>
        <v>860242.43</v>
      </c>
      <c r="H475">
        <f>Deductions!B475+Deductions!C475+Deductions!D475+Tax!D475</f>
        <v>9768.6000000000022</v>
      </c>
      <c r="I475">
        <f t="shared" si="21"/>
        <v>936317.35000000009</v>
      </c>
      <c r="J475">
        <f>Overtime!D475</f>
        <v>85843.520000000004</v>
      </c>
      <c r="K475">
        <f t="shared" si="22"/>
        <v>0.06</v>
      </c>
      <c r="L475">
        <f>IF(Performance!E475&lt;=1.5,0.01,IF(Performance!E475&lt;=2,0.02,IF(Performance!E475&lt;=3,0.03,"")))</f>
        <v>0.02</v>
      </c>
      <c r="M475">
        <f t="shared" si="23"/>
        <v>0.08</v>
      </c>
      <c r="N475">
        <f>Earnings!B475*(1+M475)</f>
        <v>975905.28000000003</v>
      </c>
    </row>
    <row r="476" spans="1:14" x14ac:dyDescent="0.35">
      <c r="A476" t="s">
        <v>506</v>
      </c>
      <c r="B476" t="s">
        <v>29</v>
      </c>
      <c r="C476" t="s">
        <v>20</v>
      </c>
      <c r="D476" t="s">
        <v>21</v>
      </c>
      <c r="E476">
        <v>2.8</v>
      </c>
      <c r="F476" t="s">
        <v>22</v>
      </c>
      <c r="G476">
        <f>Earnings!G476</f>
        <v>1573096.18</v>
      </c>
      <c r="H476">
        <f>Deductions!B476+Deductions!C476+Deductions!D476+Tax!D476</f>
        <v>27765.298749999998</v>
      </c>
      <c r="I476">
        <f t="shared" si="21"/>
        <v>1614732.1831499999</v>
      </c>
      <c r="J476">
        <f>Overtime!D476</f>
        <v>69401.301900000006</v>
      </c>
      <c r="K476">
        <f t="shared" si="22"/>
        <v>0.1</v>
      </c>
      <c r="L476">
        <f>IF(Performance!E476&lt;=1.5,0.01,IF(Performance!E476&lt;=2,0.02,IF(Performance!E476&lt;=3,0.03,"")))</f>
        <v>0.02</v>
      </c>
      <c r="M476">
        <f t="shared" si="23"/>
        <v>0.12000000000000001</v>
      </c>
      <c r="N476">
        <f>Earnings!B476*(1+M476)</f>
        <v>1850701.3840000001</v>
      </c>
    </row>
    <row r="477" spans="1:14" x14ac:dyDescent="0.35">
      <c r="A477" t="s">
        <v>507</v>
      </c>
      <c r="B477" t="s">
        <v>19</v>
      </c>
      <c r="C477" t="s">
        <v>33</v>
      </c>
      <c r="D477" t="s">
        <v>16</v>
      </c>
      <c r="E477">
        <v>9.6</v>
      </c>
      <c r="F477" t="s">
        <v>31</v>
      </c>
      <c r="G477">
        <f>Earnings!G477</f>
        <v>1268884.24</v>
      </c>
      <c r="H477">
        <f>Deductions!B477+Deductions!C477+Deductions!D477+Tax!D477</f>
        <v>19736.540000000005</v>
      </c>
      <c r="I477">
        <f t="shared" si="21"/>
        <v>1249147.7</v>
      </c>
      <c r="J477">
        <f>Overtime!D477</f>
        <v>0</v>
      </c>
      <c r="K477">
        <f t="shared" si="22"/>
        <v>0.08</v>
      </c>
      <c r="L477">
        <f>IF(Performance!E477&lt;=1.5,0.01,IF(Performance!E477&lt;=2,0.02,IF(Performance!E477&lt;=3,0.03,"")))</f>
        <v>0.03</v>
      </c>
      <c r="M477">
        <f t="shared" si="23"/>
        <v>0.11</v>
      </c>
      <c r="N477">
        <f>Earnings!B477*(1+M477)</f>
        <v>1479476.3760000002</v>
      </c>
    </row>
    <row r="478" spans="1:14" x14ac:dyDescent="0.35">
      <c r="A478" t="s">
        <v>508</v>
      </c>
      <c r="B478" t="s">
        <v>14</v>
      </c>
      <c r="C478" t="s">
        <v>20</v>
      </c>
      <c r="D478" t="s">
        <v>21</v>
      </c>
      <c r="E478">
        <v>2.8</v>
      </c>
      <c r="F478" t="s">
        <v>17</v>
      </c>
      <c r="G478">
        <f>Earnings!G478</f>
        <v>764679.61</v>
      </c>
      <c r="H478">
        <f>Deductions!B478+Deductions!C478+Deductions!D478+Tax!D478</f>
        <v>8175.5813333333326</v>
      </c>
      <c r="I478">
        <f t="shared" si="21"/>
        <v>756504.02866666671</v>
      </c>
      <c r="J478">
        <f>Overtime!D478</f>
        <v>0</v>
      </c>
      <c r="K478">
        <f t="shared" si="22"/>
        <v>0.1</v>
      </c>
      <c r="L478">
        <f>IF(Performance!E478&lt;=1.5,0.01,IF(Performance!E478&lt;=2,0.02,IF(Performance!E478&lt;=3,0.03,"")))</f>
        <v>0.01</v>
      </c>
      <c r="M478">
        <f t="shared" si="23"/>
        <v>0.11</v>
      </c>
      <c r="N478">
        <f>Earnings!B478*(1+M478)</f>
        <v>891590.71680000005</v>
      </c>
    </row>
    <row r="479" spans="1:14" x14ac:dyDescent="0.35">
      <c r="A479" t="s">
        <v>509</v>
      </c>
      <c r="B479" t="s">
        <v>19</v>
      </c>
      <c r="C479" t="s">
        <v>43</v>
      </c>
      <c r="D479" t="s">
        <v>21</v>
      </c>
      <c r="E479">
        <v>13.6</v>
      </c>
      <c r="F479" t="s">
        <v>44</v>
      </c>
      <c r="G479">
        <f>Earnings!G479</f>
        <v>1611251.37</v>
      </c>
      <c r="H479">
        <f>Deductions!B479+Deductions!C479+Deductions!D479+Tax!D479</f>
        <v>28827.273249999998</v>
      </c>
      <c r="I479">
        <f t="shared" si="21"/>
        <v>1582424.09675</v>
      </c>
      <c r="J479">
        <f>Overtime!D479</f>
        <v>0</v>
      </c>
      <c r="K479">
        <f t="shared" si="22"/>
        <v>0.12</v>
      </c>
      <c r="L479">
        <f>IF(Performance!E479&lt;=1.5,0.01,IF(Performance!E479&lt;=2,0.02,IF(Performance!E479&lt;=3,0.03,"")))</f>
        <v>0.03</v>
      </c>
      <c r="M479">
        <f t="shared" si="23"/>
        <v>0.15</v>
      </c>
      <c r="N479">
        <f>Earnings!B479*(1+M479)</f>
        <v>1946364.5694999998</v>
      </c>
    </row>
    <row r="480" spans="1:14" x14ac:dyDescent="0.35">
      <c r="A480" t="s">
        <v>510</v>
      </c>
      <c r="B480" t="s">
        <v>26</v>
      </c>
      <c r="C480" t="s">
        <v>43</v>
      </c>
      <c r="D480" t="s">
        <v>21</v>
      </c>
      <c r="E480">
        <v>22.1</v>
      </c>
      <c r="F480" t="s">
        <v>17</v>
      </c>
      <c r="G480">
        <f>Earnings!G480</f>
        <v>1330035.51</v>
      </c>
      <c r="H480">
        <f>Deductions!B480+Deductions!C480+Deductions!D480+Tax!D480</f>
        <v>21442.403000000002</v>
      </c>
      <c r="I480">
        <f t="shared" si="21"/>
        <v>1308593.1070000001</v>
      </c>
      <c r="J480">
        <f>Overtime!D480</f>
        <v>0</v>
      </c>
      <c r="K480">
        <f t="shared" si="22"/>
        <v>0.12</v>
      </c>
      <c r="L480">
        <f>IF(Performance!E480&lt;=1.5,0.01,IF(Performance!E480&lt;=2,0.02,IF(Performance!E480&lt;=3,0.03,"")))</f>
        <v>0.01</v>
      </c>
      <c r="M480">
        <f t="shared" si="23"/>
        <v>0.13</v>
      </c>
      <c r="N480">
        <f>Earnings!B480*(1+M480)</f>
        <v>1578718.6155999999</v>
      </c>
    </row>
    <row r="481" spans="1:14" x14ac:dyDescent="0.35">
      <c r="A481" t="s">
        <v>511</v>
      </c>
      <c r="B481" t="s">
        <v>14</v>
      </c>
      <c r="C481" t="s">
        <v>43</v>
      </c>
      <c r="D481" t="s">
        <v>16</v>
      </c>
      <c r="E481">
        <v>25.5</v>
      </c>
      <c r="F481" t="s">
        <v>27</v>
      </c>
      <c r="G481">
        <f>Earnings!G481</f>
        <v>1532048.65</v>
      </c>
      <c r="H481">
        <f>Deductions!B481+Deductions!C481+Deductions!D481+Tax!D481</f>
        <v>26747.37</v>
      </c>
      <c r="I481">
        <f t="shared" si="21"/>
        <v>1860955.4307999997</v>
      </c>
      <c r="J481">
        <f>Overtime!D481</f>
        <v>355654.1508</v>
      </c>
      <c r="K481">
        <f t="shared" si="22"/>
        <v>0.12</v>
      </c>
      <c r="L481">
        <f>IF(Performance!E481&lt;=1.5,0.01,IF(Performance!E481&lt;=2,0.02,IF(Performance!E481&lt;=3,0.03,"")))</f>
        <v>0.01</v>
      </c>
      <c r="M481">
        <f t="shared" si="23"/>
        <v>0.13</v>
      </c>
      <c r="N481">
        <f>Earnings!B481*(1+M481)</f>
        <v>1818503.1239999998</v>
      </c>
    </row>
    <row r="482" spans="1:14" x14ac:dyDescent="0.35">
      <c r="A482" t="s">
        <v>512</v>
      </c>
      <c r="B482" t="s">
        <v>14</v>
      </c>
      <c r="C482" t="s">
        <v>33</v>
      </c>
      <c r="D482" t="s">
        <v>21</v>
      </c>
      <c r="E482">
        <v>9.6</v>
      </c>
      <c r="F482" t="s">
        <v>17</v>
      </c>
      <c r="G482">
        <f>Earnings!G482</f>
        <v>614650.5</v>
      </c>
      <c r="H482">
        <f>Deductions!B482+Deductions!C482+Deductions!D482+Tax!D482</f>
        <v>5509.021333333334</v>
      </c>
      <c r="I482">
        <f t="shared" si="21"/>
        <v>609141.47866666666</v>
      </c>
      <c r="J482">
        <f>Overtime!D482</f>
        <v>0</v>
      </c>
      <c r="K482">
        <f t="shared" si="22"/>
        <v>0.08</v>
      </c>
      <c r="L482">
        <f>IF(Performance!E482&lt;=1.5,0.01,IF(Performance!E482&lt;=2,0.02,IF(Performance!E482&lt;=3,0.03,"")))</f>
        <v>0.01</v>
      </c>
      <c r="M482">
        <f t="shared" si="23"/>
        <v>0.09</v>
      </c>
      <c r="N482">
        <f>Earnings!B482*(1+M482)</f>
        <v>703748.99520000012</v>
      </c>
    </row>
    <row r="483" spans="1:14" x14ac:dyDescent="0.35">
      <c r="A483" t="s">
        <v>513</v>
      </c>
      <c r="B483" t="s">
        <v>29</v>
      </c>
      <c r="C483" t="s">
        <v>33</v>
      </c>
      <c r="D483" t="s">
        <v>16</v>
      </c>
      <c r="E483">
        <v>9.6</v>
      </c>
      <c r="F483" t="s">
        <v>22</v>
      </c>
      <c r="G483">
        <f>Earnings!G483</f>
        <v>1432411.95</v>
      </c>
      <c r="H483">
        <f>Deductions!B483+Deductions!C483+Deductions!D483+Tax!D483</f>
        <v>24030.859999999997</v>
      </c>
      <c r="I483">
        <f t="shared" si="21"/>
        <v>1480603.5411999999</v>
      </c>
      <c r="J483">
        <f>Overtime!D483</f>
        <v>72222.451199999996</v>
      </c>
      <c r="K483">
        <f t="shared" si="22"/>
        <v>0.08</v>
      </c>
      <c r="L483">
        <f>IF(Performance!E483&lt;=1.5,0.01,IF(Performance!E483&lt;=2,0.02,IF(Performance!E483&lt;=3,0.03,"")))</f>
        <v>0.02</v>
      </c>
      <c r="M483">
        <f t="shared" si="23"/>
        <v>0.1</v>
      </c>
      <c r="N483">
        <f>Earnings!B483*(1+M483)</f>
        <v>1655097.84</v>
      </c>
    </row>
    <row r="484" spans="1:14" x14ac:dyDescent="0.35">
      <c r="A484" t="s">
        <v>514</v>
      </c>
      <c r="B484" t="s">
        <v>29</v>
      </c>
      <c r="C484" t="s">
        <v>33</v>
      </c>
      <c r="D484" t="s">
        <v>21</v>
      </c>
      <c r="E484">
        <v>7.2</v>
      </c>
      <c r="F484" t="s">
        <v>70</v>
      </c>
      <c r="G484">
        <f>Earnings!G484</f>
        <v>1352979.51</v>
      </c>
      <c r="H484">
        <f>Deductions!B484+Deductions!C484+Deductions!D484+Tax!D484</f>
        <v>21944.923999999999</v>
      </c>
      <c r="I484">
        <f t="shared" si="21"/>
        <v>1331034.5860000001</v>
      </c>
      <c r="J484">
        <f>Overtime!D484</f>
        <v>0</v>
      </c>
      <c r="K484">
        <f t="shared" si="22"/>
        <v>0.08</v>
      </c>
      <c r="L484">
        <f>IF(Performance!E484&lt;=1.5,0.01,IF(Performance!E484&lt;=2,0.02,IF(Performance!E484&lt;=3,0.03,"")))</f>
        <v>0.02</v>
      </c>
      <c r="M484">
        <f t="shared" si="23"/>
        <v>0.1</v>
      </c>
      <c r="N484">
        <f>Earnings!B484*(1+M484)</f>
        <v>1563316.6560000002</v>
      </c>
    </row>
    <row r="485" spans="1:14" x14ac:dyDescent="0.35">
      <c r="A485" t="s">
        <v>515</v>
      </c>
      <c r="B485" t="s">
        <v>26</v>
      </c>
      <c r="C485" t="s">
        <v>33</v>
      </c>
      <c r="D485" t="s">
        <v>21</v>
      </c>
      <c r="E485">
        <v>6</v>
      </c>
      <c r="F485" t="s">
        <v>27</v>
      </c>
      <c r="G485">
        <f>Earnings!G485</f>
        <v>608659.75</v>
      </c>
      <c r="H485">
        <f>Deductions!B485+Deductions!C485+Deductions!D485+Tax!D485</f>
        <v>5404.141333333333</v>
      </c>
      <c r="I485">
        <f t="shared" si="21"/>
        <v>672305.24396666663</v>
      </c>
      <c r="J485">
        <f>Overtime!D485</f>
        <v>69049.635300000009</v>
      </c>
      <c r="K485">
        <f t="shared" si="22"/>
        <v>0.08</v>
      </c>
      <c r="L485">
        <f>IF(Performance!E485&lt;=1.5,0.01,IF(Performance!E485&lt;=2,0.02,IF(Performance!E485&lt;=3,0.03,"")))</f>
        <v>0.01</v>
      </c>
      <c r="M485">
        <f t="shared" si="23"/>
        <v>0.09</v>
      </c>
      <c r="N485">
        <f>Earnings!B485*(1+M485)</f>
        <v>696889.8432</v>
      </c>
    </row>
    <row r="486" spans="1:14" x14ac:dyDescent="0.35">
      <c r="A486" t="s">
        <v>516</v>
      </c>
      <c r="B486" t="s">
        <v>35</v>
      </c>
      <c r="C486" t="s">
        <v>43</v>
      </c>
      <c r="D486" t="s">
        <v>16</v>
      </c>
      <c r="E486">
        <v>15.3</v>
      </c>
      <c r="F486" t="s">
        <v>44</v>
      </c>
      <c r="G486">
        <f>Earnings!G486</f>
        <v>1769228.41</v>
      </c>
      <c r="H486">
        <f>Deductions!B486+Deductions!C486+Deductions!D486+Tax!D486</f>
        <v>32975.83</v>
      </c>
      <c r="I486">
        <f t="shared" si="21"/>
        <v>1925812.7663999998</v>
      </c>
      <c r="J486">
        <f>Overtime!D486</f>
        <v>189560.18640000001</v>
      </c>
      <c r="K486">
        <f t="shared" si="22"/>
        <v>0.12</v>
      </c>
      <c r="L486">
        <f>IF(Performance!E486&lt;=1.5,0.01,IF(Performance!E486&lt;=2,0.02,IF(Performance!E486&lt;=3,0.03,"")))</f>
        <v>0.01</v>
      </c>
      <c r="M486">
        <f t="shared" si="23"/>
        <v>0.13</v>
      </c>
      <c r="N486">
        <f>Earnings!B486*(1+M486)</f>
        <v>2100029.5159999998</v>
      </c>
    </row>
    <row r="487" spans="1:14" x14ac:dyDescent="0.35">
      <c r="A487" t="s">
        <v>517</v>
      </c>
      <c r="B487" t="s">
        <v>29</v>
      </c>
      <c r="C487" t="s">
        <v>20</v>
      </c>
      <c r="D487" t="s">
        <v>21</v>
      </c>
      <c r="E487">
        <v>16.8</v>
      </c>
      <c r="F487" t="s">
        <v>22</v>
      </c>
      <c r="G487">
        <f>Earnings!G487</f>
        <v>1880043.75</v>
      </c>
      <c r="H487">
        <f>Deductions!B487+Deductions!C487+Deductions!D487+Tax!D487</f>
        <v>35825.89675</v>
      </c>
      <c r="I487">
        <f t="shared" si="21"/>
        <v>2258933.3870000001</v>
      </c>
      <c r="J487">
        <f>Overtime!D487</f>
        <v>414715.53375</v>
      </c>
      <c r="K487">
        <f t="shared" si="22"/>
        <v>0.1</v>
      </c>
      <c r="L487">
        <f>IF(Performance!E487&lt;=1.5,0.01,IF(Performance!E487&lt;=2,0.02,IF(Performance!E487&lt;=3,0.03,"")))</f>
        <v>0.02</v>
      </c>
      <c r="M487">
        <f t="shared" si="23"/>
        <v>0.12000000000000001</v>
      </c>
      <c r="N487">
        <f>Earnings!B487*(1+M487)</f>
        <v>2211816.1744000004</v>
      </c>
    </row>
    <row r="488" spans="1:14" x14ac:dyDescent="0.35">
      <c r="A488" t="s">
        <v>518</v>
      </c>
      <c r="B488" t="s">
        <v>14</v>
      </c>
      <c r="C488" t="s">
        <v>20</v>
      </c>
      <c r="D488" t="s">
        <v>16</v>
      </c>
      <c r="E488">
        <v>0</v>
      </c>
      <c r="F488" t="s">
        <v>17</v>
      </c>
      <c r="G488">
        <f>Earnings!G488</f>
        <v>465616.35</v>
      </c>
      <c r="H488">
        <f>Deductions!B488+Deductions!C488+Deductions!D488+Tax!D488</f>
        <v>3076.22</v>
      </c>
      <c r="I488">
        <f t="shared" si="21"/>
        <v>544707.72039999999</v>
      </c>
      <c r="J488">
        <f>Overtime!D488</f>
        <v>82167.590400000001</v>
      </c>
      <c r="K488">
        <f t="shared" si="22"/>
        <v>0.1</v>
      </c>
      <c r="L488">
        <f>IF(Performance!E488&lt;=1.5,0.01,IF(Performance!E488&lt;=2,0.02,IF(Performance!E488&lt;=3,0.03,"")))</f>
        <v>0.01</v>
      </c>
      <c r="M488">
        <f t="shared" si="23"/>
        <v>0.11</v>
      </c>
      <c r="N488">
        <f>Earnings!B488*(1+M488)</f>
        <v>542893.00800000003</v>
      </c>
    </row>
    <row r="489" spans="1:14" x14ac:dyDescent="0.35">
      <c r="A489" t="s">
        <v>519</v>
      </c>
      <c r="B489" t="s">
        <v>35</v>
      </c>
      <c r="C489" t="s">
        <v>43</v>
      </c>
      <c r="D489" t="s">
        <v>21</v>
      </c>
      <c r="E489">
        <v>8.5</v>
      </c>
      <c r="F489" t="s">
        <v>44</v>
      </c>
      <c r="G489">
        <f>Earnings!G489</f>
        <v>1309920.6599999999</v>
      </c>
      <c r="H489">
        <f>Deductions!B489+Deductions!C489+Deductions!D489+Tax!D489</f>
        <v>20914.177</v>
      </c>
      <c r="I489">
        <f t="shared" si="21"/>
        <v>1616486.6468500001</v>
      </c>
      <c r="J489">
        <f>Overtime!D489</f>
        <v>327480.16385000001</v>
      </c>
      <c r="K489">
        <f t="shared" si="22"/>
        <v>0.12</v>
      </c>
      <c r="L489">
        <f>IF(Performance!E489&lt;=1.5,0.01,IF(Performance!E489&lt;=2,0.02,IF(Performance!E489&lt;=3,0.03,"")))</f>
        <v>0.01</v>
      </c>
      <c r="M489">
        <f t="shared" si="23"/>
        <v>0.13</v>
      </c>
      <c r="N489">
        <f>Earnings!B489*(1+M489)</f>
        <v>1554842.8003999998</v>
      </c>
    </row>
    <row r="490" spans="1:14" x14ac:dyDescent="0.35">
      <c r="A490" t="s">
        <v>520</v>
      </c>
      <c r="B490" t="s">
        <v>14</v>
      </c>
      <c r="C490" t="s">
        <v>43</v>
      </c>
      <c r="D490" t="s">
        <v>21</v>
      </c>
      <c r="E490">
        <v>3.4</v>
      </c>
      <c r="F490" t="s">
        <v>22</v>
      </c>
      <c r="G490">
        <f>Earnings!G490</f>
        <v>931173.22</v>
      </c>
      <c r="H490">
        <f>Deductions!B490+Deductions!C490+Deductions!D490+Tax!D490</f>
        <v>11150.3855</v>
      </c>
      <c r="I490">
        <f t="shared" si="21"/>
        <v>969907.11387500004</v>
      </c>
      <c r="J490">
        <f>Overtime!D490</f>
        <v>49884.279374999998</v>
      </c>
      <c r="K490">
        <f t="shared" si="22"/>
        <v>0.12</v>
      </c>
      <c r="L490">
        <f>IF(Performance!E490&lt;=1.5,0.01,IF(Performance!E490&lt;=2,0.02,IF(Performance!E490&lt;=3,0.03,"")))</f>
        <v>0.01</v>
      </c>
      <c r="M490">
        <f t="shared" si="23"/>
        <v>0.13</v>
      </c>
      <c r="N490">
        <f>Earnings!B490*(1+M490)</f>
        <v>1105279.1368999998</v>
      </c>
    </row>
    <row r="491" spans="1:14" x14ac:dyDescent="0.35">
      <c r="A491" t="s">
        <v>521</v>
      </c>
      <c r="B491" t="s">
        <v>14</v>
      </c>
      <c r="C491" t="s">
        <v>20</v>
      </c>
      <c r="D491" t="s">
        <v>16</v>
      </c>
      <c r="E491">
        <v>16.8</v>
      </c>
      <c r="F491" t="s">
        <v>44</v>
      </c>
      <c r="G491">
        <f>Earnings!G491</f>
        <v>1161647.1599999999</v>
      </c>
      <c r="H491">
        <f>Deductions!B491+Deductions!C491+Deductions!D491+Tax!D491</f>
        <v>16960.440000000002</v>
      </c>
      <c r="I491">
        <f t="shared" si="21"/>
        <v>1144686.72</v>
      </c>
      <c r="J491">
        <f>Overtime!D491</f>
        <v>0</v>
      </c>
      <c r="K491">
        <f t="shared" si="22"/>
        <v>0.1</v>
      </c>
      <c r="L491">
        <f>IF(Performance!E491&lt;=1.5,0.01,IF(Performance!E491&lt;=2,0.02,IF(Performance!E491&lt;=3,0.03,"")))</f>
        <v>0.01</v>
      </c>
      <c r="M491">
        <f t="shared" si="23"/>
        <v>0.11</v>
      </c>
      <c r="N491">
        <f>Earnings!B491*(1+M491)</f>
        <v>1354441.5360000003</v>
      </c>
    </row>
    <row r="492" spans="1:14" x14ac:dyDescent="0.35">
      <c r="A492" t="s">
        <v>522</v>
      </c>
      <c r="B492" t="s">
        <v>35</v>
      </c>
      <c r="C492" t="s">
        <v>43</v>
      </c>
      <c r="D492" t="s">
        <v>21</v>
      </c>
      <c r="E492">
        <v>23.8</v>
      </c>
      <c r="F492" t="s">
        <v>27</v>
      </c>
      <c r="G492">
        <f>Earnings!G492</f>
        <v>1737458.49</v>
      </c>
      <c r="H492">
        <f>Deductions!B492+Deductions!C492+Deductions!D492+Tax!D492</f>
        <v>32141.535999999996</v>
      </c>
      <c r="I492">
        <f t="shared" si="21"/>
        <v>1922499.263575</v>
      </c>
      <c r="J492">
        <f>Overtime!D492</f>
        <v>217182.30957499999</v>
      </c>
      <c r="K492">
        <f t="shared" si="22"/>
        <v>0.12</v>
      </c>
      <c r="L492">
        <f>IF(Performance!E492&lt;=1.5,0.01,IF(Performance!E492&lt;=2,0.02,IF(Performance!E492&lt;=3,0.03,"")))</f>
        <v>0.01</v>
      </c>
      <c r="M492">
        <f t="shared" si="23"/>
        <v>0.13</v>
      </c>
      <c r="N492">
        <f>Earnings!B492*(1+M492)</f>
        <v>2062319.4271999998</v>
      </c>
    </row>
    <row r="493" spans="1:14" x14ac:dyDescent="0.35">
      <c r="A493" t="s">
        <v>523</v>
      </c>
      <c r="B493" t="s">
        <v>19</v>
      </c>
      <c r="C493" t="s">
        <v>15</v>
      </c>
      <c r="D493" t="s">
        <v>16</v>
      </c>
      <c r="E493">
        <v>8</v>
      </c>
      <c r="F493" t="s">
        <v>70</v>
      </c>
      <c r="G493">
        <f>Earnings!G493</f>
        <v>844527.77</v>
      </c>
      <c r="H493">
        <f>Deductions!B493+Deductions!C493+Deductions!D493+Tax!D493</f>
        <v>9493.4833333333336</v>
      </c>
      <c r="I493">
        <f t="shared" si="21"/>
        <v>888260.82666666678</v>
      </c>
      <c r="J493">
        <f>Overtime!D493</f>
        <v>53226.54</v>
      </c>
      <c r="K493">
        <f t="shared" si="22"/>
        <v>0.06</v>
      </c>
      <c r="L493">
        <f>IF(Performance!E493&lt;=1.5,0.01,IF(Performance!E493&lt;=2,0.02,IF(Performance!E493&lt;=3,0.03,"")))</f>
        <v>0.03</v>
      </c>
      <c r="M493">
        <f t="shared" si="23"/>
        <v>0.09</v>
      </c>
      <c r="N493">
        <f>Earnings!B493*(1+M493)</f>
        <v>966948.81</v>
      </c>
    </row>
    <row r="494" spans="1:14" x14ac:dyDescent="0.35">
      <c r="A494" t="s">
        <v>524</v>
      </c>
      <c r="B494" t="s">
        <v>29</v>
      </c>
      <c r="C494" t="s">
        <v>33</v>
      </c>
      <c r="D494" t="s">
        <v>21</v>
      </c>
      <c r="E494">
        <v>12</v>
      </c>
      <c r="F494" t="s">
        <v>31</v>
      </c>
      <c r="G494">
        <f>Earnings!G494</f>
        <v>1165739.3999999999</v>
      </c>
      <c r="H494">
        <f>Deductions!B494+Deductions!C494+Deductions!D494+Tax!D494</f>
        <v>17027.904499999997</v>
      </c>
      <c r="I494">
        <f t="shared" si="21"/>
        <v>1325041.8247</v>
      </c>
      <c r="J494">
        <f>Overtime!D494</f>
        <v>176330.32920000001</v>
      </c>
      <c r="K494">
        <f t="shared" si="22"/>
        <v>0.08</v>
      </c>
      <c r="L494">
        <f>IF(Performance!E494&lt;=1.5,0.01,IF(Performance!E494&lt;=2,0.02,IF(Performance!E494&lt;=3,0.03,"")))</f>
        <v>0.02</v>
      </c>
      <c r="M494">
        <f t="shared" si="23"/>
        <v>0.1</v>
      </c>
      <c r="N494">
        <f>Earnings!B494*(1+M494)</f>
        <v>1346967.798</v>
      </c>
    </row>
    <row r="495" spans="1:14" x14ac:dyDescent="0.35">
      <c r="A495" t="s">
        <v>525</v>
      </c>
      <c r="B495" t="s">
        <v>14</v>
      </c>
      <c r="C495" t="s">
        <v>43</v>
      </c>
      <c r="D495" t="s">
        <v>16</v>
      </c>
      <c r="E495">
        <v>11.9</v>
      </c>
      <c r="F495" t="s">
        <v>27</v>
      </c>
      <c r="G495">
        <f>Earnings!G495</f>
        <v>991376.81</v>
      </c>
      <c r="H495">
        <f>Deductions!B495+Deductions!C495+Deductions!D495+Tax!D495</f>
        <v>12549.054999999998</v>
      </c>
      <c r="I495">
        <f t="shared" si="21"/>
        <v>978827.755</v>
      </c>
      <c r="J495">
        <f>Overtime!D495</f>
        <v>0</v>
      </c>
      <c r="K495">
        <f t="shared" si="22"/>
        <v>0.12</v>
      </c>
      <c r="L495">
        <f>IF(Performance!E495&lt;=1.5,0.01,IF(Performance!E495&lt;=2,0.02,IF(Performance!E495&lt;=3,0.03,"")))</f>
        <v>0.01</v>
      </c>
      <c r="M495">
        <f t="shared" si="23"/>
        <v>0.13</v>
      </c>
      <c r="N495">
        <f>Earnings!B495*(1+M495)</f>
        <v>1176739.2859999998</v>
      </c>
    </row>
    <row r="496" spans="1:14" x14ac:dyDescent="0.35">
      <c r="A496" t="s">
        <v>526</v>
      </c>
      <c r="B496" t="s">
        <v>14</v>
      </c>
      <c r="C496" t="s">
        <v>20</v>
      </c>
      <c r="D496" t="s">
        <v>21</v>
      </c>
      <c r="E496">
        <v>15.4</v>
      </c>
      <c r="F496" t="s">
        <v>70</v>
      </c>
      <c r="G496">
        <f>Earnings!G496</f>
        <v>962612.07</v>
      </c>
      <c r="H496">
        <f>Deductions!B496+Deductions!C496+Deductions!D496+Tax!D496</f>
        <v>11733.678249999999</v>
      </c>
      <c r="I496">
        <f t="shared" si="21"/>
        <v>950878.39174999995</v>
      </c>
      <c r="J496">
        <f>Overtime!D496</f>
        <v>0</v>
      </c>
      <c r="K496">
        <f t="shared" si="22"/>
        <v>0.1</v>
      </c>
      <c r="L496">
        <f>IF(Performance!E496&lt;=1.5,0.01,IF(Performance!E496&lt;=2,0.02,IF(Performance!E496&lt;=3,0.03,"")))</f>
        <v>0.01</v>
      </c>
      <c r="M496">
        <f t="shared" si="23"/>
        <v>0.11</v>
      </c>
      <c r="N496">
        <f>Earnings!B496*(1+M496)</f>
        <v>1122373.3143000002</v>
      </c>
    </row>
    <row r="497" spans="1:14" x14ac:dyDescent="0.35">
      <c r="A497" t="s">
        <v>527</v>
      </c>
      <c r="B497" t="s">
        <v>26</v>
      </c>
      <c r="C497" t="s">
        <v>43</v>
      </c>
      <c r="D497" t="s">
        <v>21</v>
      </c>
      <c r="E497">
        <v>15.3</v>
      </c>
      <c r="F497" t="s">
        <v>27</v>
      </c>
      <c r="G497">
        <f>Earnings!G497</f>
        <v>1415607.04</v>
      </c>
      <c r="H497">
        <f>Deductions!B497+Deductions!C497+Deductions!D497+Tax!D497</f>
        <v>23689.554499999998</v>
      </c>
      <c r="I497">
        <f t="shared" si="21"/>
        <v>1391917.4855</v>
      </c>
      <c r="J497">
        <f>Overtime!D497</f>
        <v>0</v>
      </c>
      <c r="K497">
        <f t="shared" si="22"/>
        <v>0.12</v>
      </c>
      <c r="L497">
        <f>IF(Performance!E497&lt;=1.5,0.01,IF(Performance!E497&lt;=2,0.02,IF(Performance!E497&lt;=3,0.03,"")))</f>
        <v>0.01</v>
      </c>
      <c r="M497">
        <f t="shared" si="23"/>
        <v>0.13</v>
      </c>
      <c r="N497">
        <f>Earnings!B497*(1+M497)</f>
        <v>1680289.8633999997</v>
      </c>
    </row>
    <row r="498" spans="1:14" x14ac:dyDescent="0.35">
      <c r="A498" t="s">
        <v>528</v>
      </c>
      <c r="B498" t="s">
        <v>14</v>
      </c>
      <c r="C498" t="s">
        <v>15</v>
      </c>
      <c r="D498" t="s">
        <v>16</v>
      </c>
      <c r="E498">
        <v>14</v>
      </c>
      <c r="F498" t="s">
        <v>37</v>
      </c>
      <c r="G498">
        <f>Earnings!G498</f>
        <v>887973.24</v>
      </c>
      <c r="H498">
        <f>Deductions!B498+Deductions!C498+Deductions!D498+Tax!D498</f>
        <v>10254.083333333334</v>
      </c>
      <c r="I498">
        <f t="shared" si="21"/>
        <v>1012967.1816666666</v>
      </c>
      <c r="J498">
        <f>Overtime!D498</f>
        <v>135248.02500000002</v>
      </c>
      <c r="K498">
        <f t="shared" si="22"/>
        <v>0.06</v>
      </c>
      <c r="L498">
        <f>IF(Performance!E498&lt;=1.5,0.01,IF(Performance!E498&lt;=2,0.02,IF(Performance!E498&lt;=3,0.03,"")))</f>
        <v>0.01</v>
      </c>
      <c r="M498">
        <f t="shared" si="23"/>
        <v>6.9999999999999993E-2</v>
      </c>
      <c r="N498">
        <f>Earnings!B498*(1+M498)</f>
        <v>998037.15</v>
      </c>
    </row>
    <row r="499" spans="1:14" x14ac:dyDescent="0.35">
      <c r="A499" t="s">
        <v>529</v>
      </c>
      <c r="B499" t="s">
        <v>29</v>
      </c>
      <c r="C499" t="s">
        <v>33</v>
      </c>
      <c r="D499" t="s">
        <v>21</v>
      </c>
      <c r="E499">
        <v>4.8</v>
      </c>
      <c r="F499" t="s">
        <v>27</v>
      </c>
      <c r="G499">
        <f>Earnings!G499</f>
        <v>1265851.06</v>
      </c>
      <c r="H499">
        <f>Deductions!B499+Deductions!C499+Deductions!D499+Tax!D499</f>
        <v>19656.886999999999</v>
      </c>
      <c r="I499">
        <f t="shared" si="21"/>
        <v>1246194.173</v>
      </c>
      <c r="J499">
        <f>Overtime!D499</f>
        <v>0</v>
      </c>
      <c r="K499">
        <f t="shared" si="22"/>
        <v>0.08</v>
      </c>
      <c r="L499">
        <f>IF(Performance!E499&lt;=1.5,0.01,IF(Performance!E499&lt;=2,0.02,IF(Performance!E499&lt;=3,0.03,"")))</f>
        <v>0.02</v>
      </c>
      <c r="M499">
        <f t="shared" si="23"/>
        <v>0.1</v>
      </c>
      <c r="N499">
        <f>Earnings!B499*(1+M499)</f>
        <v>1462643.0280000002</v>
      </c>
    </row>
    <row r="500" spans="1:14" x14ac:dyDescent="0.35">
      <c r="A500" t="s">
        <v>530</v>
      </c>
      <c r="B500" t="s">
        <v>19</v>
      </c>
      <c r="C500" t="s">
        <v>15</v>
      </c>
      <c r="D500" t="s">
        <v>16</v>
      </c>
      <c r="E500">
        <v>10</v>
      </c>
      <c r="F500" t="s">
        <v>27</v>
      </c>
      <c r="G500">
        <f>Earnings!G500</f>
        <v>923184.86</v>
      </c>
      <c r="H500">
        <f>Deductions!B500+Deductions!C500+Deductions!D500+Tax!D500</f>
        <v>10870.533333333335</v>
      </c>
      <c r="I500">
        <f t="shared" si="21"/>
        <v>965649.58666666667</v>
      </c>
      <c r="J500">
        <f>Overtime!D500</f>
        <v>53335.259999999995</v>
      </c>
      <c r="K500">
        <f t="shared" si="22"/>
        <v>0.06</v>
      </c>
      <c r="L500">
        <f>IF(Performance!E500&lt;=1.5,0.01,IF(Performance!E500&lt;=2,0.02,IF(Performance!E500&lt;=3,0.03,"")))</f>
        <v>0.03</v>
      </c>
      <c r="M500">
        <f t="shared" si="23"/>
        <v>0.09</v>
      </c>
      <c r="N500">
        <f>Earnings!B500*(1+M500)</f>
        <v>1057007.8800000001</v>
      </c>
    </row>
    <row r="501" spans="1:14" x14ac:dyDescent="0.35">
      <c r="A501" t="s">
        <v>531</v>
      </c>
      <c r="B501" t="s">
        <v>29</v>
      </c>
      <c r="C501" t="s">
        <v>20</v>
      </c>
      <c r="D501" t="s">
        <v>16</v>
      </c>
      <c r="E501">
        <v>14</v>
      </c>
      <c r="F501" t="s">
        <v>27</v>
      </c>
      <c r="G501">
        <f>Earnings!G501</f>
        <v>1386455.86</v>
      </c>
      <c r="H501">
        <f>Deductions!B501+Deductions!C501+Deductions!D501+Tax!D501</f>
        <v>22864.03</v>
      </c>
      <c r="I501">
        <f t="shared" si="21"/>
        <v>1363591.83</v>
      </c>
      <c r="J501">
        <f>Overtime!D501</f>
        <v>0</v>
      </c>
      <c r="K501">
        <f t="shared" si="22"/>
        <v>0.1</v>
      </c>
      <c r="L501">
        <f>IF(Performance!E501&lt;=1.5,0.01,IF(Performance!E501&lt;=2,0.02,IF(Performance!E501&lt;=3,0.03,"")))</f>
        <v>0.02</v>
      </c>
      <c r="M501">
        <f t="shared" si="23"/>
        <v>0.12000000000000001</v>
      </c>
      <c r="N501">
        <f>Earnings!B501*(1+M501)</f>
        <v>1631124.544</v>
      </c>
    </row>
    <row r="502" spans="1:14" x14ac:dyDescent="0.35">
      <c r="A502" t="s">
        <v>532</v>
      </c>
      <c r="B502" t="s">
        <v>29</v>
      </c>
      <c r="C502" t="s">
        <v>20</v>
      </c>
      <c r="D502" t="s">
        <v>21</v>
      </c>
      <c r="E502">
        <v>0</v>
      </c>
      <c r="F502" t="s">
        <v>37</v>
      </c>
      <c r="G502">
        <f>Earnings!G502</f>
        <v>802731.51</v>
      </c>
      <c r="H502">
        <f>Deductions!B502+Deductions!C502+Deductions!D502+Tax!D502</f>
        <v>8841.7561666666661</v>
      </c>
      <c r="I502">
        <f t="shared" si="21"/>
        <v>841109.25483333343</v>
      </c>
      <c r="J502">
        <f>Overtime!D502</f>
        <v>47219.501000000004</v>
      </c>
      <c r="K502">
        <f t="shared" si="22"/>
        <v>0.1</v>
      </c>
      <c r="L502">
        <f>IF(Performance!E502&lt;=1.5,0.01,IF(Performance!E502&lt;=2,0.02,IF(Performance!E502&lt;=3,0.03,"")))</f>
        <v>0.02</v>
      </c>
      <c r="M502">
        <f t="shared" si="23"/>
        <v>0.12000000000000001</v>
      </c>
      <c r="N502">
        <f>Earnings!B502*(1+M502)</f>
        <v>944390.0144000001</v>
      </c>
    </row>
    <row r="503" spans="1:14" x14ac:dyDescent="0.35">
      <c r="A503" t="s">
        <v>533</v>
      </c>
      <c r="B503" t="s">
        <v>14</v>
      </c>
      <c r="C503" t="s">
        <v>20</v>
      </c>
      <c r="D503" t="s">
        <v>21</v>
      </c>
      <c r="E503">
        <v>5.6</v>
      </c>
      <c r="F503" t="s">
        <v>31</v>
      </c>
      <c r="G503">
        <f>Earnings!G503</f>
        <v>535379.30000000005</v>
      </c>
      <c r="H503">
        <f>Deductions!B503+Deductions!C503+Deductions!D503+Tax!D503</f>
        <v>4161.220166666666</v>
      </c>
      <c r="I503">
        <f t="shared" si="21"/>
        <v>602077.10303333332</v>
      </c>
      <c r="J503">
        <f>Overtime!D503</f>
        <v>70859.023199999996</v>
      </c>
      <c r="K503">
        <f t="shared" si="22"/>
        <v>0.1</v>
      </c>
      <c r="L503">
        <f>IF(Performance!E503&lt;=1.5,0.01,IF(Performance!E503&lt;=2,0.02,IF(Performance!E503&lt;=3,0.03,"")))</f>
        <v>0.01</v>
      </c>
      <c r="M503">
        <f t="shared" si="23"/>
        <v>0.11</v>
      </c>
      <c r="N503">
        <f>Earnings!B503*(1+M503)</f>
        <v>624234.26309999998</v>
      </c>
    </row>
    <row r="504" spans="1:14" x14ac:dyDescent="0.35">
      <c r="A504" t="s">
        <v>534</v>
      </c>
      <c r="B504" t="s">
        <v>14</v>
      </c>
      <c r="C504" t="s">
        <v>20</v>
      </c>
      <c r="D504" t="s">
        <v>16</v>
      </c>
      <c r="E504">
        <v>1.4</v>
      </c>
      <c r="F504" t="s">
        <v>27</v>
      </c>
      <c r="G504">
        <f>Earnings!G504</f>
        <v>681409.99</v>
      </c>
      <c r="H504">
        <f>Deductions!B504+Deductions!C504+Deductions!D504+Tax!D504</f>
        <v>6717.7800000000016</v>
      </c>
      <c r="I504">
        <f t="shared" si="21"/>
        <v>719785.51839999994</v>
      </c>
      <c r="J504">
        <f>Overtime!D504</f>
        <v>45093.308399999994</v>
      </c>
      <c r="K504">
        <f t="shared" si="22"/>
        <v>0.1</v>
      </c>
      <c r="L504">
        <f>IF(Performance!E504&lt;=1.5,0.01,IF(Performance!E504&lt;=2,0.02,IF(Performance!E504&lt;=3,0.03,"")))</f>
        <v>0.01</v>
      </c>
      <c r="M504">
        <f t="shared" si="23"/>
        <v>0.11</v>
      </c>
      <c r="N504">
        <f>Earnings!B504*(1+M504)</f>
        <v>794501.14800000016</v>
      </c>
    </row>
    <row r="505" spans="1:14" x14ac:dyDescent="0.35">
      <c r="A505" t="s">
        <v>535</v>
      </c>
      <c r="B505" t="s">
        <v>26</v>
      </c>
      <c r="C505" t="s">
        <v>43</v>
      </c>
      <c r="D505" t="s">
        <v>21</v>
      </c>
      <c r="E505">
        <v>22.1</v>
      </c>
      <c r="F505" t="s">
        <v>17</v>
      </c>
      <c r="G505">
        <f>Earnings!G505</f>
        <v>1369458.04</v>
      </c>
      <c r="H505">
        <f>Deductions!B505+Deductions!C505+Deductions!D505+Tax!D505</f>
        <v>22477.658500000001</v>
      </c>
      <c r="I505">
        <f t="shared" si="21"/>
        <v>1346980.3815000001</v>
      </c>
      <c r="J505">
        <f>Overtime!D505</f>
        <v>0</v>
      </c>
      <c r="K505">
        <f t="shared" si="22"/>
        <v>0.12</v>
      </c>
      <c r="L505">
        <f>IF(Performance!E505&lt;=1.5,0.01,IF(Performance!E505&lt;=2,0.02,IF(Performance!E505&lt;=3,0.03,"")))</f>
        <v>0.01</v>
      </c>
      <c r="M505">
        <f t="shared" si="23"/>
        <v>0.13</v>
      </c>
      <c r="N505">
        <f>Earnings!B505*(1+M505)</f>
        <v>1625512.1642</v>
      </c>
    </row>
    <row r="506" spans="1:14" x14ac:dyDescent="0.35">
      <c r="A506" t="s">
        <v>536</v>
      </c>
      <c r="B506" t="s">
        <v>19</v>
      </c>
      <c r="C506" t="s">
        <v>43</v>
      </c>
      <c r="D506" t="s">
        <v>16</v>
      </c>
      <c r="E506">
        <v>8.5</v>
      </c>
      <c r="F506" t="s">
        <v>24</v>
      </c>
      <c r="G506">
        <f>Earnings!G506</f>
        <v>1552234.95</v>
      </c>
      <c r="H506">
        <f>Deductions!B506+Deductions!C506+Deductions!D506+Tax!D506</f>
        <v>27277.472499999993</v>
      </c>
      <c r="I506">
        <f t="shared" si="21"/>
        <v>1926875.4563500001</v>
      </c>
      <c r="J506">
        <f>Overtime!D506</f>
        <v>401917.97885000001</v>
      </c>
      <c r="K506">
        <f t="shared" si="22"/>
        <v>0.12</v>
      </c>
      <c r="L506">
        <f>IF(Performance!E506&lt;=1.5,0.01,IF(Performance!E506&lt;=2,0.02,IF(Performance!E506&lt;=3,0.03,"")))</f>
        <v>0.03</v>
      </c>
      <c r="M506">
        <f t="shared" si="23"/>
        <v>0.15</v>
      </c>
      <c r="N506">
        <f>Earnings!B506*(1+M506)</f>
        <v>1875073.7349999996</v>
      </c>
    </row>
    <row r="507" spans="1:14" x14ac:dyDescent="0.35">
      <c r="A507" t="s">
        <v>537</v>
      </c>
      <c r="B507" t="s">
        <v>29</v>
      </c>
      <c r="C507" t="s">
        <v>33</v>
      </c>
      <c r="D507" t="s">
        <v>21</v>
      </c>
      <c r="E507">
        <v>3.6</v>
      </c>
      <c r="F507" t="s">
        <v>70</v>
      </c>
      <c r="G507">
        <f>Earnings!G507</f>
        <v>946152.53</v>
      </c>
      <c r="H507">
        <f>Deductions!B507+Deductions!C507+Deductions!D507+Tax!D507</f>
        <v>11312.628333333332</v>
      </c>
      <c r="I507">
        <f t="shared" si="21"/>
        <v>934839.90166666673</v>
      </c>
      <c r="J507">
        <f>Overtime!D507</f>
        <v>0</v>
      </c>
      <c r="K507">
        <f t="shared" si="22"/>
        <v>0.08</v>
      </c>
      <c r="L507">
        <f>IF(Performance!E507&lt;=1.5,0.01,IF(Performance!E507&lt;=2,0.02,IF(Performance!E507&lt;=3,0.03,"")))</f>
        <v>0.02</v>
      </c>
      <c r="M507">
        <f t="shared" si="23"/>
        <v>0.1</v>
      </c>
      <c r="N507">
        <f>Earnings!B507*(1+M507)</f>
        <v>1093243.47</v>
      </c>
    </row>
    <row r="508" spans="1:14" x14ac:dyDescent="0.35">
      <c r="A508" t="s">
        <v>538</v>
      </c>
      <c r="B508" t="s">
        <v>14</v>
      </c>
      <c r="C508" t="s">
        <v>43</v>
      </c>
      <c r="D508" t="s">
        <v>21</v>
      </c>
      <c r="E508">
        <v>22.1</v>
      </c>
      <c r="F508" t="s">
        <v>70</v>
      </c>
      <c r="G508">
        <f>Earnings!G508</f>
        <v>1401136.27</v>
      </c>
      <c r="H508">
        <f>Deductions!B508+Deductions!C508+Deductions!D508+Tax!D508</f>
        <v>23309.545000000002</v>
      </c>
      <c r="I508">
        <f t="shared" si="21"/>
        <v>1477907.8874000001</v>
      </c>
      <c r="J508">
        <f>Overtime!D508</f>
        <v>100081.16239999999</v>
      </c>
      <c r="K508">
        <f t="shared" si="22"/>
        <v>0.12</v>
      </c>
      <c r="L508">
        <f>IF(Performance!E508&lt;=1.5,0.01,IF(Performance!E508&lt;=2,0.02,IF(Performance!E508&lt;=3,0.03,"")))</f>
        <v>0.01</v>
      </c>
      <c r="M508">
        <f t="shared" si="23"/>
        <v>0.13</v>
      </c>
      <c r="N508">
        <f>Earnings!B508*(1+M508)</f>
        <v>1663113.4339999999</v>
      </c>
    </row>
    <row r="509" spans="1:14" x14ac:dyDescent="0.35">
      <c r="A509" t="s">
        <v>539</v>
      </c>
      <c r="B509" t="s">
        <v>19</v>
      </c>
      <c r="C509" t="s">
        <v>15</v>
      </c>
      <c r="D509" t="s">
        <v>21</v>
      </c>
      <c r="E509">
        <v>15</v>
      </c>
      <c r="F509" t="s">
        <v>31</v>
      </c>
      <c r="G509">
        <f>Earnings!G509</f>
        <v>981591.44</v>
      </c>
      <c r="H509">
        <f>Deductions!B509+Deductions!C509+Deductions!D509+Tax!D509</f>
        <v>12152.086249999998</v>
      </c>
      <c r="I509">
        <f t="shared" si="21"/>
        <v>1077703.1159999999</v>
      </c>
      <c r="J509">
        <f>Overtime!D509</f>
        <v>108263.76225000001</v>
      </c>
      <c r="K509">
        <f t="shared" si="22"/>
        <v>0.06</v>
      </c>
      <c r="L509">
        <f>IF(Performance!E509&lt;=1.5,0.01,IF(Performance!E509&lt;=2,0.02,IF(Performance!E509&lt;=3,0.03,"")))</f>
        <v>0.03</v>
      </c>
      <c r="M509">
        <f t="shared" si="23"/>
        <v>0.09</v>
      </c>
      <c r="N509">
        <f>Earnings!B509*(1+M509)</f>
        <v>1123880.9605</v>
      </c>
    </row>
    <row r="510" spans="1:14" x14ac:dyDescent="0.35">
      <c r="A510" t="s">
        <v>540</v>
      </c>
      <c r="B510" t="s">
        <v>35</v>
      </c>
      <c r="C510" t="s">
        <v>33</v>
      </c>
      <c r="D510" t="s">
        <v>16</v>
      </c>
      <c r="E510">
        <v>0</v>
      </c>
      <c r="F510" t="s">
        <v>31</v>
      </c>
      <c r="G510">
        <f>Earnings!G510</f>
        <v>656479.02</v>
      </c>
      <c r="H510">
        <f>Deductions!B510+Deductions!C510+Deductions!D510+Tax!D510</f>
        <v>6241.3133333333344</v>
      </c>
      <c r="I510">
        <f t="shared" si="21"/>
        <v>650237.70666666667</v>
      </c>
      <c r="J510">
        <f>Overtime!D510</f>
        <v>0</v>
      </c>
      <c r="K510">
        <f t="shared" si="22"/>
        <v>0.08</v>
      </c>
      <c r="L510">
        <f>IF(Performance!E510&lt;=1.5,0.01,IF(Performance!E510&lt;=2,0.02,IF(Performance!E510&lt;=3,0.03,"")))</f>
        <v>0.01</v>
      </c>
      <c r="M510">
        <f t="shared" si="23"/>
        <v>0.09</v>
      </c>
      <c r="N510">
        <f>Earnings!B510*(1+M510)</f>
        <v>751640.89200000011</v>
      </c>
    </row>
    <row r="511" spans="1:14" x14ac:dyDescent="0.35">
      <c r="A511" t="s">
        <v>541</v>
      </c>
      <c r="B511" t="s">
        <v>26</v>
      </c>
      <c r="C511" t="s">
        <v>15</v>
      </c>
      <c r="D511" t="s">
        <v>16</v>
      </c>
      <c r="E511">
        <v>1</v>
      </c>
      <c r="F511" t="s">
        <v>44</v>
      </c>
      <c r="G511">
        <f>Earnings!G511</f>
        <v>501568.82</v>
      </c>
      <c r="H511">
        <f>Deductions!B511+Deductions!C511+Deductions!D511+Tax!D511</f>
        <v>3489.3</v>
      </c>
      <c r="I511">
        <f t="shared" si="21"/>
        <v>537593.87</v>
      </c>
      <c r="J511">
        <f>Overtime!D511</f>
        <v>39514.35</v>
      </c>
      <c r="K511">
        <f t="shared" si="22"/>
        <v>0.06</v>
      </c>
      <c r="L511">
        <f>IF(Performance!E511&lt;=1.5,0.01,IF(Performance!E511&lt;=2,0.02,IF(Performance!E511&lt;=3,0.03,"")))</f>
        <v>0.01</v>
      </c>
      <c r="M511">
        <f t="shared" si="23"/>
        <v>6.9999999999999993E-2</v>
      </c>
      <c r="N511">
        <f>Earnings!B511*(1+M511)</f>
        <v>563738.06000000006</v>
      </c>
    </row>
    <row r="512" spans="1:14" x14ac:dyDescent="0.35">
      <c r="A512" t="s">
        <v>542</v>
      </c>
      <c r="B512" t="s">
        <v>29</v>
      </c>
      <c r="C512" t="s">
        <v>43</v>
      </c>
      <c r="D512" t="s">
        <v>21</v>
      </c>
      <c r="E512">
        <v>11.9</v>
      </c>
      <c r="F512" t="s">
        <v>44</v>
      </c>
      <c r="G512">
        <f>Earnings!G512</f>
        <v>1246089.1000000001</v>
      </c>
      <c r="H512">
        <f>Deductions!B512+Deductions!C512+Deductions!D512+Tax!D512</f>
        <v>19237.928000000004</v>
      </c>
      <c r="I512">
        <f t="shared" si="21"/>
        <v>1226851.172</v>
      </c>
      <c r="J512">
        <f>Overtime!D512</f>
        <v>0</v>
      </c>
      <c r="K512">
        <f t="shared" si="22"/>
        <v>0.12</v>
      </c>
      <c r="L512">
        <f>IF(Performance!E512&lt;=1.5,0.01,IF(Performance!E512&lt;=2,0.02,IF(Performance!E512&lt;=3,0.03,"")))</f>
        <v>0.02</v>
      </c>
      <c r="M512">
        <f t="shared" si="23"/>
        <v>0.13999999999999999</v>
      </c>
      <c r="N512">
        <f>Earnings!B512*(1+M512)</f>
        <v>1492165.5168000001</v>
      </c>
    </row>
    <row r="513" spans="1:14" x14ac:dyDescent="0.35">
      <c r="A513" t="s">
        <v>543</v>
      </c>
      <c r="B513" t="s">
        <v>19</v>
      </c>
      <c r="C513" t="s">
        <v>43</v>
      </c>
      <c r="D513" t="s">
        <v>16</v>
      </c>
      <c r="E513">
        <v>5.0999999999999996</v>
      </c>
      <c r="F513" t="s">
        <v>24</v>
      </c>
      <c r="G513">
        <f>Earnings!G513</f>
        <v>940068.68</v>
      </c>
      <c r="H513">
        <f>Deductions!B513+Deductions!C513+Deductions!D513+Tax!D513</f>
        <v>11306.118333333334</v>
      </c>
      <c r="I513">
        <f t="shared" si="21"/>
        <v>1063058.0872666668</v>
      </c>
      <c r="J513">
        <f>Overtime!D513</f>
        <v>134295.52559999999</v>
      </c>
      <c r="K513">
        <f t="shared" si="22"/>
        <v>0.12</v>
      </c>
      <c r="L513">
        <f>IF(Performance!E513&lt;=1.5,0.01,IF(Performance!E513&lt;=2,0.02,IF(Performance!E513&lt;=3,0.03,"")))</f>
        <v>0.03</v>
      </c>
      <c r="M513">
        <f t="shared" si="23"/>
        <v>0.15</v>
      </c>
      <c r="N513">
        <f>Earnings!B513*(1+M513)</f>
        <v>1135587.1649999998</v>
      </c>
    </row>
    <row r="514" spans="1:14" x14ac:dyDescent="0.35">
      <c r="A514" t="s">
        <v>544</v>
      </c>
      <c r="B514" t="s">
        <v>35</v>
      </c>
      <c r="C514" t="s">
        <v>43</v>
      </c>
      <c r="D514" t="s">
        <v>21</v>
      </c>
      <c r="E514">
        <v>25.5</v>
      </c>
      <c r="F514" t="s">
        <v>44</v>
      </c>
      <c r="G514">
        <f>Earnings!G514</f>
        <v>1491094.23</v>
      </c>
      <c r="H514">
        <f>Deductions!B514+Deductions!C514+Deductions!D514+Tax!D514</f>
        <v>25671.88625</v>
      </c>
      <c r="I514">
        <f t="shared" ref="I514:I577" si="24">G514-H514+J514</f>
        <v>1465422.34375</v>
      </c>
      <c r="J514">
        <f>Overtime!D514</f>
        <v>0</v>
      </c>
      <c r="K514">
        <f t="shared" ref="K514:K577" si="25">IF(C514="Junior",0.06,IF(C514="Mid",0.08,IF(C514="Senior",0.1,IF(C514="Manager",0.12,0))))</f>
        <v>0.12</v>
      </c>
      <c r="L514">
        <f>IF(Performance!E514&lt;=1.5,0.01,IF(Performance!E514&lt;=2,0.02,IF(Performance!E514&lt;=3,0.03,"")))</f>
        <v>0.01</v>
      </c>
      <c r="M514">
        <f t="shared" ref="M514:M577" si="26">K514+L514</f>
        <v>0.13</v>
      </c>
      <c r="N514">
        <f>Earnings!B514*(1+M514)</f>
        <v>1769891.2584999998</v>
      </c>
    </row>
    <row r="515" spans="1:14" x14ac:dyDescent="0.35">
      <c r="A515" t="s">
        <v>545</v>
      </c>
      <c r="B515" t="s">
        <v>26</v>
      </c>
      <c r="C515" t="s">
        <v>43</v>
      </c>
      <c r="D515" t="s">
        <v>21</v>
      </c>
      <c r="E515">
        <v>25.5</v>
      </c>
      <c r="F515" t="s">
        <v>44</v>
      </c>
      <c r="G515">
        <f>Earnings!G515</f>
        <v>1312906.45</v>
      </c>
      <c r="H515">
        <f>Deductions!B515+Deductions!C515+Deductions!D515+Tax!D515</f>
        <v>20992.58525</v>
      </c>
      <c r="I515">
        <f t="shared" si="24"/>
        <v>1643585.2317499998</v>
      </c>
      <c r="J515">
        <f>Overtime!D515</f>
        <v>351671.36699999997</v>
      </c>
      <c r="K515">
        <f t="shared" si="25"/>
        <v>0.12</v>
      </c>
      <c r="L515">
        <f>IF(Performance!E515&lt;=1.5,0.01,IF(Performance!E515&lt;=2,0.02,IF(Performance!E515&lt;=3,0.03,"")))</f>
        <v>0.01</v>
      </c>
      <c r="M515">
        <f t="shared" si="26"/>
        <v>0.13</v>
      </c>
      <c r="N515">
        <f>Earnings!B515*(1+M515)</f>
        <v>1558386.8532999998</v>
      </c>
    </row>
    <row r="516" spans="1:14" x14ac:dyDescent="0.35">
      <c r="A516" t="s">
        <v>546</v>
      </c>
      <c r="B516" t="s">
        <v>19</v>
      </c>
      <c r="C516" t="s">
        <v>15</v>
      </c>
      <c r="D516" t="s">
        <v>16</v>
      </c>
      <c r="E516">
        <v>5</v>
      </c>
      <c r="F516" t="s">
        <v>31</v>
      </c>
      <c r="G516">
        <f>Earnings!G516</f>
        <v>978375.16</v>
      </c>
      <c r="H516">
        <f>Deductions!B516+Deductions!C516+Deductions!D516+Tax!D516</f>
        <v>12067.625</v>
      </c>
      <c r="I516">
        <f t="shared" si="24"/>
        <v>1002277.2100000001</v>
      </c>
      <c r="J516">
        <f>Overtime!D516</f>
        <v>35969.674999999996</v>
      </c>
      <c r="K516">
        <f t="shared" si="25"/>
        <v>0.06</v>
      </c>
      <c r="L516">
        <f>IF(Performance!E516&lt;=1.5,0.01,IF(Performance!E516&lt;=2,0.02,IF(Performance!E516&lt;=3,0.03,"")))</f>
        <v>0.03</v>
      </c>
      <c r="M516">
        <f t="shared" si="26"/>
        <v>0.09</v>
      </c>
      <c r="N516">
        <f>Earnings!B516*(1+M516)</f>
        <v>1120198.4500000002</v>
      </c>
    </row>
    <row r="517" spans="1:14" x14ac:dyDescent="0.35">
      <c r="A517" t="s">
        <v>547</v>
      </c>
      <c r="B517" t="s">
        <v>19</v>
      </c>
      <c r="C517" t="s">
        <v>20</v>
      </c>
      <c r="D517" t="s">
        <v>21</v>
      </c>
      <c r="E517">
        <v>8.4</v>
      </c>
      <c r="F517" t="s">
        <v>44</v>
      </c>
      <c r="G517">
        <f>Earnings!G517</f>
        <v>1169198.73</v>
      </c>
      <c r="H517">
        <f>Deductions!B517+Deductions!C517+Deductions!D517+Tax!D517</f>
        <v>17158.748249999997</v>
      </c>
      <c r="I517">
        <f t="shared" si="24"/>
        <v>1152039.98175</v>
      </c>
      <c r="J517">
        <f>Overtime!D517</f>
        <v>0</v>
      </c>
      <c r="K517">
        <f t="shared" si="25"/>
        <v>0.1</v>
      </c>
      <c r="L517">
        <f>IF(Performance!E517&lt;=1.5,0.01,IF(Performance!E517&lt;=2,0.02,IF(Performance!E517&lt;=3,0.03,"")))</f>
        <v>0.03</v>
      </c>
      <c r="M517">
        <f t="shared" si="26"/>
        <v>0.13</v>
      </c>
      <c r="N517">
        <f>Earnings!B517*(1+M517)</f>
        <v>1387809.4208999998</v>
      </c>
    </row>
    <row r="518" spans="1:14" x14ac:dyDescent="0.35">
      <c r="A518" t="s">
        <v>548</v>
      </c>
      <c r="B518" t="s">
        <v>29</v>
      </c>
      <c r="C518" t="s">
        <v>43</v>
      </c>
      <c r="D518" t="s">
        <v>16</v>
      </c>
      <c r="E518">
        <v>15.3</v>
      </c>
      <c r="F518" t="s">
        <v>31</v>
      </c>
      <c r="G518">
        <f>Earnings!G518</f>
        <v>2348602.66</v>
      </c>
      <c r="H518">
        <f>Deductions!B518+Deductions!C518+Deductions!D518+Tax!D518</f>
        <v>48190.49</v>
      </c>
      <c r="I518">
        <f t="shared" si="24"/>
        <v>2300412.17</v>
      </c>
      <c r="J518">
        <f>Overtime!D518</f>
        <v>0</v>
      </c>
      <c r="K518">
        <f t="shared" si="25"/>
        <v>0.12</v>
      </c>
      <c r="L518">
        <f>IF(Performance!E518&lt;=1.5,0.01,IF(Performance!E518&lt;=2,0.02,IF(Performance!E518&lt;=3,0.03,"")))</f>
        <v>0.02</v>
      </c>
      <c r="M518">
        <f t="shared" si="26"/>
        <v>0.13999999999999999</v>
      </c>
      <c r="N518">
        <f>Earnings!B518*(1+M518)</f>
        <v>2812402.344</v>
      </c>
    </row>
    <row r="519" spans="1:14" x14ac:dyDescent="0.35">
      <c r="A519" t="s">
        <v>549</v>
      </c>
      <c r="B519" t="s">
        <v>29</v>
      </c>
      <c r="C519" t="s">
        <v>43</v>
      </c>
      <c r="D519" t="s">
        <v>16</v>
      </c>
      <c r="E519">
        <v>23.8</v>
      </c>
      <c r="F519" t="s">
        <v>44</v>
      </c>
      <c r="G519">
        <f>Earnings!G519</f>
        <v>2004477.41</v>
      </c>
      <c r="H519">
        <f>Deductions!B519+Deductions!C519+Deductions!D519+Tax!D519</f>
        <v>39153.587500000001</v>
      </c>
      <c r="I519">
        <f t="shared" si="24"/>
        <v>1965323.8225</v>
      </c>
      <c r="J519">
        <f>Overtime!D519</f>
        <v>0</v>
      </c>
      <c r="K519">
        <f t="shared" si="25"/>
        <v>0.12</v>
      </c>
      <c r="L519">
        <f>IF(Performance!E519&lt;=1.5,0.01,IF(Performance!E519&lt;=2,0.02,IF(Performance!E519&lt;=3,0.03,"")))</f>
        <v>0.02</v>
      </c>
      <c r="M519">
        <f t="shared" si="26"/>
        <v>0.13999999999999999</v>
      </c>
      <c r="N519">
        <f>Earnings!B519*(1+M519)</f>
        <v>2400319.59</v>
      </c>
    </row>
    <row r="520" spans="1:14" x14ac:dyDescent="0.35">
      <c r="A520" t="s">
        <v>550</v>
      </c>
      <c r="B520" t="s">
        <v>19</v>
      </c>
      <c r="C520" t="s">
        <v>15</v>
      </c>
      <c r="D520" t="s">
        <v>21</v>
      </c>
      <c r="E520">
        <v>10</v>
      </c>
      <c r="F520" t="s">
        <v>24</v>
      </c>
      <c r="G520">
        <f>Earnings!G520</f>
        <v>785659.52</v>
      </c>
      <c r="H520">
        <f>Deductions!B520+Deductions!C520+Deductions!D520+Tax!D520</f>
        <v>8462.876666666667</v>
      </c>
      <c r="I520">
        <f t="shared" si="24"/>
        <v>777196.64333333331</v>
      </c>
      <c r="J520">
        <f>Overtime!D520</f>
        <v>0</v>
      </c>
      <c r="K520">
        <f t="shared" si="25"/>
        <v>0.06</v>
      </c>
      <c r="L520">
        <f>IF(Performance!E520&lt;=1.5,0.01,IF(Performance!E520&lt;=2,0.02,IF(Performance!E520&lt;=3,0.03,"")))</f>
        <v>0.03</v>
      </c>
      <c r="M520">
        <f t="shared" si="26"/>
        <v>0.09</v>
      </c>
      <c r="N520">
        <f>Earnings!B520*(1+M520)</f>
        <v>899547.13400000008</v>
      </c>
    </row>
    <row r="521" spans="1:14" x14ac:dyDescent="0.35">
      <c r="A521" t="s">
        <v>551</v>
      </c>
      <c r="B521" t="s">
        <v>35</v>
      </c>
      <c r="C521" t="s">
        <v>33</v>
      </c>
      <c r="D521" t="s">
        <v>21</v>
      </c>
      <c r="E521">
        <v>12</v>
      </c>
      <c r="F521" t="s">
        <v>37</v>
      </c>
      <c r="G521">
        <f>Earnings!G521</f>
        <v>1238854.72</v>
      </c>
      <c r="H521">
        <f>Deductions!B521+Deductions!C521+Deductions!D521+Tax!D521</f>
        <v>18947.949499999999</v>
      </c>
      <c r="I521">
        <f t="shared" si="24"/>
        <v>1219906.7704999999</v>
      </c>
      <c r="J521">
        <f>Overtime!D521</f>
        <v>0</v>
      </c>
      <c r="K521">
        <f t="shared" si="25"/>
        <v>0.08</v>
      </c>
      <c r="L521">
        <f>IF(Performance!E521&lt;=1.5,0.01,IF(Performance!E521&lt;=2,0.02,IF(Performance!E521&lt;=3,0.03,"")))</f>
        <v>0.01</v>
      </c>
      <c r="M521">
        <f t="shared" si="26"/>
        <v>0.09</v>
      </c>
      <c r="N521">
        <f>Earnings!B521*(1+M521)</f>
        <v>1418436.5982000001</v>
      </c>
    </row>
    <row r="522" spans="1:14" x14ac:dyDescent="0.35">
      <c r="A522" t="s">
        <v>552</v>
      </c>
      <c r="B522" t="s">
        <v>19</v>
      </c>
      <c r="C522" t="s">
        <v>15</v>
      </c>
      <c r="D522" t="s">
        <v>21</v>
      </c>
      <c r="E522">
        <v>14</v>
      </c>
      <c r="F522" t="s">
        <v>31</v>
      </c>
      <c r="G522">
        <f>Earnings!G522</f>
        <v>843891.12</v>
      </c>
      <c r="H522">
        <f>Deductions!B522+Deductions!C522+Deductions!D522+Tax!D522</f>
        <v>9482.3375000000015</v>
      </c>
      <c r="I522">
        <f t="shared" si="24"/>
        <v>909756.20374999999</v>
      </c>
      <c r="J522">
        <f>Overtime!D522</f>
        <v>75347.421249999999</v>
      </c>
      <c r="K522">
        <f t="shared" si="25"/>
        <v>0.06</v>
      </c>
      <c r="L522">
        <f>IF(Performance!E522&lt;=1.5,0.01,IF(Performance!E522&lt;=2,0.02,IF(Performance!E522&lt;=3,0.03,"")))</f>
        <v>0.03</v>
      </c>
      <c r="M522">
        <f t="shared" si="26"/>
        <v>0.09</v>
      </c>
      <c r="N522">
        <f>Earnings!B522*(1+M522)</f>
        <v>966219.87250000006</v>
      </c>
    </row>
    <row r="523" spans="1:14" x14ac:dyDescent="0.35">
      <c r="A523" t="s">
        <v>553</v>
      </c>
      <c r="B523" t="s">
        <v>26</v>
      </c>
      <c r="C523" t="s">
        <v>15</v>
      </c>
      <c r="D523" t="s">
        <v>16</v>
      </c>
      <c r="E523">
        <v>9</v>
      </c>
      <c r="F523" t="s">
        <v>17</v>
      </c>
      <c r="G523">
        <f>Earnings!G523</f>
        <v>594323.13</v>
      </c>
      <c r="H523">
        <f>Deductions!B523+Deductions!C523+Deductions!D523+Tax!D523</f>
        <v>5113.1499999999996</v>
      </c>
      <c r="I523">
        <f t="shared" si="24"/>
        <v>589209.98</v>
      </c>
      <c r="J523">
        <f>Overtime!D523</f>
        <v>0</v>
      </c>
      <c r="K523">
        <f t="shared" si="25"/>
        <v>0.06</v>
      </c>
      <c r="L523">
        <f>IF(Performance!E523&lt;=1.5,0.01,IF(Performance!E523&lt;=2,0.02,IF(Performance!E523&lt;=3,0.03,"")))</f>
        <v>0.01</v>
      </c>
      <c r="M523">
        <f t="shared" si="26"/>
        <v>6.9999999999999993E-2</v>
      </c>
      <c r="N523">
        <f>Earnings!B523*(1+M523)</f>
        <v>667989.23</v>
      </c>
    </row>
    <row r="524" spans="1:14" x14ac:dyDescent="0.35">
      <c r="A524" t="s">
        <v>554</v>
      </c>
      <c r="B524" t="s">
        <v>19</v>
      </c>
      <c r="C524" t="s">
        <v>33</v>
      </c>
      <c r="D524" t="s">
        <v>16</v>
      </c>
      <c r="E524">
        <v>15.6</v>
      </c>
      <c r="F524" t="s">
        <v>70</v>
      </c>
      <c r="G524">
        <f>Earnings!G524</f>
        <v>1108926.54</v>
      </c>
      <c r="H524">
        <f>Deductions!B524+Deductions!C524+Deductions!D524+Tax!D524</f>
        <v>15535.970000000001</v>
      </c>
      <c r="I524">
        <f t="shared" si="24"/>
        <v>1093390.57</v>
      </c>
      <c r="J524">
        <f>Overtime!D524</f>
        <v>0</v>
      </c>
      <c r="K524">
        <f t="shared" si="25"/>
        <v>0.08</v>
      </c>
      <c r="L524">
        <f>IF(Performance!E524&lt;=1.5,0.01,IF(Performance!E524&lt;=2,0.02,IF(Performance!E524&lt;=3,0.03,"")))</f>
        <v>0.03</v>
      </c>
      <c r="M524">
        <f t="shared" si="26"/>
        <v>0.11</v>
      </c>
      <c r="N524">
        <f>Earnings!B524*(1+M524)</f>
        <v>1292971.0680000002</v>
      </c>
    </row>
    <row r="525" spans="1:14" x14ac:dyDescent="0.35">
      <c r="A525" t="s">
        <v>555</v>
      </c>
      <c r="B525" t="s">
        <v>14</v>
      </c>
      <c r="C525" t="s">
        <v>43</v>
      </c>
      <c r="D525" t="s">
        <v>16</v>
      </c>
      <c r="E525">
        <v>6.8</v>
      </c>
      <c r="F525" t="s">
        <v>44</v>
      </c>
      <c r="G525">
        <f>Earnings!G525</f>
        <v>1106386.79</v>
      </c>
      <c r="H525">
        <f>Deductions!B525+Deductions!C525+Deductions!D525+Tax!D525</f>
        <v>15569.275</v>
      </c>
      <c r="I525">
        <f t="shared" si="24"/>
        <v>1090817.5150000001</v>
      </c>
      <c r="J525">
        <f>Overtime!D525</f>
        <v>0</v>
      </c>
      <c r="K525">
        <f t="shared" si="25"/>
        <v>0.12</v>
      </c>
      <c r="L525">
        <f>IF(Performance!E525&lt;=1.5,0.01,IF(Performance!E525&lt;=2,0.02,IF(Performance!E525&lt;=3,0.03,"")))</f>
        <v>0.01</v>
      </c>
      <c r="M525">
        <f t="shared" si="26"/>
        <v>0.13</v>
      </c>
      <c r="N525">
        <f>Earnings!B525*(1+M525)</f>
        <v>1313253.23</v>
      </c>
    </row>
    <row r="526" spans="1:14" x14ac:dyDescent="0.35">
      <c r="A526" t="s">
        <v>556</v>
      </c>
      <c r="B526" t="s">
        <v>35</v>
      </c>
      <c r="C526" t="s">
        <v>43</v>
      </c>
      <c r="D526" t="s">
        <v>21</v>
      </c>
      <c r="E526">
        <v>5.0999999999999996</v>
      </c>
      <c r="F526" t="s">
        <v>70</v>
      </c>
      <c r="G526">
        <f>Earnings!G526</f>
        <v>1221690.83</v>
      </c>
      <c r="H526">
        <f>Deductions!B526+Deductions!C526+Deductions!D526+Tax!D526</f>
        <v>18597.217249999998</v>
      </c>
      <c r="I526">
        <f t="shared" si="24"/>
        <v>1203093.6127500001</v>
      </c>
      <c r="J526">
        <f>Overtime!D526</f>
        <v>0</v>
      </c>
      <c r="K526">
        <f t="shared" si="25"/>
        <v>0.12</v>
      </c>
      <c r="L526">
        <f>IF(Performance!E526&lt;=1.5,0.01,IF(Performance!E526&lt;=2,0.02,IF(Performance!E526&lt;=3,0.03,"")))</f>
        <v>0.01</v>
      </c>
      <c r="M526">
        <f t="shared" si="26"/>
        <v>0.13</v>
      </c>
      <c r="N526">
        <f>Earnings!B526*(1+M526)</f>
        <v>1450116.2196999998</v>
      </c>
    </row>
    <row r="527" spans="1:14" x14ac:dyDescent="0.35">
      <c r="A527" t="s">
        <v>557</v>
      </c>
      <c r="B527" t="s">
        <v>14</v>
      </c>
      <c r="C527" t="s">
        <v>15</v>
      </c>
      <c r="D527" t="s">
        <v>21</v>
      </c>
      <c r="E527">
        <v>2</v>
      </c>
      <c r="F527" t="s">
        <v>27</v>
      </c>
      <c r="G527">
        <f>Earnings!G527</f>
        <v>347248.9</v>
      </c>
      <c r="H527">
        <f>Deductions!B527+Deductions!C527+Deductions!D527+Tax!D527</f>
        <v>2478.1552083333336</v>
      </c>
      <c r="I527">
        <f t="shared" si="24"/>
        <v>344770.74479166669</v>
      </c>
      <c r="J527">
        <f>Overtime!D527</f>
        <v>0</v>
      </c>
      <c r="K527">
        <f t="shared" si="25"/>
        <v>0.06</v>
      </c>
      <c r="L527">
        <f>IF(Performance!E527&lt;=1.5,0.01,IF(Performance!E527&lt;=2,0.02,IF(Performance!E527&lt;=3,0.03,"")))</f>
        <v>0.01</v>
      </c>
      <c r="M527">
        <f t="shared" si="26"/>
        <v>6.9999999999999993E-2</v>
      </c>
      <c r="N527">
        <f>Earnings!B527*(1+M527)</f>
        <v>390290.25750000001</v>
      </c>
    </row>
    <row r="528" spans="1:14" x14ac:dyDescent="0.35">
      <c r="A528" t="s">
        <v>558</v>
      </c>
      <c r="B528" t="s">
        <v>26</v>
      </c>
      <c r="C528" t="s">
        <v>15</v>
      </c>
      <c r="D528" t="s">
        <v>21</v>
      </c>
      <c r="E528">
        <v>4</v>
      </c>
      <c r="F528" t="s">
        <v>37</v>
      </c>
      <c r="G528">
        <f>Earnings!G528</f>
        <v>615149.37</v>
      </c>
      <c r="H528">
        <f>Deductions!B528+Deductions!C528+Deductions!D528+Tax!D528</f>
        <v>5477.755000000001</v>
      </c>
      <c r="I528">
        <f t="shared" si="24"/>
        <v>609671.61499999999</v>
      </c>
      <c r="J528">
        <f>Overtime!D528</f>
        <v>0</v>
      </c>
      <c r="K528">
        <f t="shared" si="25"/>
        <v>0.06</v>
      </c>
      <c r="L528">
        <f>IF(Performance!E528&lt;=1.5,0.01,IF(Performance!E528&lt;=2,0.02,IF(Performance!E528&lt;=3,0.03,"")))</f>
        <v>0.01</v>
      </c>
      <c r="M528">
        <f t="shared" si="26"/>
        <v>6.9999999999999993E-2</v>
      </c>
      <c r="N528">
        <f>Earnings!B528*(1+M528)</f>
        <v>691396.87100000004</v>
      </c>
    </row>
    <row r="529" spans="1:14" x14ac:dyDescent="0.35">
      <c r="A529" t="s">
        <v>559</v>
      </c>
      <c r="B529" t="s">
        <v>29</v>
      </c>
      <c r="C529" t="s">
        <v>15</v>
      </c>
      <c r="D529" t="s">
        <v>16</v>
      </c>
      <c r="E529">
        <v>8</v>
      </c>
      <c r="F529" t="s">
        <v>17</v>
      </c>
      <c r="G529">
        <f>Earnings!G529</f>
        <v>1114600.6499999999</v>
      </c>
      <c r="H529">
        <f>Deductions!B529+Deductions!C529+Deductions!D529+Tax!D529</f>
        <v>15644.975</v>
      </c>
      <c r="I529">
        <f t="shared" si="24"/>
        <v>1128225.6499999999</v>
      </c>
      <c r="J529">
        <f>Overtime!D529</f>
        <v>29269.974999999999</v>
      </c>
      <c r="K529">
        <f t="shared" si="25"/>
        <v>0.06</v>
      </c>
      <c r="L529">
        <f>IF(Performance!E529&lt;=1.5,0.01,IF(Performance!E529&lt;=2,0.02,IF(Performance!E529&lt;=3,0.03,"")))</f>
        <v>0.02</v>
      </c>
      <c r="M529">
        <f t="shared" si="26"/>
        <v>0.08</v>
      </c>
      <c r="N529">
        <f>Earnings!B529*(1+M529)</f>
        <v>1264462.9200000002</v>
      </c>
    </row>
    <row r="530" spans="1:14" x14ac:dyDescent="0.35">
      <c r="A530" t="s">
        <v>560</v>
      </c>
      <c r="B530" t="s">
        <v>26</v>
      </c>
      <c r="C530" t="s">
        <v>33</v>
      </c>
      <c r="D530" t="s">
        <v>16</v>
      </c>
      <c r="E530">
        <v>10.8</v>
      </c>
      <c r="F530" t="s">
        <v>31</v>
      </c>
      <c r="G530">
        <f>Earnings!G530</f>
        <v>759315.58</v>
      </c>
      <c r="H530">
        <f>Deductions!B530+Deductions!C530+Deductions!D530+Tax!D530</f>
        <v>8041.673333333335</v>
      </c>
      <c r="I530">
        <f t="shared" si="24"/>
        <v>842200.3522666666</v>
      </c>
      <c r="J530">
        <f>Overtime!D530</f>
        <v>90926.445599999992</v>
      </c>
      <c r="K530">
        <f t="shared" si="25"/>
        <v>0.08</v>
      </c>
      <c r="L530">
        <f>IF(Performance!E530&lt;=1.5,0.01,IF(Performance!E530&lt;=2,0.02,IF(Performance!E530&lt;=3,0.03,"")))</f>
        <v>0.01</v>
      </c>
      <c r="M530">
        <f t="shared" si="26"/>
        <v>0.09</v>
      </c>
      <c r="N530">
        <f>Earnings!B530*(1+M530)</f>
        <v>869384.4360000001</v>
      </c>
    </row>
    <row r="531" spans="1:14" x14ac:dyDescent="0.35">
      <c r="A531" t="s">
        <v>561</v>
      </c>
      <c r="B531" t="s">
        <v>29</v>
      </c>
      <c r="C531" t="s">
        <v>20</v>
      </c>
      <c r="D531" t="s">
        <v>16</v>
      </c>
      <c r="E531">
        <v>12.6</v>
      </c>
      <c r="F531" t="s">
        <v>44</v>
      </c>
      <c r="G531">
        <f>Earnings!G531</f>
        <v>1389296.06</v>
      </c>
      <c r="H531">
        <f>Deductions!B531+Deductions!C531+Deductions!D531+Tax!D531</f>
        <v>22938.615000000002</v>
      </c>
      <c r="I531">
        <f t="shared" si="24"/>
        <v>1366357.4450000001</v>
      </c>
      <c r="J531">
        <f>Overtime!D531</f>
        <v>0</v>
      </c>
      <c r="K531">
        <f t="shared" si="25"/>
        <v>0.1</v>
      </c>
      <c r="L531">
        <f>IF(Performance!E531&lt;=1.5,0.01,IF(Performance!E531&lt;=2,0.02,IF(Performance!E531&lt;=3,0.03,"")))</f>
        <v>0.02</v>
      </c>
      <c r="M531">
        <f t="shared" si="26"/>
        <v>0.12000000000000001</v>
      </c>
      <c r="N531">
        <f>Earnings!B531*(1+M531)</f>
        <v>1634465.9520000003</v>
      </c>
    </row>
    <row r="532" spans="1:14" x14ac:dyDescent="0.35">
      <c r="A532" t="s">
        <v>562</v>
      </c>
      <c r="B532" t="s">
        <v>35</v>
      </c>
      <c r="C532" t="s">
        <v>15</v>
      </c>
      <c r="D532" t="s">
        <v>21</v>
      </c>
      <c r="E532">
        <v>4</v>
      </c>
      <c r="F532" t="s">
        <v>31</v>
      </c>
      <c r="G532">
        <f>Earnings!G532</f>
        <v>789695.85</v>
      </c>
      <c r="H532">
        <f>Deductions!B532+Deductions!C532+Deductions!D532+Tax!D532</f>
        <v>8533.5408333333326</v>
      </c>
      <c r="I532">
        <f t="shared" si="24"/>
        <v>843375.74291666655</v>
      </c>
      <c r="J532">
        <f>Overtime!D532</f>
        <v>62213.433749999997</v>
      </c>
      <c r="K532">
        <f t="shared" si="25"/>
        <v>0.06</v>
      </c>
      <c r="L532">
        <f>IF(Performance!E532&lt;=1.5,0.01,IF(Performance!E532&lt;=2,0.02,IF(Performance!E532&lt;=3,0.03,"")))</f>
        <v>0.01</v>
      </c>
      <c r="M532">
        <f t="shared" si="26"/>
        <v>6.9999999999999993E-2</v>
      </c>
      <c r="N532">
        <f>Earnings!B532*(1+M532)</f>
        <v>887578.32149999996</v>
      </c>
    </row>
    <row r="533" spans="1:14" x14ac:dyDescent="0.35">
      <c r="A533" t="s">
        <v>563</v>
      </c>
      <c r="B533" t="s">
        <v>14</v>
      </c>
      <c r="C533" t="s">
        <v>15</v>
      </c>
      <c r="D533" t="s">
        <v>16</v>
      </c>
      <c r="E533">
        <v>11</v>
      </c>
      <c r="F533" t="s">
        <v>37</v>
      </c>
      <c r="G533">
        <f>Earnings!G533</f>
        <v>645038.06999999995</v>
      </c>
      <c r="H533">
        <f>Deductions!B533+Deductions!C533+Deductions!D533+Tax!D533</f>
        <v>6001.0166666666664</v>
      </c>
      <c r="I533">
        <f t="shared" si="24"/>
        <v>733895.59333333327</v>
      </c>
      <c r="J533">
        <f>Overtime!D533</f>
        <v>94858.540000000008</v>
      </c>
      <c r="K533">
        <f t="shared" si="25"/>
        <v>0.06</v>
      </c>
      <c r="L533">
        <f>IF(Performance!E533&lt;=1.5,0.01,IF(Performance!E533&lt;=2,0.02,IF(Performance!E533&lt;=3,0.03,"")))</f>
        <v>0.01</v>
      </c>
      <c r="M533">
        <f t="shared" si="26"/>
        <v>6.9999999999999993E-2</v>
      </c>
      <c r="N533">
        <f>Earnings!B533*(1+M533)</f>
        <v>724990.27</v>
      </c>
    </row>
    <row r="534" spans="1:14" x14ac:dyDescent="0.35">
      <c r="A534" t="s">
        <v>564</v>
      </c>
      <c r="B534" t="s">
        <v>26</v>
      </c>
      <c r="C534" t="s">
        <v>15</v>
      </c>
      <c r="D534" t="s">
        <v>16</v>
      </c>
      <c r="E534">
        <v>8</v>
      </c>
      <c r="F534" t="s">
        <v>31</v>
      </c>
      <c r="G534">
        <f>Earnings!G534</f>
        <v>795720.63</v>
      </c>
      <c r="H534">
        <f>Deductions!B534+Deductions!C534+Deductions!D534+Tax!D534</f>
        <v>8639.0166666666664</v>
      </c>
      <c r="I534">
        <f t="shared" si="24"/>
        <v>891561.73833333328</v>
      </c>
      <c r="J534">
        <f>Overtime!D534</f>
        <v>104480.125</v>
      </c>
      <c r="K534">
        <f t="shared" si="25"/>
        <v>0.06</v>
      </c>
      <c r="L534">
        <f>IF(Performance!E534&lt;=1.5,0.01,IF(Performance!E534&lt;=2,0.02,IF(Performance!E534&lt;=3,0.03,"")))</f>
        <v>0.01</v>
      </c>
      <c r="M534">
        <f t="shared" si="26"/>
        <v>6.9999999999999993E-2</v>
      </c>
      <c r="N534">
        <f>Earnings!B534*(1+M534)</f>
        <v>894349.87</v>
      </c>
    </row>
    <row r="535" spans="1:14" x14ac:dyDescent="0.35">
      <c r="A535" t="s">
        <v>565</v>
      </c>
      <c r="B535" t="s">
        <v>35</v>
      </c>
      <c r="C535" t="s">
        <v>20</v>
      </c>
      <c r="D535" t="s">
        <v>21</v>
      </c>
      <c r="E535">
        <v>4.2</v>
      </c>
      <c r="F535" t="s">
        <v>22</v>
      </c>
      <c r="G535">
        <f>Earnings!G535</f>
        <v>1319904.69</v>
      </c>
      <c r="H535">
        <f>Deductions!B535+Deductions!C535+Deductions!D535+Tax!D535</f>
        <v>21116.36275</v>
      </c>
      <c r="I535">
        <f t="shared" si="24"/>
        <v>1298788.3272499999</v>
      </c>
      <c r="J535">
        <f>Overtime!D535</f>
        <v>0</v>
      </c>
      <c r="K535">
        <f t="shared" si="25"/>
        <v>0.1</v>
      </c>
      <c r="L535">
        <f>IF(Performance!E535&lt;=1.5,0.01,IF(Performance!E535&lt;=2,0.02,IF(Performance!E535&lt;=3,0.03,"")))</f>
        <v>0.01</v>
      </c>
      <c r="M535">
        <f t="shared" si="26"/>
        <v>0.11</v>
      </c>
      <c r="N535">
        <f>Earnings!B535*(1+M535)</f>
        <v>1538964.5061000001</v>
      </c>
    </row>
    <row r="536" spans="1:14" x14ac:dyDescent="0.35">
      <c r="A536" t="s">
        <v>566</v>
      </c>
      <c r="B536" t="s">
        <v>35</v>
      </c>
      <c r="C536" t="s">
        <v>33</v>
      </c>
      <c r="D536" t="s">
        <v>21</v>
      </c>
      <c r="E536">
        <v>0</v>
      </c>
      <c r="F536" t="s">
        <v>31</v>
      </c>
      <c r="G536">
        <f>Earnings!G536</f>
        <v>866526.62</v>
      </c>
      <c r="H536">
        <f>Deductions!B536+Deductions!C536+Deductions!D536+Tax!D536</f>
        <v>9918.6173333333354</v>
      </c>
      <c r="I536">
        <f t="shared" si="24"/>
        <v>1020447.0716666667</v>
      </c>
      <c r="J536">
        <f>Overtime!D536</f>
        <v>163839.06900000002</v>
      </c>
      <c r="K536">
        <f t="shared" si="25"/>
        <v>0.08</v>
      </c>
      <c r="L536">
        <f>IF(Performance!E536&lt;=1.5,0.01,IF(Performance!E536&lt;=2,0.02,IF(Performance!E536&lt;=3,0.03,"")))</f>
        <v>0.01</v>
      </c>
      <c r="M536">
        <f t="shared" si="26"/>
        <v>0.09</v>
      </c>
      <c r="N536">
        <f>Earnings!B536*(1+M536)</f>
        <v>992136.57360000012</v>
      </c>
    </row>
    <row r="537" spans="1:14" x14ac:dyDescent="0.35">
      <c r="A537" t="s">
        <v>567</v>
      </c>
      <c r="B537" t="s">
        <v>26</v>
      </c>
      <c r="C537" t="s">
        <v>43</v>
      </c>
      <c r="D537" t="s">
        <v>21</v>
      </c>
      <c r="E537">
        <v>15.3</v>
      </c>
      <c r="F537" t="s">
        <v>70</v>
      </c>
      <c r="G537">
        <f>Earnings!G537</f>
        <v>1352930.13</v>
      </c>
      <c r="H537">
        <f>Deductions!B537+Deductions!C537+Deductions!D537+Tax!D537</f>
        <v>22043.627250000001</v>
      </c>
      <c r="I537">
        <f t="shared" si="24"/>
        <v>1669119.0365500001</v>
      </c>
      <c r="J537">
        <f>Overtime!D537</f>
        <v>338232.53380000003</v>
      </c>
      <c r="K537">
        <f t="shared" si="25"/>
        <v>0.12</v>
      </c>
      <c r="L537">
        <f>IF(Performance!E537&lt;=1.5,0.01,IF(Performance!E537&lt;=2,0.02,IF(Performance!E537&lt;=3,0.03,"")))</f>
        <v>0.01</v>
      </c>
      <c r="M537">
        <f t="shared" si="26"/>
        <v>0.13</v>
      </c>
      <c r="N537">
        <f>Earnings!B537*(1+M537)</f>
        <v>1605893.9516999999</v>
      </c>
    </row>
    <row r="538" spans="1:14" x14ac:dyDescent="0.35">
      <c r="A538" t="s">
        <v>568</v>
      </c>
      <c r="B538" t="s">
        <v>35</v>
      </c>
      <c r="C538" t="s">
        <v>33</v>
      </c>
      <c r="D538" t="s">
        <v>16</v>
      </c>
      <c r="E538">
        <v>9.6</v>
      </c>
      <c r="F538" t="s">
        <v>31</v>
      </c>
      <c r="G538">
        <f>Earnings!G538</f>
        <v>1249639.3700000001</v>
      </c>
      <c r="H538">
        <f>Deductions!B538+Deductions!C538+Deductions!D538+Tax!D538</f>
        <v>19231.16</v>
      </c>
      <c r="I538">
        <f t="shared" si="24"/>
        <v>1348546.3860000002</v>
      </c>
      <c r="J538">
        <f>Overtime!D538</f>
        <v>118138.17600000002</v>
      </c>
      <c r="K538">
        <f t="shared" si="25"/>
        <v>0.08</v>
      </c>
      <c r="L538">
        <f>IF(Performance!E538&lt;=1.5,0.01,IF(Performance!E538&lt;=2,0.02,IF(Performance!E538&lt;=3,0.03,"")))</f>
        <v>0.01</v>
      </c>
      <c r="M538">
        <f t="shared" si="26"/>
        <v>0.09</v>
      </c>
      <c r="N538">
        <f>Earnings!B538*(1+M538)</f>
        <v>1430784.5760000001</v>
      </c>
    </row>
    <row r="539" spans="1:14" x14ac:dyDescent="0.35">
      <c r="A539" t="s">
        <v>569</v>
      </c>
      <c r="B539" t="s">
        <v>35</v>
      </c>
      <c r="C539" t="s">
        <v>43</v>
      </c>
      <c r="D539" t="s">
        <v>16</v>
      </c>
      <c r="E539">
        <v>18.7</v>
      </c>
      <c r="F539" t="s">
        <v>22</v>
      </c>
      <c r="G539">
        <f>Earnings!G539</f>
        <v>1806157.06</v>
      </c>
      <c r="H539">
        <f>Deductions!B539+Deductions!C539+Deductions!D539+Tax!D539</f>
        <v>33945.595000000001</v>
      </c>
      <c r="I539">
        <f t="shared" si="24"/>
        <v>1772211.4650000001</v>
      </c>
      <c r="J539">
        <f>Overtime!D539</f>
        <v>0</v>
      </c>
      <c r="K539">
        <f t="shared" si="25"/>
        <v>0.12</v>
      </c>
      <c r="L539">
        <f>IF(Performance!E539&lt;=1.5,0.01,IF(Performance!E539&lt;=2,0.02,IF(Performance!E539&lt;=3,0.03,"")))</f>
        <v>0.01</v>
      </c>
      <c r="M539">
        <f t="shared" si="26"/>
        <v>0.13</v>
      </c>
      <c r="N539">
        <f>Earnings!B539*(1+M539)</f>
        <v>2143862.8939999999</v>
      </c>
    </row>
    <row r="540" spans="1:14" x14ac:dyDescent="0.35">
      <c r="A540" t="s">
        <v>570</v>
      </c>
      <c r="B540" t="s">
        <v>29</v>
      </c>
      <c r="C540" t="s">
        <v>20</v>
      </c>
      <c r="D540" t="s">
        <v>21</v>
      </c>
      <c r="E540">
        <v>18.2</v>
      </c>
      <c r="F540" t="s">
        <v>31</v>
      </c>
      <c r="G540">
        <f>Earnings!G540</f>
        <v>1690816.14</v>
      </c>
      <c r="H540">
        <f>Deductions!B540+Deductions!C540+Deductions!D540+Tax!D540</f>
        <v>30856.684250000002</v>
      </c>
      <c r="I540">
        <f t="shared" si="24"/>
        <v>1784284.172</v>
      </c>
      <c r="J540">
        <f>Overtime!D540</f>
        <v>124324.71624999998</v>
      </c>
      <c r="K540">
        <f t="shared" si="25"/>
        <v>0.1</v>
      </c>
      <c r="L540">
        <f>IF(Performance!E540&lt;=1.5,0.01,IF(Performance!E540&lt;=2,0.02,IF(Performance!E540&lt;=3,0.03,"")))</f>
        <v>0.02</v>
      </c>
      <c r="M540">
        <f t="shared" si="26"/>
        <v>0.12000000000000001</v>
      </c>
      <c r="N540">
        <f>Earnings!B540*(1+M540)</f>
        <v>1989195.4544000004</v>
      </c>
    </row>
    <row r="541" spans="1:14" x14ac:dyDescent="0.35">
      <c r="A541" t="s">
        <v>571</v>
      </c>
      <c r="B541" t="s">
        <v>29</v>
      </c>
      <c r="C541" t="s">
        <v>33</v>
      </c>
      <c r="D541" t="s">
        <v>21</v>
      </c>
      <c r="E541">
        <v>6</v>
      </c>
      <c r="F541" t="s">
        <v>22</v>
      </c>
      <c r="G541">
        <f>Earnings!G541</f>
        <v>903848.32</v>
      </c>
      <c r="H541">
        <f>Deductions!B541+Deductions!C541+Deductions!D541+Tax!D541</f>
        <v>10572.008333333333</v>
      </c>
      <c r="I541">
        <f t="shared" si="24"/>
        <v>1058475.4786666667</v>
      </c>
      <c r="J541">
        <f>Overtime!D541</f>
        <v>165199.16699999999</v>
      </c>
      <c r="K541">
        <f t="shared" si="25"/>
        <v>0.08</v>
      </c>
      <c r="L541">
        <f>IF(Performance!E541&lt;=1.5,0.01,IF(Performance!E541&lt;=2,0.02,IF(Performance!E541&lt;=3,0.03,"")))</f>
        <v>0.02</v>
      </c>
      <c r="M541">
        <f t="shared" si="26"/>
        <v>0.1</v>
      </c>
      <c r="N541">
        <f>Earnings!B541*(1+M541)</f>
        <v>1044362.55</v>
      </c>
    </row>
    <row r="542" spans="1:14" x14ac:dyDescent="0.35">
      <c r="A542" t="s">
        <v>572</v>
      </c>
      <c r="B542" t="s">
        <v>14</v>
      </c>
      <c r="C542" t="s">
        <v>43</v>
      </c>
      <c r="D542" t="s">
        <v>21</v>
      </c>
      <c r="E542">
        <v>5.0999999999999996</v>
      </c>
      <c r="F542" t="s">
        <v>17</v>
      </c>
      <c r="G542">
        <f>Earnings!G542</f>
        <v>710491.03</v>
      </c>
      <c r="H542">
        <f>Deductions!B542+Deductions!C542+Deductions!D542+Tax!D542</f>
        <v>7286.9018333333333</v>
      </c>
      <c r="I542">
        <f t="shared" si="24"/>
        <v>703204.12816666672</v>
      </c>
      <c r="J542">
        <f>Overtime!D542</f>
        <v>0</v>
      </c>
      <c r="K542">
        <f t="shared" si="25"/>
        <v>0.12</v>
      </c>
      <c r="L542">
        <f>IF(Performance!E542&lt;=1.5,0.01,IF(Performance!E542&lt;=2,0.02,IF(Performance!E542&lt;=3,0.03,"")))</f>
        <v>0.01</v>
      </c>
      <c r="M542">
        <f t="shared" si="26"/>
        <v>0.13</v>
      </c>
      <c r="N542">
        <f>Earnings!B542*(1+M542)</f>
        <v>843334.94429999986</v>
      </c>
    </row>
    <row r="543" spans="1:14" x14ac:dyDescent="0.35">
      <c r="A543" t="s">
        <v>573</v>
      </c>
      <c r="B543" t="s">
        <v>29</v>
      </c>
      <c r="C543" t="s">
        <v>15</v>
      </c>
      <c r="D543" t="s">
        <v>21</v>
      </c>
      <c r="E543">
        <v>9</v>
      </c>
      <c r="F543" t="s">
        <v>24</v>
      </c>
      <c r="G543">
        <f>Earnings!G543</f>
        <v>1328241.6299999999</v>
      </c>
      <c r="H543">
        <f>Deductions!B543+Deductions!C543+Deductions!D543+Tax!D543</f>
        <v>21255.295000000002</v>
      </c>
      <c r="I543">
        <f t="shared" si="24"/>
        <v>1397675.102</v>
      </c>
      <c r="J543">
        <f>Overtime!D543</f>
        <v>90688.766999999993</v>
      </c>
      <c r="K543">
        <f t="shared" si="25"/>
        <v>0.06</v>
      </c>
      <c r="L543">
        <f>IF(Performance!E543&lt;=1.5,0.01,IF(Performance!E543&lt;=2,0.02,IF(Performance!E543&lt;=3,0.03,"")))</f>
        <v>0.02</v>
      </c>
      <c r="M543">
        <f t="shared" si="26"/>
        <v>0.08</v>
      </c>
      <c r="N543">
        <f>Earnings!B543*(1+M543)</f>
        <v>1506828.7440000002</v>
      </c>
    </row>
    <row r="544" spans="1:14" x14ac:dyDescent="0.35">
      <c r="A544" t="s">
        <v>574</v>
      </c>
      <c r="B544" t="s">
        <v>14</v>
      </c>
      <c r="C544" t="s">
        <v>43</v>
      </c>
      <c r="D544" t="s">
        <v>21</v>
      </c>
      <c r="E544">
        <v>20.399999999999999</v>
      </c>
      <c r="F544" t="s">
        <v>27</v>
      </c>
      <c r="G544">
        <f>Earnings!G544</f>
        <v>1315286.47</v>
      </c>
      <c r="H544">
        <f>Deductions!B544+Deductions!C544+Deductions!D544+Tax!D544</f>
        <v>21055.085749999998</v>
      </c>
      <c r="I544">
        <f t="shared" si="24"/>
        <v>1294231.3842499999</v>
      </c>
      <c r="J544">
        <f>Overtime!D544</f>
        <v>0</v>
      </c>
      <c r="K544">
        <f t="shared" si="25"/>
        <v>0.12</v>
      </c>
      <c r="L544">
        <f>IF(Performance!E544&lt;=1.5,0.01,IF(Performance!E544&lt;=2,0.02,IF(Performance!E544&lt;=3,0.03,"")))</f>
        <v>0.01</v>
      </c>
      <c r="M544">
        <f t="shared" si="26"/>
        <v>0.13</v>
      </c>
      <c r="N544">
        <f>Earnings!B544*(1+M544)</f>
        <v>1561211.8758999999</v>
      </c>
    </row>
    <row r="545" spans="1:14" x14ac:dyDescent="0.35">
      <c r="A545" t="s">
        <v>575</v>
      </c>
      <c r="B545" t="s">
        <v>14</v>
      </c>
      <c r="C545" t="s">
        <v>43</v>
      </c>
      <c r="D545" t="s">
        <v>21</v>
      </c>
      <c r="E545">
        <v>25.5</v>
      </c>
      <c r="F545" t="s">
        <v>17</v>
      </c>
      <c r="G545">
        <f>Earnings!G545</f>
        <v>1564456.62</v>
      </c>
      <c r="H545">
        <f>Deductions!B545+Deductions!C545+Deductions!D545+Tax!D545</f>
        <v>27598.419750000001</v>
      </c>
      <c r="I545">
        <f t="shared" si="24"/>
        <v>1536858.2002500002</v>
      </c>
      <c r="J545">
        <f>Overtime!D545</f>
        <v>0</v>
      </c>
      <c r="K545">
        <f t="shared" si="25"/>
        <v>0.12</v>
      </c>
      <c r="L545">
        <f>IF(Performance!E545&lt;=1.5,0.01,IF(Performance!E545&lt;=2,0.02,IF(Performance!E545&lt;=3,0.03,"")))</f>
        <v>0.01</v>
      </c>
      <c r="M545">
        <f t="shared" si="26"/>
        <v>0.13</v>
      </c>
      <c r="N545">
        <f>Earnings!B545*(1+M545)</f>
        <v>1856970.5726999999</v>
      </c>
    </row>
    <row r="546" spans="1:14" x14ac:dyDescent="0.35">
      <c r="A546" t="s">
        <v>576</v>
      </c>
      <c r="B546" t="s">
        <v>35</v>
      </c>
      <c r="C546" t="s">
        <v>20</v>
      </c>
      <c r="D546" t="s">
        <v>16</v>
      </c>
      <c r="E546">
        <v>2.8</v>
      </c>
      <c r="F546" t="s">
        <v>22</v>
      </c>
      <c r="G546">
        <f>Earnings!G546</f>
        <v>1107830.02</v>
      </c>
      <c r="H546">
        <f>Deductions!B546+Deductions!C546+Deductions!D546+Tax!D546</f>
        <v>15547.175000000001</v>
      </c>
      <c r="I546">
        <f t="shared" si="24"/>
        <v>1157449.317</v>
      </c>
      <c r="J546">
        <f>Overtime!D546</f>
        <v>65166.471999999987</v>
      </c>
      <c r="K546">
        <f t="shared" si="25"/>
        <v>0.1</v>
      </c>
      <c r="L546">
        <f>IF(Performance!E546&lt;=1.5,0.01,IF(Performance!E546&lt;=2,0.02,IF(Performance!E546&lt;=3,0.03,"")))</f>
        <v>0.01</v>
      </c>
      <c r="M546">
        <f t="shared" si="26"/>
        <v>0.11</v>
      </c>
      <c r="N546">
        <f>Earnings!B546*(1+M546)</f>
        <v>1291692.57</v>
      </c>
    </row>
    <row r="547" spans="1:14" x14ac:dyDescent="0.35">
      <c r="A547" t="s">
        <v>577</v>
      </c>
      <c r="B547" t="s">
        <v>19</v>
      </c>
      <c r="C547" t="s">
        <v>43</v>
      </c>
      <c r="D547" t="s">
        <v>16</v>
      </c>
      <c r="E547">
        <v>6.8</v>
      </c>
      <c r="F547" t="s">
        <v>22</v>
      </c>
      <c r="G547">
        <f>Earnings!G547</f>
        <v>1179376.6299999999</v>
      </c>
      <c r="H547">
        <f>Deductions!B547+Deductions!C547+Deductions!D547+Tax!D547</f>
        <v>17486.025000000001</v>
      </c>
      <c r="I547">
        <f t="shared" si="24"/>
        <v>1161890.605</v>
      </c>
      <c r="J547">
        <f>Overtime!D547</f>
        <v>0</v>
      </c>
      <c r="K547">
        <f t="shared" si="25"/>
        <v>0.12</v>
      </c>
      <c r="L547">
        <f>IF(Performance!E547&lt;=1.5,0.01,IF(Performance!E547&lt;=2,0.02,IF(Performance!E547&lt;=3,0.03,"")))</f>
        <v>0.03</v>
      </c>
      <c r="M547">
        <f t="shared" si="26"/>
        <v>0.15</v>
      </c>
      <c r="N547">
        <f>Earnings!B547*(1+M547)</f>
        <v>1424667.15</v>
      </c>
    </row>
    <row r="548" spans="1:14" x14ac:dyDescent="0.35">
      <c r="A548" t="s">
        <v>578</v>
      </c>
      <c r="B548" t="s">
        <v>19</v>
      </c>
      <c r="C548" t="s">
        <v>15</v>
      </c>
      <c r="D548" t="s">
        <v>16</v>
      </c>
      <c r="E548">
        <v>9</v>
      </c>
      <c r="F548" t="s">
        <v>44</v>
      </c>
      <c r="G548">
        <f>Earnings!G548</f>
        <v>1088008.43</v>
      </c>
      <c r="H548">
        <f>Deductions!B548+Deductions!C548+Deductions!D548+Tax!D548</f>
        <v>14946.65</v>
      </c>
      <c r="I548">
        <f t="shared" si="24"/>
        <v>1158776.73</v>
      </c>
      <c r="J548">
        <f>Overtime!D548</f>
        <v>85714.95</v>
      </c>
      <c r="K548">
        <f t="shared" si="25"/>
        <v>0.06</v>
      </c>
      <c r="L548">
        <f>IF(Performance!E548&lt;=1.5,0.01,IF(Performance!E548&lt;=2,0.02,IF(Performance!E548&lt;=3,0.03,"")))</f>
        <v>0.03</v>
      </c>
      <c r="M548">
        <f t="shared" si="26"/>
        <v>0.09</v>
      </c>
      <c r="N548">
        <f>Earnings!B548*(1+M548)</f>
        <v>1245723.9400000002</v>
      </c>
    </row>
    <row r="549" spans="1:14" x14ac:dyDescent="0.35">
      <c r="A549" t="s">
        <v>579</v>
      </c>
      <c r="B549" t="s">
        <v>19</v>
      </c>
      <c r="C549" t="s">
        <v>43</v>
      </c>
      <c r="D549" t="s">
        <v>16</v>
      </c>
      <c r="E549">
        <v>22.1</v>
      </c>
      <c r="F549" t="s">
        <v>24</v>
      </c>
      <c r="G549">
        <f>Earnings!G549</f>
        <v>1439455.13</v>
      </c>
      <c r="H549">
        <f>Deductions!B549+Deductions!C549+Deductions!D549+Tax!D549</f>
        <v>24315.817499999994</v>
      </c>
      <c r="I549">
        <f t="shared" si="24"/>
        <v>1582218.92585</v>
      </c>
      <c r="J549">
        <f>Overtime!D549</f>
        <v>167079.61335</v>
      </c>
      <c r="K549">
        <f t="shared" si="25"/>
        <v>0.12</v>
      </c>
      <c r="L549">
        <f>IF(Performance!E549&lt;=1.5,0.01,IF(Performance!E549&lt;=2,0.02,IF(Performance!E549&lt;=3,0.03,"")))</f>
        <v>0.03</v>
      </c>
      <c r="M549">
        <f t="shared" si="26"/>
        <v>0.15</v>
      </c>
      <c r="N549">
        <f>Earnings!B549*(1+M549)</f>
        <v>1738837.6049999997</v>
      </c>
    </row>
    <row r="550" spans="1:14" x14ac:dyDescent="0.35">
      <c r="A550" t="s">
        <v>580</v>
      </c>
      <c r="B550" t="s">
        <v>19</v>
      </c>
      <c r="C550" t="s">
        <v>20</v>
      </c>
      <c r="D550" t="s">
        <v>16</v>
      </c>
      <c r="E550">
        <v>9.8000000000000007</v>
      </c>
      <c r="F550" t="s">
        <v>70</v>
      </c>
      <c r="G550">
        <f>Earnings!G550</f>
        <v>872958.68</v>
      </c>
      <c r="H550">
        <f>Deductions!B550+Deductions!C550+Deductions!D550+Tax!D550</f>
        <v>10071.223333333335</v>
      </c>
      <c r="I550">
        <f t="shared" si="24"/>
        <v>862887.45666666667</v>
      </c>
      <c r="J550">
        <f>Overtime!D550</f>
        <v>0</v>
      </c>
      <c r="K550">
        <f t="shared" si="25"/>
        <v>0.1</v>
      </c>
      <c r="L550">
        <f>IF(Performance!E550&lt;=1.5,0.01,IF(Performance!E550&lt;=2,0.02,IF(Performance!E550&lt;=3,0.03,"")))</f>
        <v>0.03</v>
      </c>
      <c r="M550">
        <f t="shared" si="26"/>
        <v>0.13</v>
      </c>
      <c r="N550">
        <f>Earnings!B550*(1+M550)</f>
        <v>1036179.9419999999</v>
      </c>
    </row>
    <row r="551" spans="1:14" x14ac:dyDescent="0.35">
      <c r="A551" t="s">
        <v>581</v>
      </c>
      <c r="B551" t="s">
        <v>29</v>
      </c>
      <c r="C551" t="s">
        <v>43</v>
      </c>
      <c r="D551" t="s">
        <v>16</v>
      </c>
      <c r="E551">
        <v>10.199999999999999</v>
      </c>
      <c r="F551" t="s">
        <v>37</v>
      </c>
      <c r="G551">
        <f>Earnings!G551</f>
        <v>1401521.45</v>
      </c>
      <c r="H551">
        <f>Deductions!B551+Deductions!C551+Deductions!D551+Tax!D551</f>
        <v>23319.659999999996</v>
      </c>
      <c r="I551">
        <f t="shared" si="24"/>
        <v>1378201.79</v>
      </c>
      <c r="J551">
        <f>Overtime!D551</f>
        <v>0</v>
      </c>
      <c r="K551">
        <f t="shared" si="25"/>
        <v>0.12</v>
      </c>
      <c r="L551">
        <f>IF(Performance!E551&lt;=1.5,0.01,IF(Performance!E551&lt;=2,0.02,IF(Performance!E551&lt;=3,0.03,"")))</f>
        <v>0.02</v>
      </c>
      <c r="M551">
        <f t="shared" si="26"/>
        <v>0.13999999999999999</v>
      </c>
      <c r="N551">
        <f>Earnings!B551*(1+M551)</f>
        <v>1678292.4959999998</v>
      </c>
    </row>
    <row r="552" spans="1:14" x14ac:dyDescent="0.35">
      <c r="A552" t="s">
        <v>582</v>
      </c>
      <c r="B552" t="s">
        <v>35</v>
      </c>
      <c r="C552" t="s">
        <v>20</v>
      </c>
      <c r="D552" t="s">
        <v>21</v>
      </c>
      <c r="E552">
        <v>11.2</v>
      </c>
      <c r="F552" t="s">
        <v>27</v>
      </c>
      <c r="G552">
        <f>Earnings!G552</f>
        <v>1078463.18</v>
      </c>
      <c r="H552">
        <f>Deductions!B552+Deductions!C552+Deductions!D552+Tax!D552</f>
        <v>14775.986749999998</v>
      </c>
      <c r="I552">
        <f t="shared" si="24"/>
        <v>1063687.19325</v>
      </c>
      <c r="J552">
        <f>Overtime!D552</f>
        <v>0</v>
      </c>
      <c r="K552">
        <f t="shared" si="25"/>
        <v>0.1</v>
      </c>
      <c r="L552">
        <f>IF(Performance!E552&lt;=1.5,0.01,IF(Performance!E552&lt;=2,0.02,IF(Performance!E552&lt;=3,0.03,"")))</f>
        <v>0.01</v>
      </c>
      <c r="M552">
        <f t="shared" si="26"/>
        <v>0.11</v>
      </c>
      <c r="N552">
        <f>Earnings!B552*(1+M552)</f>
        <v>1257451.8117000002</v>
      </c>
    </row>
    <row r="553" spans="1:14" x14ac:dyDescent="0.35">
      <c r="A553" t="s">
        <v>583</v>
      </c>
      <c r="B553" t="s">
        <v>14</v>
      </c>
      <c r="C553" t="s">
        <v>15</v>
      </c>
      <c r="D553" t="s">
        <v>16</v>
      </c>
      <c r="E553">
        <v>15</v>
      </c>
      <c r="F553" t="s">
        <v>17</v>
      </c>
      <c r="G553">
        <f>Earnings!G553</f>
        <v>808158.51</v>
      </c>
      <c r="H553">
        <f>Deductions!B553+Deductions!C553+Deductions!D553+Tax!D553</f>
        <v>8856.7666666666664</v>
      </c>
      <c r="I553">
        <f t="shared" si="24"/>
        <v>799301.74333333329</v>
      </c>
      <c r="J553">
        <f>Overtime!D553</f>
        <v>0</v>
      </c>
      <c r="K553">
        <f t="shared" si="25"/>
        <v>0.06</v>
      </c>
      <c r="L553">
        <f>IF(Performance!E553&lt;=1.5,0.01,IF(Performance!E553&lt;=2,0.02,IF(Performance!E553&lt;=3,0.03,"")))</f>
        <v>0.01</v>
      </c>
      <c r="M553">
        <f t="shared" si="26"/>
        <v>6.9999999999999993E-2</v>
      </c>
      <c r="N553">
        <f>Earnings!B553*(1+M553)</f>
        <v>908329.42</v>
      </c>
    </row>
    <row r="554" spans="1:14" x14ac:dyDescent="0.35">
      <c r="A554" t="s">
        <v>584</v>
      </c>
      <c r="B554" t="s">
        <v>26</v>
      </c>
      <c r="C554" t="s">
        <v>33</v>
      </c>
      <c r="D554" t="s">
        <v>16</v>
      </c>
      <c r="E554">
        <v>2.4</v>
      </c>
      <c r="F554" t="s">
        <v>44</v>
      </c>
      <c r="G554">
        <f>Earnings!G554</f>
        <v>630328.34</v>
      </c>
      <c r="H554">
        <f>Deductions!B554+Deductions!C554+Deductions!D554+Tax!D554</f>
        <v>5783.4933333333338</v>
      </c>
      <c r="I554">
        <f t="shared" si="24"/>
        <v>664271.42266666668</v>
      </c>
      <c r="J554">
        <f>Overtime!D554</f>
        <v>39726.576000000001</v>
      </c>
      <c r="K554">
        <f t="shared" si="25"/>
        <v>0.08</v>
      </c>
      <c r="L554">
        <f>IF(Performance!E554&lt;=1.5,0.01,IF(Performance!E554&lt;=2,0.02,IF(Performance!E554&lt;=3,0.03,"")))</f>
        <v>0.01</v>
      </c>
      <c r="M554">
        <f t="shared" si="26"/>
        <v>0.09</v>
      </c>
      <c r="N554">
        <f>Earnings!B554*(1+M554)</f>
        <v>721699.46400000004</v>
      </c>
    </row>
    <row r="555" spans="1:14" x14ac:dyDescent="0.35">
      <c r="A555" t="s">
        <v>585</v>
      </c>
      <c r="B555" t="s">
        <v>29</v>
      </c>
      <c r="C555" t="s">
        <v>20</v>
      </c>
      <c r="D555" t="s">
        <v>21</v>
      </c>
      <c r="E555">
        <v>1.4</v>
      </c>
      <c r="F555" t="s">
        <v>37</v>
      </c>
      <c r="G555">
        <f>Earnings!G555</f>
        <v>1073076.93</v>
      </c>
      <c r="H555">
        <f>Deductions!B555+Deductions!C555+Deductions!D555+Tax!D555</f>
        <v>14634.541249999997</v>
      </c>
      <c r="I555">
        <f t="shared" si="24"/>
        <v>1058442.3887499999</v>
      </c>
      <c r="J555">
        <f>Overtime!D555</f>
        <v>0</v>
      </c>
      <c r="K555">
        <f t="shared" si="25"/>
        <v>0.1</v>
      </c>
      <c r="L555">
        <f>IF(Performance!E555&lt;=1.5,0.01,IF(Performance!E555&lt;=2,0.02,IF(Performance!E555&lt;=3,0.03,"")))</f>
        <v>0.02</v>
      </c>
      <c r="M555">
        <f t="shared" si="26"/>
        <v>0.12000000000000001</v>
      </c>
      <c r="N555">
        <f>Earnings!B555*(1+M555)</f>
        <v>1262443.4480000001</v>
      </c>
    </row>
    <row r="556" spans="1:14" x14ac:dyDescent="0.35">
      <c r="A556" t="s">
        <v>586</v>
      </c>
      <c r="B556" t="s">
        <v>35</v>
      </c>
      <c r="C556" t="s">
        <v>15</v>
      </c>
      <c r="D556" t="s">
        <v>16</v>
      </c>
      <c r="E556">
        <v>4</v>
      </c>
      <c r="F556" t="s">
        <v>37</v>
      </c>
      <c r="G556">
        <f>Earnings!G556</f>
        <v>977290.83</v>
      </c>
      <c r="H556">
        <f>Deductions!B556+Deductions!C556+Deductions!D556+Tax!D556</f>
        <v>12039.15</v>
      </c>
      <c r="I556">
        <f t="shared" si="24"/>
        <v>1098705.26</v>
      </c>
      <c r="J556">
        <f>Overtime!D556</f>
        <v>133453.57999999999</v>
      </c>
      <c r="K556">
        <f t="shared" si="25"/>
        <v>0.06</v>
      </c>
      <c r="L556">
        <f>IF(Performance!E556&lt;=1.5,0.01,IF(Performance!E556&lt;=2,0.02,IF(Performance!E556&lt;=3,0.03,"")))</f>
        <v>0.01</v>
      </c>
      <c r="M556">
        <f t="shared" si="26"/>
        <v>6.9999999999999993E-2</v>
      </c>
      <c r="N556">
        <f>Earnings!B556*(1+M556)</f>
        <v>1098425.6200000001</v>
      </c>
    </row>
    <row r="557" spans="1:14" x14ac:dyDescent="0.35">
      <c r="A557" t="s">
        <v>587</v>
      </c>
      <c r="B557" t="s">
        <v>26</v>
      </c>
      <c r="C557" t="s">
        <v>15</v>
      </c>
      <c r="D557" t="s">
        <v>16</v>
      </c>
      <c r="E557">
        <v>7</v>
      </c>
      <c r="F557" t="s">
        <v>31</v>
      </c>
      <c r="G557">
        <f>Earnings!G557</f>
        <v>682244.14</v>
      </c>
      <c r="H557">
        <f>Deductions!B557+Deductions!C557+Deductions!D557+Tax!D557</f>
        <v>6652.3833333333341</v>
      </c>
      <c r="I557">
        <f t="shared" si="24"/>
        <v>675591.75666666671</v>
      </c>
      <c r="J557">
        <f>Overtime!D557</f>
        <v>0</v>
      </c>
      <c r="K557">
        <f t="shared" si="25"/>
        <v>0.06</v>
      </c>
      <c r="L557">
        <f>IF(Performance!E557&lt;=1.5,0.01,IF(Performance!E557&lt;=2,0.02,IF(Performance!E557&lt;=3,0.03,"")))</f>
        <v>0.01</v>
      </c>
      <c r="M557">
        <f t="shared" si="26"/>
        <v>6.9999999999999993E-2</v>
      </c>
      <c r="N557">
        <f>Earnings!B557*(1+M557)</f>
        <v>766808.01</v>
      </c>
    </row>
    <row r="558" spans="1:14" x14ac:dyDescent="0.35">
      <c r="A558" t="s">
        <v>588</v>
      </c>
      <c r="B558" t="s">
        <v>29</v>
      </c>
      <c r="C558" t="s">
        <v>33</v>
      </c>
      <c r="D558" t="s">
        <v>16</v>
      </c>
      <c r="E558">
        <v>12</v>
      </c>
      <c r="F558" t="s">
        <v>17</v>
      </c>
      <c r="G558">
        <f>Earnings!G558</f>
        <v>1030696.13</v>
      </c>
      <c r="H558">
        <f>Deductions!B558+Deductions!C558+Deductions!D558+Tax!D558</f>
        <v>13481.6</v>
      </c>
      <c r="I558">
        <f t="shared" si="24"/>
        <v>1017214.53</v>
      </c>
      <c r="J558">
        <f>Overtime!D558</f>
        <v>0</v>
      </c>
      <c r="K558">
        <f t="shared" si="25"/>
        <v>0.08</v>
      </c>
      <c r="L558">
        <f>IF(Performance!E558&lt;=1.5,0.01,IF(Performance!E558&lt;=2,0.02,IF(Performance!E558&lt;=3,0.03,"")))</f>
        <v>0.02</v>
      </c>
      <c r="M558">
        <f t="shared" si="26"/>
        <v>0.1</v>
      </c>
      <c r="N558">
        <f>Earnings!B558*(1+M558)</f>
        <v>1190930.4000000001</v>
      </c>
    </row>
    <row r="559" spans="1:14" x14ac:dyDescent="0.35">
      <c r="A559" t="s">
        <v>589</v>
      </c>
      <c r="B559" t="s">
        <v>35</v>
      </c>
      <c r="C559" t="s">
        <v>15</v>
      </c>
      <c r="D559" t="s">
        <v>21</v>
      </c>
      <c r="E559">
        <v>6</v>
      </c>
      <c r="F559" t="s">
        <v>17</v>
      </c>
      <c r="G559">
        <f>Earnings!G559</f>
        <v>692310.06</v>
      </c>
      <c r="H559">
        <f>Deductions!B559+Deductions!C559+Deductions!D559+Tax!D559</f>
        <v>6828.6074999999992</v>
      </c>
      <c r="I559">
        <f t="shared" si="24"/>
        <v>685481.45250000001</v>
      </c>
      <c r="J559">
        <f>Overtime!D559</f>
        <v>0</v>
      </c>
      <c r="K559">
        <f t="shared" si="25"/>
        <v>0.06</v>
      </c>
      <c r="L559">
        <f>IF(Performance!E559&lt;=1.5,0.01,IF(Performance!E559&lt;=2,0.02,IF(Performance!E559&lt;=3,0.03,"")))</f>
        <v>0.01</v>
      </c>
      <c r="M559">
        <f t="shared" si="26"/>
        <v>6.9999999999999993E-2</v>
      </c>
      <c r="N559">
        <f>Earnings!B559*(1+M559)</f>
        <v>778121.60149999999</v>
      </c>
    </row>
    <row r="560" spans="1:14" x14ac:dyDescent="0.35">
      <c r="A560" t="s">
        <v>590</v>
      </c>
      <c r="B560" t="s">
        <v>29</v>
      </c>
      <c r="C560" t="s">
        <v>15</v>
      </c>
      <c r="D560" t="s">
        <v>16</v>
      </c>
      <c r="E560">
        <v>10</v>
      </c>
      <c r="F560" t="s">
        <v>27</v>
      </c>
      <c r="G560">
        <f>Earnings!G560</f>
        <v>1200260.6599999999</v>
      </c>
      <c r="H560">
        <f>Deductions!B560+Deductions!C560+Deductions!D560+Tax!D560</f>
        <v>17894.449999999997</v>
      </c>
      <c r="I560">
        <f t="shared" si="24"/>
        <v>1182366.21</v>
      </c>
      <c r="J560">
        <f>Overtime!D560</f>
        <v>0</v>
      </c>
      <c r="K560">
        <f t="shared" si="25"/>
        <v>0.06</v>
      </c>
      <c r="L560">
        <f>IF(Performance!E560&lt;=1.5,0.01,IF(Performance!E560&lt;=2,0.02,IF(Performance!E560&lt;=3,0.03,"")))</f>
        <v>0.02</v>
      </c>
      <c r="M560">
        <f t="shared" si="26"/>
        <v>0.08</v>
      </c>
      <c r="N560">
        <f>Earnings!B560*(1+M560)</f>
        <v>1361640.24</v>
      </c>
    </row>
    <row r="561" spans="1:14" x14ac:dyDescent="0.35">
      <c r="A561" t="s">
        <v>591</v>
      </c>
      <c r="B561" t="s">
        <v>35</v>
      </c>
      <c r="C561" t="s">
        <v>43</v>
      </c>
      <c r="D561" t="s">
        <v>16</v>
      </c>
      <c r="E561">
        <v>22.1</v>
      </c>
      <c r="F561" t="s">
        <v>31</v>
      </c>
      <c r="G561">
        <f>Earnings!G561</f>
        <v>1487377.57</v>
      </c>
      <c r="H561">
        <f>Deductions!B561+Deductions!C561+Deductions!D561+Tax!D561</f>
        <v>25574.284999999993</v>
      </c>
      <c r="I561">
        <f t="shared" si="24"/>
        <v>1461803.2850000001</v>
      </c>
      <c r="J561">
        <f>Overtime!D561</f>
        <v>0</v>
      </c>
      <c r="K561">
        <f t="shared" si="25"/>
        <v>0.12</v>
      </c>
      <c r="L561">
        <f>IF(Performance!E561&lt;=1.5,0.01,IF(Performance!E561&lt;=2,0.02,IF(Performance!E561&lt;=3,0.03,"")))</f>
        <v>0.01</v>
      </c>
      <c r="M561">
        <f t="shared" si="26"/>
        <v>0.13</v>
      </c>
      <c r="N561">
        <f>Earnings!B561*(1+M561)</f>
        <v>1765479.6819999998</v>
      </c>
    </row>
    <row r="562" spans="1:14" x14ac:dyDescent="0.35">
      <c r="A562" t="s">
        <v>592</v>
      </c>
      <c r="B562" t="s">
        <v>35</v>
      </c>
      <c r="C562" t="s">
        <v>43</v>
      </c>
      <c r="D562" t="s">
        <v>16</v>
      </c>
      <c r="E562">
        <v>3.4</v>
      </c>
      <c r="F562" t="s">
        <v>31</v>
      </c>
      <c r="G562">
        <f>Earnings!G562</f>
        <v>1507355.1</v>
      </c>
      <c r="H562">
        <f>Deductions!B562+Deductions!C562+Deductions!D562+Tax!D562</f>
        <v>26098.904999999999</v>
      </c>
      <c r="I562">
        <f t="shared" si="24"/>
        <v>1736968.2213000001</v>
      </c>
      <c r="J562">
        <f>Overtime!D562</f>
        <v>255712.02629999997</v>
      </c>
      <c r="K562">
        <f t="shared" si="25"/>
        <v>0.12</v>
      </c>
      <c r="L562">
        <f>IF(Performance!E562&lt;=1.5,0.01,IF(Performance!E562&lt;=2,0.02,IF(Performance!E562&lt;=3,0.03,"")))</f>
        <v>0.01</v>
      </c>
      <c r="M562">
        <f t="shared" si="26"/>
        <v>0.13</v>
      </c>
      <c r="N562">
        <f>Earnings!B562*(1+M562)</f>
        <v>1789192.5059999998</v>
      </c>
    </row>
    <row r="563" spans="1:14" x14ac:dyDescent="0.35">
      <c r="A563" t="s">
        <v>593</v>
      </c>
      <c r="B563" t="s">
        <v>26</v>
      </c>
      <c r="C563" t="s">
        <v>20</v>
      </c>
      <c r="D563" t="s">
        <v>21</v>
      </c>
      <c r="E563">
        <v>21</v>
      </c>
      <c r="F563" t="s">
        <v>31</v>
      </c>
      <c r="G563">
        <f>Earnings!G563</f>
        <v>1186519.8</v>
      </c>
      <c r="H563">
        <f>Deductions!B563+Deductions!C563+Deductions!D563+Tax!D563</f>
        <v>17613.608249999997</v>
      </c>
      <c r="I563">
        <f t="shared" si="24"/>
        <v>1168906.19175</v>
      </c>
      <c r="J563">
        <f>Overtime!D563</f>
        <v>0</v>
      </c>
      <c r="K563">
        <f t="shared" si="25"/>
        <v>0.1</v>
      </c>
      <c r="L563">
        <f>IF(Performance!E563&lt;=1.5,0.01,IF(Performance!E563&lt;=2,0.02,IF(Performance!E563&lt;=3,0.03,"")))</f>
        <v>0.01</v>
      </c>
      <c r="M563">
        <f t="shared" si="26"/>
        <v>0.11</v>
      </c>
      <c r="N563">
        <f>Earnings!B563*(1+M563)</f>
        <v>1383442.2063000002</v>
      </c>
    </row>
    <row r="564" spans="1:14" x14ac:dyDescent="0.35">
      <c r="A564" t="s">
        <v>594</v>
      </c>
      <c r="B564" t="s">
        <v>14</v>
      </c>
      <c r="C564" t="s">
        <v>43</v>
      </c>
      <c r="D564" t="s">
        <v>16</v>
      </c>
      <c r="E564">
        <v>5.0999999999999996</v>
      </c>
      <c r="F564" t="s">
        <v>17</v>
      </c>
      <c r="G564">
        <f>Earnings!G564</f>
        <v>645654.21</v>
      </c>
      <c r="H564">
        <f>Deductions!B564+Deductions!C564+Deductions!D564+Tax!D564</f>
        <v>6151.8033333333333</v>
      </c>
      <c r="I564">
        <f t="shared" si="24"/>
        <v>639502.40666666662</v>
      </c>
      <c r="J564">
        <f>Overtime!D564</f>
        <v>0</v>
      </c>
      <c r="K564">
        <f t="shared" si="25"/>
        <v>0.12</v>
      </c>
      <c r="L564">
        <f>IF(Performance!E564&lt;=1.5,0.01,IF(Performance!E564&lt;=2,0.02,IF(Performance!E564&lt;=3,0.03,"")))</f>
        <v>0.01</v>
      </c>
      <c r="M564">
        <f t="shared" si="26"/>
        <v>0.13</v>
      </c>
      <c r="N564">
        <f>Earnings!B564*(1+M564)</f>
        <v>766375.26599999983</v>
      </c>
    </row>
    <row r="565" spans="1:14" x14ac:dyDescent="0.35">
      <c r="A565" t="s">
        <v>595</v>
      </c>
      <c r="B565" t="s">
        <v>14</v>
      </c>
      <c r="C565" t="s">
        <v>43</v>
      </c>
      <c r="D565" t="s">
        <v>16</v>
      </c>
      <c r="E565">
        <v>5.0999999999999996</v>
      </c>
      <c r="F565" t="s">
        <v>27</v>
      </c>
      <c r="G565">
        <f>Earnings!G565</f>
        <v>926825.31</v>
      </c>
      <c r="H565">
        <f>Deductions!B565+Deductions!C565+Deductions!D565+Tax!D565</f>
        <v>11074.266666666668</v>
      </c>
      <c r="I565">
        <f t="shared" si="24"/>
        <v>915751.04333333333</v>
      </c>
      <c r="J565">
        <f>Overtime!D565</f>
        <v>0</v>
      </c>
      <c r="K565">
        <f t="shared" si="25"/>
        <v>0.12</v>
      </c>
      <c r="L565">
        <f>IF(Performance!E565&lt;=1.5,0.01,IF(Performance!E565&lt;=2,0.02,IF(Performance!E565&lt;=3,0.03,"")))</f>
        <v>0.01</v>
      </c>
      <c r="M565">
        <f t="shared" si="26"/>
        <v>0.13</v>
      </c>
      <c r="N565">
        <f>Earnings!B565*(1+M565)</f>
        <v>1100118.2799999998</v>
      </c>
    </row>
    <row r="566" spans="1:14" x14ac:dyDescent="0.35">
      <c r="A566" t="s">
        <v>596</v>
      </c>
      <c r="B566" t="s">
        <v>14</v>
      </c>
      <c r="C566" t="s">
        <v>33</v>
      </c>
      <c r="D566" t="s">
        <v>21</v>
      </c>
      <c r="E566">
        <v>16.8</v>
      </c>
      <c r="F566" t="s">
        <v>27</v>
      </c>
      <c r="G566">
        <f>Earnings!G566</f>
        <v>1086187.29</v>
      </c>
      <c r="H566">
        <f>Deductions!B566+Deductions!C566+Deductions!D566+Tax!D566</f>
        <v>14938.826000000001</v>
      </c>
      <c r="I566">
        <f t="shared" si="24"/>
        <v>1126014.2104000002</v>
      </c>
      <c r="J566">
        <f>Overtime!D566</f>
        <v>54765.746399999996</v>
      </c>
      <c r="K566">
        <f t="shared" si="25"/>
        <v>0.08</v>
      </c>
      <c r="L566">
        <f>IF(Performance!E566&lt;=1.5,0.01,IF(Performance!E566&lt;=2,0.02,IF(Performance!E566&lt;=3,0.03,"")))</f>
        <v>0.01</v>
      </c>
      <c r="M566">
        <f t="shared" si="26"/>
        <v>0.09</v>
      </c>
      <c r="N566">
        <f>Earnings!B566*(1+M566)</f>
        <v>1243638.8136000002</v>
      </c>
    </row>
    <row r="567" spans="1:14" x14ac:dyDescent="0.35">
      <c r="A567" t="s">
        <v>597</v>
      </c>
      <c r="B567" t="s">
        <v>35</v>
      </c>
      <c r="C567" t="s">
        <v>33</v>
      </c>
      <c r="D567" t="s">
        <v>16</v>
      </c>
      <c r="E567">
        <v>16.8</v>
      </c>
      <c r="F567" t="s">
        <v>22</v>
      </c>
      <c r="G567">
        <f>Earnings!G567</f>
        <v>1192475.96</v>
      </c>
      <c r="H567">
        <f>Deductions!B567+Deductions!C567+Deductions!D567+Tax!D567</f>
        <v>17730.019999999997</v>
      </c>
      <c r="I567">
        <f t="shared" si="24"/>
        <v>1174745.94</v>
      </c>
      <c r="J567">
        <f>Overtime!D567</f>
        <v>0</v>
      </c>
      <c r="K567">
        <f t="shared" si="25"/>
        <v>0.08</v>
      </c>
      <c r="L567">
        <f>IF(Performance!E567&lt;=1.5,0.01,IF(Performance!E567&lt;=2,0.02,IF(Performance!E567&lt;=3,0.03,"")))</f>
        <v>0.01</v>
      </c>
      <c r="M567">
        <f t="shared" si="26"/>
        <v>0.09</v>
      </c>
      <c r="N567">
        <f>Earnings!B567*(1+M567)</f>
        <v>1365334.8720000002</v>
      </c>
    </row>
    <row r="568" spans="1:14" x14ac:dyDescent="0.35">
      <c r="A568" t="s">
        <v>598</v>
      </c>
      <c r="B568" t="s">
        <v>19</v>
      </c>
      <c r="C568" t="s">
        <v>20</v>
      </c>
      <c r="D568" t="s">
        <v>16</v>
      </c>
      <c r="E568">
        <v>8.4</v>
      </c>
      <c r="F568" t="s">
        <v>70</v>
      </c>
      <c r="G568">
        <f>Earnings!G568</f>
        <v>1052317.57</v>
      </c>
      <c r="H568">
        <f>Deductions!B568+Deductions!C568+Deductions!D568+Tax!D568</f>
        <v>14089.390000000001</v>
      </c>
      <c r="I568">
        <f t="shared" si="24"/>
        <v>1208456.0224000001</v>
      </c>
      <c r="J568">
        <f>Overtime!D568</f>
        <v>170227.84239999999</v>
      </c>
      <c r="K568">
        <f t="shared" si="25"/>
        <v>0.1</v>
      </c>
      <c r="L568">
        <f>IF(Performance!E568&lt;=1.5,0.01,IF(Performance!E568&lt;=2,0.02,IF(Performance!E568&lt;=3,0.03,"")))</f>
        <v>0.03</v>
      </c>
      <c r="M568">
        <f t="shared" si="26"/>
        <v>0.13</v>
      </c>
      <c r="N568">
        <f>Earnings!B568*(1+M568)</f>
        <v>1249074.4280000001</v>
      </c>
    </row>
    <row r="569" spans="1:14" x14ac:dyDescent="0.35">
      <c r="A569" t="s">
        <v>599</v>
      </c>
      <c r="B569" t="s">
        <v>19</v>
      </c>
      <c r="C569" t="s">
        <v>33</v>
      </c>
      <c r="D569" t="s">
        <v>16</v>
      </c>
      <c r="E569">
        <v>16.8</v>
      </c>
      <c r="F569" t="s">
        <v>27</v>
      </c>
      <c r="G569">
        <f>Earnings!G569</f>
        <v>1390208.27</v>
      </c>
      <c r="H569">
        <f>Deductions!B569+Deductions!C569+Deductions!D569+Tax!D569</f>
        <v>22922.57</v>
      </c>
      <c r="I569">
        <f t="shared" si="24"/>
        <v>1489951.1351999999</v>
      </c>
      <c r="J569">
        <f>Overtime!D569</f>
        <v>122665.43520000001</v>
      </c>
      <c r="K569">
        <f t="shared" si="25"/>
        <v>0.08</v>
      </c>
      <c r="L569">
        <f>IF(Performance!E569&lt;=1.5,0.01,IF(Performance!E569&lt;=2,0.02,IF(Performance!E569&lt;=3,0.03,"")))</f>
        <v>0.03</v>
      </c>
      <c r="M569">
        <f t="shared" si="26"/>
        <v>0.11</v>
      </c>
      <c r="N569">
        <f>Earnings!B569*(1+M569)</f>
        <v>1620936.1080000002</v>
      </c>
    </row>
    <row r="570" spans="1:14" x14ac:dyDescent="0.35">
      <c r="A570" t="s">
        <v>600</v>
      </c>
      <c r="B570" t="s">
        <v>29</v>
      </c>
      <c r="C570" t="s">
        <v>43</v>
      </c>
      <c r="D570" t="s">
        <v>21</v>
      </c>
      <c r="E570">
        <v>25.5</v>
      </c>
      <c r="F570" t="s">
        <v>31</v>
      </c>
      <c r="G570">
        <f>Earnings!G570</f>
        <v>2074693.96</v>
      </c>
      <c r="H570">
        <f>Deductions!B570+Deductions!C570+Deductions!D570+Tax!D570</f>
        <v>40997.509499999993</v>
      </c>
      <c r="I570">
        <f t="shared" si="24"/>
        <v>2181888.8760000002</v>
      </c>
      <c r="J570">
        <f>Overtime!D570</f>
        <v>148192.42549999998</v>
      </c>
      <c r="K570">
        <f t="shared" si="25"/>
        <v>0.12</v>
      </c>
      <c r="L570">
        <f>IF(Performance!E570&lt;=1.5,0.01,IF(Performance!E570&lt;=2,0.02,IF(Performance!E570&lt;=3,0.03,"")))</f>
        <v>0.02</v>
      </c>
      <c r="M570">
        <f t="shared" si="26"/>
        <v>0.13999999999999999</v>
      </c>
      <c r="N570">
        <f>Earnings!B570*(1+M570)</f>
        <v>2484402.4331999999</v>
      </c>
    </row>
    <row r="571" spans="1:14" x14ac:dyDescent="0.35">
      <c r="A571" t="s">
        <v>601</v>
      </c>
      <c r="B571" t="s">
        <v>35</v>
      </c>
      <c r="C571" t="s">
        <v>20</v>
      </c>
      <c r="D571" t="s">
        <v>21</v>
      </c>
      <c r="E571">
        <v>21</v>
      </c>
      <c r="F571" t="s">
        <v>70</v>
      </c>
      <c r="G571">
        <f>Earnings!G571</f>
        <v>1795369.3</v>
      </c>
      <c r="H571">
        <f>Deductions!B571+Deductions!C571+Deductions!D571+Tax!D571</f>
        <v>33602.303</v>
      </c>
      <c r="I571">
        <f t="shared" si="24"/>
        <v>2131401.8535000002</v>
      </c>
      <c r="J571">
        <f>Overtime!D571</f>
        <v>369634.85649999999</v>
      </c>
      <c r="K571">
        <f t="shared" si="25"/>
        <v>0.1</v>
      </c>
      <c r="L571">
        <f>IF(Performance!E571&lt;=1.5,0.01,IF(Performance!E571&lt;=2,0.02,IF(Performance!E571&lt;=3,0.03,"")))</f>
        <v>0.01</v>
      </c>
      <c r="M571">
        <f t="shared" si="26"/>
        <v>0.11</v>
      </c>
      <c r="N571">
        <f>Earnings!B571*(1+M571)</f>
        <v>2093340.2532000004</v>
      </c>
    </row>
    <row r="572" spans="1:14" x14ac:dyDescent="0.35">
      <c r="A572" t="s">
        <v>602</v>
      </c>
      <c r="B572" t="s">
        <v>26</v>
      </c>
      <c r="C572" t="s">
        <v>33</v>
      </c>
      <c r="D572" t="s">
        <v>21</v>
      </c>
      <c r="E572">
        <v>7.2</v>
      </c>
      <c r="F572" t="s">
        <v>24</v>
      </c>
      <c r="G572">
        <f>Earnings!G572</f>
        <v>766405.2</v>
      </c>
      <c r="H572">
        <f>Deductions!B572+Deductions!C572+Deductions!D572+Tax!D572</f>
        <v>8165.7913333333336</v>
      </c>
      <c r="I572">
        <f t="shared" si="24"/>
        <v>893487.38446666661</v>
      </c>
      <c r="J572">
        <f>Overtime!D572</f>
        <v>135247.97579999999</v>
      </c>
      <c r="K572">
        <f t="shared" si="25"/>
        <v>0.08</v>
      </c>
      <c r="L572">
        <f>IF(Performance!E572&lt;=1.5,0.01,IF(Performance!E572&lt;=2,0.02,IF(Performance!E572&lt;=3,0.03,"")))</f>
        <v>0.01</v>
      </c>
      <c r="M572">
        <f t="shared" si="26"/>
        <v>0.09</v>
      </c>
      <c r="N572">
        <f>Earnings!B572*(1+M572)</f>
        <v>877501.75320000004</v>
      </c>
    </row>
    <row r="573" spans="1:14" x14ac:dyDescent="0.35">
      <c r="A573" t="s">
        <v>603</v>
      </c>
      <c r="B573" t="s">
        <v>14</v>
      </c>
      <c r="C573" t="s">
        <v>20</v>
      </c>
      <c r="D573" t="s">
        <v>16</v>
      </c>
      <c r="E573">
        <v>7</v>
      </c>
      <c r="F573" t="s">
        <v>22</v>
      </c>
      <c r="G573">
        <f>Earnings!G573</f>
        <v>856285.35</v>
      </c>
      <c r="H573">
        <f>Deductions!B573+Deductions!C573+Deductions!D573+Tax!D573</f>
        <v>9779.3233333333337</v>
      </c>
      <c r="I573">
        <f t="shared" si="24"/>
        <v>959837.91106666659</v>
      </c>
      <c r="J573">
        <f>Overtime!D573</f>
        <v>113331.88440000001</v>
      </c>
      <c r="K573">
        <f t="shared" si="25"/>
        <v>0.1</v>
      </c>
      <c r="L573">
        <f>IF(Performance!E573&lt;=1.5,0.01,IF(Performance!E573&lt;=2,0.02,IF(Performance!E573&lt;=3,0.03,"")))</f>
        <v>0.01</v>
      </c>
      <c r="M573">
        <f t="shared" si="26"/>
        <v>0.11</v>
      </c>
      <c r="N573">
        <f>Earnings!B573*(1+M573)</f>
        <v>998399.93400000012</v>
      </c>
    </row>
    <row r="574" spans="1:14" x14ac:dyDescent="0.35">
      <c r="A574" t="s">
        <v>604</v>
      </c>
      <c r="B574" t="s">
        <v>14</v>
      </c>
      <c r="C574" t="s">
        <v>43</v>
      </c>
      <c r="D574" t="s">
        <v>16</v>
      </c>
      <c r="E574">
        <v>5.0999999999999996</v>
      </c>
      <c r="F574" t="s">
        <v>27</v>
      </c>
      <c r="G574">
        <f>Earnings!G574</f>
        <v>728980.77</v>
      </c>
      <c r="H574">
        <f>Deductions!B574+Deductions!C574+Deductions!D574+Tax!D574</f>
        <v>7610.6016666666665</v>
      </c>
      <c r="I574">
        <f t="shared" si="24"/>
        <v>910124.11698333337</v>
      </c>
      <c r="J574">
        <f>Overtime!D574</f>
        <v>188753.94864999998</v>
      </c>
      <c r="K574">
        <f t="shared" si="25"/>
        <v>0.12</v>
      </c>
      <c r="L574">
        <f>IF(Performance!E574&lt;=1.5,0.01,IF(Performance!E574&lt;=2,0.02,IF(Performance!E574&lt;=3,0.03,"")))</f>
        <v>0.01</v>
      </c>
      <c r="M574">
        <f t="shared" si="26"/>
        <v>0.13</v>
      </c>
      <c r="N574">
        <f>Earnings!B574*(1+M574)</f>
        <v>865281.79299999995</v>
      </c>
    </row>
    <row r="575" spans="1:14" x14ac:dyDescent="0.35">
      <c r="A575" t="s">
        <v>605</v>
      </c>
      <c r="B575" t="s">
        <v>29</v>
      </c>
      <c r="C575" t="s">
        <v>15</v>
      </c>
      <c r="D575" t="s">
        <v>16</v>
      </c>
      <c r="E575">
        <v>0</v>
      </c>
      <c r="F575" t="s">
        <v>27</v>
      </c>
      <c r="G575">
        <f>Earnings!G575</f>
        <v>832364.06</v>
      </c>
      <c r="H575">
        <f>Deductions!B575+Deductions!C575+Deductions!D575+Tax!D575</f>
        <v>9280.5333333333328</v>
      </c>
      <c r="I575">
        <f t="shared" si="24"/>
        <v>949861.66666666674</v>
      </c>
      <c r="J575">
        <f>Overtime!D575</f>
        <v>126778.14</v>
      </c>
      <c r="K575">
        <f t="shared" si="25"/>
        <v>0.06</v>
      </c>
      <c r="L575">
        <f>IF(Performance!E575&lt;=1.5,0.01,IF(Performance!E575&lt;=2,0.02,IF(Performance!E575&lt;=3,0.03,"")))</f>
        <v>0.02</v>
      </c>
      <c r="M575">
        <f t="shared" si="26"/>
        <v>0.08</v>
      </c>
      <c r="N575">
        <f>Earnings!B575*(1+M575)</f>
        <v>944278.56</v>
      </c>
    </row>
    <row r="576" spans="1:14" x14ac:dyDescent="0.35">
      <c r="A576" t="s">
        <v>606</v>
      </c>
      <c r="B576" t="s">
        <v>35</v>
      </c>
      <c r="C576" t="s">
        <v>20</v>
      </c>
      <c r="D576" t="s">
        <v>16</v>
      </c>
      <c r="E576">
        <v>8.4</v>
      </c>
      <c r="F576" t="s">
        <v>24</v>
      </c>
      <c r="G576">
        <f>Earnings!G576</f>
        <v>1107668.76</v>
      </c>
      <c r="H576">
        <f>Deductions!B576+Deductions!C576+Deductions!D576+Tax!D576</f>
        <v>15542.940000000002</v>
      </c>
      <c r="I576">
        <f t="shared" si="24"/>
        <v>1140993.5592</v>
      </c>
      <c r="J576">
        <f>Overtime!D576</f>
        <v>48867.739199999996</v>
      </c>
      <c r="K576">
        <f t="shared" si="25"/>
        <v>0.1</v>
      </c>
      <c r="L576">
        <f>IF(Performance!E576&lt;=1.5,0.01,IF(Performance!E576&lt;=2,0.02,IF(Performance!E576&lt;=3,0.03,"")))</f>
        <v>0.01</v>
      </c>
      <c r="M576">
        <f t="shared" si="26"/>
        <v>0.11</v>
      </c>
      <c r="N576">
        <f>Earnings!B576*(1+M576)</f>
        <v>1291504.5360000003</v>
      </c>
    </row>
    <row r="577" spans="1:14" x14ac:dyDescent="0.35">
      <c r="A577" t="s">
        <v>607</v>
      </c>
      <c r="B577" t="s">
        <v>35</v>
      </c>
      <c r="C577" t="s">
        <v>43</v>
      </c>
      <c r="D577" t="s">
        <v>21</v>
      </c>
      <c r="E577">
        <v>18.7</v>
      </c>
      <c r="F577" t="s">
        <v>37</v>
      </c>
      <c r="G577">
        <f>Earnings!G577</f>
        <v>1702971.27</v>
      </c>
      <c r="H577">
        <f>Deductions!B577+Deductions!C577+Deductions!D577+Tax!D577</f>
        <v>31235.884250000003</v>
      </c>
      <c r="I577">
        <f t="shared" si="24"/>
        <v>1671735.3857499999</v>
      </c>
      <c r="J577">
        <f>Overtime!D577</f>
        <v>0</v>
      </c>
      <c r="K577">
        <f t="shared" si="25"/>
        <v>0.12</v>
      </c>
      <c r="L577">
        <f>IF(Performance!E577&lt;=1.5,0.01,IF(Performance!E577&lt;=2,0.02,IF(Performance!E577&lt;=3,0.03,"")))</f>
        <v>0.01</v>
      </c>
      <c r="M577">
        <f t="shared" si="26"/>
        <v>0.13</v>
      </c>
      <c r="N577">
        <f>Earnings!B577*(1+M577)</f>
        <v>2021383.9680999999</v>
      </c>
    </row>
    <row r="578" spans="1:14" x14ac:dyDescent="0.35">
      <c r="A578" t="s">
        <v>608</v>
      </c>
      <c r="B578" t="s">
        <v>19</v>
      </c>
      <c r="C578" t="s">
        <v>43</v>
      </c>
      <c r="D578" t="s">
        <v>16</v>
      </c>
      <c r="E578">
        <v>1.7</v>
      </c>
      <c r="F578" t="s">
        <v>31</v>
      </c>
      <c r="G578">
        <f>Earnings!G578</f>
        <v>830261.86</v>
      </c>
      <c r="H578">
        <f>Deductions!B578+Deductions!C578+Deductions!D578+Tax!D578</f>
        <v>9383.73</v>
      </c>
      <c r="I578">
        <f t="shared" ref="I578:I641" si="27">G578-H578+J578</f>
        <v>1013617.4898000001</v>
      </c>
      <c r="J578">
        <f>Overtime!D578</f>
        <v>192739.35980000003</v>
      </c>
      <c r="K578">
        <f t="shared" ref="K578:K641" si="28">IF(C578="Junior",0.06,IF(C578="Mid",0.08,IF(C578="Senior",0.1,IF(C578="Manager",0.12,0))))</f>
        <v>0.12</v>
      </c>
      <c r="L578">
        <f>IF(Performance!E578&lt;=1.5,0.01,IF(Performance!E578&lt;=2,0.02,IF(Performance!E578&lt;=3,0.03,"")))</f>
        <v>0.03</v>
      </c>
      <c r="M578">
        <f t="shared" ref="M578:M641" si="29">K578+L578</f>
        <v>0.15</v>
      </c>
      <c r="N578">
        <f>Earnings!B578*(1+M578)</f>
        <v>1002942.37</v>
      </c>
    </row>
    <row r="579" spans="1:14" x14ac:dyDescent="0.35">
      <c r="A579" t="s">
        <v>609</v>
      </c>
      <c r="B579" t="s">
        <v>35</v>
      </c>
      <c r="C579" t="s">
        <v>33</v>
      </c>
      <c r="D579" t="s">
        <v>21</v>
      </c>
      <c r="E579">
        <v>2.4</v>
      </c>
      <c r="F579" t="s">
        <v>17</v>
      </c>
      <c r="G579">
        <f>Earnings!G579</f>
        <v>837382.51</v>
      </c>
      <c r="H579">
        <f>Deductions!B579+Deductions!C579+Deductions!D579+Tax!D579</f>
        <v>9408.391333333333</v>
      </c>
      <c r="I579">
        <f t="shared" si="27"/>
        <v>938804.15651666664</v>
      </c>
      <c r="J579">
        <f>Overtime!D579</f>
        <v>110830.03785000001</v>
      </c>
      <c r="K579">
        <f t="shared" si="28"/>
        <v>0.08</v>
      </c>
      <c r="L579">
        <f>IF(Performance!E579&lt;=1.5,0.01,IF(Performance!E579&lt;=2,0.02,IF(Performance!E579&lt;=3,0.03,"")))</f>
        <v>0.01</v>
      </c>
      <c r="M579">
        <f t="shared" si="29"/>
        <v>0.09</v>
      </c>
      <c r="N579">
        <f>Earnings!B579*(1+M579)</f>
        <v>958767.79320000007</v>
      </c>
    </row>
    <row r="580" spans="1:14" x14ac:dyDescent="0.35">
      <c r="A580" t="s">
        <v>610</v>
      </c>
      <c r="B580" t="s">
        <v>14</v>
      </c>
      <c r="C580" t="s">
        <v>15</v>
      </c>
      <c r="D580" t="s">
        <v>21</v>
      </c>
      <c r="E580">
        <v>3</v>
      </c>
      <c r="F580" t="s">
        <v>27</v>
      </c>
      <c r="G580">
        <f>Earnings!G580</f>
        <v>589866.86</v>
      </c>
      <c r="H580">
        <f>Deductions!B580+Deductions!C580+Deductions!D580+Tax!D580</f>
        <v>5035.1341666666685</v>
      </c>
      <c r="I580">
        <f t="shared" si="27"/>
        <v>584831.72583333333</v>
      </c>
      <c r="J580">
        <f>Overtime!D580</f>
        <v>0</v>
      </c>
      <c r="K580">
        <f t="shared" si="28"/>
        <v>0.06</v>
      </c>
      <c r="L580">
        <f>IF(Performance!E580&lt;=1.5,0.01,IF(Performance!E580&lt;=2,0.02,IF(Performance!E580&lt;=3,0.03,"")))</f>
        <v>0.01</v>
      </c>
      <c r="M580">
        <f t="shared" si="29"/>
        <v>6.9999999999999993E-2</v>
      </c>
      <c r="N580">
        <f>Earnings!B580*(1+M580)</f>
        <v>662980.61350000009</v>
      </c>
    </row>
    <row r="581" spans="1:14" x14ac:dyDescent="0.35">
      <c r="A581" t="s">
        <v>611</v>
      </c>
      <c r="B581" t="s">
        <v>29</v>
      </c>
      <c r="C581" t="s">
        <v>15</v>
      </c>
      <c r="D581" t="s">
        <v>16</v>
      </c>
      <c r="E581">
        <v>1</v>
      </c>
      <c r="F581" t="s">
        <v>31</v>
      </c>
      <c r="G581">
        <f>Earnings!G581</f>
        <v>892037.33</v>
      </c>
      <c r="H581">
        <f>Deductions!B581+Deductions!C581+Deductions!D581+Tax!D581</f>
        <v>10325.233333333334</v>
      </c>
      <c r="I581">
        <f t="shared" si="27"/>
        <v>1003523.9166666666</v>
      </c>
      <c r="J581">
        <f>Overtime!D581</f>
        <v>121811.81999999999</v>
      </c>
      <c r="K581">
        <f t="shared" si="28"/>
        <v>0.06</v>
      </c>
      <c r="L581">
        <f>IF(Performance!E581&lt;=1.5,0.01,IF(Performance!E581&lt;=2,0.02,IF(Performance!E581&lt;=3,0.03,"")))</f>
        <v>0.02</v>
      </c>
      <c r="M581">
        <f t="shared" si="29"/>
        <v>0.08</v>
      </c>
      <c r="N581">
        <f>Earnings!B581*(1+M581)</f>
        <v>1011975.1200000001</v>
      </c>
    </row>
    <row r="582" spans="1:14" x14ac:dyDescent="0.35">
      <c r="A582" t="s">
        <v>612</v>
      </c>
      <c r="B582" t="s">
        <v>29</v>
      </c>
      <c r="C582" t="s">
        <v>43</v>
      </c>
      <c r="D582" t="s">
        <v>21</v>
      </c>
      <c r="E582">
        <v>10.199999999999999</v>
      </c>
      <c r="F582" t="s">
        <v>22</v>
      </c>
      <c r="G582">
        <f>Earnings!G582</f>
        <v>1887613.4</v>
      </c>
      <c r="H582">
        <f>Deductions!B582+Deductions!C582+Deductions!D582+Tax!D582</f>
        <v>36084.679499999998</v>
      </c>
      <c r="I582">
        <f t="shared" si="27"/>
        <v>2070626.7033374999</v>
      </c>
      <c r="J582">
        <f>Overtime!D582</f>
        <v>219097.98283749999</v>
      </c>
      <c r="K582">
        <f t="shared" si="28"/>
        <v>0.12</v>
      </c>
      <c r="L582">
        <f>IF(Performance!E582&lt;=1.5,0.01,IF(Performance!E582&lt;=2,0.02,IF(Performance!E582&lt;=3,0.03,"")))</f>
        <v>0.02</v>
      </c>
      <c r="M582">
        <f t="shared" si="29"/>
        <v>0.13999999999999999</v>
      </c>
      <c r="N582">
        <f>Earnings!B582*(1+M582)</f>
        <v>2260377.3851999999</v>
      </c>
    </row>
    <row r="583" spans="1:14" x14ac:dyDescent="0.35">
      <c r="A583" t="s">
        <v>613</v>
      </c>
      <c r="B583" t="s">
        <v>35</v>
      </c>
      <c r="C583" t="s">
        <v>15</v>
      </c>
      <c r="D583" t="s">
        <v>16</v>
      </c>
      <c r="E583">
        <v>3</v>
      </c>
      <c r="F583" t="s">
        <v>31</v>
      </c>
      <c r="G583">
        <f>Earnings!G583</f>
        <v>741909.78</v>
      </c>
      <c r="H583">
        <f>Deductions!B583+Deductions!C583+Deductions!D583+Tax!D583</f>
        <v>7696.95</v>
      </c>
      <c r="I583">
        <f t="shared" si="27"/>
        <v>757592.34000000008</v>
      </c>
      <c r="J583">
        <f>Overtime!D583</f>
        <v>23379.510000000002</v>
      </c>
      <c r="K583">
        <f t="shared" si="28"/>
        <v>0.06</v>
      </c>
      <c r="L583">
        <f>IF(Performance!E583&lt;=1.5,0.01,IF(Performance!E583&lt;=2,0.02,IF(Performance!E583&lt;=3,0.03,"")))</f>
        <v>0.01</v>
      </c>
      <c r="M583">
        <f t="shared" si="29"/>
        <v>6.9999999999999993E-2</v>
      </c>
      <c r="N583">
        <f>Earnings!B583*(1+M583)</f>
        <v>833869.19000000006</v>
      </c>
    </row>
    <row r="584" spans="1:14" x14ac:dyDescent="0.35">
      <c r="A584" t="s">
        <v>614</v>
      </c>
      <c r="B584" t="s">
        <v>14</v>
      </c>
      <c r="C584" t="s">
        <v>43</v>
      </c>
      <c r="D584" t="s">
        <v>16</v>
      </c>
      <c r="E584">
        <v>20.399999999999999</v>
      </c>
      <c r="F584" t="s">
        <v>44</v>
      </c>
      <c r="G584">
        <f>Earnings!G584</f>
        <v>1495522.98</v>
      </c>
      <c r="H584">
        <f>Deductions!B584+Deductions!C584+Deductions!D584+Tax!D584</f>
        <v>25788.1875</v>
      </c>
      <c r="I584">
        <f t="shared" si="27"/>
        <v>1469734.7925</v>
      </c>
      <c r="J584">
        <f>Overtime!D584</f>
        <v>0</v>
      </c>
      <c r="K584">
        <f t="shared" si="28"/>
        <v>0.12</v>
      </c>
      <c r="L584">
        <f>IF(Performance!E584&lt;=1.5,0.01,IF(Performance!E584&lt;=2,0.02,IF(Performance!E584&lt;=3,0.03,"")))</f>
        <v>0.01</v>
      </c>
      <c r="M584">
        <f t="shared" si="29"/>
        <v>0.13</v>
      </c>
      <c r="N584">
        <f>Earnings!B584*(1+M584)</f>
        <v>1775148.0749999997</v>
      </c>
    </row>
    <row r="585" spans="1:14" x14ac:dyDescent="0.35">
      <c r="A585" t="s">
        <v>615</v>
      </c>
      <c r="B585" t="s">
        <v>19</v>
      </c>
      <c r="C585" t="s">
        <v>43</v>
      </c>
      <c r="D585" t="s">
        <v>16</v>
      </c>
      <c r="E585">
        <v>5.0999999999999996</v>
      </c>
      <c r="F585" t="s">
        <v>70</v>
      </c>
      <c r="G585">
        <f>Earnings!G585</f>
        <v>1139366.55</v>
      </c>
      <c r="H585">
        <f>Deductions!B585+Deductions!C585+Deductions!D585+Tax!D585</f>
        <v>16435.340000000004</v>
      </c>
      <c r="I585">
        <f t="shared" si="27"/>
        <v>1122931.21</v>
      </c>
      <c r="J585">
        <f>Overtime!D585</f>
        <v>0</v>
      </c>
      <c r="K585">
        <f t="shared" si="28"/>
        <v>0.12</v>
      </c>
      <c r="L585">
        <f>IF(Performance!E585&lt;=1.5,0.01,IF(Performance!E585&lt;=2,0.02,IF(Performance!E585&lt;=3,0.03,"")))</f>
        <v>0.03</v>
      </c>
      <c r="M585">
        <f t="shared" si="29"/>
        <v>0.15</v>
      </c>
      <c r="N585">
        <f>Earnings!B585*(1+M585)</f>
        <v>1376335.64</v>
      </c>
    </row>
    <row r="586" spans="1:14" x14ac:dyDescent="0.35">
      <c r="A586" t="s">
        <v>616</v>
      </c>
      <c r="B586" t="s">
        <v>19</v>
      </c>
      <c r="C586" t="s">
        <v>20</v>
      </c>
      <c r="D586" t="s">
        <v>16</v>
      </c>
      <c r="E586">
        <v>15.4</v>
      </c>
      <c r="F586" t="s">
        <v>44</v>
      </c>
      <c r="G586">
        <f>Earnings!G586</f>
        <v>1044608.66</v>
      </c>
      <c r="H586">
        <f>Deductions!B586+Deductions!C586+Deductions!D586+Tax!D586</f>
        <v>13886.949999999999</v>
      </c>
      <c r="I586">
        <f t="shared" si="27"/>
        <v>1030721.7100000001</v>
      </c>
      <c r="J586">
        <f>Overtime!D586</f>
        <v>0</v>
      </c>
      <c r="K586">
        <f t="shared" si="28"/>
        <v>0.1</v>
      </c>
      <c r="L586">
        <f>IF(Performance!E586&lt;=1.5,0.01,IF(Performance!E586&lt;=2,0.02,IF(Performance!E586&lt;=3,0.03,"")))</f>
        <v>0.03</v>
      </c>
      <c r="M586">
        <f t="shared" si="29"/>
        <v>0.13</v>
      </c>
      <c r="N586">
        <f>Earnings!B586*(1+M586)</f>
        <v>1239924.1399999999</v>
      </c>
    </row>
    <row r="587" spans="1:14" x14ac:dyDescent="0.35">
      <c r="A587" t="s">
        <v>617</v>
      </c>
      <c r="B587" t="s">
        <v>35</v>
      </c>
      <c r="C587" t="s">
        <v>20</v>
      </c>
      <c r="D587" t="s">
        <v>16</v>
      </c>
      <c r="E587">
        <v>11.2</v>
      </c>
      <c r="F587" t="s">
        <v>70</v>
      </c>
      <c r="G587">
        <f>Earnings!G587</f>
        <v>1265834.8</v>
      </c>
      <c r="H587">
        <f>Deductions!B587+Deductions!C587+Deductions!D587+Tax!D587</f>
        <v>19696.459999999995</v>
      </c>
      <c r="I587">
        <f t="shared" si="27"/>
        <v>1246138.3400000001</v>
      </c>
      <c r="J587">
        <f>Overtime!D587</f>
        <v>0</v>
      </c>
      <c r="K587">
        <f t="shared" si="28"/>
        <v>0.1</v>
      </c>
      <c r="L587">
        <f>IF(Performance!E587&lt;=1.5,0.01,IF(Performance!E587&lt;=2,0.02,IF(Performance!E587&lt;=3,0.03,"")))</f>
        <v>0.01</v>
      </c>
      <c r="M587">
        <f t="shared" si="29"/>
        <v>0.11</v>
      </c>
      <c r="N587">
        <f>Earnings!B587*(1+M587)</f>
        <v>1475920.824</v>
      </c>
    </row>
    <row r="588" spans="1:14" x14ac:dyDescent="0.35">
      <c r="A588" t="s">
        <v>618</v>
      </c>
      <c r="B588" t="s">
        <v>14</v>
      </c>
      <c r="C588" t="s">
        <v>15</v>
      </c>
      <c r="D588" t="s">
        <v>21</v>
      </c>
      <c r="E588">
        <v>5</v>
      </c>
      <c r="F588" t="s">
        <v>37</v>
      </c>
      <c r="G588">
        <f>Earnings!G588</f>
        <v>624049.56999999995</v>
      </c>
      <c r="H588">
        <f>Deductions!B588+Deductions!C588+Deductions!D588+Tax!D588</f>
        <v>5633.5708333333332</v>
      </c>
      <c r="I588">
        <f t="shared" si="27"/>
        <v>634803.8554166666</v>
      </c>
      <c r="J588">
        <f>Overtime!D588</f>
        <v>16387.856250000001</v>
      </c>
      <c r="K588">
        <f t="shared" si="28"/>
        <v>0.06</v>
      </c>
      <c r="L588">
        <f>IF(Performance!E588&lt;=1.5,0.01,IF(Performance!E588&lt;=2,0.02,IF(Performance!E588&lt;=3,0.03,"")))</f>
        <v>0.01</v>
      </c>
      <c r="M588">
        <f t="shared" si="29"/>
        <v>6.9999999999999993E-2</v>
      </c>
      <c r="N588">
        <f>Earnings!B588*(1+M588)</f>
        <v>701400.24750000006</v>
      </c>
    </row>
    <row r="589" spans="1:14" x14ac:dyDescent="0.35">
      <c r="A589" t="s">
        <v>619</v>
      </c>
      <c r="B589" t="s">
        <v>14</v>
      </c>
      <c r="C589" t="s">
        <v>15</v>
      </c>
      <c r="D589" t="s">
        <v>16</v>
      </c>
      <c r="E589">
        <v>1</v>
      </c>
      <c r="F589" t="s">
        <v>22</v>
      </c>
      <c r="G589">
        <f>Earnings!G589</f>
        <v>471411.36</v>
      </c>
      <c r="H589">
        <f>Deductions!B589+Deductions!C589+Deductions!D589+Tax!D589</f>
        <v>3021.5833333333335</v>
      </c>
      <c r="I589">
        <f t="shared" si="27"/>
        <v>500576.47666666668</v>
      </c>
      <c r="J589">
        <f>Overtime!D589</f>
        <v>32186.7</v>
      </c>
      <c r="K589">
        <f t="shared" si="28"/>
        <v>0.06</v>
      </c>
      <c r="L589">
        <f>IF(Performance!E589&lt;=1.5,0.01,IF(Performance!E589&lt;=2,0.02,IF(Performance!E589&lt;=3,0.03,"")))</f>
        <v>0.01</v>
      </c>
      <c r="M589">
        <f t="shared" si="29"/>
        <v>6.9999999999999993E-2</v>
      </c>
      <c r="N589">
        <f>Earnings!B589*(1+M589)</f>
        <v>529842.6</v>
      </c>
    </row>
    <row r="590" spans="1:14" x14ac:dyDescent="0.35">
      <c r="A590" t="s">
        <v>620</v>
      </c>
      <c r="B590" t="s">
        <v>19</v>
      </c>
      <c r="C590" t="s">
        <v>43</v>
      </c>
      <c r="D590" t="s">
        <v>21</v>
      </c>
      <c r="E590">
        <v>18.7</v>
      </c>
      <c r="F590" t="s">
        <v>70</v>
      </c>
      <c r="G590">
        <f>Earnings!G590</f>
        <v>1851939.25</v>
      </c>
      <c r="H590">
        <f>Deductions!B590+Deductions!C590+Deductions!D590+Tax!D590</f>
        <v>35147.858249999997</v>
      </c>
      <c r="I590">
        <f t="shared" si="27"/>
        <v>1998678.2811375</v>
      </c>
      <c r="J590">
        <f>Overtime!D590</f>
        <v>181886.88938750001</v>
      </c>
      <c r="K590">
        <f t="shared" si="28"/>
        <v>0.12</v>
      </c>
      <c r="L590">
        <f>IF(Performance!E590&lt;=1.5,0.01,IF(Performance!E590&lt;=2,0.02,IF(Performance!E590&lt;=3,0.03,"")))</f>
        <v>0.03</v>
      </c>
      <c r="M590">
        <f t="shared" si="29"/>
        <v>0.15</v>
      </c>
      <c r="N590">
        <f>Earnings!B590*(1+M590)</f>
        <v>2237111.4794999999</v>
      </c>
    </row>
    <row r="591" spans="1:14" x14ac:dyDescent="0.35">
      <c r="A591" t="s">
        <v>621</v>
      </c>
      <c r="B591" t="s">
        <v>14</v>
      </c>
      <c r="C591" t="s">
        <v>33</v>
      </c>
      <c r="D591" t="s">
        <v>16</v>
      </c>
      <c r="E591">
        <v>0</v>
      </c>
      <c r="F591" t="s">
        <v>27</v>
      </c>
      <c r="G591">
        <f>Earnings!G591</f>
        <v>651940.26</v>
      </c>
      <c r="H591">
        <f>Deductions!B591+Deductions!C591+Deductions!D591+Tax!D591</f>
        <v>6161.8533333333326</v>
      </c>
      <c r="I591">
        <f t="shared" si="27"/>
        <v>715629.14906666672</v>
      </c>
      <c r="J591">
        <f>Overtime!D591</f>
        <v>69850.742399999988</v>
      </c>
      <c r="K591">
        <f t="shared" si="28"/>
        <v>0.08</v>
      </c>
      <c r="L591">
        <f>IF(Performance!E591&lt;=1.5,0.01,IF(Performance!E591&lt;=2,0.02,IF(Performance!E591&lt;=3,0.03,"")))</f>
        <v>0.01</v>
      </c>
      <c r="M591">
        <f t="shared" si="29"/>
        <v>0.09</v>
      </c>
      <c r="N591">
        <f>Earnings!B591*(1+M591)</f>
        <v>746444.20799999998</v>
      </c>
    </row>
    <row r="592" spans="1:14" x14ac:dyDescent="0.35">
      <c r="A592" t="s">
        <v>622</v>
      </c>
      <c r="B592" t="s">
        <v>14</v>
      </c>
      <c r="C592" t="s">
        <v>43</v>
      </c>
      <c r="D592" t="s">
        <v>16</v>
      </c>
      <c r="E592">
        <v>6.8</v>
      </c>
      <c r="F592" t="s">
        <v>24</v>
      </c>
      <c r="G592">
        <f>Earnings!G592</f>
        <v>1003003.4</v>
      </c>
      <c r="H592">
        <f>Deductions!B592+Deductions!C592+Deductions!D592+Tax!D592</f>
        <v>12854.375</v>
      </c>
      <c r="I592">
        <f t="shared" si="27"/>
        <v>1133435.2250000001</v>
      </c>
      <c r="J592">
        <f>Overtime!D592</f>
        <v>143286.19999999998</v>
      </c>
      <c r="K592">
        <f t="shared" si="28"/>
        <v>0.12</v>
      </c>
      <c r="L592">
        <f>IF(Performance!E592&lt;=1.5,0.01,IF(Performance!E592&lt;=2,0.02,IF(Performance!E592&lt;=3,0.03,"")))</f>
        <v>0.01</v>
      </c>
      <c r="M592">
        <f t="shared" si="29"/>
        <v>0.13</v>
      </c>
      <c r="N592">
        <f>Earnings!B592*(1+M592)</f>
        <v>1190539.75</v>
      </c>
    </row>
    <row r="593" spans="1:14" x14ac:dyDescent="0.35">
      <c r="A593" t="s">
        <v>623</v>
      </c>
      <c r="B593" t="s">
        <v>19</v>
      </c>
      <c r="C593" t="s">
        <v>20</v>
      </c>
      <c r="D593" t="s">
        <v>16</v>
      </c>
      <c r="E593">
        <v>18.2</v>
      </c>
      <c r="F593" t="s">
        <v>31</v>
      </c>
      <c r="G593">
        <f>Earnings!G593</f>
        <v>1584871.13</v>
      </c>
      <c r="H593">
        <f>Deductions!B593+Deductions!C593+Deductions!D593+Tax!D593</f>
        <v>28074.515000000003</v>
      </c>
      <c r="I593">
        <f t="shared" si="27"/>
        <v>1556796.615</v>
      </c>
      <c r="J593">
        <f>Overtime!D593</f>
        <v>0</v>
      </c>
      <c r="K593">
        <f t="shared" si="28"/>
        <v>0.1</v>
      </c>
      <c r="L593">
        <f>IF(Performance!E593&lt;=1.5,0.01,IF(Performance!E593&lt;=2,0.02,IF(Performance!E593&lt;=3,0.03,"")))</f>
        <v>0.03</v>
      </c>
      <c r="M593">
        <f t="shared" si="29"/>
        <v>0.13</v>
      </c>
      <c r="N593">
        <f>Earnings!B593*(1+M593)</f>
        <v>1881202.078</v>
      </c>
    </row>
    <row r="594" spans="1:14" x14ac:dyDescent="0.35">
      <c r="A594" t="s">
        <v>624</v>
      </c>
      <c r="B594" t="s">
        <v>35</v>
      </c>
      <c r="C594" t="s">
        <v>20</v>
      </c>
      <c r="D594" t="s">
        <v>21</v>
      </c>
      <c r="E594">
        <v>16.8</v>
      </c>
      <c r="F594" t="s">
        <v>27</v>
      </c>
      <c r="G594">
        <f>Earnings!G594</f>
        <v>1682662.07</v>
      </c>
      <c r="H594">
        <f>Deductions!B594+Deductions!C594+Deductions!D594+Tax!D594</f>
        <v>30642.554249999997</v>
      </c>
      <c r="I594">
        <f t="shared" si="27"/>
        <v>2023194.9725000001</v>
      </c>
      <c r="J594">
        <f>Overtime!D594</f>
        <v>371175.45675000001</v>
      </c>
      <c r="K594">
        <f t="shared" si="28"/>
        <v>0.1</v>
      </c>
      <c r="L594">
        <f>IF(Performance!E594&lt;=1.5,0.01,IF(Performance!E594&lt;=2,0.02,IF(Performance!E594&lt;=3,0.03,"")))</f>
        <v>0.01</v>
      </c>
      <c r="M594">
        <f t="shared" si="29"/>
        <v>0.11</v>
      </c>
      <c r="N594">
        <f>Earnings!B594*(1+M594)</f>
        <v>1961927.4087</v>
      </c>
    </row>
    <row r="595" spans="1:14" x14ac:dyDescent="0.35">
      <c r="A595" t="s">
        <v>625</v>
      </c>
      <c r="B595" t="s">
        <v>14</v>
      </c>
      <c r="C595" t="s">
        <v>43</v>
      </c>
      <c r="D595" t="s">
        <v>21</v>
      </c>
      <c r="E595">
        <v>1.7</v>
      </c>
      <c r="F595" t="s">
        <v>70</v>
      </c>
      <c r="G595">
        <f>Earnings!G595</f>
        <v>964265.94</v>
      </c>
      <c r="H595">
        <f>Deductions!B595+Deductions!C595+Deductions!D595+Tax!D595</f>
        <v>11837.109750000001</v>
      </c>
      <c r="I595">
        <f t="shared" si="27"/>
        <v>952428.83025</v>
      </c>
      <c r="J595">
        <f>Overtime!D595</f>
        <v>0</v>
      </c>
      <c r="K595">
        <f t="shared" si="28"/>
        <v>0.12</v>
      </c>
      <c r="L595">
        <f>IF(Performance!E595&lt;=1.5,0.01,IF(Performance!E595&lt;=2,0.02,IF(Performance!E595&lt;=3,0.03,"")))</f>
        <v>0.01</v>
      </c>
      <c r="M595">
        <f t="shared" si="29"/>
        <v>0.13</v>
      </c>
      <c r="N595">
        <f>Earnings!B595*(1+M595)</f>
        <v>1144559.3606999998</v>
      </c>
    </row>
    <row r="596" spans="1:14" x14ac:dyDescent="0.35">
      <c r="A596" t="s">
        <v>626</v>
      </c>
      <c r="B596" t="s">
        <v>26</v>
      </c>
      <c r="C596" t="s">
        <v>20</v>
      </c>
      <c r="D596" t="s">
        <v>21</v>
      </c>
      <c r="E596">
        <v>1.4</v>
      </c>
      <c r="F596" t="s">
        <v>22</v>
      </c>
      <c r="G596">
        <f>Earnings!G596</f>
        <v>691769.05</v>
      </c>
      <c r="H596">
        <f>Deductions!B596+Deductions!C596+Deductions!D596+Tax!D596</f>
        <v>6899.1360000000013</v>
      </c>
      <c r="I596">
        <f t="shared" si="27"/>
        <v>812033.34025000001</v>
      </c>
      <c r="J596">
        <f>Overtime!D596</f>
        <v>127163.42625</v>
      </c>
      <c r="K596">
        <f t="shared" si="28"/>
        <v>0.1</v>
      </c>
      <c r="L596">
        <f>IF(Performance!E596&lt;=1.5,0.01,IF(Performance!E596&lt;=2,0.02,IF(Performance!E596&lt;=3,0.03,"")))</f>
        <v>0.01</v>
      </c>
      <c r="M596">
        <f t="shared" si="29"/>
        <v>0.11</v>
      </c>
      <c r="N596">
        <f>Earnings!B596*(1+M596)</f>
        <v>806579.45760000008</v>
      </c>
    </row>
    <row r="597" spans="1:14" x14ac:dyDescent="0.35">
      <c r="A597" t="s">
        <v>627</v>
      </c>
      <c r="B597" t="s">
        <v>19</v>
      </c>
      <c r="C597" t="s">
        <v>33</v>
      </c>
      <c r="D597" t="s">
        <v>21</v>
      </c>
      <c r="E597">
        <v>13.2</v>
      </c>
      <c r="F597" t="s">
        <v>24</v>
      </c>
      <c r="G597">
        <f>Earnings!G597</f>
        <v>936610.75</v>
      </c>
      <c r="H597">
        <f>Deductions!B597+Deductions!C597+Deductions!D597+Tax!D597</f>
        <v>11145.580333333333</v>
      </c>
      <c r="I597">
        <f t="shared" si="27"/>
        <v>1061234.3755166666</v>
      </c>
      <c r="J597">
        <f>Overtime!D597</f>
        <v>135769.20585</v>
      </c>
      <c r="K597">
        <f t="shared" si="28"/>
        <v>0.08</v>
      </c>
      <c r="L597">
        <f>IF(Performance!E597&lt;=1.5,0.01,IF(Performance!E597&lt;=2,0.02,IF(Performance!E597&lt;=3,0.03,"")))</f>
        <v>0.03</v>
      </c>
      <c r="M597">
        <f t="shared" si="29"/>
        <v>0.11</v>
      </c>
      <c r="N597">
        <f>Earnings!B597*(1+M597)</f>
        <v>1092056.6502</v>
      </c>
    </row>
    <row r="598" spans="1:14" x14ac:dyDescent="0.35">
      <c r="A598" t="s">
        <v>628</v>
      </c>
      <c r="B598" t="s">
        <v>29</v>
      </c>
      <c r="C598" t="s">
        <v>20</v>
      </c>
      <c r="D598" t="s">
        <v>21</v>
      </c>
      <c r="E598">
        <v>5.6</v>
      </c>
      <c r="F598" t="s">
        <v>27</v>
      </c>
      <c r="G598">
        <f>Earnings!G598</f>
        <v>1212978.75</v>
      </c>
      <c r="H598">
        <f>Deductions!B598+Deductions!C598+Deductions!D598+Tax!D598</f>
        <v>18308.433499999999</v>
      </c>
      <c r="I598">
        <f t="shared" si="27"/>
        <v>1373049.5455</v>
      </c>
      <c r="J598">
        <f>Overtime!D598</f>
        <v>178379.22899999999</v>
      </c>
      <c r="K598">
        <f t="shared" si="28"/>
        <v>0.1</v>
      </c>
      <c r="L598">
        <f>IF(Performance!E598&lt;=1.5,0.01,IF(Performance!E598&lt;=2,0.02,IF(Performance!E598&lt;=3,0.03,"")))</f>
        <v>0.02</v>
      </c>
      <c r="M598">
        <f t="shared" si="29"/>
        <v>0.12000000000000001</v>
      </c>
      <c r="N598">
        <f>Earnings!B598*(1+M598)</f>
        <v>1427033.8208000003</v>
      </c>
    </row>
    <row r="599" spans="1:14" x14ac:dyDescent="0.35">
      <c r="A599" t="s">
        <v>629</v>
      </c>
      <c r="B599" t="s">
        <v>14</v>
      </c>
      <c r="C599" t="s">
        <v>15</v>
      </c>
      <c r="D599" t="s">
        <v>21</v>
      </c>
      <c r="E599">
        <v>3</v>
      </c>
      <c r="F599" t="s">
        <v>44</v>
      </c>
      <c r="G599">
        <f>Earnings!G599</f>
        <v>497460.7</v>
      </c>
      <c r="H599">
        <f>Deductions!B599+Deductions!C599+Deductions!D599+Tax!D599</f>
        <v>3417.3791666666666</v>
      </c>
      <c r="I599">
        <f t="shared" si="27"/>
        <v>507106.88958333334</v>
      </c>
      <c r="J599">
        <f>Overtime!D599</f>
        <v>13063.568749999999</v>
      </c>
      <c r="K599">
        <f t="shared" si="28"/>
        <v>0.06</v>
      </c>
      <c r="L599">
        <f>IF(Performance!E599&lt;=1.5,0.01,IF(Performance!E599&lt;=2,0.02,IF(Performance!E599&lt;=3,0.03,"")))</f>
        <v>0.01</v>
      </c>
      <c r="M599">
        <f t="shared" si="29"/>
        <v>6.9999999999999993E-2</v>
      </c>
      <c r="N599">
        <f>Earnings!B599*(1+M599)</f>
        <v>559120.74250000005</v>
      </c>
    </row>
    <row r="600" spans="1:14" x14ac:dyDescent="0.35">
      <c r="A600" t="s">
        <v>630</v>
      </c>
      <c r="B600" t="s">
        <v>35</v>
      </c>
      <c r="C600" t="s">
        <v>20</v>
      </c>
      <c r="D600" t="s">
        <v>16</v>
      </c>
      <c r="E600">
        <v>4.2</v>
      </c>
      <c r="F600" t="s">
        <v>24</v>
      </c>
      <c r="G600">
        <f>Earnings!G600</f>
        <v>1254536.6499999999</v>
      </c>
      <c r="H600">
        <f>Deductions!B600+Deductions!C600+Deductions!D600+Tax!D600</f>
        <v>19399.765000000003</v>
      </c>
      <c r="I600">
        <f t="shared" si="27"/>
        <v>1235136.885</v>
      </c>
      <c r="J600">
        <f>Overtime!D600</f>
        <v>0</v>
      </c>
      <c r="K600">
        <f t="shared" si="28"/>
        <v>0.1</v>
      </c>
      <c r="L600">
        <f>IF(Performance!E600&lt;=1.5,0.01,IF(Performance!E600&lt;=2,0.02,IF(Performance!E600&lt;=3,0.03,"")))</f>
        <v>0.01</v>
      </c>
      <c r="M600">
        <f t="shared" si="29"/>
        <v>0.11</v>
      </c>
      <c r="N600">
        <f>Earnings!B600*(1+M600)</f>
        <v>1462747.5660000003</v>
      </c>
    </row>
    <row r="601" spans="1:14" x14ac:dyDescent="0.35">
      <c r="A601" t="s">
        <v>631</v>
      </c>
      <c r="B601" t="s">
        <v>14</v>
      </c>
      <c r="C601" t="s">
        <v>20</v>
      </c>
      <c r="D601" t="s">
        <v>21</v>
      </c>
      <c r="E601">
        <v>12.6</v>
      </c>
      <c r="F601" t="s">
        <v>17</v>
      </c>
      <c r="G601">
        <f>Earnings!G601</f>
        <v>769748.04</v>
      </c>
      <c r="H601">
        <f>Deductions!B601+Deductions!C601+Deductions!D601+Tax!D601</f>
        <v>8264.3145000000004</v>
      </c>
      <c r="I601">
        <f t="shared" si="27"/>
        <v>761483.72550000006</v>
      </c>
      <c r="J601">
        <f>Overtime!D601</f>
        <v>0</v>
      </c>
      <c r="K601">
        <f t="shared" si="28"/>
        <v>0.1</v>
      </c>
      <c r="L601">
        <f>IF(Performance!E601&lt;=1.5,0.01,IF(Performance!E601&lt;=2,0.02,IF(Performance!E601&lt;=3,0.03,"")))</f>
        <v>0.01</v>
      </c>
      <c r="M601">
        <f t="shared" si="29"/>
        <v>0.11</v>
      </c>
      <c r="N601">
        <f>Earnings!B601*(1+M601)</f>
        <v>897500.34570000006</v>
      </c>
    </row>
    <row r="602" spans="1:14" x14ac:dyDescent="0.35">
      <c r="A602" t="s">
        <v>632</v>
      </c>
      <c r="B602" t="s">
        <v>26</v>
      </c>
      <c r="C602" t="s">
        <v>15</v>
      </c>
      <c r="D602" t="s">
        <v>16</v>
      </c>
      <c r="E602">
        <v>2</v>
      </c>
      <c r="F602" t="s">
        <v>70</v>
      </c>
      <c r="G602">
        <f>Earnings!G602</f>
        <v>631032.25</v>
      </c>
      <c r="H602">
        <f>Deductions!B602+Deductions!C602+Deductions!D602+Tax!D602</f>
        <v>5755.8166666666675</v>
      </c>
      <c r="I602">
        <f t="shared" si="27"/>
        <v>674990.1083333334</v>
      </c>
      <c r="J602">
        <f>Overtime!D602</f>
        <v>49713.674999999996</v>
      </c>
      <c r="K602">
        <f t="shared" si="28"/>
        <v>0.06</v>
      </c>
      <c r="L602">
        <f>IF(Performance!E602&lt;=1.5,0.01,IF(Performance!E602&lt;=2,0.02,IF(Performance!E602&lt;=3,0.03,"")))</f>
        <v>0.01</v>
      </c>
      <c r="M602">
        <f t="shared" si="29"/>
        <v>6.9999999999999993E-2</v>
      </c>
      <c r="N602">
        <f>Earnings!B602*(1+M602)</f>
        <v>709248.43</v>
      </c>
    </row>
    <row r="603" spans="1:14" x14ac:dyDescent="0.35">
      <c r="A603" t="s">
        <v>633</v>
      </c>
      <c r="B603" t="s">
        <v>35</v>
      </c>
      <c r="C603" t="s">
        <v>43</v>
      </c>
      <c r="D603" t="s">
        <v>16</v>
      </c>
      <c r="E603">
        <v>0</v>
      </c>
      <c r="F603" t="s">
        <v>22</v>
      </c>
      <c r="G603">
        <f>Earnings!G603</f>
        <v>1260795.1000000001</v>
      </c>
      <c r="H603">
        <f>Deductions!B603+Deductions!C603+Deductions!D603+Tax!D603</f>
        <v>19624.115000000002</v>
      </c>
      <c r="I603">
        <f t="shared" si="27"/>
        <v>1410027.4715</v>
      </c>
      <c r="J603">
        <f>Overtime!D603</f>
        <v>168856.4865</v>
      </c>
      <c r="K603">
        <f t="shared" si="28"/>
        <v>0.12</v>
      </c>
      <c r="L603">
        <f>IF(Performance!E603&lt;=1.5,0.01,IF(Performance!E603&lt;=2,0.02,IF(Performance!E603&lt;=3,0.03,"")))</f>
        <v>0.01</v>
      </c>
      <c r="M603">
        <f t="shared" si="29"/>
        <v>0.13</v>
      </c>
      <c r="N603">
        <f>Earnings!B603*(1+M603)</f>
        <v>1496531.9979999999</v>
      </c>
    </row>
    <row r="604" spans="1:14" x14ac:dyDescent="0.35">
      <c r="A604" t="s">
        <v>634</v>
      </c>
      <c r="B604" t="s">
        <v>14</v>
      </c>
      <c r="C604" t="s">
        <v>33</v>
      </c>
      <c r="D604" t="s">
        <v>21</v>
      </c>
      <c r="E604">
        <v>16.8</v>
      </c>
      <c r="F604" t="s">
        <v>27</v>
      </c>
      <c r="G604">
        <f>Earnings!G604</f>
        <v>1029977.39</v>
      </c>
      <c r="H604">
        <f>Deductions!B604+Deductions!C604+Deductions!D604+Tax!D604</f>
        <v>13462.7255</v>
      </c>
      <c r="I604">
        <f t="shared" si="27"/>
        <v>1016514.6645</v>
      </c>
      <c r="J604">
        <f>Overtime!D604</f>
        <v>0</v>
      </c>
      <c r="K604">
        <f t="shared" si="28"/>
        <v>0.08</v>
      </c>
      <c r="L604">
        <f>IF(Performance!E604&lt;=1.5,0.01,IF(Performance!E604&lt;=2,0.02,IF(Performance!E604&lt;=3,0.03,"")))</f>
        <v>0.01</v>
      </c>
      <c r="M604">
        <f t="shared" si="29"/>
        <v>0.09</v>
      </c>
      <c r="N604">
        <f>Earnings!B604*(1+M604)</f>
        <v>1179280.8318</v>
      </c>
    </row>
    <row r="605" spans="1:14" x14ac:dyDescent="0.35">
      <c r="A605" t="s">
        <v>635</v>
      </c>
      <c r="B605" t="s">
        <v>14</v>
      </c>
      <c r="C605" t="s">
        <v>33</v>
      </c>
      <c r="D605" t="s">
        <v>21</v>
      </c>
      <c r="E605">
        <v>13.2</v>
      </c>
      <c r="F605" t="s">
        <v>31</v>
      </c>
      <c r="G605">
        <f>Earnings!G605</f>
        <v>937783.94</v>
      </c>
      <c r="H605">
        <f>Deductions!B605+Deductions!C605+Deductions!D605+Tax!D605</f>
        <v>11166.119333333334</v>
      </c>
      <c r="I605">
        <f t="shared" si="27"/>
        <v>1080288.2960666665</v>
      </c>
      <c r="J605">
        <f>Overtime!D605</f>
        <v>153670.4754</v>
      </c>
      <c r="K605">
        <f t="shared" si="28"/>
        <v>0.08</v>
      </c>
      <c r="L605">
        <f>IF(Performance!E605&lt;=1.5,0.01,IF(Performance!E605&lt;=2,0.02,IF(Performance!E605&lt;=3,0.03,"")))</f>
        <v>0.01</v>
      </c>
      <c r="M605">
        <f t="shared" si="29"/>
        <v>0.09</v>
      </c>
      <c r="N605">
        <f>Earnings!B605*(1+M605)</f>
        <v>1073723.2044000002</v>
      </c>
    </row>
    <row r="606" spans="1:14" x14ac:dyDescent="0.35">
      <c r="A606" t="s">
        <v>636</v>
      </c>
      <c r="B606" t="s">
        <v>29</v>
      </c>
      <c r="C606" t="s">
        <v>43</v>
      </c>
      <c r="D606" t="s">
        <v>16</v>
      </c>
      <c r="E606">
        <v>22.1</v>
      </c>
      <c r="F606" t="s">
        <v>70</v>
      </c>
      <c r="G606">
        <f>Earnings!G606</f>
        <v>2126919.08</v>
      </c>
      <c r="H606">
        <f>Deductions!B606+Deductions!C606+Deductions!D606+Tax!D606</f>
        <v>42368.967500000006</v>
      </c>
      <c r="I606">
        <f t="shared" si="27"/>
        <v>2084550.1125</v>
      </c>
      <c r="J606">
        <f>Overtime!D606</f>
        <v>0</v>
      </c>
      <c r="K606">
        <f t="shared" si="28"/>
        <v>0.12</v>
      </c>
      <c r="L606">
        <f>IF(Performance!E606&lt;=1.5,0.01,IF(Performance!E606&lt;=2,0.02,IF(Performance!E606&lt;=3,0.03,"")))</f>
        <v>0.02</v>
      </c>
      <c r="M606">
        <f t="shared" si="29"/>
        <v>0.13999999999999999</v>
      </c>
      <c r="N606">
        <f>Earnings!B606*(1+M606)</f>
        <v>2546940.9180000001</v>
      </c>
    </row>
    <row r="607" spans="1:14" x14ac:dyDescent="0.35">
      <c r="A607" t="s">
        <v>637</v>
      </c>
      <c r="B607" t="s">
        <v>29</v>
      </c>
      <c r="C607" t="s">
        <v>33</v>
      </c>
      <c r="D607" t="s">
        <v>21</v>
      </c>
      <c r="E607">
        <v>8.4</v>
      </c>
      <c r="F607" t="s">
        <v>31</v>
      </c>
      <c r="G607">
        <f>Earnings!G607</f>
        <v>1219054.8700000001</v>
      </c>
      <c r="H607">
        <f>Deductions!B607+Deductions!C607+Deductions!D607+Tax!D607</f>
        <v>18427.995500000001</v>
      </c>
      <c r="I607">
        <f t="shared" si="27"/>
        <v>1369655.4914000002</v>
      </c>
      <c r="J607">
        <f>Overtime!D607</f>
        <v>169028.61689999999</v>
      </c>
      <c r="K607">
        <f t="shared" si="28"/>
        <v>0.08</v>
      </c>
      <c r="L607">
        <f>IF(Performance!E607&lt;=1.5,0.01,IF(Performance!E607&lt;=2,0.02,IF(Performance!E607&lt;=3,0.03,"")))</f>
        <v>0.02</v>
      </c>
      <c r="M607">
        <f t="shared" si="29"/>
        <v>0.1</v>
      </c>
      <c r="N607">
        <f>Earnings!B607*(1+M607)</f>
        <v>1408571.8020000001</v>
      </c>
    </row>
    <row r="608" spans="1:14" x14ac:dyDescent="0.35">
      <c r="A608" t="s">
        <v>638</v>
      </c>
      <c r="B608" t="s">
        <v>29</v>
      </c>
      <c r="C608" t="s">
        <v>20</v>
      </c>
      <c r="D608" t="s">
        <v>16</v>
      </c>
      <c r="E608">
        <v>16.8</v>
      </c>
      <c r="F608" t="s">
        <v>44</v>
      </c>
      <c r="G608">
        <f>Earnings!G608</f>
        <v>1283374.44</v>
      </c>
      <c r="H608">
        <f>Deductions!B608+Deductions!C608+Deductions!D608+Tax!D608</f>
        <v>20157.059999999998</v>
      </c>
      <c r="I608">
        <f t="shared" si="27"/>
        <v>1385892.8783999998</v>
      </c>
      <c r="J608">
        <f>Overtime!D608</f>
        <v>122675.49839999998</v>
      </c>
      <c r="K608">
        <f t="shared" si="28"/>
        <v>0.1</v>
      </c>
      <c r="L608">
        <f>IF(Performance!E608&lt;=1.5,0.01,IF(Performance!E608&lt;=2,0.02,IF(Performance!E608&lt;=3,0.03,"")))</f>
        <v>0.02</v>
      </c>
      <c r="M608">
        <f t="shared" si="29"/>
        <v>0.12000000000000001</v>
      </c>
      <c r="N608">
        <f>Earnings!B608*(1+M608)</f>
        <v>1509852.2879999999</v>
      </c>
    </row>
    <row r="609" spans="1:14" x14ac:dyDescent="0.35">
      <c r="A609" t="s">
        <v>639</v>
      </c>
      <c r="B609" t="s">
        <v>14</v>
      </c>
      <c r="C609" t="s">
        <v>20</v>
      </c>
      <c r="D609" t="s">
        <v>16</v>
      </c>
      <c r="E609">
        <v>5.6</v>
      </c>
      <c r="F609" t="s">
        <v>31</v>
      </c>
      <c r="G609">
        <f>Earnings!G609</f>
        <v>908460.47</v>
      </c>
      <c r="H609">
        <f>Deductions!B609+Deductions!C609+Deductions!D609+Tax!D609</f>
        <v>10692.753333333332</v>
      </c>
      <c r="I609">
        <f t="shared" si="27"/>
        <v>971246.13706666674</v>
      </c>
      <c r="J609">
        <f>Overtime!D609</f>
        <v>73478.420400000003</v>
      </c>
      <c r="K609">
        <f t="shared" si="28"/>
        <v>0.1</v>
      </c>
      <c r="L609">
        <f>IF(Performance!E609&lt;=1.5,0.01,IF(Performance!E609&lt;=2,0.02,IF(Performance!E609&lt;=3,0.03,"")))</f>
        <v>0.01</v>
      </c>
      <c r="M609">
        <f t="shared" si="29"/>
        <v>0.11</v>
      </c>
      <c r="N609">
        <f>Earnings!B609*(1+M609)</f>
        <v>1059234.372</v>
      </c>
    </row>
    <row r="610" spans="1:14" x14ac:dyDescent="0.35">
      <c r="A610" t="s">
        <v>640</v>
      </c>
      <c r="B610" t="s">
        <v>14</v>
      </c>
      <c r="C610" t="s">
        <v>33</v>
      </c>
      <c r="D610" t="s">
        <v>21</v>
      </c>
      <c r="E610">
        <v>9.6</v>
      </c>
      <c r="F610" t="s">
        <v>70</v>
      </c>
      <c r="G610">
        <f>Earnings!G610</f>
        <v>877052.75</v>
      </c>
      <c r="H610">
        <f>Deductions!B610+Deductions!C610+Deductions!D610+Tax!D610</f>
        <v>10102.898333333334</v>
      </c>
      <c r="I610">
        <f t="shared" si="27"/>
        <v>922226.28566666669</v>
      </c>
      <c r="J610">
        <f>Overtime!D610</f>
        <v>55276.433999999994</v>
      </c>
      <c r="K610">
        <f t="shared" si="28"/>
        <v>0.08</v>
      </c>
      <c r="L610">
        <f>IF(Performance!E610&lt;=1.5,0.01,IF(Performance!E610&lt;=2,0.02,IF(Performance!E610&lt;=3,0.03,"")))</f>
        <v>0.01</v>
      </c>
      <c r="M610">
        <f t="shared" si="29"/>
        <v>0.09</v>
      </c>
      <c r="N610">
        <f>Earnings!B610*(1+M610)</f>
        <v>1004188.5510000001</v>
      </c>
    </row>
    <row r="611" spans="1:14" x14ac:dyDescent="0.35">
      <c r="A611" t="s">
        <v>641</v>
      </c>
      <c r="B611" t="s">
        <v>35</v>
      </c>
      <c r="C611" t="s">
        <v>15</v>
      </c>
      <c r="D611" t="s">
        <v>21</v>
      </c>
      <c r="E611">
        <v>6</v>
      </c>
      <c r="F611" t="s">
        <v>17</v>
      </c>
      <c r="G611">
        <f>Earnings!G611</f>
        <v>983625.44</v>
      </c>
      <c r="H611">
        <f>Deductions!B611+Deductions!C611+Deductions!D611+Tax!D611</f>
        <v>12205.5</v>
      </c>
      <c r="I611">
        <f t="shared" si="27"/>
        <v>971419.94</v>
      </c>
      <c r="J611">
        <f>Overtime!D611</f>
        <v>0</v>
      </c>
      <c r="K611">
        <f t="shared" si="28"/>
        <v>0.06</v>
      </c>
      <c r="L611">
        <f>IF(Performance!E611&lt;=1.5,0.01,IF(Performance!E611&lt;=2,0.02,IF(Performance!E611&lt;=3,0.03,"")))</f>
        <v>0.01</v>
      </c>
      <c r="M611">
        <f t="shared" si="29"/>
        <v>6.9999999999999993E-2</v>
      </c>
      <c r="N611">
        <f>Earnings!B611*(1+M611)</f>
        <v>1105545.4000000001</v>
      </c>
    </row>
    <row r="612" spans="1:14" x14ac:dyDescent="0.35">
      <c r="A612" t="s">
        <v>642</v>
      </c>
      <c r="B612" t="s">
        <v>26</v>
      </c>
      <c r="C612" t="s">
        <v>20</v>
      </c>
      <c r="D612" t="s">
        <v>21</v>
      </c>
      <c r="E612">
        <v>2.8</v>
      </c>
      <c r="F612" t="s">
        <v>27</v>
      </c>
      <c r="G612">
        <f>Earnings!G612</f>
        <v>554060.22</v>
      </c>
      <c r="H612">
        <f>Deductions!B612+Deductions!C612+Deductions!D612+Tax!D612</f>
        <v>4488.2671666666665</v>
      </c>
      <c r="I612">
        <f t="shared" si="27"/>
        <v>549571.95283333329</v>
      </c>
      <c r="J612">
        <f>Overtime!D612</f>
        <v>0</v>
      </c>
      <c r="K612">
        <f t="shared" si="28"/>
        <v>0.1</v>
      </c>
      <c r="L612">
        <f>IF(Performance!E612&lt;=1.5,0.01,IF(Performance!E612&lt;=2,0.02,IF(Performance!E612&lt;=3,0.03,"")))</f>
        <v>0.01</v>
      </c>
      <c r="M612">
        <f t="shared" si="29"/>
        <v>0.11</v>
      </c>
      <c r="N612">
        <f>Earnings!B612*(1+M612)</f>
        <v>646015.59330000007</v>
      </c>
    </row>
    <row r="613" spans="1:14" x14ac:dyDescent="0.35">
      <c r="A613" t="s">
        <v>643</v>
      </c>
      <c r="B613" t="s">
        <v>19</v>
      </c>
      <c r="C613" t="s">
        <v>43</v>
      </c>
      <c r="D613" t="s">
        <v>16</v>
      </c>
      <c r="E613">
        <v>13.6</v>
      </c>
      <c r="F613" t="s">
        <v>24</v>
      </c>
      <c r="G613">
        <f>Earnings!G613</f>
        <v>1725317.98</v>
      </c>
      <c r="H613">
        <f>Deductions!B613+Deductions!C613+Deductions!D613+Tax!D613</f>
        <v>31822.720000000001</v>
      </c>
      <c r="I613">
        <f t="shared" si="27"/>
        <v>1693495.26</v>
      </c>
      <c r="J613">
        <f>Overtime!D613</f>
        <v>0</v>
      </c>
      <c r="K613">
        <f t="shared" si="28"/>
        <v>0.12</v>
      </c>
      <c r="L613">
        <f>IF(Performance!E613&lt;=1.5,0.01,IF(Performance!E613&lt;=2,0.02,IF(Performance!E613&lt;=3,0.03,"")))</f>
        <v>0.03</v>
      </c>
      <c r="M613">
        <f t="shared" si="29"/>
        <v>0.15</v>
      </c>
      <c r="N613">
        <f>Earnings!B613*(1+M613)</f>
        <v>2084155.1199999999</v>
      </c>
    </row>
    <row r="614" spans="1:14" x14ac:dyDescent="0.35">
      <c r="A614" t="s">
        <v>644</v>
      </c>
      <c r="B614" t="s">
        <v>19</v>
      </c>
      <c r="C614" t="s">
        <v>20</v>
      </c>
      <c r="D614" t="s">
        <v>21</v>
      </c>
      <c r="E614">
        <v>0</v>
      </c>
      <c r="F614" t="s">
        <v>70</v>
      </c>
      <c r="G614">
        <f>Earnings!G614</f>
        <v>940080.75</v>
      </c>
      <c r="H614">
        <f>Deductions!B614+Deductions!C614+Deductions!D614+Tax!D614</f>
        <v>11246.329666666667</v>
      </c>
      <c r="I614">
        <f t="shared" si="27"/>
        <v>1011782.7214333334</v>
      </c>
      <c r="J614">
        <f>Overtime!D614</f>
        <v>82948.301099999997</v>
      </c>
      <c r="K614">
        <f t="shared" si="28"/>
        <v>0.1</v>
      </c>
      <c r="L614">
        <f>IF(Performance!E614&lt;=1.5,0.01,IF(Performance!E614&lt;=2,0.02,IF(Performance!E614&lt;=3,0.03,"")))</f>
        <v>0.03</v>
      </c>
      <c r="M614">
        <f t="shared" si="29"/>
        <v>0.13</v>
      </c>
      <c r="N614">
        <f>Earnings!B614*(1+M614)</f>
        <v>1115852.1513999999</v>
      </c>
    </row>
    <row r="615" spans="1:14" x14ac:dyDescent="0.35">
      <c r="A615" t="s">
        <v>645</v>
      </c>
      <c r="B615" t="s">
        <v>29</v>
      </c>
      <c r="C615" t="s">
        <v>15</v>
      </c>
      <c r="D615" t="s">
        <v>21</v>
      </c>
      <c r="E615">
        <v>2</v>
      </c>
      <c r="F615" t="s">
        <v>44</v>
      </c>
      <c r="G615">
        <f>Earnings!G615</f>
        <v>981406.04</v>
      </c>
      <c r="H615">
        <f>Deductions!B615+Deductions!C615+Deductions!D615+Tax!D615</f>
        <v>12147.217499999999</v>
      </c>
      <c r="I615">
        <f t="shared" si="27"/>
        <v>969258.82250000001</v>
      </c>
      <c r="J615">
        <f>Overtime!D615</f>
        <v>0</v>
      </c>
      <c r="K615">
        <f t="shared" si="28"/>
        <v>0.06</v>
      </c>
      <c r="L615">
        <f>IF(Performance!E615&lt;=1.5,0.01,IF(Performance!E615&lt;=2,0.02,IF(Performance!E615&lt;=3,0.03,"")))</f>
        <v>0.02</v>
      </c>
      <c r="M615">
        <f t="shared" si="29"/>
        <v>0.08</v>
      </c>
      <c r="N615">
        <f>Earnings!B615*(1+M615)</f>
        <v>1113359.7960000001</v>
      </c>
    </row>
    <row r="616" spans="1:14" x14ac:dyDescent="0.35">
      <c r="A616" t="s">
        <v>646</v>
      </c>
      <c r="B616" t="s">
        <v>14</v>
      </c>
      <c r="C616" t="s">
        <v>15</v>
      </c>
      <c r="D616" t="s">
        <v>21</v>
      </c>
      <c r="E616">
        <v>2</v>
      </c>
      <c r="F616" t="s">
        <v>27</v>
      </c>
      <c r="G616">
        <f>Earnings!G616</f>
        <v>543524.5</v>
      </c>
      <c r="H616">
        <f>Deductions!B616+Deductions!C616+Deductions!D616+Tax!D616</f>
        <v>4223.8183333333327</v>
      </c>
      <c r="I616">
        <f t="shared" si="27"/>
        <v>539300.68166666664</v>
      </c>
      <c r="J616">
        <f>Overtime!D616</f>
        <v>0</v>
      </c>
      <c r="K616">
        <f t="shared" si="28"/>
        <v>0.06</v>
      </c>
      <c r="L616">
        <f>IF(Performance!E616&lt;=1.5,0.01,IF(Performance!E616&lt;=2,0.02,IF(Performance!E616&lt;=3,0.03,"")))</f>
        <v>0.01</v>
      </c>
      <c r="M616">
        <f t="shared" si="29"/>
        <v>6.9999999999999993E-2</v>
      </c>
      <c r="N616">
        <f>Earnings!B616*(1+M616)</f>
        <v>610894.13699999999</v>
      </c>
    </row>
    <row r="617" spans="1:14" x14ac:dyDescent="0.35">
      <c r="A617" t="s">
        <v>647</v>
      </c>
      <c r="B617" t="s">
        <v>35</v>
      </c>
      <c r="C617" t="s">
        <v>15</v>
      </c>
      <c r="D617" t="s">
        <v>21</v>
      </c>
      <c r="E617">
        <v>12</v>
      </c>
      <c r="F617" t="s">
        <v>31</v>
      </c>
      <c r="G617">
        <f>Earnings!G617</f>
        <v>1180440.97</v>
      </c>
      <c r="H617">
        <f>Deductions!B617+Deductions!C617+Deductions!D617+Tax!D617</f>
        <v>17373.974999999999</v>
      </c>
      <c r="I617">
        <f t="shared" si="27"/>
        <v>1206465.5599999998</v>
      </c>
      <c r="J617">
        <f>Overtime!D617</f>
        <v>43398.565000000002</v>
      </c>
      <c r="K617">
        <f t="shared" si="28"/>
        <v>0.06</v>
      </c>
      <c r="L617">
        <f>IF(Performance!E617&lt;=1.5,0.01,IF(Performance!E617&lt;=2,0.02,IF(Performance!E617&lt;=3,0.03,"")))</f>
        <v>0.01</v>
      </c>
      <c r="M617">
        <f t="shared" si="29"/>
        <v>6.9999999999999993E-2</v>
      </c>
      <c r="N617">
        <f>Earnings!B617*(1+M617)</f>
        <v>1326756.1300000001</v>
      </c>
    </row>
    <row r="618" spans="1:14" x14ac:dyDescent="0.35">
      <c r="A618" t="s">
        <v>648</v>
      </c>
      <c r="B618" t="s">
        <v>35</v>
      </c>
      <c r="C618" t="s">
        <v>15</v>
      </c>
      <c r="D618" t="s">
        <v>21</v>
      </c>
      <c r="E618">
        <v>0</v>
      </c>
      <c r="F618" t="s">
        <v>37</v>
      </c>
      <c r="G618">
        <f>Earnings!G618</f>
        <v>575868.56000000006</v>
      </c>
      <c r="H618">
        <f>Deductions!B618+Deductions!C618+Deductions!D618+Tax!D618</f>
        <v>4790.0658333333322</v>
      </c>
      <c r="I618">
        <f t="shared" si="27"/>
        <v>610397.25091666682</v>
      </c>
      <c r="J618">
        <f>Overtime!D618</f>
        <v>39318.75675</v>
      </c>
      <c r="K618">
        <f t="shared" si="28"/>
        <v>0.06</v>
      </c>
      <c r="L618">
        <f>IF(Performance!E618&lt;=1.5,0.01,IF(Performance!E618&lt;=2,0.02,IF(Performance!E618&lt;=3,0.03,"")))</f>
        <v>0.01</v>
      </c>
      <c r="M618">
        <f t="shared" si="29"/>
        <v>6.9999999999999993E-2</v>
      </c>
      <c r="N618">
        <f>Earnings!B618*(1+M618)</f>
        <v>647247.22649999999</v>
      </c>
    </row>
    <row r="619" spans="1:14" x14ac:dyDescent="0.35">
      <c r="A619" t="s">
        <v>649</v>
      </c>
      <c r="B619" t="s">
        <v>14</v>
      </c>
      <c r="C619" t="s">
        <v>15</v>
      </c>
      <c r="D619" t="s">
        <v>16</v>
      </c>
      <c r="E619">
        <v>8</v>
      </c>
      <c r="F619" t="s">
        <v>22</v>
      </c>
      <c r="G619">
        <f>Earnings!G619</f>
        <v>791777.45</v>
      </c>
      <c r="H619">
        <f>Deductions!B619+Deductions!C619+Deductions!D619+Tax!D619</f>
        <v>8569.9833333333336</v>
      </c>
      <c r="I619">
        <f t="shared" si="27"/>
        <v>883011.34666666668</v>
      </c>
      <c r="J619">
        <f>Overtime!D619</f>
        <v>99803.88</v>
      </c>
      <c r="K619">
        <f t="shared" si="28"/>
        <v>0.06</v>
      </c>
      <c r="L619">
        <f>IF(Performance!E619&lt;=1.5,0.01,IF(Performance!E619&lt;=2,0.02,IF(Performance!E619&lt;=3,0.03,"")))</f>
        <v>0.01</v>
      </c>
      <c r="M619">
        <f t="shared" si="29"/>
        <v>6.9999999999999993E-2</v>
      </c>
      <c r="N619">
        <f>Earnings!B619*(1+M619)</f>
        <v>889917.93</v>
      </c>
    </row>
    <row r="620" spans="1:14" x14ac:dyDescent="0.35">
      <c r="A620" t="s">
        <v>650</v>
      </c>
      <c r="B620" t="s">
        <v>14</v>
      </c>
      <c r="C620" t="s">
        <v>33</v>
      </c>
      <c r="D620" t="s">
        <v>21</v>
      </c>
      <c r="E620">
        <v>0</v>
      </c>
      <c r="F620" t="s">
        <v>31</v>
      </c>
      <c r="G620">
        <f>Earnings!G620</f>
        <v>575946.16</v>
      </c>
      <c r="H620">
        <f>Deductions!B620+Deductions!C620+Deductions!D620+Tax!D620</f>
        <v>4831.4243333333325</v>
      </c>
      <c r="I620">
        <f t="shared" si="27"/>
        <v>571114.73566666665</v>
      </c>
      <c r="J620">
        <f>Overtime!D620</f>
        <v>0</v>
      </c>
      <c r="K620">
        <f t="shared" si="28"/>
        <v>0.08</v>
      </c>
      <c r="L620">
        <f>IF(Performance!E620&lt;=1.5,0.01,IF(Performance!E620&lt;=2,0.02,IF(Performance!E620&lt;=3,0.03,"")))</f>
        <v>0.01</v>
      </c>
      <c r="M620">
        <f t="shared" si="29"/>
        <v>0.09</v>
      </c>
      <c r="N620">
        <f>Earnings!B620*(1+M620)</f>
        <v>659434.15139999997</v>
      </c>
    </row>
    <row r="621" spans="1:14" x14ac:dyDescent="0.35">
      <c r="A621" t="s">
        <v>651</v>
      </c>
      <c r="B621" t="s">
        <v>26</v>
      </c>
      <c r="C621" t="s">
        <v>43</v>
      </c>
      <c r="D621" t="s">
        <v>16</v>
      </c>
      <c r="E621">
        <v>22.1</v>
      </c>
      <c r="F621" t="s">
        <v>31</v>
      </c>
      <c r="G621">
        <f>Earnings!G621</f>
        <v>1618323.94</v>
      </c>
      <c r="H621">
        <f>Deductions!B621+Deductions!C621+Deductions!D621+Tax!D621</f>
        <v>29013.002500000002</v>
      </c>
      <c r="I621">
        <f t="shared" si="27"/>
        <v>1878297.3544999999</v>
      </c>
      <c r="J621">
        <f>Overtime!D621</f>
        <v>288986.41700000002</v>
      </c>
      <c r="K621">
        <f t="shared" si="28"/>
        <v>0.12</v>
      </c>
      <c r="L621">
        <f>IF(Performance!E621&lt;=1.5,0.01,IF(Performance!E621&lt;=2,0.02,IF(Performance!E621&lt;=3,0.03,"")))</f>
        <v>0.01</v>
      </c>
      <c r="M621">
        <f t="shared" si="29"/>
        <v>0.13</v>
      </c>
      <c r="N621">
        <f>Earnings!B621*(1+M621)</f>
        <v>1920909.713</v>
      </c>
    </row>
    <row r="622" spans="1:14" x14ac:dyDescent="0.35">
      <c r="A622" t="s">
        <v>652</v>
      </c>
      <c r="B622" t="s">
        <v>19</v>
      </c>
      <c r="C622" t="s">
        <v>33</v>
      </c>
      <c r="D622" t="s">
        <v>21</v>
      </c>
      <c r="E622">
        <v>3.6</v>
      </c>
      <c r="F622" t="s">
        <v>27</v>
      </c>
      <c r="G622">
        <f>Earnings!G622</f>
        <v>996994.64</v>
      </c>
      <c r="H622">
        <f>Deductions!B622+Deductions!C622+Deductions!D622+Tax!D622</f>
        <v>12596.582</v>
      </c>
      <c r="I622">
        <f t="shared" si="27"/>
        <v>1128920.38995</v>
      </c>
      <c r="J622">
        <f>Overtime!D622</f>
        <v>144522.33195000002</v>
      </c>
      <c r="K622">
        <f t="shared" si="28"/>
        <v>0.08</v>
      </c>
      <c r="L622">
        <f>IF(Performance!E622&lt;=1.5,0.01,IF(Performance!E622&lt;=2,0.02,IF(Performance!E622&lt;=3,0.03,"")))</f>
        <v>0.03</v>
      </c>
      <c r="M622">
        <f t="shared" si="29"/>
        <v>0.11</v>
      </c>
      <c r="N622">
        <f>Earnings!B622*(1+M622)</f>
        <v>1162462.2408</v>
      </c>
    </row>
    <row r="623" spans="1:14" x14ac:dyDescent="0.35">
      <c r="A623" t="s">
        <v>653</v>
      </c>
      <c r="B623" t="s">
        <v>35</v>
      </c>
      <c r="C623" t="s">
        <v>15</v>
      </c>
      <c r="D623" t="s">
        <v>16</v>
      </c>
      <c r="E623">
        <v>3</v>
      </c>
      <c r="F623" t="s">
        <v>24</v>
      </c>
      <c r="G623">
        <f>Earnings!G623</f>
        <v>1009911.11</v>
      </c>
      <c r="H623">
        <f>Deductions!B623+Deductions!C623+Deductions!D623+Tax!D623</f>
        <v>12895.775</v>
      </c>
      <c r="I623">
        <f t="shared" si="27"/>
        <v>997015.33499999996</v>
      </c>
      <c r="J623">
        <f>Overtime!D623</f>
        <v>0</v>
      </c>
      <c r="K623">
        <f t="shared" si="28"/>
        <v>0.06</v>
      </c>
      <c r="L623">
        <f>IF(Performance!E623&lt;=1.5,0.01,IF(Performance!E623&lt;=2,0.02,IF(Performance!E623&lt;=3,0.03,"")))</f>
        <v>0.01</v>
      </c>
      <c r="M623">
        <f t="shared" si="29"/>
        <v>6.9999999999999993E-2</v>
      </c>
      <c r="N623">
        <f>Earnings!B623*(1+M623)</f>
        <v>1135089.1700000002</v>
      </c>
    </row>
    <row r="624" spans="1:14" x14ac:dyDescent="0.35">
      <c r="A624" t="s">
        <v>654</v>
      </c>
      <c r="B624" t="s">
        <v>19</v>
      </c>
      <c r="C624" t="s">
        <v>43</v>
      </c>
      <c r="D624" t="s">
        <v>21</v>
      </c>
      <c r="E624">
        <v>0</v>
      </c>
      <c r="F624" t="s">
        <v>31</v>
      </c>
      <c r="G624">
        <f>Earnings!G624</f>
        <v>876143.74</v>
      </c>
      <c r="H624">
        <f>Deductions!B624+Deductions!C624+Deductions!D624+Tax!D624</f>
        <v>10186.984333333334</v>
      </c>
      <c r="I624">
        <f t="shared" si="27"/>
        <v>1038056.4180166667</v>
      </c>
      <c r="J624">
        <f>Overtime!D624</f>
        <v>172099.66235</v>
      </c>
      <c r="K624">
        <f t="shared" si="28"/>
        <v>0.12</v>
      </c>
      <c r="L624">
        <f>IF(Performance!E624&lt;=1.5,0.01,IF(Performance!E624&lt;=2,0.02,IF(Performance!E624&lt;=3,0.03,"")))</f>
        <v>0.03</v>
      </c>
      <c r="M624">
        <f t="shared" si="29"/>
        <v>0.15</v>
      </c>
      <c r="N624">
        <f>Earnings!B624*(1+M624)</f>
        <v>1058366.919</v>
      </c>
    </row>
    <row r="625" spans="1:14" x14ac:dyDescent="0.35">
      <c r="A625" t="s">
        <v>655</v>
      </c>
      <c r="B625" t="s">
        <v>29</v>
      </c>
      <c r="C625" t="s">
        <v>33</v>
      </c>
      <c r="D625" t="s">
        <v>16</v>
      </c>
      <c r="E625">
        <v>18</v>
      </c>
      <c r="F625" t="s">
        <v>17</v>
      </c>
      <c r="G625">
        <f>Earnings!G625</f>
        <v>1382476.5</v>
      </c>
      <c r="H625">
        <f>Deductions!B625+Deductions!C625+Deductions!D625+Tax!D625</f>
        <v>22719.53</v>
      </c>
      <c r="I625">
        <f t="shared" si="27"/>
        <v>1359756.97</v>
      </c>
      <c r="J625">
        <f>Overtime!D625</f>
        <v>0</v>
      </c>
      <c r="K625">
        <f t="shared" si="28"/>
        <v>0.08</v>
      </c>
      <c r="L625">
        <f>IF(Performance!E625&lt;=1.5,0.01,IF(Performance!E625&lt;=2,0.02,IF(Performance!E625&lt;=3,0.03,"")))</f>
        <v>0.02</v>
      </c>
      <c r="M625">
        <f t="shared" si="29"/>
        <v>0.1</v>
      </c>
      <c r="N625">
        <f>Earnings!B625*(1+M625)</f>
        <v>1597399.32</v>
      </c>
    </row>
    <row r="626" spans="1:14" x14ac:dyDescent="0.35">
      <c r="A626" t="s">
        <v>656</v>
      </c>
      <c r="B626" t="s">
        <v>35</v>
      </c>
      <c r="C626" t="s">
        <v>43</v>
      </c>
      <c r="D626" t="s">
        <v>16</v>
      </c>
      <c r="E626">
        <v>23.8</v>
      </c>
      <c r="F626" t="s">
        <v>44</v>
      </c>
      <c r="G626">
        <f>Earnings!G626</f>
        <v>1686267.6</v>
      </c>
      <c r="H626">
        <f>Deductions!B626+Deductions!C626+Deductions!D626+Tax!D626</f>
        <v>30797.237499999999</v>
      </c>
      <c r="I626">
        <f t="shared" si="27"/>
        <v>2077037.2635000001</v>
      </c>
      <c r="J626">
        <f>Overtime!D626</f>
        <v>421566.90100000001</v>
      </c>
      <c r="K626">
        <f t="shared" si="28"/>
        <v>0.12</v>
      </c>
      <c r="L626">
        <f>IF(Performance!E626&lt;=1.5,0.01,IF(Performance!E626&lt;=2,0.02,IF(Performance!E626&lt;=3,0.03,"")))</f>
        <v>0.01</v>
      </c>
      <c r="M626">
        <f t="shared" si="29"/>
        <v>0.13</v>
      </c>
      <c r="N626">
        <f>Earnings!B626*(1+M626)</f>
        <v>2001557.1349999998</v>
      </c>
    </row>
    <row r="627" spans="1:14" x14ac:dyDescent="0.35">
      <c r="A627" t="s">
        <v>657</v>
      </c>
      <c r="B627" t="s">
        <v>35</v>
      </c>
      <c r="C627" t="s">
        <v>33</v>
      </c>
      <c r="D627" t="s">
        <v>16</v>
      </c>
      <c r="E627">
        <v>10.8</v>
      </c>
      <c r="F627" t="s">
        <v>17</v>
      </c>
      <c r="G627">
        <f>Earnings!G627</f>
        <v>1297236.33</v>
      </c>
      <c r="H627">
        <f>Deductions!B627+Deductions!C627+Deductions!D627+Tax!D627</f>
        <v>20481.079999999998</v>
      </c>
      <c r="I627">
        <f t="shared" si="27"/>
        <v>1276755.25</v>
      </c>
      <c r="J627">
        <f>Overtime!D627</f>
        <v>0</v>
      </c>
      <c r="K627">
        <f t="shared" si="28"/>
        <v>0.08</v>
      </c>
      <c r="L627">
        <f>IF(Performance!E627&lt;=1.5,0.01,IF(Performance!E627&lt;=2,0.02,IF(Performance!E627&lt;=3,0.03,"")))</f>
        <v>0.01</v>
      </c>
      <c r="M627">
        <f t="shared" si="29"/>
        <v>0.09</v>
      </c>
      <c r="N627">
        <f>Earnings!B627*(1+M627)</f>
        <v>1485281.088</v>
      </c>
    </row>
    <row r="628" spans="1:14" x14ac:dyDescent="0.35">
      <c r="A628" t="s">
        <v>658</v>
      </c>
      <c r="B628" t="s">
        <v>29</v>
      </c>
      <c r="C628" t="s">
        <v>15</v>
      </c>
      <c r="D628" t="s">
        <v>16</v>
      </c>
      <c r="E628">
        <v>10</v>
      </c>
      <c r="F628" t="s">
        <v>22</v>
      </c>
      <c r="G628">
        <f>Earnings!G628</f>
        <v>1290009.5</v>
      </c>
      <c r="H628">
        <f>Deductions!B628+Deductions!C628+Deductions!D628+Tax!D628</f>
        <v>20251.3</v>
      </c>
      <c r="I628">
        <f t="shared" si="27"/>
        <v>1459465.48</v>
      </c>
      <c r="J628">
        <f>Overtime!D628</f>
        <v>189707.28</v>
      </c>
      <c r="K628">
        <f t="shared" si="28"/>
        <v>0.06</v>
      </c>
      <c r="L628">
        <f>IF(Performance!E628&lt;=1.5,0.01,IF(Performance!E628&lt;=2,0.02,IF(Performance!E628&lt;=3,0.03,"")))</f>
        <v>0.02</v>
      </c>
      <c r="M628">
        <f t="shared" si="29"/>
        <v>0.08</v>
      </c>
      <c r="N628">
        <f>Earnings!B628*(1+M628)</f>
        <v>1463456.1600000001</v>
      </c>
    </row>
    <row r="629" spans="1:14" x14ac:dyDescent="0.35">
      <c r="A629" t="s">
        <v>659</v>
      </c>
      <c r="B629" t="s">
        <v>29</v>
      </c>
      <c r="C629" t="s">
        <v>15</v>
      </c>
      <c r="D629" t="s">
        <v>16</v>
      </c>
      <c r="E629">
        <v>12</v>
      </c>
      <c r="F629" t="s">
        <v>22</v>
      </c>
      <c r="G629">
        <f>Earnings!G629</f>
        <v>1372156.63</v>
      </c>
      <c r="H629">
        <f>Deductions!B629+Deductions!C629+Deductions!D629+Tax!D629</f>
        <v>22408.524999999998</v>
      </c>
      <c r="I629">
        <f t="shared" si="27"/>
        <v>1349748.105</v>
      </c>
      <c r="J629">
        <f>Overtime!D629</f>
        <v>0</v>
      </c>
      <c r="K629">
        <f t="shared" si="28"/>
        <v>0.06</v>
      </c>
      <c r="L629">
        <f>IF(Performance!E629&lt;=1.5,0.01,IF(Performance!E629&lt;=2,0.02,IF(Performance!E629&lt;=3,0.03,"")))</f>
        <v>0.02</v>
      </c>
      <c r="M629">
        <f t="shared" si="29"/>
        <v>0.08</v>
      </c>
      <c r="N629">
        <f>Earnings!B629*(1+M629)</f>
        <v>1556648.28</v>
      </c>
    </row>
    <row r="630" spans="1:14" x14ac:dyDescent="0.35">
      <c r="A630" t="s">
        <v>660</v>
      </c>
      <c r="B630" t="s">
        <v>19</v>
      </c>
      <c r="C630" t="s">
        <v>20</v>
      </c>
      <c r="D630" t="s">
        <v>21</v>
      </c>
      <c r="E630">
        <v>5.6</v>
      </c>
      <c r="F630" t="s">
        <v>37</v>
      </c>
      <c r="G630">
        <f>Earnings!G630</f>
        <v>1270538.3799999999</v>
      </c>
      <c r="H630">
        <f>Deductions!B630+Deductions!C630+Deductions!D630+Tax!D630</f>
        <v>19819.978499999997</v>
      </c>
      <c r="I630">
        <f t="shared" si="27"/>
        <v>1530984.223</v>
      </c>
      <c r="J630">
        <f>Overtime!D630</f>
        <v>280265.82150000002</v>
      </c>
      <c r="K630">
        <f t="shared" si="28"/>
        <v>0.1</v>
      </c>
      <c r="L630">
        <f>IF(Performance!E630&lt;=1.5,0.01,IF(Performance!E630&lt;=2,0.02,IF(Performance!E630&lt;=3,0.03,"")))</f>
        <v>0.03</v>
      </c>
      <c r="M630">
        <f t="shared" si="29"/>
        <v>0.13</v>
      </c>
      <c r="N630">
        <f>Earnings!B630*(1+M630)</f>
        <v>1508097.0281999998</v>
      </c>
    </row>
    <row r="631" spans="1:14" x14ac:dyDescent="0.35">
      <c r="A631" t="s">
        <v>661</v>
      </c>
      <c r="B631" t="s">
        <v>35</v>
      </c>
      <c r="C631" t="s">
        <v>20</v>
      </c>
      <c r="D631" t="s">
        <v>16</v>
      </c>
      <c r="E631">
        <v>19.600000000000001</v>
      </c>
      <c r="F631" t="s">
        <v>24</v>
      </c>
      <c r="G631">
        <f>Earnings!G631</f>
        <v>1305748.1599999999</v>
      </c>
      <c r="H631">
        <f>Deductions!B631+Deductions!C631+Deductions!D631+Tax!D631</f>
        <v>20744.605</v>
      </c>
      <c r="I631">
        <f t="shared" si="27"/>
        <v>1429019.8959999999</v>
      </c>
      <c r="J631">
        <f>Overtime!D631</f>
        <v>144016.34100000001</v>
      </c>
      <c r="K631">
        <f t="shared" si="28"/>
        <v>0.1</v>
      </c>
      <c r="L631">
        <f>IF(Performance!E631&lt;=1.5,0.01,IF(Performance!E631&lt;=2,0.02,IF(Performance!E631&lt;=3,0.03,"")))</f>
        <v>0.01</v>
      </c>
      <c r="M631">
        <f t="shared" si="29"/>
        <v>0.11</v>
      </c>
      <c r="N631">
        <f>Earnings!B631*(1+M631)</f>
        <v>1522458.4620000001</v>
      </c>
    </row>
    <row r="632" spans="1:14" x14ac:dyDescent="0.35">
      <c r="A632" t="s">
        <v>662</v>
      </c>
      <c r="B632" t="s">
        <v>14</v>
      </c>
      <c r="C632" t="s">
        <v>43</v>
      </c>
      <c r="D632" t="s">
        <v>16</v>
      </c>
      <c r="E632">
        <v>11.9</v>
      </c>
      <c r="F632" t="s">
        <v>22</v>
      </c>
      <c r="G632">
        <f>Earnings!G632</f>
        <v>1180085.49</v>
      </c>
      <c r="H632">
        <f>Deductions!B632+Deductions!C632+Deductions!D632+Tax!D632</f>
        <v>17504.64</v>
      </c>
      <c r="I632">
        <f t="shared" si="27"/>
        <v>1162580.8500000001</v>
      </c>
      <c r="J632">
        <f>Overtime!D632</f>
        <v>0</v>
      </c>
      <c r="K632">
        <f t="shared" si="28"/>
        <v>0.12</v>
      </c>
      <c r="L632">
        <f>IF(Performance!E632&lt;=1.5,0.01,IF(Performance!E632&lt;=2,0.02,IF(Performance!E632&lt;=3,0.03,"")))</f>
        <v>0.01</v>
      </c>
      <c r="M632">
        <f t="shared" si="29"/>
        <v>0.13</v>
      </c>
      <c r="N632">
        <f>Earnings!B632*(1+M632)</f>
        <v>1400731.7279999999</v>
      </c>
    </row>
    <row r="633" spans="1:14" x14ac:dyDescent="0.35">
      <c r="A633" t="s">
        <v>663</v>
      </c>
      <c r="B633" t="s">
        <v>26</v>
      </c>
      <c r="C633" t="s">
        <v>15</v>
      </c>
      <c r="D633" t="s">
        <v>21</v>
      </c>
      <c r="E633">
        <v>0</v>
      </c>
      <c r="F633" t="s">
        <v>27</v>
      </c>
      <c r="G633">
        <f>Earnings!G633</f>
        <v>364056.27</v>
      </c>
      <c r="H633">
        <f>Deductions!B633+Deductions!C633+Deductions!D633+Tax!D633</f>
        <v>2551.7168750000001</v>
      </c>
      <c r="I633">
        <f t="shared" si="27"/>
        <v>390185.45687500003</v>
      </c>
      <c r="J633">
        <f>Overtime!D633</f>
        <v>28680.903750000001</v>
      </c>
      <c r="K633">
        <f t="shared" si="28"/>
        <v>0.06</v>
      </c>
      <c r="L633">
        <f>IF(Performance!E633&lt;=1.5,0.01,IF(Performance!E633&lt;=2,0.02,IF(Performance!E633&lt;=3,0.03,"")))</f>
        <v>0.01</v>
      </c>
      <c r="M633">
        <f t="shared" si="29"/>
        <v>6.9999999999999993E-2</v>
      </c>
      <c r="N633">
        <f>Earnings!B633*(1+M633)</f>
        <v>409180.89350000001</v>
      </c>
    </row>
    <row r="634" spans="1:14" x14ac:dyDescent="0.35">
      <c r="A634" t="s">
        <v>664</v>
      </c>
      <c r="B634" t="s">
        <v>26</v>
      </c>
      <c r="C634" t="s">
        <v>20</v>
      </c>
      <c r="D634" t="s">
        <v>21</v>
      </c>
      <c r="E634">
        <v>4.2</v>
      </c>
      <c r="F634" t="s">
        <v>70</v>
      </c>
      <c r="G634">
        <f>Earnings!G634</f>
        <v>803230.38</v>
      </c>
      <c r="H634">
        <f>Deductions!B634+Deductions!C634+Deductions!D634+Tax!D634</f>
        <v>8850.4898333333331</v>
      </c>
      <c r="I634">
        <f t="shared" si="27"/>
        <v>794379.89016666671</v>
      </c>
      <c r="J634">
        <f>Overtime!D634</f>
        <v>0</v>
      </c>
      <c r="K634">
        <f t="shared" si="28"/>
        <v>0.1</v>
      </c>
      <c r="L634">
        <f>IF(Performance!E634&lt;=1.5,0.01,IF(Performance!E634&lt;=2,0.02,IF(Performance!E634&lt;=3,0.03,"")))</f>
        <v>0.01</v>
      </c>
      <c r="M634">
        <f t="shared" si="29"/>
        <v>0.11</v>
      </c>
      <c r="N634">
        <f>Earnings!B634*(1+M634)</f>
        <v>936539.62290000007</v>
      </c>
    </row>
    <row r="635" spans="1:14" x14ac:dyDescent="0.35">
      <c r="A635" t="s">
        <v>665</v>
      </c>
      <c r="B635" t="s">
        <v>35</v>
      </c>
      <c r="C635" t="s">
        <v>43</v>
      </c>
      <c r="D635" t="s">
        <v>16</v>
      </c>
      <c r="E635">
        <v>10.199999999999999</v>
      </c>
      <c r="F635" t="s">
        <v>27</v>
      </c>
      <c r="G635">
        <f>Earnings!G635</f>
        <v>1752790.32</v>
      </c>
      <c r="H635">
        <f>Deductions!B635+Deductions!C635+Deductions!D635+Tax!D635</f>
        <v>32544.157500000001</v>
      </c>
      <c r="I635">
        <f t="shared" si="27"/>
        <v>1720246.1625000001</v>
      </c>
      <c r="J635">
        <f>Overtime!D635</f>
        <v>0</v>
      </c>
      <c r="K635">
        <f t="shared" si="28"/>
        <v>0.12</v>
      </c>
      <c r="L635">
        <f>IF(Performance!E635&lt;=1.5,0.01,IF(Performance!E635&lt;=2,0.02,IF(Performance!E635&lt;=3,0.03,"")))</f>
        <v>0.01</v>
      </c>
      <c r="M635">
        <f t="shared" si="29"/>
        <v>0.13</v>
      </c>
      <c r="N635">
        <f>Earnings!B635*(1+M635)</f>
        <v>2080517.9189999998</v>
      </c>
    </row>
    <row r="636" spans="1:14" x14ac:dyDescent="0.35">
      <c r="A636" t="s">
        <v>666</v>
      </c>
      <c r="B636" t="s">
        <v>26</v>
      </c>
      <c r="C636" t="s">
        <v>15</v>
      </c>
      <c r="D636" t="s">
        <v>16</v>
      </c>
      <c r="E636">
        <v>12</v>
      </c>
      <c r="F636" t="s">
        <v>37</v>
      </c>
      <c r="G636">
        <f>Earnings!G636</f>
        <v>765199.51</v>
      </c>
      <c r="H636">
        <f>Deductions!B636+Deductions!C636+Deductions!D636+Tax!D636</f>
        <v>8104.6833333333343</v>
      </c>
      <c r="I636">
        <f t="shared" si="27"/>
        <v>857567.45166666666</v>
      </c>
      <c r="J636">
        <f>Overtime!D636</f>
        <v>100472.625</v>
      </c>
      <c r="K636">
        <f t="shared" si="28"/>
        <v>0.06</v>
      </c>
      <c r="L636">
        <f>IF(Performance!E636&lt;=1.5,0.01,IF(Performance!E636&lt;=2,0.02,IF(Performance!E636&lt;=3,0.03,"")))</f>
        <v>0.01</v>
      </c>
      <c r="M636">
        <f t="shared" si="29"/>
        <v>6.9999999999999993E-2</v>
      </c>
      <c r="N636">
        <f>Earnings!B636*(1+M636)</f>
        <v>860045.67</v>
      </c>
    </row>
    <row r="637" spans="1:14" x14ac:dyDescent="0.35">
      <c r="A637" t="s">
        <v>667</v>
      </c>
      <c r="B637" t="s">
        <v>14</v>
      </c>
      <c r="C637" t="s">
        <v>43</v>
      </c>
      <c r="D637" t="s">
        <v>21</v>
      </c>
      <c r="E637">
        <v>3.4</v>
      </c>
      <c r="F637" t="s">
        <v>44</v>
      </c>
      <c r="G637">
        <f>Earnings!G637</f>
        <v>942876.52</v>
      </c>
      <c r="H637">
        <f>Deductions!B637+Deductions!C637+Deductions!D637+Tax!D637</f>
        <v>11355.275166666668</v>
      </c>
      <c r="I637">
        <f t="shared" si="27"/>
        <v>931521.2448333333</v>
      </c>
      <c r="J637">
        <f>Overtime!D637</f>
        <v>0</v>
      </c>
      <c r="K637">
        <f t="shared" si="28"/>
        <v>0.12</v>
      </c>
      <c r="L637">
        <f>IF(Performance!E637&lt;=1.5,0.01,IF(Performance!E637&lt;=2,0.02,IF(Performance!E637&lt;=3,0.03,"")))</f>
        <v>0.01</v>
      </c>
      <c r="M637">
        <f t="shared" si="29"/>
        <v>0.13</v>
      </c>
      <c r="N637">
        <f>Earnings!B637*(1+M637)</f>
        <v>1119170.6562999999</v>
      </c>
    </row>
    <row r="638" spans="1:14" x14ac:dyDescent="0.35">
      <c r="A638" t="s">
        <v>668</v>
      </c>
      <c r="B638" t="s">
        <v>14</v>
      </c>
      <c r="C638" t="s">
        <v>43</v>
      </c>
      <c r="D638" t="s">
        <v>21</v>
      </c>
      <c r="E638">
        <v>6.8</v>
      </c>
      <c r="F638" t="s">
        <v>70</v>
      </c>
      <c r="G638">
        <f>Earnings!G638</f>
        <v>818483.63</v>
      </c>
      <c r="H638">
        <f>Deductions!B638+Deductions!C638+Deductions!D638+Tax!D638</f>
        <v>9177.5285000000003</v>
      </c>
      <c r="I638">
        <f t="shared" si="27"/>
        <v>992003.33774999995</v>
      </c>
      <c r="J638">
        <f>Overtime!D638</f>
        <v>182697.23624999999</v>
      </c>
      <c r="K638">
        <f t="shared" si="28"/>
        <v>0.12</v>
      </c>
      <c r="L638">
        <f>IF(Performance!E638&lt;=1.5,0.01,IF(Performance!E638&lt;=2,0.02,IF(Performance!E638&lt;=3,0.03,"")))</f>
        <v>0.01</v>
      </c>
      <c r="M638">
        <f t="shared" si="29"/>
        <v>0.13</v>
      </c>
      <c r="N638">
        <f>Earnings!B638*(1+M638)</f>
        <v>971519.43229999987</v>
      </c>
    </row>
    <row r="639" spans="1:14" x14ac:dyDescent="0.35">
      <c r="A639" t="s">
        <v>669</v>
      </c>
      <c r="B639" t="s">
        <v>35</v>
      </c>
      <c r="C639" t="s">
        <v>20</v>
      </c>
      <c r="D639" t="s">
        <v>21</v>
      </c>
      <c r="E639">
        <v>5.6</v>
      </c>
      <c r="F639" t="s">
        <v>44</v>
      </c>
      <c r="G639">
        <f>Earnings!G639</f>
        <v>1040877.22</v>
      </c>
      <c r="H639">
        <f>Deductions!B639+Deductions!C639+Deductions!D639+Tax!D639</f>
        <v>13788.960499999999</v>
      </c>
      <c r="I639">
        <f t="shared" si="27"/>
        <v>1111276.8582249999</v>
      </c>
      <c r="J639">
        <f>Overtime!D639</f>
        <v>84188.598725000003</v>
      </c>
      <c r="K639">
        <f t="shared" si="28"/>
        <v>0.1</v>
      </c>
      <c r="L639">
        <f>IF(Performance!E639&lt;=1.5,0.01,IF(Performance!E639&lt;=2,0.02,IF(Performance!E639&lt;=3,0.03,"")))</f>
        <v>0.01</v>
      </c>
      <c r="M639">
        <f t="shared" si="29"/>
        <v>0.11</v>
      </c>
      <c r="N639">
        <f>Earnings!B639*(1+M639)</f>
        <v>1213627.8462</v>
      </c>
    </row>
    <row r="640" spans="1:14" x14ac:dyDescent="0.35">
      <c r="A640" t="s">
        <v>670</v>
      </c>
      <c r="B640" t="s">
        <v>19</v>
      </c>
      <c r="C640" t="s">
        <v>20</v>
      </c>
      <c r="D640" t="s">
        <v>21</v>
      </c>
      <c r="E640">
        <v>8.4</v>
      </c>
      <c r="F640" t="s">
        <v>22</v>
      </c>
      <c r="G640">
        <f>Earnings!G640</f>
        <v>830797.21</v>
      </c>
      <c r="H640">
        <f>Deductions!B640+Deductions!C640+Deductions!D640+Tax!D640</f>
        <v>9333.1025000000009</v>
      </c>
      <c r="I640">
        <f t="shared" si="27"/>
        <v>821464.10749999993</v>
      </c>
      <c r="J640">
        <f>Overtime!D640</f>
        <v>0</v>
      </c>
      <c r="K640">
        <f t="shared" si="28"/>
        <v>0.1</v>
      </c>
      <c r="L640">
        <f>IF(Performance!E640&lt;=1.5,0.01,IF(Performance!E640&lt;=2,0.02,IF(Performance!E640&lt;=3,0.03,"")))</f>
        <v>0.03</v>
      </c>
      <c r="M640">
        <f t="shared" si="29"/>
        <v>0.13</v>
      </c>
      <c r="N640">
        <f>Earnings!B640*(1+M640)</f>
        <v>986135.34949999989</v>
      </c>
    </row>
    <row r="641" spans="1:14" x14ac:dyDescent="0.35">
      <c r="A641" t="s">
        <v>671</v>
      </c>
      <c r="B641" t="s">
        <v>14</v>
      </c>
      <c r="C641" t="s">
        <v>15</v>
      </c>
      <c r="D641" t="s">
        <v>21</v>
      </c>
      <c r="E641">
        <v>10</v>
      </c>
      <c r="F641" t="s">
        <v>70</v>
      </c>
      <c r="G641">
        <f>Earnings!G641</f>
        <v>605343.86</v>
      </c>
      <c r="H641">
        <f>Deductions!B641+Deductions!C641+Deductions!D641+Tax!D641</f>
        <v>5306.09</v>
      </c>
      <c r="I641">
        <f t="shared" si="27"/>
        <v>669982.96400000004</v>
      </c>
      <c r="J641">
        <f>Overtime!D641</f>
        <v>69945.194000000003</v>
      </c>
      <c r="K641">
        <f t="shared" si="28"/>
        <v>0.06</v>
      </c>
      <c r="L641">
        <f>IF(Performance!E641&lt;=1.5,0.01,IF(Performance!E641&lt;=2,0.02,IF(Performance!E641&lt;=3,0.03,"")))</f>
        <v>0.01</v>
      </c>
      <c r="M641">
        <f t="shared" si="29"/>
        <v>6.9999999999999993E-2</v>
      </c>
      <c r="N641">
        <f>Earnings!B641*(1+M641)</f>
        <v>680375.97800000012</v>
      </c>
    </row>
    <row r="642" spans="1:14" x14ac:dyDescent="0.35">
      <c r="A642" t="s">
        <v>672</v>
      </c>
      <c r="B642" t="s">
        <v>35</v>
      </c>
      <c r="C642" t="s">
        <v>43</v>
      </c>
      <c r="D642" t="s">
        <v>16</v>
      </c>
      <c r="E642">
        <v>15.3</v>
      </c>
      <c r="F642" t="s">
        <v>31</v>
      </c>
      <c r="G642">
        <f>Earnings!G642</f>
        <v>1905007.31</v>
      </c>
      <c r="H642">
        <f>Deductions!B642+Deductions!C642+Deductions!D642+Tax!D642</f>
        <v>36541.452499999999</v>
      </c>
      <c r="I642">
        <f t="shared" ref="I642:I705" si="30">G642-H642+J642</f>
        <v>2072573.7837</v>
      </c>
      <c r="J642">
        <f>Overtime!D642</f>
        <v>204107.92619999996</v>
      </c>
      <c r="K642">
        <f t="shared" ref="K642:K705" si="31">IF(C642="Junior",0.06,IF(C642="Mid",0.08,IF(C642="Senior",0.1,IF(C642="Manager",0.12,0))))</f>
        <v>0.12</v>
      </c>
      <c r="L642">
        <f>IF(Performance!E642&lt;=1.5,0.01,IF(Performance!E642&lt;=2,0.02,IF(Performance!E642&lt;=3,0.03,"")))</f>
        <v>0.01</v>
      </c>
      <c r="M642">
        <f t="shared" ref="M642:M705" si="32">K642+L642</f>
        <v>0.13</v>
      </c>
      <c r="N642">
        <f>Earnings!B642*(1+M642)</f>
        <v>2261195.6529999999</v>
      </c>
    </row>
    <row r="643" spans="1:14" x14ac:dyDescent="0.35">
      <c r="A643" t="s">
        <v>673</v>
      </c>
      <c r="B643" t="s">
        <v>29</v>
      </c>
      <c r="C643" t="s">
        <v>33</v>
      </c>
      <c r="D643" t="s">
        <v>21</v>
      </c>
      <c r="E643">
        <v>15.6</v>
      </c>
      <c r="F643" t="s">
        <v>22</v>
      </c>
      <c r="G643">
        <f>Earnings!G643</f>
        <v>1561949.08</v>
      </c>
      <c r="H643">
        <f>Deductions!B643+Deductions!C643+Deductions!D643+Tax!D643</f>
        <v>27432.570500000002</v>
      </c>
      <c r="I643">
        <f t="shared" si="30"/>
        <v>1534516.5095000002</v>
      </c>
      <c r="J643">
        <f>Overtime!D643</f>
        <v>0</v>
      </c>
      <c r="K643">
        <f t="shared" si="31"/>
        <v>0.08</v>
      </c>
      <c r="L643">
        <f>IF(Performance!E643&lt;=1.5,0.01,IF(Performance!E643&lt;=2,0.02,IF(Performance!E643&lt;=3,0.03,"")))</f>
        <v>0.02</v>
      </c>
      <c r="M643">
        <f t="shared" si="32"/>
        <v>0.1</v>
      </c>
      <c r="N643">
        <f>Earnings!B643*(1+M643)</f>
        <v>1804773.1020000002</v>
      </c>
    </row>
    <row r="644" spans="1:14" x14ac:dyDescent="0.35">
      <c r="A644" t="s">
        <v>674</v>
      </c>
      <c r="B644" t="s">
        <v>14</v>
      </c>
      <c r="C644" t="s">
        <v>33</v>
      </c>
      <c r="D644" t="s">
        <v>21</v>
      </c>
      <c r="E644">
        <v>18</v>
      </c>
      <c r="F644" t="s">
        <v>44</v>
      </c>
      <c r="G644">
        <f>Earnings!G644</f>
        <v>1022549.73</v>
      </c>
      <c r="H644">
        <f>Deductions!B644+Deductions!C644+Deductions!D644+Tax!D644</f>
        <v>13267.671500000002</v>
      </c>
      <c r="I644">
        <f t="shared" si="30"/>
        <v>1009282.0584999999</v>
      </c>
      <c r="J644">
        <f>Overtime!D644</f>
        <v>0</v>
      </c>
      <c r="K644">
        <f t="shared" si="31"/>
        <v>0.08</v>
      </c>
      <c r="L644">
        <f>IF(Performance!E644&lt;=1.5,0.01,IF(Performance!E644&lt;=2,0.02,IF(Performance!E644&lt;=3,0.03,"")))</f>
        <v>0.01</v>
      </c>
      <c r="M644">
        <f t="shared" si="32"/>
        <v>0.09</v>
      </c>
      <c r="N644">
        <f>Earnings!B644*(1+M644)</f>
        <v>1170776.4774000002</v>
      </c>
    </row>
    <row r="645" spans="1:14" x14ac:dyDescent="0.35">
      <c r="A645" t="s">
        <v>675</v>
      </c>
      <c r="B645" t="s">
        <v>14</v>
      </c>
      <c r="C645" t="s">
        <v>15</v>
      </c>
      <c r="D645" t="s">
        <v>16</v>
      </c>
      <c r="E645">
        <v>7</v>
      </c>
      <c r="F645" t="s">
        <v>37</v>
      </c>
      <c r="G645">
        <f>Earnings!G645</f>
        <v>682297.45</v>
      </c>
      <c r="H645">
        <f>Deductions!B645+Deductions!C645+Deductions!D645+Tax!D645</f>
        <v>6653.3166666666666</v>
      </c>
      <c r="I645">
        <f t="shared" si="30"/>
        <v>675644.1333333333</v>
      </c>
      <c r="J645">
        <f>Overtime!D645</f>
        <v>0</v>
      </c>
      <c r="K645">
        <f t="shared" si="31"/>
        <v>0.06</v>
      </c>
      <c r="L645">
        <f>IF(Performance!E645&lt;=1.5,0.01,IF(Performance!E645&lt;=2,0.02,IF(Performance!E645&lt;=3,0.03,"")))</f>
        <v>0.01</v>
      </c>
      <c r="M645">
        <f t="shared" si="32"/>
        <v>6.9999999999999993E-2</v>
      </c>
      <c r="N645">
        <f>Earnings!B645*(1+M645)</f>
        <v>766867.93</v>
      </c>
    </row>
    <row r="646" spans="1:14" x14ac:dyDescent="0.35">
      <c r="A646" t="s">
        <v>676</v>
      </c>
      <c r="B646" t="s">
        <v>35</v>
      </c>
      <c r="C646" t="s">
        <v>15</v>
      </c>
      <c r="D646" t="s">
        <v>16</v>
      </c>
      <c r="E646">
        <v>9</v>
      </c>
      <c r="F646" t="s">
        <v>37</v>
      </c>
      <c r="G646">
        <f>Earnings!G646</f>
        <v>1090930.1200000001</v>
      </c>
      <c r="H646">
        <f>Deductions!B646+Deductions!C646+Deductions!D646+Tax!D646</f>
        <v>15023.375</v>
      </c>
      <c r="I646">
        <f t="shared" si="30"/>
        <v>1075906.7450000001</v>
      </c>
      <c r="J646">
        <f>Overtime!D646</f>
        <v>0</v>
      </c>
      <c r="K646">
        <f t="shared" si="31"/>
        <v>0.06</v>
      </c>
      <c r="L646">
        <f>IF(Performance!E646&lt;=1.5,0.01,IF(Performance!E646&lt;=2,0.02,IF(Performance!E646&lt;=3,0.03,"")))</f>
        <v>0.01</v>
      </c>
      <c r="M646">
        <f t="shared" si="32"/>
        <v>6.9999999999999993E-2</v>
      </c>
      <c r="N646">
        <f>Earnings!B646*(1+M646)</f>
        <v>1226150.4500000002</v>
      </c>
    </row>
    <row r="647" spans="1:14" x14ac:dyDescent="0.35">
      <c r="A647" t="s">
        <v>677</v>
      </c>
      <c r="B647" t="s">
        <v>29</v>
      </c>
      <c r="C647" t="s">
        <v>15</v>
      </c>
      <c r="D647" t="s">
        <v>21</v>
      </c>
      <c r="E647">
        <v>13</v>
      </c>
      <c r="F647" t="s">
        <v>37</v>
      </c>
      <c r="G647">
        <f>Earnings!G647</f>
        <v>912459.11</v>
      </c>
      <c r="H647">
        <f>Deductions!B647+Deductions!C647+Deductions!D647+Tax!D647</f>
        <v>10682.7575</v>
      </c>
      <c r="I647">
        <f t="shared" si="30"/>
        <v>901776.35250000004</v>
      </c>
      <c r="J647">
        <f>Overtime!D647</f>
        <v>0</v>
      </c>
      <c r="K647">
        <f t="shared" si="31"/>
        <v>0.06</v>
      </c>
      <c r="L647">
        <f>IF(Performance!E647&lt;=1.5,0.01,IF(Performance!E647&lt;=2,0.02,IF(Performance!E647&lt;=3,0.03,"")))</f>
        <v>0.02</v>
      </c>
      <c r="M647">
        <f t="shared" si="32"/>
        <v>0.08</v>
      </c>
      <c r="N647">
        <f>Earnings!B647*(1+M647)</f>
        <v>1035142.686</v>
      </c>
    </row>
    <row r="648" spans="1:14" x14ac:dyDescent="0.35">
      <c r="A648" t="s">
        <v>678</v>
      </c>
      <c r="B648" t="s">
        <v>29</v>
      </c>
      <c r="C648" t="s">
        <v>20</v>
      </c>
      <c r="D648" t="s">
        <v>16</v>
      </c>
      <c r="E648">
        <v>7</v>
      </c>
      <c r="F648" t="s">
        <v>31</v>
      </c>
      <c r="G648">
        <f>Earnings!G648</f>
        <v>1675986.67</v>
      </c>
      <c r="H648">
        <f>Deductions!B648+Deductions!C648+Deductions!D648+Tax!D648</f>
        <v>30467.254999999994</v>
      </c>
      <c r="I648">
        <f t="shared" si="30"/>
        <v>1645519.415</v>
      </c>
      <c r="J648">
        <f>Overtime!D648</f>
        <v>0</v>
      </c>
      <c r="K648">
        <f t="shared" si="31"/>
        <v>0.1</v>
      </c>
      <c r="L648">
        <f>IF(Performance!E648&lt;=1.5,0.01,IF(Performance!E648&lt;=2,0.02,IF(Performance!E648&lt;=3,0.03,"")))</f>
        <v>0.02</v>
      </c>
      <c r="M648">
        <f t="shared" si="32"/>
        <v>0.12000000000000001</v>
      </c>
      <c r="N648">
        <f>Earnings!B648*(1+M648)</f>
        <v>1971749.0240000002</v>
      </c>
    </row>
    <row r="649" spans="1:14" x14ac:dyDescent="0.35">
      <c r="A649" t="s">
        <v>679</v>
      </c>
      <c r="B649" t="s">
        <v>29</v>
      </c>
      <c r="C649" t="s">
        <v>20</v>
      </c>
      <c r="D649" t="s">
        <v>16</v>
      </c>
      <c r="E649">
        <v>12.6</v>
      </c>
      <c r="F649" t="s">
        <v>70</v>
      </c>
      <c r="G649">
        <f>Earnings!G649</f>
        <v>1860559.48</v>
      </c>
      <c r="H649">
        <f>Deductions!B649+Deductions!C649+Deductions!D649+Tax!D649</f>
        <v>35314.229999999996</v>
      </c>
      <c r="I649">
        <f t="shared" si="30"/>
        <v>2126218.1068000002</v>
      </c>
      <c r="J649">
        <f>Overtime!D649</f>
        <v>300972.85680000007</v>
      </c>
      <c r="K649">
        <f t="shared" si="31"/>
        <v>0.1</v>
      </c>
      <c r="L649">
        <f>IF(Performance!E649&lt;=1.5,0.01,IF(Performance!E649&lt;=2,0.02,IF(Performance!E649&lt;=3,0.03,"")))</f>
        <v>0.02</v>
      </c>
      <c r="M649">
        <f t="shared" si="32"/>
        <v>0.12000000000000001</v>
      </c>
      <c r="N649">
        <f>Earnings!B649*(1+M649)</f>
        <v>2188893.5040000002</v>
      </c>
    </row>
    <row r="650" spans="1:14" x14ac:dyDescent="0.35">
      <c r="A650" t="s">
        <v>680</v>
      </c>
      <c r="B650" t="s">
        <v>26</v>
      </c>
      <c r="C650" t="s">
        <v>20</v>
      </c>
      <c r="D650" t="s">
        <v>16</v>
      </c>
      <c r="E650">
        <v>19.600000000000001</v>
      </c>
      <c r="F650" t="s">
        <v>31</v>
      </c>
      <c r="G650">
        <f>Earnings!G650</f>
        <v>1444148.78</v>
      </c>
      <c r="H650">
        <f>Deductions!B650+Deductions!C650+Deductions!D650+Tax!D650</f>
        <v>24379.075000000001</v>
      </c>
      <c r="I650">
        <f t="shared" si="30"/>
        <v>1727713.1940000001</v>
      </c>
      <c r="J650">
        <f>Overtime!D650</f>
        <v>307943.489</v>
      </c>
      <c r="K650">
        <f t="shared" si="31"/>
        <v>0.1</v>
      </c>
      <c r="L650">
        <f>IF(Performance!E650&lt;=1.5,0.01,IF(Performance!E650&lt;=2,0.02,IF(Performance!E650&lt;=3,0.03,"")))</f>
        <v>0.01</v>
      </c>
      <c r="M650">
        <f t="shared" si="32"/>
        <v>0.11</v>
      </c>
      <c r="N650">
        <f>Earnings!B650*(1+M650)</f>
        <v>1683828.9300000002</v>
      </c>
    </row>
    <row r="651" spans="1:14" x14ac:dyDescent="0.35">
      <c r="A651" t="s">
        <v>681</v>
      </c>
      <c r="B651" t="s">
        <v>29</v>
      </c>
      <c r="C651" t="s">
        <v>15</v>
      </c>
      <c r="D651" t="s">
        <v>21</v>
      </c>
      <c r="E651">
        <v>11</v>
      </c>
      <c r="F651" t="s">
        <v>27</v>
      </c>
      <c r="G651">
        <f>Earnings!G651</f>
        <v>1348504.72</v>
      </c>
      <c r="H651">
        <f>Deductions!B651+Deductions!C651+Deductions!D651+Tax!D651</f>
        <v>21787.413750000003</v>
      </c>
      <c r="I651">
        <f t="shared" si="30"/>
        <v>1326717.3062499999</v>
      </c>
      <c r="J651">
        <f>Overtime!D651</f>
        <v>0</v>
      </c>
      <c r="K651">
        <f t="shared" si="31"/>
        <v>0.06</v>
      </c>
      <c r="L651">
        <f>IF(Performance!E651&lt;=1.5,0.01,IF(Performance!E651&lt;=2,0.02,IF(Performance!E651&lt;=3,0.03,"")))</f>
        <v>0.02</v>
      </c>
      <c r="M651">
        <f t="shared" si="32"/>
        <v>0.08</v>
      </c>
      <c r="N651">
        <f>Earnings!B651*(1+M651)</f>
        <v>1529816.2740000002</v>
      </c>
    </row>
    <row r="652" spans="1:14" x14ac:dyDescent="0.35">
      <c r="A652" t="s">
        <v>682</v>
      </c>
      <c r="B652" t="s">
        <v>29</v>
      </c>
      <c r="C652" t="s">
        <v>33</v>
      </c>
      <c r="D652" t="s">
        <v>16</v>
      </c>
      <c r="E652">
        <v>16.8</v>
      </c>
      <c r="F652" t="s">
        <v>44</v>
      </c>
      <c r="G652">
        <f>Earnings!G652</f>
        <v>1826296.62</v>
      </c>
      <c r="H652">
        <f>Deductions!B652+Deductions!C652+Deductions!D652+Tax!D652</f>
        <v>34374.47</v>
      </c>
      <c r="I652">
        <f t="shared" si="30"/>
        <v>1895514.6052000001</v>
      </c>
      <c r="J652">
        <f>Overtime!D652</f>
        <v>103592.45520000001</v>
      </c>
      <c r="K652">
        <f t="shared" si="31"/>
        <v>0.08</v>
      </c>
      <c r="L652">
        <f>IF(Performance!E652&lt;=1.5,0.01,IF(Performance!E652&lt;=2,0.02,IF(Performance!E652&lt;=3,0.03,"")))</f>
        <v>0.02</v>
      </c>
      <c r="M652">
        <f t="shared" si="32"/>
        <v>0.1</v>
      </c>
      <c r="N652">
        <f>Earnings!B652*(1+M652)</f>
        <v>2110216.6800000002</v>
      </c>
    </row>
    <row r="653" spans="1:14" x14ac:dyDescent="0.35">
      <c r="A653" t="s">
        <v>683</v>
      </c>
      <c r="B653" t="s">
        <v>29</v>
      </c>
      <c r="C653" t="s">
        <v>43</v>
      </c>
      <c r="D653" t="s">
        <v>21</v>
      </c>
      <c r="E653">
        <v>11.9</v>
      </c>
      <c r="F653" t="s">
        <v>17</v>
      </c>
      <c r="G653">
        <f>Earnings!G653</f>
        <v>2082625.82</v>
      </c>
      <c r="H653">
        <f>Deductions!B653+Deductions!C653+Deductions!D653+Tax!D653</f>
        <v>41205.804249999994</v>
      </c>
      <c r="I653">
        <f t="shared" si="30"/>
        <v>2041420.01575</v>
      </c>
      <c r="J653">
        <f>Overtime!D653</f>
        <v>0</v>
      </c>
      <c r="K653">
        <f t="shared" si="31"/>
        <v>0.12</v>
      </c>
      <c r="L653">
        <f>IF(Performance!E653&lt;=1.5,0.01,IF(Performance!E653&lt;=2,0.02,IF(Performance!E653&lt;=3,0.03,"")))</f>
        <v>0.02</v>
      </c>
      <c r="M653">
        <f t="shared" si="32"/>
        <v>0.13999999999999999</v>
      </c>
      <c r="N653">
        <f>Earnings!B653*(1+M653)</f>
        <v>2493900.6737999995</v>
      </c>
    </row>
    <row r="654" spans="1:14" x14ac:dyDescent="0.35">
      <c r="A654" t="s">
        <v>684</v>
      </c>
      <c r="B654" t="s">
        <v>29</v>
      </c>
      <c r="C654" t="s">
        <v>43</v>
      </c>
      <c r="D654" t="s">
        <v>16</v>
      </c>
      <c r="E654">
        <v>10.199999999999999</v>
      </c>
      <c r="F654" t="s">
        <v>37</v>
      </c>
      <c r="G654">
        <f>Earnings!G654</f>
        <v>1344629.84</v>
      </c>
      <c r="H654">
        <f>Deductions!B654+Deductions!C654+Deductions!D654+Tax!D654</f>
        <v>21825.657500000001</v>
      </c>
      <c r="I654">
        <f t="shared" si="30"/>
        <v>1418849.1709</v>
      </c>
      <c r="J654">
        <f>Overtime!D654</f>
        <v>96044.988400000002</v>
      </c>
      <c r="K654">
        <f t="shared" si="31"/>
        <v>0.12</v>
      </c>
      <c r="L654">
        <f>IF(Performance!E654&lt;=1.5,0.01,IF(Performance!E654&lt;=2,0.02,IF(Performance!E654&lt;=3,0.03,"")))</f>
        <v>0.02</v>
      </c>
      <c r="M654">
        <f t="shared" si="32"/>
        <v>0.13999999999999999</v>
      </c>
      <c r="N654">
        <f>Earnings!B654*(1+M654)</f>
        <v>1610165.9819999998</v>
      </c>
    </row>
    <row r="655" spans="1:14" x14ac:dyDescent="0.35">
      <c r="A655" t="s">
        <v>685</v>
      </c>
      <c r="B655" t="s">
        <v>35</v>
      </c>
      <c r="C655" t="s">
        <v>43</v>
      </c>
      <c r="D655" t="s">
        <v>21</v>
      </c>
      <c r="E655">
        <v>3.4</v>
      </c>
      <c r="F655" t="s">
        <v>37</v>
      </c>
      <c r="G655">
        <f>Earnings!G655</f>
        <v>1067729.1200000001</v>
      </c>
      <c r="H655">
        <f>Deductions!B655+Deductions!C655+Deductions!D655+Tax!D655</f>
        <v>14554.105249999999</v>
      </c>
      <c r="I655">
        <f t="shared" si="30"/>
        <v>1100841.4932500001</v>
      </c>
      <c r="J655">
        <f>Overtime!D655</f>
        <v>47666.478499999997</v>
      </c>
      <c r="K655">
        <f t="shared" si="31"/>
        <v>0.12</v>
      </c>
      <c r="L655">
        <f>IF(Performance!E655&lt;=1.5,0.01,IF(Performance!E655&lt;=2,0.02,IF(Performance!E655&lt;=3,0.03,"")))</f>
        <v>0.01</v>
      </c>
      <c r="M655">
        <f t="shared" si="32"/>
        <v>0.13</v>
      </c>
      <c r="N655">
        <f>Earnings!B655*(1+M655)</f>
        <v>1267367.5572999998</v>
      </c>
    </row>
    <row r="656" spans="1:14" x14ac:dyDescent="0.35">
      <c r="A656" t="s">
        <v>686</v>
      </c>
      <c r="B656" t="s">
        <v>29</v>
      </c>
      <c r="C656" t="s">
        <v>20</v>
      </c>
      <c r="D656" t="s">
        <v>21</v>
      </c>
      <c r="E656">
        <v>8.4</v>
      </c>
      <c r="F656" t="s">
        <v>37</v>
      </c>
      <c r="G656">
        <f>Earnings!G656</f>
        <v>1524356.61</v>
      </c>
      <c r="H656">
        <f>Deductions!B656+Deductions!C656+Deductions!D656+Tax!D656</f>
        <v>26485.373249999993</v>
      </c>
      <c r="I656">
        <f t="shared" si="30"/>
        <v>1497871.2367500002</v>
      </c>
      <c r="J656">
        <f>Overtime!D656</f>
        <v>0</v>
      </c>
      <c r="K656">
        <f t="shared" si="31"/>
        <v>0.1</v>
      </c>
      <c r="L656">
        <f>IF(Performance!E656&lt;=1.5,0.01,IF(Performance!E656&lt;=2,0.02,IF(Performance!E656&lt;=3,0.03,"")))</f>
        <v>0.02</v>
      </c>
      <c r="M656">
        <f t="shared" si="32"/>
        <v>0.12000000000000001</v>
      </c>
      <c r="N656">
        <f>Earnings!B656*(1+M656)</f>
        <v>1793360.7216</v>
      </c>
    </row>
    <row r="657" spans="1:14" x14ac:dyDescent="0.35">
      <c r="A657" t="s">
        <v>687</v>
      </c>
      <c r="B657" t="s">
        <v>19</v>
      </c>
      <c r="C657" t="s">
        <v>20</v>
      </c>
      <c r="D657" t="s">
        <v>16</v>
      </c>
      <c r="E657">
        <v>9.8000000000000007</v>
      </c>
      <c r="F657" t="s">
        <v>44</v>
      </c>
      <c r="G657">
        <f>Earnings!G657</f>
        <v>1298025.92</v>
      </c>
      <c r="H657">
        <f>Deductions!B657+Deductions!C657+Deductions!D657+Tax!D657</f>
        <v>20541.815000000002</v>
      </c>
      <c r="I657">
        <f t="shared" si="30"/>
        <v>1382471.4952</v>
      </c>
      <c r="J657">
        <f>Overtime!D657</f>
        <v>104987.39020000001</v>
      </c>
      <c r="K657">
        <f t="shared" si="31"/>
        <v>0.1</v>
      </c>
      <c r="L657">
        <f>IF(Performance!E657&lt;=1.5,0.01,IF(Performance!E657&lt;=2,0.02,IF(Performance!E657&lt;=3,0.03,"")))</f>
        <v>0.03</v>
      </c>
      <c r="M657">
        <f t="shared" si="32"/>
        <v>0.13</v>
      </c>
      <c r="N657">
        <f>Earnings!B657*(1+M657)</f>
        <v>1540724.0379999999</v>
      </c>
    </row>
    <row r="658" spans="1:14" x14ac:dyDescent="0.35">
      <c r="A658" t="s">
        <v>688</v>
      </c>
      <c r="B658" t="s">
        <v>19</v>
      </c>
      <c r="C658" t="s">
        <v>33</v>
      </c>
      <c r="D658" t="s">
        <v>21</v>
      </c>
      <c r="E658">
        <v>8.4</v>
      </c>
      <c r="F658" t="s">
        <v>17</v>
      </c>
      <c r="G658">
        <f>Earnings!G658</f>
        <v>1127069.79</v>
      </c>
      <c r="H658">
        <f>Deductions!B658+Deductions!C658+Deductions!D658+Tax!D658</f>
        <v>16012.421000000002</v>
      </c>
      <c r="I658">
        <f t="shared" si="30"/>
        <v>1231814.8476999998</v>
      </c>
      <c r="J658">
        <f>Overtime!D658</f>
        <v>120757.47869999998</v>
      </c>
      <c r="K658">
        <f t="shared" si="31"/>
        <v>0.08</v>
      </c>
      <c r="L658">
        <f>IF(Performance!E658&lt;=1.5,0.01,IF(Performance!E658&lt;=2,0.02,IF(Performance!E658&lt;=3,0.03,"")))</f>
        <v>0.03</v>
      </c>
      <c r="M658">
        <f t="shared" si="32"/>
        <v>0.11</v>
      </c>
      <c r="N658">
        <f>Earnings!B658*(1+M658)</f>
        <v>1314125.4924000001</v>
      </c>
    </row>
    <row r="659" spans="1:14" x14ac:dyDescent="0.35">
      <c r="A659" t="s">
        <v>689</v>
      </c>
      <c r="B659" t="s">
        <v>26</v>
      </c>
      <c r="C659" t="s">
        <v>15</v>
      </c>
      <c r="D659" t="s">
        <v>21</v>
      </c>
      <c r="E659">
        <v>6</v>
      </c>
      <c r="F659" t="s">
        <v>24</v>
      </c>
      <c r="G659">
        <f>Earnings!G659</f>
        <v>773628.28</v>
      </c>
      <c r="H659">
        <f>Deductions!B659+Deductions!C659+Deductions!D659+Tax!D659</f>
        <v>8252.2458333333343</v>
      </c>
      <c r="I659">
        <f t="shared" si="30"/>
        <v>765376.03416666668</v>
      </c>
      <c r="J659">
        <f>Overtime!D659</f>
        <v>0</v>
      </c>
      <c r="K659">
        <f t="shared" si="31"/>
        <v>0.06</v>
      </c>
      <c r="L659">
        <f>IF(Performance!E659&lt;=1.5,0.01,IF(Performance!E659&lt;=2,0.02,IF(Performance!E659&lt;=3,0.03,"")))</f>
        <v>0.01</v>
      </c>
      <c r="M659">
        <f t="shared" si="32"/>
        <v>6.9999999999999993E-2</v>
      </c>
      <c r="N659">
        <f>Earnings!B659*(1+M659)</f>
        <v>869519.1825</v>
      </c>
    </row>
    <row r="660" spans="1:14" x14ac:dyDescent="0.35">
      <c r="A660" t="s">
        <v>690</v>
      </c>
      <c r="B660" t="s">
        <v>29</v>
      </c>
      <c r="C660" t="s">
        <v>33</v>
      </c>
      <c r="D660" t="s">
        <v>16</v>
      </c>
      <c r="E660">
        <v>18</v>
      </c>
      <c r="F660" t="s">
        <v>17</v>
      </c>
      <c r="G660">
        <f>Earnings!G660</f>
        <v>1575425.58</v>
      </c>
      <c r="H660">
        <f>Deductions!B660+Deductions!C660+Deductions!D660+Tax!D660</f>
        <v>27786.47</v>
      </c>
      <c r="I660">
        <f t="shared" si="30"/>
        <v>1785938.7772000001</v>
      </c>
      <c r="J660">
        <f>Overtime!D660</f>
        <v>238299.6672</v>
      </c>
      <c r="K660">
        <f t="shared" si="31"/>
        <v>0.08</v>
      </c>
      <c r="L660">
        <f>IF(Performance!E660&lt;=1.5,0.01,IF(Performance!E660&lt;=2,0.02,IF(Performance!E660&lt;=3,0.03,"")))</f>
        <v>0.02</v>
      </c>
      <c r="M660">
        <f t="shared" si="32"/>
        <v>0.1</v>
      </c>
      <c r="N660">
        <f>Earnings!B660*(1+M660)</f>
        <v>1820344.6800000002</v>
      </c>
    </row>
    <row r="661" spans="1:14" x14ac:dyDescent="0.35">
      <c r="A661" t="s">
        <v>691</v>
      </c>
      <c r="B661" t="s">
        <v>26</v>
      </c>
      <c r="C661" t="s">
        <v>15</v>
      </c>
      <c r="D661" t="s">
        <v>21</v>
      </c>
      <c r="E661">
        <v>0</v>
      </c>
      <c r="F661" t="s">
        <v>27</v>
      </c>
      <c r="G661">
        <f>Earnings!G661</f>
        <v>558435.35</v>
      </c>
      <c r="H661">
        <f>Deductions!B661+Deductions!C661+Deductions!D661+Tax!D661</f>
        <v>4484.8625000000002</v>
      </c>
      <c r="I661">
        <f t="shared" si="30"/>
        <v>553950.48749999993</v>
      </c>
      <c r="J661">
        <f>Overtime!D661</f>
        <v>0</v>
      </c>
      <c r="K661">
        <f t="shared" si="31"/>
        <v>0.06</v>
      </c>
      <c r="L661">
        <f>IF(Performance!E661&lt;=1.5,0.01,IF(Performance!E661&lt;=2,0.02,IF(Performance!E661&lt;=3,0.03,"")))</f>
        <v>0.01</v>
      </c>
      <c r="M661">
        <f t="shared" si="32"/>
        <v>6.9999999999999993E-2</v>
      </c>
      <c r="N661">
        <f>Earnings!B661*(1+M661)</f>
        <v>627653.17249999999</v>
      </c>
    </row>
    <row r="662" spans="1:14" x14ac:dyDescent="0.35">
      <c r="A662" t="s">
        <v>692</v>
      </c>
      <c r="B662" t="s">
        <v>29</v>
      </c>
      <c r="C662" t="s">
        <v>33</v>
      </c>
      <c r="D662" t="s">
        <v>21</v>
      </c>
      <c r="E662">
        <v>2.4</v>
      </c>
      <c r="F662" t="s">
        <v>31</v>
      </c>
      <c r="G662">
        <f>Earnings!G662</f>
        <v>1349151.72</v>
      </c>
      <c r="H662">
        <f>Deductions!B662+Deductions!C662+Deductions!D662+Tax!D662</f>
        <v>21844.404500000001</v>
      </c>
      <c r="I662">
        <f t="shared" si="30"/>
        <v>1327307.3155</v>
      </c>
      <c r="J662">
        <f>Overtime!D662</f>
        <v>0</v>
      </c>
      <c r="K662">
        <f t="shared" si="31"/>
        <v>0.08</v>
      </c>
      <c r="L662">
        <f>IF(Performance!E662&lt;=1.5,0.01,IF(Performance!E662&lt;=2,0.02,IF(Performance!E662&lt;=3,0.03,"")))</f>
        <v>0.02</v>
      </c>
      <c r="M662">
        <f t="shared" si="32"/>
        <v>0.1</v>
      </c>
      <c r="N662">
        <f>Earnings!B662*(1+M662)</f>
        <v>1558893.798</v>
      </c>
    </row>
    <row r="663" spans="1:14" x14ac:dyDescent="0.35">
      <c r="A663" t="s">
        <v>693</v>
      </c>
      <c r="B663" t="s">
        <v>19</v>
      </c>
      <c r="C663" t="s">
        <v>15</v>
      </c>
      <c r="D663" t="s">
        <v>16</v>
      </c>
      <c r="E663">
        <v>13</v>
      </c>
      <c r="F663" t="s">
        <v>27</v>
      </c>
      <c r="G663">
        <f>Earnings!G663</f>
        <v>1163519.17</v>
      </c>
      <c r="H663">
        <f>Deductions!B663+Deductions!C663+Deductions!D663+Tax!D663</f>
        <v>16929.599999999999</v>
      </c>
      <c r="I663">
        <f t="shared" si="30"/>
        <v>1146589.5699999998</v>
      </c>
      <c r="J663">
        <f>Overtime!D663</f>
        <v>0</v>
      </c>
      <c r="K663">
        <f t="shared" si="31"/>
        <v>0.06</v>
      </c>
      <c r="L663">
        <f>IF(Performance!E663&lt;=1.5,0.01,IF(Performance!E663&lt;=2,0.02,IF(Performance!E663&lt;=3,0.03,"")))</f>
        <v>0.03</v>
      </c>
      <c r="M663">
        <f t="shared" si="32"/>
        <v>0.09</v>
      </c>
      <c r="N663">
        <f>Earnings!B663*(1+M663)</f>
        <v>1332180.56</v>
      </c>
    </row>
    <row r="664" spans="1:14" x14ac:dyDescent="0.35">
      <c r="A664" t="s">
        <v>694</v>
      </c>
      <c r="B664" t="s">
        <v>14</v>
      </c>
      <c r="C664" t="s">
        <v>15</v>
      </c>
      <c r="D664" t="s">
        <v>21</v>
      </c>
      <c r="E664">
        <v>11</v>
      </c>
      <c r="F664" t="s">
        <v>17</v>
      </c>
      <c r="G664">
        <f>Earnings!G664</f>
        <v>665391.5</v>
      </c>
      <c r="H664">
        <f>Deductions!B664+Deductions!C664+Deductions!D664+Tax!D664</f>
        <v>6357.3441666666668</v>
      </c>
      <c r="I664">
        <f t="shared" si="30"/>
        <v>659034.15583333338</v>
      </c>
      <c r="J664">
        <f>Overtime!D664</f>
        <v>0</v>
      </c>
      <c r="K664">
        <f t="shared" si="31"/>
        <v>0.06</v>
      </c>
      <c r="L664">
        <f>IF(Performance!E664&lt;=1.5,0.01,IF(Performance!E664&lt;=2,0.02,IF(Performance!E664&lt;=3,0.03,"")))</f>
        <v>0.01</v>
      </c>
      <c r="M664">
        <f t="shared" si="32"/>
        <v>6.9999999999999993E-2</v>
      </c>
      <c r="N664">
        <f>Earnings!B664*(1+M664)</f>
        <v>747866.49550000008</v>
      </c>
    </row>
    <row r="665" spans="1:14" x14ac:dyDescent="0.35">
      <c r="A665" t="s">
        <v>695</v>
      </c>
      <c r="B665" t="s">
        <v>26</v>
      </c>
      <c r="C665" t="s">
        <v>33</v>
      </c>
      <c r="D665" t="s">
        <v>16</v>
      </c>
      <c r="E665">
        <v>8.4</v>
      </c>
      <c r="F665" t="s">
        <v>44</v>
      </c>
      <c r="G665">
        <f>Earnings!G665</f>
        <v>964719.1</v>
      </c>
      <c r="H665">
        <f>Deductions!B665+Deductions!C665+Deductions!D665+Tax!D665</f>
        <v>11749.01</v>
      </c>
      <c r="I665">
        <f t="shared" si="30"/>
        <v>1050252.6883999999</v>
      </c>
      <c r="J665">
        <f>Overtime!D665</f>
        <v>97282.598399999988</v>
      </c>
      <c r="K665">
        <f t="shared" si="31"/>
        <v>0.08</v>
      </c>
      <c r="L665">
        <f>IF(Performance!E665&lt;=1.5,0.01,IF(Performance!E665&lt;=2,0.02,IF(Performance!E665&lt;=3,0.03,"")))</f>
        <v>0.01</v>
      </c>
      <c r="M665">
        <f t="shared" si="32"/>
        <v>0.09</v>
      </c>
      <c r="N665">
        <f>Earnings!B665*(1+M665)</f>
        <v>1104562.8360000001</v>
      </c>
    </row>
    <row r="666" spans="1:14" x14ac:dyDescent="0.35">
      <c r="A666" t="s">
        <v>696</v>
      </c>
      <c r="B666" t="s">
        <v>26</v>
      </c>
      <c r="C666" t="s">
        <v>43</v>
      </c>
      <c r="D666" t="s">
        <v>21</v>
      </c>
      <c r="E666">
        <v>0</v>
      </c>
      <c r="F666" t="s">
        <v>27</v>
      </c>
      <c r="G666">
        <f>Earnings!G666</f>
        <v>553211.43999999994</v>
      </c>
      <c r="H666">
        <f>Deductions!B666+Deductions!C666+Deductions!D666+Tax!D666</f>
        <v>4533.407666666666</v>
      </c>
      <c r="I666">
        <f t="shared" si="30"/>
        <v>548678.03233333328</v>
      </c>
      <c r="J666">
        <f>Overtime!D666</f>
        <v>0</v>
      </c>
      <c r="K666">
        <f t="shared" si="31"/>
        <v>0.12</v>
      </c>
      <c r="L666">
        <f>IF(Performance!E666&lt;=1.5,0.01,IF(Performance!E666&lt;=2,0.02,IF(Performance!E666&lt;=3,0.03,"")))</f>
        <v>0.01</v>
      </c>
      <c r="M666">
        <f t="shared" si="32"/>
        <v>0.13</v>
      </c>
      <c r="N666">
        <f>Earnings!B666*(1+M666)</f>
        <v>656648.03979999991</v>
      </c>
    </row>
    <row r="667" spans="1:14" x14ac:dyDescent="0.35">
      <c r="A667" t="s">
        <v>697</v>
      </c>
      <c r="B667" t="s">
        <v>14</v>
      </c>
      <c r="C667" t="s">
        <v>33</v>
      </c>
      <c r="D667" t="s">
        <v>16</v>
      </c>
      <c r="E667">
        <v>15.6</v>
      </c>
      <c r="F667" t="s">
        <v>22</v>
      </c>
      <c r="G667">
        <f>Earnings!G667</f>
        <v>850801.26</v>
      </c>
      <c r="H667">
        <f>Deductions!B667+Deductions!C667+Deductions!D667+Tax!D667</f>
        <v>9643.3133333333353</v>
      </c>
      <c r="I667">
        <f t="shared" si="30"/>
        <v>873331.10346666665</v>
      </c>
      <c r="J667">
        <f>Overtime!D667</f>
        <v>32173.156800000004</v>
      </c>
      <c r="K667">
        <f t="shared" si="31"/>
        <v>0.08</v>
      </c>
      <c r="L667">
        <f>IF(Performance!E667&lt;=1.5,0.01,IF(Performance!E667&lt;=2,0.02,IF(Performance!E667&lt;=3,0.03,"")))</f>
        <v>0.01</v>
      </c>
      <c r="M667">
        <f t="shared" si="32"/>
        <v>0.09</v>
      </c>
      <c r="N667">
        <f>Earnings!B667*(1+M667)</f>
        <v>974131.69200000016</v>
      </c>
    </row>
    <row r="668" spans="1:14" x14ac:dyDescent="0.35">
      <c r="A668" t="s">
        <v>698</v>
      </c>
      <c r="B668" t="s">
        <v>35</v>
      </c>
      <c r="C668" t="s">
        <v>15</v>
      </c>
      <c r="D668" t="s">
        <v>21</v>
      </c>
      <c r="E668">
        <v>15</v>
      </c>
      <c r="F668" t="s">
        <v>70</v>
      </c>
      <c r="G668">
        <f>Earnings!G668</f>
        <v>1209213.55</v>
      </c>
      <c r="H668">
        <f>Deductions!B668+Deductions!C668+Deductions!D668+Tax!D668</f>
        <v>18129.557500000003</v>
      </c>
      <c r="I668">
        <f t="shared" si="30"/>
        <v>1241891.2844999998</v>
      </c>
      <c r="J668">
        <f>Overtime!D668</f>
        <v>50807.292000000001</v>
      </c>
      <c r="K668">
        <f t="shared" si="31"/>
        <v>0.06</v>
      </c>
      <c r="L668">
        <f>IF(Performance!E668&lt;=1.5,0.01,IF(Performance!E668&lt;=2,0.02,IF(Performance!E668&lt;=3,0.03,"")))</f>
        <v>0.01</v>
      </c>
      <c r="M668">
        <f t="shared" si="32"/>
        <v>6.9999999999999993E-2</v>
      </c>
      <c r="N668">
        <f>Earnings!B668*(1+M668)</f>
        <v>1359095.0610000002</v>
      </c>
    </row>
    <row r="669" spans="1:14" x14ac:dyDescent="0.35">
      <c r="A669" t="s">
        <v>699</v>
      </c>
      <c r="B669" t="s">
        <v>35</v>
      </c>
      <c r="C669" t="s">
        <v>33</v>
      </c>
      <c r="D669" t="s">
        <v>21</v>
      </c>
      <c r="E669">
        <v>2.4</v>
      </c>
      <c r="F669" t="s">
        <v>22</v>
      </c>
      <c r="G669">
        <f>Earnings!G669</f>
        <v>796866.84</v>
      </c>
      <c r="H669">
        <f>Deductions!B669+Deductions!C669+Deductions!D669+Tax!D669</f>
        <v>8699.0833333333321</v>
      </c>
      <c r="I669">
        <f t="shared" si="30"/>
        <v>843412.72666666657</v>
      </c>
      <c r="J669">
        <f>Overtime!D669</f>
        <v>55244.97</v>
      </c>
      <c r="K669">
        <f t="shared" si="31"/>
        <v>0.08</v>
      </c>
      <c r="L669">
        <f>IF(Performance!E669&lt;=1.5,0.01,IF(Performance!E669&lt;=2,0.02,IF(Performance!E669&lt;=3,0.03,"")))</f>
        <v>0.01</v>
      </c>
      <c r="M669">
        <f t="shared" si="32"/>
        <v>0.09</v>
      </c>
      <c r="N669">
        <f>Earnings!B669*(1+M669)</f>
        <v>912379.05</v>
      </c>
    </row>
    <row r="670" spans="1:14" x14ac:dyDescent="0.35">
      <c r="A670" t="s">
        <v>700</v>
      </c>
      <c r="B670" t="s">
        <v>26</v>
      </c>
      <c r="C670" t="s">
        <v>43</v>
      </c>
      <c r="D670" t="s">
        <v>16</v>
      </c>
      <c r="E670">
        <v>20.399999999999999</v>
      </c>
      <c r="F670" t="s">
        <v>70</v>
      </c>
      <c r="G670">
        <f>Earnings!G670</f>
        <v>1272098</v>
      </c>
      <c r="H670">
        <f>Deductions!B670+Deductions!C670+Deductions!D670+Tax!D670</f>
        <v>19920.934999999998</v>
      </c>
      <c r="I670">
        <f t="shared" si="30"/>
        <v>1513411.4767</v>
      </c>
      <c r="J670">
        <f>Overtime!D670</f>
        <v>261234.4117</v>
      </c>
      <c r="K670">
        <f t="shared" si="31"/>
        <v>0.12</v>
      </c>
      <c r="L670">
        <f>IF(Performance!E670&lt;=1.5,0.01,IF(Performance!E670&lt;=2,0.02,IF(Performance!E670&lt;=3,0.03,"")))</f>
        <v>0.01</v>
      </c>
      <c r="M670">
        <f t="shared" si="32"/>
        <v>0.13</v>
      </c>
      <c r="N670">
        <f>Earnings!B670*(1+M670)</f>
        <v>1509948.2619999996</v>
      </c>
    </row>
    <row r="671" spans="1:14" x14ac:dyDescent="0.35">
      <c r="A671" t="s">
        <v>701</v>
      </c>
      <c r="B671" t="s">
        <v>35</v>
      </c>
      <c r="C671" t="s">
        <v>20</v>
      </c>
      <c r="D671" t="s">
        <v>21</v>
      </c>
      <c r="E671">
        <v>11.2</v>
      </c>
      <c r="F671" t="s">
        <v>17</v>
      </c>
      <c r="G671">
        <f>Earnings!G671</f>
        <v>966326.98</v>
      </c>
      <c r="H671">
        <f>Deductions!B671+Deductions!C671+Deductions!D671+Tax!D671</f>
        <v>11831.233749999999</v>
      </c>
      <c r="I671">
        <f t="shared" si="30"/>
        <v>954495.74624999997</v>
      </c>
      <c r="J671">
        <f>Overtime!D671</f>
        <v>0</v>
      </c>
      <c r="K671">
        <f t="shared" si="31"/>
        <v>0.1</v>
      </c>
      <c r="L671">
        <f>IF(Performance!E671&lt;=1.5,0.01,IF(Performance!E671&lt;=2,0.02,IF(Performance!E671&lt;=3,0.03,"")))</f>
        <v>0.01</v>
      </c>
      <c r="M671">
        <f t="shared" si="32"/>
        <v>0.11</v>
      </c>
      <c r="N671">
        <f>Earnings!B671*(1+M671)</f>
        <v>1126704.7785</v>
      </c>
    </row>
    <row r="672" spans="1:14" x14ac:dyDescent="0.35">
      <c r="A672" t="s">
        <v>702</v>
      </c>
      <c r="B672" t="s">
        <v>19</v>
      </c>
      <c r="C672" t="s">
        <v>15</v>
      </c>
      <c r="D672" t="s">
        <v>16</v>
      </c>
      <c r="E672">
        <v>2</v>
      </c>
      <c r="F672" t="s">
        <v>44</v>
      </c>
      <c r="G672">
        <f>Earnings!G672</f>
        <v>705831.84</v>
      </c>
      <c r="H672">
        <f>Deductions!B672+Deductions!C672+Deductions!D672+Tax!D672</f>
        <v>7065.333333333333</v>
      </c>
      <c r="I672">
        <f t="shared" si="30"/>
        <v>698766.5066666666</v>
      </c>
      <c r="J672">
        <f>Overtime!D672</f>
        <v>0</v>
      </c>
      <c r="K672">
        <f t="shared" si="31"/>
        <v>0.06</v>
      </c>
      <c r="L672">
        <f>IF(Performance!E672&lt;=1.5,0.01,IF(Performance!E672&lt;=2,0.02,IF(Performance!E672&lt;=3,0.03,"")))</f>
        <v>0.03</v>
      </c>
      <c r="M672">
        <f t="shared" si="32"/>
        <v>0.09</v>
      </c>
      <c r="N672">
        <f>Earnings!B672*(1+M672)</f>
        <v>808147.8</v>
      </c>
    </row>
    <row r="673" spans="1:14" x14ac:dyDescent="0.35">
      <c r="A673" t="s">
        <v>703</v>
      </c>
      <c r="B673" t="s">
        <v>19</v>
      </c>
      <c r="C673" t="s">
        <v>33</v>
      </c>
      <c r="D673" t="s">
        <v>21</v>
      </c>
      <c r="E673">
        <v>6</v>
      </c>
      <c r="F673" t="s">
        <v>44</v>
      </c>
      <c r="G673">
        <f>Earnings!G673</f>
        <v>734471.92</v>
      </c>
      <c r="H673">
        <f>Deductions!B673+Deductions!C673+Deductions!D673+Tax!D673</f>
        <v>7606.7353333333331</v>
      </c>
      <c r="I673">
        <f t="shared" si="30"/>
        <v>726865.18466666667</v>
      </c>
      <c r="J673">
        <f>Overtime!D673</f>
        <v>0</v>
      </c>
      <c r="K673">
        <f t="shared" si="31"/>
        <v>0.08</v>
      </c>
      <c r="L673">
        <f>IF(Performance!E673&lt;=1.5,0.01,IF(Performance!E673&lt;=2,0.02,IF(Performance!E673&lt;=3,0.03,"")))</f>
        <v>0.03</v>
      </c>
      <c r="M673">
        <f t="shared" si="32"/>
        <v>0.11</v>
      </c>
      <c r="N673">
        <f>Earnings!B673*(1+M673)</f>
        <v>856369.5732000001</v>
      </c>
    </row>
    <row r="674" spans="1:14" x14ac:dyDescent="0.35">
      <c r="A674" t="s">
        <v>704</v>
      </c>
      <c r="B674" t="s">
        <v>19</v>
      </c>
      <c r="C674" t="s">
        <v>43</v>
      </c>
      <c r="D674" t="s">
        <v>21</v>
      </c>
      <c r="E674">
        <v>22.1</v>
      </c>
      <c r="F674" t="s">
        <v>17</v>
      </c>
      <c r="G674">
        <f>Earnings!G674</f>
        <v>1481028.35</v>
      </c>
      <c r="H674">
        <f>Deductions!B674+Deductions!C674+Deductions!D674+Tax!D674</f>
        <v>25407.550999999996</v>
      </c>
      <c r="I674">
        <f t="shared" si="30"/>
        <v>1548185.070975</v>
      </c>
      <c r="J674">
        <f>Overtime!D674</f>
        <v>92564.271974999996</v>
      </c>
      <c r="K674">
        <f t="shared" si="31"/>
        <v>0.12</v>
      </c>
      <c r="L674">
        <f>IF(Performance!E674&lt;=1.5,0.01,IF(Performance!E674&lt;=2,0.02,IF(Performance!E674&lt;=3,0.03,"")))</f>
        <v>0.03</v>
      </c>
      <c r="M674">
        <f t="shared" si="32"/>
        <v>0.15</v>
      </c>
      <c r="N674">
        <f>Earnings!B674*(1+M674)</f>
        <v>1789057.3459999999</v>
      </c>
    </row>
    <row r="675" spans="1:14" x14ac:dyDescent="0.35">
      <c r="A675" t="s">
        <v>705</v>
      </c>
      <c r="B675" t="s">
        <v>14</v>
      </c>
      <c r="C675" t="s">
        <v>20</v>
      </c>
      <c r="D675" t="s">
        <v>21</v>
      </c>
      <c r="E675">
        <v>0</v>
      </c>
      <c r="F675" t="s">
        <v>37</v>
      </c>
      <c r="G675">
        <f>Earnings!G675</f>
        <v>623127.98</v>
      </c>
      <c r="H675">
        <f>Deductions!B675+Deductions!C675+Deductions!D675+Tax!D675</f>
        <v>5697.4366666666665</v>
      </c>
      <c r="I675">
        <f t="shared" si="30"/>
        <v>617430.54333333333</v>
      </c>
      <c r="J675">
        <f>Overtime!D675</f>
        <v>0</v>
      </c>
      <c r="K675">
        <f t="shared" si="31"/>
        <v>0.1</v>
      </c>
      <c r="L675">
        <f>IF(Performance!E675&lt;=1.5,0.01,IF(Performance!E675&lt;=2,0.02,IF(Performance!E675&lt;=3,0.03,"")))</f>
        <v>0.01</v>
      </c>
      <c r="M675">
        <f t="shared" si="32"/>
        <v>0.11</v>
      </c>
      <c r="N675">
        <f>Earnings!B675*(1+M675)</f>
        <v>726546.28200000001</v>
      </c>
    </row>
    <row r="676" spans="1:14" x14ac:dyDescent="0.35">
      <c r="A676" t="s">
        <v>706</v>
      </c>
      <c r="B676" t="s">
        <v>19</v>
      </c>
      <c r="C676" t="s">
        <v>20</v>
      </c>
      <c r="D676" t="s">
        <v>16</v>
      </c>
      <c r="E676">
        <v>0</v>
      </c>
      <c r="F676" t="s">
        <v>37</v>
      </c>
      <c r="G676">
        <f>Earnings!G676</f>
        <v>757591.51</v>
      </c>
      <c r="H676">
        <f>Deductions!B676+Deductions!C676+Deductions!D676+Tax!D676</f>
        <v>8051.4900000000007</v>
      </c>
      <c r="I676">
        <f t="shared" si="30"/>
        <v>794104.22640000004</v>
      </c>
      <c r="J676">
        <f>Overtime!D676</f>
        <v>44564.206399999995</v>
      </c>
      <c r="K676">
        <f t="shared" si="31"/>
        <v>0.1</v>
      </c>
      <c r="L676">
        <f>IF(Performance!E676&lt;=1.5,0.01,IF(Performance!E676&lt;=2,0.02,IF(Performance!E676&lt;=3,0.03,"")))</f>
        <v>0.03</v>
      </c>
      <c r="M676">
        <f t="shared" si="32"/>
        <v>0.13</v>
      </c>
      <c r="N676">
        <f>Earnings!B676*(1+M676)</f>
        <v>899242.022</v>
      </c>
    </row>
    <row r="677" spans="1:14" x14ac:dyDescent="0.35">
      <c r="A677" t="s">
        <v>707</v>
      </c>
      <c r="B677" t="s">
        <v>35</v>
      </c>
      <c r="C677" t="s">
        <v>33</v>
      </c>
      <c r="D677" t="s">
        <v>16</v>
      </c>
      <c r="E677">
        <v>4.8</v>
      </c>
      <c r="F677" t="s">
        <v>31</v>
      </c>
      <c r="G677">
        <f>Earnings!G677</f>
        <v>1063759.47</v>
      </c>
      <c r="H677">
        <f>Deductions!B677+Deductions!C677+Deductions!D677+Tax!D677</f>
        <v>14349.859999999999</v>
      </c>
      <c r="I677">
        <f t="shared" si="30"/>
        <v>1103044.5411999999</v>
      </c>
      <c r="J677">
        <f>Overtime!D677</f>
        <v>53634.931199999999</v>
      </c>
      <c r="K677">
        <f t="shared" si="31"/>
        <v>0.08</v>
      </c>
      <c r="L677">
        <f>IF(Performance!E677&lt;=1.5,0.01,IF(Performance!E677&lt;=2,0.02,IF(Performance!E677&lt;=3,0.03,"")))</f>
        <v>0.01</v>
      </c>
      <c r="M677">
        <f t="shared" si="32"/>
        <v>0.09</v>
      </c>
      <c r="N677">
        <f>Earnings!B677*(1+M677)</f>
        <v>1217959.8959999999</v>
      </c>
    </row>
    <row r="678" spans="1:14" x14ac:dyDescent="0.35">
      <c r="A678" t="s">
        <v>708</v>
      </c>
      <c r="B678" t="s">
        <v>14</v>
      </c>
      <c r="C678" t="s">
        <v>15</v>
      </c>
      <c r="D678" t="s">
        <v>16</v>
      </c>
      <c r="E678">
        <v>1</v>
      </c>
      <c r="F678" t="s">
        <v>37</v>
      </c>
      <c r="G678">
        <f>Earnings!G678</f>
        <v>573096.38</v>
      </c>
      <c r="H678">
        <f>Deductions!B678+Deductions!C678+Deductions!D678+Tax!D678</f>
        <v>4741.5333333333328</v>
      </c>
      <c r="I678">
        <f t="shared" si="30"/>
        <v>649623.76666666672</v>
      </c>
      <c r="J678">
        <f>Overtime!D678</f>
        <v>81268.92</v>
      </c>
      <c r="K678">
        <f t="shared" si="31"/>
        <v>0.06</v>
      </c>
      <c r="L678">
        <f>IF(Performance!E678&lt;=1.5,0.01,IF(Performance!E678&lt;=2,0.02,IF(Performance!E678&lt;=3,0.03,"")))</f>
        <v>0.01</v>
      </c>
      <c r="M678">
        <f t="shared" si="32"/>
        <v>6.9999999999999993E-2</v>
      </c>
      <c r="N678">
        <f>Earnings!B678*(1+M678)</f>
        <v>644131.44000000006</v>
      </c>
    </row>
    <row r="679" spans="1:14" x14ac:dyDescent="0.35">
      <c r="A679" t="s">
        <v>709</v>
      </c>
      <c r="B679" t="s">
        <v>19</v>
      </c>
      <c r="C679" t="s">
        <v>33</v>
      </c>
      <c r="D679" t="s">
        <v>21</v>
      </c>
      <c r="E679">
        <v>6</v>
      </c>
      <c r="F679" t="s">
        <v>17</v>
      </c>
      <c r="G679">
        <f>Earnings!G679</f>
        <v>803198.36</v>
      </c>
      <c r="H679">
        <f>Deductions!B679+Deductions!C679+Deductions!D679+Tax!D679</f>
        <v>8809.9293333333335</v>
      </c>
      <c r="I679">
        <f t="shared" si="30"/>
        <v>915880.61866666668</v>
      </c>
      <c r="J679">
        <f>Overtime!D679</f>
        <v>121492.18800000001</v>
      </c>
      <c r="K679">
        <f t="shared" si="31"/>
        <v>0.08</v>
      </c>
      <c r="L679">
        <f>IF(Performance!E679&lt;=1.5,0.01,IF(Performance!E679&lt;=2,0.02,IF(Performance!E679&lt;=3,0.03,"")))</f>
        <v>0.03</v>
      </c>
      <c r="M679">
        <f t="shared" si="32"/>
        <v>0.11</v>
      </c>
      <c r="N679">
        <f>Earnings!B679*(1+M679)</f>
        <v>936502.29360000009</v>
      </c>
    </row>
    <row r="680" spans="1:14" x14ac:dyDescent="0.35">
      <c r="A680" t="s">
        <v>710</v>
      </c>
      <c r="B680" t="s">
        <v>14</v>
      </c>
      <c r="C680" t="s">
        <v>15</v>
      </c>
      <c r="D680" t="s">
        <v>16</v>
      </c>
      <c r="E680">
        <v>5</v>
      </c>
      <c r="F680" t="s">
        <v>22</v>
      </c>
      <c r="G680">
        <f>Earnings!G680</f>
        <v>570565.02</v>
      </c>
      <c r="H680">
        <f>Deductions!B680+Deductions!C680+Deductions!D680+Tax!D680</f>
        <v>4697.2166666666672</v>
      </c>
      <c r="I680">
        <f t="shared" si="30"/>
        <v>640784.42833333334</v>
      </c>
      <c r="J680">
        <f>Overtime!D680</f>
        <v>74916.625</v>
      </c>
      <c r="K680">
        <f t="shared" si="31"/>
        <v>0.06</v>
      </c>
      <c r="L680">
        <f>IF(Performance!E680&lt;=1.5,0.01,IF(Performance!E680&lt;=2,0.02,IF(Performance!E680&lt;=3,0.03,"")))</f>
        <v>0.01</v>
      </c>
      <c r="M680">
        <f t="shared" si="32"/>
        <v>6.9999999999999993E-2</v>
      </c>
      <c r="N680">
        <f>Earnings!B680*(1+M680)</f>
        <v>641286.31000000006</v>
      </c>
    </row>
    <row r="681" spans="1:14" x14ac:dyDescent="0.35">
      <c r="A681" t="s">
        <v>711</v>
      </c>
      <c r="B681" t="s">
        <v>35</v>
      </c>
      <c r="C681" t="s">
        <v>43</v>
      </c>
      <c r="D681" t="s">
        <v>16</v>
      </c>
      <c r="E681">
        <v>0</v>
      </c>
      <c r="F681" t="s">
        <v>37</v>
      </c>
      <c r="G681">
        <f>Earnings!G681</f>
        <v>918861.17</v>
      </c>
      <c r="H681">
        <f>Deductions!B681+Deductions!C681+Deductions!D681+Tax!D681</f>
        <v>10934.838333333335</v>
      </c>
      <c r="I681">
        <f t="shared" si="30"/>
        <v>1088416.9177666667</v>
      </c>
      <c r="J681">
        <f>Overtime!D681</f>
        <v>180490.58609999999</v>
      </c>
      <c r="K681">
        <f t="shared" si="31"/>
        <v>0.12</v>
      </c>
      <c r="L681">
        <f>IF(Performance!E681&lt;=1.5,0.01,IF(Performance!E681&lt;=2,0.02,IF(Performance!E681&lt;=3,0.03,"")))</f>
        <v>0.01</v>
      </c>
      <c r="M681">
        <f t="shared" si="32"/>
        <v>0.13</v>
      </c>
      <c r="N681">
        <f>Earnings!B681*(1+M681)</f>
        <v>1090665.0389999999</v>
      </c>
    </row>
    <row r="682" spans="1:14" x14ac:dyDescent="0.35">
      <c r="A682" t="s">
        <v>712</v>
      </c>
      <c r="B682" t="s">
        <v>26</v>
      </c>
      <c r="C682" t="s">
        <v>33</v>
      </c>
      <c r="D682" t="s">
        <v>16</v>
      </c>
      <c r="E682">
        <v>4.8</v>
      </c>
      <c r="F682" t="s">
        <v>22</v>
      </c>
      <c r="G682">
        <f>Earnings!G682</f>
        <v>864905.33</v>
      </c>
      <c r="H682">
        <f>Deductions!B682+Deductions!C682+Deductions!D682+Tax!D682</f>
        <v>9890.2333333333336</v>
      </c>
      <c r="I682">
        <f t="shared" si="30"/>
        <v>855015.09666666668</v>
      </c>
      <c r="J682">
        <f>Overtime!D682</f>
        <v>0</v>
      </c>
      <c r="K682">
        <f t="shared" si="31"/>
        <v>0.08</v>
      </c>
      <c r="L682">
        <f>IF(Performance!E682&lt;=1.5,0.01,IF(Performance!E682&lt;=2,0.02,IF(Performance!E682&lt;=3,0.03,"")))</f>
        <v>0.01</v>
      </c>
      <c r="M682">
        <f t="shared" si="32"/>
        <v>0.09</v>
      </c>
      <c r="N682">
        <f>Earnings!B682*(1+M682)</f>
        <v>990280.26000000013</v>
      </c>
    </row>
    <row r="683" spans="1:14" x14ac:dyDescent="0.35">
      <c r="A683" t="s">
        <v>713</v>
      </c>
      <c r="B683" t="s">
        <v>14</v>
      </c>
      <c r="C683" t="s">
        <v>20</v>
      </c>
      <c r="D683" t="s">
        <v>21</v>
      </c>
      <c r="E683">
        <v>11.2</v>
      </c>
      <c r="F683" t="s">
        <v>27</v>
      </c>
      <c r="G683">
        <f>Earnings!G683</f>
        <v>1042690.36</v>
      </c>
      <c r="H683">
        <f>Deductions!B683+Deductions!C683+Deductions!D683+Tax!D683</f>
        <v>13836.574500000001</v>
      </c>
      <c r="I683">
        <f t="shared" si="30"/>
        <v>1028853.7855</v>
      </c>
      <c r="J683">
        <f>Overtime!D683</f>
        <v>0</v>
      </c>
      <c r="K683">
        <f t="shared" si="31"/>
        <v>0.1</v>
      </c>
      <c r="L683">
        <f>IF(Performance!E683&lt;=1.5,0.01,IF(Performance!E683&lt;=2,0.02,IF(Performance!E683&lt;=3,0.03,"")))</f>
        <v>0.01</v>
      </c>
      <c r="M683">
        <f t="shared" si="32"/>
        <v>0.11</v>
      </c>
      <c r="N683">
        <f>Earnings!B683*(1+M683)</f>
        <v>1215741.9078000002</v>
      </c>
    </row>
    <row r="684" spans="1:14" x14ac:dyDescent="0.35">
      <c r="A684" t="s">
        <v>714</v>
      </c>
      <c r="B684" t="s">
        <v>14</v>
      </c>
      <c r="C684" t="s">
        <v>15</v>
      </c>
      <c r="D684" t="s">
        <v>21</v>
      </c>
      <c r="E684">
        <v>7</v>
      </c>
      <c r="F684" t="s">
        <v>27</v>
      </c>
      <c r="G684">
        <f>Earnings!G684</f>
        <v>670345.80000000005</v>
      </c>
      <c r="H684">
        <f>Deductions!B684+Deductions!C684+Deductions!D684+Tax!D684</f>
        <v>6444.0791666666673</v>
      </c>
      <c r="I684">
        <f t="shared" si="30"/>
        <v>663901.72083333333</v>
      </c>
      <c r="J684">
        <f>Overtime!D684</f>
        <v>0</v>
      </c>
      <c r="K684">
        <f t="shared" si="31"/>
        <v>0.06</v>
      </c>
      <c r="L684">
        <f>IF(Performance!E684&lt;=1.5,0.01,IF(Performance!E684&lt;=2,0.02,IF(Performance!E684&lt;=3,0.03,"")))</f>
        <v>0.01</v>
      </c>
      <c r="M684">
        <f t="shared" si="32"/>
        <v>6.9999999999999993E-2</v>
      </c>
      <c r="N684">
        <f>Earnings!B684*(1+M684)</f>
        <v>753434.88250000007</v>
      </c>
    </row>
    <row r="685" spans="1:14" x14ac:dyDescent="0.35">
      <c r="A685" t="s">
        <v>715</v>
      </c>
      <c r="B685" t="s">
        <v>14</v>
      </c>
      <c r="C685" t="s">
        <v>15</v>
      </c>
      <c r="D685" t="s">
        <v>16</v>
      </c>
      <c r="E685">
        <v>11</v>
      </c>
      <c r="F685" t="s">
        <v>70</v>
      </c>
      <c r="G685">
        <f>Earnings!G685</f>
        <v>787651.48</v>
      </c>
      <c r="H685">
        <f>Deductions!B685+Deductions!C685+Deductions!D685+Tax!D685</f>
        <v>8497.75</v>
      </c>
      <c r="I685">
        <f t="shared" si="30"/>
        <v>779153.73</v>
      </c>
      <c r="J685">
        <f>Overtime!D685</f>
        <v>0</v>
      </c>
      <c r="K685">
        <f t="shared" si="31"/>
        <v>0.06</v>
      </c>
      <c r="L685">
        <f>IF(Performance!E685&lt;=1.5,0.01,IF(Performance!E685&lt;=2,0.02,IF(Performance!E685&lt;=3,0.03,"")))</f>
        <v>0.01</v>
      </c>
      <c r="M685">
        <f t="shared" si="32"/>
        <v>6.9999999999999993E-2</v>
      </c>
      <c r="N685">
        <f>Earnings!B685*(1+M685)</f>
        <v>885280.55</v>
      </c>
    </row>
    <row r="686" spans="1:14" x14ac:dyDescent="0.35">
      <c r="A686" t="s">
        <v>716</v>
      </c>
      <c r="B686" t="s">
        <v>29</v>
      </c>
      <c r="C686" t="s">
        <v>43</v>
      </c>
      <c r="D686" t="s">
        <v>21</v>
      </c>
      <c r="E686">
        <v>13.6</v>
      </c>
      <c r="F686" t="s">
        <v>44</v>
      </c>
      <c r="G686">
        <f>Earnings!G686</f>
        <v>1674457.17</v>
      </c>
      <c r="H686">
        <f>Deductions!B686+Deductions!C686+Deductions!D686+Tax!D686</f>
        <v>30487.089500000002</v>
      </c>
      <c r="I686">
        <f t="shared" si="30"/>
        <v>1793475.184375</v>
      </c>
      <c r="J686">
        <f>Overtime!D686</f>
        <v>149505.10387500003</v>
      </c>
      <c r="K686">
        <f t="shared" si="31"/>
        <v>0.12</v>
      </c>
      <c r="L686">
        <f>IF(Performance!E686&lt;=1.5,0.01,IF(Performance!E686&lt;=2,0.02,IF(Performance!E686&lt;=3,0.03,"")))</f>
        <v>0.02</v>
      </c>
      <c r="M686">
        <f t="shared" si="32"/>
        <v>0.13999999999999999</v>
      </c>
      <c r="N686">
        <f>Earnings!B686*(1+M686)</f>
        <v>2005127.2811999999</v>
      </c>
    </row>
    <row r="687" spans="1:14" x14ac:dyDescent="0.35">
      <c r="A687" t="s">
        <v>717</v>
      </c>
      <c r="B687" t="s">
        <v>26</v>
      </c>
      <c r="C687" t="s">
        <v>20</v>
      </c>
      <c r="D687" t="s">
        <v>21</v>
      </c>
      <c r="E687">
        <v>14</v>
      </c>
      <c r="F687" t="s">
        <v>37</v>
      </c>
      <c r="G687">
        <f>Earnings!G687</f>
        <v>928433.34</v>
      </c>
      <c r="H687">
        <f>Deductions!B687+Deductions!C687+Deductions!D687+Tax!D687</f>
        <v>11042.4185</v>
      </c>
      <c r="I687">
        <f t="shared" si="30"/>
        <v>917390.92149999994</v>
      </c>
      <c r="J687">
        <f>Overtime!D687</f>
        <v>0</v>
      </c>
      <c r="K687">
        <f t="shared" si="31"/>
        <v>0.1</v>
      </c>
      <c r="L687">
        <f>IF(Performance!E687&lt;=1.5,0.01,IF(Performance!E687&lt;=2,0.02,IF(Performance!E687&lt;=3,0.03,"")))</f>
        <v>0.01</v>
      </c>
      <c r="M687">
        <f t="shared" si="32"/>
        <v>0.11</v>
      </c>
      <c r="N687">
        <f>Earnings!B687*(1+M687)</f>
        <v>1082522.0721</v>
      </c>
    </row>
    <row r="688" spans="1:14" x14ac:dyDescent="0.35">
      <c r="A688" t="s">
        <v>718</v>
      </c>
      <c r="B688" t="s">
        <v>14</v>
      </c>
      <c r="C688" t="s">
        <v>20</v>
      </c>
      <c r="D688" t="s">
        <v>16</v>
      </c>
      <c r="E688">
        <v>12.6</v>
      </c>
      <c r="F688" t="s">
        <v>31</v>
      </c>
      <c r="G688">
        <f>Earnings!G688</f>
        <v>1009991.84</v>
      </c>
      <c r="H688">
        <f>Deductions!B688+Deductions!C688+Deductions!D688+Tax!D688</f>
        <v>12977.895000000002</v>
      </c>
      <c r="I688">
        <f t="shared" si="30"/>
        <v>997013.94499999995</v>
      </c>
      <c r="J688">
        <f>Overtime!D688</f>
        <v>0</v>
      </c>
      <c r="K688">
        <f t="shared" si="31"/>
        <v>0.1</v>
      </c>
      <c r="L688">
        <f>IF(Performance!E688&lt;=1.5,0.01,IF(Performance!E688&lt;=2,0.02,IF(Performance!E688&lt;=3,0.03,"")))</f>
        <v>0.01</v>
      </c>
      <c r="M688">
        <f t="shared" si="32"/>
        <v>0.11</v>
      </c>
      <c r="N688">
        <f>Earnings!B688*(1+M688)</f>
        <v>1177616.5380000002</v>
      </c>
    </row>
    <row r="689" spans="1:14" x14ac:dyDescent="0.35">
      <c r="A689" t="s">
        <v>719</v>
      </c>
      <c r="B689" t="s">
        <v>19</v>
      </c>
      <c r="C689" t="s">
        <v>33</v>
      </c>
      <c r="D689" t="s">
        <v>16</v>
      </c>
      <c r="E689">
        <v>7.2</v>
      </c>
      <c r="F689" t="s">
        <v>27</v>
      </c>
      <c r="G689">
        <f>Earnings!G689</f>
        <v>868287.97</v>
      </c>
      <c r="H689">
        <f>Deductions!B689+Deductions!C689+Deductions!D689+Tax!D689</f>
        <v>9949.4533333333347</v>
      </c>
      <c r="I689">
        <f t="shared" si="30"/>
        <v>858338.5166666666</v>
      </c>
      <c r="J689">
        <f>Overtime!D689</f>
        <v>0</v>
      </c>
      <c r="K689">
        <f t="shared" si="31"/>
        <v>0.08</v>
      </c>
      <c r="L689">
        <f>IF(Performance!E689&lt;=1.5,0.01,IF(Performance!E689&lt;=2,0.02,IF(Performance!E689&lt;=3,0.03,"")))</f>
        <v>0.03</v>
      </c>
      <c r="M689">
        <f t="shared" si="32"/>
        <v>0.11</v>
      </c>
      <c r="N689">
        <f>Earnings!B689*(1+M689)</f>
        <v>1012394.5920000001</v>
      </c>
    </row>
    <row r="690" spans="1:14" x14ac:dyDescent="0.35">
      <c r="A690" t="s">
        <v>720</v>
      </c>
      <c r="B690" t="s">
        <v>26</v>
      </c>
      <c r="C690" t="s">
        <v>43</v>
      </c>
      <c r="D690" t="s">
        <v>21</v>
      </c>
      <c r="E690">
        <v>1.7</v>
      </c>
      <c r="F690" t="s">
        <v>17</v>
      </c>
      <c r="G690">
        <f>Earnings!G690</f>
        <v>682581.16</v>
      </c>
      <c r="H690">
        <f>Deductions!B690+Deductions!C690+Deductions!D690+Tax!D690</f>
        <v>6798.2836666666672</v>
      </c>
      <c r="I690">
        <f t="shared" si="30"/>
        <v>675782.87633333332</v>
      </c>
      <c r="J690">
        <f>Overtime!D690</f>
        <v>0</v>
      </c>
      <c r="K690">
        <f t="shared" si="31"/>
        <v>0.12</v>
      </c>
      <c r="L690">
        <f>IF(Performance!E690&lt;=1.5,0.01,IF(Performance!E690&lt;=2,0.02,IF(Performance!E690&lt;=3,0.03,"")))</f>
        <v>0.01</v>
      </c>
      <c r="M690">
        <f t="shared" si="32"/>
        <v>0.13</v>
      </c>
      <c r="N690">
        <f>Earnings!B690*(1+M690)</f>
        <v>810206.6325999999</v>
      </c>
    </row>
    <row r="691" spans="1:14" x14ac:dyDescent="0.35">
      <c r="A691" t="s">
        <v>721</v>
      </c>
      <c r="B691" t="s">
        <v>35</v>
      </c>
      <c r="C691" t="s">
        <v>20</v>
      </c>
      <c r="D691" t="s">
        <v>21</v>
      </c>
      <c r="E691">
        <v>7</v>
      </c>
      <c r="F691" t="s">
        <v>70</v>
      </c>
      <c r="G691">
        <f>Earnings!G691</f>
        <v>1061100.32</v>
      </c>
      <c r="H691">
        <f>Deductions!B691+Deductions!C691+Deductions!D691+Tax!D691</f>
        <v>14320.029499999999</v>
      </c>
      <c r="I691">
        <f t="shared" si="30"/>
        <v>1046780.2905000001</v>
      </c>
      <c r="J691">
        <f>Overtime!D691</f>
        <v>0</v>
      </c>
      <c r="K691">
        <f t="shared" si="31"/>
        <v>0.1</v>
      </c>
      <c r="L691">
        <f>IF(Performance!E691&lt;=1.5,0.01,IF(Performance!E691&lt;=2,0.02,IF(Performance!E691&lt;=3,0.03,"")))</f>
        <v>0.01</v>
      </c>
      <c r="M691">
        <f t="shared" si="32"/>
        <v>0.11</v>
      </c>
      <c r="N691">
        <f>Earnings!B691*(1+M691)</f>
        <v>1237207.3097999999</v>
      </c>
    </row>
    <row r="692" spans="1:14" x14ac:dyDescent="0.35">
      <c r="A692" t="s">
        <v>722</v>
      </c>
      <c r="B692" t="s">
        <v>19</v>
      </c>
      <c r="C692" t="s">
        <v>20</v>
      </c>
      <c r="D692" t="s">
        <v>21</v>
      </c>
      <c r="E692">
        <v>0</v>
      </c>
      <c r="F692" t="s">
        <v>27</v>
      </c>
      <c r="G692">
        <f>Earnings!G692</f>
        <v>521964.33</v>
      </c>
      <c r="H692">
        <f>Deductions!B692+Deductions!C692+Deductions!D692+Tax!D692</f>
        <v>3926.364333333333</v>
      </c>
      <c r="I692">
        <f t="shared" si="30"/>
        <v>518037.96566666669</v>
      </c>
      <c r="J692">
        <f>Overtime!D692</f>
        <v>0</v>
      </c>
      <c r="K692">
        <f t="shared" si="31"/>
        <v>0.1</v>
      </c>
      <c r="L692">
        <f>IF(Performance!E692&lt;=1.5,0.01,IF(Performance!E692&lt;=2,0.02,IF(Performance!E692&lt;=3,0.03,"")))</f>
        <v>0.03</v>
      </c>
      <c r="M692">
        <f t="shared" si="32"/>
        <v>0.13</v>
      </c>
      <c r="N692">
        <f>Earnings!B692*(1+M692)</f>
        <v>619558.50179999997</v>
      </c>
    </row>
    <row r="693" spans="1:14" x14ac:dyDescent="0.35">
      <c r="A693" t="s">
        <v>723</v>
      </c>
      <c r="B693" t="s">
        <v>14</v>
      </c>
      <c r="C693" t="s">
        <v>43</v>
      </c>
      <c r="D693" t="s">
        <v>21</v>
      </c>
      <c r="E693">
        <v>11.9</v>
      </c>
      <c r="F693" t="s">
        <v>31</v>
      </c>
      <c r="G693">
        <f>Earnings!G693</f>
        <v>927681.61</v>
      </c>
      <c r="H693">
        <f>Deductions!B693+Deductions!C693+Deductions!D693+Tax!D693</f>
        <v>11089.257833333333</v>
      </c>
      <c r="I693">
        <f t="shared" si="30"/>
        <v>916592.35216666665</v>
      </c>
      <c r="J693">
        <f>Overtime!D693</f>
        <v>0</v>
      </c>
      <c r="K693">
        <f t="shared" si="31"/>
        <v>0.12</v>
      </c>
      <c r="L693">
        <f>IF(Performance!E693&lt;=1.5,0.01,IF(Performance!E693&lt;=2,0.02,IF(Performance!E693&lt;=3,0.03,"")))</f>
        <v>0.01</v>
      </c>
      <c r="M693">
        <f t="shared" si="32"/>
        <v>0.13</v>
      </c>
      <c r="N693">
        <f>Earnings!B693*(1+M693)</f>
        <v>1101134.6810999999</v>
      </c>
    </row>
    <row r="694" spans="1:14" x14ac:dyDescent="0.35">
      <c r="A694" t="s">
        <v>724</v>
      </c>
      <c r="B694" t="s">
        <v>14</v>
      </c>
      <c r="C694" t="s">
        <v>43</v>
      </c>
      <c r="D694" t="s">
        <v>16</v>
      </c>
      <c r="E694">
        <v>0</v>
      </c>
      <c r="F694" t="s">
        <v>44</v>
      </c>
      <c r="G694">
        <f>Earnings!G694</f>
        <v>675235.32</v>
      </c>
      <c r="H694">
        <f>Deductions!B694+Deductions!C694+Deductions!D694+Tax!D694</f>
        <v>6669.6800000000012</v>
      </c>
      <c r="I694">
        <f t="shared" si="30"/>
        <v>668565.6399999999</v>
      </c>
      <c r="J694">
        <f>Overtime!D694</f>
        <v>0</v>
      </c>
      <c r="K694">
        <f t="shared" si="31"/>
        <v>0.12</v>
      </c>
      <c r="L694">
        <f>IF(Performance!E694&lt;=1.5,0.01,IF(Performance!E694&lt;=2,0.02,IF(Performance!E694&lt;=3,0.03,"")))</f>
        <v>0.01</v>
      </c>
      <c r="M694">
        <f t="shared" si="32"/>
        <v>0.13</v>
      </c>
      <c r="N694">
        <f>Earnings!B694*(1+M694)</f>
        <v>801487.304</v>
      </c>
    </row>
    <row r="695" spans="1:14" x14ac:dyDescent="0.35">
      <c r="A695" t="s">
        <v>725</v>
      </c>
      <c r="B695" t="s">
        <v>29</v>
      </c>
      <c r="C695" t="s">
        <v>43</v>
      </c>
      <c r="D695" t="s">
        <v>16</v>
      </c>
      <c r="E695">
        <v>20.399999999999999</v>
      </c>
      <c r="F695" t="s">
        <v>27</v>
      </c>
      <c r="G695">
        <f>Earnings!G695</f>
        <v>1814796.08</v>
      </c>
      <c r="H695">
        <f>Deductions!B695+Deductions!C695+Deductions!D695+Tax!D695</f>
        <v>34172.459999999992</v>
      </c>
      <c r="I695">
        <f t="shared" si="30"/>
        <v>2201915.5663999999</v>
      </c>
      <c r="J695">
        <f>Overtime!D695</f>
        <v>421291.94640000002</v>
      </c>
      <c r="K695">
        <f t="shared" si="31"/>
        <v>0.12</v>
      </c>
      <c r="L695">
        <f>IF(Performance!E695&lt;=1.5,0.01,IF(Performance!E695&lt;=2,0.02,IF(Performance!E695&lt;=3,0.03,"")))</f>
        <v>0.02</v>
      </c>
      <c r="M695">
        <f t="shared" si="32"/>
        <v>0.13999999999999999</v>
      </c>
      <c r="N695">
        <f>Earnings!B695*(1+M695)</f>
        <v>2173180.1759999995</v>
      </c>
    </row>
    <row r="696" spans="1:14" x14ac:dyDescent="0.35">
      <c r="A696" t="s">
        <v>726</v>
      </c>
      <c r="B696" t="s">
        <v>29</v>
      </c>
      <c r="C696" t="s">
        <v>15</v>
      </c>
      <c r="D696" t="s">
        <v>16</v>
      </c>
      <c r="E696">
        <v>14</v>
      </c>
      <c r="F696" t="s">
        <v>31</v>
      </c>
      <c r="G696">
        <f>Earnings!G696</f>
        <v>1051900.02</v>
      </c>
      <c r="H696">
        <f>Deductions!B696+Deductions!C696+Deductions!D696+Tax!D696</f>
        <v>13998.425000000001</v>
      </c>
      <c r="I696">
        <f t="shared" si="30"/>
        <v>1037901.595</v>
      </c>
      <c r="J696">
        <f>Overtime!D696</f>
        <v>0</v>
      </c>
      <c r="K696">
        <f t="shared" si="31"/>
        <v>0.06</v>
      </c>
      <c r="L696">
        <f>IF(Performance!E696&lt;=1.5,0.01,IF(Performance!E696&lt;=2,0.02,IF(Performance!E696&lt;=3,0.03,"")))</f>
        <v>0.02</v>
      </c>
      <c r="M696">
        <f t="shared" si="32"/>
        <v>0.08</v>
      </c>
      <c r="N696">
        <f>Earnings!B696*(1+M696)</f>
        <v>1193331.96</v>
      </c>
    </row>
    <row r="697" spans="1:14" x14ac:dyDescent="0.35">
      <c r="A697" t="s">
        <v>727</v>
      </c>
      <c r="B697" t="s">
        <v>26</v>
      </c>
      <c r="C697" t="s">
        <v>33</v>
      </c>
      <c r="D697" t="s">
        <v>16</v>
      </c>
      <c r="E697">
        <v>1.2</v>
      </c>
      <c r="F697" t="s">
        <v>27</v>
      </c>
      <c r="G697">
        <f>Earnings!G697</f>
        <v>740162.1</v>
      </c>
      <c r="H697">
        <f>Deductions!B697+Deductions!C697+Deductions!D697+Tax!D697</f>
        <v>7706.3533333333326</v>
      </c>
      <c r="I697">
        <f t="shared" si="30"/>
        <v>783769.50586666656</v>
      </c>
      <c r="J697">
        <f>Overtime!D697</f>
        <v>51313.759199999993</v>
      </c>
      <c r="K697">
        <f t="shared" si="31"/>
        <v>0.08</v>
      </c>
      <c r="L697">
        <f>IF(Performance!E697&lt;=1.5,0.01,IF(Performance!E697&lt;=2,0.02,IF(Performance!E697&lt;=3,0.03,"")))</f>
        <v>0.01</v>
      </c>
      <c r="M697">
        <f t="shared" si="32"/>
        <v>0.09</v>
      </c>
      <c r="N697">
        <f>Earnings!B697*(1+M697)</f>
        <v>847454.50800000003</v>
      </c>
    </row>
    <row r="698" spans="1:14" x14ac:dyDescent="0.35">
      <c r="A698" t="s">
        <v>728</v>
      </c>
      <c r="B698" t="s">
        <v>14</v>
      </c>
      <c r="C698" t="s">
        <v>15</v>
      </c>
      <c r="D698" t="s">
        <v>16</v>
      </c>
      <c r="E698">
        <v>8</v>
      </c>
      <c r="F698" t="s">
        <v>70</v>
      </c>
      <c r="G698">
        <f>Earnings!G698</f>
        <v>777387.97</v>
      </c>
      <c r="H698">
        <f>Deductions!B698+Deductions!C698+Deductions!D698+Tax!D698</f>
        <v>8318.0666666666657</v>
      </c>
      <c r="I698">
        <f t="shared" si="30"/>
        <v>883391.66333333333</v>
      </c>
      <c r="J698">
        <f>Overtime!D698</f>
        <v>114321.76</v>
      </c>
      <c r="K698">
        <f t="shared" si="31"/>
        <v>0.06</v>
      </c>
      <c r="L698">
        <f>IF(Performance!E698&lt;=1.5,0.01,IF(Performance!E698&lt;=2,0.02,IF(Performance!E698&lt;=3,0.03,"")))</f>
        <v>0.01</v>
      </c>
      <c r="M698">
        <f t="shared" si="32"/>
        <v>6.9999999999999993E-2</v>
      </c>
      <c r="N698">
        <f>Earnings!B698*(1+M698)</f>
        <v>873744.88</v>
      </c>
    </row>
    <row r="699" spans="1:14" x14ac:dyDescent="0.35">
      <c r="A699" t="s">
        <v>729</v>
      </c>
      <c r="B699" t="s">
        <v>19</v>
      </c>
      <c r="C699" t="s">
        <v>15</v>
      </c>
      <c r="D699" t="s">
        <v>21</v>
      </c>
      <c r="E699">
        <v>5</v>
      </c>
      <c r="F699" t="s">
        <v>44</v>
      </c>
      <c r="G699">
        <f>Earnings!G699</f>
        <v>537785.18000000005</v>
      </c>
      <c r="H699">
        <f>Deductions!B699+Deductions!C699+Deductions!D699+Tax!D699</f>
        <v>4123.34</v>
      </c>
      <c r="I699">
        <f t="shared" si="30"/>
        <v>587327.37800000003</v>
      </c>
      <c r="J699">
        <f>Overtime!D699</f>
        <v>53665.538</v>
      </c>
      <c r="K699">
        <f t="shared" si="31"/>
        <v>0.06</v>
      </c>
      <c r="L699">
        <f>IF(Performance!E699&lt;=1.5,0.01,IF(Performance!E699&lt;=2,0.02,IF(Performance!E699&lt;=3,0.03,"")))</f>
        <v>0.03</v>
      </c>
      <c r="M699">
        <f t="shared" si="32"/>
        <v>0.09</v>
      </c>
      <c r="N699">
        <f>Earnings!B699*(1+M699)</f>
        <v>615741.4360000001</v>
      </c>
    </row>
    <row r="700" spans="1:14" x14ac:dyDescent="0.35">
      <c r="A700" t="s">
        <v>730</v>
      </c>
      <c r="B700" t="s">
        <v>19</v>
      </c>
      <c r="C700" t="s">
        <v>43</v>
      </c>
      <c r="D700" t="s">
        <v>21</v>
      </c>
      <c r="E700">
        <v>5.0999999999999996</v>
      </c>
      <c r="F700" t="s">
        <v>44</v>
      </c>
      <c r="G700">
        <f>Earnings!G700</f>
        <v>1475911.61</v>
      </c>
      <c r="H700">
        <f>Deductions!B700+Deductions!C700+Deductions!D700+Tax!D700</f>
        <v>25273.183000000001</v>
      </c>
      <c r="I700">
        <f t="shared" si="30"/>
        <v>1450638.4270000001</v>
      </c>
      <c r="J700">
        <f>Overtime!D700</f>
        <v>0</v>
      </c>
      <c r="K700">
        <f t="shared" si="31"/>
        <v>0.12</v>
      </c>
      <c r="L700">
        <f>IF(Performance!E700&lt;=1.5,0.01,IF(Performance!E700&lt;=2,0.02,IF(Performance!E700&lt;=3,0.03,"")))</f>
        <v>0.03</v>
      </c>
      <c r="M700">
        <f t="shared" si="32"/>
        <v>0.15</v>
      </c>
      <c r="N700">
        <f>Earnings!B700*(1+M700)</f>
        <v>1782876.4179999998</v>
      </c>
    </row>
    <row r="701" spans="1:14" x14ac:dyDescent="0.35">
      <c r="A701" t="s">
        <v>731</v>
      </c>
      <c r="B701" t="s">
        <v>14</v>
      </c>
      <c r="C701" t="s">
        <v>20</v>
      </c>
      <c r="D701" t="s">
        <v>16</v>
      </c>
      <c r="E701">
        <v>15.4</v>
      </c>
      <c r="F701" t="s">
        <v>24</v>
      </c>
      <c r="G701">
        <f>Earnings!G701</f>
        <v>1109497.3600000001</v>
      </c>
      <c r="H701">
        <f>Deductions!B701+Deductions!C701+Deductions!D701+Tax!D701</f>
        <v>15590.959999999997</v>
      </c>
      <c r="I701">
        <f t="shared" si="30"/>
        <v>1306016.1888000001</v>
      </c>
      <c r="J701">
        <f>Overtime!D701</f>
        <v>212109.78879999998</v>
      </c>
      <c r="K701">
        <f t="shared" si="31"/>
        <v>0.1</v>
      </c>
      <c r="L701">
        <f>IF(Performance!E701&lt;=1.5,0.01,IF(Performance!E701&lt;=2,0.02,IF(Performance!E701&lt;=3,0.03,"")))</f>
        <v>0.01</v>
      </c>
      <c r="M701">
        <f t="shared" si="32"/>
        <v>0.11</v>
      </c>
      <c r="N701">
        <f>Earnings!B701*(1+M701)</f>
        <v>1293636.6240000001</v>
      </c>
    </row>
    <row r="702" spans="1:14" x14ac:dyDescent="0.35">
      <c r="A702" t="s">
        <v>732</v>
      </c>
      <c r="B702" t="s">
        <v>14</v>
      </c>
      <c r="C702" t="s">
        <v>43</v>
      </c>
      <c r="D702" t="s">
        <v>16</v>
      </c>
      <c r="E702">
        <v>13.6</v>
      </c>
      <c r="F702" t="s">
        <v>31</v>
      </c>
      <c r="G702">
        <f>Earnings!G702</f>
        <v>1146864.5900000001</v>
      </c>
      <c r="H702">
        <f>Deductions!B702+Deductions!C702+Deductions!D702+Tax!D702</f>
        <v>16632.2425</v>
      </c>
      <c r="I702">
        <f t="shared" si="30"/>
        <v>1355509.3214000002</v>
      </c>
      <c r="J702">
        <f>Overtime!D702</f>
        <v>225276.97390000001</v>
      </c>
      <c r="K702">
        <f t="shared" si="31"/>
        <v>0.12</v>
      </c>
      <c r="L702">
        <f>IF(Performance!E702&lt;=1.5,0.01,IF(Performance!E702&lt;=2,0.02,IF(Performance!E702&lt;=3,0.03,"")))</f>
        <v>0.01</v>
      </c>
      <c r="M702">
        <f t="shared" si="32"/>
        <v>0.13</v>
      </c>
      <c r="N702">
        <f>Earnings!B702*(1+M702)</f>
        <v>1361299.3609999998</v>
      </c>
    </row>
    <row r="703" spans="1:14" x14ac:dyDescent="0.35">
      <c r="A703" t="s">
        <v>733</v>
      </c>
      <c r="B703" t="s">
        <v>35</v>
      </c>
      <c r="C703" t="s">
        <v>43</v>
      </c>
      <c r="D703" t="s">
        <v>21</v>
      </c>
      <c r="E703">
        <v>18.7</v>
      </c>
      <c r="F703" t="s">
        <v>22</v>
      </c>
      <c r="G703">
        <f>Earnings!G703</f>
        <v>1491321.78</v>
      </c>
      <c r="H703">
        <f>Deductions!B703+Deductions!C703+Deductions!D703+Tax!D703</f>
        <v>25677.86175</v>
      </c>
      <c r="I703">
        <f t="shared" si="30"/>
        <v>1465643.9182500001</v>
      </c>
      <c r="J703">
        <f>Overtime!D703</f>
        <v>0</v>
      </c>
      <c r="K703">
        <f t="shared" si="31"/>
        <v>0.12</v>
      </c>
      <c r="L703">
        <f>IF(Performance!E703&lt;=1.5,0.01,IF(Performance!E703&lt;=2,0.02,IF(Performance!E703&lt;=3,0.03,"")))</f>
        <v>0.01</v>
      </c>
      <c r="M703">
        <f t="shared" si="32"/>
        <v>0.13</v>
      </c>
      <c r="N703">
        <f>Earnings!B703*(1+M703)</f>
        <v>1770161.3510999999</v>
      </c>
    </row>
    <row r="704" spans="1:14" x14ac:dyDescent="0.35">
      <c r="A704" t="s">
        <v>734</v>
      </c>
      <c r="B704" t="s">
        <v>19</v>
      </c>
      <c r="C704" t="s">
        <v>15</v>
      </c>
      <c r="D704" t="s">
        <v>21</v>
      </c>
      <c r="E704">
        <v>12</v>
      </c>
      <c r="F704" t="s">
        <v>70</v>
      </c>
      <c r="G704">
        <f>Earnings!G704</f>
        <v>1013004.87</v>
      </c>
      <c r="H704">
        <f>Deductions!B704+Deductions!C704+Deductions!D704+Tax!D704</f>
        <v>12977.018750000001</v>
      </c>
      <c r="I704">
        <f t="shared" si="30"/>
        <v>1053231.8887499999</v>
      </c>
      <c r="J704">
        <f>Overtime!D704</f>
        <v>53204.037499999991</v>
      </c>
      <c r="K704">
        <f t="shared" si="31"/>
        <v>0.06</v>
      </c>
      <c r="L704">
        <f>IF(Performance!E704&lt;=1.5,0.01,IF(Performance!E704&lt;=2,0.02,IF(Performance!E704&lt;=3,0.03,"")))</f>
        <v>0.03</v>
      </c>
      <c r="M704">
        <f t="shared" si="32"/>
        <v>0.09</v>
      </c>
      <c r="N704">
        <f>Earnings!B704*(1+M704)</f>
        <v>1159848.0175000001</v>
      </c>
    </row>
    <row r="705" spans="1:14" x14ac:dyDescent="0.35">
      <c r="A705" t="s">
        <v>735</v>
      </c>
      <c r="B705" t="s">
        <v>14</v>
      </c>
      <c r="C705" t="s">
        <v>43</v>
      </c>
      <c r="D705" t="s">
        <v>16</v>
      </c>
      <c r="E705">
        <v>8.5</v>
      </c>
      <c r="F705" t="s">
        <v>24</v>
      </c>
      <c r="G705">
        <f>Earnings!G705</f>
        <v>1010129.22</v>
      </c>
      <c r="H705">
        <f>Deductions!B705+Deductions!C705+Deductions!D705+Tax!D705</f>
        <v>13041.502500000002</v>
      </c>
      <c r="I705">
        <f t="shared" si="30"/>
        <v>1258639.0321499999</v>
      </c>
      <c r="J705">
        <f>Overtime!D705</f>
        <v>261551.31464999996</v>
      </c>
      <c r="K705">
        <f t="shared" si="31"/>
        <v>0.12</v>
      </c>
      <c r="L705">
        <f>IF(Performance!E705&lt;=1.5,0.01,IF(Performance!E705&lt;=2,0.02,IF(Performance!E705&lt;=3,0.03,"")))</f>
        <v>0.01</v>
      </c>
      <c r="M705">
        <f t="shared" si="32"/>
        <v>0.13</v>
      </c>
      <c r="N705">
        <f>Earnings!B705*(1+M705)</f>
        <v>1198997.9129999999</v>
      </c>
    </row>
    <row r="706" spans="1:14" x14ac:dyDescent="0.35">
      <c r="A706" t="s">
        <v>736</v>
      </c>
      <c r="B706" t="s">
        <v>14</v>
      </c>
      <c r="C706" t="s">
        <v>20</v>
      </c>
      <c r="D706" t="s">
        <v>16</v>
      </c>
      <c r="E706">
        <v>4.2</v>
      </c>
      <c r="F706" t="s">
        <v>70</v>
      </c>
      <c r="G706">
        <f>Earnings!G706</f>
        <v>698942.98</v>
      </c>
      <c r="H706">
        <f>Deductions!B706+Deductions!C706+Deductions!D706+Tax!D706</f>
        <v>7024.7300000000005</v>
      </c>
      <c r="I706">
        <f t="shared" ref="I706:I769" si="33">G706-H706+J706</f>
        <v>691918.25</v>
      </c>
      <c r="J706">
        <f>Overtime!D706</f>
        <v>0</v>
      </c>
      <c r="K706">
        <f t="shared" ref="K706:K769" si="34">IF(C706="Junior",0.06,IF(C706="Mid",0.08,IF(C706="Senior",0.1,IF(C706="Manager",0.12,0))))</f>
        <v>0.1</v>
      </c>
      <c r="L706">
        <f>IF(Performance!E706&lt;=1.5,0.01,IF(Performance!E706&lt;=2,0.02,IF(Performance!E706&lt;=3,0.03,"")))</f>
        <v>0.01</v>
      </c>
      <c r="M706">
        <f t="shared" ref="M706:M769" si="35">K706+L706</f>
        <v>0.11</v>
      </c>
      <c r="N706">
        <f>Earnings!B706*(1+M706)</f>
        <v>814944.01800000016</v>
      </c>
    </row>
    <row r="707" spans="1:14" x14ac:dyDescent="0.35">
      <c r="A707" t="s">
        <v>737</v>
      </c>
      <c r="B707" t="s">
        <v>19</v>
      </c>
      <c r="C707" t="s">
        <v>33</v>
      </c>
      <c r="D707" t="s">
        <v>16</v>
      </c>
      <c r="E707">
        <v>14.4</v>
      </c>
      <c r="F707" t="s">
        <v>22</v>
      </c>
      <c r="G707">
        <f>Earnings!G707</f>
        <v>987872.12</v>
      </c>
      <c r="H707">
        <f>Deductions!B707+Deductions!C707+Deductions!D707+Tax!D707</f>
        <v>12357.020000000002</v>
      </c>
      <c r="I707">
        <f t="shared" si="33"/>
        <v>1162297.6440000001</v>
      </c>
      <c r="J707">
        <f>Overtime!D707</f>
        <v>186782.54400000002</v>
      </c>
      <c r="K707">
        <f t="shared" si="34"/>
        <v>0.08</v>
      </c>
      <c r="L707">
        <f>IF(Performance!E707&lt;=1.5,0.01,IF(Performance!E707&lt;=2,0.02,IF(Performance!E707&lt;=3,0.03,"")))</f>
        <v>0.03</v>
      </c>
      <c r="M707">
        <f t="shared" si="35"/>
        <v>0.11</v>
      </c>
      <c r="N707">
        <f>Earnings!B707*(1+M707)</f>
        <v>1151825.6880000001</v>
      </c>
    </row>
    <row r="708" spans="1:14" x14ac:dyDescent="0.35">
      <c r="A708" t="s">
        <v>738</v>
      </c>
      <c r="B708" t="s">
        <v>35</v>
      </c>
      <c r="C708" t="s">
        <v>33</v>
      </c>
      <c r="D708" t="s">
        <v>16</v>
      </c>
      <c r="E708">
        <v>1.2</v>
      </c>
      <c r="F708" t="s">
        <v>27</v>
      </c>
      <c r="G708">
        <f>Earnings!G708</f>
        <v>609926.22</v>
      </c>
      <c r="H708">
        <f>Deductions!B708+Deductions!C708+Deductions!D708+Tax!D708</f>
        <v>5426.3133333333335</v>
      </c>
      <c r="I708">
        <f t="shared" si="33"/>
        <v>673693.21706666658</v>
      </c>
      <c r="J708">
        <f>Overtime!D708</f>
        <v>69193.310400000002</v>
      </c>
      <c r="K708">
        <f t="shared" si="34"/>
        <v>0.08</v>
      </c>
      <c r="L708">
        <f>IF(Performance!E708&lt;=1.5,0.01,IF(Performance!E708&lt;=2,0.02,IF(Performance!E708&lt;=3,0.03,"")))</f>
        <v>0.01</v>
      </c>
      <c r="M708">
        <f t="shared" si="35"/>
        <v>0.09</v>
      </c>
      <c r="N708">
        <f>Earnings!B708*(1+M708)</f>
        <v>698339.89200000011</v>
      </c>
    </row>
    <row r="709" spans="1:14" x14ac:dyDescent="0.35">
      <c r="A709" t="s">
        <v>739</v>
      </c>
      <c r="B709" t="s">
        <v>14</v>
      </c>
      <c r="C709" t="s">
        <v>20</v>
      </c>
      <c r="D709" t="s">
        <v>16</v>
      </c>
      <c r="E709">
        <v>11.2</v>
      </c>
      <c r="F709" t="s">
        <v>27</v>
      </c>
      <c r="G709">
        <f>Earnings!G709</f>
        <v>812139.01</v>
      </c>
      <c r="H709">
        <f>Deductions!B709+Deductions!C709+Deductions!D709+Tax!D709</f>
        <v>9006.4533333333311</v>
      </c>
      <c r="I709">
        <f t="shared" si="33"/>
        <v>904649.93346666661</v>
      </c>
      <c r="J709">
        <f>Overtime!D709</f>
        <v>101517.3768</v>
      </c>
      <c r="K709">
        <f t="shared" si="34"/>
        <v>0.1</v>
      </c>
      <c r="L709">
        <f>IF(Performance!E709&lt;=1.5,0.01,IF(Performance!E709&lt;=2,0.02,IF(Performance!E709&lt;=3,0.03,"")))</f>
        <v>0.01</v>
      </c>
      <c r="M709">
        <f t="shared" si="35"/>
        <v>0.11</v>
      </c>
      <c r="N709">
        <f>Earnings!B709*(1+M709)</f>
        <v>946926.79200000002</v>
      </c>
    </row>
    <row r="710" spans="1:14" x14ac:dyDescent="0.35">
      <c r="A710" t="s">
        <v>740</v>
      </c>
      <c r="B710" t="s">
        <v>29</v>
      </c>
      <c r="C710" t="s">
        <v>20</v>
      </c>
      <c r="D710" t="s">
        <v>16</v>
      </c>
      <c r="E710">
        <v>9.8000000000000007</v>
      </c>
      <c r="F710" t="s">
        <v>44</v>
      </c>
      <c r="G710">
        <f>Earnings!G710</f>
        <v>1875844.03</v>
      </c>
      <c r="H710">
        <f>Deductions!B710+Deductions!C710+Deductions!D710+Tax!D710</f>
        <v>35715.609999999993</v>
      </c>
      <c r="I710">
        <f t="shared" si="33"/>
        <v>1922886.2448</v>
      </c>
      <c r="J710">
        <f>Overtime!D710</f>
        <v>82757.824800000002</v>
      </c>
      <c r="K710">
        <f t="shared" si="34"/>
        <v>0.1</v>
      </c>
      <c r="L710">
        <f>IF(Performance!E710&lt;=1.5,0.01,IF(Performance!E710&lt;=2,0.02,IF(Performance!E710&lt;=3,0.03,"")))</f>
        <v>0.02</v>
      </c>
      <c r="M710">
        <f t="shared" si="35"/>
        <v>0.12000000000000001</v>
      </c>
      <c r="N710">
        <f>Earnings!B710*(1+M710)</f>
        <v>2206875.3280000002</v>
      </c>
    </row>
    <row r="711" spans="1:14" x14ac:dyDescent="0.35">
      <c r="A711" t="s">
        <v>741</v>
      </c>
      <c r="B711" t="s">
        <v>14</v>
      </c>
      <c r="C711" t="s">
        <v>33</v>
      </c>
      <c r="D711" t="s">
        <v>16</v>
      </c>
      <c r="E711">
        <v>9.6</v>
      </c>
      <c r="F711" t="s">
        <v>17</v>
      </c>
      <c r="G711">
        <f>Earnings!G711</f>
        <v>870852.66</v>
      </c>
      <c r="H711">
        <f>Deductions!B711+Deductions!C711+Deductions!D711+Tax!D711</f>
        <v>9994.3533333333326</v>
      </c>
      <c r="I711">
        <f t="shared" si="33"/>
        <v>860858.30666666664</v>
      </c>
      <c r="J711">
        <f>Overtime!D711</f>
        <v>0</v>
      </c>
      <c r="K711">
        <f t="shared" si="34"/>
        <v>0.08</v>
      </c>
      <c r="L711">
        <f>IF(Performance!E711&lt;=1.5,0.01,IF(Performance!E711&lt;=2,0.02,IF(Performance!E711&lt;=3,0.03,"")))</f>
        <v>0.01</v>
      </c>
      <c r="M711">
        <f t="shared" si="35"/>
        <v>0.09</v>
      </c>
      <c r="N711">
        <f>Earnings!B711*(1+M711)</f>
        <v>997089.70799999998</v>
      </c>
    </row>
    <row r="712" spans="1:14" x14ac:dyDescent="0.35">
      <c r="A712" t="s">
        <v>742</v>
      </c>
      <c r="B712" t="s">
        <v>35</v>
      </c>
      <c r="C712" t="s">
        <v>33</v>
      </c>
      <c r="D712" t="s">
        <v>16</v>
      </c>
      <c r="E712">
        <v>14.4</v>
      </c>
      <c r="F712" t="s">
        <v>24</v>
      </c>
      <c r="G712">
        <f>Earnings!G712</f>
        <v>1114066.2</v>
      </c>
      <c r="H712">
        <f>Deductions!B712+Deductions!C712+Deductions!D712+Tax!D712</f>
        <v>15670.940000000002</v>
      </c>
      <c r="I712">
        <f t="shared" si="33"/>
        <v>1098395.26</v>
      </c>
      <c r="J712">
        <f>Overtime!D712</f>
        <v>0</v>
      </c>
      <c r="K712">
        <f t="shared" si="34"/>
        <v>0.08</v>
      </c>
      <c r="L712">
        <f>IF(Performance!E712&lt;=1.5,0.01,IF(Performance!E712&lt;=2,0.02,IF(Performance!E712&lt;=3,0.03,"")))</f>
        <v>0.01</v>
      </c>
      <c r="M712">
        <f t="shared" si="35"/>
        <v>0.09</v>
      </c>
      <c r="N712">
        <f>Earnings!B712*(1+M712)</f>
        <v>1275558.9840000002</v>
      </c>
    </row>
    <row r="713" spans="1:14" x14ac:dyDescent="0.35">
      <c r="A713" t="s">
        <v>743</v>
      </c>
      <c r="B713" t="s">
        <v>29</v>
      </c>
      <c r="C713" t="s">
        <v>33</v>
      </c>
      <c r="D713" t="s">
        <v>16</v>
      </c>
      <c r="E713">
        <v>7.2</v>
      </c>
      <c r="F713" t="s">
        <v>37</v>
      </c>
      <c r="G713">
        <f>Earnings!G713</f>
        <v>1075229.1599999999</v>
      </c>
      <c r="H713">
        <f>Deductions!B713+Deductions!C713+Deductions!D713+Tax!D713</f>
        <v>14651.059999999998</v>
      </c>
      <c r="I713">
        <f t="shared" si="33"/>
        <v>1060578.0999999999</v>
      </c>
      <c r="J713">
        <f>Overtime!D713</f>
        <v>0</v>
      </c>
      <c r="K713">
        <f t="shared" si="34"/>
        <v>0.08</v>
      </c>
      <c r="L713">
        <f>IF(Performance!E713&lt;=1.5,0.01,IF(Performance!E713&lt;=2,0.02,IF(Performance!E713&lt;=3,0.03,"")))</f>
        <v>0.02</v>
      </c>
      <c r="M713">
        <f t="shared" si="35"/>
        <v>0.1</v>
      </c>
      <c r="N713">
        <f>Earnings!B713*(1+M713)</f>
        <v>1242386.6399999999</v>
      </c>
    </row>
    <row r="714" spans="1:14" x14ac:dyDescent="0.35">
      <c r="A714" t="s">
        <v>744</v>
      </c>
      <c r="B714" t="s">
        <v>26</v>
      </c>
      <c r="C714" t="s">
        <v>33</v>
      </c>
      <c r="D714" t="s">
        <v>21</v>
      </c>
      <c r="E714">
        <v>8.4</v>
      </c>
      <c r="F714" t="s">
        <v>70</v>
      </c>
      <c r="G714">
        <f>Earnings!G714</f>
        <v>841960.22</v>
      </c>
      <c r="H714">
        <f>Deductions!B714+Deductions!C714+Deductions!D714+Tax!D714</f>
        <v>9488.5333333333328</v>
      </c>
      <c r="I714">
        <f t="shared" si="33"/>
        <v>832471.68666666665</v>
      </c>
      <c r="J714">
        <f>Overtime!D714</f>
        <v>0</v>
      </c>
      <c r="K714">
        <f t="shared" si="34"/>
        <v>0.08</v>
      </c>
      <c r="L714">
        <f>IF(Performance!E714&lt;=1.5,0.01,IF(Performance!E714&lt;=2,0.02,IF(Performance!E714&lt;=3,0.03,"")))</f>
        <v>0.01</v>
      </c>
      <c r="M714">
        <f t="shared" si="35"/>
        <v>0.09</v>
      </c>
      <c r="N714">
        <f>Earnings!B714*(1+M714)</f>
        <v>964009.08000000007</v>
      </c>
    </row>
    <row r="715" spans="1:14" x14ac:dyDescent="0.35">
      <c r="A715" t="s">
        <v>745</v>
      </c>
      <c r="B715" t="s">
        <v>26</v>
      </c>
      <c r="C715" t="s">
        <v>33</v>
      </c>
      <c r="D715" t="s">
        <v>16</v>
      </c>
      <c r="E715">
        <v>13.2</v>
      </c>
      <c r="F715" t="s">
        <v>17</v>
      </c>
      <c r="G715">
        <f>Earnings!G715</f>
        <v>788106.35</v>
      </c>
      <c r="H715">
        <f>Deductions!B715+Deductions!C715+Deductions!D715+Tax!D715</f>
        <v>8545.7133333333331</v>
      </c>
      <c r="I715">
        <f t="shared" si="33"/>
        <v>903737.05666666664</v>
      </c>
      <c r="J715">
        <f>Overtime!D715</f>
        <v>124176.42</v>
      </c>
      <c r="K715">
        <f t="shared" si="34"/>
        <v>0.08</v>
      </c>
      <c r="L715">
        <f>IF(Performance!E715&lt;=1.5,0.01,IF(Performance!E715&lt;=2,0.02,IF(Performance!E715&lt;=3,0.03,"")))</f>
        <v>0.01</v>
      </c>
      <c r="M715">
        <f t="shared" si="35"/>
        <v>0.09</v>
      </c>
      <c r="N715">
        <f>Earnings!B715*(1+M715)</f>
        <v>902348.65200000012</v>
      </c>
    </row>
    <row r="716" spans="1:14" x14ac:dyDescent="0.35">
      <c r="A716" t="s">
        <v>746</v>
      </c>
      <c r="B716" t="s">
        <v>35</v>
      </c>
      <c r="C716" t="s">
        <v>20</v>
      </c>
      <c r="D716" t="s">
        <v>16</v>
      </c>
      <c r="E716">
        <v>7</v>
      </c>
      <c r="F716" t="s">
        <v>37</v>
      </c>
      <c r="G716">
        <f>Earnings!G716</f>
        <v>884980.53</v>
      </c>
      <c r="H716">
        <f>Deductions!B716+Deductions!C716+Deductions!D716+Tax!D716</f>
        <v>10281.69</v>
      </c>
      <c r="I716">
        <f t="shared" si="33"/>
        <v>972306.98700000008</v>
      </c>
      <c r="J716">
        <f>Overtime!D716</f>
        <v>97608.146999999997</v>
      </c>
      <c r="K716">
        <f t="shared" si="34"/>
        <v>0.1</v>
      </c>
      <c r="L716">
        <f>IF(Performance!E716&lt;=1.5,0.01,IF(Performance!E716&lt;=2,0.02,IF(Performance!E716&lt;=3,0.03,"")))</f>
        <v>0.01</v>
      </c>
      <c r="M716">
        <f t="shared" si="35"/>
        <v>0.11</v>
      </c>
      <c r="N716">
        <f>Earnings!B716*(1+M716)</f>
        <v>1031857.5540000001</v>
      </c>
    </row>
    <row r="717" spans="1:14" x14ac:dyDescent="0.35">
      <c r="A717" t="s">
        <v>747</v>
      </c>
      <c r="B717" t="s">
        <v>29</v>
      </c>
      <c r="C717" t="s">
        <v>20</v>
      </c>
      <c r="D717" t="s">
        <v>21</v>
      </c>
      <c r="E717">
        <v>11.2</v>
      </c>
      <c r="F717" t="s">
        <v>44</v>
      </c>
      <c r="G717">
        <f>Earnings!G717</f>
        <v>1241333.1299999999</v>
      </c>
      <c r="H717">
        <f>Deductions!B717+Deductions!C717+Deductions!D717+Tax!D717</f>
        <v>19053.034000000003</v>
      </c>
      <c r="I717">
        <f t="shared" si="33"/>
        <v>1313554.5904999999</v>
      </c>
      <c r="J717">
        <f>Overtime!D717</f>
        <v>91274.494500000001</v>
      </c>
      <c r="K717">
        <f t="shared" si="34"/>
        <v>0.1</v>
      </c>
      <c r="L717">
        <f>IF(Performance!E717&lt;=1.5,0.01,IF(Performance!E717&lt;=2,0.02,IF(Performance!E717&lt;=3,0.03,"")))</f>
        <v>0.02</v>
      </c>
      <c r="M717">
        <f t="shared" si="35"/>
        <v>0.12000000000000001</v>
      </c>
      <c r="N717">
        <f>Earnings!B717*(1+M717)</f>
        <v>1460391.9232000003</v>
      </c>
    </row>
    <row r="718" spans="1:14" x14ac:dyDescent="0.35">
      <c r="A718" t="s">
        <v>748</v>
      </c>
      <c r="B718" t="s">
        <v>35</v>
      </c>
      <c r="C718" t="s">
        <v>43</v>
      </c>
      <c r="D718" t="s">
        <v>21</v>
      </c>
      <c r="E718">
        <v>5.0999999999999996</v>
      </c>
      <c r="F718" t="s">
        <v>44</v>
      </c>
      <c r="G718">
        <f>Earnings!G718</f>
        <v>1615591.67</v>
      </c>
      <c r="H718">
        <f>Deductions!B718+Deductions!C718+Deductions!D718+Tax!D718</f>
        <v>28941.251749999999</v>
      </c>
      <c r="I718">
        <f t="shared" si="33"/>
        <v>1586650.4182499999</v>
      </c>
      <c r="J718">
        <f>Overtime!D718</f>
        <v>0</v>
      </c>
      <c r="K718">
        <f t="shared" si="34"/>
        <v>0.12</v>
      </c>
      <c r="L718">
        <f>IF(Performance!E718&lt;=1.5,0.01,IF(Performance!E718&lt;=2,0.02,IF(Performance!E718&lt;=3,0.03,"")))</f>
        <v>0.01</v>
      </c>
      <c r="M718">
        <f t="shared" si="35"/>
        <v>0.13</v>
      </c>
      <c r="N718">
        <f>Earnings!B718*(1+M718)</f>
        <v>1917666.5791</v>
      </c>
    </row>
    <row r="719" spans="1:14" x14ac:dyDescent="0.35">
      <c r="A719" t="s">
        <v>749</v>
      </c>
      <c r="B719" t="s">
        <v>19</v>
      </c>
      <c r="C719" t="s">
        <v>33</v>
      </c>
      <c r="D719" t="s">
        <v>16</v>
      </c>
      <c r="E719">
        <v>6</v>
      </c>
      <c r="F719" t="s">
        <v>44</v>
      </c>
      <c r="G719">
        <f>Earnings!G719</f>
        <v>1031648.89</v>
      </c>
      <c r="H719">
        <f>Deductions!B719+Deductions!C719+Deductions!D719+Tax!D719</f>
        <v>13506.62</v>
      </c>
      <c r="I719">
        <f t="shared" si="33"/>
        <v>1018142.27</v>
      </c>
      <c r="J719">
        <f>Overtime!D719</f>
        <v>0</v>
      </c>
      <c r="K719">
        <f t="shared" si="34"/>
        <v>0.08</v>
      </c>
      <c r="L719">
        <f>IF(Performance!E719&lt;=1.5,0.01,IF(Performance!E719&lt;=2,0.02,IF(Performance!E719&lt;=3,0.03,"")))</f>
        <v>0.03</v>
      </c>
      <c r="M719">
        <f t="shared" si="35"/>
        <v>0.11</v>
      </c>
      <c r="N719">
        <f>Earnings!B719*(1+M719)</f>
        <v>1202867.9280000001</v>
      </c>
    </row>
    <row r="720" spans="1:14" x14ac:dyDescent="0.35">
      <c r="A720" t="s">
        <v>750</v>
      </c>
      <c r="B720" t="s">
        <v>14</v>
      </c>
      <c r="C720" t="s">
        <v>33</v>
      </c>
      <c r="D720" t="s">
        <v>16</v>
      </c>
      <c r="E720">
        <v>14.4</v>
      </c>
      <c r="F720" t="s">
        <v>31</v>
      </c>
      <c r="G720">
        <f>Earnings!G720</f>
        <v>845445.69</v>
      </c>
      <c r="H720">
        <f>Deductions!B720+Deductions!C720+Deductions!D720+Tax!D720</f>
        <v>9549.5533333333333</v>
      </c>
      <c r="I720">
        <f t="shared" si="33"/>
        <v>835896.1366666666</v>
      </c>
      <c r="J720">
        <f>Overtime!D720</f>
        <v>0</v>
      </c>
      <c r="K720">
        <f t="shared" si="34"/>
        <v>0.08</v>
      </c>
      <c r="L720">
        <f>IF(Performance!E720&lt;=1.5,0.01,IF(Performance!E720&lt;=2,0.02,IF(Performance!E720&lt;=3,0.03,"")))</f>
        <v>0.01</v>
      </c>
      <c r="M720">
        <f t="shared" si="35"/>
        <v>0.09</v>
      </c>
      <c r="N720">
        <f>Earnings!B720*(1+M720)</f>
        <v>967999.78800000006</v>
      </c>
    </row>
    <row r="721" spans="1:14" x14ac:dyDescent="0.35">
      <c r="A721" t="s">
        <v>751</v>
      </c>
      <c r="B721" t="s">
        <v>26</v>
      </c>
      <c r="C721" t="s">
        <v>33</v>
      </c>
      <c r="D721" t="s">
        <v>16</v>
      </c>
      <c r="E721">
        <v>13.2</v>
      </c>
      <c r="F721" t="s">
        <v>44</v>
      </c>
      <c r="G721">
        <f>Earnings!G721</f>
        <v>1115912.31</v>
      </c>
      <c r="H721">
        <f>Deductions!B721+Deductions!C721+Deductions!D721+Tax!D721</f>
        <v>15719.42</v>
      </c>
      <c r="I721">
        <f t="shared" si="33"/>
        <v>1205688.8020000001</v>
      </c>
      <c r="J721">
        <f>Overtime!D721</f>
        <v>105495.912</v>
      </c>
      <c r="K721">
        <f t="shared" si="34"/>
        <v>0.08</v>
      </c>
      <c r="L721">
        <f>IF(Performance!E721&lt;=1.5,0.01,IF(Performance!E721&lt;=2,0.02,IF(Performance!E721&lt;=3,0.03,"")))</f>
        <v>0.01</v>
      </c>
      <c r="M721">
        <f t="shared" si="35"/>
        <v>0.09</v>
      </c>
      <c r="N721">
        <f>Earnings!B721*(1+M721)</f>
        <v>1277672.7120000001</v>
      </c>
    </row>
    <row r="722" spans="1:14" x14ac:dyDescent="0.35">
      <c r="A722" t="s">
        <v>752</v>
      </c>
      <c r="B722" t="s">
        <v>29</v>
      </c>
      <c r="C722" t="s">
        <v>43</v>
      </c>
      <c r="D722" t="s">
        <v>16</v>
      </c>
      <c r="E722">
        <v>13.6</v>
      </c>
      <c r="F722" t="s">
        <v>22</v>
      </c>
      <c r="G722">
        <f>Earnings!G722</f>
        <v>2111662.4300000002</v>
      </c>
      <c r="H722">
        <f>Deductions!B722+Deductions!C722+Deductions!D722+Tax!D722</f>
        <v>41968.319999999992</v>
      </c>
      <c r="I722">
        <f t="shared" si="33"/>
        <v>2069694.11</v>
      </c>
      <c r="J722">
        <f>Overtime!D722</f>
        <v>0</v>
      </c>
      <c r="K722">
        <f t="shared" si="34"/>
        <v>0.12</v>
      </c>
      <c r="L722">
        <f>IF(Performance!E722&lt;=1.5,0.01,IF(Performance!E722&lt;=2,0.02,IF(Performance!E722&lt;=3,0.03,"")))</f>
        <v>0.02</v>
      </c>
      <c r="M722">
        <f t="shared" si="35"/>
        <v>0.13999999999999999</v>
      </c>
      <c r="N722">
        <f>Earnings!B722*(1+M722)</f>
        <v>2528671.3919999995</v>
      </c>
    </row>
    <row r="723" spans="1:14" x14ac:dyDescent="0.35">
      <c r="A723" t="s">
        <v>753</v>
      </c>
      <c r="B723" t="s">
        <v>14</v>
      </c>
      <c r="C723" t="s">
        <v>15</v>
      </c>
      <c r="D723" t="s">
        <v>16</v>
      </c>
      <c r="E723">
        <v>3</v>
      </c>
      <c r="F723" t="s">
        <v>37</v>
      </c>
      <c r="G723">
        <f>Earnings!G723</f>
        <v>528326.68000000005</v>
      </c>
      <c r="H723">
        <f>Deductions!B723+Deductions!C723+Deductions!D723+Tax!D723</f>
        <v>3957.75</v>
      </c>
      <c r="I723">
        <f t="shared" si="33"/>
        <v>524368.93000000005</v>
      </c>
      <c r="J723">
        <f>Overtime!D723</f>
        <v>0</v>
      </c>
      <c r="K723">
        <f t="shared" si="34"/>
        <v>0.06</v>
      </c>
      <c r="L723">
        <f>IF(Performance!E723&lt;=1.5,0.01,IF(Performance!E723&lt;=2,0.02,IF(Performance!E723&lt;=3,0.03,"")))</f>
        <v>0.01</v>
      </c>
      <c r="M723">
        <f t="shared" si="35"/>
        <v>6.9999999999999993E-2</v>
      </c>
      <c r="N723">
        <f>Earnings!B723*(1+M723)</f>
        <v>593812.55000000005</v>
      </c>
    </row>
    <row r="724" spans="1:14" x14ac:dyDescent="0.35">
      <c r="A724" t="s">
        <v>754</v>
      </c>
      <c r="B724" t="s">
        <v>26</v>
      </c>
      <c r="C724" t="s">
        <v>20</v>
      </c>
      <c r="D724" t="s">
        <v>16</v>
      </c>
      <c r="E724">
        <v>21</v>
      </c>
      <c r="F724" t="s">
        <v>31</v>
      </c>
      <c r="G724">
        <f>Earnings!G724</f>
        <v>1309172.1200000001</v>
      </c>
      <c r="H724">
        <f>Deductions!B724+Deductions!C724+Deductions!D724+Tax!D724</f>
        <v>20834.52</v>
      </c>
      <c r="I724">
        <f t="shared" si="33"/>
        <v>1288337.6000000001</v>
      </c>
      <c r="J724">
        <f>Overtime!D724</f>
        <v>0</v>
      </c>
      <c r="K724">
        <f t="shared" si="34"/>
        <v>0.1</v>
      </c>
      <c r="L724">
        <f>IF(Performance!E724&lt;=1.5,0.01,IF(Performance!E724&lt;=2,0.02,IF(Performance!E724&lt;=3,0.03,"")))</f>
        <v>0.01</v>
      </c>
      <c r="M724">
        <f t="shared" si="35"/>
        <v>0.11</v>
      </c>
      <c r="N724">
        <f>Earnings!B724*(1+M724)</f>
        <v>1526450.6880000001</v>
      </c>
    </row>
    <row r="725" spans="1:14" x14ac:dyDescent="0.35">
      <c r="A725" t="s">
        <v>755</v>
      </c>
      <c r="B725" t="s">
        <v>19</v>
      </c>
      <c r="C725" t="s">
        <v>33</v>
      </c>
      <c r="D725" t="s">
        <v>16</v>
      </c>
      <c r="E725">
        <v>16.8</v>
      </c>
      <c r="F725" t="s">
        <v>44</v>
      </c>
      <c r="G725">
        <f>Earnings!G725</f>
        <v>1266473.78</v>
      </c>
      <c r="H725">
        <f>Deductions!B725+Deductions!C725+Deductions!D725+Tax!D725</f>
        <v>19673.240000000002</v>
      </c>
      <c r="I725">
        <f t="shared" si="33"/>
        <v>1246800.54</v>
      </c>
      <c r="J725">
        <f>Overtime!D725</f>
        <v>0</v>
      </c>
      <c r="K725">
        <f t="shared" si="34"/>
        <v>0.08</v>
      </c>
      <c r="L725">
        <f>IF(Performance!E725&lt;=1.5,0.01,IF(Performance!E725&lt;=2,0.02,IF(Performance!E725&lt;=3,0.03,"")))</f>
        <v>0.03</v>
      </c>
      <c r="M725">
        <f t="shared" si="35"/>
        <v>0.11</v>
      </c>
      <c r="N725">
        <f>Earnings!B725*(1+M725)</f>
        <v>1476665.8560000001</v>
      </c>
    </row>
    <row r="726" spans="1:14" x14ac:dyDescent="0.35">
      <c r="A726" t="s">
        <v>756</v>
      </c>
      <c r="B726" t="s">
        <v>35</v>
      </c>
      <c r="C726" t="s">
        <v>15</v>
      </c>
      <c r="D726" t="s">
        <v>21</v>
      </c>
      <c r="E726">
        <v>0</v>
      </c>
      <c r="F726" t="s">
        <v>70</v>
      </c>
      <c r="G726">
        <f>Earnings!G726</f>
        <v>740162.77</v>
      </c>
      <c r="H726">
        <f>Deductions!B726+Deductions!C726+Deductions!D726+Tax!D726</f>
        <v>7666.3650000000007</v>
      </c>
      <c r="I726">
        <f t="shared" si="33"/>
        <v>732496.40500000003</v>
      </c>
      <c r="J726">
        <f>Overtime!D726</f>
        <v>0</v>
      </c>
      <c r="K726">
        <f t="shared" si="34"/>
        <v>0.06</v>
      </c>
      <c r="L726">
        <f>IF(Performance!E726&lt;=1.5,0.01,IF(Performance!E726&lt;=2,0.02,IF(Performance!E726&lt;=3,0.03,"")))</f>
        <v>0.01</v>
      </c>
      <c r="M726">
        <f t="shared" si="35"/>
        <v>6.9999999999999993E-2</v>
      </c>
      <c r="N726">
        <f>Earnings!B726*(1+M726)</f>
        <v>831905.63300000003</v>
      </c>
    </row>
    <row r="727" spans="1:14" x14ac:dyDescent="0.35">
      <c r="A727" t="s">
        <v>757</v>
      </c>
      <c r="B727" t="s">
        <v>29</v>
      </c>
      <c r="C727" t="s">
        <v>43</v>
      </c>
      <c r="D727" t="s">
        <v>21</v>
      </c>
      <c r="E727">
        <v>5.0999999999999996</v>
      </c>
      <c r="F727" t="s">
        <v>37</v>
      </c>
      <c r="G727">
        <f>Earnings!G727</f>
        <v>1959839.59</v>
      </c>
      <c r="H727">
        <f>Deductions!B727+Deductions!C727+Deductions!D727+Tax!D727</f>
        <v>37981.375749999999</v>
      </c>
      <c r="I727">
        <f t="shared" si="33"/>
        <v>1921858.2142500002</v>
      </c>
      <c r="J727">
        <f>Overtime!D727</f>
        <v>0</v>
      </c>
      <c r="K727">
        <f t="shared" si="34"/>
        <v>0.12</v>
      </c>
      <c r="L727">
        <f>IF(Performance!E727&lt;=1.5,0.01,IF(Performance!E727&lt;=2,0.02,IF(Performance!E727&lt;=3,0.03,"")))</f>
        <v>0.02</v>
      </c>
      <c r="M727">
        <f t="shared" si="35"/>
        <v>0.13999999999999999</v>
      </c>
      <c r="N727">
        <f>Earnings!B727*(1+M727)</f>
        <v>2346866.7341999998</v>
      </c>
    </row>
    <row r="728" spans="1:14" x14ac:dyDescent="0.35">
      <c r="A728" t="s">
        <v>758</v>
      </c>
      <c r="B728" t="s">
        <v>19</v>
      </c>
      <c r="C728" t="s">
        <v>20</v>
      </c>
      <c r="D728" t="s">
        <v>16</v>
      </c>
      <c r="E728">
        <v>21</v>
      </c>
      <c r="F728" t="s">
        <v>44</v>
      </c>
      <c r="G728">
        <f>Earnings!G728</f>
        <v>1516247.92</v>
      </c>
      <c r="H728">
        <f>Deductions!B728+Deductions!C728+Deductions!D728+Tax!D728</f>
        <v>26272.434999999998</v>
      </c>
      <c r="I728">
        <f t="shared" si="33"/>
        <v>1590315.4211999997</v>
      </c>
      <c r="J728">
        <f>Overtime!D728</f>
        <v>100339.93619999998</v>
      </c>
      <c r="K728">
        <f t="shared" si="34"/>
        <v>0.1</v>
      </c>
      <c r="L728">
        <f>IF(Performance!E728&lt;=1.5,0.01,IF(Performance!E728&lt;=2,0.02,IF(Performance!E728&lt;=3,0.03,"")))</f>
        <v>0.03</v>
      </c>
      <c r="M728">
        <f t="shared" si="35"/>
        <v>0.13</v>
      </c>
      <c r="N728">
        <f>Earnings!B728*(1+M728)</f>
        <v>1799748.0619999997</v>
      </c>
    </row>
    <row r="729" spans="1:14" x14ac:dyDescent="0.35">
      <c r="A729" t="s">
        <v>759</v>
      </c>
      <c r="B729" t="s">
        <v>19</v>
      </c>
      <c r="C729" t="s">
        <v>15</v>
      </c>
      <c r="D729" t="s">
        <v>21</v>
      </c>
      <c r="E729">
        <v>13</v>
      </c>
      <c r="F729" t="s">
        <v>31</v>
      </c>
      <c r="G729">
        <f>Earnings!G729</f>
        <v>1061937.44</v>
      </c>
      <c r="H729">
        <f>Deductions!B729+Deductions!C729+Deductions!D729+Tax!D729</f>
        <v>14262.012499999999</v>
      </c>
      <c r="I729">
        <f t="shared" si="33"/>
        <v>1047675.4275</v>
      </c>
      <c r="J729">
        <f>Overtime!D729</f>
        <v>0</v>
      </c>
      <c r="K729">
        <f t="shared" si="34"/>
        <v>0.06</v>
      </c>
      <c r="L729">
        <f>IF(Performance!E729&lt;=1.5,0.01,IF(Performance!E729&lt;=2,0.02,IF(Performance!E729&lt;=3,0.03,"")))</f>
        <v>0.03</v>
      </c>
      <c r="M729">
        <f t="shared" si="35"/>
        <v>0.09</v>
      </c>
      <c r="N729">
        <f>Earnings!B729*(1+M729)</f>
        <v>1215873.7450000001</v>
      </c>
    </row>
    <row r="730" spans="1:14" x14ac:dyDescent="0.35">
      <c r="A730" t="s">
        <v>760</v>
      </c>
      <c r="B730" t="s">
        <v>19</v>
      </c>
      <c r="C730" t="s">
        <v>15</v>
      </c>
      <c r="D730" t="s">
        <v>21</v>
      </c>
      <c r="E730">
        <v>15</v>
      </c>
      <c r="F730" t="s">
        <v>22</v>
      </c>
      <c r="G730">
        <f>Earnings!G730</f>
        <v>976250.06</v>
      </c>
      <c r="H730">
        <f>Deductions!B730+Deductions!C730+Deductions!D730+Tax!D730</f>
        <v>12011.81875</v>
      </c>
      <c r="I730">
        <f t="shared" si="33"/>
        <v>1041148.6975</v>
      </c>
      <c r="J730">
        <f>Overtime!D730</f>
        <v>76910.456249999988</v>
      </c>
      <c r="K730">
        <f t="shared" si="34"/>
        <v>0.06</v>
      </c>
      <c r="L730">
        <f>IF(Performance!E730&lt;=1.5,0.01,IF(Performance!E730&lt;=2,0.02,IF(Performance!E730&lt;=3,0.03,"")))</f>
        <v>0.03</v>
      </c>
      <c r="M730">
        <f t="shared" si="35"/>
        <v>0.09</v>
      </c>
      <c r="N730">
        <f>Earnings!B730*(1+M730)</f>
        <v>1117765.2975000001</v>
      </c>
    </row>
    <row r="731" spans="1:14" x14ac:dyDescent="0.35">
      <c r="A731" t="s">
        <v>761</v>
      </c>
      <c r="B731" t="s">
        <v>19</v>
      </c>
      <c r="C731" t="s">
        <v>20</v>
      </c>
      <c r="D731" t="s">
        <v>16</v>
      </c>
      <c r="E731">
        <v>1.4</v>
      </c>
      <c r="F731" t="s">
        <v>22</v>
      </c>
      <c r="G731">
        <f>Earnings!G731</f>
        <v>641569.93999999994</v>
      </c>
      <c r="H731">
        <f>Deductions!B731+Deductions!C731+Deductions!D731+Tax!D731</f>
        <v>6020.2999999999993</v>
      </c>
      <c r="I731">
        <f t="shared" si="33"/>
        <v>767637.56799999997</v>
      </c>
      <c r="J731">
        <f>Overtime!D731</f>
        <v>132087.92800000001</v>
      </c>
      <c r="K731">
        <f t="shared" si="34"/>
        <v>0.1</v>
      </c>
      <c r="L731">
        <f>IF(Performance!E731&lt;=1.5,0.01,IF(Performance!E731&lt;=2,0.02,IF(Performance!E731&lt;=3,0.03,"")))</f>
        <v>0.03</v>
      </c>
      <c r="M731">
        <f t="shared" si="35"/>
        <v>0.13</v>
      </c>
      <c r="N731">
        <f>Earnings!B731*(1+M731)</f>
        <v>761527.34</v>
      </c>
    </row>
    <row r="732" spans="1:14" x14ac:dyDescent="0.35">
      <c r="A732" t="s">
        <v>762</v>
      </c>
      <c r="B732" t="s">
        <v>14</v>
      </c>
      <c r="C732" t="s">
        <v>20</v>
      </c>
      <c r="D732" t="s">
        <v>16</v>
      </c>
      <c r="E732">
        <v>16.8</v>
      </c>
      <c r="F732" t="s">
        <v>24</v>
      </c>
      <c r="G732">
        <f>Earnings!G732</f>
        <v>1200399.6499999999</v>
      </c>
      <c r="H732">
        <f>Deductions!B732+Deductions!C732+Deductions!D732+Tax!D732</f>
        <v>17978.099999999999</v>
      </c>
      <c r="I732">
        <f t="shared" si="33"/>
        <v>1182421.5499999998</v>
      </c>
      <c r="J732">
        <f>Overtime!D732</f>
        <v>0</v>
      </c>
      <c r="K732">
        <f t="shared" si="34"/>
        <v>0.1</v>
      </c>
      <c r="L732">
        <f>IF(Performance!E732&lt;=1.5,0.01,IF(Performance!E732&lt;=2,0.02,IF(Performance!E732&lt;=3,0.03,"")))</f>
        <v>0.01</v>
      </c>
      <c r="M732">
        <f t="shared" si="35"/>
        <v>0.11</v>
      </c>
      <c r="N732">
        <f>Earnings!B732*(1+M732)</f>
        <v>1399625.6400000001</v>
      </c>
    </row>
    <row r="733" spans="1:14" x14ac:dyDescent="0.35">
      <c r="A733" t="s">
        <v>763</v>
      </c>
      <c r="B733" t="s">
        <v>14</v>
      </c>
      <c r="C733" t="s">
        <v>15</v>
      </c>
      <c r="D733" t="s">
        <v>21</v>
      </c>
      <c r="E733">
        <v>9</v>
      </c>
      <c r="F733" t="s">
        <v>17</v>
      </c>
      <c r="G733">
        <f>Earnings!G733</f>
        <v>560800.35</v>
      </c>
      <c r="H733">
        <f>Deductions!B733+Deductions!C733+Deductions!D733+Tax!D733</f>
        <v>4526.2666666666664</v>
      </c>
      <c r="I733">
        <f t="shared" si="33"/>
        <v>556274.08333333326</v>
      </c>
      <c r="J733">
        <f>Overtime!D733</f>
        <v>0</v>
      </c>
      <c r="K733">
        <f t="shared" si="34"/>
        <v>0.06</v>
      </c>
      <c r="L733">
        <f>IF(Performance!E733&lt;=1.5,0.01,IF(Performance!E733&lt;=2,0.02,IF(Performance!E733&lt;=3,0.03,"")))</f>
        <v>0.01</v>
      </c>
      <c r="M733">
        <f t="shared" si="35"/>
        <v>6.9999999999999993E-2</v>
      </c>
      <c r="N733">
        <f>Earnings!B733*(1+M733)</f>
        <v>630311.32000000007</v>
      </c>
    </row>
    <row r="734" spans="1:14" x14ac:dyDescent="0.35">
      <c r="A734" t="s">
        <v>764</v>
      </c>
      <c r="B734" t="s">
        <v>14</v>
      </c>
      <c r="C734" t="s">
        <v>20</v>
      </c>
      <c r="D734" t="s">
        <v>16</v>
      </c>
      <c r="E734">
        <v>0</v>
      </c>
      <c r="F734" t="s">
        <v>24</v>
      </c>
      <c r="G734">
        <f>Earnings!G734</f>
        <v>595143.18000000005</v>
      </c>
      <c r="H734">
        <f>Deductions!B734+Deductions!C734+Deductions!D734+Tax!D734</f>
        <v>5207.5066666666662</v>
      </c>
      <c r="I734">
        <f t="shared" si="33"/>
        <v>589935.67333333334</v>
      </c>
      <c r="J734">
        <f>Overtime!D734</f>
        <v>0</v>
      </c>
      <c r="K734">
        <f t="shared" si="34"/>
        <v>0.1</v>
      </c>
      <c r="L734">
        <f>IF(Performance!E734&lt;=1.5,0.01,IF(Performance!E734&lt;=2,0.02,IF(Performance!E734&lt;=3,0.03,"")))</f>
        <v>0.01</v>
      </c>
      <c r="M734">
        <f t="shared" si="35"/>
        <v>0.11</v>
      </c>
      <c r="N734">
        <f>Earnings!B734*(1+M734)</f>
        <v>693916.94400000013</v>
      </c>
    </row>
    <row r="735" spans="1:14" x14ac:dyDescent="0.35">
      <c r="A735" t="s">
        <v>765</v>
      </c>
      <c r="B735" t="s">
        <v>19</v>
      </c>
      <c r="C735" t="s">
        <v>20</v>
      </c>
      <c r="D735" t="s">
        <v>21</v>
      </c>
      <c r="E735">
        <v>14</v>
      </c>
      <c r="F735" t="s">
        <v>27</v>
      </c>
      <c r="G735">
        <f>Earnings!G735</f>
        <v>1085166.23</v>
      </c>
      <c r="H735">
        <f>Deductions!B735+Deductions!C735+Deductions!D735+Tax!D735</f>
        <v>14952.01225</v>
      </c>
      <c r="I735">
        <f t="shared" si="33"/>
        <v>1070214.2177500001</v>
      </c>
      <c r="J735">
        <f>Overtime!D735</f>
        <v>0</v>
      </c>
      <c r="K735">
        <f t="shared" si="34"/>
        <v>0.1</v>
      </c>
      <c r="L735">
        <f>IF(Performance!E735&lt;=1.5,0.01,IF(Performance!E735&lt;=2,0.02,IF(Performance!E735&lt;=3,0.03,"")))</f>
        <v>0.03</v>
      </c>
      <c r="M735">
        <f t="shared" si="35"/>
        <v>0.13</v>
      </c>
      <c r="N735">
        <f>Earnings!B735*(1+M735)</f>
        <v>1288064.9537</v>
      </c>
    </row>
    <row r="736" spans="1:14" x14ac:dyDescent="0.35">
      <c r="A736" t="s">
        <v>766</v>
      </c>
      <c r="B736" t="s">
        <v>29</v>
      </c>
      <c r="C736" t="s">
        <v>20</v>
      </c>
      <c r="D736" t="s">
        <v>16</v>
      </c>
      <c r="E736">
        <v>12.6</v>
      </c>
      <c r="F736" t="s">
        <v>31</v>
      </c>
      <c r="G736">
        <f>Earnings!G736</f>
        <v>1390922.08</v>
      </c>
      <c r="H736">
        <f>Deductions!B736+Deductions!C736+Deductions!D736+Tax!D736</f>
        <v>22981.315000000002</v>
      </c>
      <c r="I736">
        <f t="shared" si="33"/>
        <v>1367940.7650000001</v>
      </c>
      <c r="J736">
        <f>Overtime!D736</f>
        <v>0</v>
      </c>
      <c r="K736">
        <f t="shared" si="34"/>
        <v>0.1</v>
      </c>
      <c r="L736">
        <f>IF(Performance!E736&lt;=1.5,0.01,IF(Performance!E736&lt;=2,0.02,IF(Performance!E736&lt;=3,0.03,"")))</f>
        <v>0.02</v>
      </c>
      <c r="M736">
        <f t="shared" si="35"/>
        <v>0.12000000000000001</v>
      </c>
      <c r="N736">
        <f>Earnings!B736*(1+M736)</f>
        <v>1636378.9120000002</v>
      </c>
    </row>
    <row r="737" spans="1:14" x14ac:dyDescent="0.35">
      <c r="A737" t="s">
        <v>767</v>
      </c>
      <c r="B737" t="s">
        <v>14</v>
      </c>
      <c r="C737" t="s">
        <v>15</v>
      </c>
      <c r="D737" t="s">
        <v>16</v>
      </c>
      <c r="E737">
        <v>0</v>
      </c>
      <c r="F737" t="s">
        <v>22</v>
      </c>
      <c r="G737">
        <f>Earnings!G737</f>
        <v>318433.53000000003</v>
      </c>
      <c r="H737">
        <f>Deductions!B737+Deductions!C737+Deductions!D737+Tax!D737</f>
        <v>2352.0374999999999</v>
      </c>
      <c r="I737">
        <f t="shared" si="33"/>
        <v>316081.49250000005</v>
      </c>
      <c r="J737">
        <f>Overtime!D737</f>
        <v>0</v>
      </c>
      <c r="K737">
        <f t="shared" si="34"/>
        <v>0.06</v>
      </c>
      <c r="L737">
        <f>IF(Performance!E737&lt;=1.5,0.01,IF(Performance!E737&lt;=2,0.02,IF(Performance!E737&lt;=3,0.03,"")))</f>
        <v>0.01</v>
      </c>
      <c r="M737">
        <f t="shared" si="35"/>
        <v>6.9999999999999993E-2</v>
      </c>
      <c r="N737">
        <f>Earnings!B737*(1+M737)</f>
        <v>357903.23000000004</v>
      </c>
    </row>
    <row r="738" spans="1:14" x14ac:dyDescent="0.35">
      <c r="A738" t="s">
        <v>768</v>
      </c>
      <c r="B738" t="s">
        <v>29</v>
      </c>
      <c r="C738" t="s">
        <v>20</v>
      </c>
      <c r="D738" t="s">
        <v>16</v>
      </c>
      <c r="E738">
        <v>21</v>
      </c>
      <c r="F738" t="s">
        <v>27</v>
      </c>
      <c r="G738">
        <f>Earnings!G738</f>
        <v>1616862.33</v>
      </c>
      <c r="H738">
        <f>Deductions!B738+Deductions!C738+Deductions!D738+Tax!D738</f>
        <v>28914.62</v>
      </c>
      <c r="I738">
        <f t="shared" si="33"/>
        <v>1659279.8716</v>
      </c>
      <c r="J738">
        <f>Overtime!D738</f>
        <v>71332.161600000007</v>
      </c>
      <c r="K738">
        <f t="shared" si="34"/>
        <v>0.1</v>
      </c>
      <c r="L738">
        <f>IF(Performance!E738&lt;=1.5,0.01,IF(Performance!E738&lt;=2,0.02,IF(Performance!E738&lt;=3,0.03,"")))</f>
        <v>0.02</v>
      </c>
      <c r="M738">
        <f t="shared" si="35"/>
        <v>0.12000000000000001</v>
      </c>
      <c r="N738">
        <f>Earnings!B738*(1+M738)</f>
        <v>1902190.9760000003</v>
      </c>
    </row>
    <row r="739" spans="1:14" x14ac:dyDescent="0.35">
      <c r="A739" t="s">
        <v>769</v>
      </c>
      <c r="B739" t="s">
        <v>29</v>
      </c>
      <c r="C739" t="s">
        <v>20</v>
      </c>
      <c r="D739" t="s">
        <v>21</v>
      </c>
      <c r="E739">
        <v>21</v>
      </c>
      <c r="F739" t="s">
        <v>37</v>
      </c>
      <c r="G739">
        <f>Earnings!G739</f>
        <v>1787864.77</v>
      </c>
      <c r="H739">
        <f>Deductions!B739+Deductions!C739+Deductions!D739+Tax!D739</f>
        <v>33405.230249999993</v>
      </c>
      <c r="I739">
        <f t="shared" si="33"/>
        <v>1754459.53975</v>
      </c>
      <c r="J739">
        <f>Overtime!D739</f>
        <v>0</v>
      </c>
      <c r="K739">
        <f t="shared" si="34"/>
        <v>0.1</v>
      </c>
      <c r="L739">
        <f>IF(Performance!E739&lt;=1.5,0.01,IF(Performance!E739&lt;=2,0.02,IF(Performance!E739&lt;=3,0.03,"")))</f>
        <v>0.02</v>
      </c>
      <c r="M739">
        <f t="shared" si="35"/>
        <v>0.12000000000000001</v>
      </c>
      <c r="N739">
        <f>Earnings!B739*(1+M739)</f>
        <v>2103370.3152000001</v>
      </c>
    </row>
    <row r="740" spans="1:14" x14ac:dyDescent="0.35">
      <c r="A740" t="s">
        <v>770</v>
      </c>
      <c r="B740" t="s">
        <v>26</v>
      </c>
      <c r="C740" t="s">
        <v>20</v>
      </c>
      <c r="D740" t="s">
        <v>16</v>
      </c>
      <c r="E740">
        <v>18.2</v>
      </c>
      <c r="F740" t="s">
        <v>37</v>
      </c>
      <c r="G740">
        <f>Earnings!G740</f>
        <v>1278285.81</v>
      </c>
      <c r="H740">
        <f>Deductions!B740+Deductions!C740+Deductions!D740+Tax!D740</f>
        <v>20023.429999999997</v>
      </c>
      <c r="I740">
        <f t="shared" si="33"/>
        <v>1258262.3800000001</v>
      </c>
      <c r="J740">
        <f>Overtime!D740</f>
        <v>0</v>
      </c>
      <c r="K740">
        <f t="shared" si="34"/>
        <v>0.1</v>
      </c>
      <c r="L740">
        <f>IF(Performance!E740&lt;=1.5,0.01,IF(Performance!E740&lt;=2,0.02,IF(Performance!E740&lt;=3,0.03,"")))</f>
        <v>0.01</v>
      </c>
      <c r="M740">
        <f t="shared" si="35"/>
        <v>0.11</v>
      </c>
      <c r="N740">
        <f>Earnings!B740*(1+M740)</f>
        <v>1490438.2920000001</v>
      </c>
    </row>
    <row r="741" spans="1:14" x14ac:dyDescent="0.35">
      <c r="A741" t="s">
        <v>771</v>
      </c>
      <c r="B741" t="s">
        <v>14</v>
      </c>
      <c r="C741" t="s">
        <v>20</v>
      </c>
      <c r="D741" t="s">
        <v>16</v>
      </c>
      <c r="E741">
        <v>11.2</v>
      </c>
      <c r="F741" t="s">
        <v>44</v>
      </c>
      <c r="G741">
        <f>Earnings!G741</f>
        <v>1048727.01</v>
      </c>
      <c r="H741">
        <f>Deductions!B741+Deductions!C741+Deductions!D741+Tax!D741</f>
        <v>13995.1</v>
      </c>
      <c r="I741">
        <f t="shared" si="33"/>
        <v>1034731.91</v>
      </c>
      <c r="J741">
        <f>Overtime!D741</f>
        <v>0</v>
      </c>
      <c r="K741">
        <f t="shared" si="34"/>
        <v>0.1</v>
      </c>
      <c r="L741">
        <f>IF(Performance!E741&lt;=1.5,0.01,IF(Performance!E741&lt;=2,0.02,IF(Performance!E741&lt;=3,0.03,"")))</f>
        <v>0.01</v>
      </c>
      <c r="M741">
        <f t="shared" si="35"/>
        <v>0.11</v>
      </c>
      <c r="N741">
        <f>Earnings!B741*(1+M741)</f>
        <v>1222780.4400000002</v>
      </c>
    </row>
    <row r="742" spans="1:14" x14ac:dyDescent="0.35">
      <c r="A742" t="s">
        <v>772</v>
      </c>
      <c r="B742" t="s">
        <v>29</v>
      </c>
      <c r="C742" t="s">
        <v>20</v>
      </c>
      <c r="D742" t="s">
        <v>21</v>
      </c>
      <c r="E742">
        <v>11.2</v>
      </c>
      <c r="F742" t="s">
        <v>17</v>
      </c>
      <c r="G742">
        <f>Earnings!G742</f>
        <v>1297782.3500000001</v>
      </c>
      <c r="H742">
        <f>Deductions!B742+Deductions!C742+Deductions!D742+Tax!D742</f>
        <v>20535.418750000001</v>
      </c>
      <c r="I742">
        <f t="shared" si="33"/>
        <v>1363129.5865000002</v>
      </c>
      <c r="J742">
        <f>Overtime!D742</f>
        <v>85882.655249999996</v>
      </c>
      <c r="K742">
        <f t="shared" si="34"/>
        <v>0.1</v>
      </c>
      <c r="L742">
        <f>IF(Performance!E742&lt;=1.5,0.01,IF(Performance!E742&lt;=2,0.02,IF(Performance!E742&lt;=3,0.03,"")))</f>
        <v>0.02</v>
      </c>
      <c r="M742">
        <f t="shared" si="35"/>
        <v>0.12000000000000001</v>
      </c>
      <c r="N742">
        <f>Earnings!B742*(1+M742)</f>
        <v>1526802.7600000002</v>
      </c>
    </row>
    <row r="743" spans="1:14" x14ac:dyDescent="0.35">
      <c r="A743" t="s">
        <v>773</v>
      </c>
      <c r="B743" t="s">
        <v>26</v>
      </c>
      <c r="C743" t="s">
        <v>33</v>
      </c>
      <c r="D743" t="s">
        <v>16</v>
      </c>
      <c r="E743">
        <v>6</v>
      </c>
      <c r="F743" t="s">
        <v>31</v>
      </c>
      <c r="G743">
        <f>Earnings!G743</f>
        <v>945649.02</v>
      </c>
      <c r="H743">
        <f>Deductions!B743+Deductions!C743+Deductions!D743+Tax!D743</f>
        <v>11303.813333333334</v>
      </c>
      <c r="I743">
        <f t="shared" si="33"/>
        <v>934345.20666666667</v>
      </c>
      <c r="J743">
        <f>Overtime!D743</f>
        <v>0</v>
      </c>
      <c r="K743">
        <f t="shared" si="34"/>
        <v>0.08</v>
      </c>
      <c r="L743">
        <f>IF(Performance!E743&lt;=1.5,0.01,IF(Performance!E743&lt;=2,0.02,IF(Performance!E743&lt;=3,0.03,"")))</f>
        <v>0.01</v>
      </c>
      <c r="M743">
        <f t="shared" si="35"/>
        <v>0.09</v>
      </c>
      <c r="N743">
        <f>Earnings!B743*(1+M743)</f>
        <v>1082728.3920000002</v>
      </c>
    </row>
    <row r="744" spans="1:14" x14ac:dyDescent="0.35">
      <c r="A744" t="s">
        <v>774</v>
      </c>
      <c r="B744" t="s">
        <v>29</v>
      </c>
      <c r="C744" t="s">
        <v>20</v>
      </c>
      <c r="D744" t="s">
        <v>21</v>
      </c>
      <c r="E744">
        <v>18.2</v>
      </c>
      <c r="F744" t="s">
        <v>44</v>
      </c>
      <c r="G744">
        <f>Earnings!G744</f>
        <v>1606156.88</v>
      </c>
      <c r="H744">
        <f>Deductions!B744+Deductions!C744+Deductions!D744+Tax!D744</f>
        <v>28633.4895</v>
      </c>
      <c r="I744">
        <f t="shared" si="33"/>
        <v>1766483.0229</v>
      </c>
      <c r="J744">
        <f>Overtime!D744</f>
        <v>188959.63239999997</v>
      </c>
      <c r="K744">
        <f t="shared" si="34"/>
        <v>0.1</v>
      </c>
      <c r="L744">
        <f>IF(Performance!E744&lt;=1.5,0.01,IF(Performance!E744&lt;=2,0.02,IF(Performance!E744&lt;=3,0.03,"")))</f>
        <v>0.02</v>
      </c>
      <c r="M744">
        <f t="shared" si="35"/>
        <v>0.12000000000000001</v>
      </c>
      <c r="N744">
        <f>Earnings!B744*(1+M744)</f>
        <v>1889596.3296000003</v>
      </c>
    </row>
    <row r="745" spans="1:14" x14ac:dyDescent="0.35">
      <c r="A745" t="s">
        <v>775</v>
      </c>
      <c r="B745" t="s">
        <v>26</v>
      </c>
      <c r="C745" t="s">
        <v>20</v>
      </c>
      <c r="D745" t="s">
        <v>21</v>
      </c>
      <c r="E745">
        <v>18.2</v>
      </c>
      <c r="F745" t="s">
        <v>70</v>
      </c>
      <c r="G745">
        <f>Earnings!G745</f>
        <v>1371810.92</v>
      </c>
      <c r="H745">
        <f>Deductions!B745+Deductions!C745+Deductions!D745+Tax!D745</f>
        <v>22479.446500000002</v>
      </c>
      <c r="I745">
        <f t="shared" si="33"/>
        <v>1399765.6982499999</v>
      </c>
      <c r="J745">
        <f>Overtime!D745</f>
        <v>50434.224750000001</v>
      </c>
      <c r="K745">
        <f t="shared" si="34"/>
        <v>0.1</v>
      </c>
      <c r="L745">
        <f>IF(Performance!E745&lt;=1.5,0.01,IF(Performance!E745&lt;=2,0.02,IF(Performance!E745&lt;=3,0.03,"")))</f>
        <v>0.01</v>
      </c>
      <c r="M745">
        <f t="shared" si="35"/>
        <v>0.11</v>
      </c>
      <c r="N745">
        <f>Earnings!B745*(1+M745)</f>
        <v>1599485.4246000003</v>
      </c>
    </row>
    <row r="746" spans="1:14" x14ac:dyDescent="0.35">
      <c r="A746" t="s">
        <v>776</v>
      </c>
      <c r="B746" t="s">
        <v>19</v>
      </c>
      <c r="C746" t="s">
        <v>33</v>
      </c>
      <c r="D746" t="s">
        <v>16</v>
      </c>
      <c r="E746">
        <v>0</v>
      </c>
      <c r="F746" t="s">
        <v>37</v>
      </c>
      <c r="G746">
        <f>Earnings!G746</f>
        <v>623312.86</v>
      </c>
      <c r="H746">
        <f>Deductions!B746+Deductions!C746+Deductions!D746+Tax!D746</f>
        <v>5660.6733333333341</v>
      </c>
      <c r="I746">
        <f t="shared" si="33"/>
        <v>715863.2466666667</v>
      </c>
      <c r="J746">
        <f>Overtime!D746</f>
        <v>98211.060000000012</v>
      </c>
      <c r="K746">
        <f t="shared" si="34"/>
        <v>0.08</v>
      </c>
      <c r="L746">
        <f>IF(Performance!E746&lt;=1.5,0.01,IF(Performance!E746&lt;=2,0.02,IF(Performance!E746&lt;=3,0.03,"")))</f>
        <v>0.03</v>
      </c>
      <c r="M746">
        <f t="shared" si="35"/>
        <v>0.11</v>
      </c>
      <c r="N746">
        <f>Earnings!B746*(1+M746)</f>
        <v>726761.84400000004</v>
      </c>
    </row>
    <row r="747" spans="1:14" x14ac:dyDescent="0.35">
      <c r="A747" t="s">
        <v>777</v>
      </c>
      <c r="B747" t="s">
        <v>29</v>
      </c>
      <c r="C747" t="s">
        <v>33</v>
      </c>
      <c r="D747" t="s">
        <v>16</v>
      </c>
      <c r="E747">
        <v>8.4</v>
      </c>
      <c r="F747" t="s">
        <v>44</v>
      </c>
      <c r="G747">
        <f>Earnings!G747</f>
        <v>1480881.7</v>
      </c>
      <c r="H747">
        <f>Deductions!B747+Deductions!C747+Deductions!D747+Tax!D747</f>
        <v>25303.7</v>
      </c>
      <c r="I747">
        <f t="shared" si="33"/>
        <v>1455578</v>
      </c>
      <c r="J747">
        <f>Overtime!D747</f>
        <v>0</v>
      </c>
      <c r="K747">
        <f t="shared" si="34"/>
        <v>0.08</v>
      </c>
      <c r="L747">
        <f>IF(Performance!E747&lt;=1.5,0.01,IF(Performance!E747&lt;=2,0.02,IF(Performance!E747&lt;=3,0.03,"")))</f>
        <v>0.02</v>
      </c>
      <c r="M747">
        <f t="shared" si="35"/>
        <v>0.1</v>
      </c>
      <c r="N747">
        <f>Earnings!B747*(1+M747)</f>
        <v>1711102.8</v>
      </c>
    </row>
    <row r="748" spans="1:14" x14ac:dyDescent="0.35">
      <c r="A748" t="s">
        <v>778</v>
      </c>
      <c r="B748" t="s">
        <v>29</v>
      </c>
      <c r="C748" t="s">
        <v>15</v>
      </c>
      <c r="D748" t="s">
        <v>21</v>
      </c>
      <c r="E748">
        <v>13</v>
      </c>
      <c r="F748" t="s">
        <v>24</v>
      </c>
      <c r="G748">
        <f>Earnings!G748</f>
        <v>1166185.82</v>
      </c>
      <c r="H748">
        <f>Deductions!B748+Deductions!C748+Deductions!D748+Tax!D748</f>
        <v>16999.627500000002</v>
      </c>
      <c r="I748">
        <f t="shared" si="33"/>
        <v>1149186.1925000001</v>
      </c>
      <c r="J748">
        <f>Overtime!D748</f>
        <v>0</v>
      </c>
      <c r="K748">
        <f t="shared" si="34"/>
        <v>0.06</v>
      </c>
      <c r="L748">
        <f>IF(Performance!E748&lt;=1.5,0.01,IF(Performance!E748&lt;=2,0.02,IF(Performance!E748&lt;=3,0.03,"")))</f>
        <v>0.02</v>
      </c>
      <c r="M748">
        <f t="shared" si="35"/>
        <v>0.08</v>
      </c>
      <c r="N748">
        <f>Earnings!B748*(1+M748)</f>
        <v>1322983.9080000003</v>
      </c>
    </row>
    <row r="749" spans="1:14" x14ac:dyDescent="0.35">
      <c r="A749" t="s">
        <v>779</v>
      </c>
      <c r="B749" t="s">
        <v>19</v>
      </c>
      <c r="C749" t="s">
        <v>15</v>
      </c>
      <c r="D749" t="s">
        <v>21</v>
      </c>
      <c r="E749">
        <v>8</v>
      </c>
      <c r="F749" t="s">
        <v>37</v>
      </c>
      <c r="G749">
        <f>Earnings!G749</f>
        <v>928365.7</v>
      </c>
      <c r="H749">
        <f>Deductions!B749+Deductions!C749+Deductions!D749+Tax!D749</f>
        <v>10961.234166666667</v>
      </c>
      <c r="I749">
        <f t="shared" si="33"/>
        <v>1039301.2220833333</v>
      </c>
      <c r="J749">
        <f>Overtime!D749</f>
        <v>121896.75625000001</v>
      </c>
      <c r="K749">
        <f t="shared" si="34"/>
        <v>0.06</v>
      </c>
      <c r="L749">
        <f>IF(Performance!E749&lt;=1.5,0.01,IF(Performance!E749&lt;=2,0.02,IF(Performance!E749&lt;=3,0.03,"")))</f>
        <v>0.03</v>
      </c>
      <c r="M749">
        <f t="shared" si="35"/>
        <v>0.09</v>
      </c>
      <c r="N749">
        <f>Earnings!B749*(1+M749)</f>
        <v>1062939.7145000002</v>
      </c>
    </row>
    <row r="750" spans="1:14" x14ac:dyDescent="0.35">
      <c r="A750" t="s">
        <v>780</v>
      </c>
      <c r="B750" t="s">
        <v>14</v>
      </c>
      <c r="C750" t="s">
        <v>43</v>
      </c>
      <c r="D750" t="s">
        <v>16</v>
      </c>
      <c r="E750">
        <v>13.6</v>
      </c>
      <c r="F750" t="s">
        <v>22</v>
      </c>
      <c r="G750">
        <f>Earnings!G750</f>
        <v>883052.45</v>
      </c>
      <c r="H750">
        <f>Deductions!B750+Deductions!C750+Deductions!D750+Tax!D750</f>
        <v>10307.935000000001</v>
      </c>
      <c r="I750">
        <f t="shared" si="33"/>
        <v>951588.48349999986</v>
      </c>
      <c r="J750">
        <f>Overtime!D750</f>
        <v>78843.968500000003</v>
      </c>
      <c r="K750">
        <f t="shared" si="34"/>
        <v>0.12</v>
      </c>
      <c r="L750">
        <f>IF(Performance!E750&lt;=1.5,0.01,IF(Performance!E750&lt;=2,0.02,IF(Performance!E750&lt;=3,0.03,"")))</f>
        <v>0.01</v>
      </c>
      <c r="M750">
        <f t="shared" si="35"/>
        <v>0.13</v>
      </c>
      <c r="N750">
        <f>Earnings!B750*(1+M750)</f>
        <v>1048160.9929999999</v>
      </c>
    </row>
    <row r="751" spans="1:14" x14ac:dyDescent="0.35">
      <c r="A751" t="s">
        <v>781</v>
      </c>
      <c r="B751" t="s">
        <v>29</v>
      </c>
      <c r="C751" t="s">
        <v>20</v>
      </c>
      <c r="D751" t="s">
        <v>21</v>
      </c>
      <c r="E751">
        <v>4.2</v>
      </c>
      <c r="F751" t="s">
        <v>22</v>
      </c>
      <c r="G751">
        <f>Earnings!G751</f>
        <v>1464785.05</v>
      </c>
      <c r="H751">
        <f>Deductions!B751+Deductions!C751+Deductions!D751+Tax!D751</f>
        <v>24920.993999999995</v>
      </c>
      <c r="I751">
        <f t="shared" si="33"/>
        <v>1526027.8820000002</v>
      </c>
      <c r="J751">
        <f>Overtime!D751</f>
        <v>86163.826000000001</v>
      </c>
      <c r="K751">
        <f t="shared" si="34"/>
        <v>0.1</v>
      </c>
      <c r="L751">
        <f>IF(Performance!E751&lt;=1.5,0.01,IF(Performance!E751&lt;=2,0.02,IF(Performance!E751&lt;=3,0.03,"")))</f>
        <v>0.02</v>
      </c>
      <c r="M751">
        <f t="shared" si="35"/>
        <v>0.12000000000000001</v>
      </c>
      <c r="N751">
        <f>Earnings!B751*(1+M751)</f>
        <v>1723276.5312000001</v>
      </c>
    </row>
    <row r="752" spans="1:14" x14ac:dyDescent="0.35">
      <c r="A752" t="s">
        <v>782</v>
      </c>
      <c r="B752" t="s">
        <v>14</v>
      </c>
      <c r="C752" t="s">
        <v>15</v>
      </c>
      <c r="D752" t="s">
        <v>21</v>
      </c>
      <c r="E752">
        <v>5</v>
      </c>
      <c r="F752" t="s">
        <v>37</v>
      </c>
      <c r="G752">
        <f>Earnings!G752</f>
        <v>575858.61</v>
      </c>
      <c r="H752">
        <f>Deductions!B752+Deductions!C752+Deductions!D752+Tax!D752</f>
        <v>4789.8916666666664</v>
      </c>
      <c r="I752">
        <f t="shared" si="33"/>
        <v>634582.53583333327</v>
      </c>
      <c r="J752">
        <f>Overtime!D752</f>
        <v>63513.817499999997</v>
      </c>
      <c r="K752">
        <f t="shared" si="34"/>
        <v>0.06</v>
      </c>
      <c r="L752">
        <f>IF(Performance!E752&lt;=1.5,0.01,IF(Performance!E752&lt;=2,0.02,IF(Performance!E752&lt;=3,0.03,"")))</f>
        <v>0.01</v>
      </c>
      <c r="M752">
        <f t="shared" si="35"/>
        <v>6.9999999999999993E-2</v>
      </c>
      <c r="N752">
        <f>Earnings!B752*(1+M752)</f>
        <v>647236.04500000004</v>
      </c>
    </row>
    <row r="753" spans="1:14" x14ac:dyDescent="0.35">
      <c r="A753" t="s">
        <v>783</v>
      </c>
      <c r="B753" t="s">
        <v>26</v>
      </c>
      <c r="C753" t="s">
        <v>33</v>
      </c>
      <c r="D753" t="s">
        <v>16</v>
      </c>
      <c r="E753">
        <v>3.6</v>
      </c>
      <c r="F753" t="s">
        <v>17</v>
      </c>
      <c r="G753">
        <f>Earnings!G753</f>
        <v>545003.63</v>
      </c>
      <c r="H753">
        <f>Deductions!B753+Deductions!C753+Deductions!D753+Tax!D753</f>
        <v>4289.713333333335</v>
      </c>
      <c r="I753">
        <f t="shared" si="33"/>
        <v>568193.09106666665</v>
      </c>
      <c r="J753">
        <f>Overtime!D753</f>
        <v>27479.174399999996</v>
      </c>
      <c r="K753">
        <f t="shared" si="34"/>
        <v>0.08</v>
      </c>
      <c r="L753">
        <f>IF(Performance!E753&lt;=1.5,0.01,IF(Performance!E753&lt;=2,0.02,IF(Performance!E753&lt;=3,0.03,"")))</f>
        <v>0.01</v>
      </c>
      <c r="M753">
        <f t="shared" si="35"/>
        <v>0.09</v>
      </c>
      <c r="N753">
        <f>Earnings!B753*(1+M753)</f>
        <v>624006.25200000009</v>
      </c>
    </row>
    <row r="754" spans="1:14" x14ac:dyDescent="0.35">
      <c r="A754" t="s">
        <v>784</v>
      </c>
      <c r="B754" t="s">
        <v>19</v>
      </c>
      <c r="C754" t="s">
        <v>20</v>
      </c>
      <c r="D754" t="s">
        <v>16</v>
      </c>
      <c r="E754">
        <v>5.6</v>
      </c>
      <c r="F754" t="s">
        <v>37</v>
      </c>
      <c r="G754">
        <f>Earnings!G754</f>
        <v>1017384.88</v>
      </c>
      <c r="H754">
        <f>Deductions!B754+Deductions!C754+Deductions!D754+Tax!D754</f>
        <v>13172.040000000003</v>
      </c>
      <c r="I754">
        <f t="shared" si="33"/>
        <v>1004212.84</v>
      </c>
      <c r="J754">
        <f>Overtime!D754</f>
        <v>0</v>
      </c>
      <c r="K754">
        <f t="shared" si="34"/>
        <v>0.1</v>
      </c>
      <c r="L754">
        <f>IF(Performance!E754&lt;=1.5,0.01,IF(Performance!E754&lt;=2,0.02,IF(Performance!E754&lt;=3,0.03,"")))</f>
        <v>0.03</v>
      </c>
      <c r="M754">
        <f t="shared" si="35"/>
        <v>0.13</v>
      </c>
      <c r="N754">
        <f>Earnings!B754*(1+M754)</f>
        <v>1207610.2080000001</v>
      </c>
    </row>
    <row r="755" spans="1:14" x14ac:dyDescent="0.35">
      <c r="A755" t="s">
        <v>785</v>
      </c>
      <c r="B755" t="s">
        <v>29</v>
      </c>
      <c r="C755" t="s">
        <v>43</v>
      </c>
      <c r="D755" t="s">
        <v>21</v>
      </c>
      <c r="E755">
        <v>22.1</v>
      </c>
      <c r="F755" t="s">
        <v>70</v>
      </c>
      <c r="G755">
        <f>Earnings!G755</f>
        <v>1889350.75</v>
      </c>
      <c r="H755">
        <f>Deductions!B755+Deductions!C755+Deductions!D755+Tax!D755</f>
        <v>36130.303249999997</v>
      </c>
      <c r="I755">
        <f t="shared" si="33"/>
        <v>1853220.4467500001</v>
      </c>
      <c r="J755">
        <f>Overtime!D755</f>
        <v>0</v>
      </c>
      <c r="K755">
        <f t="shared" si="34"/>
        <v>0.12</v>
      </c>
      <c r="L755">
        <f>IF(Performance!E755&lt;=1.5,0.01,IF(Performance!E755&lt;=2,0.02,IF(Performance!E755&lt;=3,0.03,"")))</f>
        <v>0.02</v>
      </c>
      <c r="M755">
        <f t="shared" si="35"/>
        <v>0.13999999999999999</v>
      </c>
      <c r="N755">
        <f>Earnings!B755*(1+M755)</f>
        <v>2262457.8281999999</v>
      </c>
    </row>
    <row r="756" spans="1:14" x14ac:dyDescent="0.35">
      <c r="A756" t="s">
        <v>786</v>
      </c>
      <c r="B756" t="s">
        <v>26</v>
      </c>
      <c r="C756" t="s">
        <v>20</v>
      </c>
      <c r="D756" t="s">
        <v>21</v>
      </c>
      <c r="E756">
        <v>21</v>
      </c>
      <c r="F756" t="s">
        <v>44</v>
      </c>
      <c r="G756">
        <f>Earnings!G756</f>
        <v>1397733.02</v>
      </c>
      <c r="H756">
        <f>Deductions!B756+Deductions!C756+Deductions!D756+Tax!D756</f>
        <v>23160.173749999998</v>
      </c>
      <c r="I756">
        <f t="shared" si="33"/>
        <v>1374572.8462499999</v>
      </c>
      <c r="J756">
        <f>Overtime!D756</f>
        <v>0</v>
      </c>
      <c r="K756">
        <f t="shared" si="34"/>
        <v>0.1</v>
      </c>
      <c r="L756">
        <f>IF(Performance!E756&lt;=1.5,0.01,IF(Performance!E756&lt;=2,0.02,IF(Performance!E756&lt;=3,0.03,"")))</f>
        <v>0.01</v>
      </c>
      <c r="M756">
        <f t="shared" si="35"/>
        <v>0.11</v>
      </c>
      <c r="N756">
        <f>Earnings!B756*(1+M756)</f>
        <v>1629709.7145</v>
      </c>
    </row>
    <row r="757" spans="1:14" x14ac:dyDescent="0.35">
      <c r="A757" t="s">
        <v>787</v>
      </c>
      <c r="B757" t="s">
        <v>14</v>
      </c>
      <c r="C757" t="s">
        <v>33</v>
      </c>
      <c r="D757" t="s">
        <v>21</v>
      </c>
      <c r="E757">
        <v>8.4</v>
      </c>
      <c r="F757" t="s">
        <v>22</v>
      </c>
      <c r="G757">
        <f>Earnings!G757</f>
        <v>645719.89</v>
      </c>
      <c r="H757">
        <f>Deductions!B757+Deductions!C757+Deductions!D757+Tax!D757</f>
        <v>6052.9533333333329</v>
      </c>
      <c r="I757">
        <f t="shared" si="33"/>
        <v>639666.93666666665</v>
      </c>
      <c r="J757">
        <f>Overtime!D757</f>
        <v>0</v>
      </c>
      <c r="K757">
        <f t="shared" si="34"/>
        <v>0.08</v>
      </c>
      <c r="L757">
        <f>IF(Performance!E757&lt;=1.5,0.01,IF(Performance!E757&lt;=2,0.02,IF(Performance!E757&lt;=3,0.03,"")))</f>
        <v>0.01</v>
      </c>
      <c r="M757">
        <f t="shared" si="35"/>
        <v>0.09</v>
      </c>
      <c r="N757">
        <f>Earnings!B757*(1+M757)</f>
        <v>739322.14800000004</v>
      </c>
    </row>
    <row r="758" spans="1:14" x14ac:dyDescent="0.35">
      <c r="A758" t="s">
        <v>788</v>
      </c>
      <c r="B758" t="s">
        <v>35</v>
      </c>
      <c r="C758" t="s">
        <v>20</v>
      </c>
      <c r="D758" t="s">
        <v>16</v>
      </c>
      <c r="E758">
        <v>7</v>
      </c>
      <c r="F758" t="s">
        <v>27</v>
      </c>
      <c r="G758">
        <f>Earnings!G758</f>
        <v>1441275.26</v>
      </c>
      <c r="H758">
        <f>Deductions!B758+Deductions!C758+Deductions!D758+Tax!D758</f>
        <v>24303.615000000002</v>
      </c>
      <c r="I758">
        <f t="shared" si="33"/>
        <v>1713704.7866</v>
      </c>
      <c r="J758">
        <f>Overtime!D758</f>
        <v>296733.14160000003</v>
      </c>
      <c r="K758">
        <f t="shared" si="34"/>
        <v>0.1</v>
      </c>
      <c r="L758">
        <f>IF(Performance!E758&lt;=1.5,0.01,IF(Performance!E758&lt;=2,0.02,IF(Performance!E758&lt;=3,0.03,"")))</f>
        <v>0.01</v>
      </c>
      <c r="M758">
        <f t="shared" si="35"/>
        <v>0.11</v>
      </c>
      <c r="N758">
        <f>Earnings!B758*(1+M758)</f>
        <v>1680478.5060000003</v>
      </c>
    </row>
    <row r="759" spans="1:14" x14ac:dyDescent="0.35">
      <c r="A759" t="s">
        <v>789</v>
      </c>
      <c r="B759" t="s">
        <v>35</v>
      </c>
      <c r="C759" t="s">
        <v>33</v>
      </c>
      <c r="D759" t="s">
        <v>21</v>
      </c>
      <c r="E759">
        <v>4.8</v>
      </c>
      <c r="F759" t="s">
        <v>44</v>
      </c>
      <c r="G759">
        <f>Earnings!G759</f>
        <v>909538.44</v>
      </c>
      <c r="H759">
        <f>Deductions!B759+Deductions!C759+Deductions!D759+Tax!D759</f>
        <v>10671.625333333335</v>
      </c>
      <c r="I759">
        <f t="shared" si="33"/>
        <v>898866.81466666656</v>
      </c>
      <c r="J759">
        <f>Overtime!D759</f>
        <v>0</v>
      </c>
      <c r="K759">
        <f t="shared" si="34"/>
        <v>0.08</v>
      </c>
      <c r="L759">
        <f>IF(Performance!E759&lt;=1.5,0.01,IF(Performance!E759&lt;=2,0.02,IF(Performance!E759&lt;=3,0.03,"")))</f>
        <v>0.01</v>
      </c>
      <c r="M759">
        <f t="shared" si="35"/>
        <v>0.09</v>
      </c>
      <c r="N759">
        <f>Earnings!B759*(1+M759)</f>
        <v>1041383.2968000001</v>
      </c>
    </row>
    <row r="760" spans="1:14" x14ac:dyDescent="0.35">
      <c r="A760" t="s">
        <v>790</v>
      </c>
      <c r="B760" t="s">
        <v>26</v>
      </c>
      <c r="C760" t="s">
        <v>33</v>
      </c>
      <c r="D760" t="s">
        <v>16</v>
      </c>
      <c r="E760">
        <v>9.6</v>
      </c>
      <c r="F760" t="s">
        <v>22</v>
      </c>
      <c r="G760">
        <f>Earnings!G760</f>
        <v>995471.37</v>
      </c>
      <c r="H760">
        <f>Deductions!B760+Deductions!C760+Deductions!D760+Tax!D760</f>
        <v>12556.58</v>
      </c>
      <c r="I760">
        <f t="shared" si="33"/>
        <v>1045654.5820000001</v>
      </c>
      <c r="J760">
        <f>Overtime!D760</f>
        <v>62739.792000000009</v>
      </c>
      <c r="K760">
        <f t="shared" si="34"/>
        <v>0.08</v>
      </c>
      <c r="L760">
        <f>IF(Performance!E760&lt;=1.5,0.01,IF(Performance!E760&lt;=2,0.02,IF(Performance!E760&lt;=3,0.03,"")))</f>
        <v>0.01</v>
      </c>
      <c r="M760">
        <f t="shared" si="35"/>
        <v>0.09</v>
      </c>
      <c r="N760">
        <f>Earnings!B760*(1+M760)</f>
        <v>1139772.888</v>
      </c>
    </row>
    <row r="761" spans="1:14" x14ac:dyDescent="0.35">
      <c r="A761" t="s">
        <v>791</v>
      </c>
      <c r="B761" t="s">
        <v>14</v>
      </c>
      <c r="C761" t="s">
        <v>20</v>
      </c>
      <c r="D761" t="s">
        <v>21</v>
      </c>
      <c r="E761">
        <v>18.2</v>
      </c>
      <c r="F761" t="s">
        <v>31</v>
      </c>
      <c r="G761">
        <f>Earnings!G761</f>
        <v>893625.34</v>
      </c>
      <c r="H761">
        <f>Deductions!B761+Deductions!C761+Deductions!D761+Tax!D761</f>
        <v>10433.034666666666</v>
      </c>
      <c r="I761">
        <f t="shared" si="33"/>
        <v>883192.30533333332</v>
      </c>
      <c r="J761">
        <f>Overtime!D761</f>
        <v>0</v>
      </c>
      <c r="K761">
        <f t="shared" si="34"/>
        <v>0.1</v>
      </c>
      <c r="L761">
        <f>IF(Performance!E761&lt;=1.5,0.01,IF(Performance!E761&lt;=2,0.02,IF(Performance!E761&lt;=3,0.03,"")))</f>
        <v>0.01</v>
      </c>
      <c r="M761">
        <f t="shared" si="35"/>
        <v>0.11</v>
      </c>
      <c r="N761">
        <f>Earnings!B761*(1+M761)</f>
        <v>1041937.1088</v>
      </c>
    </row>
    <row r="762" spans="1:14" x14ac:dyDescent="0.35">
      <c r="A762" t="s">
        <v>792</v>
      </c>
      <c r="B762" t="s">
        <v>14</v>
      </c>
      <c r="C762" t="s">
        <v>33</v>
      </c>
      <c r="D762" t="s">
        <v>21</v>
      </c>
      <c r="E762">
        <v>15.6</v>
      </c>
      <c r="F762" t="s">
        <v>17</v>
      </c>
      <c r="G762">
        <f>Earnings!G762</f>
        <v>1046953.34</v>
      </c>
      <c r="H762">
        <f>Deductions!B762+Deductions!C762+Deductions!D762+Tax!D762</f>
        <v>13908.522499999997</v>
      </c>
      <c r="I762">
        <f t="shared" si="33"/>
        <v>1184809.0617</v>
      </c>
      <c r="J762">
        <f>Overtime!D762</f>
        <v>151764.24420000002</v>
      </c>
      <c r="K762">
        <f t="shared" si="34"/>
        <v>0.08</v>
      </c>
      <c r="L762">
        <f>IF(Performance!E762&lt;=1.5,0.01,IF(Performance!E762&lt;=2,0.02,IF(Performance!E762&lt;=3,0.03,"")))</f>
        <v>0.01</v>
      </c>
      <c r="M762">
        <f t="shared" si="35"/>
        <v>0.09</v>
      </c>
      <c r="N762">
        <f>Earnings!B762*(1+M762)</f>
        <v>1198717.581</v>
      </c>
    </row>
    <row r="763" spans="1:14" x14ac:dyDescent="0.35">
      <c r="A763" t="s">
        <v>793</v>
      </c>
      <c r="B763" t="s">
        <v>35</v>
      </c>
      <c r="C763" t="s">
        <v>43</v>
      </c>
      <c r="D763" t="s">
        <v>16</v>
      </c>
      <c r="E763">
        <v>10.199999999999999</v>
      </c>
      <c r="F763" t="s">
        <v>70</v>
      </c>
      <c r="G763">
        <f>Earnings!G763</f>
        <v>1601793.6</v>
      </c>
      <c r="H763">
        <f>Deductions!B763+Deductions!C763+Deductions!D763+Tax!D763</f>
        <v>28578.907500000001</v>
      </c>
      <c r="I763">
        <f t="shared" si="33"/>
        <v>1573214.6925000001</v>
      </c>
      <c r="J763">
        <f>Overtime!D763</f>
        <v>0</v>
      </c>
      <c r="K763">
        <f t="shared" si="34"/>
        <v>0.12</v>
      </c>
      <c r="L763">
        <f>IF(Performance!E763&lt;=1.5,0.01,IF(Performance!E763&lt;=2,0.02,IF(Performance!E763&lt;=3,0.03,"")))</f>
        <v>0.01</v>
      </c>
      <c r="M763">
        <f t="shared" si="35"/>
        <v>0.13</v>
      </c>
      <c r="N763">
        <f>Earnings!B763*(1+M763)</f>
        <v>1901288.6189999999</v>
      </c>
    </row>
    <row r="764" spans="1:14" x14ac:dyDescent="0.35">
      <c r="A764" t="s">
        <v>794</v>
      </c>
      <c r="B764" t="s">
        <v>35</v>
      </c>
      <c r="C764" t="s">
        <v>33</v>
      </c>
      <c r="D764" t="s">
        <v>21</v>
      </c>
      <c r="E764">
        <v>9.6</v>
      </c>
      <c r="F764" t="s">
        <v>27</v>
      </c>
      <c r="G764">
        <f>Earnings!G764</f>
        <v>810153.92</v>
      </c>
      <c r="H764">
        <f>Deductions!B764+Deductions!C764+Deductions!D764+Tax!D764</f>
        <v>8931.7003333333341</v>
      </c>
      <c r="I764">
        <f t="shared" si="33"/>
        <v>836964.30471666669</v>
      </c>
      <c r="J764">
        <f>Overtime!D764</f>
        <v>35742.085050000002</v>
      </c>
      <c r="K764">
        <f t="shared" si="34"/>
        <v>0.08</v>
      </c>
      <c r="L764">
        <f>IF(Performance!E764&lt;=1.5,0.01,IF(Performance!E764&lt;=2,0.02,IF(Performance!E764&lt;=3,0.03,"")))</f>
        <v>0.01</v>
      </c>
      <c r="M764">
        <f t="shared" si="35"/>
        <v>0.09</v>
      </c>
      <c r="N764">
        <f>Earnings!B764*(1+M764)</f>
        <v>927592.20180000004</v>
      </c>
    </row>
    <row r="765" spans="1:14" x14ac:dyDescent="0.35">
      <c r="A765" t="s">
        <v>795</v>
      </c>
      <c r="B765" t="s">
        <v>29</v>
      </c>
      <c r="C765" t="s">
        <v>20</v>
      </c>
      <c r="D765" t="s">
        <v>21</v>
      </c>
      <c r="E765">
        <v>8.4</v>
      </c>
      <c r="F765" t="s">
        <v>17</v>
      </c>
      <c r="G765">
        <f>Earnings!G765</f>
        <v>1151318.02</v>
      </c>
      <c r="H765">
        <f>Deductions!B765+Deductions!C765+Deductions!D765+Tax!D765</f>
        <v>16689.191749999998</v>
      </c>
      <c r="I765">
        <f t="shared" si="33"/>
        <v>1134628.82825</v>
      </c>
      <c r="J765">
        <f>Overtime!D765</f>
        <v>0</v>
      </c>
      <c r="K765">
        <f t="shared" si="34"/>
        <v>0.1</v>
      </c>
      <c r="L765">
        <f>IF(Performance!E765&lt;=1.5,0.01,IF(Performance!E765&lt;=2,0.02,IF(Performance!E765&lt;=3,0.03,"")))</f>
        <v>0.02</v>
      </c>
      <c r="M765">
        <f t="shared" si="35"/>
        <v>0.12000000000000001</v>
      </c>
      <c r="N765">
        <f>Earnings!B765*(1+M765)</f>
        <v>1354491.7904000001</v>
      </c>
    </row>
    <row r="766" spans="1:14" x14ac:dyDescent="0.35">
      <c r="A766" t="s">
        <v>796</v>
      </c>
      <c r="B766" t="s">
        <v>29</v>
      </c>
      <c r="C766" t="s">
        <v>15</v>
      </c>
      <c r="D766" t="s">
        <v>21</v>
      </c>
      <c r="E766">
        <v>4</v>
      </c>
      <c r="F766" t="s">
        <v>24</v>
      </c>
      <c r="G766">
        <f>Earnings!G766</f>
        <v>737287.68000000005</v>
      </c>
      <c r="H766">
        <f>Deductions!B766+Deductions!C766+Deductions!D766+Tax!D766</f>
        <v>7616.0308333333332</v>
      </c>
      <c r="I766">
        <f t="shared" si="33"/>
        <v>729671.64916666667</v>
      </c>
      <c r="J766">
        <f>Overtime!D766</f>
        <v>0</v>
      </c>
      <c r="K766">
        <f t="shared" si="34"/>
        <v>0.06</v>
      </c>
      <c r="L766">
        <f>IF(Performance!E766&lt;=1.5,0.01,IF(Performance!E766&lt;=2,0.02,IF(Performance!E766&lt;=3,0.03,"")))</f>
        <v>0.02</v>
      </c>
      <c r="M766">
        <f t="shared" si="35"/>
        <v>0.08</v>
      </c>
      <c r="N766">
        <f>Earnings!B766*(1+M766)</f>
        <v>836418.79800000007</v>
      </c>
    </row>
    <row r="767" spans="1:14" x14ac:dyDescent="0.35">
      <c r="A767" t="s">
        <v>797</v>
      </c>
      <c r="B767" t="s">
        <v>35</v>
      </c>
      <c r="C767" t="s">
        <v>20</v>
      </c>
      <c r="D767" t="s">
        <v>16</v>
      </c>
      <c r="E767">
        <v>7</v>
      </c>
      <c r="F767" t="s">
        <v>37</v>
      </c>
      <c r="G767">
        <f>Earnings!G767</f>
        <v>1022362.89</v>
      </c>
      <c r="H767">
        <f>Deductions!B767+Deductions!C767+Deductions!D767+Tax!D767</f>
        <v>13302.765000000001</v>
      </c>
      <c r="I767">
        <f t="shared" si="33"/>
        <v>1174442.3574000001</v>
      </c>
      <c r="J767">
        <f>Overtime!D767</f>
        <v>165382.23240000001</v>
      </c>
      <c r="K767">
        <f t="shared" si="34"/>
        <v>0.1</v>
      </c>
      <c r="L767">
        <f>IF(Performance!E767&lt;=1.5,0.01,IF(Performance!E767&lt;=2,0.02,IF(Performance!E767&lt;=3,0.03,"")))</f>
        <v>0.01</v>
      </c>
      <c r="M767">
        <f t="shared" si="35"/>
        <v>0.11</v>
      </c>
      <c r="N767">
        <f>Earnings!B767*(1+M767)</f>
        <v>1192040.7660000003</v>
      </c>
    </row>
    <row r="768" spans="1:14" x14ac:dyDescent="0.35">
      <c r="A768" t="s">
        <v>798</v>
      </c>
      <c r="B768" t="s">
        <v>35</v>
      </c>
      <c r="C768" t="s">
        <v>33</v>
      </c>
      <c r="D768" t="s">
        <v>16</v>
      </c>
      <c r="E768">
        <v>4.8</v>
      </c>
      <c r="F768" t="s">
        <v>24</v>
      </c>
      <c r="G768">
        <f>Earnings!G768</f>
        <v>895382.28</v>
      </c>
      <c r="H768">
        <f>Deductions!B768+Deductions!C768+Deductions!D768+Tax!D768</f>
        <v>10423.793333333333</v>
      </c>
      <c r="I768">
        <f t="shared" si="33"/>
        <v>884958.48666666669</v>
      </c>
      <c r="J768">
        <f>Overtime!D768</f>
        <v>0</v>
      </c>
      <c r="K768">
        <f t="shared" si="34"/>
        <v>0.08</v>
      </c>
      <c r="L768">
        <f>IF(Performance!E768&lt;=1.5,0.01,IF(Performance!E768&lt;=2,0.02,IF(Performance!E768&lt;=3,0.03,"")))</f>
        <v>0.01</v>
      </c>
      <c r="M768">
        <f t="shared" si="35"/>
        <v>0.09</v>
      </c>
      <c r="N768">
        <f>Earnings!B768*(1+M768)</f>
        <v>1025175.084</v>
      </c>
    </row>
    <row r="769" spans="1:14" x14ac:dyDescent="0.35">
      <c r="A769" t="s">
        <v>799</v>
      </c>
      <c r="B769" t="s">
        <v>14</v>
      </c>
      <c r="C769" t="s">
        <v>15</v>
      </c>
      <c r="D769" t="s">
        <v>16</v>
      </c>
      <c r="E769">
        <v>2</v>
      </c>
      <c r="F769" t="s">
        <v>22</v>
      </c>
      <c r="G769">
        <f>Earnings!G769</f>
        <v>556563.94999999995</v>
      </c>
      <c r="H769">
        <f>Deductions!B769+Deductions!C769+Deductions!D769+Tax!D769</f>
        <v>4452.1000000000004</v>
      </c>
      <c r="I769">
        <f t="shared" si="33"/>
        <v>552111.85</v>
      </c>
      <c r="J769">
        <f>Overtime!D769</f>
        <v>0</v>
      </c>
      <c r="K769">
        <f t="shared" si="34"/>
        <v>0.06</v>
      </c>
      <c r="L769">
        <f>IF(Performance!E769&lt;=1.5,0.01,IF(Performance!E769&lt;=2,0.02,IF(Performance!E769&lt;=3,0.03,"")))</f>
        <v>0.01</v>
      </c>
      <c r="M769">
        <f t="shared" si="35"/>
        <v>6.9999999999999993E-2</v>
      </c>
      <c r="N769">
        <f>Earnings!B769*(1+M769)</f>
        <v>625549.82000000007</v>
      </c>
    </row>
    <row r="770" spans="1:14" x14ac:dyDescent="0.35">
      <c r="A770" t="s">
        <v>800</v>
      </c>
      <c r="B770" t="s">
        <v>19</v>
      </c>
      <c r="C770" t="s">
        <v>33</v>
      </c>
      <c r="D770" t="s">
        <v>21</v>
      </c>
      <c r="E770">
        <v>6</v>
      </c>
      <c r="F770" t="s">
        <v>44</v>
      </c>
      <c r="G770">
        <f>Earnings!G770</f>
        <v>1119977.49</v>
      </c>
      <c r="H770">
        <f>Deductions!B770+Deductions!C770+Deductions!D770+Tax!D770</f>
        <v>15826.173499999999</v>
      </c>
      <c r="I770">
        <f t="shared" ref="I770:I833" si="36">G770-H770+J770</f>
        <v>1231207.5870999999</v>
      </c>
      <c r="J770">
        <f>Overtime!D770</f>
        <v>127056.27060000002</v>
      </c>
      <c r="K770">
        <f t="shared" ref="K770:K833" si="37">IF(C770="Junior",0.06,IF(C770="Mid",0.08,IF(C770="Senior",0.1,IF(C770="Manager",0.12,0))))</f>
        <v>0.08</v>
      </c>
      <c r="L770">
        <f>IF(Performance!E770&lt;=1.5,0.01,IF(Performance!E770&lt;=2,0.02,IF(Performance!E770&lt;=3,0.03,"")))</f>
        <v>0.03</v>
      </c>
      <c r="M770">
        <f t="shared" ref="M770:M833" si="38">K770+L770</f>
        <v>0.11</v>
      </c>
      <c r="N770">
        <f>Earnings!B770*(1+M770)</f>
        <v>1305856.1034000001</v>
      </c>
    </row>
    <row r="771" spans="1:14" x14ac:dyDescent="0.35">
      <c r="A771" t="s">
        <v>801</v>
      </c>
      <c r="B771" t="s">
        <v>14</v>
      </c>
      <c r="C771" t="s">
        <v>33</v>
      </c>
      <c r="D771" t="s">
        <v>16</v>
      </c>
      <c r="E771">
        <v>4.8</v>
      </c>
      <c r="F771" t="s">
        <v>44</v>
      </c>
      <c r="G771">
        <f>Earnings!G771</f>
        <v>490411.76</v>
      </c>
      <c r="H771">
        <f>Deductions!B771+Deductions!C771+Deductions!D771+Tax!D771</f>
        <v>3333.9733333333334</v>
      </c>
      <c r="I771">
        <f t="shared" si="36"/>
        <v>487077.78666666668</v>
      </c>
      <c r="J771">
        <f>Overtime!D771</f>
        <v>0</v>
      </c>
      <c r="K771">
        <f t="shared" si="37"/>
        <v>0.08</v>
      </c>
      <c r="L771">
        <f>IF(Performance!E771&lt;=1.5,0.01,IF(Performance!E771&lt;=2,0.02,IF(Performance!E771&lt;=3,0.03,"")))</f>
        <v>0.01</v>
      </c>
      <c r="M771">
        <f t="shared" si="38"/>
        <v>0.09</v>
      </c>
      <c r="N771">
        <f>Earnings!B771*(1+M771)</f>
        <v>561500.85600000003</v>
      </c>
    </row>
    <row r="772" spans="1:14" x14ac:dyDescent="0.35">
      <c r="A772" t="s">
        <v>802</v>
      </c>
      <c r="B772" t="s">
        <v>26</v>
      </c>
      <c r="C772" t="s">
        <v>43</v>
      </c>
      <c r="D772" t="s">
        <v>21</v>
      </c>
      <c r="E772">
        <v>18.7</v>
      </c>
      <c r="F772" t="s">
        <v>27</v>
      </c>
      <c r="G772">
        <f>Earnings!G772</f>
        <v>1383476.78</v>
      </c>
      <c r="H772">
        <f>Deductions!B772+Deductions!C772+Deductions!D772+Tax!D772</f>
        <v>22845.797749999998</v>
      </c>
      <c r="I772">
        <f t="shared" si="36"/>
        <v>1434745.8091500001</v>
      </c>
      <c r="J772">
        <f>Overtime!D772</f>
        <v>74114.826899999985</v>
      </c>
      <c r="K772">
        <f t="shared" si="37"/>
        <v>0.12</v>
      </c>
      <c r="L772">
        <f>IF(Performance!E772&lt;=1.5,0.01,IF(Performance!E772&lt;=2,0.02,IF(Performance!E772&lt;=3,0.03,"")))</f>
        <v>0.01</v>
      </c>
      <c r="M772">
        <f t="shared" si="38"/>
        <v>0.13</v>
      </c>
      <c r="N772">
        <f>Earnings!B772*(1+M772)</f>
        <v>1642152.0582999997</v>
      </c>
    </row>
    <row r="773" spans="1:14" x14ac:dyDescent="0.35">
      <c r="A773" t="s">
        <v>803</v>
      </c>
      <c r="B773" t="s">
        <v>19</v>
      </c>
      <c r="C773" t="s">
        <v>43</v>
      </c>
      <c r="D773" t="s">
        <v>16</v>
      </c>
      <c r="E773">
        <v>20.399999999999999</v>
      </c>
      <c r="F773" t="s">
        <v>17</v>
      </c>
      <c r="G773">
        <f>Earnings!G773</f>
        <v>1349064.25</v>
      </c>
      <c r="H773">
        <f>Deductions!B773+Deductions!C773+Deductions!D773+Tax!D773</f>
        <v>21942.107500000002</v>
      </c>
      <c r="I773">
        <f t="shared" si="36"/>
        <v>1327122.1425000001</v>
      </c>
      <c r="J773">
        <f>Overtime!D773</f>
        <v>0</v>
      </c>
      <c r="K773">
        <f t="shared" si="37"/>
        <v>0.12</v>
      </c>
      <c r="L773">
        <f>IF(Performance!E773&lt;=1.5,0.01,IF(Performance!E773&lt;=2,0.02,IF(Performance!E773&lt;=3,0.03,"")))</f>
        <v>0.03</v>
      </c>
      <c r="M773">
        <f t="shared" si="38"/>
        <v>0.15</v>
      </c>
      <c r="N773">
        <f>Earnings!B773*(1+M773)</f>
        <v>1629646.9449999998</v>
      </c>
    </row>
    <row r="774" spans="1:14" x14ac:dyDescent="0.35">
      <c r="A774" t="s">
        <v>804</v>
      </c>
      <c r="B774" t="s">
        <v>35</v>
      </c>
      <c r="C774" t="s">
        <v>43</v>
      </c>
      <c r="D774" t="s">
        <v>21</v>
      </c>
      <c r="E774">
        <v>3.4</v>
      </c>
      <c r="F774" t="s">
        <v>24</v>
      </c>
      <c r="G774">
        <f>Earnings!G774</f>
        <v>1327274.2</v>
      </c>
      <c r="H774">
        <f>Deductions!B774+Deductions!C774+Deductions!D774+Tax!D774</f>
        <v>21369.889500000001</v>
      </c>
      <c r="I774">
        <f t="shared" si="36"/>
        <v>1305904.3104999999</v>
      </c>
      <c r="J774">
        <f>Overtime!D774</f>
        <v>0</v>
      </c>
      <c r="K774">
        <f t="shared" si="37"/>
        <v>0.12</v>
      </c>
      <c r="L774">
        <f>IF(Performance!E774&lt;=1.5,0.01,IF(Performance!E774&lt;=2,0.02,IF(Performance!E774&lt;=3,0.03,"")))</f>
        <v>0.01</v>
      </c>
      <c r="M774">
        <f t="shared" si="38"/>
        <v>0.13</v>
      </c>
      <c r="N774">
        <f>Earnings!B774*(1+M774)</f>
        <v>1575441.0053999999</v>
      </c>
    </row>
    <row r="775" spans="1:14" x14ac:dyDescent="0.35">
      <c r="A775" t="s">
        <v>805</v>
      </c>
      <c r="B775" t="s">
        <v>19</v>
      </c>
      <c r="C775" t="s">
        <v>43</v>
      </c>
      <c r="D775" t="s">
        <v>21</v>
      </c>
      <c r="E775">
        <v>18.7</v>
      </c>
      <c r="F775" t="s">
        <v>24</v>
      </c>
      <c r="G775">
        <f>Earnings!G775</f>
        <v>1853867.25</v>
      </c>
      <c r="H775">
        <f>Deductions!B775+Deductions!C775+Deductions!D775+Tax!D775</f>
        <v>35198.488749999997</v>
      </c>
      <c r="I775">
        <f t="shared" si="36"/>
        <v>1818668.76125</v>
      </c>
      <c r="J775">
        <f>Overtime!D775</f>
        <v>0</v>
      </c>
      <c r="K775">
        <f t="shared" si="37"/>
        <v>0.12</v>
      </c>
      <c r="L775">
        <f>IF(Performance!E775&lt;=1.5,0.01,IF(Performance!E775&lt;=2,0.02,IF(Performance!E775&lt;=3,0.03,"")))</f>
        <v>0.03</v>
      </c>
      <c r="M775">
        <f t="shared" si="38"/>
        <v>0.15</v>
      </c>
      <c r="N775">
        <f>Earnings!B775*(1+M775)</f>
        <v>2239440.4824999999</v>
      </c>
    </row>
    <row r="776" spans="1:14" x14ac:dyDescent="0.35">
      <c r="A776" t="s">
        <v>806</v>
      </c>
      <c r="B776" t="s">
        <v>14</v>
      </c>
      <c r="C776" t="s">
        <v>33</v>
      </c>
      <c r="D776" t="s">
        <v>16</v>
      </c>
      <c r="E776">
        <v>7.2</v>
      </c>
      <c r="F776" t="s">
        <v>70</v>
      </c>
      <c r="G776">
        <f>Earnings!G776</f>
        <v>716305.36</v>
      </c>
      <c r="H776">
        <f>Deductions!B776+Deductions!C776+Deductions!D776+Tax!D776</f>
        <v>7288.6933333333336</v>
      </c>
      <c r="I776">
        <f t="shared" si="36"/>
        <v>812850.8474666666</v>
      </c>
      <c r="J776">
        <f>Overtime!D776</f>
        <v>103834.18080000002</v>
      </c>
      <c r="K776">
        <f t="shared" si="37"/>
        <v>0.08</v>
      </c>
      <c r="L776">
        <f>IF(Performance!E776&lt;=1.5,0.01,IF(Performance!E776&lt;=2,0.02,IF(Performance!E776&lt;=3,0.03,"")))</f>
        <v>0.01</v>
      </c>
      <c r="M776">
        <f t="shared" si="38"/>
        <v>0.09</v>
      </c>
      <c r="N776">
        <f>Earnings!B776*(1+M776)</f>
        <v>820139.54399999999</v>
      </c>
    </row>
    <row r="777" spans="1:14" x14ac:dyDescent="0.35">
      <c r="A777" t="s">
        <v>807</v>
      </c>
      <c r="B777" t="s">
        <v>35</v>
      </c>
      <c r="C777" t="s">
        <v>20</v>
      </c>
      <c r="D777" t="s">
        <v>21</v>
      </c>
      <c r="E777">
        <v>16.8</v>
      </c>
      <c r="F777" t="s">
        <v>17</v>
      </c>
      <c r="G777">
        <f>Earnings!G777</f>
        <v>1188784.96</v>
      </c>
      <c r="H777">
        <f>Deductions!B777+Deductions!C777+Deductions!D777+Tax!D777</f>
        <v>17673.092499999999</v>
      </c>
      <c r="I777">
        <f t="shared" si="36"/>
        <v>1433343.8444999999</v>
      </c>
      <c r="J777">
        <f>Overtime!D777</f>
        <v>262231.97699999996</v>
      </c>
      <c r="K777">
        <f t="shared" si="37"/>
        <v>0.1</v>
      </c>
      <c r="L777">
        <f>IF(Performance!E777&lt;=1.5,0.01,IF(Performance!E777&lt;=2,0.02,IF(Performance!E777&lt;=3,0.03,"")))</f>
        <v>0.01</v>
      </c>
      <c r="M777">
        <f t="shared" si="38"/>
        <v>0.11</v>
      </c>
      <c r="N777">
        <f>Earnings!B777*(1+M777)</f>
        <v>1386083.307</v>
      </c>
    </row>
    <row r="778" spans="1:14" x14ac:dyDescent="0.35">
      <c r="A778" t="s">
        <v>808</v>
      </c>
      <c r="B778" t="s">
        <v>35</v>
      </c>
      <c r="C778" t="s">
        <v>20</v>
      </c>
      <c r="D778" t="s">
        <v>16</v>
      </c>
      <c r="E778">
        <v>21</v>
      </c>
      <c r="F778" t="s">
        <v>70</v>
      </c>
      <c r="G778">
        <f>Earnings!G778</f>
        <v>1818873.49</v>
      </c>
      <c r="H778">
        <f>Deductions!B778+Deductions!C778+Deductions!D778+Tax!D778</f>
        <v>34219.535000000003</v>
      </c>
      <c r="I778">
        <f t="shared" si="36"/>
        <v>1918394.6530000002</v>
      </c>
      <c r="J778">
        <f>Overtime!D778</f>
        <v>133740.698</v>
      </c>
      <c r="K778">
        <f t="shared" si="37"/>
        <v>0.1</v>
      </c>
      <c r="L778">
        <f>IF(Performance!E778&lt;=1.5,0.01,IF(Performance!E778&lt;=2,0.02,IF(Performance!E778&lt;=3,0.03,"")))</f>
        <v>0.01</v>
      </c>
      <c r="M778">
        <f t="shared" si="38"/>
        <v>0.11</v>
      </c>
      <c r="N778">
        <f>Earnings!B778*(1+M778)</f>
        <v>2120745.3540000003</v>
      </c>
    </row>
    <row r="779" spans="1:14" x14ac:dyDescent="0.35">
      <c r="A779" t="s">
        <v>809</v>
      </c>
      <c r="B779" t="s">
        <v>14</v>
      </c>
      <c r="C779" t="s">
        <v>15</v>
      </c>
      <c r="D779" t="s">
        <v>16</v>
      </c>
      <c r="E779">
        <v>0</v>
      </c>
      <c r="F779" t="s">
        <v>17</v>
      </c>
      <c r="G779">
        <f>Earnings!G779</f>
        <v>471537.02</v>
      </c>
      <c r="H779">
        <f>Deductions!B779+Deductions!C779+Deductions!D779+Tax!D779</f>
        <v>3022.1333333333332</v>
      </c>
      <c r="I779">
        <f t="shared" si="36"/>
        <v>518046.08666666667</v>
      </c>
      <c r="J779">
        <f>Overtime!D779</f>
        <v>49531.199999999997</v>
      </c>
      <c r="K779">
        <f t="shared" si="37"/>
        <v>0.06</v>
      </c>
      <c r="L779">
        <f>IF(Performance!E779&lt;=1.5,0.01,IF(Performance!E779&lt;=2,0.02,IF(Performance!E779&lt;=3,0.03,"")))</f>
        <v>0.01</v>
      </c>
      <c r="M779">
        <f t="shared" si="38"/>
        <v>6.9999999999999993E-2</v>
      </c>
      <c r="N779">
        <f>Earnings!B779*(1+M779)</f>
        <v>529983.84000000008</v>
      </c>
    </row>
    <row r="780" spans="1:14" x14ac:dyDescent="0.35">
      <c r="A780" t="s">
        <v>810</v>
      </c>
      <c r="B780" t="s">
        <v>19</v>
      </c>
      <c r="C780" t="s">
        <v>20</v>
      </c>
      <c r="D780" t="s">
        <v>21</v>
      </c>
      <c r="E780">
        <v>19.600000000000001</v>
      </c>
      <c r="F780" t="s">
        <v>44</v>
      </c>
      <c r="G780">
        <f>Earnings!G780</f>
        <v>1056732.07</v>
      </c>
      <c r="H780">
        <f>Deductions!B780+Deductions!C780+Deductions!D780+Tax!D780</f>
        <v>14205.316999999997</v>
      </c>
      <c r="I780">
        <f t="shared" si="36"/>
        <v>1143537.9064249999</v>
      </c>
      <c r="J780">
        <f>Overtime!D780</f>
        <v>101011.153425</v>
      </c>
      <c r="K780">
        <f t="shared" si="37"/>
        <v>0.1</v>
      </c>
      <c r="L780">
        <f>IF(Performance!E780&lt;=1.5,0.01,IF(Performance!E780&lt;=2,0.02,IF(Performance!E780&lt;=3,0.03,"")))</f>
        <v>0.03</v>
      </c>
      <c r="M780">
        <f t="shared" si="38"/>
        <v>0.13</v>
      </c>
      <c r="N780">
        <f>Earnings!B780*(1+M780)</f>
        <v>1254314.3283999998</v>
      </c>
    </row>
    <row r="781" spans="1:14" x14ac:dyDescent="0.35">
      <c r="A781" t="s">
        <v>811</v>
      </c>
      <c r="B781" t="s">
        <v>14</v>
      </c>
      <c r="C781" t="s">
        <v>20</v>
      </c>
      <c r="D781" t="s">
        <v>16</v>
      </c>
      <c r="E781">
        <v>5.6</v>
      </c>
      <c r="F781" t="s">
        <v>44</v>
      </c>
      <c r="G781">
        <f>Earnings!G781</f>
        <v>580178.5</v>
      </c>
      <c r="H781">
        <f>Deductions!B781+Deductions!C781+Deductions!D781+Tax!D781</f>
        <v>4945.5199999999986</v>
      </c>
      <c r="I781">
        <f t="shared" si="36"/>
        <v>575232.98</v>
      </c>
      <c r="J781">
        <f>Overtime!D781</f>
        <v>0</v>
      </c>
      <c r="K781">
        <f t="shared" si="37"/>
        <v>0.1</v>
      </c>
      <c r="L781">
        <f>IF(Performance!E781&lt;=1.5,0.01,IF(Performance!E781&lt;=2,0.02,IF(Performance!E781&lt;=3,0.03,"")))</f>
        <v>0.01</v>
      </c>
      <c r="M781">
        <f t="shared" si="38"/>
        <v>0.11</v>
      </c>
      <c r="N781">
        <f>Earnings!B781*(1+M781)</f>
        <v>676468.63199999998</v>
      </c>
    </row>
    <row r="782" spans="1:14" x14ac:dyDescent="0.35">
      <c r="A782" t="s">
        <v>812</v>
      </c>
      <c r="B782" t="s">
        <v>29</v>
      </c>
      <c r="C782" t="s">
        <v>15</v>
      </c>
      <c r="D782" t="s">
        <v>16</v>
      </c>
      <c r="E782">
        <v>11</v>
      </c>
      <c r="F782" t="s">
        <v>24</v>
      </c>
      <c r="G782">
        <f>Earnings!G782</f>
        <v>909687.41</v>
      </c>
      <c r="H782">
        <f>Deductions!B782+Deductions!C782+Deductions!D782+Tax!D782</f>
        <v>10634.233333333334</v>
      </c>
      <c r="I782">
        <f t="shared" si="36"/>
        <v>899053.17666666675</v>
      </c>
      <c r="J782">
        <f>Overtime!D782</f>
        <v>0</v>
      </c>
      <c r="K782">
        <f t="shared" si="37"/>
        <v>0.06</v>
      </c>
      <c r="L782">
        <f>IF(Performance!E782&lt;=1.5,0.01,IF(Performance!E782&lt;=2,0.02,IF(Performance!E782&lt;=3,0.03,"")))</f>
        <v>0.02</v>
      </c>
      <c r="M782">
        <f t="shared" si="38"/>
        <v>0.08</v>
      </c>
      <c r="N782">
        <f>Earnings!B782*(1+M782)</f>
        <v>1031998.3200000001</v>
      </c>
    </row>
    <row r="783" spans="1:14" x14ac:dyDescent="0.35">
      <c r="A783" t="s">
        <v>813</v>
      </c>
      <c r="B783" t="s">
        <v>29</v>
      </c>
      <c r="C783" t="s">
        <v>20</v>
      </c>
      <c r="D783" t="s">
        <v>21</v>
      </c>
      <c r="E783">
        <v>0</v>
      </c>
      <c r="F783" t="s">
        <v>37</v>
      </c>
      <c r="G783">
        <f>Earnings!G783</f>
        <v>1354776.01</v>
      </c>
      <c r="H783">
        <f>Deductions!B783+Deductions!C783+Deductions!D783+Tax!D783</f>
        <v>22032.100999999999</v>
      </c>
      <c r="I783">
        <f t="shared" si="36"/>
        <v>1332743.909</v>
      </c>
      <c r="J783">
        <f>Overtime!D783</f>
        <v>0</v>
      </c>
      <c r="K783">
        <f t="shared" si="37"/>
        <v>0.1</v>
      </c>
      <c r="L783">
        <f>IF(Performance!E783&lt;=1.5,0.01,IF(Performance!E783&lt;=2,0.02,IF(Performance!E783&lt;=3,0.03,"")))</f>
        <v>0.02</v>
      </c>
      <c r="M783">
        <f t="shared" si="38"/>
        <v>0.12000000000000001</v>
      </c>
      <c r="N783">
        <f>Earnings!B783*(1+M783)</f>
        <v>1593854.1248000001</v>
      </c>
    </row>
    <row r="784" spans="1:14" x14ac:dyDescent="0.35">
      <c r="A784" t="s">
        <v>814</v>
      </c>
      <c r="B784" t="s">
        <v>14</v>
      </c>
      <c r="C784" t="s">
        <v>20</v>
      </c>
      <c r="D784" t="s">
        <v>16</v>
      </c>
      <c r="E784">
        <v>5.6</v>
      </c>
      <c r="F784" t="s">
        <v>22</v>
      </c>
      <c r="G784">
        <f>Earnings!G784</f>
        <v>946574.55</v>
      </c>
      <c r="H784">
        <f>Deductions!B784+Deductions!C784+Deductions!D784+Tax!D784</f>
        <v>11360.016666666668</v>
      </c>
      <c r="I784">
        <f t="shared" si="36"/>
        <v>990895.38933333335</v>
      </c>
      <c r="J784">
        <f>Overtime!D784</f>
        <v>55680.856</v>
      </c>
      <c r="K784">
        <f t="shared" si="37"/>
        <v>0.1</v>
      </c>
      <c r="L784">
        <f>IF(Performance!E784&lt;=1.5,0.01,IF(Performance!E784&lt;=2,0.02,IF(Performance!E784&lt;=3,0.03,"")))</f>
        <v>0.01</v>
      </c>
      <c r="M784">
        <f t="shared" si="38"/>
        <v>0.11</v>
      </c>
      <c r="N784">
        <f>Earnings!B784*(1+M784)</f>
        <v>1103674.1100000001</v>
      </c>
    </row>
    <row r="785" spans="1:14" x14ac:dyDescent="0.35">
      <c r="A785" t="s">
        <v>815</v>
      </c>
      <c r="B785" t="s">
        <v>26</v>
      </c>
      <c r="C785" t="s">
        <v>15</v>
      </c>
      <c r="D785" t="s">
        <v>16</v>
      </c>
      <c r="E785">
        <v>5</v>
      </c>
      <c r="F785" t="s">
        <v>37</v>
      </c>
      <c r="G785">
        <f>Earnings!G785</f>
        <v>794188.86</v>
      </c>
      <c r="H785">
        <f>Deductions!B785+Deductions!C785+Deductions!D785+Tax!D785</f>
        <v>8612.2000000000007</v>
      </c>
      <c r="I785">
        <f t="shared" si="36"/>
        <v>785576.66</v>
      </c>
      <c r="J785">
        <f>Overtime!D785</f>
        <v>0</v>
      </c>
      <c r="K785">
        <f t="shared" si="37"/>
        <v>0.06</v>
      </c>
      <c r="L785">
        <f>IF(Performance!E785&lt;=1.5,0.01,IF(Performance!E785&lt;=2,0.02,IF(Performance!E785&lt;=3,0.03,"")))</f>
        <v>0.01</v>
      </c>
      <c r="M785">
        <f t="shared" si="38"/>
        <v>6.9999999999999993E-2</v>
      </c>
      <c r="N785">
        <f>Earnings!B785*(1+M785)</f>
        <v>892628.24000000011</v>
      </c>
    </row>
    <row r="786" spans="1:14" x14ac:dyDescent="0.35">
      <c r="A786" t="s">
        <v>816</v>
      </c>
      <c r="B786" t="s">
        <v>14</v>
      </c>
      <c r="C786" t="s">
        <v>43</v>
      </c>
      <c r="D786" t="s">
        <v>21</v>
      </c>
      <c r="E786">
        <v>11.9</v>
      </c>
      <c r="F786" t="s">
        <v>17</v>
      </c>
      <c r="G786">
        <f>Earnings!G786</f>
        <v>1003399.42</v>
      </c>
      <c r="H786">
        <f>Deductions!B786+Deductions!C786+Deductions!D786+Tax!D786</f>
        <v>12864.774749999999</v>
      </c>
      <c r="I786">
        <f t="shared" si="36"/>
        <v>1062206.0332500001</v>
      </c>
      <c r="J786">
        <f>Overtime!D786</f>
        <v>71671.387999999992</v>
      </c>
      <c r="K786">
        <f t="shared" si="37"/>
        <v>0.12</v>
      </c>
      <c r="L786">
        <f>IF(Performance!E786&lt;=1.5,0.01,IF(Performance!E786&lt;=2,0.02,IF(Performance!E786&lt;=3,0.03,"")))</f>
        <v>0.01</v>
      </c>
      <c r="M786">
        <f t="shared" si="38"/>
        <v>0.13</v>
      </c>
      <c r="N786">
        <f>Earnings!B786*(1+M786)</f>
        <v>1191009.8186999999</v>
      </c>
    </row>
    <row r="787" spans="1:14" x14ac:dyDescent="0.35">
      <c r="A787" t="s">
        <v>817</v>
      </c>
      <c r="B787" t="s">
        <v>26</v>
      </c>
      <c r="C787" t="s">
        <v>33</v>
      </c>
      <c r="D787" t="s">
        <v>21</v>
      </c>
      <c r="E787">
        <v>15.6</v>
      </c>
      <c r="F787" t="s">
        <v>24</v>
      </c>
      <c r="G787">
        <f>Earnings!G787</f>
        <v>1123326.6599999999</v>
      </c>
      <c r="H787">
        <f>Deductions!B787+Deductions!C787+Deductions!D787+Tax!D787</f>
        <v>15914.1245</v>
      </c>
      <c r="I787">
        <f t="shared" si="36"/>
        <v>1319806.2309999999</v>
      </c>
      <c r="J787">
        <f>Overtime!D787</f>
        <v>212393.6955</v>
      </c>
      <c r="K787">
        <f t="shared" si="37"/>
        <v>0.08</v>
      </c>
      <c r="L787">
        <f>IF(Performance!E787&lt;=1.5,0.01,IF(Performance!E787&lt;=2,0.02,IF(Performance!E787&lt;=3,0.03,"")))</f>
        <v>0.01</v>
      </c>
      <c r="M787">
        <f t="shared" si="38"/>
        <v>0.09</v>
      </c>
      <c r="N787">
        <f>Earnings!B787*(1+M787)</f>
        <v>1286161.8282000001</v>
      </c>
    </row>
    <row r="788" spans="1:14" x14ac:dyDescent="0.35">
      <c r="A788" t="s">
        <v>818</v>
      </c>
      <c r="B788" t="s">
        <v>26</v>
      </c>
      <c r="C788" t="s">
        <v>43</v>
      </c>
      <c r="D788" t="s">
        <v>21</v>
      </c>
      <c r="E788">
        <v>10.199999999999999</v>
      </c>
      <c r="F788" t="s">
        <v>70</v>
      </c>
      <c r="G788">
        <f>Earnings!G788</f>
        <v>879117.23</v>
      </c>
      <c r="H788">
        <f>Deductions!B788+Deductions!C788+Deductions!D788+Tax!D788</f>
        <v>10239.041000000001</v>
      </c>
      <c r="I788">
        <f t="shared" si="36"/>
        <v>1057260.4539000001</v>
      </c>
      <c r="J788">
        <f>Overtime!D788</f>
        <v>188382.26489999998</v>
      </c>
      <c r="K788">
        <f t="shared" si="37"/>
        <v>0.12</v>
      </c>
      <c r="L788">
        <f>IF(Performance!E788&lt;=1.5,0.01,IF(Performance!E788&lt;=2,0.02,IF(Performance!E788&lt;=3,0.03,"")))</f>
        <v>0.01</v>
      </c>
      <c r="M788">
        <f t="shared" si="38"/>
        <v>0.13</v>
      </c>
      <c r="N788">
        <f>Earnings!B788*(1+M788)</f>
        <v>1043489.9797999999</v>
      </c>
    </row>
    <row r="789" spans="1:14" x14ac:dyDescent="0.35">
      <c r="A789" t="s">
        <v>819</v>
      </c>
      <c r="B789" t="s">
        <v>29</v>
      </c>
      <c r="C789" t="s">
        <v>43</v>
      </c>
      <c r="D789" t="s">
        <v>21</v>
      </c>
      <c r="E789">
        <v>13.6</v>
      </c>
      <c r="F789" t="s">
        <v>31</v>
      </c>
      <c r="G789">
        <f>Earnings!G789</f>
        <v>1808499.29</v>
      </c>
      <c r="H789">
        <f>Deductions!B789+Deductions!C789+Deductions!D789+Tax!D789</f>
        <v>34007.103000000003</v>
      </c>
      <c r="I789">
        <f t="shared" si="36"/>
        <v>1774492.1869999999</v>
      </c>
      <c r="J789">
        <f>Overtime!D789</f>
        <v>0</v>
      </c>
      <c r="K789">
        <f t="shared" si="37"/>
        <v>0.12</v>
      </c>
      <c r="L789">
        <f>IF(Performance!E789&lt;=1.5,0.01,IF(Performance!E789&lt;=2,0.02,IF(Performance!E789&lt;=3,0.03,"")))</f>
        <v>0.02</v>
      </c>
      <c r="M789">
        <f t="shared" si="38"/>
        <v>0.13999999999999999</v>
      </c>
      <c r="N789">
        <f>Earnings!B789*(1+M789)</f>
        <v>2165639.8967999998</v>
      </c>
    </row>
    <row r="790" spans="1:14" x14ac:dyDescent="0.35">
      <c r="A790" t="s">
        <v>820</v>
      </c>
      <c r="B790" t="s">
        <v>26</v>
      </c>
      <c r="C790" t="s">
        <v>33</v>
      </c>
      <c r="D790" t="s">
        <v>21</v>
      </c>
      <c r="E790">
        <v>4.8</v>
      </c>
      <c r="F790" t="s">
        <v>17</v>
      </c>
      <c r="G790">
        <f>Earnings!G790</f>
        <v>541046.81000000006</v>
      </c>
      <c r="H790">
        <f>Deductions!B790+Deductions!C790+Deductions!D790+Tax!D790</f>
        <v>4220.4413333333323</v>
      </c>
      <c r="I790">
        <f t="shared" si="36"/>
        <v>570925.95716666663</v>
      </c>
      <c r="J790">
        <f>Overtime!D790</f>
        <v>34099.588499999998</v>
      </c>
      <c r="K790">
        <f t="shared" si="37"/>
        <v>0.08</v>
      </c>
      <c r="L790">
        <f>IF(Performance!E790&lt;=1.5,0.01,IF(Performance!E790&lt;=2,0.02,IF(Performance!E790&lt;=3,0.03,"")))</f>
        <v>0.01</v>
      </c>
      <c r="M790">
        <f t="shared" si="38"/>
        <v>0.09</v>
      </c>
      <c r="N790">
        <f>Earnings!B790*(1+M790)</f>
        <v>619475.86320000002</v>
      </c>
    </row>
    <row r="791" spans="1:14" x14ac:dyDescent="0.35">
      <c r="A791" t="s">
        <v>821</v>
      </c>
      <c r="B791" t="s">
        <v>14</v>
      </c>
      <c r="C791" t="s">
        <v>33</v>
      </c>
      <c r="D791" t="s">
        <v>21</v>
      </c>
      <c r="E791">
        <v>14.4</v>
      </c>
      <c r="F791" t="s">
        <v>44</v>
      </c>
      <c r="G791">
        <f>Earnings!G791</f>
        <v>866641.66</v>
      </c>
      <c r="H791">
        <f>Deductions!B791+Deductions!C791+Deductions!D791+Tax!D791</f>
        <v>9920.6313333333346</v>
      </c>
      <c r="I791">
        <f t="shared" si="36"/>
        <v>894955.21941666666</v>
      </c>
      <c r="J791">
        <f>Overtime!D791</f>
        <v>38234.190750000002</v>
      </c>
      <c r="K791">
        <f t="shared" si="37"/>
        <v>0.08</v>
      </c>
      <c r="L791">
        <f>IF(Performance!E791&lt;=1.5,0.01,IF(Performance!E791&lt;=2,0.02,IF(Performance!E791&lt;=3,0.03,"")))</f>
        <v>0.01</v>
      </c>
      <c r="M791">
        <f t="shared" si="38"/>
        <v>0.09</v>
      </c>
      <c r="N791">
        <f>Earnings!B791*(1+M791)</f>
        <v>992268.28920000012</v>
      </c>
    </row>
    <row r="792" spans="1:14" x14ac:dyDescent="0.35">
      <c r="A792" t="s">
        <v>822</v>
      </c>
      <c r="B792" t="s">
        <v>35</v>
      </c>
      <c r="C792" t="s">
        <v>43</v>
      </c>
      <c r="D792" t="s">
        <v>21</v>
      </c>
      <c r="E792">
        <v>17</v>
      </c>
      <c r="F792" t="s">
        <v>27</v>
      </c>
      <c r="G792">
        <f>Earnings!G792</f>
        <v>1312892.6100000001</v>
      </c>
      <c r="H792">
        <f>Deductions!B792+Deductions!C792+Deductions!D792+Tax!D792</f>
        <v>20992.221999999998</v>
      </c>
      <c r="I792">
        <f t="shared" si="36"/>
        <v>1291900.388</v>
      </c>
      <c r="J792">
        <f>Overtime!D792</f>
        <v>0</v>
      </c>
      <c r="K792">
        <f t="shared" si="37"/>
        <v>0.12</v>
      </c>
      <c r="L792">
        <f>IF(Performance!E792&lt;=1.5,0.01,IF(Performance!E792&lt;=2,0.02,IF(Performance!E792&lt;=3,0.03,"")))</f>
        <v>0.01</v>
      </c>
      <c r="M792">
        <f t="shared" si="38"/>
        <v>0.13</v>
      </c>
      <c r="N792">
        <f>Earnings!B792*(1+M792)</f>
        <v>1558370.4343999997</v>
      </c>
    </row>
    <row r="793" spans="1:14" x14ac:dyDescent="0.35">
      <c r="A793" t="s">
        <v>823</v>
      </c>
      <c r="B793" t="s">
        <v>29</v>
      </c>
      <c r="C793" t="s">
        <v>20</v>
      </c>
      <c r="D793" t="s">
        <v>21</v>
      </c>
      <c r="E793">
        <v>16.8</v>
      </c>
      <c r="F793" t="s">
        <v>24</v>
      </c>
      <c r="G793">
        <f>Earnings!G793</f>
        <v>1931143.43</v>
      </c>
      <c r="H793">
        <f>Deductions!B793+Deductions!C793+Deductions!D793+Tax!D793</f>
        <v>37167.80025</v>
      </c>
      <c r="I793">
        <f t="shared" si="36"/>
        <v>2121168.9737499999</v>
      </c>
      <c r="J793">
        <f>Overtime!D793</f>
        <v>227193.34400000001</v>
      </c>
      <c r="K793">
        <f t="shared" si="37"/>
        <v>0.1</v>
      </c>
      <c r="L793">
        <f>IF(Performance!E793&lt;=1.5,0.01,IF(Performance!E793&lt;=2,0.02,IF(Performance!E793&lt;=3,0.03,"")))</f>
        <v>0.02</v>
      </c>
      <c r="M793">
        <f t="shared" si="38"/>
        <v>0.12000000000000001</v>
      </c>
      <c r="N793">
        <f>Earnings!B793*(1+M793)</f>
        <v>2271933.4512</v>
      </c>
    </row>
    <row r="794" spans="1:14" x14ac:dyDescent="0.35">
      <c r="A794" t="s">
        <v>824</v>
      </c>
      <c r="B794" t="s">
        <v>14</v>
      </c>
      <c r="C794" t="s">
        <v>43</v>
      </c>
      <c r="D794" t="s">
        <v>21</v>
      </c>
      <c r="E794">
        <v>11.9</v>
      </c>
      <c r="F794" t="s">
        <v>17</v>
      </c>
      <c r="G794">
        <f>Earnings!G794</f>
        <v>1130073.94</v>
      </c>
      <c r="H794">
        <f>Deductions!B794+Deductions!C794+Deductions!D794+Tax!D794</f>
        <v>16191.311499999998</v>
      </c>
      <c r="I794">
        <f t="shared" si="36"/>
        <v>1113882.6284999999</v>
      </c>
      <c r="J794">
        <f>Overtime!D794</f>
        <v>0</v>
      </c>
      <c r="K794">
        <f t="shared" si="37"/>
        <v>0.12</v>
      </c>
      <c r="L794">
        <f>IF(Performance!E794&lt;=1.5,0.01,IF(Performance!E794&lt;=2,0.02,IF(Performance!E794&lt;=3,0.03,"")))</f>
        <v>0.01</v>
      </c>
      <c r="M794">
        <f t="shared" si="38"/>
        <v>0.13</v>
      </c>
      <c r="N794">
        <f>Earnings!B794*(1+M794)</f>
        <v>1341369.2797999999</v>
      </c>
    </row>
    <row r="795" spans="1:14" x14ac:dyDescent="0.35">
      <c r="A795" t="s">
        <v>825</v>
      </c>
      <c r="B795" t="s">
        <v>14</v>
      </c>
      <c r="C795" t="s">
        <v>33</v>
      </c>
      <c r="D795" t="s">
        <v>21</v>
      </c>
      <c r="E795">
        <v>2.4</v>
      </c>
      <c r="F795" t="s">
        <v>44</v>
      </c>
      <c r="G795">
        <f>Earnings!G795</f>
        <v>673945.86</v>
      </c>
      <c r="H795">
        <f>Deductions!B795+Deductions!C795+Deductions!D795+Tax!D795</f>
        <v>6547.105333333333</v>
      </c>
      <c r="I795">
        <f t="shared" si="36"/>
        <v>786330.37726666662</v>
      </c>
      <c r="J795">
        <f>Overtime!D795</f>
        <v>118931.62260000002</v>
      </c>
      <c r="K795">
        <f t="shared" si="37"/>
        <v>0.08</v>
      </c>
      <c r="L795">
        <f>IF(Performance!E795&lt;=1.5,0.01,IF(Performance!E795&lt;=2,0.02,IF(Performance!E795&lt;=3,0.03,"")))</f>
        <v>0.01</v>
      </c>
      <c r="M795">
        <f t="shared" si="38"/>
        <v>0.09</v>
      </c>
      <c r="N795">
        <f>Earnings!B795*(1+M795)</f>
        <v>771639.6888</v>
      </c>
    </row>
    <row r="796" spans="1:14" x14ac:dyDescent="0.35">
      <c r="A796" t="s">
        <v>826</v>
      </c>
      <c r="B796" t="s">
        <v>26</v>
      </c>
      <c r="C796" t="s">
        <v>33</v>
      </c>
      <c r="D796" t="s">
        <v>21</v>
      </c>
      <c r="E796">
        <v>13.2</v>
      </c>
      <c r="F796" t="s">
        <v>22</v>
      </c>
      <c r="G796">
        <f>Earnings!G796</f>
        <v>956385.64</v>
      </c>
      <c r="H796">
        <f>Deductions!B796+Deductions!C796+Deductions!D796+Tax!D796</f>
        <v>11530.169</v>
      </c>
      <c r="I796">
        <f t="shared" si="36"/>
        <v>944855.47100000002</v>
      </c>
      <c r="J796">
        <f>Overtime!D796</f>
        <v>0</v>
      </c>
      <c r="K796">
        <f t="shared" si="37"/>
        <v>0.08</v>
      </c>
      <c r="L796">
        <f>IF(Performance!E796&lt;=1.5,0.01,IF(Performance!E796&lt;=2,0.02,IF(Performance!E796&lt;=3,0.03,"")))</f>
        <v>0.01</v>
      </c>
      <c r="M796">
        <f t="shared" si="38"/>
        <v>0.09</v>
      </c>
      <c r="N796">
        <f>Earnings!B796*(1+M796)</f>
        <v>1095021.3684</v>
      </c>
    </row>
    <row r="797" spans="1:14" x14ac:dyDescent="0.35">
      <c r="A797" t="s">
        <v>827</v>
      </c>
      <c r="B797" t="s">
        <v>26</v>
      </c>
      <c r="C797" t="s">
        <v>33</v>
      </c>
      <c r="D797" t="s">
        <v>21</v>
      </c>
      <c r="E797">
        <v>1.2</v>
      </c>
      <c r="F797" t="s">
        <v>17</v>
      </c>
      <c r="G797">
        <f>Earnings!G797</f>
        <v>592168.92000000004</v>
      </c>
      <c r="H797">
        <f>Deductions!B797+Deductions!C797+Deductions!D797+Tax!D797</f>
        <v>5115.4363333333349</v>
      </c>
      <c r="I797">
        <f t="shared" si="36"/>
        <v>609446.42596666666</v>
      </c>
      <c r="J797">
        <f>Overtime!D797</f>
        <v>22392.942299999999</v>
      </c>
      <c r="K797">
        <f t="shared" si="37"/>
        <v>0.08</v>
      </c>
      <c r="L797">
        <f>IF(Performance!E797&lt;=1.5,0.01,IF(Performance!E797&lt;=2,0.02,IF(Performance!E797&lt;=3,0.03,"")))</f>
        <v>0.01</v>
      </c>
      <c r="M797">
        <f t="shared" si="38"/>
        <v>0.09</v>
      </c>
      <c r="N797">
        <f>Earnings!B797*(1+M797)</f>
        <v>678008.53620000009</v>
      </c>
    </row>
    <row r="798" spans="1:14" x14ac:dyDescent="0.35">
      <c r="A798" t="s">
        <v>828</v>
      </c>
      <c r="B798" t="s">
        <v>35</v>
      </c>
      <c r="C798" t="s">
        <v>20</v>
      </c>
      <c r="D798" t="s">
        <v>16</v>
      </c>
      <c r="E798">
        <v>15.4</v>
      </c>
      <c r="F798" t="s">
        <v>31</v>
      </c>
      <c r="G798">
        <f>Earnings!G798</f>
        <v>1405905.41</v>
      </c>
      <c r="H798">
        <f>Deductions!B798+Deductions!C798+Deductions!D798+Tax!D798</f>
        <v>23374.784999999996</v>
      </c>
      <c r="I798">
        <f t="shared" si="36"/>
        <v>1382530.625</v>
      </c>
      <c r="J798">
        <f>Overtime!D798</f>
        <v>0</v>
      </c>
      <c r="K798">
        <f t="shared" si="37"/>
        <v>0.1</v>
      </c>
      <c r="L798">
        <f>IF(Performance!E798&lt;=1.5,0.01,IF(Performance!E798&lt;=2,0.02,IF(Performance!E798&lt;=3,0.03,"")))</f>
        <v>0.01</v>
      </c>
      <c r="M798">
        <f t="shared" si="38"/>
        <v>0.11</v>
      </c>
      <c r="N798">
        <f>Earnings!B798*(1+M798)</f>
        <v>1639238.4540000001</v>
      </c>
    </row>
    <row r="799" spans="1:14" x14ac:dyDescent="0.35">
      <c r="A799" t="s">
        <v>829</v>
      </c>
      <c r="B799" t="s">
        <v>19</v>
      </c>
      <c r="C799" t="s">
        <v>43</v>
      </c>
      <c r="D799" t="s">
        <v>21</v>
      </c>
      <c r="E799">
        <v>18.7</v>
      </c>
      <c r="F799" t="s">
        <v>22</v>
      </c>
      <c r="G799">
        <f>Earnings!G799</f>
        <v>1481826.3</v>
      </c>
      <c r="H799">
        <f>Deductions!B799+Deductions!C799+Deductions!D799+Tax!D799</f>
        <v>25428.50575</v>
      </c>
      <c r="I799">
        <f t="shared" si="36"/>
        <v>1615164.8972</v>
      </c>
      <c r="J799">
        <f>Overtime!D799</f>
        <v>158767.10294999997</v>
      </c>
      <c r="K799">
        <f t="shared" si="37"/>
        <v>0.12</v>
      </c>
      <c r="L799">
        <f>IF(Performance!E799&lt;=1.5,0.01,IF(Performance!E799&lt;=2,0.02,IF(Performance!E799&lt;=3,0.03,"")))</f>
        <v>0.03</v>
      </c>
      <c r="M799">
        <f t="shared" si="38"/>
        <v>0.15</v>
      </c>
      <c r="N799">
        <f>Earnings!B799*(1+M799)</f>
        <v>1790021.2644999998</v>
      </c>
    </row>
    <row r="800" spans="1:14" x14ac:dyDescent="0.35">
      <c r="A800" t="s">
        <v>830</v>
      </c>
      <c r="B800" t="s">
        <v>35</v>
      </c>
      <c r="C800" t="s">
        <v>15</v>
      </c>
      <c r="D800" t="s">
        <v>16</v>
      </c>
      <c r="E800">
        <v>8</v>
      </c>
      <c r="F800" t="s">
        <v>70</v>
      </c>
      <c r="G800">
        <f>Earnings!G800</f>
        <v>941998.29</v>
      </c>
      <c r="H800">
        <f>Deductions!B800+Deductions!C800+Deductions!D800+Tax!D800</f>
        <v>11199.9</v>
      </c>
      <c r="I800">
        <f t="shared" si="36"/>
        <v>1000062.97</v>
      </c>
      <c r="J800">
        <f>Overtime!D800</f>
        <v>69264.579999999987</v>
      </c>
      <c r="K800">
        <f t="shared" si="37"/>
        <v>0.06</v>
      </c>
      <c r="L800">
        <f>IF(Performance!E800&lt;=1.5,0.01,IF(Performance!E800&lt;=2,0.02,IF(Performance!E800&lt;=3,0.03,"")))</f>
        <v>0.01</v>
      </c>
      <c r="M800">
        <f t="shared" si="38"/>
        <v>6.9999999999999993E-2</v>
      </c>
      <c r="N800">
        <f>Earnings!B800*(1+M800)</f>
        <v>1058758.58</v>
      </c>
    </row>
    <row r="801" spans="1:14" x14ac:dyDescent="0.35">
      <c r="A801" t="s">
        <v>831</v>
      </c>
      <c r="B801" t="s">
        <v>29</v>
      </c>
      <c r="C801" t="s">
        <v>15</v>
      </c>
      <c r="D801" t="s">
        <v>16</v>
      </c>
      <c r="E801">
        <v>7</v>
      </c>
      <c r="F801" t="s">
        <v>24</v>
      </c>
      <c r="G801">
        <f>Earnings!G801</f>
        <v>1105631.8600000001</v>
      </c>
      <c r="H801">
        <f>Deductions!B801+Deductions!C801+Deductions!D801+Tax!D801</f>
        <v>15409.449999999999</v>
      </c>
      <c r="I801">
        <f t="shared" si="36"/>
        <v>1090222.4100000001</v>
      </c>
      <c r="J801">
        <f>Overtime!D801</f>
        <v>0</v>
      </c>
      <c r="K801">
        <f t="shared" si="37"/>
        <v>0.06</v>
      </c>
      <c r="L801">
        <f>IF(Performance!E801&lt;=1.5,0.01,IF(Performance!E801&lt;=2,0.02,IF(Performance!E801&lt;=3,0.03,"")))</f>
        <v>0.02</v>
      </c>
      <c r="M801">
        <f t="shared" si="38"/>
        <v>0.08</v>
      </c>
      <c r="N801">
        <f>Earnings!B801*(1+M801)</f>
        <v>1254288.24</v>
      </c>
    </row>
    <row r="802" spans="1:14" x14ac:dyDescent="0.35">
      <c r="A802" t="s">
        <v>832</v>
      </c>
      <c r="B802" t="s">
        <v>35</v>
      </c>
      <c r="C802" t="s">
        <v>43</v>
      </c>
      <c r="D802" t="s">
        <v>21</v>
      </c>
      <c r="E802">
        <v>8.5</v>
      </c>
      <c r="F802" t="s">
        <v>22</v>
      </c>
      <c r="G802">
        <f>Earnings!G802</f>
        <v>1043107.92</v>
      </c>
      <c r="H802">
        <f>Deductions!B802+Deductions!C802+Deductions!D802+Tax!D802</f>
        <v>13907.539750000002</v>
      </c>
      <c r="I802">
        <f t="shared" si="36"/>
        <v>1029200.38025</v>
      </c>
      <c r="J802">
        <f>Overtime!D802</f>
        <v>0</v>
      </c>
      <c r="K802">
        <f t="shared" si="37"/>
        <v>0.12</v>
      </c>
      <c r="L802">
        <f>IF(Performance!E802&lt;=1.5,0.01,IF(Performance!E802&lt;=2,0.02,IF(Performance!E802&lt;=3,0.03,"")))</f>
        <v>0.01</v>
      </c>
      <c r="M802">
        <f t="shared" si="38"/>
        <v>0.13</v>
      </c>
      <c r="N802">
        <f>Earnings!B802*(1+M802)</f>
        <v>1238142.7967000001</v>
      </c>
    </row>
    <row r="803" spans="1:14" x14ac:dyDescent="0.35">
      <c r="A803" t="s">
        <v>833</v>
      </c>
      <c r="B803" t="s">
        <v>19</v>
      </c>
      <c r="C803" t="s">
        <v>15</v>
      </c>
      <c r="D803" t="s">
        <v>16</v>
      </c>
      <c r="E803">
        <v>11</v>
      </c>
      <c r="F803" t="s">
        <v>31</v>
      </c>
      <c r="G803">
        <f>Earnings!G803</f>
        <v>979902.17</v>
      </c>
      <c r="H803">
        <f>Deductions!B803+Deductions!C803+Deductions!D803+Tax!D803</f>
        <v>12107.725</v>
      </c>
      <c r="I803">
        <f t="shared" si="36"/>
        <v>967794.44500000007</v>
      </c>
      <c r="J803">
        <f>Overtime!D803</f>
        <v>0</v>
      </c>
      <c r="K803">
        <f t="shared" si="37"/>
        <v>0.06</v>
      </c>
      <c r="L803">
        <f>IF(Performance!E803&lt;=1.5,0.01,IF(Performance!E803&lt;=2,0.02,IF(Performance!E803&lt;=3,0.03,"")))</f>
        <v>0.03</v>
      </c>
      <c r="M803">
        <f t="shared" si="38"/>
        <v>0.09</v>
      </c>
      <c r="N803">
        <f>Earnings!B803*(1+M803)</f>
        <v>1121946.81</v>
      </c>
    </row>
    <row r="804" spans="1:14" x14ac:dyDescent="0.35">
      <c r="A804" t="s">
        <v>834</v>
      </c>
      <c r="B804" t="s">
        <v>29</v>
      </c>
      <c r="C804" t="s">
        <v>20</v>
      </c>
      <c r="D804" t="s">
        <v>21</v>
      </c>
      <c r="E804">
        <v>9.8000000000000007</v>
      </c>
      <c r="F804" t="s">
        <v>31</v>
      </c>
      <c r="G804">
        <f>Earnings!G804</f>
        <v>1095499.3600000001</v>
      </c>
      <c r="H804">
        <f>Deductions!B804+Deductions!C804+Deductions!D804+Tax!D804</f>
        <v>15223.365500000002</v>
      </c>
      <c r="I804">
        <f t="shared" si="36"/>
        <v>1080275.9945</v>
      </c>
      <c r="J804">
        <f>Overtime!D804</f>
        <v>0</v>
      </c>
      <c r="K804">
        <f t="shared" si="37"/>
        <v>0.1</v>
      </c>
      <c r="L804">
        <f>IF(Performance!E804&lt;=1.5,0.01,IF(Performance!E804&lt;=2,0.02,IF(Performance!E804&lt;=3,0.03,"")))</f>
        <v>0.02</v>
      </c>
      <c r="M804">
        <f t="shared" si="38"/>
        <v>0.12000000000000001</v>
      </c>
      <c r="N804">
        <f>Earnings!B804*(1+M804)</f>
        <v>1288822.7744000002</v>
      </c>
    </row>
    <row r="805" spans="1:14" x14ac:dyDescent="0.35">
      <c r="A805" t="s">
        <v>835</v>
      </c>
      <c r="B805" t="s">
        <v>19</v>
      </c>
      <c r="C805" t="s">
        <v>20</v>
      </c>
      <c r="D805" t="s">
        <v>21</v>
      </c>
      <c r="E805">
        <v>12.6</v>
      </c>
      <c r="F805" t="s">
        <v>17</v>
      </c>
      <c r="G805">
        <f>Earnings!G805</f>
        <v>857238.43</v>
      </c>
      <c r="H805">
        <f>Deductions!B805+Deductions!C805+Deductions!D805+Tax!D805</f>
        <v>9796.0090000000018</v>
      </c>
      <c r="I805">
        <f t="shared" si="36"/>
        <v>847442.42100000009</v>
      </c>
      <c r="J805">
        <f>Overtime!D805</f>
        <v>0</v>
      </c>
      <c r="K805">
        <f t="shared" si="37"/>
        <v>0.1</v>
      </c>
      <c r="L805">
        <f>IF(Performance!E805&lt;=1.5,0.01,IF(Performance!E805&lt;=2,0.02,IF(Performance!E805&lt;=3,0.03,"")))</f>
        <v>0.03</v>
      </c>
      <c r="M805">
        <f t="shared" si="38"/>
        <v>0.13</v>
      </c>
      <c r="N805">
        <f>Earnings!B805*(1+M805)</f>
        <v>1017520.4101999999</v>
      </c>
    </row>
    <row r="806" spans="1:14" x14ac:dyDescent="0.35">
      <c r="A806" t="s">
        <v>836</v>
      </c>
      <c r="B806" t="s">
        <v>14</v>
      </c>
      <c r="C806" t="s">
        <v>33</v>
      </c>
      <c r="D806" t="s">
        <v>21</v>
      </c>
      <c r="E806">
        <v>0</v>
      </c>
      <c r="F806" t="s">
        <v>17</v>
      </c>
      <c r="G806">
        <f>Earnings!G806</f>
        <v>562860.93999999994</v>
      </c>
      <c r="H806">
        <f>Deductions!B806+Deductions!C806+Deductions!D806+Tax!D806</f>
        <v>4602.3413333333338</v>
      </c>
      <c r="I806">
        <f t="shared" si="36"/>
        <v>664681.88416666666</v>
      </c>
      <c r="J806">
        <f>Overtime!D806</f>
        <v>106423.2855</v>
      </c>
      <c r="K806">
        <f t="shared" si="37"/>
        <v>0.08</v>
      </c>
      <c r="L806">
        <f>IF(Performance!E806&lt;=1.5,0.01,IF(Performance!E806&lt;=2,0.02,IF(Performance!E806&lt;=3,0.03,"")))</f>
        <v>0.01</v>
      </c>
      <c r="M806">
        <f t="shared" si="38"/>
        <v>0.09</v>
      </c>
      <c r="N806">
        <f>Earnings!B806*(1+M806)</f>
        <v>644452.12320000003</v>
      </c>
    </row>
    <row r="807" spans="1:14" x14ac:dyDescent="0.35">
      <c r="A807" t="s">
        <v>837</v>
      </c>
      <c r="B807" t="s">
        <v>14</v>
      </c>
      <c r="C807" t="s">
        <v>20</v>
      </c>
      <c r="D807" t="s">
        <v>21</v>
      </c>
      <c r="E807">
        <v>18.2</v>
      </c>
      <c r="F807" t="s">
        <v>27</v>
      </c>
      <c r="G807">
        <f>Earnings!G807</f>
        <v>1247953.8899999999</v>
      </c>
      <c r="H807">
        <f>Deductions!B807+Deductions!C807+Deductions!D807+Tax!D807</f>
        <v>19226.898249999998</v>
      </c>
      <c r="I807">
        <f t="shared" si="36"/>
        <v>1274607.6491249998</v>
      </c>
      <c r="J807">
        <f>Overtime!D807</f>
        <v>45880.657374999995</v>
      </c>
      <c r="K807">
        <f t="shared" si="37"/>
        <v>0.1</v>
      </c>
      <c r="L807">
        <f>IF(Performance!E807&lt;=1.5,0.01,IF(Performance!E807&lt;=2,0.02,IF(Performance!E807&lt;=3,0.03,"")))</f>
        <v>0.01</v>
      </c>
      <c r="M807">
        <f t="shared" si="38"/>
        <v>0.11</v>
      </c>
      <c r="N807">
        <f>Earnings!B807*(1+M807)</f>
        <v>1455072.2823000001</v>
      </c>
    </row>
    <row r="808" spans="1:14" x14ac:dyDescent="0.35">
      <c r="A808" t="s">
        <v>838</v>
      </c>
      <c r="B808" t="s">
        <v>14</v>
      </c>
      <c r="C808" t="s">
        <v>43</v>
      </c>
      <c r="D808" t="s">
        <v>21</v>
      </c>
      <c r="E808">
        <v>10.199999999999999</v>
      </c>
      <c r="F808" t="s">
        <v>37</v>
      </c>
      <c r="G808">
        <f>Earnings!G808</f>
        <v>1000602.75</v>
      </c>
      <c r="H808">
        <f>Deductions!B808+Deductions!C808+Deductions!D808+Tax!D808</f>
        <v>12791.332500000002</v>
      </c>
      <c r="I808">
        <f t="shared" si="36"/>
        <v>987811.41749999998</v>
      </c>
      <c r="J808">
        <f>Overtime!D808</f>
        <v>0</v>
      </c>
      <c r="K808">
        <f t="shared" si="37"/>
        <v>0.12</v>
      </c>
      <c r="L808">
        <f>IF(Performance!E808&lt;=1.5,0.01,IF(Performance!E808&lt;=2,0.02,IF(Performance!E808&lt;=3,0.03,"")))</f>
        <v>0.01</v>
      </c>
      <c r="M808">
        <f t="shared" si="38"/>
        <v>0.13</v>
      </c>
      <c r="N808">
        <f>Earnings!B808*(1+M808)</f>
        <v>1187690.2290000001</v>
      </c>
    </row>
    <row r="809" spans="1:14" x14ac:dyDescent="0.35">
      <c r="A809" t="s">
        <v>839</v>
      </c>
      <c r="B809" t="s">
        <v>26</v>
      </c>
      <c r="C809" t="s">
        <v>33</v>
      </c>
      <c r="D809" t="s">
        <v>16</v>
      </c>
      <c r="E809">
        <v>6</v>
      </c>
      <c r="F809" t="s">
        <v>24</v>
      </c>
      <c r="G809">
        <f>Earnings!G809</f>
        <v>653361.41</v>
      </c>
      <c r="H809">
        <f>Deductions!B809+Deductions!C809+Deductions!D809+Tax!D809</f>
        <v>6186.7333333333336</v>
      </c>
      <c r="I809">
        <f t="shared" si="36"/>
        <v>733648.98066666676</v>
      </c>
      <c r="J809">
        <f>Overtime!D809</f>
        <v>86474.303999999989</v>
      </c>
      <c r="K809">
        <f t="shared" si="37"/>
        <v>0.08</v>
      </c>
      <c r="L809">
        <f>IF(Performance!E809&lt;=1.5,0.01,IF(Performance!E809&lt;=2,0.02,IF(Performance!E809&lt;=3,0.03,"")))</f>
        <v>0.01</v>
      </c>
      <c r="M809">
        <f t="shared" si="38"/>
        <v>0.09</v>
      </c>
      <c r="N809">
        <f>Earnings!B809*(1+M809)</f>
        <v>748071.3600000001</v>
      </c>
    </row>
    <row r="810" spans="1:14" x14ac:dyDescent="0.35">
      <c r="A810" t="s">
        <v>840</v>
      </c>
      <c r="B810" t="s">
        <v>19</v>
      </c>
      <c r="C810" t="s">
        <v>15</v>
      </c>
      <c r="D810" t="s">
        <v>16</v>
      </c>
      <c r="E810">
        <v>7</v>
      </c>
      <c r="F810" t="s">
        <v>27</v>
      </c>
      <c r="G810">
        <f>Earnings!G810</f>
        <v>691029.19</v>
      </c>
      <c r="H810">
        <f>Deductions!B810+Deductions!C810+Deductions!D810+Tax!D810</f>
        <v>6806.1833333333334</v>
      </c>
      <c r="I810">
        <f t="shared" si="36"/>
        <v>738663.33166666655</v>
      </c>
      <c r="J810">
        <f>Overtime!D810</f>
        <v>54440.325000000004</v>
      </c>
      <c r="K810">
        <f t="shared" si="37"/>
        <v>0.06</v>
      </c>
      <c r="L810">
        <f>IF(Performance!E810&lt;=1.5,0.01,IF(Performance!E810&lt;=2,0.02,IF(Performance!E810&lt;=3,0.03,"")))</f>
        <v>0.03</v>
      </c>
      <c r="M810">
        <f t="shared" si="38"/>
        <v>0.09</v>
      </c>
      <c r="N810">
        <f>Earnings!B810*(1+M810)</f>
        <v>791199.39</v>
      </c>
    </row>
    <row r="811" spans="1:14" x14ac:dyDescent="0.35">
      <c r="A811" t="s">
        <v>841</v>
      </c>
      <c r="B811" t="s">
        <v>26</v>
      </c>
      <c r="C811" t="s">
        <v>43</v>
      </c>
      <c r="D811" t="s">
        <v>16</v>
      </c>
      <c r="E811">
        <v>5.0999999999999996</v>
      </c>
      <c r="F811" t="s">
        <v>44</v>
      </c>
      <c r="G811">
        <f>Earnings!G811</f>
        <v>1037394.4</v>
      </c>
      <c r="H811">
        <f>Deductions!B811+Deductions!C811+Deductions!D811+Tax!D811</f>
        <v>13757.5</v>
      </c>
      <c r="I811">
        <f t="shared" si="36"/>
        <v>1273723.05</v>
      </c>
      <c r="J811">
        <f>Overtime!D811</f>
        <v>250086.15</v>
      </c>
      <c r="K811">
        <f t="shared" si="37"/>
        <v>0.12</v>
      </c>
      <c r="L811">
        <f>IF(Performance!E811&lt;=1.5,0.01,IF(Performance!E811&lt;=2,0.02,IF(Performance!E811&lt;=3,0.03,"")))</f>
        <v>0.01</v>
      </c>
      <c r="M811">
        <f t="shared" si="38"/>
        <v>0.13</v>
      </c>
      <c r="N811">
        <f>Earnings!B811*(1+M811)</f>
        <v>1231361</v>
      </c>
    </row>
    <row r="812" spans="1:14" x14ac:dyDescent="0.35">
      <c r="A812" t="s">
        <v>842</v>
      </c>
      <c r="B812" t="s">
        <v>19</v>
      </c>
      <c r="C812" t="s">
        <v>33</v>
      </c>
      <c r="D812" t="s">
        <v>16</v>
      </c>
      <c r="E812">
        <v>7.2</v>
      </c>
      <c r="F812" t="s">
        <v>22</v>
      </c>
      <c r="G812">
        <f>Earnings!G812</f>
        <v>946444.13</v>
      </c>
      <c r="H812">
        <f>Deductions!B812+Deductions!C812+Deductions!D812+Tax!D812</f>
        <v>11317.733333333334</v>
      </c>
      <c r="I812">
        <f t="shared" si="36"/>
        <v>1042496.1086666668</v>
      </c>
      <c r="J812">
        <f>Overtime!D812</f>
        <v>107369.712</v>
      </c>
      <c r="K812">
        <f t="shared" si="37"/>
        <v>0.08</v>
      </c>
      <c r="L812">
        <f>IF(Performance!E812&lt;=1.5,0.01,IF(Performance!E812&lt;=2,0.02,IF(Performance!E812&lt;=3,0.03,"")))</f>
        <v>0.03</v>
      </c>
      <c r="M812">
        <f t="shared" si="38"/>
        <v>0.11</v>
      </c>
      <c r="N812">
        <f>Earnings!B812*(1+M812)</f>
        <v>1103522.04</v>
      </c>
    </row>
    <row r="813" spans="1:14" x14ac:dyDescent="0.35">
      <c r="A813" t="s">
        <v>843</v>
      </c>
      <c r="B813" t="s">
        <v>19</v>
      </c>
      <c r="C813" t="s">
        <v>15</v>
      </c>
      <c r="D813" t="s">
        <v>21</v>
      </c>
      <c r="E813">
        <v>14</v>
      </c>
      <c r="F813" t="s">
        <v>27</v>
      </c>
      <c r="G813">
        <f>Earnings!G813</f>
        <v>1148635.03</v>
      </c>
      <c r="H813">
        <f>Deductions!B813+Deductions!C813+Deductions!D813+Tax!D813</f>
        <v>16538.735000000001</v>
      </c>
      <c r="I813">
        <f t="shared" si="36"/>
        <v>1132096.2949999999</v>
      </c>
      <c r="J813">
        <f>Overtime!D813</f>
        <v>0</v>
      </c>
      <c r="K813">
        <f t="shared" si="37"/>
        <v>0.06</v>
      </c>
      <c r="L813">
        <f>IF(Performance!E813&lt;=1.5,0.01,IF(Performance!E813&lt;=2,0.02,IF(Performance!E813&lt;=3,0.03,"")))</f>
        <v>0.03</v>
      </c>
      <c r="M813">
        <f t="shared" si="38"/>
        <v>0.09</v>
      </c>
      <c r="N813">
        <f>Earnings!B813*(1+M813)</f>
        <v>1315138.8459999999</v>
      </c>
    </row>
    <row r="814" spans="1:14" x14ac:dyDescent="0.35">
      <c r="A814" t="s">
        <v>844</v>
      </c>
      <c r="B814" t="s">
        <v>14</v>
      </c>
      <c r="C814" t="s">
        <v>15</v>
      </c>
      <c r="D814" t="s">
        <v>16</v>
      </c>
      <c r="E814">
        <v>9</v>
      </c>
      <c r="F814" t="s">
        <v>24</v>
      </c>
      <c r="G814">
        <f>Earnings!G814</f>
        <v>622124.38</v>
      </c>
      <c r="H814">
        <f>Deductions!B814+Deductions!C814+Deductions!D814+Tax!D814</f>
        <v>5599.8666666666668</v>
      </c>
      <c r="I814">
        <f t="shared" si="36"/>
        <v>665536.41333333333</v>
      </c>
      <c r="J814">
        <f>Overtime!D814</f>
        <v>49011.9</v>
      </c>
      <c r="K814">
        <f t="shared" si="37"/>
        <v>0.06</v>
      </c>
      <c r="L814">
        <f>IF(Performance!E814&lt;=1.5,0.01,IF(Performance!E814&lt;=2,0.02,IF(Performance!E814&lt;=3,0.03,"")))</f>
        <v>0.01</v>
      </c>
      <c r="M814">
        <f t="shared" si="38"/>
        <v>6.9999999999999993E-2</v>
      </c>
      <c r="N814">
        <f>Earnings!B814*(1+M814)</f>
        <v>699236.44000000006</v>
      </c>
    </row>
    <row r="815" spans="1:14" x14ac:dyDescent="0.35">
      <c r="A815" t="s">
        <v>845</v>
      </c>
      <c r="B815" t="s">
        <v>29</v>
      </c>
      <c r="C815" t="s">
        <v>43</v>
      </c>
      <c r="D815" t="s">
        <v>21</v>
      </c>
      <c r="E815">
        <v>23.8</v>
      </c>
      <c r="F815" t="s">
        <v>22</v>
      </c>
      <c r="G815">
        <f>Earnings!G815</f>
        <v>1815301.1</v>
      </c>
      <c r="H815">
        <f>Deductions!B815+Deductions!C815+Deductions!D815+Tax!D815</f>
        <v>34185.722249999992</v>
      </c>
      <c r="I815">
        <f t="shared" si="36"/>
        <v>1781115.37775</v>
      </c>
      <c r="J815">
        <f>Overtime!D815</f>
        <v>0</v>
      </c>
      <c r="K815">
        <f t="shared" si="37"/>
        <v>0.12</v>
      </c>
      <c r="L815">
        <f>IF(Performance!E815&lt;=1.5,0.01,IF(Performance!E815&lt;=2,0.02,IF(Performance!E815&lt;=3,0.03,"")))</f>
        <v>0.02</v>
      </c>
      <c r="M815">
        <f t="shared" si="38"/>
        <v>0.13999999999999999</v>
      </c>
      <c r="N815">
        <f>Earnings!B815*(1+M815)</f>
        <v>2173784.9345999998</v>
      </c>
    </row>
    <row r="816" spans="1:14" x14ac:dyDescent="0.35">
      <c r="A816" t="s">
        <v>846</v>
      </c>
      <c r="B816" t="s">
        <v>14</v>
      </c>
      <c r="C816" t="s">
        <v>20</v>
      </c>
      <c r="D816" t="s">
        <v>21</v>
      </c>
      <c r="E816">
        <v>5.6</v>
      </c>
      <c r="F816" t="s">
        <v>37</v>
      </c>
      <c r="G816">
        <f>Earnings!G816</f>
        <v>632614.05000000005</v>
      </c>
      <c r="H816">
        <f>Deductions!B816+Deductions!C816+Deductions!D816+Tax!D816</f>
        <v>5863.5093333333352</v>
      </c>
      <c r="I816">
        <f t="shared" si="36"/>
        <v>701175.72226666671</v>
      </c>
      <c r="J816">
        <f>Overtime!D816</f>
        <v>74425.181599999996</v>
      </c>
      <c r="K816">
        <f t="shared" si="37"/>
        <v>0.1</v>
      </c>
      <c r="L816">
        <f>IF(Performance!E816&lt;=1.5,0.01,IF(Performance!E816&lt;=2,0.02,IF(Performance!E816&lt;=3,0.03,"")))</f>
        <v>0.01</v>
      </c>
      <c r="M816">
        <f t="shared" si="38"/>
        <v>0.11</v>
      </c>
      <c r="N816">
        <f>Earnings!B816*(1+M816)</f>
        <v>737606.72160000016</v>
      </c>
    </row>
    <row r="817" spans="1:14" x14ac:dyDescent="0.35">
      <c r="A817" t="s">
        <v>847</v>
      </c>
      <c r="B817" t="s">
        <v>26</v>
      </c>
      <c r="C817" t="s">
        <v>33</v>
      </c>
      <c r="D817" t="s">
        <v>21</v>
      </c>
      <c r="E817">
        <v>16.8</v>
      </c>
      <c r="F817" t="s">
        <v>44</v>
      </c>
      <c r="G817">
        <f>Earnings!G817</f>
        <v>869396.1</v>
      </c>
      <c r="H817">
        <f>Deductions!B817+Deductions!C817+Deductions!D817+Tax!D817</f>
        <v>9968.8533333333326</v>
      </c>
      <c r="I817">
        <f t="shared" si="36"/>
        <v>952576.82906666654</v>
      </c>
      <c r="J817">
        <f>Overtime!D817</f>
        <v>93149.582399999999</v>
      </c>
      <c r="K817">
        <f t="shared" si="37"/>
        <v>0.08</v>
      </c>
      <c r="L817">
        <f>IF(Performance!E817&lt;=1.5,0.01,IF(Performance!E817&lt;=2,0.02,IF(Performance!E817&lt;=3,0.03,"")))</f>
        <v>0.01</v>
      </c>
      <c r="M817">
        <f t="shared" si="38"/>
        <v>0.09</v>
      </c>
      <c r="N817">
        <f>Earnings!B817*(1+M817)</f>
        <v>995422.00800000003</v>
      </c>
    </row>
    <row r="818" spans="1:14" x14ac:dyDescent="0.35">
      <c r="A818" t="s">
        <v>848</v>
      </c>
      <c r="B818" t="s">
        <v>29</v>
      </c>
      <c r="C818" t="s">
        <v>43</v>
      </c>
      <c r="D818" t="s">
        <v>16</v>
      </c>
      <c r="E818">
        <v>23.8</v>
      </c>
      <c r="F818" t="s">
        <v>27</v>
      </c>
      <c r="G818">
        <f>Earnings!G818</f>
        <v>2357573.4500000002</v>
      </c>
      <c r="H818">
        <f>Deductions!B818+Deductions!C818+Deductions!D818+Tax!D818</f>
        <v>48426.067500000005</v>
      </c>
      <c r="I818">
        <f t="shared" si="36"/>
        <v>2751192.4044500003</v>
      </c>
      <c r="J818">
        <f>Overtime!D818</f>
        <v>442045.02195000002</v>
      </c>
      <c r="K818">
        <f t="shared" si="37"/>
        <v>0.12</v>
      </c>
      <c r="L818">
        <f>IF(Performance!E818&lt;=1.5,0.01,IF(Performance!E818&lt;=2,0.02,IF(Performance!E818&lt;=3,0.03,"")))</f>
        <v>0.02</v>
      </c>
      <c r="M818">
        <f t="shared" si="38"/>
        <v>0.13999999999999999</v>
      </c>
      <c r="N818">
        <f>Earnings!B818*(1+M818)</f>
        <v>2823144.6779999998</v>
      </c>
    </row>
    <row r="819" spans="1:14" x14ac:dyDescent="0.35">
      <c r="A819" t="s">
        <v>849</v>
      </c>
      <c r="B819" t="s">
        <v>19</v>
      </c>
      <c r="C819" t="s">
        <v>43</v>
      </c>
      <c r="D819" t="s">
        <v>16</v>
      </c>
      <c r="E819">
        <v>8.5</v>
      </c>
      <c r="F819" t="s">
        <v>17</v>
      </c>
      <c r="G819">
        <f>Earnings!G819</f>
        <v>1171218.28</v>
      </c>
      <c r="H819">
        <f>Deductions!B819+Deductions!C819+Deductions!D819+Tax!D819</f>
        <v>17271.782500000001</v>
      </c>
      <c r="I819">
        <f t="shared" si="36"/>
        <v>1153946.4975000001</v>
      </c>
      <c r="J819">
        <f>Overtime!D819</f>
        <v>0</v>
      </c>
      <c r="K819">
        <f t="shared" si="37"/>
        <v>0.12</v>
      </c>
      <c r="L819">
        <f>IF(Performance!E819&lt;=1.5,0.01,IF(Performance!E819&lt;=2,0.02,IF(Performance!E819&lt;=3,0.03,"")))</f>
        <v>0.03</v>
      </c>
      <c r="M819">
        <f t="shared" si="38"/>
        <v>0.15</v>
      </c>
      <c r="N819">
        <f>Earnings!B819*(1+M819)</f>
        <v>1414811.9949999999</v>
      </c>
    </row>
    <row r="820" spans="1:14" x14ac:dyDescent="0.35">
      <c r="A820" t="s">
        <v>850</v>
      </c>
      <c r="B820" t="s">
        <v>19</v>
      </c>
      <c r="C820" t="s">
        <v>33</v>
      </c>
      <c r="D820" t="s">
        <v>16</v>
      </c>
      <c r="E820">
        <v>16.8</v>
      </c>
      <c r="F820" t="s">
        <v>31</v>
      </c>
      <c r="G820">
        <f>Earnings!G820</f>
        <v>1168527.83</v>
      </c>
      <c r="H820">
        <f>Deductions!B820+Deductions!C820+Deductions!D820+Tax!D820</f>
        <v>17101.129999999997</v>
      </c>
      <c r="I820">
        <f t="shared" si="36"/>
        <v>1357637.4936000002</v>
      </c>
      <c r="J820">
        <f>Overtime!D820</f>
        <v>206210.79360000003</v>
      </c>
      <c r="K820">
        <f t="shared" si="37"/>
        <v>0.08</v>
      </c>
      <c r="L820">
        <f>IF(Performance!E820&lt;=1.5,0.01,IF(Performance!E820&lt;=2,0.02,IF(Performance!E820&lt;=3,0.03,"")))</f>
        <v>0.03</v>
      </c>
      <c r="M820">
        <f t="shared" si="38"/>
        <v>0.11</v>
      </c>
      <c r="N820">
        <f>Earnings!B820*(1+M820)</f>
        <v>1362464.172</v>
      </c>
    </row>
    <row r="821" spans="1:14" x14ac:dyDescent="0.35">
      <c r="A821" t="s">
        <v>851</v>
      </c>
      <c r="B821" t="s">
        <v>29</v>
      </c>
      <c r="C821" t="s">
        <v>33</v>
      </c>
      <c r="D821" t="s">
        <v>21</v>
      </c>
      <c r="E821">
        <v>2.4</v>
      </c>
      <c r="F821" t="s">
        <v>70</v>
      </c>
      <c r="G821">
        <f>Earnings!G821</f>
        <v>964498.1</v>
      </c>
      <c r="H821">
        <f>Deductions!B821+Deductions!C821+Deductions!D821+Tax!D821</f>
        <v>11743.2065</v>
      </c>
      <c r="I821">
        <f t="shared" si="36"/>
        <v>952754.89350000001</v>
      </c>
      <c r="J821">
        <f>Overtime!D821</f>
        <v>0</v>
      </c>
      <c r="K821">
        <f t="shared" si="37"/>
        <v>0.08</v>
      </c>
      <c r="L821">
        <f>IF(Performance!E821&lt;=1.5,0.01,IF(Performance!E821&lt;=2,0.02,IF(Performance!E821&lt;=3,0.03,"")))</f>
        <v>0.02</v>
      </c>
      <c r="M821">
        <f t="shared" si="38"/>
        <v>0.1</v>
      </c>
      <c r="N821">
        <f>Earnings!B821*(1+M821)</f>
        <v>1114441.0860000001</v>
      </c>
    </row>
    <row r="822" spans="1:14" x14ac:dyDescent="0.35">
      <c r="A822" t="s">
        <v>852</v>
      </c>
      <c r="B822" t="s">
        <v>35</v>
      </c>
      <c r="C822" t="s">
        <v>15</v>
      </c>
      <c r="D822" t="s">
        <v>16</v>
      </c>
      <c r="E822">
        <v>9</v>
      </c>
      <c r="F822" t="s">
        <v>70</v>
      </c>
      <c r="G822">
        <f>Earnings!G822</f>
        <v>876427.38</v>
      </c>
      <c r="H822">
        <f>Deductions!B822+Deductions!C822+Deductions!D822+Tax!D822</f>
        <v>10051.950000000001</v>
      </c>
      <c r="I822">
        <f t="shared" si="36"/>
        <v>866375.43</v>
      </c>
      <c r="J822">
        <f>Overtime!D822</f>
        <v>0</v>
      </c>
      <c r="K822">
        <f t="shared" si="37"/>
        <v>0.06</v>
      </c>
      <c r="L822">
        <f>IF(Performance!E822&lt;=1.5,0.01,IF(Performance!E822&lt;=2,0.02,IF(Performance!E822&lt;=3,0.03,"")))</f>
        <v>0.01</v>
      </c>
      <c r="M822">
        <f t="shared" si="38"/>
        <v>6.9999999999999993E-2</v>
      </c>
      <c r="N822">
        <f>Earnings!B822*(1+M822)</f>
        <v>985060.19000000006</v>
      </c>
    </row>
    <row r="823" spans="1:14" x14ac:dyDescent="0.35">
      <c r="A823" t="s">
        <v>853</v>
      </c>
      <c r="B823" t="s">
        <v>19</v>
      </c>
      <c r="C823" t="s">
        <v>43</v>
      </c>
      <c r="D823" t="s">
        <v>16</v>
      </c>
      <c r="E823">
        <v>20.399999999999999</v>
      </c>
      <c r="F823" t="s">
        <v>37</v>
      </c>
      <c r="G823">
        <f>Earnings!G823</f>
        <v>1544256.24</v>
      </c>
      <c r="H823">
        <f>Deductions!B823+Deductions!C823+Deductions!D823+Tax!D823</f>
        <v>27067.947499999998</v>
      </c>
      <c r="I823">
        <f t="shared" si="36"/>
        <v>1517188.2925</v>
      </c>
      <c r="J823">
        <f>Overtime!D823</f>
        <v>0</v>
      </c>
      <c r="K823">
        <f t="shared" si="37"/>
        <v>0.12</v>
      </c>
      <c r="L823">
        <f>IF(Performance!E823&lt;=1.5,0.01,IF(Performance!E823&lt;=2,0.02,IF(Performance!E823&lt;=3,0.03,"")))</f>
        <v>0.03</v>
      </c>
      <c r="M823">
        <f t="shared" si="38"/>
        <v>0.15</v>
      </c>
      <c r="N823">
        <f>Earnings!B823*(1+M823)</f>
        <v>1865435.5849999997</v>
      </c>
    </row>
    <row r="824" spans="1:14" x14ac:dyDescent="0.35">
      <c r="A824" t="s">
        <v>854</v>
      </c>
      <c r="B824" t="s">
        <v>26</v>
      </c>
      <c r="C824" t="s">
        <v>43</v>
      </c>
      <c r="D824" t="s">
        <v>21</v>
      </c>
      <c r="E824">
        <v>13.6</v>
      </c>
      <c r="F824" t="s">
        <v>24</v>
      </c>
      <c r="G824">
        <f>Earnings!G824</f>
        <v>1226147.99</v>
      </c>
      <c r="H824">
        <f>Deductions!B824+Deductions!C824+Deductions!D824+Tax!D824</f>
        <v>18714.264250000004</v>
      </c>
      <c r="I824">
        <f t="shared" si="36"/>
        <v>1273120.225075</v>
      </c>
      <c r="J824">
        <f>Overtime!D824</f>
        <v>65686.499324999997</v>
      </c>
      <c r="K824">
        <f t="shared" si="37"/>
        <v>0.12</v>
      </c>
      <c r="L824">
        <f>IF(Performance!E824&lt;=1.5,0.01,IF(Performance!E824&lt;=2,0.02,IF(Performance!E824&lt;=3,0.03,"")))</f>
        <v>0.01</v>
      </c>
      <c r="M824">
        <f t="shared" si="38"/>
        <v>0.13</v>
      </c>
      <c r="N824">
        <f>Earnings!B824*(1+M824)</f>
        <v>1455406.7441</v>
      </c>
    </row>
    <row r="825" spans="1:14" x14ac:dyDescent="0.35">
      <c r="A825" t="s">
        <v>855</v>
      </c>
      <c r="B825" t="s">
        <v>29</v>
      </c>
      <c r="C825" t="s">
        <v>15</v>
      </c>
      <c r="D825" t="s">
        <v>21</v>
      </c>
      <c r="E825">
        <v>1</v>
      </c>
      <c r="F825" t="s">
        <v>37</v>
      </c>
      <c r="G825">
        <f>Earnings!G825</f>
        <v>782049.15</v>
      </c>
      <c r="H825">
        <f>Deductions!B825+Deductions!C825+Deductions!D825+Tax!D825</f>
        <v>8399.6699999999983</v>
      </c>
      <c r="I825">
        <f t="shared" si="36"/>
        <v>773649.48</v>
      </c>
      <c r="J825">
        <f>Overtime!D825</f>
        <v>0</v>
      </c>
      <c r="K825">
        <f t="shared" si="37"/>
        <v>0.06</v>
      </c>
      <c r="L825">
        <f>IF(Performance!E825&lt;=1.5,0.01,IF(Performance!E825&lt;=2,0.02,IF(Performance!E825&lt;=3,0.03,"")))</f>
        <v>0.02</v>
      </c>
      <c r="M825">
        <f t="shared" si="38"/>
        <v>0.08</v>
      </c>
      <c r="N825">
        <f>Earnings!B825*(1+M825)</f>
        <v>887198.61600000004</v>
      </c>
    </row>
    <row r="826" spans="1:14" x14ac:dyDescent="0.35">
      <c r="A826" t="s">
        <v>856</v>
      </c>
      <c r="B826" t="s">
        <v>29</v>
      </c>
      <c r="C826" t="s">
        <v>20</v>
      </c>
      <c r="D826" t="s">
        <v>21</v>
      </c>
      <c r="E826">
        <v>16.8</v>
      </c>
      <c r="F826" t="s">
        <v>27</v>
      </c>
      <c r="G826">
        <f>Earnings!G826</f>
        <v>1910394.87</v>
      </c>
      <c r="H826">
        <f>Deductions!B826+Deductions!C826+Deductions!D826+Tax!D826</f>
        <v>36622.932500000003</v>
      </c>
      <c r="I826">
        <f t="shared" si="36"/>
        <v>2098524.2751000002</v>
      </c>
      <c r="J826">
        <f>Overtime!D826</f>
        <v>224752.33760000003</v>
      </c>
      <c r="K826">
        <f t="shared" si="37"/>
        <v>0.1</v>
      </c>
      <c r="L826">
        <f>IF(Performance!E826&lt;=1.5,0.01,IF(Performance!E826&lt;=2,0.02,IF(Performance!E826&lt;=3,0.03,"")))</f>
        <v>0.02</v>
      </c>
      <c r="M826">
        <f t="shared" si="38"/>
        <v>0.12000000000000001</v>
      </c>
      <c r="N826">
        <f>Earnings!B826*(1+M826)</f>
        <v>2247523.3760000002</v>
      </c>
    </row>
    <row r="827" spans="1:14" x14ac:dyDescent="0.35">
      <c r="A827" t="s">
        <v>857</v>
      </c>
      <c r="B827" t="s">
        <v>19</v>
      </c>
      <c r="C827" t="s">
        <v>20</v>
      </c>
      <c r="D827" t="s">
        <v>21</v>
      </c>
      <c r="E827">
        <v>7</v>
      </c>
      <c r="F827" t="s">
        <v>27</v>
      </c>
      <c r="G827">
        <f>Earnings!G827</f>
        <v>1216540.46</v>
      </c>
      <c r="H827">
        <f>Deductions!B827+Deductions!C827+Deductions!D827+Tax!D827</f>
        <v>18401.965749999996</v>
      </c>
      <c r="I827">
        <f t="shared" si="36"/>
        <v>1198138.49425</v>
      </c>
      <c r="J827">
        <f>Overtime!D827</f>
        <v>0</v>
      </c>
      <c r="K827">
        <f t="shared" si="37"/>
        <v>0.1</v>
      </c>
      <c r="L827">
        <f>IF(Performance!E827&lt;=1.5,0.01,IF(Performance!E827&lt;=2,0.02,IF(Performance!E827&lt;=3,0.03,"")))</f>
        <v>0.03</v>
      </c>
      <c r="M827">
        <f t="shared" si="38"/>
        <v>0.13</v>
      </c>
      <c r="N827">
        <f>Earnings!B827*(1+M827)</f>
        <v>1444002.8518999997</v>
      </c>
    </row>
    <row r="828" spans="1:14" x14ac:dyDescent="0.35">
      <c r="A828" t="s">
        <v>858</v>
      </c>
      <c r="B828" t="s">
        <v>19</v>
      </c>
      <c r="C828" t="s">
        <v>15</v>
      </c>
      <c r="D828" t="s">
        <v>16</v>
      </c>
      <c r="E828">
        <v>15</v>
      </c>
      <c r="F828" t="s">
        <v>27</v>
      </c>
      <c r="G828">
        <f>Earnings!G828</f>
        <v>1215675.44</v>
      </c>
      <c r="H828">
        <f>Deductions!B828+Deductions!C828+Deductions!D828+Tax!D828</f>
        <v>18299.25</v>
      </c>
      <c r="I828">
        <f t="shared" si="36"/>
        <v>1356997.44</v>
      </c>
      <c r="J828">
        <f>Overtime!D828</f>
        <v>159621.25</v>
      </c>
      <c r="K828">
        <f t="shared" si="37"/>
        <v>0.06</v>
      </c>
      <c r="L828">
        <f>IF(Performance!E828&lt;=1.5,0.01,IF(Performance!E828&lt;=2,0.02,IF(Performance!E828&lt;=3,0.03,"")))</f>
        <v>0.03</v>
      </c>
      <c r="M828">
        <f t="shared" si="38"/>
        <v>0.09</v>
      </c>
      <c r="N828">
        <f>Earnings!B828*(1+M828)</f>
        <v>1391897.3</v>
      </c>
    </row>
    <row r="829" spans="1:14" x14ac:dyDescent="0.35">
      <c r="A829" t="s">
        <v>859</v>
      </c>
      <c r="B829" t="s">
        <v>29</v>
      </c>
      <c r="C829" t="s">
        <v>33</v>
      </c>
      <c r="D829" t="s">
        <v>21</v>
      </c>
      <c r="E829">
        <v>6</v>
      </c>
      <c r="F829" t="s">
        <v>44</v>
      </c>
      <c r="G829">
        <f>Earnings!G829</f>
        <v>989833.97</v>
      </c>
      <c r="H829">
        <f>Deductions!B829+Deductions!C829+Deductions!D829+Tax!D829</f>
        <v>12408.539000000002</v>
      </c>
      <c r="I829">
        <f t="shared" si="36"/>
        <v>977425.43099999998</v>
      </c>
      <c r="J829">
        <f>Overtime!D829</f>
        <v>0</v>
      </c>
      <c r="K829">
        <f t="shared" si="37"/>
        <v>0.08</v>
      </c>
      <c r="L829">
        <f>IF(Performance!E829&lt;=1.5,0.01,IF(Performance!E829&lt;=2,0.02,IF(Performance!E829&lt;=3,0.03,"")))</f>
        <v>0.02</v>
      </c>
      <c r="M829">
        <f t="shared" si="38"/>
        <v>0.1</v>
      </c>
      <c r="N829">
        <f>Earnings!B829*(1+M829)</f>
        <v>1143715.7160000002</v>
      </c>
    </row>
    <row r="830" spans="1:14" x14ac:dyDescent="0.35">
      <c r="A830" t="s">
        <v>860</v>
      </c>
      <c r="B830" t="s">
        <v>19</v>
      </c>
      <c r="C830" t="s">
        <v>15</v>
      </c>
      <c r="D830" t="s">
        <v>21</v>
      </c>
      <c r="E830">
        <v>7</v>
      </c>
      <c r="F830" t="s">
        <v>31</v>
      </c>
      <c r="G830">
        <f>Earnings!G830</f>
        <v>903930.62</v>
      </c>
      <c r="H830">
        <f>Deductions!B830+Deductions!C830+Deductions!D830+Tax!D830</f>
        <v>10533.449166666667</v>
      </c>
      <c r="I830">
        <f t="shared" si="36"/>
        <v>893397.17083333328</v>
      </c>
      <c r="J830">
        <f>Overtime!D830</f>
        <v>0</v>
      </c>
      <c r="K830">
        <f t="shared" si="37"/>
        <v>0.06</v>
      </c>
      <c r="L830">
        <f>IF(Performance!E830&lt;=1.5,0.01,IF(Performance!E830&lt;=2,0.02,IF(Performance!E830&lt;=3,0.03,"")))</f>
        <v>0.03</v>
      </c>
      <c r="M830">
        <f t="shared" si="38"/>
        <v>0.09</v>
      </c>
      <c r="N830">
        <f>Earnings!B830*(1+M830)</f>
        <v>1034962.5755</v>
      </c>
    </row>
    <row r="831" spans="1:14" x14ac:dyDescent="0.35">
      <c r="A831" t="s">
        <v>861</v>
      </c>
      <c r="B831" t="s">
        <v>26</v>
      </c>
      <c r="C831" t="s">
        <v>15</v>
      </c>
      <c r="D831" t="s">
        <v>21</v>
      </c>
      <c r="E831">
        <v>4</v>
      </c>
      <c r="F831" t="s">
        <v>27</v>
      </c>
      <c r="G831">
        <f>Earnings!G831</f>
        <v>617765.79</v>
      </c>
      <c r="H831">
        <f>Deductions!B831+Deductions!C831+Deductions!D831+Tax!D831</f>
        <v>5523.5608333333348</v>
      </c>
      <c r="I831">
        <f t="shared" si="36"/>
        <v>677133.59416666673</v>
      </c>
      <c r="J831">
        <f>Overtime!D831</f>
        <v>64891.364999999998</v>
      </c>
      <c r="K831">
        <f t="shared" si="37"/>
        <v>0.06</v>
      </c>
      <c r="L831">
        <f>IF(Performance!E831&lt;=1.5,0.01,IF(Performance!E831&lt;=2,0.02,IF(Performance!E831&lt;=3,0.03,"")))</f>
        <v>0.01</v>
      </c>
      <c r="M831">
        <f t="shared" si="38"/>
        <v>6.9999999999999993E-2</v>
      </c>
      <c r="N831">
        <f>Earnings!B831*(1+M831)</f>
        <v>694337.60550000006</v>
      </c>
    </row>
    <row r="832" spans="1:14" x14ac:dyDescent="0.35">
      <c r="A832" t="s">
        <v>862</v>
      </c>
      <c r="B832" t="s">
        <v>35</v>
      </c>
      <c r="C832" t="s">
        <v>33</v>
      </c>
      <c r="D832" t="s">
        <v>21</v>
      </c>
      <c r="E832">
        <v>2.4</v>
      </c>
      <c r="F832" t="s">
        <v>24</v>
      </c>
      <c r="G832">
        <f>Earnings!G832</f>
        <v>888650.05</v>
      </c>
      <c r="H832">
        <f>Deductions!B832+Deductions!C832+Deductions!D832+Tax!D832</f>
        <v>10305.932333333332</v>
      </c>
      <c r="I832">
        <f t="shared" si="36"/>
        <v>911948.53186666674</v>
      </c>
      <c r="J832">
        <f>Overtime!D832</f>
        <v>33604.414199999999</v>
      </c>
      <c r="K832">
        <f t="shared" si="37"/>
        <v>0.08</v>
      </c>
      <c r="L832">
        <f>IF(Performance!E832&lt;=1.5,0.01,IF(Performance!E832&lt;=2,0.02,IF(Performance!E832&lt;=3,0.03,"")))</f>
        <v>0.01</v>
      </c>
      <c r="M832">
        <f t="shared" si="38"/>
        <v>0.09</v>
      </c>
      <c r="N832">
        <f>Earnings!B832*(1+M832)</f>
        <v>1017466.9746</v>
      </c>
    </row>
    <row r="833" spans="1:14" x14ac:dyDescent="0.35">
      <c r="A833" t="s">
        <v>863</v>
      </c>
      <c r="B833" t="s">
        <v>35</v>
      </c>
      <c r="C833" t="s">
        <v>33</v>
      </c>
      <c r="D833" t="s">
        <v>21</v>
      </c>
      <c r="E833">
        <v>7.2</v>
      </c>
      <c r="F833" t="s">
        <v>44</v>
      </c>
      <c r="G833">
        <f>Earnings!G833</f>
        <v>822672.63</v>
      </c>
      <c r="H833">
        <f>Deductions!B833+Deductions!C833+Deductions!D833+Tax!D833</f>
        <v>9150.865333333335</v>
      </c>
      <c r="I833">
        <f t="shared" si="36"/>
        <v>813521.76466666663</v>
      </c>
      <c r="J833">
        <f>Overtime!D833</f>
        <v>0</v>
      </c>
      <c r="K833">
        <f t="shared" si="37"/>
        <v>0.08</v>
      </c>
      <c r="L833">
        <f>IF(Performance!E833&lt;=1.5,0.01,IF(Performance!E833&lt;=2,0.02,IF(Performance!E833&lt;=3,0.03,"")))</f>
        <v>0.01</v>
      </c>
      <c r="M833">
        <f t="shared" si="38"/>
        <v>0.09</v>
      </c>
      <c r="N833">
        <f>Earnings!B833*(1+M833)</f>
        <v>941925.5928000001</v>
      </c>
    </row>
    <row r="834" spans="1:14" x14ac:dyDescent="0.35">
      <c r="A834" t="s">
        <v>864</v>
      </c>
      <c r="B834" t="s">
        <v>35</v>
      </c>
      <c r="C834" t="s">
        <v>33</v>
      </c>
      <c r="D834" t="s">
        <v>16</v>
      </c>
      <c r="E834">
        <v>18</v>
      </c>
      <c r="F834" t="s">
        <v>70</v>
      </c>
      <c r="G834">
        <f>Earnings!G834</f>
        <v>1288068.57</v>
      </c>
      <c r="H834">
        <f>Deductions!B834+Deductions!C834+Deductions!D834+Tax!D834</f>
        <v>20240.329999999998</v>
      </c>
      <c r="I834">
        <f t="shared" ref="I834:I897" si="39">G834-H834+J834</f>
        <v>1316536.7152</v>
      </c>
      <c r="J834">
        <f>Overtime!D834</f>
        <v>48708.475200000008</v>
      </c>
      <c r="K834">
        <f t="shared" ref="K834:K901" si="40">IF(C834="Junior",0.06,IF(C834="Mid",0.08,IF(C834="Senior",0.1,IF(C834="Manager",0.12,0))))</f>
        <v>0.08</v>
      </c>
      <c r="L834">
        <f>IF(Performance!E834&lt;=1.5,0.01,IF(Performance!E834&lt;=2,0.02,IF(Performance!E834&lt;=3,0.03,"")))</f>
        <v>0.01</v>
      </c>
      <c r="M834">
        <f t="shared" ref="M834:M897" si="41">K834+L834</f>
        <v>0.09</v>
      </c>
      <c r="N834">
        <f>Earnings!B834*(1+M834)</f>
        <v>1474784.388</v>
      </c>
    </row>
    <row r="835" spans="1:14" x14ac:dyDescent="0.35">
      <c r="A835" t="s">
        <v>865</v>
      </c>
      <c r="B835" t="s">
        <v>14</v>
      </c>
      <c r="C835" t="s">
        <v>33</v>
      </c>
      <c r="D835" t="s">
        <v>21</v>
      </c>
      <c r="E835">
        <v>15.6</v>
      </c>
      <c r="F835" t="s">
        <v>31</v>
      </c>
      <c r="G835">
        <f>Earnings!G835</f>
        <v>821896.65</v>
      </c>
      <c r="H835">
        <f>Deductions!B835+Deductions!C835+Deductions!D835+Tax!D835</f>
        <v>9137.2803333333322</v>
      </c>
      <c r="I835">
        <f t="shared" si="39"/>
        <v>812759.36966666672</v>
      </c>
      <c r="J835">
        <f>Overtime!D835</f>
        <v>0</v>
      </c>
      <c r="K835">
        <f t="shared" si="40"/>
        <v>0.08</v>
      </c>
      <c r="L835">
        <f>IF(Performance!E835&lt;=1.5,0.01,IF(Performance!E835&lt;=2,0.02,IF(Performance!E835&lt;=3,0.03,"")))</f>
        <v>0.01</v>
      </c>
      <c r="M835">
        <f t="shared" si="41"/>
        <v>0.09</v>
      </c>
      <c r="N835">
        <f>Earnings!B835*(1+M835)</f>
        <v>941037.13380000007</v>
      </c>
    </row>
    <row r="836" spans="1:14" x14ac:dyDescent="0.35">
      <c r="A836" t="s">
        <v>866</v>
      </c>
      <c r="B836" t="s">
        <v>35</v>
      </c>
      <c r="C836" t="s">
        <v>15</v>
      </c>
      <c r="D836" t="s">
        <v>16</v>
      </c>
      <c r="E836">
        <v>14</v>
      </c>
      <c r="F836" t="s">
        <v>44</v>
      </c>
      <c r="G836">
        <f>Earnings!G836</f>
        <v>1191498.45</v>
      </c>
      <c r="H836">
        <f>Deductions!B836+Deductions!C836+Deductions!D836+Tax!D836</f>
        <v>17664.349999999999</v>
      </c>
      <c r="I836">
        <f t="shared" si="39"/>
        <v>1173834.0999999999</v>
      </c>
      <c r="J836">
        <f>Overtime!D836</f>
        <v>0</v>
      </c>
      <c r="K836">
        <f t="shared" si="40"/>
        <v>0.06</v>
      </c>
      <c r="L836">
        <f>IF(Performance!E836&lt;=1.5,0.01,IF(Performance!E836&lt;=2,0.02,IF(Performance!E836&lt;=3,0.03,"")))</f>
        <v>0.01</v>
      </c>
      <c r="M836">
        <f t="shared" si="41"/>
        <v>6.9999999999999993E-2</v>
      </c>
      <c r="N836">
        <f>Earnings!B836*(1+M836)</f>
        <v>1339184.1800000002</v>
      </c>
    </row>
    <row r="837" spans="1:14" x14ac:dyDescent="0.35">
      <c r="A837" t="s">
        <v>867</v>
      </c>
      <c r="B837" t="s">
        <v>14</v>
      </c>
      <c r="C837" t="s">
        <v>15</v>
      </c>
      <c r="D837" t="s">
        <v>21</v>
      </c>
      <c r="E837">
        <v>10</v>
      </c>
      <c r="F837" t="s">
        <v>27</v>
      </c>
      <c r="G837">
        <f>Earnings!G837</f>
        <v>689875.42</v>
      </c>
      <c r="H837">
        <f>Deductions!B837+Deductions!C837+Deductions!D837+Tax!D837</f>
        <v>6785.984166666668</v>
      </c>
      <c r="I837">
        <f t="shared" si="39"/>
        <v>755555.34083333344</v>
      </c>
      <c r="J837">
        <f>Overtime!D837</f>
        <v>72465.904999999999</v>
      </c>
      <c r="K837">
        <f t="shared" si="40"/>
        <v>0.06</v>
      </c>
      <c r="L837">
        <f>IF(Performance!E837&lt;=1.5,0.01,IF(Performance!E837&lt;=2,0.02,IF(Performance!E837&lt;=3,0.03,"")))</f>
        <v>0.01</v>
      </c>
      <c r="M837">
        <f t="shared" si="41"/>
        <v>6.9999999999999993E-2</v>
      </c>
      <c r="N837">
        <f>Earnings!B837*(1+M837)</f>
        <v>775385.18350000004</v>
      </c>
    </row>
    <row r="838" spans="1:14" x14ac:dyDescent="0.35">
      <c r="A838" t="s">
        <v>868</v>
      </c>
      <c r="B838" t="s">
        <v>19</v>
      </c>
      <c r="C838" t="s">
        <v>43</v>
      </c>
      <c r="D838" t="s">
        <v>16</v>
      </c>
      <c r="E838">
        <v>11.9</v>
      </c>
      <c r="F838" t="s">
        <v>44</v>
      </c>
      <c r="G838">
        <f>Earnings!G838</f>
        <v>1035952.41</v>
      </c>
      <c r="H838">
        <f>Deductions!B838+Deductions!C838+Deductions!D838+Tax!D838</f>
        <v>13719.632500000002</v>
      </c>
      <c r="I838">
        <f t="shared" si="39"/>
        <v>1022232.7775000001</v>
      </c>
      <c r="J838">
        <f>Overtime!D838</f>
        <v>0</v>
      </c>
      <c r="K838">
        <f t="shared" si="40"/>
        <v>0.12</v>
      </c>
      <c r="L838">
        <f>IF(Performance!E838&lt;=1.5,0.01,IF(Performance!E838&lt;=2,0.02,IF(Performance!E838&lt;=3,0.03,"")))</f>
        <v>0.03</v>
      </c>
      <c r="M838">
        <f t="shared" si="41"/>
        <v>0.15</v>
      </c>
      <c r="N838">
        <f>Earnings!B838*(1+M838)</f>
        <v>1251413.095</v>
      </c>
    </row>
    <row r="839" spans="1:14" x14ac:dyDescent="0.35">
      <c r="A839" t="s">
        <v>869</v>
      </c>
      <c r="B839" t="s">
        <v>35</v>
      </c>
      <c r="C839" t="s">
        <v>15</v>
      </c>
      <c r="D839" t="s">
        <v>16</v>
      </c>
      <c r="E839">
        <v>2</v>
      </c>
      <c r="F839" t="s">
        <v>24</v>
      </c>
      <c r="G839">
        <f>Earnings!G839</f>
        <v>858184.21</v>
      </c>
      <c r="H839">
        <f>Deductions!B839+Deductions!C839+Deductions!D839+Tax!D839</f>
        <v>9732.5666666666657</v>
      </c>
      <c r="I839">
        <f t="shared" si="39"/>
        <v>889017.07333333325</v>
      </c>
      <c r="J839">
        <f>Overtime!D839</f>
        <v>40565.429999999993</v>
      </c>
      <c r="K839">
        <f t="shared" si="40"/>
        <v>0.06</v>
      </c>
      <c r="L839">
        <f>IF(Performance!E839&lt;=1.5,0.01,IF(Performance!E839&lt;=2,0.02,IF(Performance!E839&lt;=3,0.03,"")))</f>
        <v>0.01</v>
      </c>
      <c r="M839">
        <f t="shared" si="41"/>
        <v>6.9999999999999993E-2</v>
      </c>
      <c r="N839">
        <f>Earnings!B839*(1+M839)</f>
        <v>964555.78</v>
      </c>
    </row>
    <row r="840" spans="1:14" x14ac:dyDescent="0.35">
      <c r="A840" t="s">
        <v>870</v>
      </c>
      <c r="B840" t="s">
        <v>29</v>
      </c>
      <c r="C840" t="s">
        <v>20</v>
      </c>
      <c r="D840" t="s">
        <v>16</v>
      </c>
      <c r="E840">
        <v>8.4</v>
      </c>
      <c r="F840" t="s">
        <v>17</v>
      </c>
      <c r="G840">
        <f>Earnings!G840</f>
        <v>1446910.34</v>
      </c>
      <c r="H840">
        <f>Deductions!B840+Deductions!C840+Deductions!D840+Tax!D840</f>
        <v>24451.595000000001</v>
      </c>
      <c r="I840">
        <f t="shared" si="39"/>
        <v>1730991.0964000002</v>
      </c>
      <c r="J840">
        <f>Overtime!D840</f>
        <v>308532.35140000004</v>
      </c>
      <c r="K840">
        <f t="shared" si="40"/>
        <v>0.1</v>
      </c>
      <c r="L840">
        <f>IF(Performance!E840&lt;=1.5,0.01,IF(Performance!E840&lt;=2,0.02,IF(Performance!E840&lt;=3,0.03,"")))</f>
        <v>0.02</v>
      </c>
      <c r="M840">
        <f t="shared" si="41"/>
        <v>0.12000000000000001</v>
      </c>
      <c r="N840">
        <f>Earnings!B840*(1+M840)</f>
        <v>1702247.4560000002</v>
      </c>
    </row>
    <row r="841" spans="1:14" x14ac:dyDescent="0.35">
      <c r="A841" t="s">
        <v>871</v>
      </c>
      <c r="B841" t="s">
        <v>14</v>
      </c>
      <c r="C841" t="s">
        <v>15</v>
      </c>
      <c r="D841" t="s">
        <v>16</v>
      </c>
      <c r="E841">
        <v>7</v>
      </c>
      <c r="F841" t="s">
        <v>17</v>
      </c>
      <c r="G841">
        <f>Earnings!G841</f>
        <v>707977.65</v>
      </c>
      <c r="H841">
        <f>Deductions!B841+Deductions!C841+Deductions!D841+Tax!D841</f>
        <v>7102.9000000000005</v>
      </c>
      <c r="I841">
        <f t="shared" si="39"/>
        <v>726903.34</v>
      </c>
      <c r="J841">
        <f>Overtime!D841</f>
        <v>26028.59</v>
      </c>
      <c r="K841">
        <f t="shared" si="40"/>
        <v>0.06</v>
      </c>
      <c r="L841">
        <f>IF(Performance!E841&lt;=1.5,0.01,IF(Performance!E841&lt;=2,0.02,IF(Performance!E841&lt;=3,0.03,"")))</f>
        <v>0.01</v>
      </c>
      <c r="M841">
        <f t="shared" si="41"/>
        <v>6.9999999999999993E-2</v>
      </c>
      <c r="N841">
        <f>Earnings!B841*(1+M841)</f>
        <v>795731.18</v>
      </c>
    </row>
    <row r="842" spans="1:14" x14ac:dyDescent="0.35">
      <c r="A842" t="s">
        <v>872</v>
      </c>
      <c r="B842" t="s">
        <v>29</v>
      </c>
      <c r="C842" t="s">
        <v>15</v>
      </c>
      <c r="D842" t="s">
        <v>21</v>
      </c>
      <c r="E842">
        <v>12</v>
      </c>
      <c r="F842" t="s">
        <v>37</v>
      </c>
      <c r="G842">
        <f>Earnings!G842</f>
        <v>945102.52</v>
      </c>
      <c r="H842">
        <f>Deductions!B842+Deductions!C842+Deductions!D842+Tax!D842</f>
        <v>11254.245833333334</v>
      </c>
      <c r="I842">
        <f t="shared" si="39"/>
        <v>968594.69041666668</v>
      </c>
      <c r="J842">
        <f>Overtime!D842</f>
        <v>34746.416250000002</v>
      </c>
      <c r="K842">
        <f t="shared" si="40"/>
        <v>0.06</v>
      </c>
      <c r="L842">
        <f>IF(Performance!E842&lt;=1.5,0.01,IF(Performance!E842&lt;=2,0.02,IF(Performance!E842&lt;=3,0.03,"")))</f>
        <v>0.02</v>
      </c>
      <c r="M842">
        <f t="shared" si="41"/>
        <v>0.08</v>
      </c>
      <c r="N842">
        <f>Earnings!B842*(1+M842)</f>
        <v>1072175.1300000001</v>
      </c>
    </row>
    <row r="843" spans="1:14" x14ac:dyDescent="0.35">
      <c r="A843" t="s">
        <v>873</v>
      </c>
      <c r="B843" t="s">
        <v>35</v>
      </c>
      <c r="C843" t="s">
        <v>33</v>
      </c>
      <c r="D843" t="s">
        <v>16</v>
      </c>
      <c r="E843">
        <v>14.4</v>
      </c>
      <c r="F843" t="s">
        <v>27</v>
      </c>
      <c r="G843">
        <f>Earnings!G843</f>
        <v>1206267.01</v>
      </c>
      <c r="H843">
        <f>Deductions!B843+Deductions!C843+Deductions!D843+Tax!D843</f>
        <v>18092.18</v>
      </c>
      <c r="I843">
        <f t="shared" si="39"/>
        <v>1188174.83</v>
      </c>
      <c r="J843">
        <f>Overtime!D843</f>
        <v>0</v>
      </c>
      <c r="K843">
        <f t="shared" si="40"/>
        <v>0.08</v>
      </c>
      <c r="L843">
        <f>IF(Performance!E843&lt;=1.5,0.01,IF(Performance!E843&lt;=2,0.02,IF(Performance!E843&lt;=3,0.03,"")))</f>
        <v>0.01</v>
      </c>
      <c r="M843">
        <f t="shared" si="41"/>
        <v>0.09</v>
      </c>
      <c r="N843">
        <f>Earnings!B843*(1+M843)</f>
        <v>1381125.048</v>
      </c>
    </row>
    <row r="844" spans="1:14" x14ac:dyDescent="0.35">
      <c r="A844" t="s">
        <v>874</v>
      </c>
      <c r="B844" t="s">
        <v>19</v>
      </c>
      <c r="C844" t="s">
        <v>33</v>
      </c>
      <c r="D844" t="s">
        <v>16</v>
      </c>
      <c r="E844">
        <v>10.8</v>
      </c>
      <c r="F844" t="s">
        <v>17</v>
      </c>
      <c r="G844">
        <f>Earnings!G844</f>
        <v>770247.21</v>
      </c>
      <c r="H844">
        <f>Deductions!B844+Deductions!C844+Deductions!D844+Tax!D844</f>
        <v>8233.0533333333333</v>
      </c>
      <c r="I844">
        <f t="shared" si="39"/>
        <v>893085.63506666664</v>
      </c>
      <c r="J844">
        <f>Overtime!D844</f>
        <v>131071.47839999999</v>
      </c>
      <c r="K844">
        <f t="shared" si="40"/>
        <v>0.08</v>
      </c>
      <c r="L844">
        <f>IF(Performance!E844&lt;=1.5,0.01,IF(Performance!E844&lt;=2,0.02,IF(Performance!E844&lt;=3,0.03,"")))</f>
        <v>0.03</v>
      </c>
      <c r="M844">
        <f t="shared" si="41"/>
        <v>0.11</v>
      </c>
      <c r="N844">
        <f>Earnings!B844*(1+M844)</f>
        <v>898082.35200000007</v>
      </c>
    </row>
    <row r="845" spans="1:14" x14ac:dyDescent="0.35">
      <c r="A845" t="s">
        <v>875</v>
      </c>
      <c r="B845" t="s">
        <v>14</v>
      </c>
      <c r="C845" t="s">
        <v>20</v>
      </c>
      <c r="D845" t="s">
        <v>21</v>
      </c>
      <c r="E845">
        <v>9.8000000000000007</v>
      </c>
      <c r="F845" t="s">
        <v>44</v>
      </c>
      <c r="G845">
        <f>Earnings!G845</f>
        <v>668830.03</v>
      </c>
      <c r="H845">
        <f>Deductions!B845+Deductions!C845+Deductions!D845+Tax!D845</f>
        <v>6497.5425000000005</v>
      </c>
      <c r="I845">
        <f t="shared" si="39"/>
        <v>662332.48750000005</v>
      </c>
      <c r="J845">
        <f>Overtime!D845</f>
        <v>0</v>
      </c>
      <c r="K845">
        <f t="shared" si="40"/>
        <v>0.1</v>
      </c>
      <c r="L845">
        <f>IF(Performance!E845&lt;=1.5,0.01,IF(Performance!E845&lt;=2,0.02,IF(Performance!E845&lt;=3,0.03,"")))</f>
        <v>0.01</v>
      </c>
      <c r="M845">
        <f t="shared" si="41"/>
        <v>0.11</v>
      </c>
      <c r="N845">
        <f>Earnings!B845*(1+M845)</f>
        <v>779833.33050000016</v>
      </c>
    </row>
    <row r="846" spans="1:14" x14ac:dyDescent="0.35">
      <c r="A846" t="s">
        <v>876</v>
      </c>
      <c r="B846" t="s">
        <v>14</v>
      </c>
      <c r="C846" t="s">
        <v>43</v>
      </c>
      <c r="D846" t="s">
        <v>21</v>
      </c>
      <c r="E846">
        <v>15.3</v>
      </c>
      <c r="F846" t="s">
        <v>22</v>
      </c>
      <c r="G846">
        <f>Earnings!G846</f>
        <v>992929.18</v>
      </c>
      <c r="H846">
        <f>Deductions!B846+Deductions!C846+Deductions!D846+Tax!D846</f>
        <v>12589.820999999998</v>
      </c>
      <c r="I846">
        <f t="shared" si="39"/>
        <v>980339.35900000005</v>
      </c>
      <c r="J846">
        <f>Overtime!D846</f>
        <v>0</v>
      </c>
      <c r="K846">
        <f t="shared" si="40"/>
        <v>0.12</v>
      </c>
      <c r="L846">
        <f>IF(Performance!E846&lt;=1.5,0.01,IF(Performance!E846&lt;=2,0.02,IF(Performance!E846&lt;=3,0.03,"")))</f>
        <v>0.01</v>
      </c>
      <c r="M846">
        <f t="shared" si="41"/>
        <v>0.13</v>
      </c>
      <c r="N846">
        <f>Earnings!B846*(1+M846)</f>
        <v>1178581.9091999999</v>
      </c>
    </row>
    <row r="847" spans="1:14" x14ac:dyDescent="0.35">
      <c r="A847" t="s">
        <v>877</v>
      </c>
      <c r="B847" t="s">
        <v>19</v>
      </c>
      <c r="C847" t="s">
        <v>43</v>
      </c>
      <c r="D847" t="s">
        <v>16</v>
      </c>
      <c r="E847">
        <v>5.0999999999999996</v>
      </c>
      <c r="F847" t="s">
        <v>22</v>
      </c>
      <c r="G847">
        <f>Earnings!G847</f>
        <v>1503912.77</v>
      </c>
      <c r="H847">
        <f>Deductions!B847+Deductions!C847+Deductions!D847+Tax!D847</f>
        <v>26008.507499999996</v>
      </c>
      <c r="I847">
        <f t="shared" si="39"/>
        <v>1477904.2625</v>
      </c>
      <c r="J847">
        <f>Overtime!D847</f>
        <v>0</v>
      </c>
      <c r="K847">
        <f t="shared" si="40"/>
        <v>0.12</v>
      </c>
      <c r="L847">
        <f>IF(Performance!E847&lt;=1.5,0.01,IF(Performance!E847&lt;=2,0.02,IF(Performance!E847&lt;=3,0.03,"")))</f>
        <v>0.03</v>
      </c>
      <c r="M847">
        <f t="shared" si="41"/>
        <v>0.15</v>
      </c>
      <c r="N847">
        <f>Earnings!B847*(1+M847)</f>
        <v>1816701.345</v>
      </c>
    </row>
    <row r="848" spans="1:14" x14ac:dyDescent="0.35">
      <c r="A848" t="s">
        <v>878</v>
      </c>
      <c r="B848" t="s">
        <v>35</v>
      </c>
      <c r="C848" t="s">
        <v>43</v>
      </c>
      <c r="D848" t="s">
        <v>21</v>
      </c>
      <c r="E848">
        <v>5.0999999999999996</v>
      </c>
      <c r="F848" t="s">
        <v>22</v>
      </c>
      <c r="G848">
        <f>Earnings!G848</f>
        <v>1192298.83</v>
      </c>
      <c r="H848">
        <f>Deductions!B848+Deductions!C848+Deductions!D848+Tax!D848</f>
        <v>17825.36825</v>
      </c>
      <c r="I848">
        <f t="shared" si="39"/>
        <v>1280928.7133750001</v>
      </c>
      <c r="J848">
        <f>Overtime!D848</f>
        <v>106455.251625</v>
      </c>
      <c r="K848">
        <f t="shared" si="40"/>
        <v>0.12</v>
      </c>
      <c r="L848">
        <f>IF(Performance!E848&lt;=1.5,0.01,IF(Performance!E848&lt;=2,0.02,IF(Performance!E848&lt;=3,0.03,"")))</f>
        <v>0.01</v>
      </c>
      <c r="M848">
        <f t="shared" si="41"/>
        <v>0.13</v>
      </c>
      <c r="N848">
        <f>Earnings!B848*(1+M848)</f>
        <v>1415228.6449</v>
      </c>
    </row>
    <row r="849" spans="1:14" x14ac:dyDescent="0.35">
      <c r="A849" t="s">
        <v>879</v>
      </c>
      <c r="B849" t="s">
        <v>14</v>
      </c>
      <c r="C849" t="s">
        <v>43</v>
      </c>
      <c r="D849" t="s">
        <v>21</v>
      </c>
      <c r="E849">
        <v>11.9</v>
      </c>
      <c r="F849" t="s">
        <v>24</v>
      </c>
      <c r="G849">
        <f>Earnings!G849</f>
        <v>847406.7</v>
      </c>
      <c r="H849">
        <f>Deductions!B849+Deductions!C849+Deductions!D849+Tax!D849</f>
        <v>9683.8848333333335</v>
      </c>
      <c r="I849">
        <f t="shared" si="39"/>
        <v>1011743.8362166666</v>
      </c>
      <c r="J849">
        <f>Overtime!D849</f>
        <v>174021.02105000001</v>
      </c>
      <c r="K849">
        <f t="shared" si="40"/>
        <v>0.12</v>
      </c>
      <c r="L849">
        <f>IF(Performance!E849&lt;=1.5,0.01,IF(Performance!E849&lt;=2,0.02,IF(Performance!E849&lt;=3,0.03,"")))</f>
        <v>0.01</v>
      </c>
      <c r="M849">
        <f t="shared" si="41"/>
        <v>0.13</v>
      </c>
      <c r="N849">
        <f>Earnings!B849*(1+M849)</f>
        <v>1005850.3916999999</v>
      </c>
    </row>
    <row r="850" spans="1:14" x14ac:dyDescent="0.35">
      <c r="A850" t="s">
        <v>880</v>
      </c>
      <c r="B850" t="s">
        <v>14</v>
      </c>
      <c r="C850" t="s">
        <v>33</v>
      </c>
      <c r="D850" t="s">
        <v>21</v>
      </c>
      <c r="E850">
        <v>13.2</v>
      </c>
      <c r="F850" t="s">
        <v>70</v>
      </c>
      <c r="G850">
        <f>Earnings!G850</f>
        <v>997739.14</v>
      </c>
      <c r="H850">
        <f>Deductions!B850+Deductions!C850+Deductions!D850+Tax!D850</f>
        <v>12616.133</v>
      </c>
      <c r="I850">
        <f t="shared" si="39"/>
        <v>985123.00699999998</v>
      </c>
      <c r="J850">
        <f>Overtime!D850</f>
        <v>0</v>
      </c>
      <c r="K850">
        <f t="shared" si="40"/>
        <v>0.08</v>
      </c>
      <c r="L850">
        <f>IF(Performance!E850&lt;=1.5,0.01,IF(Performance!E850&lt;=2,0.02,IF(Performance!E850&lt;=3,0.03,"")))</f>
        <v>0.01</v>
      </c>
      <c r="M850">
        <f t="shared" si="41"/>
        <v>0.09</v>
      </c>
      <c r="N850">
        <f>Earnings!B850*(1+M850)</f>
        <v>1142369.3988000001</v>
      </c>
    </row>
    <row r="851" spans="1:14" x14ac:dyDescent="0.35">
      <c r="A851" t="s">
        <v>881</v>
      </c>
      <c r="B851" t="s">
        <v>29</v>
      </c>
      <c r="C851" t="s">
        <v>33</v>
      </c>
      <c r="D851" t="s">
        <v>21</v>
      </c>
      <c r="E851">
        <v>9.6</v>
      </c>
      <c r="F851" t="s">
        <v>37</v>
      </c>
      <c r="G851">
        <f>Earnings!G851</f>
        <v>1296859.68</v>
      </c>
      <c r="H851">
        <f>Deductions!B851+Deductions!C851+Deductions!D851+Tax!D851</f>
        <v>20471.189000000002</v>
      </c>
      <c r="I851">
        <f t="shared" si="39"/>
        <v>1276388.4909999999</v>
      </c>
      <c r="J851">
        <f>Overtime!D851</f>
        <v>0</v>
      </c>
      <c r="K851">
        <f t="shared" si="40"/>
        <v>0.08</v>
      </c>
      <c r="L851">
        <f>IF(Performance!E851&lt;=1.5,0.01,IF(Performance!E851&lt;=2,0.02,IF(Performance!E851&lt;=3,0.03,"")))</f>
        <v>0.02</v>
      </c>
      <c r="M851">
        <f t="shared" si="41"/>
        <v>0.1</v>
      </c>
      <c r="N851">
        <f>Earnings!B851*(1+M851)</f>
        <v>1498472.3160000001</v>
      </c>
    </row>
    <row r="852" spans="1:14" x14ac:dyDescent="0.35">
      <c r="A852" t="s">
        <v>882</v>
      </c>
      <c r="B852" t="s">
        <v>19</v>
      </c>
      <c r="C852" t="s">
        <v>15</v>
      </c>
      <c r="D852" t="s">
        <v>16</v>
      </c>
      <c r="E852">
        <v>0</v>
      </c>
      <c r="F852" t="s">
        <v>17</v>
      </c>
      <c r="G852">
        <f>Earnings!G852</f>
        <v>627678.35</v>
      </c>
      <c r="H852">
        <f>Deductions!B852+Deductions!C852+Deductions!D852+Tax!D852</f>
        <v>5697.1</v>
      </c>
      <c r="I852">
        <f t="shared" si="39"/>
        <v>701100.37</v>
      </c>
      <c r="J852">
        <f>Overtime!D852</f>
        <v>79119.12</v>
      </c>
      <c r="K852">
        <f t="shared" si="40"/>
        <v>0.06</v>
      </c>
      <c r="L852">
        <f>IF(Performance!E852&lt;=1.5,0.01,IF(Performance!E852&lt;=2,0.02,IF(Performance!E852&lt;=3,0.03,"")))</f>
        <v>0.03</v>
      </c>
      <c r="M852">
        <f t="shared" si="41"/>
        <v>0.09</v>
      </c>
      <c r="N852">
        <f>Earnings!B852*(1+M852)</f>
        <v>718665.34000000008</v>
      </c>
    </row>
    <row r="853" spans="1:14" x14ac:dyDescent="0.35">
      <c r="A853" t="s">
        <v>883</v>
      </c>
      <c r="B853" t="s">
        <v>35</v>
      </c>
      <c r="C853" t="s">
        <v>33</v>
      </c>
      <c r="D853" t="s">
        <v>21</v>
      </c>
      <c r="E853">
        <v>9.6</v>
      </c>
      <c r="F853" t="s">
        <v>44</v>
      </c>
      <c r="G853">
        <f>Earnings!G853</f>
        <v>1330018.24</v>
      </c>
      <c r="H853">
        <f>Deductions!B853+Deductions!C853+Deductions!D853+Tax!D853</f>
        <v>21341.949499999999</v>
      </c>
      <c r="I853">
        <f t="shared" si="39"/>
        <v>1308676.2904999999</v>
      </c>
      <c r="J853">
        <f>Overtime!D853</f>
        <v>0</v>
      </c>
      <c r="K853">
        <f t="shared" si="40"/>
        <v>0.08</v>
      </c>
      <c r="L853">
        <f>IF(Performance!E853&lt;=1.5,0.01,IF(Performance!E853&lt;=2,0.02,IF(Performance!E853&lt;=3,0.03,"")))</f>
        <v>0.01</v>
      </c>
      <c r="M853">
        <f t="shared" si="41"/>
        <v>0.09</v>
      </c>
      <c r="N853">
        <f>Earnings!B853*(1+M853)</f>
        <v>1522814.9982</v>
      </c>
    </row>
    <row r="854" spans="1:14" x14ac:dyDescent="0.35">
      <c r="A854" t="s">
        <v>884</v>
      </c>
      <c r="B854" t="s">
        <v>26</v>
      </c>
      <c r="C854" t="s">
        <v>20</v>
      </c>
      <c r="D854" t="s">
        <v>16</v>
      </c>
      <c r="E854">
        <v>19.600000000000001</v>
      </c>
      <c r="F854" t="s">
        <v>24</v>
      </c>
      <c r="G854">
        <f>Earnings!G854</f>
        <v>1223984.8799999999</v>
      </c>
      <c r="H854">
        <f>Deductions!B854+Deductions!C854+Deductions!D854+Tax!D854</f>
        <v>18597.459999999995</v>
      </c>
      <c r="I854">
        <f t="shared" si="39"/>
        <v>1403384.9735999999</v>
      </c>
      <c r="J854">
        <f>Overtime!D854</f>
        <v>197997.55360000001</v>
      </c>
      <c r="K854">
        <f t="shared" si="40"/>
        <v>0.1</v>
      </c>
      <c r="L854">
        <f>IF(Performance!E854&lt;=1.5,0.01,IF(Performance!E854&lt;=2,0.02,IF(Performance!E854&lt;=3,0.03,"")))</f>
        <v>0.01</v>
      </c>
      <c r="M854">
        <f t="shared" si="41"/>
        <v>0.11</v>
      </c>
      <c r="N854">
        <f>Earnings!B854*(1+M854)</f>
        <v>1427125.2239999999</v>
      </c>
    </row>
    <row r="855" spans="1:14" x14ac:dyDescent="0.35">
      <c r="A855" t="s">
        <v>885</v>
      </c>
      <c r="B855" t="s">
        <v>35</v>
      </c>
      <c r="C855" t="s">
        <v>33</v>
      </c>
      <c r="D855" t="s">
        <v>21</v>
      </c>
      <c r="E855">
        <v>16.8</v>
      </c>
      <c r="F855" t="s">
        <v>37</v>
      </c>
      <c r="G855">
        <f>Earnings!G855</f>
        <v>1316906.97</v>
      </c>
      <c r="H855">
        <f>Deductions!B855+Deductions!C855+Deductions!D855+Tax!D855</f>
        <v>20997.641</v>
      </c>
      <c r="I855">
        <f t="shared" si="39"/>
        <v>1295909.3289999999</v>
      </c>
      <c r="J855">
        <f>Overtime!D855</f>
        <v>0</v>
      </c>
      <c r="K855">
        <f t="shared" si="40"/>
        <v>0.08</v>
      </c>
      <c r="L855">
        <f>IF(Performance!E855&lt;=1.5,0.01,IF(Performance!E855&lt;=2,0.02,IF(Performance!E855&lt;=3,0.03,"")))</f>
        <v>0.01</v>
      </c>
      <c r="M855">
        <f t="shared" si="41"/>
        <v>0.09</v>
      </c>
      <c r="N855">
        <f>Earnings!B855*(1+M855)</f>
        <v>1507803.1476</v>
      </c>
    </row>
    <row r="856" spans="1:14" x14ac:dyDescent="0.35">
      <c r="A856" t="s">
        <v>886</v>
      </c>
      <c r="B856" t="s">
        <v>29</v>
      </c>
      <c r="C856" t="s">
        <v>20</v>
      </c>
      <c r="D856" t="s">
        <v>21</v>
      </c>
      <c r="E856">
        <v>21</v>
      </c>
      <c r="F856" t="s">
        <v>17</v>
      </c>
      <c r="G856">
        <f>Earnings!G856</f>
        <v>1386857.97</v>
      </c>
      <c r="H856">
        <f>Deductions!B856+Deductions!C856+Deductions!D856+Tax!D856</f>
        <v>22874.589500000002</v>
      </c>
      <c r="I856">
        <f t="shared" si="39"/>
        <v>1363983.3805</v>
      </c>
      <c r="J856">
        <f>Overtime!D856</f>
        <v>0</v>
      </c>
      <c r="K856">
        <f t="shared" si="40"/>
        <v>0.1</v>
      </c>
      <c r="L856">
        <f>IF(Performance!E856&lt;=1.5,0.01,IF(Performance!E856&lt;=2,0.02,IF(Performance!E856&lt;=3,0.03,"")))</f>
        <v>0.02</v>
      </c>
      <c r="M856">
        <f t="shared" si="41"/>
        <v>0.12000000000000001</v>
      </c>
      <c r="N856">
        <f>Earnings!B856*(1+M856)</f>
        <v>1631597.6096000003</v>
      </c>
    </row>
    <row r="857" spans="1:14" x14ac:dyDescent="0.35">
      <c r="A857" t="s">
        <v>887</v>
      </c>
      <c r="B857" t="s">
        <v>35</v>
      </c>
      <c r="C857" t="s">
        <v>43</v>
      </c>
      <c r="D857" t="s">
        <v>21</v>
      </c>
      <c r="E857">
        <v>22.1</v>
      </c>
      <c r="F857" t="s">
        <v>22</v>
      </c>
      <c r="G857">
        <f>Earnings!G857</f>
        <v>2074776.99</v>
      </c>
      <c r="H857">
        <f>Deductions!B857+Deductions!C857+Deductions!D857+Tax!D857</f>
        <v>40999.689749999998</v>
      </c>
      <c r="I857">
        <f t="shared" si="39"/>
        <v>2533946.7544499999</v>
      </c>
      <c r="J857">
        <f>Overtime!D857</f>
        <v>500169.45419999998</v>
      </c>
      <c r="K857">
        <f t="shared" si="40"/>
        <v>0.12</v>
      </c>
      <c r="L857">
        <f>IF(Performance!E857&lt;=1.5,0.01,IF(Performance!E857&lt;=2,0.02,IF(Performance!E857&lt;=3,0.03,"")))</f>
        <v>0.01</v>
      </c>
      <c r="M857">
        <f t="shared" si="41"/>
        <v>0.13</v>
      </c>
      <c r="N857">
        <f>Earnings!B857*(1+M857)</f>
        <v>2462707.9766999995</v>
      </c>
    </row>
    <row r="858" spans="1:14" x14ac:dyDescent="0.35">
      <c r="A858" t="s">
        <v>888</v>
      </c>
      <c r="B858" t="s">
        <v>35</v>
      </c>
      <c r="C858" t="s">
        <v>33</v>
      </c>
      <c r="D858" t="s">
        <v>16</v>
      </c>
      <c r="E858">
        <v>1.2</v>
      </c>
      <c r="F858" t="s">
        <v>24</v>
      </c>
      <c r="G858">
        <f>Earnings!G858</f>
        <v>873475.61</v>
      </c>
      <c r="H858">
        <f>Deductions!B858+Deductions!C858+Deductions!D858+Tax!D858</f>
        <v>10040.273333333334</v>
      </c>
      <c r="I858">
        <f t="shared" si="39"/>
        <v>979042.40306666668</v>
      </c>
      <c r="J858">
        <f>Overtime!D858</f>
        <v>115607.06640000001</v>
      </c>
      <c r="K858">
        <f t="shared" si="40"/>
        <v>0.08</v>
      </c>
      <c r="L858">
        <f>IF(Performance!E858&lt;=1.5,0.01,IF(Performance!E858&lt;=2,0.02,IF(Performance!E858&lt;=3,0.03,"")))</f>
        <v>0.01</v>
      </c>
      <c r="M858">
        <f t="shared" si="41"/>
        <v>0.09</v>
      </c>
      <c r="N858">
        <f>Earnings!B858*(1+M858)</f>
        <v>1000092.876</v>
      </c>
    </row>
    <row r="859" spans="1:14" x14ac:dyDescent="0.35">
      <c r="A859" t="s">
        <v>889</v>
      </c>
      <c r="B859" t="s">
        <v>26</v>
      </c>
      <c r="C859" t="s">
        <v>20</v>
      </c>
      <c r="D859" t="s">
        <v>16</v>
      </c>
      <c r="E859">
        <v>2.8</v>
      </c>
      <c r="F859" t="s">
        <v>37</v>
      </c>
      <c r="G859">
        <f>Earnings!G859</f>
        <v>983289.19</v>
      </c>
      <c r="H859">
        <f>Deductions!B859+Deductions!C859+Deductions!D859+Tax!D859</f>
        <v>12276.67</v>
      </c>
      <c r="I859">
        <f t="shared" si="39"/>
        <v>971012.5199999999</v>
      </c>
      <c r="J859">
        <f>Overtime!D859</f>
        <v>0</v>
      </c>
      <c r="K859">
        <f t="shared" si="40"/>
        <v>0.1</v>
      </c>
      <c r="L859">
        <f>IF(Performance!E859&lt;=1.5,0.01,IF(Performance!E859&lt;=2,0.02,IF(Performance!E859&lt;=3,0.03,"")))</f>
        <v>0.01</v>
      </c>
      <c r="M859">
        <f t="shared" si="41"/>
        <v>0.11</v>
      </c>
      <c r="N859">
        <f>Earnings!B859*(1+M859)</f>
        <v>1146482.148</v>
      </c>
    </row>
    <row r="860" spans="1:14" x14ac:dyDescent="0.35">
      <c r="A860" t="s">
        <v>890</v>
      </c>
      <c r="B860" t="s">
        <v>14</v>
      </c>
      <c r="C860" t="s">
        <v>43</v>
      </c>
      <c r="D860" t="s">
        <v>21</v>
      </c>
      <c r="E860">
        <v>5.0999999999999996</v>
      </c>
      <c r="F860" t="s">
        <v>24</v>
      </c>
      <c r="G860">
        <f>Earnings!G860</f>
        <v>928001.4</v>
      </c>
      <c r="H860">
        <f>Deductions!B860+Deductions!C860+Deductions!D860+Tax!D860</f>
        <v>11094.8565</v>
      </c>
      <c r="I860">
        <f t="shared" si="39"/>
        <v>1124049.716</v>
      </c>
      <c r="J860">
        <f>Overtime!D860</f>
        <v>207143.17250000002</v>
      </c>
      <c r="K860">
        <f t="shared" si="40"/>
        <v>0.12</v>
      </c>
      <c r="L860">
        <f>IF(Performance!E860&lt;=1.5,0.01,IF(Performance!E860&lt;=2,0.02,IF(Performance!E860&lt;=3,0.03,"")))</f>
        <v>0.01</v>
      </c>
      <c r="M860">
        <f t="shared" si="41"/>
        <v>0.13</v>
      </c>
      <c r="N860">
        <f>Earnings!B860*(1+M860)</f>
        <v>1101514.2707</v>
      </c>
    </row>
    <row r="861" spans="1:14" x14ac:dyDescent="0.35">
      <c r="A861" t="s">
        <v>891</v>
      </c>
      <c r="B861" t="s">
        <v>26</v>
      </c>
      <c r="C861" t="s">
        <v>43</v>
      </c>
      <c r="D861" t="s">
        <v>16</v>
      </c>
      <c r="E861">
        <v>13.6</v>
      </c>
      <c r="F861" t="s">
        <v>31</v>
      </c>
      <c r="G861">
        <f>Earnings!G861</f>
        <v>1195351.8600000001</v>
      </c>
      <c r="H861">
        <f>Deductions!B861+Deductions!C861+Deductions!D861+Tax!D861</f>
        <v>17905.542499999996</v>
      </c>
      <c r="I861">
        <f t="shared" si="39"/>
        <v>1177446.3175000001</v>
      </c>
      <c r="J861">
        <f>Overtime!D861</f>
        <v>0</v>
      </c>
      <c r="K861">
        <f t="shared" si="40"/>
        <v>0.12</v>
      </c>
      <c r="L861">
        <f>IF(Performance!E861&lt;=1.5,0.01,IF(Performance!E861&lt;=2,0.02,IF(Performance!E861&lt;=3,0.03,"")))</f>
        <v>0.01</v>
      </c>
      <c r="M861">
        <f t="shared" si="41"/>
        <v>0.13</v>
      </c>
      <c r="N861">
        <f>Earnings!B861*(1+M861)</f>
        <v>1418852.5209999997</v>
      </c>
    </row>
    <row r="862" spans="1:14" x14ac:dyDescent="0.35">
      <c r="A862" t="s">
        <v>892</v>
      </c>
      <c r="B862" t="s">
        <v>29</v>
      </c>
      <c r="C862" t="s">
        <v>43</v>
      </c>
      <c r="D862" t="s">
        <v>16</v>
      </c>
      <c r="E862">
        <v>11.9</v>
      </c>
      <c r="F862" t="s">
        <v>37</v>
      </c>
      <c r="G862">
        <f>Earnings!G862</f>
        <v>1356499.18</v>
      </c>
      <c r="H862">
        <f>Deductions!B862+Deductions!C862+Deductions!D862+Tax!D862</f>
        <v>22137.352500000005</v>
      </c>
      <c r="I862">
        <f t="shared" si="39"/>
        <v>1334361.8274999999</v>
      </c>
      <c r="J862">
        <f>Overtime!D862</f>
        <v>0</v>
      </c>
      <c r="K862">
        <f t="shared" si="40"/>
        <v>0.12</v>
      </c>
      <c r="L862">
        <f>IF(Performance!E862&lt;=1.5,0.01,IF(Performance!E862&lt;=2,0.02,IF(Performance!E862&lt;=3,0.03,"")))</f>
        <v>0.02</v>
      </c>
      <c r="M862">
        <f t="shared" si="41"/>
        <v>0.13999999999999999</v>
      </c>
      <c r="N862">
        <f>Earnings!B862*(1+M862)</f>
        <v>1624379.274</v>
      </c>
    </row>
    <row r="863" spans="1:14" x14ac:dyDescent="0.35">
      <c r="A863" t="s">
        <v>893</v>
      </c>
      <c r="B863" t="s">
        <v>29</v>
      </c>
      <c r="C863" t="s">
        <v>15</v>
      </c>
      <c r="D863" t="s">
        <v>21</v>
      </c>
      <c r="E863">
        <v>5</v>
      </c>
      <c r="F863" t="s">
        <v>37</v>
      </c>
      <c r="G863">
        <f>Earnings!G863</f>
        <v>1124397.1100000001</v>
      </c>
      <c r="H863">
        <f>Deductions!B863+Deductions!C863+Deductions!D863+Tax!D863</f>
        <v>15902.234999999999</v>
      </c>
      <c r="I863">
        <f t="shared" si="39"/>
        <v>1256131.05</v>
      </c>
      <c r="J863">
        <f>Overtime!D863</f>
        <v>147636.17499999999</v>
      </c>
      <c r="K863">
        <f t="shared" si="40"/>
        <v>0.06</v>
      </c>
      <c r="L863">
        <f>IF(Performance!E863&lt;=1.5,0.01,IF(Performance!E863&lt;=2,0.02,IF(Performance!E863&lt;=3,0.03,"")))</f>
        <v>0.02</v>
      </c>
      <c r="M863">
        <f t="shared" si="41"/>
        <v>0.08</v>
      </c>
      <c r="N863">
        <f>Earnings!B863*(1+M863)</f>
        <v>1275576.5519999999</v>
      </c>
    </row>
    <row r="864" spans="1:14" x14ac:dyDescent="0.35">
      <c r="A864" t="s">
        <v>894</v>
      </c>
      <c r="B864" t="s">
        <v>29</v>
      </c>
      <c r="C864" t="s">
        <v>43</v>
      </c>
      <c r="D864" t="s">
        <v>16</v>
      </c>
      <c r="E864">
        <v>0</v>
      </c>
      <c r="F864" t="s">
        <v>31</v>
      </c>
      <c r="G864">
        <f>Earnings!G864</f>
        <v>1910053.48</v>
      </c>
      <c r="H864">
        <f>Deductions!B864+Deductions!C864+Deductions!D864+Tax!D864</f>
        <v>36673.967499999999</v>
      </c>
      <c r="I864">
        <f t="shared" si="39"/>
        <v>2129190.2467499999</v>
      </c>
      <c r="J864">
        <f>Overtime!D864</f>
        <v>255810.73424999998</v>
      </c>
      <c r="K864">
        <f t="shared" si="40"/>
        <v>0.12</v>
      </c>
      <c r="L864">
        <f>IF(Performance!E864&lt;=1.5,0.01,IF(Performance!E864&lt;=2,0.02,IF(Performance!E864&lt;=3,0.03,"")))</f>
        <v>0.02</v>
      </c>
      <c r="M864">
        <f t="shared" si="41"/>
        <v>0.13999999999999999</v>
      </c>
      <c r="N864">
        <f>Earnings!B864*(1+M864)</f>
        <v>2287248.9179999996</v>
      </c>
    </row>
    <row r="865" spans="1:14" x14ac:dyDescent="0.35">
      <c r="A865" t="s">
        <v>895</v>
      </c>
      <c r="B865" t="s">
        <v>14</v>
      </c>
      <c r="C865" t="s">
        <v>20</v>
      </c>
      <c r="D865" t="s">
        <v>21</v>
      </c>
      <c r="E865">
        <v>18.2</v>
      </c>
      <c r="F865" t="s">
        <v>37</v>
      </c>
      <c r="G865">
        <f>Earnings!G865</f>
        <v>1054769.52</v>
      </c>
      <c r="H865">
        <f>Deductions!B865+Deductions!C865+Deductions!D865+Tax!D865</f>
        <v>14153.779499999999</v>
      </c>
      <c r="I865">
        <f t="shared" si="39"/>
        <v>1187973.2467750001</v>
      </c>
      <c r="J865">
        <f>Overtime!D865</f>
        <v>147357.50627499999</v>
      </c>
      <c r="K865">
        <f t="shared" si="40"/>
        <v>0.1</v>
      </c>
      <c r="L865">
        <f>IF(Performance!E865&lt;=1.5,0.01,IF(Performance!E865&lt;=2,0.02,IF(Performance!E865&lt;=3,0.03,"")))</f>
        <v>0.01</v>
      </c>
      <c r="M865">
        <f t="shared" si="41"/>
        <v>0.11</v>
      </c>
      <c r="N865">
        <f>Earnings!B865*(1+M865)</f>
        <v>1229825.8097999999</v>
      </c>
    </row>
    <row r="866" spans="1:14" x14ac:dyDescent="0.35">
      <c r="A866" t="s">
        <v>896</v>
      </c>
      <c r="B866" t="s">
        <v>29</v>
      </c>
      <c r="C866" t="s">
        <v>15</v>
      </c>
      <c r="D866" t="s">
        <v>16</v>
      </c>
      <c r="E866">
        <v>10</v>
      </c>
      <c r="F866" t="s">
        <v>37</v>
      </c>
      <c r="G866">
        <f>Earnings!G866</f>
        <v>1337020.22</v>
      </c>
      <c r="H866">
        <f>Deductions!B866+Deductions!C866+Deductions!D866+Tax!D866</f>
        <v>21485.825000000001</v>
      </c>
      <c r="I866">
        <f t="shared" si="39"/>
        <v>1315534.395</v>
      </c>
      <c r="J866">
        <f>Overtime!D866</f>
        <v>0</v>
      </c>
      <c r="K866">
        <f t="shared" si="40"/>
        <v>0.06</v>
      </c>
      <c r="L866">
        <f>IF(Performance!E866&lt;=1.5,0.01,IF(Performance!E866&lt;=2,0.02,IF(Performance!E866&lt;=3,0.03,"")))</f>
        <v>0.02</v>
      </c>
      <c r="M866">
        <f t="shared" si="41"/>
        <v>0.08</v>
      </c>
      <c r="N866">
        <f>Earnings!B866*(1+M866)</f>
        <v>1516787.6400000001</v>
      </c>
    </row>
    <row r="867" spans="1:14" x14ac:dyDescent="0.35">
      <c r="A867" t="s">
        <v>897</v>
      </c>
      <c r="B867" t="s">
        <v>29</v>
      </c>
      <c r="C867" t="s">
        <v>33</v>
      </c>
      <c r="D867" t="s">
        <v>16</v>
      </c>
      <c r="E867">
        <v>0</v>
      </c>
      <c r="F867" t="s">
        <v>22</v>
      </c>
      <c r="G867">
        <f>Earnings!G867</f>
        <v>981885.95</v>
      </c>
      <c r="H867">
        <f>Deductions!B867+Deductions!C867+Deductions!D867+Tax!D867</f>
        <v>12199.820000000002</v>
      </c>
      <c r="I867">
        <f t="shared" si="39"/>
        <v>969686.13</v>
      </c>
      <c r="J867">
        <f>Overtime!D867</f>
        <v>0</v>
      </c>
      <c r="K867">
        <f t="shared" si="40"/>
        <v>0.08</v>
      </c>
      <c r="L867">
        <f>IF(Performance!E867&lt;=1.5,0.01,IF(Performance!E867&lt;=2,0.02,IF(Performance!E867&lt;=3,0.03,"")))</f>
        <v>0.02</v>
      </c>
      <c r="M867">
        <f t="shared" si="41"/>
        <v>0.1</v>
      </c>
      <c r="N867">
        <f>Earnings!B867*(1+M867)</f>
        <v>1134532.08</v>
      </c>
    </row>
    <row r="868" spans="1:14" x14ac:dyDescent="0.35">
      <c r="A868" t="s">
        <v>898</v>
      </c>
      <c r="B868" t="s">
        <v>14</v>
      </c>
      <c r="C868" t="s">
        <v>43</v>
      </c>
      <c r="D868" t="s">
        <v>16</v>
      </c>
      <c r="E868">
        <v>17</v>
      </c>
      <c r="F868" t="s">
        <v>44</v>
      </c>
      <c r="G868">
        <f>Earnings!G868</f>
        <v>1370841.44</v>
      </c>
      <c r="H868">
        <f>Deductions!B868+Deductions!C868+Deductions!D868+Tax!D868</f>
        <v>22513.987499999999</v>
      </c>
      <c r="I868">
        <f t="shared" si="39"/>
        <v>1348327.4524999999</v>
      </c>
      <c r="J868">
        <f>Overtime!D868</f>
        <v>0</v>
      </c>
      <c r="K868">
        <f t="shared" si="40"/>
        <v>0.12</v>
      </c>
      <c r="L868">
        <f>IF(Performance!E868&lt;=1.5,0.01,IF(Performance!E868&lt;=2,0.02,IF(Performance!E868&lt;=3,0.03,"")))</f>
        <v>0.01</v>
      </c>
      <c r="M868">
        <f t="shared" si="41"/>
        <v>0.13</v>
      </c>
      <c r="N868">
        <f>Earnings!B868*(1+M868)</f>
        <v>1627154.2349999999</v>
      </c>
    </row>
    <row r="869" spans="1:14" x14ac:dyDescent="0.35">
      <c r="A869" t="s">
        <v>899</v>
      </c>
      <c r="B869" t="s">
        <v>35</v>
      </c>
      <c r="C869" t="s">
        <v>43</v>
      </c>
      <c r="D869" t="s">
        <v>16</v>
      </c>
      <c r="E869">
        <v>1.7</v>
      </c>
      <c r="F869" t="s">
        <v>17</v>
      </c>
      <c r="G869">
        <f>Earnings!G869</f>
        <v>1554785.55</v>
      </c>
      <c r="H869">
        <f>Deductions!B869+Deductions!C869+Deductions!D869+Tax!D869</f>
        <v>27344.452500000003</v>
      </c>
      <c r="I869">
        <f t="shared" si="39"/>
        <v>1930019.49915</v>
      </c>
      <c r="J869">
        <f>Overtime!D869</f>
        <v>402578.40164999996</v>
      </c>
      <c r="K869">
        <f t="shared" si="40"/>
        <v>0.12</v>
      </c>
      <c r="L869">
        <f>IF(Performance!E869&lt;=1.5,0.01,IF(Performance!E869&lt;=2,0.02,IF(Performance!E869&lt;=3,0.03,"")))</f>
        <v>0.01</v>
      </c>
      <c r="M869">
        <f t="shared" si="41"/>
        <v>0.13</v>
      </c>
      <c r="N869">
        <f>Earnings!B869*(1+M869)</f>
        <v>1845491.253</v>
      </c>
    </row>
    <row r="870" spans="1:14" x14ac:dyDescent="0.35">
      <c r="A870" t="s">
        <v>900</v>
      </c>
      <c r="B870" t="s">
        <v>19</v>
      </c>
      <c r="C870" t="s">
        <v>20</v>
      </c>
      <c r="D870" t="s">
        <v>16</v>
      </c>
      <c r="E870">
        <v>18.2</v>
      </c>
      <c r="F870" t="s">
        <v>37</v>
      </c>
      <c r="G870">
        <f>Earnings!G870</f>
        <v>1412365.49</v>
      </c>
      <c r="H870">
        <f>Deductions!B870+Deductions!C870+Deductions!D870+Tax!D870</f>
        <v>23544.429999999997</v>
      </c>
      <c r="I870">
        <f t="shared" si="39"/>
        <v>1523826.5852000001</v>
      </c>
      <c r="J870">
        <f>Overtime!D870</f>
        <v>135005.5252</v>
      </c>
      <c r="K870">
        <f t="shared" si="40"/>
        <v>0.1</v>
      </c>
      <c r="L870">
        <f>IF(Performance!E870&lt;=1.5,0.01,IF(Performance!E870&lt;=2,0.02,IF(Performance!E870&lt;=3,0.03,"")))</f>
        <v>0.03</v>
      </c>
      <c r="M870">
        <f t="shared" si="41"/>
        <v>0.13</v>
      </c>
      <c r="N870">
        <f>Earnings!B870*(1+M870)</f>
        <v>1676442.2359999998</v>
      </c>
    </row>
    <row r="871" spans="1:14" x14ac:dyDescent="0.35">
      <c r="A871" t="s">
        <v>901</v>
      </c>
      <c r="B871" t="s">
        <v>29</v>
      </c>
      <c r="C871" t="s">
        <v>20</v>
      </c>
      <c r="D871" t="s">
        <v>16</v>
      </c>
      <c r="E871">
        <v>7</v>
      </c>
      <c r="F871" t="s">
        <v>17</v>
      </c>
      <c r="G871">
        <f>Earnings!G871</f>
        <v>1056965.04</v>
      </c>
      <c r="H871">
        <f>Deductions!B871+Deductions!C871+Deductions!D871+Tax!D871</f>
        <v>14211.434999999998</v>
      </c>
      <c r="I871">
        <f t="shared" si="39"/>
        <v>1042753.605</v>
      </c>
      <c r="J871">
        <f>Overtime!D871</f>
        <v>0</v>
      </c>
      <c r="K871">
        <f t="shared" si="40"/>
        <v>0.1</v>
      </c>
      <c r="L871">
        <f>IF(Performance!E871&lt;=1.5,0.01,IF(Performance!E871&lt;=2,0.02,IF(Performance!E871&lt;=3,0.03,"")))</f>
        <v>0.02</v>
      </c>
      <c r="M871">
        <f t="shared" si="41"/>
        <v>0.12000000000000001</v>
      </c>
      <c r="N871">
        <f>Earnings!B871*(1+M871)</f>
        <v>1243488.2879999999</v>
      </c>
    </row>
    <row r="872" spans="1:14" x14ac:dyDescent="0.35">
      <c r="A872" t="s">
        <v>902</v>
      </c>
      <c r="B872" t="s">
        <v>29</v>
      </c>
      <c r="C872" t="s">
        <v>20</v>
      </c>
      <c r="D872" t="s">
        <v>16</v>
      </c>
      <c r="E872">
        <v>1.4</v>
      </c>
      <c r="F872" t="s">
        <v>37</v>
      </c>
      <c r="G872">
        <f>Earnings!G872</f>
        <v>1364234.09</v>
      </c>
      <c r="H872">
        <f>Deductions!B872+Deductions!C872+Deductions!D872+Tax!D872</f>
        <v>22280.475000000002</v>
      </c>
      <c r="I872">
        <f t="shared" si="39"/>
        <v>1442264.9450000001</v>
      </c>
      <c r="J872">
        <f>Overtime!D872</f>
        <v>100311.32999999999</v>
      </c>
      <c r="K872">
        <f t="shared" si="40"/>
        <v>0.1</v>
      </c>
      <c r="L872">
        <f>IF(Performance!E872&lt;=1.5,0.01,IF(Performance!E872&lt;=2,0.02,IF(Performance!E872&lt;=3,0.03,"")))</f>
        <v>0.02</v>
      </c>
      <c r="M872">
        <f t="shared" si="41"/>
        <v>0.12000000000000001</v>
      </c>
      <c r="N872">
        <f>Earnings!B872*(1+M872)</f>
        <v>1604981.2800000003</v>
      </c>
    </row>
    <row r="873" spans="1:14" x14ac:dyDescent="0.35">
      <c r="A873" t="s">
        <v>903</v>
      </c>
      <c r="B873" t="s">
        <v>26</v>
      </c>
      <c r="C873" t="s">
        <v>20</v>
      </c>
      <c r="D873" t="s">
        <v>16</v>
      </c>
      <c r="E873">
        <v>19.600000000000001</v>
      </c>
      <c r="F873" t="s">
        <v>24</v>
      </c>
      <c r="G873">
        <f>Earnings!G873</f>
        <v>1098942.9099999999</v>
      </c>
      <c r="H873">
        <f>Deductions!B873+Deductions!C873+Deductions!D873+Tax!D873</f>
        <v>15313.795</v>
      </c>
      <c r="I873">
        <f t="shared" si="39"/>
        <v>1285640.68</v>
      </c>
      <c r="J873">
        <f>Overtime!D873</f>
        <v>202011.565</v>
      </c>
      <c r="K873">
        <f t="shared" si="40"/>
        <v>0.1</v>
      </c>
      <c r="L873">
        <f>IF(Performance!E873&lt;=1.5,0.01,IF(Performance!E873&lt;=2,0.02,IF(Performance!E873&lt;=3,0.03,"")))</f>
        <v>0.01</v>
      </c>
      <c r="M873">
        <f t="shared" si="41"/>
        <v>0.11</v>
      </c>
      <c r="N873">
        <f>Earnings!B873*(1+M873)</f>
        <v>1281330.4980000001</v>
      </c>
    </row>
    <row r="874" spans="1:14" x14ac:dyDescent="0.35">
      <c r="A874" t="s">
        <v>904</v>
      </c>
      <c r="B874" t="s">
        <v>19</v>
      </c>
      <c r="C874" t="s">
        <v>33</v>
      </c>
      <c r="D874" t="s">
        <v>21</v>
      </c>
      <c r="E874">
        <v>13.2</v>
      </c>
      <c r="F874" t="s">
        <v>44</v>
      </c>
      <c r="G874">
        <f>Earnings!G874</f>
        <v>795024.03</v>
      </c>
      <c r="H874">
        <f>Deductions!B874+Deductions!C874+Deductions!D874+Tax!D874</f>
        <v>8666.8213333333333</v>
      </c>
      <c r="I874">
        <f t="shared" si="39"/>
        <v>786357.20866666664</v>
      </c>
      <c r="J874">
        <f>Overtime!D874</f>
        <v>0</v>
      </c>
      <c r="K874">
        <f t="shared" si="40"/>
        <v>0.08</v>
      </c>
      <c r="L874">
        <f>IF(Performance!E874&lt;=1.5,0.01,IF(Performance!E874&lt;=2,0.02,IF(Performance!E874&lt;=3,0.03,"")))</f>
        <v>0.03</v>
      </c>
      <c r="M874">
        <f t="shared" si="41"/>
        <v>0.11</v>
      </c>
      <c r="N874">
        <f>Earnings!B874*(1+M874)</f>
        <v>926971.30080000008</v>
      </c>
    </row>
    <row r="875" spans="1:14" x14ac:dyDescent="0.35">
      <c r="A875" t="s">
        <v>905</v>
      </c>
      <c r="B875" t="s">
        <v>26</v>
      </c>
      <c r="C875" t="s">
        <v>33</v>
      </c>
      <c r="D875" t="s">
        <v>21</v>
      </c>
      <c r="E875">
        <v>4.8</v>
      </c>
      <c r="F875" t="s">
        <v>22</v>
      </c>
      <c r="G875">
        <f>Earnings!G875</f>
        <v>862181.16</v>
      </c>
      <c r="H875">
        <f>Deductions!B875+Deductions!C875+Deductions!D875+Tax!D875</f>
        <v>9842.5413333333345</v>
      </c>
      <c r="I875">
        <f t="shared" si="39"/>
        <v>884942.10776666668</v>
      </c>
      <c r="J875">
        <f>Overtime!D875</f>
        <v>32603.489100000003</v>
      </c>
      <c r="K875">
        <f t="shared" si="40"/>
        <v>0.08</v>
      </c>
      <c r="L875">
        <f>IF(Performance!E875&lt;=1.5,0.01,IF(Performance!E875&lt;=2,0.02,IF(Performance!E875&lt;=3,0.03,"")))</f>
        <v>0.01</v>
      </c>
      <c r="M875">
        <f t="shared" si="41"/>
        <v>0.09</v>
      </c>
      <c r="N875">
        <f>Earnings!B875*(1+M875)</f>
        <v>987161.20320000011</v>
      </c>
    </row>
    <row r="876" spans="1:14" x14ac:dyDescent="0.35">
      <c r="A876" t="s">
        <v>906</v>
      </c>
      <c r="B876" t="s">
        <v>14</v>
      </c>
      <c r="C876" t="s">
        <v>43</v>
      </c>
      <c r="D876" t="s">
        <v>21</v>
      </c>
      <c r="E876">
        <v>25.5</v>
      </c>
      <c r="F876" t="s">
        <v>24</v>
      </c>
      <c r="G876">
        <f>Earnings!G876</f>
        <v>1543603.78</v>
      </c>
      <c r="H876">
        <f>Deductions!B876+Deductions!C876+Deductions!D876+Tax!D876</f>
        <v>27050.8135</v>
      </c>
      <c r="I876">
        <f t="shared" si="39"/>
        <v>1750849.969975</v>
      </c>
      <c r="J876">
        <f>Overtime!D876</f>
        <v>234297.003475</v>
      </c>
      <c r="K876">
        <f t="shared" si="40"/>
        <v>0.12</v>
      </c>
      <c r="L876">
        <f>IF(Performance!E876&lt;=1.5,0.01,IF(Performance!E876&lt;=2,0.02,IF(Performance!E876&lt;=3,0.03,"")))</f>
        <v>0.01</v>
      </c>
      <c r="M876">
        <f t="shared" si="41"/>
        <v>0.13</v>
      </c>
      <c r="N876">
        <f>Earnings!B876*(1+M876)</f>
        <v>1832218.7701999999</v>
      </c>
    </row>
    <row r="877" spans="1:14" x14ac:dyDescent="0.35">
      <c r="A877" t="s">
        <v>907</v>
      </c>
      <c r="B877" t="s">
        <v>35</v>
      </c>
      <c r="C877" t="s">
        <v>15</v>
      </c>
      <c r="D877" t="s">
        <v>21</v>
      </c>
      <c r="E877">
        <v>8</v>
      </c>
      <c r="F877" t="s">
        <v>22</v>
      </c>
      <c r="G877">
        <f>Earnings!G877</f>
        <v>843825.1</v>
      </c>
      <c r="H877">
        <f>Deductions!B877+Deductions!C877+Deductions!D877+Tax!D877</f>
        <v>9481.1816666666673</v>
      </c>
      <c r="I877">
        <f t="shared" si="39"/>
        <v>860935.04533333331</v>
      </c>
      <c r="J877">
        <f>Overtime!D877</f>
        <v>26591.126999999997</v>
      </c>
      <c r="K877">
        <f t="shared" si="40"/>
        <v>0.06</v>
      </c>
      <c r="L877">
        <f>IF(Performance!E877&lt;=1.5,0.01,IF(Performance!E877&lt;=2,0.02,IF(Performance!E877&lt;=3,0.03,"")))</f>
        <v>0.01</v>
      </c>
      <c r="M877">
        <f t="shared" si="41"/>
        <v>6.9999999999999993E-2</v>
      </c>
      <c r="N877">
        <f>Earnings!B877*(1+M877)</f>
        <v>948416.86300000013</v>
      </c>
    </row>
    <row r="878" spans="1:14" x14ac:dyDescent="0.35">
      <c r="A878" t="s">
        <v>908</v>
      </c>
      <c r="B878" t="s">
        <v>29</v>
      </c>
      <c r="C878" t="s">
        <v>33</v>
      </c>
      <c r="D878" t="s">
        <v>16</v>
      </c>
      <c r="E878">
        <v>18</v>
      </c>
      <c r="F878" t="s">
        <v>24</v>
      </c>
      <c r="G878">
        <f>Earnings!G878</f>
        <v>1411835.04</v>
      </c>
      <c r="H878">
        <f>Deductions!B878+Deductions!C878+Deductions!D878+Tax!D878</f>
        <v>23490.5</v>
      </c>
      <c r="I878">
        <f t="shared" si="39"/>
        <v>1388344.54</v>
      </c>
      <c r="J878">
        <f>Overtime!D878</f>
        <v>0</v>
      </c>
      <c r="K878">
        <f t="shared" si="40"/>
        <v>0.08</v>
      </c>
      <c r="L878">
        <f>IF(Performance!E878&lt;=1.5,0.01,IF(Performance!E878&lt;=2,0.02,IF(Performance!E878&lt;=3,0.03,"")))</f>
        <v>0.02</v>
      </c>
      <c r="M878">
        <f t="shared" si="41"/>
        <v>0.1</v>
      </c>
      <c r="N878">
        <f>Earnings!B878*(1+M878)</f>
        <v>1631322.0000000002</v>
      </c>
    </row>
    <row r="879" spans="1:14" x14ac:dyDescent="0.35">
      <c r="A879" t="s">
        <v>909</v>
      </c>
      <c r="B879" t="s">
        <v>14</v>
      </c>
      <c r="C879" t="s">
        <v>20</v>
      </c>
      <c r="D879" t="s">
        <v>16</v>
      </c>
      <c r="E879">
        <v>21</v>
      </c>
      <c r="F879" t="s">
        <v>24</v>
      </c>
      <c r="G879">
        <f>Earnings!G879</f>
        <v>1355673.51</v>
      </c>
      <c r="H879">
        <f>Deductions!B879+Deductions!C879+Deductions!D879+Tax!D879</f>
        <v>22055.670000000002</v>
      </c>
      <c r="I879">
        <f t="shared" si="39"/>
        <v>1513045.2168000001</v>
      </c>
      <c r="J879">
        <f>Overtime!D879</f>
        <v>179427.3768</v>
      </c>
      <c r="K879">
        <f t="shared" si="40"/>
        <v>0.1</v>
      </c>
      <c r="L879">
        <f>IF(Performance!E879&lt;=1.5,0.01,IF(Performance!E879&lt;=2,0.02,IF(Performance!E879&lt;=3,0.03,"")))</f>
        <v>0.01</v>
      </c>
      <c r="M879">
        <f t="shared" si="41"/>
        <v>0.11</v>
      </c>
      <c r="N879">
        <f>Earnings!B879*(1+M879)</f>
        <v>1580669.7480000001</v>
      </c>
    </row>
    <row r="880" spans="1:14" x14ac:dyDescent="0.35">
      <c r="A880" t="s">
        <v>910</v>
      </c>
      <c r="B880" t="s">
        <v>35</v>
      </c>
      <c r="C880" t="s">
        <v>15</v>
      </c>
      <c r="D880" t="s">
        <v>16</v>
      </c>
      <c r="E880">
        <v>0</v>
      </c>
      <c r="F880" t="s">
        <v>22</v>
      </c>
      <c r="G880">
        <f>Earnings!G880</f>
        <v>855066.41</v>
      </c>
      <c r="H880">
        <f>Deductions!B880+Deductions!C880+Deductions!D880+Tax!D880</f>
        <v>9677.9833333333336</v>
      </c>
      <c r="I880">
        <f t="shared" si="39"/>
        <v>971133.48666666669</v>
      </c>
      <c r="J880">
        <f>Overtime!D880</f>
        <v>125745.05999999998</v>
      </c>
      <c r="K880">
        <f t="shared" si="40"/>
        <v>0.06</v>
      </c>
      <c r="L880">
        <f>IF(Performance!E880&lt;=1.5,0.01,IF(Performance!E880&lt;=2,0.02,IF(Performance!E880&lt;=3,0.03,"")))</f>
        <v>0.01</v>
      </c>
      <c r="M880">
        <f t="shared" si="41"/>
        <v>6.9999999999999993E-2</v>
      </c>
      <c r="N880">
        <f>Earnings!B880*(1+M880)</f>
        <v>961051.53</v>
      </c>
    </row>
    <row r="881" spans="1:14" x14ac:dyDescent="0.35">
      <c r="A881" t="s">
        <v>911</v>
      </c>
      <c r="B881" t="s">
        <v>26</v>
      </c>
      <c r="C881" t="s">
        <v>33</v>
      </c>
      <c r="D881" t="s">
        <v>21</v>
      </c>
      <c r="E881">
        <v>3.6</v>
      </c>
      <c r="F881" t="s">
        <v>70</v>
      </c>
      <c r="G881">
        <f>Earnings!G881</f>
        <v>742767.8</v>
      </c>
      <c r="H881">
        <f>Deductions!B881+Deductions!C881+Deductions!D881+Tax!D881</f>
        <v>7751.9713333333348</v>
      </c>
      <c r="I881">
        <f t="shared" si="39"/>
        <v>735015.82866666676</v>
      </c>
      <c r="J881">
        <f>Overtime!D881</f>
        <v>0</v>
      </c>
      <c r="K881">
        <f t="shared" si="40"/>
        <v>0.08</v>
      </c>
      <c r="L881">
        <f>IF(Performance!E881&lt;=1.5,0.01,IF(Performance!E881&lt;=2,0.02,IF(Performance!E881&lt;=3,0.03,"")))</f>
        <v>0.01</v>
      </c>
      <c r="M881">
        <f t="shared" si="41"/>
        <v>0.09</v>
      </c>
      <c r="N881">
        <f>Earnings!B881*(1+M881)</f>
        <v>850437.92520000006</v>
      </c>
    </row>
    <row r="882" spans="1:14" x14ac:dyDescent="0.35">
      <c r="A882" t="s">
        <v>912</v>
      </c>
      <c r="B882" t="s">
        <v>14</v>
      </c>
      <c r="C882" t="s">
        <v>43</v>
      </c>
      <c r="D882" t="s">
        <v>16</v>
      </c>
      <c r="E882">
        <v>6.8</v>
      </c>
      <c r="F882" t="s">
        <v>27</v>
      </c>
      <c r="G882">
        <f>Earnings!G882</f>
        <v>912756.56</v>
      </c>
      <c r="H882">
        <f>Deductions!B882+Deductions!C882+Deductions!D882+Tax!D882</f>
        <v>10827.965000000002</v>
      </c>
      <c r="I882">
        <f t="shared" si="39"/>
        <v>901928.59500000009</v>
      </c>
      <c r="J882">
        <f>Overtime!D882</f>
        <v>0</v>
      </c>
      <c r="K882">
        <f t="shared" si="40"/>
        <v>0.12</v>
      </c>
      <c r="L882">
        <f>IF(Performance!E882&lt;=1.5,0.01,IF(Performance!E882&lt;=2,0.02,IF(Performance!E882&lt;=3,0.03,"")))</f>
        <v>0.01</v>
      </c>
      <c r="M882">
        <f t="shared" si="41"/>
        <v>0.13</v>
      </c>
      <c r="N882">
        <f>Earnings!B882*(1+M882)</f>
        <v>1083419.027</v>
      </c>
    </row>
    <row r="883" spans="1:14" x14ac:dyDescent="0.35">
      <c r="A883" t="s">
        <v>913</v>
      </c>
      <c r="B883" t="s">
        <v>29</v>
      </c>
      <c r="C883" t="s">
        <v>33</v>
      </c>
      <c r="D883" t="s">
        <v>21</v>
      </c>
      <c r="E883">
        <v>9.6</v>
      </c>
      <c r="F883" t="s">
        <v>31</v>
      </c>
      <c r="G883">
        <f>Earnings!G883</f>
        <v>1273952.67</v>
      </c>
      <c r="H883">
        <f>Deductions!B883+Deductions!C883+Deductions!D883+Tax!D883</f>
        <v>19869.639500000001</v>
      </c>
      <c r="I883">
        <f t="shared" si="39"/>
        <v>1374519.7322499999</v>
      </c>
      <c r="J883">
        <f>Overtime!D883</f>
        <v>120436.70174999999</v>
      </c>
      <c r="K883">
        <f t="shared" si="40"/>
        <v>0.08</v>
      </c>
      <c r="L883">
        <f>IF(Performance!E883&lt;=1.5,0.01,IF(Performance!E883&lt;=2,0.02,IF(Performance!E883&lt;=3,0.03,"")))</f>
        <v>0.02</v>
      </c>
      <c r="M883">
        <f t="shared" si="41"/>
        <v>0.1</v>
      </c>
      <c r="N883">
        <f>Earnings!B883*(1+M883)</f>
        <v>1472004.1380000003</v>
      </c>
    </row>
    <row r="884" spans="1:14" x14ac:dyDescent="0.35">
      <c r="A884" t="s">
        <v>914</v>
      </c>
      <c r="B884" t="s">
        <v>19</v>
      </c>
      <c r="C884" t="s">
        <v>15</v>
      </c>
      <c r="D884" t="s">
        <v>21</v>
      </c>
      <c r="E884">
        <v>1</v>
      </c>
      <c r="F884" t="s">
        <v>24</v>
      </c>
      <c r="G884">
        <f>Earnings!G884</f>
        <v>635072.39</v>
      </c>
      <c r="H884">
        <f>Deductions!B884+Deductions!C884+Deductions!D884+Tax!D884</f>
        <v>5826.5475000000006</v>
      </c>
      <c r="I884">
        <f t="shared" si="39"/>
        <v>695955.12750000006</v>
      </c>
      <c r="J884">
        <f>Overtime!D884</f>
        <v>66709.285000000003</v>
      </c>
      <c r="K884">
        <f t="shared" si="40"/>
        <v>0.06</v>
      </c>
      <c r="L884">
        <f>IF(Performance!E884&lt;=1.5,0.01,IF(Performance!E884&lt;=2,0.02,IF(Performance!E884&lt;=3,0.03,"")))</f>
        <v>0.03</v>
      </c>
      <c r="M884">
        <f t="shared" si="41"/>
        <v>0.09</v>
      </c>
      <c r="N884">
        <f>Earnings!B884*(1+M884)</f>
        <v>727131.20649999997</v>
      </c>
    </row>
    <row r="885" spans="1:14" x14ac:dyDescent="0.35">
      <c r="A885" t="s">
        <v>915</v>
      </c>
      <c r="B885" t="s">
        <v>29</v>
      </c>
      <c r="C885" t="s">
        <v>43</v>
      </c>
      <c r="D885" t="s">
        <v>21</v>
      </c>
      <c r="E885">
        <v>13.6</v>
      </c>
      <c r="F885" t="s">
        <v>44</v>
      </c>
      <c r="G885">
        <f>Earnings!G885</f>
        <v>2095057.88</v>
      </c>
      <c r="H885">
        <f>Deductions!B885+Deductions!C885+Deductions!D885+Tax!D885</f>
        <v>41532.276249999995</v>
      </c>
      <c r="I885">
        <f t="shared" si="39"/>
        <v>2334113.7126249997</v>
      </c>
      <c r="J885">
        <f>Overtime!D885</f>
        <v>280588.10887500003</v>
      </c>
      <c r="K885">
        <f t="shared" si="40"/>
        <v>0.12</v>
      </c>
      <c r="L885">
        <f>IF(Performance!E885&lt;=1.5,0.01,IF(Performance!E885&lt;=2,0.02,IF(Performance!E885&lt;=3,0.03,"")))</f>
        <v>0.02</v>
      </c>
      <c r="M885">
        <f t="shared" si="41"/>
        <v>0.13999999999999999</v>
      </c>
      <c r="N885">
        <f>Earnings!B885*(1+M885)</f>
        <v>2508787.7969999998</v>
      </c>
    </row>
    <row r="886" spans="1:14" x14ac:dyDescent="0.35">
      <c r="A886" t="s">
        <v>916</v>
      </c>
      <c r="B886" t="s">
        <v>14</v>
      </c>
      <c r="C886" t="s">
        <v>33</v>
      </c>
      <c r="D886" t="s">
        <v>21</v>
      </c>
      <c r="E886">
        <v>15.6</v>
      </c>
      <c r="F886" t="s">
        <v>22</v>
      </c>
      <c r="G886">
        <f>Earnings!G886</f>
        <v>1012914.61</v>
      </c>
      <c r="H886">
        <f>Deductions!B886+Deductions!C886+Deductions!D886+Tax!D886</f>
        <v>13014.648499999998</v>
      </c>
      <c r="I886">
        <f t="shared" si="39"/>
        <v>1031819.54</v>
      </c>
      <c r="J886">
        <f>Overtime!D886</f>
        <v>31919.578500000003</v>
      </c>
      <c r="K886">
        <f t="shared" si="40"/>
        <v>0.08</v>
      </c>
      <c r="L886">
        <f>IF(Performance!E886&lt;=1.5,0.01,IF(Performance!E886&lt;=2,0.02,IF(Performance!E886&lt;=3,0.03,"")))</f>
        <v>0.01</v>
      </c>
      <c r="M886">
        <f t="shared" si="41"/>
        <v>0.09</v>
      </c>
      <c r="N886">
        <f>Earnings!B886*(1+M886)</f>
        <v>1159744.6746</v>
      </c>
    </row>
    <row r="887" spans="1:14" x14ac:dyDescent="0.35">
      <c r="A887" t="s">
        <v>917</v>
      </c>
      <c r="B887" t="s">
        <v>19</v>
      </c>
      <c r="C887" t="s">
        <v>43</v>
      </c>
      <c r="D887" t="s">
        <v>16</v>
      </c>
      <c r="E887">
        <v>1.7</v>
      </c>
      <c r="F887" t="s">
        <v>37</v>
      </c>
      <c r="G887">
        <f>Earnings!G887</f>
        <v>1000519.16</v>
      </c>
      <c r="H887">
        <f>Deductions!B887+Deductions!C887+Deductions!D887+Tax!D887</f>
        <v>12789.137499999999</v>
      </c>
      <c r="I887">
        <f t="shared" si="39"/>
        <v>987730.02250000008</v>
      </c>
      <c r="J887">
        <f>Overtime!D887</f>
        <v>0</v>
      </c>
      <c r="K887">
        <f t="shared" si="40"/>
        <v>0.12</v>
      </c>
      <c r="L887">
        <f>IF(Performance!E887&lt;=1.5,0.01,IF(Performance!E887&lt;=2,0.02,IF(Performance!E887&lt;=3,0.03,"")))</f>
        <v>0.03</v>
      </c>
      <c r="M887">
        <f t="shared" si="41"/>
        <v>0.15</v>
      </c>
      <c r="N887">
        <f>Earnings!B887*(1+M887)</f>
        <v>1208610.325</v>
      </c>
    </row>
    <row r="888" spans="1:14" x14ac:dyDescent="0.35">
      <c r="A888" t="s">
        <v>918</v>
      </c>
      <c r="B888" t="s">
        <v>35</v>
      </c>
      <c r="C888" t="s">
        <v>43</v>
      </c>
      <c r="D888" t="s">
        <v>21</v>
      </c>
      <c r="E888">
        <v>5.0999999999999996</v>
      </c>
      <c r="F888" t="s">
        <v>37</v>
      </c>
      <c r="G888">
        <f>Earnings!G888</f>
        <v>1370466.62</v>
      </c>
      <c r="H888">
        <f>Deductions!B888+Deductions!C888+Deductions!D888+Tax!D888</f>
        <v>22504.144499999999</v>
      </c>
      <c r="I888">
        <f t="shared" si="39"/>
        <v>1347962.4755000002</v>
      </c>
      <c r="J888">
        <f>Overtime!D888</f>
        <v>0</v>
      </c>
      <c r="K888">
        <f t="shared" si="40"/>
        <v>0.12</v>
      </c>
      <c r="L888">
        <f>IF(Performance!E888&lt;=1.5,0.01,IF(Performance!E888&lt;=2,0.02,IF(Performance!E888&lt;=3,0.03,"")))</f>
        <v>0.01</v>
      </c>
      <c r="M888">
        <f t="shared" si="41"/>
        <v>0.13</v>
      </c>
      <c r="N888">
        <f>Earnings!B888*(1+M888)</f>
        <v>1626709.3313999998</v>
      </c>
    </row>
    <row r="889" spans="1:14" x14ac:dyDescent="0.35">
      <c r="A889" t="s">
        <v>919</v>
      </c>
      <c r="B889" t="s">
        <v>26</v>
      </c>
      <c r="C889" t="s">
        <v>33</v>
      </c>
      <c r="D889" t="s">
        <v>21</v>
      </c>
      <c r="E889">
        <v>9.6</v>
      </c>
      <c r="F889" t="s">
        <v>27</v>
      </c>
      <c r="G889">
        <f>Earnings!G889</f>
        <v>643974.76</v>
      </c>
      <c r="H889">
        <f>Deductions!B889+Deductions!C889+Deductions!D889+Tax!D889</f>
        <v>6022.4013333333332</v>
      </c>
      <c r="I889">
        <f t="shared" si="39"/>
        <v>637952.35866666667</v>
      </c>
      <c r="J889">
        <f>Overtime!D889</f>
        <v>0</v>
      </c>
      <c r="K889">
        <f t="shared" si="40"/>
        <v>0.08</v>
      </c>
      <c r="L889">
        <f>IF(Performance!E889&lt;=1.5,0.01,IF(Performance!E889&lt;=2,0.02,IF(Performance!E889&lt;=3,0.03,"")))</f>
        <v>0.01</v>
      </c>
      <c r="M889">
        <f t="shared" si="41"/>
        <v>0.09</v>
      </c>
      <c r="N889">
        <f>Earnings!B889*(1+M889)</f>
        <v>737324.04720000003</v>
      </c>
    </row>
    <row r="890" spans="1:14" x14ac:dyDescent="0.35">
      <c r="A890" t="s">
        <v>920</v>
      </c>
      <c r="B890" t="s">
        <v>14</v>
      </c>
      <c r="C890" t="s">
        <v>33</v>
      </c>
      <c r="D890" t="s">
        <v>21</v>
      </c>
      <c r="E890">
        <v>2.4</v>
      </c>
      <c r="F890" t="s">
        <v>44</v>
      </c>
      <c r="G890">
        <f>Earnings!G890</f>
        <v>601642.32999999996</v>
      </c>
      <c r="H890">
        <f>Deductions!B890+Deductions!C890+Deductions!D890+Tax!D890</f>
        <v>5281.2873333333337</v>
      </c>
      <c r="I890">
        <f t="shared" si="39"/>
        <v>694949.49366666668</v>
      </c>
      <c r="J890">
        <f>Overtime!D890</f>
        <v>98588.451000000001</v>
      </c>
      <c r="K890">
        <f t="shared" si="40"/>
        <v>0.08</v>
      </c>
      <c r="L890">
        <f>IF(Performance!E890&lt;=1.5,0.01,IF(Performance!E890&lt;=2,0.02,IF(Performance!E890&lt;=3,0.03,"")))</f>
        <v>0.01</v>
      </c>
      <c r="M890">
        <f t="shared" si="41"/>
        <v>0.09</v>
      </c>
      <c r="N890">
        <f>Earnings!B890*(1+M890)</f>
        <v>688855.19160000002</v>
      </c>
    </row>
    <row r="891" spans="1:14" x14ac:dyDescent="0.35">
      <c r="A891" t="s">
        <v>921</v>
      </c>
      <c r="B891" t="s">
        <v>29</v>
      </c>
      <c r="C891" t="s">
        <v>43</v>
      </c>
      <c r="D891" t="s">
        <v>21</v>
      </c>
      <c r="E891">
        <v>5.0999999999999996</v>
      </c>
      <c r="F891" t="s">
        <v>44</v>
      </c>
      <c r="G891">
        <f>Earnings!G891</f>
        <v>1393541.1200000001</v>
      </c>
      <c r="H891">
        <f>Deductions!B891+Deductions!C891+Deductions!D891+Tax!D891</f>
        <v>23110.092499999999</v>
      </c>
      <c r="I891">
        <f t="shared" si="39"/>
        <v>1656604.6508500001</v>
      </c>
      <c r="J891">
        <f>Overtime!D891</f>
        <v>286173.62335000001</v>
      </c>
      <c r="K891">
        <f t="shared" si="40"/>
        <v>0.12</v>
      </c>
      <c r="L891">
        <f>IF(Performance!E891&lt;=1.5,0.01,IF(Performance!E891&lt;=2,0.02,IF(Performance!E891&lt;=3,0.03,"")))</f>
        <v>0.02</v>
      </c>
      <c r="M891">
        <f t="shared" si="41"/>
        <v>0.13999999999999999</v>
      </c>
      <c r="N891">
        <f>Earnings!B891*(1+M891)</f>
        <v>1668736.2179999999</v>
      </c>
    </row>
    <row r="892" spans="1:14" x14ac:dyDescent="0.35">
      <c r="A892" t="s">
        <v>922</v>
      </c>
      <c r="B892" t="s">
        <v>26</v>
      </c>
      <c r="C892" t="s">
        <v>15</v>
      </c>
      <c r="D892" t="s">
        <v>16</v>
      </c>
      <c r="E892">
        <v>10</v>
      </c>
      <c r="F892" t="s">
        <v>22</v>
      </c>
      <c r="G892">
        <f>Earnings!G892</f>
        <v>742529.54</v>
      </c>
      <c r="H892">
        <f>Deductions!B892+Deductions!C892+Deductions!D892+Tax!D892</f>
        <v>7707.8</v>
      </c>
      <c r="I892">
        <f t="shared" si="39"/>
        <v>734821.74</v>
      </c>
      <c r="J892">
        <f>Overtime!D892</f>
        <v>0</v>
      </c>
      <c r="K892">
        <f t="shared" si="40"/>
        <v>0.06</v>
      </c>
      <c r="L892">
        <f>IF(Performance!E892&lt;=1.5,0.01,IF(Performance!E892&lt;=2,0.02,IF(Performance!E892&lt;=3,0.03,"")))</f>
        <v>0.01</v>
      </c>
      <c r="M892">
        <f t="shared" si="41"/>
        <v>6.9999999999999993E-2</v>
      </c>
      <c r="N892">
        <f>Earnings!B892*(1+M892)</f>
        <v>834565.76</v>
      </c>
    </row>
    <row r="893" spans="1:14" x14ac:dyDescent="0.35">
      <c r="A893" t="s">
        <v>923</v>
      </c>
      <c r="B893" t="s">
        <v>19</v>
      </c>
      <c r="C893" t="s">
        <v>43</v>
      </c>
      <c r="D893" t="s">
        <v>21</v>
      </c>
      <c r="E893">
        <v>6.8</v>
      </c>
      <c r="F893" t="s">
        <v>24</v>
      </c>
      <c r="G893">
        <f>Earnings!G893</f>
        <v>1115217.27</v>
      </c>
      <c r="H893">
        <f>Deductions!B893+Deductions!C893+Deductions!D893+Tax!D893</f>
        <v>15801.167749999999</v>
      </c>
      <c r="I893">
        <f t="shared" si="39"/>
        <v>1378220.4168500002</v>
      </c>
      <c r="J893">
        <f>Overtime!D893</f>
        <v>278804.31460000004</v>
      </c>
      <c r="K893">
        <f t="shared" si="40"/>
        <v>0.12</v>
      </c>
      <c r="L893">
        <f>IF(Performance!E893&lt;=1.5,0.01,IF(Performance!E893&lt;=2,0.02,IF(Performance!E893&lt;=3,0.03,"")))</f>
        <v>0.03</v>
      </c>
      <c r="M893">
        <f t="shared" si="41"/>
        <v>0.15</v>
      </c>
      <c r="N893">
        <f>Earnings!B893*(1+M893)</f>
        <v>1347163.7164999999</v>
      </c>
    </row>
    <row r="894" spans="1:14" x14ac:dyDescent="0.35">
      <c r="A894" t="s">
        <v>924</v>
      </c>
      <c r="B894" t="s">
        <v>14</v>
      </c>
      <c r="C894" t="s">
        <v>33</v>
      </c>
      <c r="D894" t="s">
        <v>16</v>
      </c>
      <c r="E894">
        <v>13.2</v>
      </c>
      <c r="F894" t="s">
        <v>70</v>
      </c>
      <c r="G894">
        <f>Earnings!G894</f>
        <v>991895.65</v>
      </c>
      <c r="H894">
        <f>Deductions!B894+Deductions!C894+Deductions!D894+Tax!D894</f>
        <v>12462.679999999998</v>
      </c>
      <c r="I894">
        <f t="shared" si="39"/>
        <v>1060701.7316000001</v>
      </c>
      <c r="J894">
        <f>Overtime!D894</f>
        <v>81268.761599999998</v>
      </c>
      <c r="K894">
        <f t="shared" si="40"/>
        <v>0.08</v>
      </c>
      <c r="L894">
        <f>IF(Performance!E894&lt;=1.5,0.01,IF(Performance!E894&lt;=2,0.02,IF(Performance!E894&lt;=3,0.03,"")))</f>
        <v>0.01</v>
      </c>
      <c r="M894">
        <f t="shared" si="41"/>
        <v>0.09</v>
      </c>
      <c r="N894">
        <f>Earnings!B894*(1+M894)</f>
        <v>1135678.848</v>
      </c>
    </row>
    <row r="895" spans="1:14" x14ac:dyDescent="0.35">
      <c r="A895" t="s">
        <v>925</v>
      </c>
      <c r="B895" t="s">
        <v>35</v>
      </c>
      <c r="C895" t="s">
        <v>15</v>
      </c>
      <c r="D895" t="s">
        <v>16</v>
      </c>
      <c r="E895">
        <v>8</v>
      </c>
      <c r="F895" t="s">
        <v>24</v>
      </c>
      <c r="G895">
        <f>Earnings!G895</f>
        <v>1134148.06</v>
      </c>
      <c r="H895">
        <f>Deductions!B895+Deductions!C895+Deductions!D895+Tax!D895</f>
        <v>16158.300000000001</v>
      </c>
      <c r="I895">
        <f t="shared" si="39"/>
        <v>1153729.72</v>
      </c>
      <c r="J895">
        <f>Overtime!D895</f>
        <v>35739.96</v>
      </c>
      <c r="K895">
        <f t="shared" si="40"/>
        <v>0.06</v>
      </c>
      <c r="L895">
        <f>IF(Performance!E895&lt;=1.5,0.01,IF(Performance!E895&lt;=2,0.02,IF(Performance!E895&lt;=3,0.03,"")))</f>
        <v>0.01</v>
      </c>
      <c r="M895">
        <f t="shared" si="41"/>
        <v>6.9999999999999993E-2</v>
      </c>
      <c r="N895">
        <f>Earnings!B895*(1+M895)</f>
        <v>1274725.24</v>
      </c>
    </row>
    <row r="896" spans="1:14" x14ac:dyDescent="0.35">
      <c r="A896" t="s">
        <v>926</v>
      </c>
      <c r="B896" t="s">
        <v>19</v>
      </c>
      <c r="C896" t="s">
        <v>15</v>
      </c>
      <c r="D896" t="s">
        <v>16</v>
      </c>
      <c r="E896">
        <v>2</v>
      </c>
      <c r="F896" t="s">
        <v>70</v>
      </c>
      <c r="G896">
        <f>Earnings!G896</f>
        <v>514691.18</v>
      </c>
      <c r="H896">
        <f>Deductions!B896+Deductions!C896+Deductions!D896+Tax!D896</f>
        <v>3719.0333333333338</v>
      </c>
      <c r="I896">
        <f t="shared" si="39"/>
        <v>581255.60666666669</v>
      </c>
      <c r="J896">
        <f>Overtime!D896</f>
        <v>70283.460000000006</v>
      </c>
      <c r="K896">
        <f t="shared" si="40"/>
        <v>0.06</v>
      </c>
      <c r="L896">
        <f>IF(Performance!E896&lt;=1.5,0.01,IF(Performance!E896&lt;=2,0.02,IF(Performance!E896&lt;=3,0.03,"")))</f>
        <v>0.03</v>
      </c>
      <c r="M896">
        <f t="shared" si="41"/>
        <v>0.09</v>
      </c>
      <c r="N896">
        <f>Earnings!B896*(1+M896)</f>
        <v>589299.78</v>
      </c>
    </row>
    <row r="897" spans="1:14" x14ac:dyDescent="0.35">
      <c r="A897" t="s">
        <v>927</v>
      </c>
      <c r="B897" t="s">
        <v>19</v>
      </c>
      <c r="C897" t="s">
        <v>33</v>
      </c>
      <c r="D897" t="s">
        <v>21</v>
      </c>
      <c r="E897">
        <v>10.8</v>
      </c>
      <c r="F897" t="s">
        <v>31</v>
      </c>
      <c r="G897">
        <f>Earnings!G897</f>
        <v>883880.25</v>
      </c>
      <c r="H897">
        <f>Deductions!B897+Deductions!C897+Deductions!D897+Tax!D897</f>
        <v>10222.427333333333</v>
      </c>
      <c r="I897">
        <f t="shared" si="39"/>
        <v>873657.8226666667</v>
      </c>
      <c r="J897">
        <f>Overtime!D897</f>
        <v>0</v>
      </c>
      <c r="K897">
        <f t="shared" si="40"/>
        <v>0.08</v>
      </c>
      <c r="L897">
        <f>IF(Performance!E897&lt;=1.5,0.01,IF(Performance!E897&lt;=2,0.02,IF(Performance!E897&lt;=3,0.03,"")))</f>
        <v>0.03</v>
      </c>
      <c r="M897">
        <f t="shared" si="41"/>
        <v>0.11</v>
      </c>
      <c r="N897">
        <f>Earnings!B897*(1+M897)</f>
        <v>1030574.6604000001</v>
      </c>
    </row>
    <row r="898" spans="1:14" x14ac:dyDescent="0.35">
      <c r="A898" t="s">
        <v>928</v>
      </c>
      <c r="B898" t="s">
        <v>14</v>
      </c>
      <c r="C898" t="s">
        <v>15</v>
      </c>
      <c r="D898" t="s">
        <v>21</v>
      </c>
      <c r="E898">
        <v>0</v>
      </c>
      <c r="F898" t="s">
        <v>24</v>
      </c>
      <c r="G898">
        <f>Earnings!G898</f>
        <v>495422.18</v>
      </c>
      <c r="H898">
        <f>Deductions!B898+Deductions!C898+Deductions!D898+Tax!D898</f>
        <v>3381.6908333333331</v>
      </c>
      <c r="I898">
        <f t="shared" ref="I898:I901" si="42">G898-H898+J898</f>
        <v>492040.48916666664</v>
      </c>
      <c r="J898">
        <f>Overtime!D898</f>
        <v>0</v>
      </c>
      <c r="K898">
        <f t="shared" si="40"/>
        <v>0.06</v>
      </c>
      <c r="L898">
        <f>IF(Performance!E898&lt;=1.5,0.01,IF(Performance!E898&lt;=2,0.02,IF(Performance!E898&lt;=3,0.03,"")))</f>
        <v>0.01</v>
      </c>
      <c r="M898">
        <f t="shared" ref="M898:M901" si="43">K898+L898</f>
        <v>6.9999999999999993E-2</v>
      </c>
      <c r="N898">
        <f>Earnings!B898*(1+M898)</f>
        <v>556829.55150000006</v>
      </c>
    </row>
    <row r="899" spans="1:14" x14ac:dyDescent="0.35">
      <c r="A899" t="s">
        <v>929</v>
      </c>
      <c r="B899" t="s">
        <v>26</v>
      </c>
      <c r="C899" t="s">
        <v>33</v>
      </c>
      <c r="D899" t="s">
        <v>16</v>
      </c>
      <c r="E899">
        <v>9.6</v>
      </c>
      <c r="F899" t="s">
        <v>27</v>
      </c>
      <c r="G899">
        <f>Earnings!G899</f>
        <v>911161.1</v>
      </c>
      <c r="H899">
        <f>Deductions!B899+Deductions!C899+Deductions!D899+Tax!D899</f>
        <v>10700.033333333335</v>
      </c>
      <c r="I899">
        <f t="shared" si="42"/>
        <v>900461.06666666665</v>
      </c>
      <c r="J899">
        <f>Overtime!D899</f>
        <v>0</v>
      </c>
      <c r="K899">
        <f t="shared" si="40"/>
        <v>0.08</v>
      </c>
      <c r="L899">
        <f>IF(Performance!E899&lt;=1.5,0.01,IF(Performance!E899&lt;=2,0.02,IF(Performance!E899&lt;=3,0.03,"")))</f>
        <v>0.01</v>
      </c>
      <c r="M899">
        <f t="shared" si="43"/>
        <v>0.09</v>
      </c>
      <c r="N899">
        <f>Earnings!B899*(1+M899)</f>
        <v>1043241.18</v>
      </c>
    </row>
    <row r="900" spans="1:14" x14ac:dyDescent="0.35">
      <c r="A900" t="s">
        <v>930</v>
      </c>
      <c r="B900" t="s">
        <v>26</v>
      </c>
      <c r="C900" t="s">
        <v>15</v>
      </c>
      <c r="D900" t="s">
        <v>21</v>
      </c>
      <c r="E900">
        <v>1</v>
      </c>
      <c r="F900" t="s">
        <v>31</v>
      </c>
      <c r="G900">
        <f>Earnings!G900</f>
        <v>516059.68</v>
      </c>
      <c r="H900">
        <f>Deductions!B900+Deductions!C900+Deductions!D900+Tax!D900</f>
        <v>3742.9916666666668</v>
      </c>
      <c r="I900">
        <f t="shared" si="42"/>
        <v>512316.68833333335</v>
      </c>
      <c r="J900">
        <f>Overtime!D900</f>
        <v>0</v>
      </c>
      <c r="K900">
        <f t="shared" si="40"/>
        <v>0.06</v>
      </c>
      <c r="L900">
        <f>IF(Performance!E900&lt;=1.5,0.01,IF(Performance!E900&lt;=2,0.02,IF(Performance!E900&lt;=3,0.03,"")))</f>
        <v>0.01</v>
      </c>
      <c r="M900">
        <f t="shared" si="43"/>
        <v>6.9999999999999993E-2</v>
      </c>
      <c r="N900">
        <f>Earnings!B900*(1+M900)</f>
        <v>580025.06500000006</v>
      </c>
    </row>
    <row r="901" spans="1:14" x14ac:dyDescent="0.35">
      <c r="A901" t="s">
        <v>931</v>
      </c>
      <c r="B901" t="s">
        <v>19</v>
      </c>
      <c r="C901" t="s">
        <v>33</v>
      </c>
      <c r="D901" t="s">
        <v>21</v>
      </c>
      <c r="E901">
        <v>15.6</v>
      </c>
      <c r="F901" t="s">
        <v>37</v>
      </c>
      <c r="G901">
        <f>Earnings!G901</f>
        <v>1051427.95</v>
      </c>
      <c r="H901">
        <f>Deductions!B901+Deductions!C901+Deductions!D901+Tax!D901</f>
        <v>12226.028000000004</v>
      </c>
      <c r="I901">
        <f t="shared" si="42"/>
        <v>1039201.9219999999</v>
      </c>
      <c r="J901">
        <f>Overtime!D901</f>
        <v>0</v>
      </c>
      <c r="K901">
        <f t="shared" si="40"/>
        <v>0.08</v>
      </c>
      <c r="L901">
        <f>IF(Performance!E901&lt;=1.5,0.01,IF(Performance!E901&lt;=2,0.02,IF(Performance!E901&lt;=3,0.03,"")))</f>
        <v>0.03</v>
      </c>
      <c r="M901">
        <f t="shared" si="43"/>
        <v>0.11</v>
      </c>
      <c r="N901">
        <f>Earnings!B901*(1+M901)</f>
        <v>1225929.6432000003</v>
      </c>
    </row>
  </sheetData>
  <autoFilter ref="A1:N1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01"/>
  <sheetViews>
    <sheetView workbookViewId="0">
      <selection activeCell="G10" sqref="G10"/>
    </sheetView>
  </sheetViews>
  <sheetFormatPr defaultRowHeight="14.5" x14ac:dyDescent="0.35"/>
  <sheetData>
    <row r="1" spans="1:7" x14ac:dyDescent="0.35">
      <c r="A1" t="s">
        <v>0</v>
      </c>
      <c r="B1" t="s">
        <v>938</v>
      </c>
      <c r="C1" t="s">
        <v>939</v>
      </c>
      <c r="D1" t="s">
        <v>940</v>
      </c>
      <c r="E1" t="s">
        <v>941</v>
      </c>
      <c r="F1" t="s">
        <v>942</v>
      </c>
      <c r="G1" t="s">
        <v>6</v>
      </c>
    </row>
    <row r="2" spans="1:7" x14ac:dyDescent="0.35">
      <c r="A2" t="s">
        <v>13</v>
      </c>
      <c r="B2">
        <v>567032</v>
      </c>
      <c r="C2">
        <v>226812.79999999999</v>
      </c>
      <c r="D2">
        <v>113406.39999999999</v>
      </c>
      <c r="E2">
        <v>142892.06</v>
      </c>
      <c r="F2">
        <v>56703.199999999997</v>
      </c>
      <c r="G2">
        <v>539814.46</v>
      </c>
    </row>
    <row r="3" spans="1:7" x14ac:dyDescent="0.35">
      <c r="A3" t="s">
        <v>18</v>
      </c>
      <c r="B3">
        <v>1360780.19</v>
      </c>
      <c r="C3">
        <v>544312.07999999996</v>
      </c>
      <c r="D3">
        <v>272156.03999999998</v>
      </c>
      <c r="E3">
        <v>342916.61</v>
      </c>
      <c r="F3">
        <v>136078.01999999999</v>
      </c>
      <c r="G3">
        <v>1295462.74</v>
      </c>
    </row>
    <row r="4" spans="1:7" x14ac:dyDescent="0.35">
      <c r="A4" t="s">
        <v>23</v>
      </c>
      <c r="B4">
        <v>647557</v>
      </c>
      <c r="C4">
        <v>259022.8</v>
      </c>
      <c r="D4">
        <v>129511.4</v>
      </c>
      <c r="E4">
        <v>163184.35999999999</v>
      </c>
      <c r="F4">
        <v>64755.7</v>
      </c>
      <c r="G4">
        <v>616474.26</v>
      </c>
    </row>
    <row r="5" spans="1:7" x14ac:dyDescent="0.35">
      <c r="A5" t="s">
        <v>25</v>
      </c>
      <c r="B5">
        <v>705914.6</v>
      </c>
      <c r="C5">
        <v>282365.84000000003</v>
      </c>
      <c r="D5">
        <v>141182.92000000001</v>
      </c>
      <c r="E5">
        <v>177890.48</v>
      </c>
      <c r="F5">
        <v>70591.460000000006</v>
      </c>
      <c r="G5">
        <v>672030.7</v>
      </c>
    </row>
    <row r="6" spans="1:7" x14ac:dyDescent="0.35">
      <c r="A6" t="s">
        <v>28</v>
      </c>
      <c r="B6">
        <v>1000642</v>
      </c>
      <c r="C6">
        <v>400256.8</v>
      </c>
      <c r="D6">
        <v>200128.4</v>
      </c>
      <c r="E6">
        <v>252161.78</v>
      </c>
      <c r="F6">
        <v>100064.2</v>
      </c>
      <c r="G6">
        <v>952611.18</v>
      </c>
    </row>
    <row r="7" spans="1:7" x14ac:dyDescent="0.35">
      <c r="A7" t="s">
        <v>30</v>
      </c>
      <c r="B7">
        <v>513985.15</v>
      </c>
      <c r="C7">
        <v>205594.06</v>
      </c>
      <c r="D7">
        <v>102797.03</v>
      </c>
      <c r="E7">
        <v>129524.26</v>
      </c>
      <c r="F7">
        <v>51398.52</v>
      </c>
      <c r="G7">
        <v>489313.86</v>
      </c>
    </row>
    <row r="8" spans="1:7" x14ac:dyDescent="0.35">
      <c r="A8" t="s">
        <v>32</v>
      </c>
      <c r="B8">
        <v>1082752.6200000001</v>
      </c>
      <c r="C8">
        <v>433101.05</v>
      </c>
      <c r="D8">
        <v>216550.52</v>
      </c>
      <c r="E8">
        <v>272853.65999999997</v>
      </c>
      <c r="F8">
        <v>108275.26</v>
      </c>
      <c r="G8">
        <v>1030780.49</v>
      </c>
    </row>
    <row r="9" spans="1:7" x14ac:dyDescent="0.35">
      <c r="A9" t="s">
        <v>34</v>
      </c>
      <c r="B9">
        <v>1299435.6000000001</v>
      </c>
      <c r="C9">
        <v>519774.24</v>
      </c>
      <c r="D9">
        <v>259887.12</v>
      </c>
      <c r="E9">
        <v>327457.77</v>
      </c>
      <c r="F9">
        <v>129943.56</v>
      </c>
      <c r="G9">
        <v>1237062.69</v>
      </c>
    </row>
    <row r="10" spans="1:7" x14ac:dyDescent="0.35">
      <c r="A10" t="s">
        <v>36</v>
      </c>
      <c r="B10">
        <v>1716833.16</v>
      </c>
      <c r="C10">
        <v>686733.26</v>
      </c>
      <c r="D10">
        <v>343366.63</v>
      </c>
      <c r="E10">
        <v>432641.96</v>
      </c>
      <c r="F10">
        <v>171683.32</v>
      </c>
      <c r="G10">
        <v>1634425.17</v>
      </c>
    </row>
    <row r="11" spans="1:7" x14ac:dyDescent="0.35">
      <c r="A11" t="s">
        <v>38</v>
      </c>
      <c r="B11">
        <v>1074130.8</v>
      </c>
      <c r="C11">
        <v>429652.32</v>
      </c>
      <c r="D11">
        <v>214826.16</v>
      </c>
      <c r="E11">
        <v>270680.96000000002</v>
      </c>
      <c r="F11">
        <v>107413.08</v>
      </c>
      <c r="G11">
        <v>1022572.52</v>
      </c>
    </row>
    <row r="12" spans="1:7" x14ac:dyDescent="0.35">
      <c r="A12" t="s">
        <v>39</v>
      </c>
      <c r="B12">
        <v>562117.85</v>
      </c>
      <c r="C12">
        <v>224847.14</v>
      </c>
      <c r="D12">
        <v>112423.57</v>
      </c>
      <c r="E12">
        <v>141653.70000000001</v>
      </c>
      <c r="F12">
        <v>56211.79</v>
      </c>
      <c r="G12">
        <v>535136.18999999994</v>
      </c>
    </row>
    <row r="13" spans="1:7" x14ac:dyDescent="0.35">
      <c r="A13" t="s">
        <v>40</v>
      </c>
      <c r="B13">
        <v>1201323.6000000001</v>
      </c>
      <c r="C13">
        <v>480529.44</v>
      </c>
      <c r="D13">
        <v>240264.72</v>
      </c>
      <c r="E13">
        <v>302733.55</v>
      </c>
      <c r="F13">
        <v>120132.36</v>
      </c>
      <c r="G13">
        <v>1143660.07</v>
      </c>
    </row>
    <row r="14" spans="1:7" x14ac:dyDescent="0.35">
      <c r="A14" t="s">
        <v>41</v>
      </c>
      <c r="B14">
        <v>1327744.6000000001</v>
      </c>
      <c r="C14">
        <v>531097.84</v>
      </c>
      <c r="D14">
        <v>265548.92</v>
      </c>
      <c r="E14">
        <v>334591.64</v>
      </c>
      <c r="F14">
        <v>132774.46</v>
      </c>
      <c r="G14">
        <v>1264012.8600000001</v>
      </c>
    </row>
    <row r="15" spans="1:7" x14ac:dyDescent="0.35">
      <c r="A15" t="s">
        <v>42</v>
      </c>
      <c r="B15">
        <v>1206367.8500000001</v>
      </c>
      <c r="C15">
        <v>482547.14</v>
      </c>
      <c r="D15">
        <v>241273.57</v>
      </c>
      <c r="E15">
        <v>304004.7</v>
      </c>
      <c r="F15">
        <v>120636.79</v>
      </c>
      <c r="G15">
        <v>1148462.2</v>
      </c>
    </row>
    <row r="16" spans="1:7" x14ac:dyDescent="0.35">
      <c r="A16" t="s">
        <v>45</v>
      </c>
      <c r="B16">
        <v>1376698.96</v>
      </c>
      <c r="C16">
        <v>550679.57999999996</v>
      </c>
      <c r="D16">
        <v>275339.78999999998</v>
      </c>
      <c r="E16">
        <v>346928.14</v>
      </c>
      <c r="F16">
        <v>137669.9</v>
      </c>
      <c r="G16">
        <v>1310617.4099999999</v>
      </c>
    </row>
    <row r="17" spans="1:7" x14ac:dyDescent="0.35">
      <c r="A17" t="s">
        <v>46</v>
      </c>
      <c r="B17">
        <v>1107413.1000000001</v>
      </c>
      <c r="C17">
        <v>442965.24</v>
      </c>
      <c r="D17">
        <v>221482.62</v>
      </c>
      <c r="E17">
        <v>279068.09999999998</v>
      </c>
      <c r="F17">
        <v>110741.31</v>
      </c>
      <c r="G17">
        <v>1054257.27</v>
      </c>
    </row>
    <row r="18" spans="1:7" x14ac:dyDescent="0.35">
      <c r="A18" t="s">
        <v>47</v>
      </c>
      <c r="B18">
        <v>1114448.51</v>
      </c>
      <c r="C18">
        <v>445779.41</v>
      </c>
      <c r="D18">
        <v>222889.7</v>
      </c>
      <c r="E18">
        <v>280841.03000000003</v>
      </c>
      <c r="F18">
        <v>111444.85</v>
      </c>
      <c r="G18">
        <v>1060954.99</v>
      </c>
    </row>
    <row r="19" spans="1:7" x14ac:dyDescent="0.35">
      <c r="A19" t="s">
        <v>48</v>
      </c>
      <c r="B19">
        <v>1501371.2</v>
      </c>
      <c r="C19">
        <v>600548.48</v>
      </c>
      <c r="D19">
        <v>300274.24</v>
      </c>
      <c r="E19">
        <v>378345.54</v>
      </c>
      <c r="F19">
        <v>150137.12</v>
      </c>
      <c r="G19">
        <v>1429305.38</v>
      </c>
    </row>
    <row r="20" spans="1:7" x14ac:dyDescent="0.35">
      <c r="A20" t="s">
        <v>49</v>
      </c>
      <c r="B20">
        <v>1251818.8</v>
      </c>
      <c r="C20">
        <v>500727.52</v>
      </c>
      <c r="D20">
        <v>250363.76</v>
      </c>
      <c r="E20">
        <v>315458.34000000003</v>
      </c>
      <c r="F20">
        <v>125181.88</v>
      </c>
      <c r="G20">
        <v>1191731.5</v>
      </c>
    </row>
    <row r="21" spans="1:7" x14ac:dyDescent="0.35">
      <c r="A21" t="s">
        <v>50</v>
      </c>
      <c r="B21">
        <v>932918.4</v>
      </c>
      <c r="C21">
        <v>373167.35999999999</v>
      </c>
      <c r="D21">
        <v>186583.67999999999</v>
      </c>
      <c r="E21">
        <v>235095.44</v>
      </c>
      <c r="F21">
        <v>93291.839999999997</v>
      </c>
      <c r="G21">
        <v>888138.32</v>
      </c>
    </row>
    <row r="22" spans="1:7" x14ac:dyDescent="0.35">
      <c r="A22" t="s">
        <v>51</v>
      </c>
      <c r="B22">
        <v>791056</v>
      </c>
      <c r="C22">
        <v>316422.40000000002</v>
      </c>
      <c r="D22">
        <v>158211.20000000001</v>
      </c>
      <c r="E22">
        <v>199346.11</v>
      </c>
      <c r="F22">
        <v>79105.600000000006</v>
      </c>
      <c r="G22">
        <v>753085.31</v>
      </c>
    </row>
    <row r="23" spans="1:7" x14ac:dyDescent="0.35">
      <c r="A23" t="s">
        <v>52</v>
      </c>
      <c r="B23">
        <v>1222813.2</v>
      </c>
      <c r="C23">
        <v>489125.28</v>
      </c>
      <c r="D23">
        <v>244562.64</v>
      </c>
      <c r="E23">
        <v>308148.93</v>
      </c>
      <c r="F23">
        <v>122281.32</v>
      </c>
      <c r="G23">
        <v>1164118.17</v>
      </c>
    </row>
    <row r="24" spans="1:7" x14ac:dyDescent="0.35">
      <c r="A24" t="s">
        <v>53</v>
      </c>
      <c r="B24">
        <v>1096374</v>
      </c>
      <c r="C24">
        <v>438549.6</v>
      </c>
      <c r="D24">
        <v>219274.8</v>
      </c>
      <c r="E24">
        <v>276286.25</v>
      </c>
      <c r="F24">
        <v>109637.4</v>
      </c>
      <c r="G24">
        <v>1043748.05</v>
      </c>
    </row>
    <row r="25" spans="1:7" x14ac:dyDescent="0.35">
      <c r="A25" t="s">
        <v>54</v>
      </c>
      <c r="B25">
        <v>1695632.1</v>
      </c>
      <c r="C25">
        <v>678252.84</v>
      </c>
      <c r="D25">
        <v>339126.42</v>
      </c>
      <c r="E25">
        <v>427299.29</v>
      </c>
      <c r="F25">
        <v>169563.21</v>
      </c>
      <c r="G25">
        <v>1614241.76</v>
      </c>
    </row>
    <row r="26" spans="1:7" x14ac:dyDescent="0.35">
      <c r="A26" t="s">
        <v>55</v>
      </c>
      <c r="B26">
        <v>960193.5</v>
      </c>
      <c r="C26">
        <v>384077.4</v>
      </c>
      <c r="D26">
        <v>192038.7</v>
      </c>
      <c r="E26">
        <v>241968.76</v>
      </c>
      <c r="F26">
        <v>96019.35</v>
      </c>
      <c r="G26">
        <v>914104.21</v>
      </c>
    </row>
    <row r="27" spans="1:7" x14ac:dyDescent="0.35">
      <c r="A27" t="s">
        <v>56</v>
      </c>
      <c r="B27">
        <v>888900</v>
      </c>
      <c r="C27">
        <v>355560</v>
      </c>
      <c r="D27">
        <v>177780</v>
      </c>
      <c r="E27">
        <v>224002.8</v>
      </c>
      <c r="F27">
        <v>88890</v>
      </c>
      <c r="G27">
        <v>846232.8</v>
      </c>
    </row>
    <row r="28" spans="1:7" x14ac:dyDescent="0.35">
      <c r="A28" t="s">
        <v>57</v>
      </c>
      <c r="B28">
        <v>543884.88</v>
      </c>
      <c r="C28">
        <v>217553.95</v>
      </c>
      <c r="D28">
        <v>108776.98</v>
      </c>
      <c r="E28">
        <v>137058.99</v>
      </c>
      <c r="F28">
        <v>54388.49</v>
      </c>
      <c r="G28">
        <v>517778.41</v>
      </c>
    </row>
    <row r="29" spans="1:7" x14ac:dyDescent="0.35">
      <c r="A29" t="s">
        <v>58</v>
      </c>
      <c r="B29">
        <v>442505.63</v>
      </c>
      <c r="C29">
        <v>177002.25</v>
      </c>
      <c r="D29">
        <v>88501.13</v>
      </c>
      <c r="E29">
        <v>111511.42</v>
      </c>
      <c r="F29">
        <v>44250.559999999998</v>
      </c>
      <c r="G29">
        <v>421265.36</v>
      </c>
    </row>
    <row r="30" spans="1:7" x14ac:dyDescent="0.35">
      <c r="A30" t="s">
        <v>59</v>
      </c>
      <c r="B30">
        <v>1144289.44</v>
      </c>
      <c r="C30">
        <v>457715.78</v>
      </c>
      <c r="D30">
        <v>228857.89</v>
      </c>
      <c r="E30">
        <v>288360.94</v>
      </c>
      <c r="F30">
        <v>114428.94</v>
      </c>
      <c r="G30">
        <v>1089363.55</v>
      </c>
    </row>
    <row r="31" spans="1:7" x14ac:dyDescent="0.35">
      <c r="A31" t="s">
        <v>60</v>
      </c>
      <c r="B31">
        <v>525708.15</v>
      </c>
      <c r="C31">
        <v>210283.26</v>
      </c>
      <c r="D31">
        <v>105141.63</v>
      </c>
      <c r="E31">
        <v>132478.45000000001</v>
      </c>
      <c r="F31">
        <v>52570.82</v>
      </c>
      <c r="G31">
        <v>500474.16</v>
      </c>
    </row>
    <row r="32" spans="1:7" x14ac:dyDescent="0.35">
      <c r="A32" t="s">
        <v>61</v>
      </c>
      <c r="B32">
        <v>1591371.7</v>
      </c>
      <c r="C32">
        <v>636548.68000000005</v>
      </c>
      <c r="D32">
        <v>318274.34000000003</v>
      </c>
      <c r="E32">
        <v>401025.67</v>
      </c>
      <c r="F32">
        <v>159137.17000000001</v>
      </c>
      <c r="G32">
        <v>1514985.86</v>
      </c>
    </row>
    <row r="33" spans="1:7" x14ac:dyDescent="0.35">
      <c r="A33" t="s">
        <v>62</v>
      </c>
      <c r="B33">
        <v>950427.8</v>
      </c>
      <c r="C33">
        <v>380171.12</v>
      </c>
      <c r="D33">
        <v>190085.56</v>
      </c>
      <c r="E33">
        <v>239507.81</v>
      </c>
      <c r="F33">
        <v>95042.78</v>
      </c>
      <c r="G33">
        <v>904807.27</v>
      </c>
    </row>
    <row r="34" spans="1:7" x14ac:dyDescent="0.35">
      <c r="A34" t="s">
        <v>63</v>
      </c>
      <c r="B34">
        <v>1814461</v>
      </c>
      <c r="C34">
        <v>725784.4</v>
      </c>
      <c r="D34">
        <v>362892.2</v>
      </c>
      <c r="E34">
        <v>457244.17</v>
      </c>
      <c r="F34">
        <v>181446.1</v>
      </c>
      <c r="G34">
        <v>1727366.87</v>
      </c>
    </row>
    <row r="35" spans="1:7" x14ac:dyDescent="0.35">
      <c r="A35" t="s">
        <v>64</v>
      </c>
      <c r="B35">
        <v>1365689.22</v>
      </c>
      <c r="C35">
        <v>546275.68999999994</v>
      </c>
      <c r="D35">
        <v>273137.84000000003</v>
      </c>
      <c r="E35">
        <v>344153.68</v>
      </c>
      <c r="F35">
        <v>136568.92000000001</v>
      </c>
      <c r="G35">
        <v>1300136.1399999999</v>
      </c>
    </row>
    <row r="36" spans="1:7" x14ac:dyDescent="0.35">
      <c r="A36" t="s">
        <v>65</v>
      </c>
      <c r="B36">
        <v>515663.8</v>
      </c>
      <c r="C36">
        <v>206265.52</v>
      </c>
      <c r="D36">
        <v>103132.76</v>
      </c>
      <c r="E36">
        <v>129947.28</v>
      </c>
      <c r="F36">
        <v>51566.38</v>
      </c>
      <c r="G36">
        <v>490911.94</v>
      </c>
    </row>
    <row r="37" spans="1:7" x14ac:dyDescent="0.35">
      <c r="A37" t="s">
        <v>66</v>
      </c>
      <c r="B37">
        <v>799907.6</v>
      </c>
      <c r="C37">
        <v>319963.03999999998</v>
      </c>
      <c r="D37">
        <v>159981.51999999999</v>
      </c>
      <c r="E37">
        <v>201576.72</v>
      </c>
      <c r="F37">
        <v>79990.759999999995</v>
      </c>
      <c r="G37">
        <v>761512.04</v>
      </c>
    </row>
    <row r="38" spans="1:7" x14ac:dyDescent="0.35">
      <c r="A38" t="s">
        <v>67</v>
      </c>
      <c r="B38">
        <v>626435</v>
      </c>
      <c r="C38">
        <v>250574</v>
      </c>
      <c r="D38">
        <v>125287</v>
      </c>
      <c r="E38">
        <v>157861.62</v>
      </c>
      <c r="F38">
        <v>62643.5</v>
      </c>
      <c r="G38">
        <v>596366.12</v>
      </c>
    </row>
    <row r="39" spans="1:7" x14ac:dyDescent="0.35">
      <c r="A39" t="s">
        <v>68</v>
      </c>
      <c r="B39">
        <v>1110788.07</v>
      </c>
      <c r="C39">
        <v>444315.23</v>
      </c>
      <c r="D39">
        <v>222157.61</v>
      </c>
      <c r="E39">
        <v>279918.59000000003</v>
      </c>
      <c r="F39">
        <v>111078.81</v>
      </c>
      <c r="G39">
        <v>1057470.24</v>
      </c>
    </row>
    <row r="40" spans="1:7" x14ac:dyDescent="0.35">
      <c r="A40" t="s">
        <v>69</v>
      </c>
      <c r="B40">
        <v>973751.52</v>
      </c>
      <c r="C40">
        <v>389500.61</v>
      </c>
      <c r="D40">
        <v>194750.3</v>
      </c>
      <c r="E40">
        <v>245385.38</v>
      </c>
      <c r="F40">
        <v>97375.15</v>
      </c>
      <c r="G40">
        <v>927011.45</v>
      </c>
    </row>
    <row r="41" spans="1:7" x14ac:dyDescent="0.35">
      <c r="A41" t="s">
        <v>71</v>
      </c>
      <c r="B41">
        <v>770189</v>
      </c>
      <c r="C41">
        <v>308075.59999999998</v>
      </c>
      <c r="D41">
        <v>154037.79999999999</v>
      </c>
      <c r="E41">
        <v>194087.63</v>
      </c>
      <c r="F41">
        <v>77018.899999999994</v>
      </c>
      <c r="G41">
        <v>733219.93</v>
      </c>
    </row>
    <row r="42" spans="1:7" x14ac:dyDescent="0.35">
      <c r="A42" t="s">
        <v>72</v>
      </c>
      <c r="B42">
        <v>1082222.3999999999</v>
      </c>
      <c r="C42">
        <v>432888.96</v>
      </c>
      <c r="D42">
        <v>216444.48</v>
      </c>
      <c r="E42">
        <v>272720.03999999998</v>
      </c>
      <c r="F42">
        <v>108222.24</v>
      </c>
      <c r="G42">
        <v>1030275.72</v>
      </c>
    </row>
    <row r="43" spans="1:7" x14ac:dyDescent="0.35">
      <c r="A43" t="s">
        <v>73</v>
      </c>
      <c r="B43">
        <v>1385738.2</v>
      </c>
      <c r="C43">
        <v>554295.28</v>
      </c>
      <c r="D43">
        <v>277147.64</v>
      </c>
      <c r="E43">
        <v>349206.03</v>
      </c>
      <c r="F43">
        <v>138573.82</v>
      </c>
      <c r="G43">
        <v>1319222.77</v>
      </c>
    </row>
    <row r="44" spans="1:7" x14ac:dyDescent="0.35">
      <c r="A44" t="s">
        <v>74</v>
      </c>
      <c r="B44">
        <v>2345224.7999999998</v>
      </c>
      <c r="C44">
        <v>938089.92</v>
      </c>
      <c r="D44">
        <v>469044.96</v>
      </c>
      <c r="E44">
        <v>590996.65</v>
      </c>
      <c r="F44">
        <v>234522.48</v>
      </c>
      <c r="G44">
        <v>2232654.0099999998</v>
      </c>
    </row>
    <row r="45" spans="1:7" x14ac:dyDescent="0.35">
      <c r="A45" t="s">
        <v>75</v>
      </c>
      <c r="B45">
        <v>337354</v>
      </c>
      <c r="C45">
        <v>134941.6</v>
      </c>
      <c r="D45">
        <v>67470.8</v>
      </c>
      <c r="E45">
        <v>85013.21</v>
      </c>
      <c r="F45">
        <v>33735.4</v>
      </c>
      <c r="G45">
        <v>321161.01</v>
      </c>
    </row>
    <row r="46" spans="1:7" x14ac:dyDescent="0.35">
      <c r="A46" t="s">
        <v>76</v>
      </c>
      <c r="B46">
        <v>1284168.2</v>
      </c>
      <c r="C46">
        <v>513667.28</v>
      </c>
      <c r="D46">
        <v>256833.64</v>
      </c>
      <c r="E46">
        <v>323610.39</v>
      </c>
      <c r="F46">
        <v>128416.82</v>
      </c>
      <c r="G46">
        <v>1222528.1299999999</v>
      </c>
    </row>
    <row r="47" spans="1:7" x14ac:dyDescent="0.35">
      <c r="A47" t="s">
        <v>77</v>
      </c>
      <c r="B47">
        <v>1286822.6000000001</v>
      </c>
      <c r="C47">
        <v>514729.04</v>
      </c>
      <c r="D47">
        <v>257364.52</v>
      </c>
      <c r="E47">
        <v>324279.3</v>
      </c>
      <c r="F47">
        <v>128682.26</v>
      </c>
      <c r="G47">
        <v>1225055.1200000001</v>
      </c>
    </row>
    <row r="48" spans="1:7" x14ac:dyDescent="0.35">
      <c r="A48" t="s">
        <v>78</v>
      </c>
      <c r="B48">
        <v>1070229.6000000001</v>
      </c>
      <c r="C48">
        <v>428091.84</v>
      </c>
      <c r="D48">
        <v>214045.92</v>
      </c>
      <c r="E48">
        <v>269697.86</v>
      </c>
      <c r="F48">
        <v>107022.96</v>
      </c>
      <c r="G48">
        <v>1018858.58</v>
      </c>
    </row>
    <row r="49" spans="1:7" x14ac:dyDescent="0.35">
      <c r="A49" t="s">
        <v>79</v>
      </c>
      <c r="B49">
        <v>1149449</v>
      </c>
      <c r="C49">
        <v>459779.6</v>
      </c>
      <c r="D49">
        <v>229889.8</v>
      </c>
      <c r="E49">
        <v>289661.15000000002</v>
      </c>
      <c r="F49">
        <v>114944.9</v>
      </c>
      <c r="G49">
        <v>1094275.45</v>
      </c>
    </row>
    <row r="50" spans="1:7" x14ac:dyDescent="0.35">
      <c r="A50" t="s">
        <v>80</v>
      </c>
      <c r="B50">
        <v>1199530.8</v>
      </c>
      <c r="C50">
        <v>479812.32</v>
      </c>
      <c r="D50">
        <v>239906.16</v>
      </c>
      <c r="E50">
        <v>302281.76</v>
      </c>
      <c r="F50">
        <v>119953.08</v>
      </c>
      <c r="G50">
        <v>1141953.32</v>
      </c>
    </row>
    <row r="51" spans="1:7" x14ac:dyDescent="0.35">
      <c r="A51" t="s">
        <v>81</v>
      </c>
      <c r="B51">
        <v>1532630</v>
      </c>
      <c r="C51">
        <v>613052</v>
      </c>
      <c r="D51">
        <v>306526</v>
      </c>
      <c r="E51">
        <v>386222.76</v>
      </c>
      <c r="F51">
        <v>153263</v>
      </c>
      <c r="G51">
        <v>1459063.76</v>
      </c>
    </row>
    <row r="52" spans="1:7" x14ac:dyDescent="0.35">
      <c r="A52" t="s">
        <v>82</v>
      </c>
      <c r="B52">
        <v>1575213.2</v>
      </c>
      <c r="C52">
        <v>630085.28</v>
      </c>
      <c r="D52">
        <v>315042.64</v>
      </c>
      <c r="E52">
        <v>396953.73</v>
      </c>
      <c r="F52">
        <v>157521.32</v>
      </c>
      <c r="G52">
        <v>1499602.97</v>
      </c>
    </row>
    <row r="53" spans="1:7" x14ac:dyDescent="0.35">
      <c r="A53" t="s">
        <v>83</v>
      </c>
      <c r="B53">
        <v>958572</v>
      </c>
      <c r="C53">
        <v>383428.8</v>
      </c>
      <c r="D53">
        <v>191714.4</v>
      </c>
      <c r="E53">
        <v>241560.14</v>
      </c>
      <c r="F53">
        <v>95857.2</v>
      </c>
      <c r="G53">
        <v>912560.54</v>
      </c>
    </row>
    <row r="54" spans="1:7" x14ac:dyDescent="0.35">
      <c r="A54" t="s">
        <v>84</v>
      </c>
      <c r="B54">
        <v>1368950.5</v>
      </c>
      <c r="C54">
        <v>547580.19999999995</v>
      </c>
      <c r="D54">
        <v>273790.09999999998</v>
      </c>
      <c r="E54">
        <v>344975.53</v>
      </c>
      <c r="F54">
        <v>136895.04999999999</v>
      </c>
      <c r="G54">
        <v>1303240.8799999999</v>
      </c>
    </row>
    <row r="55" spans="1:7" x14ac:dyDescent="0.35">
      <c r="A55" t="s">
        <v>85</v>
      </c>
      <c r="B55">
        <v>794158</v>
      </c>
      <c r="C55">
        <v>317663.2</v>
      </c>
      <c r="D55">
        <v>158831.6</v>
      </c>
      <c r="E55">
        <v>200127.82</v>
      </c>
      <c r="F55">
        <v>79415.8</v>
      </c>
      <c r="G55">
        <v>756038.42</v>
      </c>
    </row>
    <row r="56" spans="1:7" x14ac:dyDescent="0.35">
      <c r="A56" t="s">
        <v>86</v>
      </c>
      <c r="B56">
        <v>1214153.2</v>
      </c>
      <c r="C56">
        <v>485661.28</v>
      </c>
      <c r="D56">
        <v>242830.64</v>
      </c>
      <c r="E56">
        <v>305966.61</v>
      </c>
      <c r="F56">
        <v>121415.32</v>
      </c>
      <c r="G56">
        <v>1155873.8500000001</v>
      </c>
    </row>
    <row r="57" spans="1:7" x14ac:dyDescent="0.35">
      <c r="A57" t="s">
        <v>87</v>
      </c>
      <c r="B57">
        <v>1033034.75</v>
      </c>
      <c r="C57">
        <v>413213.9</v>
      </c>
      <c r="D57">
        <v>206606.95</v>
      </c>
      <c r="E57">
        <v>260324.76</v>
      </c>
      <c r="F57">
        <v>103303.48</v>
      </c>
      <c r="G57">
        <v>983449.08</v>
      </c>
    </row>
    <row r="58" spans="1:7" x14ac:dyDescent="0.35">
      <c r="A58" t="s">
        <v>88</v>
      </c>
      <c r="B58">
        <v>920683</v>
      </c>
      <c r="C58">
        <v>368273.2</v>
      </c>
      <c r="D58">
        <v>184136.6</v>
      </c>
      <c r="E58">
        <v>232012.12</v>
      </c>
      <c r="F58">
        <v>92068.3</v>
      </c>
      <c r="G58">
        <v>876490.22</v>
      </c>
    </row>
    <row r="59" spans="1:7" x14ac:dyDescent="0.35">
      <c r="A59" t="s">
        <v>89</v>
      </c>
      <c r="B59">
        <v>711929.05</v>
      </c>
      <c r="C59">
        <v>284771.62</v>
      </c>
      <c r="D59">
        <v>142385.81</v>
      </c>
      <c r="E59">
        <v>179406.12</v>
      </c>
      <c r="F59">
        <v>71192.899999999994</v>
      </c>
      <c r="G59">
        <v>677756.46</v>
      </c>
    </row>
    <row r="60" spans="1:7" x14ac:dyDescent="0.35">
      <c r="A60" t="s">
        <v>90</v>
      </c>
      <c r="B60">
        <v>1244972.3400000001</v>
      </c>
      <c r="C60">
        <v>497988.94</v>
      </c>
      <c r="D60">
        <v>248994.47</v>
      </c>
      <c r="E60">
        <v>313733.03000000003</v>
      </c>
      <c r="F60">
        <v>124497.23</v>
      </c>
      <c r="G60">
        <v>1185213.67</v>
      </c>
    </row>
    <row r="61" spans="1:7" x14ac:dyDescent="0.35">
      <c r="A61" t="s">
        <v>91</v>
      </c>
      <c r="B61">
        <v>710107.42</v>
      </c>
      <c r="C61">
        <v>284042.96999999997</v>
      </c>
      <c r="D61">
        <v>142021.49</v>
      </c>
      <c r="E61">
        <v>178947.07</v>
      </c>
      <c r="F61">
        <v>71010.740000000005</v>
      </c>
      <c r="G61">
        <v>676022.27</v>
      </c>
    </row>
    <row r="62" spans="1:7" x14ac:dyDescent="0.35">
      <c r="A62" t="s">
        <v>92</v>
      </c>
      <c r="B62">
        <v>471655</v>
      </c>
      <c r="C62">
        <v>188662</v>
      </c>
      <c r="D62">
        <v>94331</v>
      </c>
      <c r="E62">
        <v>118857.06</v>
      </c>
      <c r="F62">
        <v>47165.5</v>
      </c>
      <c r="G62">
        <v>449015.56</v>
      </c>
    </row>
    <row r="63" spans="1:7" x14ac:dyDescent="0.35">
      <c r="A63" t="s">
        <v>93</v>
      </c>
      <c r="B63">
        <v>1626335.97</v>
      </c>
      <c r="C63">
        <v>650534.39</v>
      </c>
      <c r="D63">
        <v>325267.19</v>
      </c>
      <c r="E63">
        <v>409836.66</v>
      </c>
      <c r="F63">
        <v>162633.60000000001</v>
      </c>
      <c r="G63">
        <v>1548271.84</v>
      </c>
    </row>
    <row r="64" spans="1:7" x14ac:dyDescent="0.35">
      <c r="A64" t="s">
        <v>94</v>
      </c>
      <c r="B64">
        <v>1031657.16</v>
      </c>
      <c r="C64">
        <v>412662.86</v>
      </c>
      <c r="D64">
        <v>206331.43</v>
      </c>
      <c r="E64">
        <v>259977.60000000001</v>
      </c>
      <c r="F64">
        <v>103165.72</v>
      </c>
      <c r="G64">
        <v>982137.61</v>
      </c>
    </row>
    <row r="65" spans="1:7" x14ac:dyDescent="0.35">
      <c r="A65" t="s">
        <v>95</v>
      </c>
      <c r="B65">
        <v>883013.6</v>
      </c>
      <c r="C65">
        <v>353205.44</v>
      </c>
      <c r="D65">
        <v>176602.72</v>
      </c>
      <c r="E65">
        <v>222519.43</v>
      </c>
      <c r="F65">
        <v>88301.36</v>
      </c>
      <c r="G65">
        <v>840628.95</v>
      </c>
    </row>
    <row r="66" spans="1:7" x14ac:dyDescent="0.35">
      <c r="A66" t="s">
        <v>96</v>
      </c>
      <c r="B66">
        <v>1710553.6</v>
      </c>
      <c r="C66">
        <v>684221.43999999994</v>
      </c>
      <c r="D66">
        <v>342110.71999999997</v>
      </c>
      <c r="E66">
        <v>431059.51</v>
      </c>
      <c r="F66">
        <v>171055.35999999999</v>
      </c>
      <c r="G66">
        <v>1628447.03</v>
      </c>
    </row>
    <row r="67" spans="1:7" x14ac:dyDescent="0.35">
      <c r="A67" t="s">
        <v>97</v>
      </c>
      <c r="B67">
        <v>1356937.4</v>
      </c>
      <c r="C67">
        <v>542774.96</v>
      </c>
      <c r="D67">
        <v>271387.48</v>
      </c>
      <c r="E67">
        <v>341948.22</v>
      </c>
      <c r="F67">
        <v>135693.74</v>
      </c>
      <c r="G67">
        <v>1291804.3999999999</v>
      </c>
    </row>
    <row r="68" spans="1:7" x14ac:dyDescent="0.35">
      <c r="A68" t="s">
        <v>98</v>
      </c>
      <c r="B68">
        <v>1188686.3999999999</v>
      </c>
      <c r="C68">
        <v>475474.56</v>
      </c>
      <c r="D68">
        <v>237737.28</v>
      </c>
      <c r="E68">
        <v>299548.96999999997</v>
      </c>
      <c r="F68">
        <v>118868.64</v>
      </c>
      <c r="G68">
        <v>1131629.45</v>
      </c>
    </row>
    <row r="69" spans="1:7" x14ac:dyDescent="0.35">
      <c r="A69" t="s">
        <v>99</v>
      </c>
      <c r="B69">
        <v>1208410.07</v>
      </c>
      <c r="C69">
        <v>483364.03</v>
      </c>
      <c r="D69">
        <v>241682.01</v>
      </c>
      <c r="E69">
        <v>304519.34000000003</v>
      </c>
      <c r="F69">
        <v>120841.01</v>
      </c>
      <c r="G69">
        <v>1150406.3899999999</v>
      </c>
    </row>
    <row r="70" spans="1:7" x14ac:dyDescent="0.35">
      <c r="A70" t="s">
        <v>100</v>
      </c>
      <c r="B70">
        <v>629820.55000000005</v>
      </c>
      <c r="C70">
        <v>251928.22</v>
      </c>
      <c r="D70">
        <v>125964.11</v>
      </c>
      <c r="E70">
        <v>158714.78</v>
      </c>
      <c r="F70">
        <v>62982.05</v>
      </c>
      <c r="G70">
        <v>599589.16</v>
      </c>
    </row>
    <row r="71" spans="1:7" x14ac:dyDescent="0.35">
      <c r="A71" t="s">
        <v>101</v>
      </c>
      <c r="B71">
        <v>1303967.9099999999</v>
      </c>
      <c r="C71">
        <v>521587.16</v>
      </c>
      <c r="D71">
        <v>260793.58</v>
      </c>
      <c r="E71">
        <v>328599.90999999997</v>
      </c>
      <c r="F71">
        <v>130396.79</v>
      </c>
      <c r="G71">
        <v>1241377.45</v>
      </c>
    </row>
    <row r="72" spans="1:7" x14ac:dyDescent="0.35">
      <c r="A72" t="s">
        <v>102</v>
      </c>
      <c r="B72">
        <v>1233943.2</v>
      </c>
      <c r="C72">
        <v>493577.28</v>
      </c>
      <c r="D72">
        <v>246788.64</v>
      </c>
      <c r="E72">
        <v>310953.69</v>
      </c>
      <c r="F72">
        <v>123394.32</v>
      </c>
      <c r="G72">
        <v>1174713.93</v>
      </c>
    </row>
    <row r="73" spans="1:7" x14ac:dyDescent="0.35">
      <c r="A73" t="s">
        <v>103</v>
      </c>
      <c r="B73">
        <v>1771338.46</v>
      </c>
      <c r="C73">
        <v>708535.38</v>
      </c>
      <c r="D73">
        <v>354267.69</v>
      </c>
      <c r="E73">
        <v>446377.29</v>
      </c>
      <c r="F73">
        <v>177133.85</v>
      </c>
      <c r="G73">
        <v>1686314.21</v>
      </c>
    </row>
    <row r="74" spans="1:7" x14ac:dyDescent="0.35">
      <c r="A74" t="s">
        <v>104</v>
      </c>
      <c r="B74">
        <v>1085115.8400000001</v>
      </c>
      <c r="C74">
        <v>434046.34</v>
      </c>
      <c r="D74">
        <v>217023.17</v>
      </c>
      <c r="E74">
        <v>273449.19</v>
      </c>
      <c r="F74">
        <v>108511.58</v>
      </c>
      <c r="G74">
        <v>1033030.28</v>
      </c>
    </row>
    <row r="75" spans="1:7" x14ac:dyDescent="0.35">
      <c r="A75" t="s">
        <v>105</v>
      </c>
      <c r="B75">
        <v>958084.3</v>
      </c>
      <c r="C75">
        <v>383233.72</v>
      </c>
      <c r="D75">
        <v>191616.86</v>
      </c>
      <c r="E75">
        <v>241437.24</v>
      </c>
      <c r="F75">
        <v>95808.43</v>
      </c>
      <c r="G75">
        <v>912096.25</v>
      </c>
    </row>
    <row r="76" spans="1:7" x14ac:dyDescent="0.35">
      <c r="A76" t="s">
        <v>106</v>
      </c>
      <c r="B76">
        <v>721431.9</v>
      </c>
      <c r="C76">
        <v>288572.76</v>
      </c>
      <c r="D76">
        <v>144286.38</v>
      </c>
      <c r="E76">
        <v>181800.84</v>
      </c>
      <c r="F76">
        <v>72143.19</v>
      </c>
      <c r="G76">
        <v>686803.17</v>
      </c>
    </row>
    <row r="77" spans="1:7" x14ac:dyDescent="0.35">
      <c r="A77" t="s">
        <v>107</v>
      </c>
      <c r="B77">
        <v>715474.2</v>
      </c>
      <c r="C77">
        <v>286189.68</v>
      </c>
      <c r="D77">
        <v>143094.84</v>
      </c>
      <c r="E77">
        <v>180299.5</v>
      </c>
      <c r="F77">
        <v>71547.42</v>
      </c>
      <c r="G77">
        <v>681131.44</v>
      </c>
    </row>
    <row r="78" spans="1:7" x14ac:dyDescent="0.35">
      <c r="A78" t="s">
        <v>108</v>
      </c>
      <c r="B78">
        <v>742470.6</v>
      </c>
      <c r="C78">
        <v>296988.24</v>
      </c>
      <c r="D78">
        <v>148494.12</v>
      </c>
      <c r="E78">
        <v>187102.59</v>
      </c>
      <c r="F78">
        <v>74247.06</v>
      </c>
      <c r="G78">
        <v>706832.01</v>
      </c>
    </row>
    <row r="79" spans="1:7" x14ac:dyDescent="0.35">
      <c r="A79" t="s">
        <v>109</v>
      </c>
      <c r="B79">
        <v>1110955.27</v>
      </c>
      <c r="C79">
        <v>444382.11</v>
      </c>
      <c r="D79">
        <v>222191.05</v>
      </c>
      <c r="E79">
        <v>279960.73</v>
      </c>
      <c r="F79">
        <v>111095.53</v>
      </c>
      <c r="G79">
        <v>1057629.42</v>
      </c>
    </row>
    <row r="80" spans="1:7" x14ac:dyDescent="0.35">
      <c r="A80" t="s">
        <v>110</v>
      </c>
      <c r="B80">
        <v>1284822.6000000001</v>
      </c>
      <c r="C80">
        <v>513929.04</v>
      </c>
      <c r="D80">
        <v>256964.52</v>
      </c>
      <c r="E80">
        <v>323775.3</v>
      </c>
      <c r="F80">
        <v>128482.26</v>
      </c>
      <c r="G80">
        <v>1223151.1200000001</v>
      </c>
    </row>
    <row r="81" spans="1:7" x14ac:dyDescent="0.35">
      <c r="A81" t="s">
        <v>111</v>
      </c>
      <c r="B81">
        <v>2019637.4</v>
      </c>
      <c r="C81">
        <v>807854.96</v>
      </c>
      <c r="D81">
        <v>403927.48</v>
      </c>
      <c r="E81">
        <v>508948.62</v>
      </c>
      <c r="F81">
        <v>201963.74</v>
      </c>
      <c r="G81">
        <v>1922694.8</v>
      </c>
    </row>
    <row r="82" spans="1:7" x14ac:dyDescent="0.35">
      <c r="A82" t="s">
        <v>112</v>
      </c>
      <c r="B82">
        <v>647852.88</v>
      </c>
      <c r="C82">
        <v>259141.15</v>
      </c>
      <c r="D82">
        <v>129570.58</v>
      </c>
      <c r="E82">
        <v>163258.93</v>
      </c>
      <c r="F82">
        <v>64785.29</v>
      </c>
      <c r="G82">
        <v>616755.93999999994</v>
      </c>
    </row>
    <row r="83" spans="1:7" x14ac:dyDescent="0.35">
      <c r="A83" t="s">
        <v>113</v>
      </c>
      <c r="B83">
        <v>1025906.14</v>
      </c>
      <c r="C83">
        <v>410362.46</v>
      </c>
      <c r="D83">
        <v>205181.23</v>
      </c>
      <c r="E83">
        <v>258528.35</v>
      </c>
      <c r="F83">
        <v>102590.61</v>
      </c>
      <c r="G83">
        <v>976662.65</v>
      </c>
    </row>
    <row r="84" spans="1:7" x14ac:dyDescent="0.35">
      <c r="A84" t="s">
        <v>114</v>
      </c>
      <c r="B84">
        <v>700665</v>
      </c>
      <c r="C84">
        <v>280266</v>
      </c>
      <c r="D84">
        <v>140133</v>
      </c>
      <c r="E84">
        <v>176567.58</v>
      </c>
      <c r="F84">
        <v>70066.5</v>
      </c>
      <c r="G84">
        <v>667033.07999999996</v>
      </c>
    </row>
    <row r="85" spans="1:7" x14ac:dyDescent="0.35">
      <c r="A85" t="s">
        <v>115</v>
      </c>
      <c r="B85">
        <v>1083828.97</v>
      </c>
      <c r="C85">
        <v>433531.59</v>
      </c>
      <c r="D85">
        <v>216765.79</v>
      </c>
      <c r="E85">
        <v>273124.90000000002</v>
      </c>
      <c r="F85">
        <v>108382.9</v>
      </c>
      <c r="G85">
        <v>1031805.18</v>
      </c>
    </row>
    <row r="86" spans="1:7" x14ac:dyDescent="0.35">
      <c r="A86" t="s">
        <v>116</v>
      </c>
      <c r="B86">
        <v>1303954</v>
      </c>
      <c r="C86">
        <v>521581.6</v>
      </c>
      <c r="D86">
        <v>260790.8</v>
      </c>
      <c r="E86">
        <v>328596.40999999997</v>
      </c>
      <c r="F86">
        <v>130395.4</v>
      </c>
      <c r="G86">
        <v>1241364.21</v>
      </c>
    </row>
    <row r="87" spans="1:7" x14ac:dyDescent="0.35">
      <c r="A87" t="s">
        <v>117</v>
      </c>
      <c r="B87">
        <v>676120</v>
      </c>
      <c r="C87">
        <v>270448</v>
      </c>
      <c r="D87">
        <v>135224</v>
      </c>
      <c r="E87">
        <v>170382.24</v>
      </c>
      <c r="F87">
        <v>67612</v>
      </c>
      <c r="G87">
        <v>643666.24</v>
      </c>
    </row>
    <row r="88" spans="1:7" x14ac:dyDescent="0.35">
      <c r="A88" t="s">
        <v>118</v>
      </c>
      <c r="B88">
        <v>768766</v>
      </c>
      <c r="C88">
        <v>307506.40000000002</v>
      </c>
      <c r="D88">
        <v>153753.20000000001</v>
      </c>
      <c r="E88">
        <v>193729.03</v>
      </c>
      <c r="F88">
        <v>76876.600000000006</v>
      </c>
      <c r="G88">
        <v>731865.23</v>
      </c>
    </row>
    <row r="89" spans="1:7" x14ac:dyDescent="0.35">
      <c r="A89" t="s">
        <v>119</v>
      </c>
      <c r="B89">
        <v>1857199</v>
      </c>
      <c r="C89">
        <v>742879.6</v>
      </c>
      <c r="D89">
        <v>371439.8</v>
      </c>
      <c r="E89">
        <v>468014.15</v>
      </c>
      <c r="F89">
        <v>185719.9</v>
      </c>
      <c r="G89">
        <v>1768053.45</v>
      </c>
    </row>
    <row r="90" spans="1:7" x14ac:dyDescent="0.35">
      <c r="A90" t="s">
        <v>120</v>
      </c>
      <c r="B90">
        <v>1195410</v>
      </c>
      <c r="C90">
        <v>478164</v>
      </c>
      <c r="D90">
        <v>239082</v>
      </c>
      <c r="E90">
        <v>301243.32</v>
      </c>
      <c r="F90">
        <v>119541</v>
      </c>
      <c r="G90">
        <v>1138030.32</v>
      </c>
    </row>
    <row r="91" spans="1:7" x14ac:dyDescent="0.35">
      <c r="A91" t="s">
        <v>121</v>
      </c>
      <c r="B91">
        <v>1133204.8</v>
      </c>
      <c r="C91">
        <v>453281.92</v>
      </c>
      <c r="D91">
        <v>226640.96</v>
      </c>
      <c r="E91">
        <v>285567.61</v>
      </c>
      <c r="F91">
        <v>113320.48</v>
      </c>
      <c r="G91">
        <v>1078810.97</v>
      </c>
    </row>
    <row r="92" spans="1:7" x14ac:dyDescent="0.35">
      <c r="A92" t="s">
        <v>122</v>
      </c>
      <c r="B92">
        <v>1872193</v>
      </c>
      <c r="C92">
        <v>748877.2</v>
      </c>
      <c r="D92">
        <v>374438.6</v>
      </c>
      <c r="E92">
        <v>471792.64000000001</v>
      </c>
      <c r="F92">
        <v>187219.3</v>
      </c>
      <c r="G92">
        <v>1782327.74</v>
      </c>
    </row>
    <row r="93" spans="1:7" x14ac:dyDescent="0.35">
      <c r="A93" t="s">
        <v>123</v>
      </c>
      <c r="B93">
        <v>931327</v>
      </c>
      <c r="C93">
        <v>372530.8</v>
      </c>
      <c r="D93">
        <v>186265.4</v>
      </c>
      <c r="E93">
        <v>234694.39999999999</v>
      </c>
      <c r="F93">
        <v>93132.7</v>
      </c>
      <c r="G93">
        <v>886623.3</v>
      </c>
    </row>
    <row r="94" spans="1:7" x14ac:dyDescent="0.35">
      <c r="A94" t="s">
        <v>124</v>
      </c>
      <c r="B94">
        <v>1235861.46</v>
      </c>
      <c r="C94">
        <v>494344.58</v>
      </c>
      <c r="D94">
        <v>247172.29</v>
      </c>
      <c r="E94">
        <v>311437.09000000003</v>
      </c>
      <c r="F94">
        <v>123586.15</v>
      </c>
      <c r="G94">
        <v>1176540.1100000001</v>
      </c>
    </row>
    <row r="95" spans="1:7" x14ac:dyDescent="0.35">
      <c r="A95" t="s">
        <v>125</v>
      </c>
      <c r="B95">
        <v>967581.84</v>
      </c>
      <c r="C95">
        <v>387032.74</v>
      </c>
      <c r="D95">
        <v>193516.37</v>
      </c>
      <c r="E95">
        <v>243830.62</v>
      </c>
      <c r="F95">
        <v>96758.18</v>
      </c>
      <c r="G95">
        <v>921137.91</v>
      </c>
    </row>
    <row r="96" spans="1:7" x14ac:dyDescent="0.35">
      <c r="A96" t="s">
        <v>126</v>
      </c>
      <c r="B96">
        <v>1227622.8</v>
      </c>
      <c r="C96">
        <v>491049.12</v>
      </c>
      <c r="D96">
        <v>245524.56</v>
      </c>
      <c r="E96">
        <v>309360.95</v>
      </c>
      <c r="F96">
        <v>122762.28</v>
      </c>
      <c r="G96">
        <v>1168696.9099999999</v>
      </c>
    </row>
    <row r="97" spans="1:7" x14ac:dyDescent="0.35">
      <c r="A97" t="s">
        <v>127</v>
      </c>
      <c r="B97">
        <v>1513661.98</v>
      </c>
      <c r="C97">
        <v>605464.79</v>
      </c>
      <c r="D97">
        <v>302732.40000000002</v>
      </c>
      <c r="E97">
        <v>381442.82</v>
      </c>
      <c r="F97">
        <v>151366.20000000001</v>
      </c>
      <c r="G97">
        <v>1441006.2</v>
      </c>
    </row>
    <row r="98" spans="1:7" x14ac:dyDescent="0.35">
      <c r="A98" t="s">
        <v>128</v>
      </c>
      <c r="B98">
        <v>1151940.93</v>
      </c>
      <c r="C98">
        <v>460776.37</v>
      </c>
      <c r="D98">
        <v>230388.19</v>
      </c>
      <c r="E98">
        <v>290289.11</v>
      </c>
      <c r="F98">
        <v>115194.09</v>
      </c>
      <c r="G98">
        <v>1096647.77</v>
      </c>
    </row>
    <row r="99" spans="1:7" x14ac:dyDescent="0.35">
      <c r="A99" t="s">
        <v>129</v>
      </c>
      <c r="B99">
        <v>1189503.3600000001</v>
      </c>
      <c r="C99">
        <v>475801.34</v>
      </c>
      <c r="D99">
        <v>237900.67</v>
      </c>
      <c r="E99">
        <v>299754.84999999998</v>
      </c>
      <c r="F99">
        <v>118950.34</v>
      </c>
      <c r="G99">
        <v>1132407.2</v>
      </c>
    </row>
    <row r="100" spans="1:7" x14ac:dyDescent="0.35">
      <c r="A100" t="s">
        <v>130</v>
      </c>
      <c r="B100">
        <v>836149.72</v>
      </c>
      <c r="C100">
        <v>334459.89</v>
      </c>
      <c r="D100">
        <v>167229.94</v>
      </c>
      <c r="E100">
        <v>210709.73</v>
      </c>
      <c r="F100">
        <v>83614.97</v>
      </c>
      <c r="G100">
        <v>796014.53</v>
      </c>
    </row>
    <row r="101" spans="1:7" x14ac:dyDescent="0.35">
      <c r="A101" t="s">
        <v>131</v>
      </c>
      <c r="B101">
        <v>1279836.3899999999</v>
      </c>
      <c r="C101">
        <v>511934.56</v>
      </c>
      <c r="D101">
        <v>255967.28</v>
      </c>
      <c r="E101">
        <v>322518.77</v>
      </c>
      <c r="F101">
        <v>127983.64</v>
      </c>
      <c r="G101">
        <v>1218404.24</v>
      </c>
    </row>
    <row r="102" spans="1:7" x14ac:dyDescent="0.35">
      <c r="A102" t="s">
        <v>132</v>
      </c>
      <c r="B102">
        <v>1068048.52</v>
      </c>
      <c r="C102">
        <v>427219.41</v>
      </c>
      <c r="D102">
        <v>213609.7</v>
      </c>
      <c r="E102">
        <v>269148.23</v>
      </c>
      <c r="F102">
        <v>106804.85</v>
      </c>
      <c r="G102">
        <v>1016782.19</v>
      </c>
    </row>
    <row r="103" spans="1:7" x14ac:dyDescent="0.35">
      <c r="A103" t="s">
        <v>133</v>
      </c>
      <c r="B103">
        <v>995796.2</v>
      </c>
      <c r="C103">
        <v>398318.48</v>
      </c>
      <c r="D103">
        <v>199159.24</v>
      </c>
      <c r="E103">
        <v>250940.64</v>
      </c>
      <c r="F103">
        <v>99579.62</v>
      </c>
      <c r="G103">
        <v>947997.98</v>
      </c>
    </row>
    <row r="104" spans="1:7" x14ac:dyDescent="0.35">
      <c r="A104" t="s">
        <v>134</v>
      </c>
      <c r="B104">
        <v>956035.2</v>
      </c>
      <c r="C104">
        <v>382414.08000000002</v>
      </c>
      <c r="D104">
        <v>191207.04000000001</v>
      </c>
      <c r="E104">
        <v>240920.87</v>
      </c>
      <c r="F104">
        <v>95603.520000000004</v>
      </c>
      <c r="G104">
        <v>910145.51</v>
      </c>
    </row>
    <row r="105" spans="1:7" x14ac:dyDescent="0.35">
      <c r="A105" t="s">
        <v>135</v>
      </c>
      <c r="B105">
        <v>898193.65</v>
      </c>
      <c r="C105">
        <v>359277.46</v>
      </c>
      <c r="D105">
        <v>179638.73</v>
      </c>
      <c r="E105">
        <v>226344.8</v>
      </c>
      <c r="F105">
        <v>89819.36</v>
      </c>
      <c r="G105">
        <v>855080.35</v>
      </c>
    </row>
    <row r="106" spans="1:7" x14ac:dyDescent="0.35">
      <c r="A106" t="s">
        <v>136</v>
      </c>
      <c r="B106">
        <v>2566955.7999999998</v>
      </c>
      <c r="C106">
        <v>1026782.32</v>
      </c>
      <c r="D106">
        <v>513391.16</v>
      </c>
      <c r="E106">
        <v>646872.86</v>
      </c>
      <c r="F106">
        <v>256695.58</v>
      </c>
      <c r="G106">
        <v>2443741.92</v>
      </c>
    </row>
    <row r="107" spans="1:7" x14ac:dyDescent="0.35">
      <c r="A107" t="s">
        <v>137</v>
      </c>
      <c r="B107">
        <v>609167</v>
      </c>
      <c r="C107">
        <v>243666.8</v>
      </c>
      <c r="D107">
        <v>121833.4</v>
      </c>
      <c r="E107">
        <v>153510.07999999999</v>
      </c>
      <c r="F107">
        <v>60916.7</v>
      </c>
      <c r="G107">
        <v>579926.98</v>
      </c>
    </row>
    <row r="108" spans="1:7" x14ac:dyDescent="0.35">
      <c r="A108" t="s">
        <v>138</v>
      </c>
      <c r="B108">
        <v>1126046</v>
      </c>
      <c r="C108">
        <v>450418.4</v>
      </c>
      <c r="D108">
        <v>225209.2</v>
      </c>
      <c r="E108">
        <v>283763.59000000003</v>
      </c>
      <c r="F108">
        <v>112604.6</v>
      </c>
      <c r="G108">
        <v>1071995.79</v>
      </c>
    </row>
    <row r="109" spans="1:7" x14ac:dyDescent="0.35">
      <c r="A109" t="s">
        <v>139</v>
      </c>
      <c r="B109">
        <v>965991</v>
      </c>
      <c r="C109">
        <v>386396.4</v>
      </c>
      <c r="D109">
        <v>193198.2</v>
      </c>
      <c r="E109">
        <v>243429.73</v>
      </c>
      <c r="F109">
        <v>96599.1</v>
      </c>
      <c r="G109">
        <v>919623.43</v>
      </c>
    </row>
    <row r="110" spans="1:7" x14ac:dyDescent="0.35">
      <c r="A110" t="s">
        <v>140</v>
      </c>
      <c r="B110">
        <v>869775.54</v>
      </c>
      <c r="C110">
        <v>347910.22</v>
      </c>
      <c r="D110">
        <v>173955.11</v>
      </c>
      <c r="E110">
        <v>219183.44</v>
      </c>
      <c r="F110">
        <v>86977.55</v>
      </c>
      <c r="G110">
        <v>828026.31</v>
      </c>
    </row>
    <row r="111" spans="1:7" x14ac:dyDescent="0.35">
      <c r="A111" t="s">
        <v>141</v>
      </c>
      <c r="B111">
        <v>1218056.8</v>
      </c>
      <c r="C111">
        <v>487222.72</v>
      </c>
      <c r="D111">
        <v>243611.36</v>
      </c>
      <c r="E111">
        <v>306950.31</v>
      </c>
      <c r="F111">
        <v>121805.68</v>
      </c>
      <c r="G111">
        <v>1159590.07</v>
      </c>
    </row>
    <row r="112" spans="1:7" x14ac:dyDescent="0.35">
      <c r="A112" t="s">
        <v>142</v>
      </c>
      <c r="B112">
        <v>1748544.35</v>
      </c>
      <c r="C112">
        <v>699417.74</v>
      </c>
      <c r="D112">
        <v>349708.87</v>
      </c>
      <c r="E112">
        <v>440633.18</v>
      </c>
      <c r="F112">
        <v>174854.43</v>
      </c>
      <c r="G112">
        <v>1664614.22</v>
      </c>
    </row>
    <row r="113" spans="1:7" x14ac:dyDescent="0.35">
      <c r="A113" t="s">
        <v>143</v>
      </c>
      <c r="B113">
        <v>1330453.1499999999</v>
      </c>
      <c r="C113">
        <v>532181.26</v>
      </c>
      <c r="D113">
        <v>266090.63</v>
      </c>
      <c r="E113">
        <v>335274.19</v>
      </c>
      <c r="F113">
        <v>133045.32</v>
      </c>
      <c r="G113">
        <v>1266591.3999999999</v>
      </c>
    </row>
    <row r="114" spans="1:7" x14ac:dyDescent="0.35">
      <c r="A114" t="s">
        <v>144</v>
      </c>
      <c r="B114">
        <v>882919.55</v>
      </c>
      <c r="C114">
        <v>353167.82</v>
      </c>
      <c r="D114">
        <v>176583.91</v>
      </c>
      <c r="E114">
        <v>222495.73</v>
      </c>
      <c r="F114">
        <v>88291.96</v>
      </c>
      <c r="G114">
        <v>840539.41</v>
      </c>
    </row>
    <row r="115" spans="1:7" x14ac:dyDescent="0.35">
      <c r="A115" t="s">
        <v>145</v>
      </c>
      <c r="B115">
        <v>572258</v>
      </c>
      <c r="C115">
        <v>228903.2</v>
      </c>
      <c r="D115">
        <v>114451.6</v>
      </c>
      <c r="E115">
        <v>144209.01999999999</v>
      </c>
      <c r="F115">
        <v>57225.8</v>
      </c>
      <c r="G115">
        <v>544789.62</v>
      </c>
    </row>
    <row r="116" spans="1:7" x14ac:dyDescent="0.35">
      <c r="A116" t="s">
        <v>146</v>
      </c>
      <c r="B116">
        <v>1517201</v>
      </c>
      <c r="C116">
        <v>606880.4</v>
      </c>
      <c r="D116">
        <v>303440.2</v>
      </c>
      <c r="E116">
        <v>382334.65</v>
      </c>
      <c r="F116">
        <v>151720.1</v>
      </c>
      <c r="G116">
        <v>1444375.35</v>
      </c>
    </row>
    <row r="117" spans="1:7" x14ac:dyDescent="0.35">
      <c r="A117" t="s">
        <v>147</v>
      </c>
      <c r="B117">
        <v>1194891.6000000001</v>
      </c>
      <c r="C117">
        <v>477956.64</v>
      </c>
      <c r="D117">
        <v>238978.32</v>
      </c>
      <c r="E117">
        <v>301112.68</v>
      </c>
      <c r="F117">
        <v>119489.16</v>
      </c>
      <c r="G117">
        <v>1137536.8</v>
      </c>
    </row>
    <row r="118" spans="1:7" x14ac:dyDescent="0.35">
      <c r="A118" t="s">
        <v>148</v>
      </c>
      <c r="B118">
        <v>846346.45</v>
      </c>
      <c r="C118">
        <v>338538.58</v>
      </c>
      <c r="D118">
        <v>169269.29</v>
      </c>
      <c r="E118">
        <v>213279.31</v>
      </c>
      <c r="F118">
        <v>84634.65</v>
      </c>
      <c r="G118">
        <v>805721.82</v>
      </c>
    </row>
    <row r="119" spans="1:7" x14ac:dyDescent="0.35">
      <c r="A119" t="s">
        <v>149</v>
      </c>
      <c r="B119">
        <v>1780183.81</v>
      </c>
      <c r="C119">
        <v>712073.53</v>
      </c>
      <c r="D119">
        <v>356036.76</v>
      </c>
      <c r="E119">
        <v>448606.32</v>
      </c>
      <c r="F119">
        <v>178018.38</v>
      </c>
      <c r="G119">
        <v>1694734.99</v>
      </c>
    </row>
    <row r="120" spans="1:7" x14ac:dyDescent="0.35">
      <c r="A120" t="s">
        <v>150</v>
      </c>
      <c r="B120">
        <v>1145592</v>
      </c>
      <c r="C120">
        <v>458236.8</v>
      </c>
      <c r="D120">
        <v>229118.4</v>
      </c>
      <c r="E120">
        <v>288689.18</v>
      </c>
      <c r="F120">
        <v>114559.2</v>
      </c>
      <c r="G120">
        <v>1090603.58</v>
      </c>
    </row>
    <row r="121" spans="1:7" x14ac:dyDescent="0.35">
      <c r="A121" t="s">
        <v>151</v>
      </c>
      <c r="B121">
        <v>1264523</v>
      </c>
      <c r="C121">
        <v>505809.2</v>
      </c>
      <c r="D121">
        <v>252904.6</v>
      </c>
      <c r="E121">
        <v>318659.8</v>
      </c>
      <c r="F121">
        <v>126452.3</v>
      </c>
      <c r="G121">
        <v>1203825.8999999999</v>
      </c>
    </row>
    <row r="122" spans="1:7" x14ac:dyDescent="0.35">
      <c r="A122" t="s">
        <v>152</v>
      </c>
      <c r="B122">
        <v>967113.3</v>
      </c>
      <c r="C122">
        <v>386845.32</v>
      </c>
      <c r="D122">
        <v>193422.66</v>
      </c>
      <c r="E122">
        <v>243712.55</v>
      </c>
      <c r="F122">
        <v>96711.33</v>
      </c>
      <c r="G122">
        <v>920691.86</v>
      </c>
    </row>
    <row r="123" spans="1:7" x14ac:dyDescent="0.35">
      <c r="A123" t="s">
        <v>153</v>
      </c>
      <c r="B123">
        <v>1015893</v>
      </c>
      <c r="C123">
        <v>406357.2</v>
      </c>
      <c r="D123">
        <v>203178.6</v>
      </c>
      <c r="E123">
        <v>256005.04</v>
      </c>
      <c r="F123">
        <v>101589.3</v>
      </c>
      <c r="G123">
        <v>967130.14</v>
      </c>
    </row>
    <row r="124" spans="1:7" x14ac:dyDescent="0.35">
      <c r="A124" t="s">
        <v>154</v>
      </c>
      <c r="B124">
        <v>1070989.1499999999</v>
      </c>
      <c r="C124">
        <v>428395.66</v>
      </c>
      <c r="D124">
        <v>214197.83</v>
      </c>
      <c r="E124">
        <v>269889.27</v>
      </c>
      <c r="F124">
        <v>107098.92</v>
      </c>
      <c r="G124">
        <v>1019581.67</v>
      </c>
    </row>
    <row r="125" spans="1:7" x14ac:dyDescent="0.35">
      <c r="A125" t="s">
        <v>155</v>
      </c>
      <c r="B125">
        <v>867605.55</v>
      </c>
      <c r="C125">
        <v>347042.22</v>
      </c>
      <c r="D125">
        <v>173521.11</v>
      </c>
      <c r="E125">
        <v>218636.6</v>
      </c>
      <c r="F125">
        <v>86760.55</v>
      </c>
      <c r="G125">
        <v>825960.48</v>
      </c>
    </row>
    <row r="126" spans="1:7" x14ac:dyDescent="0.35">
      <c r="A126" t="s">
        <v>156</v>
      </c>
      <c r="B126">
        <v>896759.15</v>
      </c>
      <c r="C126">
        <v>358703.66</v>
      </c>
      <c r="D126">
        <v>179351.83</v>
      </c>
      <c r="E126">
        <v>225983.31</v>
      </c>
      <c r="F126">
        <v>89675.92</v>
      </c>
      <c r="G126">
        <v>853714.71</v>
      </c>
    </row>
    <row r="127" spans="1:7" x14ac:dyDescent="0.35">
      <c r="A127" t="s">
        <v>157</v>
      </c>
      <c r="B127">
        <v>1097071.2</v>
      </c>
      <c r="C127">
        <v>438828.48</v>
      </c>
      <c r="D127">
        <v>219414.24</v>
      </c>
      <c r="E127">
        <v>276461.94</v>
      </c>
      <c r="F127">
        <v>109707.12</v>
      </c>
      <c r="G127">
        <v>1044411.78</v>
      </c>
    </row>
    <row r="128" spans="1:7" x14ac:dyDescent="0.35">
      <c r="A128" t="s">
        <v>158</v>
      </c>
      <c r="B128">
        <v>1514655.8</v>
      </c>
      <c r="C128">
        <v>605862.31999999995</v>
      </c>
      <c r="D128">
        <v>302931.15999999997</v>
      </c>
      <c r="E128">
        <v>381693.26</v>
      </c>
      <c r="F128">
        <v>151465.57999999999</v>
      </c>
      <c r="G128">
        <v>1441952.32</v>
      </c>
    </row>
    <row r="129" spans="1:7" x14ac:dyDescent="0.35">
      <c r="A129" t="s">
        <v>159</v>
      </c>
      <c r="B129">
        <v>422562</v>
      </c>
      <c r="C129">
        <v>169024.8</v>
      </c>
      <c r="D129">
        <v>84512.4</v>
      </c>
      <c r="E129">
        <v>106485.62</v>
      </c>
      <c r="F129">
        <v>42256.2</v>
      </c>
      <c r="G129">
        <v>402279.02</v>
      </c>
    </row>
    <row r="130" spans="1:7" x14ac:dyDescent="0.35">
      <c r="A130" t="s">
        <v>160</v>
      </c>
      <c r="B130">
        <v>919590</v>
      </c>
      <c r="C130">
        <v>367836</v>
      </c>
      <c r="D130">
        <v>183918</v>
      </c>
      <c r="E130">
        <v>231736.68</v>
      </c>
      <c r="F130">
        <v>91959</v>
      </c>
      <c r="G130">
        <v>875449.68</v>
      </c>
    </row>
    <row r="131" spans="1:7" x14ac:dyDescent="0.35">
      <c r="A131" t="s">
        <v>161</v>
      </c>
      <c r="B131">
        <v>794809</v>
      </c>
      <c r="C131">
        <v>317923.59999999998</v>
      </c>
      <c r="D131">
        <v>158961.79999999999</v>
      </c>
      <c r="E131">
        <v>200291.87</v>
      </c>
      <c r="F131">
        <v>79480.899999999994</v>
      </c>
      <c r="G131">
        <v>756658.17</v>
      </c>
    </row>
    <row r="132" spans="1:7" x14ac:dyDescent="0.35">
      <c r="A132" t="s">
        <v>162</v>
      </c>
      <c r="B132">
        <v>1424813.04</v>
      </c>
      <c r="C132">
        <v>569925.22</v>
      </c>
      <c r="D132">
        <v>284962.61</v>
      </c>
      <c r="E132">
        <v>359052.89</v>
      </c>
      <c r="F132">
        <v>142481.29999999999</v>
      </c>
      <c r="G132">
        <v>1356422.01</v>
      </c>
    </row>
    <row r="133" spans="1:7" x14ac:dyDescent="0.35">
      <c r="A133" t="s">
        <v>163</v>
      </c>
      <c r="B133">
        <v>1439357.16</v>
      </c>
      <c r="C133">
        <v>575742.86</v>
      </c>
      <c r="D133">
        <v>287871.43</v>
      </c>
      <c r="E133">
        <v>362718</v>
      </c>
      <c r="F133">
        <v>143935.72</v>
      </c>
      <c r="G133">
        <v>1370268.02</v>
      </c>
    </row>
    <row r="134" spans="1:7" x14ac:dyDescent="0.35">
      <c r="A134" t="s">
        <v>164</v>
      </c>
      <c r="B134">
        <v>724356.57</v>
      </c>
      <c r="C134">
        <v>289742.63</v>
      </c>
      <c r="D134">
        <v>144871.31</v>
      </c>
      <c r="E134">
        <v>182537.86</v>
      </c>
      <c r="F134">
        <v>72435.66</v>
      </c>
      <c r="G134">
        <v>689587.45</v>
      </c>
    </row>
    <row r="135" spans="1:7" x14ac:dyDescent="0.35">
      <c r="A135" t="s">
        <v>165</v>
      </c>
      <c r="B135">
        <v>855153.9</v>
      </c>
      <c r="C135">
        <v>342061.56</v>
      </c>
      <c r="D135">
        <v>171030.78</v>
      </c>
      <c r="E135">
        <v>215498.78</v>
      </c>
      <c r="F135">
        <v>85515.39</v>
      </c>
      <c r="G135">
        <v>814106.51</v>
      </c>
    </row>
    <row r="136" spans="1:7" x14ac:dyDescent="0.35">
      <c r="A136" t="s">
        <v>166</v>
      </c>
      <c r="B136">
        <v>1146948.1100000001</v>
      </c>
      <c r="C136">
        <v>458779.24</v>
      </c>
      <c r="D136">
        <v>229389.62</v>
      </c>
      <c r="E136">
        <v>289030.92</v>
      </c>
      <c r="F136">
        <v>114694.81</v>
      </c>
      <c r="G136">
        <v>1091894.6000000001</v>
      </c>
    </row>
    <row r="137" spans="1:7" x14ac:dyDescent="0.35">
      <c r="A137" t="s">
        <v>167</v>
      </c>
      <c r="B137">
        <v>840650.4</v>
      </c>
      <c r="C137">
        <v>336260.16</v>
      </c>
      <c r="D137">
        <v>168130.08</v>
      </c>
      <c r="E137">
        <v>211843.9</v>
      </c>
      <c r="F137">
        <v>84065.04</v>
      </c>
      <c r="G137">
        <v>800299.18</v>
      </c>
    </row>
    <row r="138" spans="1:7" x14ac:dyDescent="0.35">
      <c r="A138" t="s">
        <v>168</v>
      </c>
      <c r="B138">
        <v>479892.12</v>
      </c>
      <c r="C138">
        <v>191956.85</v>
      </c>
      <c r="D138">
        <v>95978.42</v>
      </c>
      <c r="E138">
        <v>120932.81</v>
      </c>
      <c r="F138">
        <v>47989.21</v>
      </c>
      <c r="G138">
        <v>456857.3</v>
      </c>
    </row>
    <row r="139" spans="1:7" x14ac:dyDescent="0.35">
      <c r="A139" t="s">
        <v>169</v>
      </c>
      <c r="B139">
        <v>1380459.5</v>
      </c>
      <c r="C139">
        <v>552183.80000000005</v>
      </c>
      <c r="D139">
        <v>276091.90000000002</v>
      </c>
      <c r="E139">
        <v>347875.79</v>
      </c>
      <c r="F139">
        <v>138045.95000000001</v>
      </c>
      <c r="G139">
        <v>1314197.44</v>
      </c>
    </row>
    <row r="140" spans="1:7" x14ac:dyDescent="0.35">
      <c r="A140" t="s">
        <v>170</v>
      </c>
      <c r="B140">
        <v>1735276.7</v>
      </c>
      <c r="C140">
        <v>694110.68</v>
      </c>
      <c r="D140">
        <v>347055.34</v>
      </c>
      <c r="E140">
        <v>437289.73</v>
      </c>
      <c r="F140">
        <v>173527.67</v>
      </c>
      <c r="G140">
        <v>1651983.42</v>
      </c>
    </row>
    <row r="141" spans="1:7" x14ac:dyDescent="0.35">
      <c r="A141" t="s">
        <v>171</v>
      </c>
      <c r="B141">
        <v>1131025.2</v>
      </c>
      <c r="C141">
        <v>452410.08</v>
      </c>
      <c r="D141">
        <v>226205.04</v>
      </c>
      <c r="E141">
        <v>285018.34999999998</v>
      </c>
      <c r="F141">
        <v>113102.52</v>
      </c>
      <c r="G141">
        <v>1076735.99</v>
      </c>
    </row>
    <row r="142" spans="1:7" x14ac:dyDescent="0.35">
      <c r="A142" t="s">
        <v>172</v>
      </c>
      <c r="B142">
        <v>489680.35</v>
      </c>
      <c r="C142">
        <v>195872.14</v>
      </c>
      <c r="D142">
        <v>97936.07</v>
      </c>
      <c r="E142">
        <v>123399.45</v>
      </c>
      <c r="F142">
        <v>48968.04</v>
      </c>
      <c r="G142">
        <v>466175.69</v>
      </c>
    </row>
    <row r="143" spans="1:7" x14ac:dyDescent="0.35">
      <c r="A143" t="s">
        <v>173</v>
      </c>
      <c r="B143">
        <v>598477.19999999995</v>
      </c>
      <c r="C143">
        <v>239390.88</v>
      </c>
      <c r="D143">
        <v>119695.44</v>
      </c>
      <c r="E143">
        <v>150816.25</v>
      </c>
      <c r="F143">
        <v>59847.72</v>
      </c>
      <c r="G143">
        <v>569750.29</v>
      </c>
    </row>
    <row r="144" spans="1:7" x14ac:dyDescent="0.35">
      <c r="A144" t="s">
        <v>174</v>
      </c>
      <c r="B144">
        <v>760833</v>
      </c>
      <c r="C144">
        <v>304333.2</v>
      </c>
      <c r="D144">
        <v>152166.6</v>
      </c>
      <c r="E144">
        <v>191729.92000000001</v>
      </c>
      <c r="F144">
        <v>76083.3</v>
      </c>
      <c r="G144">
        <v>724313.02</v>
      </c>
    </row>
    <row r="145" spans="1:7" x14ac:dyDescent="0.35">
      <c r="A145" t="s">
        <v>175</v>
      </c>
      <c r="B145">
        <v>1103379.3</v>
      </c>
      <c r="C145">
        <v>441351.72</v>
      </c>
      <c r="D145">
        <v>220675.86</v>
      </c>
      <c r="E145">
        <v>278051.58</v>
      </c>
      <c r="F145">
        <v>110337.93</v>
      </c>
      <c r="G145">
        <v>1050417.1000000001</v>
      </c>
    </row>
    <row r="146" spans="1:7" x14ac:dyDescent="0.35">
      <c r="A146" t="s">
        <v>176</v>
      </c>
      <c r="B146">
        <v>1184323.77</v>
      </c>
      <c r="C146">
        <v>473729.51</v>
      </c>
      <c r="D146">
        <v>236864.75</v>
      </c>
      <c r="E146">
        <v>298449.59000000003</v>
      </c>
      <c r="F146">
        <v>118432.38</v>
      </c>
      <c r="G146">
        <v>1127476.23</v>
      </c>
    </row>
    <row r="147" spans="1:7" x14ac:dyDescent="0.35">
      <c r="A147" t="s">
        <v>177</v>
      </c>
      <c r="B147">
        <v>1120687.2</v>
      </c>
      <c r="C147">
        <v>448274.88</v>
      </c>
      <c r="D147">
        <v>224137.44</v>
      </c>
      <c r="E147">
        <v>282413.17</v>
      </c>
      <c r="F147">
        <v>112068.72</v>
      </c>
      <c r="G147">
        <v>1066894.21</v>
      </c>
    </row>
    <row r="148" spans="1:7" x14ac:dyDescent="0.35">
      <c r="A148" t="s">
        <v>178</v>
      </c>
      <c r="B148">
        <v>846657.1</v>
      </c>
      <c r="C148">
        <v>338662.84</v>
      </c>
      <c r="D148">
        <v>169331.42</v>
      </c>
      <c r="E148">
        <v>213357.59</v>
      </c>
      <c r="F148">
        <v>84665.71</v>
      </c>
      <c r="G148">
        <v>806017.56</v>
      </c>
    </row>
    <row r="149" spans="1:7" x14ac:dyDescent="0.35">
      <c r="A149" t="s">
        <v>179</v>
      </c>
      <c r="B149">
        <v>592988</v>
      </c>
      <c r="C149">
        <v>237195.2</v>
      </c>
      <c r="D149">
        <v>118597.6</v>
      </c>
      <c r="E149">
        <v>149432.98000000001</v>
      </c>
      <c r="F149">
        <v>59298.8</v>
      </c>
      <c r="G149">
        <v>564524.57999999996</v>
      </c>
    </row>
    <row r="150" spans="1:7" x14ac:dyDescent="0.35">
      <c r="A150" t="s">
        <v>180</v>
      </c>
      <c r="B150">
        <v>689370.35</v>
      </c>
      <c r="C150">
        <v>275748.14</v>
      </c>
      <c r="D150">
        <v>137874.07</v>
      </c>
      <c r="E150">
        <v>173721.33</v>
      </c>
      <c r="F150">
        <v>68937.039999999994</v>
      </c>
      <c r="G150">
        <v>656280.56999999995</v>
      </c>
    </row>
    <row r="151" spans="1:7" x14ac:dyDescent="0.35">
      <c r="A151" t="s">
        <v>181</v>
      </c>
      <c r="B151">
        <v>903299.9</v>
      </c>
      <c r="C151">
        <v>361319.96</v>
      </c>
      <c r="D151">
        <v>180659.98</v>
      </c>
      <c r="E151">
        <v>227631.57</v>
      </c>
      <c r="F151">
        <v>90329.99</v>
      </c>
      <c r="G151">
        <v>859941.5</v>
      </c>
    </row>
    <row r="152" spans="1:7" x14ac:dyDescent="0.35">
      <c r="A152" t="s">
        <v>182</v>
      </c>
      <c r="B152">
        <v>886702.26</v>
      </c>
      <c r="C152">
        <v>354680.9</v>
      </c>
      <c r="D152">
        <v>177340.45</v>
      </c>
      <c r="E152">
        <v>223448.97</v>
      </c>
      <c r="F152">
        <v>88670.23</v>
      </c>
      <c r="G152">
        <v>844140.55</v>
      </c>
    </row>
    <row r="153" spans="1:7" x14ac:dyDescent="0.35">
      <c r="A153" t="s">
        <v>183</v>
      </c>
      <c r="B153">
        <v>1070832</v>
      </c>
      <c r="C153">
        <v>428332.79999999999</v>
      </c>
      <c r="D153">
        <v>214166.39999999999</v>
      </c>
      <c r="E153">
        <v>269849.65999999997</v>
      </c>
      <c r="F153">
        <v>107083.2</v>
      </c>
      <c r="G153">
        <v>1019432.06</v>
      </c>
    </row>
    <row r="154" spans="1:7" x14ac:dyDescent="0.35">
      <c r="A154" t="s">
        <v>184</v>
      </c>
      <c r="B154">
        <v>1455816.6</v>
      </c>
      <c r="C154">
        <v>582326.64</v>
      </c>
      <c r="D154">
        <v>291163.32</v>
      </c>
      <c r="E154">
        <v>366865.78</v>
      </c>
      <c r="F154">
        <v>145581.66</v>
      </c>
      <c r="G154">
        <v>1385937.4</v>
      </c>
    </row>
    <row r="155" spans="1:7" x14ac:dyDescent="0.35">
      <c r="A155" t="s">
        <v>185</v>
      </c>
      <c r="B155">
        <v>2061431.9</v>
      </c>
      <c r="C155">
        <v>824572.76</v>
      </c>
      <c r="D155">
        <v>412286.38</v>
      </c>
      <c r="E155">
        <v>519480.84</v>
      </c>
      <c r="F155">
        <v>206143.19</v>
      </c>
      <c r="G155">
        <v>1962483.17</v>
      </c>
    </row>
    <row r="156" spans="1:7" x14ac:dyDescent="0.35">
      <c r="A156" t="s">
        <v>186</v>
      </c>
      <c r="B156">
        <v>1239369.24</v>
      </c>
      <c r="C156">
        <v>495747.7</v>
      </c>
      <c r="D156">
        <v>247873.85</v>
      </c>
      <c r="E156">
        <v>312321.05</v>
      </c>
      <c r="F156">
        <v>123936.92</v>
      </c>
      <c r="G156">
        <v>1179879.52</v>
      </c>
    </row>
    <row r="157" spans="1:7" x14ac:dyDescent="0.35">
      <c r="A157" t="s">
        <v>187</v>
      </c>
      <c r="B157">
        <v>1093220.1000000001</v>
      </c>
      <c r="C157">
        <v>437288.04</v>
      </c>
      <c r="D157">
        <v>218644.02</v>
      </c>
      <c r="E157">
        <v>275491.46999999997</v>
      </c>
      <c r="F157">
        <v>109322.01</v>
      </c>
      <c r="G157">
        <v>1040745.54</v>
      </c>
    </row>
    <row r="158" spans="1:7" x14ac:dyDescent="0.35">
      <c r="A158" t="s">
        <v>188</v>
      </c>
      <c r="B158">
        <v>1081896.48</v>
      </c>
      <c r="C158">
        <v>432758.59</v>
      </c>
      <c r="D158">
        <v>216379.3</v>
      </c>
      <c r="E158">
        <v>272637.90999999997</v>
      </c>
      <c r="F158">
        <v>108189.65</v>
      </c>
      <c r="G158">
        <v>1029965.45</v>
      </c>
    </row>
    <row r="159" spans="1:7" x14ac:dyDescent="0.35">
      <c r="A159" t="s">
        <v>189</v>
      </c>
      <c r="B159">
        <v>757532.28</v>
      </c>
      <c r="C159">
        <v>303012.90999999997</v>
      </c>
      <c r="D159">
        <v>151506.46</v>
      </c>
      <c r="E159">
        <v>190898.13</v>
      </c>
      <c r="F159">
        <v>75753.23</v>
      </c>
      <c r="G159">
        <v>721170.73</v>
      </c>
    </row>
    <row r="160" spans="1:7" x14ac:dyDescent="0.35">
      <c r="A160" t="s">
        <v>190</v>
      </c>
      <c r="B160">
        <v>1594550.3</v>
      </c>
      <c r="C160">
        <v>637820.12</v>
      </c>
      <c r="D160">
        <v>318910.06</v>
      </c>
      <c r="E160">
        <v>401826.68</v>
      </c>
      <c r="F160">
        <v>159455.03</v>
      </c>
      <c r="G160">
        <v>1518011.89</v>
      </c>
    </row>
    <row r="161" spans="1:7" x14ac:dyDescent="0.35">
      <c r="A161" t="s">
        <v>191</v>
      </c>
      <c r="B161">
        <v>1101326.3</v>
      </c>
      <c r="C161">
        <v>440530.52</v>
      </c>
      <c r="D161">
        <v>220265.26</v>
      </c>
      <c r="E161">
        <v>277534.23</v>
      </c>
      <c r="F161">
        <v>110132.63</v>
      </c>
      <c r="G161">
        <v>1048462.64</v>
      </c>
    </row>
    <row r="162" spans="1:7" x14ac:dyDescent="0.35">
      <c r="A162" t="s">
        <v>192</v>
      </c>
      <c r="B162">
        <v>850202</v>
      </c>
      <c r="C162">
        <v>340080.8</v>
      </c>
      <c r="D162">
        <v>170040.4</v>
      </c>
      <c r="E162">
        <v>214250.9</v>
      </c>
      <c r="F162">
        <v>85020.2</v>
      </c>
      <c r="G162">
        <v>809392.3</v>
      </c>
    </row>
    <row r="163" spans="1:7" x14ac:dyDescent="0.35">
      <c r="A163" t="s">
        <v>193</v>
      </c>
      <c r="B163">
        <v>930921.6</v>
      </c>
      <c r="C163">
        <v>372368.64000000001</v>
      </c>
      <c r="D163">
        <v>186184.32000000001</v>
      </c>
      <c r="E163">
        <v>234592.24</v>
      </c>
      <c r="F163">
        <v>93092.160000000003</v>
      </c>
      <c r="G163">
        <v>886237.36</v>
      </c>
    </row>
    <row r="164" spans="1:7" x14ac:dyDescent="0.35">
      <c r="A164" t="s">
        <v>194</v>
      </c>
      <c r="B164">
        <v>1295308.28</v>
      </c>
      <c r="C164">
        <v>518123.31</v>
      </c>
      <c r="D164">
        <v>259061.66</v>
      </c>
      <c r="E164">
        <v>326417.69</v>
      </c>
      <c r="F164">
        <v>129530.83</v>
      </c>
      <c r="G164">
        <v>1233133.48</v>
      </c>
    </row>
    <row r="165" spans="1:7" x14ac:dyDescent="0.35">
      <c r="A165" t="s">
        <v>195</v>
      </c>
      <c r="B165">
        <v>1380865.8</v>
      </c>
      <c r="C165">
        <v>552346.31999999995</v>
      </c>
      <c r="D165">
        <v>276173.15999999997</v>
      </c>
      <c r="E165">
        <v>347978.18</v>
      </c>
      <c r="F165">
        <v>138086.57999999999</v>
      </c>
      <c r="G165">
        <v>1314584.24</v>
      </c>
    </row>
    <row r="166" spans="1:7" x14ac:dyDescent="0.35">
      <c r="A166" t="s">
        <v>196</v>
      </c>
      <c r="B166">
        <v>1459769.6</v>
      </c>
      <c r="C166">
        <v>583907.83999999997</v>
      </c>
      <c r="D166">
        <v>291953.91999999998</v>
      </c>
      <c r="E166">
        <v>367861.94</v>
      </c>
      <c r="F166">
        <v>145976.95999999999</v>
      </c>
      <c r="G166">
        <v>1389700.66</v>
      </c>
    </row>
    <row r="167" spans="1:7" x14ac:dyDescent="0.35">
      <c r="A167" t="s">
        <v>197</v>
      </c>
      <c r="B167">
        <v>1249161.6499999999</v>
      </c>
      <c r="C167">
        <v>499664.66</v>
      </c>
      <c r="D167">
        <v>249832.33</v>
      </c>
      <c r="E167">
        <v>314788.74</v>
      </c>
      <c r="F167">
        <v>124916.16</v>
      </c>
      <c r="G167">
        <v>1189201.8899999999</v>
      </c>
    </row>
    <row r="168" spans="1:7" x14ac:dyDescent="0.35">
      <c r="A168" t="s">
        <v>198</v>
      </c>
      <c r="B168">
        <v>1050626.8500000001</v>
      </c>
      <c r="C168">
        <v>420250.74</v>
      </c>
      <c r="D168">
        <v>210125.37</v>
      </c>
      <c r="E168">
        <v>264757.96999999997</v>
      </c>
      <c r="F168">
        <v>105062.68</v>
      </c>
      <c r="G168">
        <v>1000196.76</v>
      </c>
    </row>
    <row r="169" spans="1:7" x14ac:dyDescent="0.35">
      <c r="A169" t="s">
        <v>199</v>
      </c>
      <c r="B169">
        <v>855191.52</v>
      </c>
      <c r="C169">
        <v>342076.61</v>
      </c>
      <c r="D169">
        <v>171038.3</v>
      </c>
      <c r="E169">
        <v>215508.26</v>
      </c>
      <c r="F169">
        <v>85519.15</v>
      </c>
      <c r="G169">
        <v>814142.33</v>
      </c>
    </row>
    <row r="170" spans="1:7" x14ac:dyDescent="0.35">
      <c r="A170" t="s">
        <v>200</v>
      </c>
      <c r="B170">
        <v>1027203.6</v>
      </c>
      <c r="C170">
        <v>410881.44</v>
      </c>
      <c r="D170">
        <v>205440.72</v>
      </c>
      <c r="E170">
        <v>258855.31</v>
      </c>
      <c r="F170">
        <v>102720.36</v>
      </c>
      <c r="G170">
        <v>977897.83</v>
      </c>
    </row>
    <row r="171" spans="1:7" x14ac:dyDescent="0.35">
      <c r="A171" t="s">
        <v>201</v>
      </c>
      <c r="B171">
        <v>1604228.71</v>
      </c>
      <c r="C171">
        <v>641691.48</v>
      </c>
      <c r="D171">
        <v>320845.74</v>
      </c>
      <c r="E171">
        <v>404265.63</v>
      </c>
      <c r="F171">
        <v>160422.87</v>
      </c>
      <c r="G171">
        <v>1527225.73</v>
      </c>
    </row>
    <row r="172" spans="1:7" x14ac:dyDescent="0.35">
      <c r="A172" t="s">
        <v>202</v>
      </c>
      <c r="B172">
        <v>1148840</v>
      </c>
      <c r="C172">
        <v>459536</v>
      </c>
      <c r="D172">
        <v>229768</v>
      </c>
      <c r="E172">
        <v>289507.68</v>
      </c>
      <c r="F172">
        <v>114884</v>
      </c>
      <c r="G172">
        <v>1093695.68</v>
      </c>
    </row>
    <row r="173" spans="1:7" x14ac:dyDescent="0.35">
      <c r="A173" t="s">
        <v>203</v>
      </c>
      <c r="B173">
        <v>1806838.2</v>
      </c>
      <c r="C173">
        <v>722735.28</v>
      </c>
      <c r="D173">
        <v>361367.64</v>
      </c>
      <c r="E173">
        <v>455323.23</v>
      </c>
      <c r="F173">
        <v>180683.82</v>
      </c>
      <c r="G173">
        <v>1720109.97</v>
      </c>
    </row>
    <row r="174" spans="1:7" x14ac:dyDescent="0.35">
      <c r="A174" t="s">
        <v>204</v>
      </c>
      <c r="B174">
        <v>1516087.71</v>
      </c>
      <c r="C174">
        <v>606435.07999999996</v>
      </c>
      <c r="D174">
        <v>303217.53999999998</v>
      </c>
      <c r="E174">
        <v>382054.1</v>
      </c>
      <c r="F174">
        <v>151608.76999999999</v>
      </c>
      <c r="G174">
        <v>1443315.5</v>
      </c>
    </row>
    <row r="175" spans="1:7" x14ac:dyDescent="0.35">
      <c r="A175" t="s">
        <v>205</v>
      </c>
      <c r="B175">
        <v>1082487.6000000001</v>
      </c>
      <c r="C175">
        <v>432995.04</v>
      </c>
      <c r="D175">
        <v>216497.52</v>
      </c>
      <c r="E175">
        <v>272786.88</v>
      </c>
      <c r="F175">
        <v>108248.76</v>
      </c>
      <c r="G175">
        <v>1030528.2</v>
      </c>
    </row>
    <row r="176" spans="1:7" x14ac:dyDescent="0.35">
      <c r="A176" t="s">
        <v>206</v>
      </c>
      <c r="B176">
        <v>776297.25</v>
      </c>
      <c r="C176">
        <v>310518.90000000002</v>
      </c>
      <c r="D176">
        <v>155259.45000000001</v>
      </c>
      <c r="E176">
        <v>195626.91</v>
      </c>
      <c r="F176">
        <v>77629.73</v>
      </c>
      <c r="G176">
        <v>739034.98</v>
      </c>
    </row>
    <row r="177" spans="1:7" x14ac:dyDescent="0.35">
      <c r="A177" t="s">
        <v>207</v>
      </c>
      <c r="B177">
        <v>703015.2</v>
      </c>
      <c r="C177">
        <v>281206.08</v>
      </c>
      <c r="D177">
        <v>140603.04</v>
      </c>
      <c r="E177">
        <v>177159.83</v>
      </c>
      <c r="F177">
        <v>70301.52</v>
      </c>
      <c r="G177">
        <v>669270.47</v>
      </c>
    </row>
    <row r="178" spans="1:7" x14ac:dyDescent="0.35">
      <c r="A178" t="s">
        <v>208</v>
      </c>
      <c r="B178">
        <v>1667845.2</v>
      </c>
      <c r="C178">
        <v>667138.07999999996</v>
      </c>
      <c r="D178">
        <v>333569.03999999998</v>
      </c>
      <c r="E178">
        <v>420296.99</v>
      </c>
      <c r="F178">
        <v>166784.51999999999</v>
      </c>
      <c r="G178">
        <v>1587788.63</v>
      </c>
    </row>
    <row r="179" spans="1:7" x14ac:dyDescent="0.35">
      <c r="A179" t="s">
        <v>209</v>
      </c>
      <c r="B179">
        <v>1003679.75</v>
      </c>
      <c r="C179">
        <v>401471.9</v>
      </c>
      <c r="D179">
        <v>200735.95</v>
      </c>
      <c r="E179">
        <v>252927.3</v>
      </c>
      <c r="F179">
        <v>100367.98</v>
      </c>
      <c r="G179">
        <v>955503.12</v>
      </c>
    </row>
    <row r="180" spans="1:7" x14ac:dyDescent="0.35">
      <c r="A180" t="s">
        <v>210</v>
      </c>
      <c r="B180">
        <v>1255773.93</v>
      </c>
      <c r="C180">
        <v>502309.57</v>
      </c>
      <c r="D180">
        <v>251154.79</v>
      </c>
      <c r="E180">
        <v>316455.03000000003</v>
      </c>
      <c r="F180">
        <v>125577.39</v>
      </c>
      <c r="G180">
        <v>1195496.79</v>
      </c>
    </row>
    <row r="181" spans="1:7" x14ac:dyDescent="0.35">
      <c r="A181" t="s">
        <v>211</v>
      </c>
      <c r="B181">
        <v>961130.2</v>
      </c>
      <c r="C181">
        <v>384452.08</v>
      </c>
      <c r="D181">
        <v>192226.04</v>
      </c>
      <c r="E181">
        <v>242204.81</v>
      </c>
      <c r="F181">
        <v>96113.02</v>
      </c>
      <c r="G181">
        <v>914995.95</v>
      </c>
    </row>
    <row r="182" spans="1:7" x14ac:dyDescent="0.35">
      <c r="A182" t="s">
        <v>212</v>
      </c>
      <c r="B182">
        <v>1295007.1299999999</v>
      </c>
      <c r="C182">
        <v>518002.85</v>
      </c>
      <c r="D182">
        <v>259001.43</v>
      </c>
      <c r="E182">
        <v>326341.8</v>
      </c>
      <c r="F182">
        <v>129500.71</v>
      </c>
      <c r="G182">
        <v>1232846.79</v>
      </c>
    </row>
    <row r="183" spans="1:7" x14ac:dyDescent="0.35">
      <c r="A183" t="s">
        <v>213</v>
      </c>
      <c r="B183">
        <v>676528.8</v>
      </c>
      <c r="C183">
        <v>270611.52</v>
      </c>
      <c r="D183">
        <v>135305.76</v>
      </c>
      <c r="E183">
        <v>170485.26</v>
      </c>
      <c r="F183">
        <v>67652.88</v>
      </c>
      <c r="G183">
        <v>644055.42000000004</v>
      </c>
    </row>
    <row r="184" spans="1:7" x14ac:dyDescent="0.35">
      <c r="A184" t="s">
        <v>214</v>
      </c>
      <c r="B184">
        <v>1523762.19</v>
      </c>
      <c r="C184">
        <v>609504.88</v>
      </c>
      <c r="D184">
        <v>304752.44</v>
      </c>
      <c r="E184">
        <v>383988.07</v>
      </c>
      <c r="F184">
        <v>152376.22</v>
      </c>
      <c r="G184">
        <v>1450621.6</v>
      </c>
    </row>
    <row r="185" spans="1:7" x14ac:dyDescent="0.35">
      <c r="A185" t="s">
        <v>215</v>
      </c>
      <c r="B185">
        <v>1127801.43</v>
      </c>
      <c r="C185">
        <v>451120.57</v>
      </c>
      <c r="D185">
        <v>225560.29</v>
      </c>
      <c r="E185">
        <v>284205.96000000002</v>
      </c>
      <c r="F185">
        <v>112780.14</v>
      </c>
      <c r="G185">
        <v>1073666.96</v>
      </c>
    </row>
    <row r="186" spans="1:7" x14ac:dyDescent="0.35">
      <c r="A186" t="s">
        <v>216</v>
      </c>
      <c r="B186">
        <v>1306446.3999999999</v>
      </c>
      <c r="C186">
        <v>522578.56</v>
      </c>
      <c r="D186">
        <v>261289.28</v>
      </c>
      <c r="E186">
        <v>329224.49</v>
      </c>
      <c r="F186">
        <v>130644.64</v>
      </c>
      <c r="G186">
        <v>1243736.97</v>
      </c>
    </row>
    <row r="187" spans="1:7" x14ac:dyDescent="0.35">
      <c r="A187" t="s">
        <v>217</v>
      </c>
      <c r="B187">
        <v>1199335.48</v>
      </c>
      <c r="C187">
        <v>479734.19</v>
      </c>
      <c r="D187">
        <v>239867.1</v>
      </c>
      <c r="E187">
        <v>302232.53999999998</v>
      </c>
      <c r="F187">
        <v>119933.55</v>
      </c>
      <c r="G187">
        <v>1141767.3799999999</v>
      </c>
    </row>
    <row r="188" spans="1:7" x14ac:dyDescent="0.35">
      <c r="A188" t="s">
        <v>218</v>
      </c>
      <c r="B188">
        <v>843131</v>
      </c>
      <c r="C188">
        <v>337252.4</v>
      </c>
      <c r="D188">
        <v>168626.2</v>
      </c>
      <c r="E188">
        <v>212469.01</v>
      </c>
      <c r="F188">
        <v>84313.1</v>
      </c>
      <c r="G188">
        <v>802660.71</v>
      </c>
    </row>
    <row r="189" spans="1:7" x14ac:dyDescent="0.35">
      <c r="A189" t="s">
        <v>219</v>
      </c>
      <c r="B189">
        <v>754697.1</v>
      </c>
      <c r="C189">
        <v>301878.84000000003</v>
      </c>
      <c r="D189">
        <v>150939.42000000001</v>
      </c>
      <c r="E189">
        <v>190183.67</v>
      </c>
      <c r="F189">
        <v>75469.710000000006</v>
      </c>
      <c r="G189">
        <v>718471.64</v>
      </c>
    </row>
    <row r="190" spans="1:7" x14ac:dyDescent="0.35">
      <c r="A190" t="s">
        <v>220</v>
      </c>
      <c r="B190">
        <v>1790947.79</v>
      </c>
      <c r="C190">
        <v>716379.12</v>
      </c>
      <c r="D190">
        <v>358189.56</v>
      </c>
      <c r="E190">
        <v>451318.84</v>
      </c>
      <c r="F190">
        <v>179094.78</v>
      </c>
      <c r="G190">
        <v>1704982.3</v>
      </c>
    </row>
    <row r="191" spans="1:7" x14ac:dyDescent="0.35">
      <c r="A191" t="s">
        <v>221</v>
      </c>
      <c r="B191">
        <v>605158.55000000005</v>
      </c>
      <c r="C191">
        <v>242063.42</v>
      </c>
      <c r="D191">
        <v>121031.71</v>
      </c>
      <c r="E191">
        <v>152499.95000000001</v>
      </c>
      <c r="F191">
        <v>60515.86</v>
      </c>
      <c r="G191">
        <v>576110.93999999994</v>
      </c>
    </row>
    <row r="192" spans="1:7" x14ac:dyDescent="0.35">
      <c r="A192" t="s">
        <v>222</v>
      </c>
      <c r="B192">
        <v>748754.85</v>
      </c>
      <c r="C192">
        <v>299501.94</v>
      </c>
      <c r="D192">
        <v>149750.97</v>
      </c>
      <c r="E192">
        <v>188686.22</v>
      </c>
      <c r="F192">
        <v>74875.490000000005</v>
      </c>
      <c r="G192">
        <v>712814.62</v>
      </c>
    </row>
    <row r="193" spans="1:7" x14ac:dyDescent="0.35">
      <c r="A193" t="s">
        <v>223</v>
      </c>
      <c r="B193">
        <v>550704.55000000005</v>
      </c>
      <c r="C193">
        <v>220281.82</v>
      </c>
      <c r="D193">
        <v>110140.91</v>
      </c>
      <c r="E193">
        <v>138777.54999999999</v>
      </c>
      <c r="F193">
        <v>55070.45</v>
      </c>
      <c r="G193">
        <v>524270.73</v>
      </c>
    </row>
    <row r="194" spans="1:7" x14ac:dyDescent="0.35">
      <c r="A194" t="s">
        <v>224</v>
      </c>
      <c r="B194">
        <v>1353080.82</v>
      </c>
      <c r="C194">
        <v>541232.32999999996</v>
      </c>
      <c r="D194">
        <v>270616.15999999997</v>
      </c>
      <c r="E194">
        <v>340976.37</v>
      </c>
      <c r="F194">
        <v>135308.07999999999</v>
      </c>
      <c r="G194">
        <v>1288132.94</v>
      </c>
    </row>
    <row r="195" spans="1:7" x14ac:dyDescent="0.35">
      <c r="A195" t="s">
        <v>225</v>
      </c>
      <c r="B195">
        <v>1482799.33</v>
      </c>
      <c r="C195">
        <v>593119.73</v>
      </c>
      <c r="D195">
        <v>296559.87</v>
      </c>
      <c r="E195">
        <v>373665.43</v>
      </c>
      <c r="F195">
        <v>148279.93</v>
      </c>
      <c r="G195">
        <v>1411624.96</v>
      </c>
    </row>
    <row r="196" spans="1:7" x14ac:dyDescent="0.35">
      <c r="A196" t="s">
        <v>226</v>
      </c>
      <c r="B196">
        <v>1372440.6</v>
      </c>
      <c r="C196">
        <v>548976.24</v>
      </c>
      <c r="D196">
        <v>274488.12</v>
      </c>
      <c r="E196">
        <v>345855.03</v>
      </c>
      <c r="F196">
        <v>137244.06</v>
      </c>
      <c r="G196">
        <v>1306563.45</v>
      </c>
    </row>
    <row r="197" spans="1:7" x14ac:dyDescent="0.35">
      <c r="A197" t="s">
        <v>227</v>
      </c>
      <c r="B197">
        <v>835645.2</v>
      </c>
      <c r="C197">
        <v>334258.08</v>
      </c>
      <c r="D197">
        <v>167129.04</v>
      </c>
      <c r="E197">
        <v>210582.59</v>
      </c>
      <c r="F197">
        <v>83564.52</v>
      </c>
      <c r="G197">
        <v>795534.23</v>
      </c>
    </row>
    <row r="198" spans="1:7" x14ac:dyDescent="0.35">
      <c r="A198" t="s">
        <v>228</v>
      </c>
      <c r="B198">
        <v>1653568</v>
      </c>
      <c r="C198">
        <v>661427.19999999995</v>
      </c>
      <c r="D198">
        <v>330713.59999999998</v>
      </c>
      <c r="E198">
        <v>416699.14</v>
      </c>
      <c r="F198">
        <v>165356.79999999999</v>
      </c>
      <c r="G198">
        <v>1574196.74</v>
      </c>
    </row>
    <row r="199" spans="1:7" x14ac:dyDescent="0.35">
      <c r="A199" t="s">
        <v>229</v>
      </c>
      <c r="B199">
        <v>1253919.6000000001</v>
      </c>
      <c r="C199">
        <v>501567.84</v>
      </c>
      <c r="D199">
        <v>250783.92</v>
      </c>
      <c r="E199">
        <v>315987.74</v>
      </c>
      <c r="F199">
        <v>125391.96</v>
      </c>
      <c r="G199">
        <v>1193731.46</v>
      </c>
    </row>
    <row r="200" spans="1:7" x14ac:dyDescent="0.35">
      <c r="A200" t="s">
        <v>230</v>
      </c>
      <c r="B200">
        <v>1663665.9</v>
      </c>
      <c r="C200">
        <v>665466.36</v>
      </c>
      <c r="D200">
        <v>332733.18</v>
      </c>
      <c r="E200">
        <v>419243.81</v>
      </c>
      <c r="F200">
        <v>166366.59</v>
      </c>
      <c r="G200">
        <v>1583809.94</v>
      </c>
    </row>
    <row r="201" spans="1:7" x14ac:dyDescent="0.35">
      <c r="A201" t="s">
        <v>231</v>
      </c>
      <c r="B201">
        <v>954547</v>
      </c>
      <c r="C201">
        <v>381818.8</v>
      </c>
      <c r="D201">
        <v>190909.4</v>
      </c>
      <c r="E201">
        <v>240545.84</v>
      </c>
      <c r="F201">
        <v>95454.7</v>
      </c>
      <c r="G201">
        <v>908728.74</v>
      </c>
    </row>
    <row r="202" spans="1:7" x14ac:dyDescent="0.35">
      <c r="A202" t="s">
        <v>232</v>
      </c>
      <c r="B202">
        <v>1372783.91</v>
      </c>
      <c r="C202">
        <v>549113.56999999995</v>
      </c>
      <c r="D202">
        <v>274556.78000000003</v>
      </c>
      <c r="E202">
        <v>345941.55</v>
      </c>
      <c r="F202">
        <v>137278.39000000001</v>
      </c>
      <c r="G202">
        <v>1306890.29</v>
      </c>
    </row>
    <row r="203" spans="1:7" x14ac:dyDescent="0.35">
      <c r="A203" t="s">
        <v>233</v>
      </c>
      <c r="B203">
        <v>767615.96</v>
      </c>
      <c r="C203">
        <v>307046.38</v>
      </c>
      <c r="D203">
        <v>153523.19</v>
      </c>
      <c r="E203">
        <v>193439.22</v>
      </c>
      <c r="F203">
        <v>76761.600000000006</v>
      </c>
      <c r="G203">
        <v>730770.39</v>
      </c>
    </row>
    <row r="204" spans="1:7" x14ac:dyDescent="0.35">
      <c r="A204" t="s">
        <v>234</v>
      </c>
      <c r="B204">
        <v>1321958.82</v>
      </c>
      <c r="C204">
        <v>528783.53</v>
      </c>
      <c r="D204">
        <v>264391.76</v>
      </c>
      <c r="E204">
        <v>333133.62</v>
      </c>
      <c r="F204">
        <v>132195.88</v>
      </c>
      <c r="G204">
        <v>1258504.8</v>
      </c>
    </row>
    <row r="205" spans="1:7" x14ac:dyDescent="0.35">
      <c r="A205" t="s">
        <v>235</v>
      </c>
      <c r="B205">
        <v>1001825.16</v>
      </c>
      <c r="C205">
        <v>400730.06</v>
      </c>
      <c r="D205">
        <v>200365.03</v>
      </c>
      <c r="E205">
        <v>252459.94</v>
      </c>
      <c r="F205">
        <v>100182.52</v>
      </c>
      <c r="G205">
        <v>953737.55</v>
      </c>
    </row>
    <row r="206" spans="1:7" x14ac:dyDescent="0.35">
      <c r="A206" t="s">
        <v>236</v>
      </c>
      <c r="B206">
        <v>941204.52</v>
      </c>
      <c r="C206">
        <v>376481.81</v>
      </c>
      <c r="D206">
        <v>188240.9</v>
      </c>
      <c r="E206">
        <v>237183.54</v>
      </c>
      <c r="F206">
        <v>94120.45</v>
      </c>
      <c r="G206">
        <v>896026.7</v>
      </c>
    </row>
    <row r="207" spans="1:7" x14ac:dyDescent="0.35">
      <c r="A207" t="s">
        <v>237</v>
      </c>
      <c r="B207">
        <v>1034555.7</v>
      </c>
      <c r="C207">
        <v>413822.28</v>
      </c>
      <c r="D207">
        <v>206911.14</v>
      </c>
      <c r="E207">
        <v>260708.04</v>
      </c>
      <c r="F207">
        <v>103455.57</v>
      </c>
      <c r="G207">
        <v>984897.03</v>
      </c>
    </row>
    <row r="208" spans="1:7" x14ac:dyDescent="0.35">
      <c r="A208" t="s">
        <v>238</v>
      </c>
      <c r="B208">
        <v>1333706.71</v>
      </c>
      <c r="C208">
        <v>533482.68000000005</v>
      </c>
      <c r="D208">
        <v>266741.34000000003</v>
      </c>
      <c r="E208">
        <v>336094.09</v>
      </c>
      <c r="F208">
        <v>133370.67000000001</v>
      </c>
      <c r="G208">
        <v>1269688.79</v>
      </c>
    </row>
    <row r="209" spans="1:7" x14ac:dyDescent="0.35">
      <c r="A209" t="s">
        <v>239</v>
      </c>
      <c r="B209">
        <v>770535.12</v>
      </c>
      <c r="C209">
        <v>308214.05</v>
      </c>
      <c r="D209">
        <v>154107.01999999999</v>
      </c>
      <c r="E209">
        <v>194174.85</v>
      </c>
      <c r="F209">
        <v>77053.509999999995</v>
      </c>
      <c r="G209">
        <v>733549.43</v>
      </c>
    </row>
    <row r="210" spans="1:7" x14ac:dyDescent="0.35">
      <c r="A210" t="s">
        <v>240</v>
      </c>
      <c r="B210">
        <v>988073.8</v>
      </c>
      <c r="C210">
        <v>395229.52</v>
      </c>
      <c r="D210">
        <v>197614.76</v>
      </c>
      <c r="E210">
        <v>248994.6</v>
      </c>
      <c r="F210">
        <v>98807.38</v>
      </c>
      <c r="G210">
        <v>940646.26</v>
      </c>
    </row>
    <row r="211" spans="1:7" x14ac:dyDescent="0.35">
      <c r="A211" t="s">
        <v>241</v>
      </c>
      <c r="B211">
        <v>827722.65</v>
      </c>
      <c r="C211">
        <v>331089.06</v>
      </c>
      <c r="D211">
        <v>165544.53</v>
      </c>
      <c r="E211">
        <v>208586.11</v>
      </c>
      <c r="F211">
        <v>82772.259999999995</v>
      </c>
      <c r="G211">
        <v>787991.96</v>
      </c>
    </row>
    <row r="212" spans="1:7" x14ac:dyDescent="0.35">
      <c r="A212" t="s">
        <v>242</v>
      </c>
      <c r="B212">
        <v>826429.7</v>
      </c>
      <c r="C212">
        <v>330571.88</v>
      </c>
      <c r="D212">
        <v>165285.94</v>
      </c>
      <c r="E212">
        <v>208260.28</v>
      </c>
      <c r="F212">
        <v>82642.97</v>
      </c>
      <c r="G212">
        <v>786761.07</v>
      </c>
    </row>
    <row r="213" spans="1:7" x14ac:dyDescent="0.35">
      <c r="A213" t="s">
        <v>243</v>
      </c>
      <c r="B213">
        <v>622893</v>
      </c>
      <c r="C213">
        <v>249157.2</v>
      </c>
      <c r="D213">
        <v>124578.6</v>
      </c>
      <c r="E213">
        <v>156969.04</v>
      </c>
      <c r="F213">
        <v>62289.3</v>
      </c>
      <c r="G213">
        <v>592994.14</v>
      </c>
    </row>
    <row r="214" spans="1:7" x14ac:dyDescent="0.35">
      <c r="A214" t="s">
        <v>244</v>
      </c>
      <c r="B214">
        <v>1248452.8</v>
      </c>
      <c r="C214">
        <v>499381.12</v>
      </c>
      <c r="D214">
        <v>249690.56</v>
      </c>
      <c r="E214">
        <v>314610.11</v>
      </c>
      <c r="F214">
        <v>124845.28</v>
      </c>
      <c r="G214">
        <v>1188527.07</v>
      </c>
    </row>
    <row r="215" spans="1:7" x14ac:dyDescent="0.35">
      <c r="A215" t="s">
        <v>245</v>
      </c>
      <c r="B215">
        <v>1012552.8</v>
      </c>
      <c r="C215">
        <v>405021.12</v>
      </c>
      <c r="D215">
        <v>202510.56</v>
      </c>
      <c r="E215">
        <v>255163.31</v>
      </c>
      <c r="F215">
        <v>101255.28</v>
      </c>
      <c r="G215">
        <v>963950.27</v>
      </c>
    </row>
    <row r="216" spans="1:7" x14ac:dyDescent="0.35">
      <c r="A216" t="s">
        <v>246</v>
      </c>
      <c r="B216">
        <v>734070</v>
      </c>
      <c r="C216">
        <v>293628</v>
      </c>
      <c r="D216">
        <v>146814</v>
      </c>
      <c r="E216">
        <v>184985.64</v>
      </c>
      <c r="F216">
        <v>73407</v>
      </c>
      <c r="G216">
        <v>698834.64</v>
      </c>
    </row>
    <row r="217" spans="1:7" x14ac:dyDescent="0.35">
      <c r="A217" t="s">
        <v>247</v>
      </c>
      <c r="B217">
        <v>1106103.81</v>
      </c>
      <c r="C217">
        <v>442441.52</v>
      </c>
      <c r="D217">
        <v>221220.76</v>
      </c>
      <c r="E217">
        <v>278738.15999999997</v>
      </c>
      <c r="F217">
        <v>110610.38</v>
      </c>
      <c r="G217">
        <v>1053010.83</v>
      </c>
    </row>
    <row r="218" spans="1:7" x14ac:dyDescent="0.35">
      <c r="A218" t="s">
        <v>248</v>
      </c>
      <c r="B218">
        <v>1230882.8</v>
      </c>
      <c r="C218">
        <v>492353.12</v>
      </c>
      <c r="D218">
        <v>246176.56</v>
      </c>
      <c r="E218">
        <v>310182.46999999997</v>
      </c>
      <c r="F218">
        <v>123088.28</v>
      </c>
      <c r="G218">
        <v>1171800.43</v>
      </c>
    </row>
    <row r="219" spans="1:7" x14ac:dyDescent="0.35">
      <c r="A219" t="s">
        <v>249</v>
      </c>
      <c r="B219">
        <v>1071737.94</v>
      </c>
      <c r="C219">
        <v>428695.18</v>
      </c>
      <c r="D219">
        <v>214347.59</v>
      </c>
      <c r="E219">
        <v>270077.96000000002</v>
      </c>
      <c r="F219">
        <v>107173.79</v>
      </c>
      <c r="G219">
        <v>1020294.52</v>
      </c>
    </row>
    <row r="220" spans="1:7" x14ac:dyDescent="0.35">
      <c r="A220" t="s">
        <v>250</v>
      </c>
      <c r="B220">
        <v>688513.26</v>
      </c>
      <c r="C220">
        <v>275405.3</v>
      </c>
      <c r="D220">
        <v>137702.65</v>
      </c>
      <c r="E220">
        <v>173505.34</v>
      </c>
      <c r="F220">
        <v>68851.33</v>
      </c>
      <c r="G220">
        <v>655464.62</v>
      </c>
    </row>
    <row r="221" spans="1:7" x14ac:dyDescent="0.35">
      <c r="A221" t="s">
        <v>251</v>
      </c>
      <c r="B221">
        <v>766696.6</v>
      </c>
      <c r="C221">
        <v>306678.64</v>
      </c>
      <c r="D221">
        <v>153339.32</v>
      </c>
      <c r="E221">
        <v>193207.54</v>
      </c>
      <c r="F221">
        <v>76669.66</v>
      </c>
      <c r="G221">
        <v>729895.16</v>
      </c>
    </row>
    <row r="222" spans="1:7" x14ac:dyDescent="0.35">
      <c r="A222" t="s">
        <v>252</v>
      </c>
      <c r="B222">
        <v>2459412.1</v>
      </c>
      <c r="C222">
        <v>983764.84</v>
      </c>
      <c r="D222">
        <v>491882.42</v>
      </c>
      <c r="E222">
        <v>619771.85</v>
      </c>
      <c r="F222">
        <v>245941.21</v>
      </c>
      <c r="G222">
        <v>2341360.3199999998</v>
      </c>
    </row>
    <row r="223" spans="1:7" x14ac:dyDescent="0.35">
      <c r="A223" t="s">
        <v>253</v>
      </c>
      <c r="B223">
        <v>1097914.6200000001</v>
      </c>
      <c r="C223">
        <v>439165.85</v>
      </c>
      <c r="D223">
        <v>219582.92</v>
      </c>
      <c r="E223">
        <v>276674.48</v>
      </c>
      <c r="F223">
        <v>109791.46</v>
      </c>
      <c r="G223">
        <v>1045214.72</v>
      </c>
    </row>
    <row r="224" spans="1:7" x14ac:dyDescent="0.35">
      <c r="A224" t="s">
        <v>254</v>
      </c>
      <c r="B224">
        <v>892533</v>
      </c>
      <c r="C224">
        <v>357013.2</v>
      </c>
      <c r="D224">
        <v>178506.6</v>
      </c>
      <c r="E224">
        <v>224918.32</v>
      </c>
      <c r="F224">
        <v>89253.3</v>
      </c>
      <c r="G224">
        <v>849691.42</v>
      </c>
    </row>
    <row r="225" spans="1:7" x14ac:dyDescent="0.35">
      <c r="A225" t="s">
        <v>255</v>
      </c>
      <c r="B225">
        <v>1010532.6</v>
      </c>
      <c r="C225">
        <v>404213.04</v>
      </c>
      <c r="D225">
        <v>202106.52</v>
      </c>
      <c r="E225">
        <v>254654.22</v>
      </c>
      <c r="F225">
        <v>101053.26</v>
      </c>
      <c r="G225">
        <v>962027.04</v>
      </c>
    </row>
    <row r="226" spans="1:7" x14ac:dyDescent="0.35">
      <c r="A226" t="s">
        <v>256</v>
      </c>
      <c r="B226">
        <v>1548884.4</v>
      </c>
      <c r="C226">
        <v>619553.76</v>
      </c>
      <c r="D226">
        <v>309776.88</v>
      </c>
      <c r="E226">
        <v>390318.87</v>
      </c>
      <c r="F226">
        <v>154888.44</v>
      </c>
      <c r="G226">
        <v>1474537.95</v>
      </c>
    </row>
    <row r="227" spans="1:7" x14ac:dyDescent="0.35">
      <c r="A227" t="s">
        <v>257</v>
      </c>
      <c r="B227">
        <v>824082</v>
      </c>
      <c r="C227">
        <v>329632.8</v>
      </c>
      <c r="D227">
        <v>164816.4</v>
      </c>
      <c r="E227">
        <v>207668.66</v>
      </c>
      <c r="F227">
        <v>82408.2</v>
      </c>
      <c r="G227">
        <v>784526.06</v>
      </c>
    </row>
    <row r="228" spans="1:7" x14ac:dyDescent="0.35">
      <c r="A228" t="s">
        <v>258</v>
      </c>
      <c r="B228">
        <v>888237.84</v>
      </c>
      <c r="C228">
        <v>355295.14</v>
      </c>
      <c r="D228">
        <v>177647.57</v>
      </c>
      <c r="E228">
        <v>223835.94</v>
      </c>
      <c r="F228">
        <v>88823.78</v>
      </c>
      <c r="G228">
        <v>845602.42</v>
      </c>
    </row>
    <row r="229" spans="1:7" x14ac:dyDescent="0.35">
      <c r="A229" t="s">
        <v>259</v>
      </c>
      <c r="B229">
        <v>803263</v>
      </c>
      <c r="C229">
        <v>321305.2</v>
      </c>
      <c r="D229">
        <v>160652.6</v>
      </c>
      <c r="E229">
        <v>202422.28</v>
      </c>
      <c r="F229">
        <v>80326.3</v>
      </c>
      <c r="G229">
        <v>764706.38</v>
      </c>
    </row>
    <row r="230" spans="1:7" x14ac:dyDescent="0.35">
      <c r="A230" t="s">
        <v>260</v>
      </c>
      <c r="B230">
        <v>701427.6</v>
      </c>
      <c r="C230">
        <v>280571.03999999998</v>
      </c>
      <c r="D230">
        <v>140285.51999999999</v>
      </c>
      <c r="E230">
        <v>176759.76</v>
      </c>
      <c r="F230">
        <v>70142.759999999995</v>
      </c>
      <c r="G230">
        <v>667759.07999999996</v>
      </c>
    </row>
    <row r="231" spans="1:7" x14ac:dyDescent="0.35">
      <c r="A231" t="s">
        <v>261</v>
      </c>
      <c r="B231">
        <v>1064720</v>
      </c>
      <c r="C231">
        <v>425888</v>
      </c>
      <c r="D231">
        <v>212944</v>
      </c>
      <c r="E231">
        <v>268309.44</v>
      </c>
      <c r="F231">
        <v>106472</v>
      </c>
      <c r="G231">
        <v>1013613.44</v>
      </c>
    </row>
    <row r="232" spans="1:7" x14ac:dyDescent="0.35">
      <c r="A232" t="s">
        <v>262</v>
      </c>
      <c r="B232">
        <v>968958.2</v>
      </c>
      <c r="C232">
        <v>387583.28</v>
      </c>
      <c r="D232">
        <v>193791.64</v>
      </c>
      <c r="E232">
        <v>244177.47</v>
      </c>
      <c r="F232">
        <v>96895.82</v>
      </c>
      <c r="G232">
        <v>922448.21</v>
      </c>
    </row>
    <row r="233" spans="1:7" x14ac:dyDescent="0.35">
      <c r="A233" t="s">
        <v>263</v>
      </c>
      <c r="B233">
        <v>1090112.8</v>
      </c>
      <c r="C233">
        <v>436045.12</v>
      </c>
      <c r="D233">
        <v>218022.56</v>
      </c>
      <c r="E233">
        <v>274708.43</v>
      </c>
      <c r="F233">
        <v>109011.28</v>
      </c>
      <c r="G233">
        <v>1037787.39</v>
      </c>
    </row>
    <row r="234" spans="1:7" x14ac:dyDescent="0.35">
      <c r="A234" t="s">
        <v>264</v>
      </c>
      <c r="B234">
        <v>1682228.8</v>
      </c>
      <c r="C234">
        <v>672891.52</v>
      </c>
      <c r="D234">
        <v>336445.76</v>
      </c>
      <c r="E234">
        <v>423921.66</v>
      </c>
      <c r="F234">
        <v>168222.88</v>
      </c>
      <c r="G234">
        <v>1601481.82</v>
      </c>
    </row>
    <row r="235" spans="1:7" x14ac:dyDescent="0.35">
      <c r="A235" t="s">
        <v>265</v>
      </c>
      <c r="B235">
        <v>822924.2</v>
      </c>
      <c r="C235">
        <v>329169.68</v>
      </c>
      <c r="D235">
        <v>164584.84</v>
      </c>
      <c r="E235">
        <v>207376.9</v>
      </c>
      <c r="F235">
        <v>82292.42</v>
      </c>
      <c r="G235">
        <v>783423.84</v>
      </c>
    </row>
    <row r="236" spans="1:7" x14ac:dyDescent="0.35">
      <c r="A236" t="s">
        <v>266</v>
      </c>
      <c r="B236">
        <v>1328695.2</v>
      </c>
      <c r="C236">
        <v>531478.07999999996</v>
      </c>
      <c r="D236">
        <v>265739.03999999998</v>
      </c>
      <c r="E236">
        <v>334831.19</v>
      </c>
      <c r="F236">
        <v>132869.51999999999</v>
      </c>
      <c r="G236">
        <v>1264917.83</v>
      </c>
    </row>
    <row r="237" spans="1:7" x14ac:dyDescent="0.35">
      <c r="A237" t="s">
        <v>267</v>
      </c>
      <c r="B237">
        <v>1093684.2</v>
      </c>
      <c r="C237">
        <v>437473.68</v>
      </c>
      <c r="D237">
        <v>218736.84</v>
      </c>
      <c r="E237">
        <v>275608.42</v>
      </c>
      <c r="F237">
        <v>109368.42</v>
      </c>
      <c r="G237">
        <v>1041187.36</v>
      </c>
    </row>
    <row r="238" spans="1:7" x14ac:dyDescent="0.35">
      <c r="A238" t="s">
        <v>268</v>
      </c>
      <c r="B238">
        <v>710252.4</v>
      </c>
      <c r="C238">
        <v>284100.96000000002</v>
      </c>
      <c r="D238">
        <v>142050.48000000001</v>
      </c>
      <c r="E238">
        <v>178983.6</v>
      </c>
      <c r="F238">
        <v>71025.240000000005</v>
      </c>
      <c r="G238">
        <v>676160.28</v>
      </c>
    </row>
    <row r="239" spans="1:7" x14ac:dyDescent="0.35">
      <c r="A239" t="s">
        <v>269</v>
      </c>
      <c r="B239">
        <v>1593970.42</v>
      </c>
      <c r="C239">
        <v>637588.17000000004</v>
      </c>
      <c r="D239">
        <v>318794.08</v>
      </c>
      <c r="E239">
        <v>401680.55</v>
      </c>
      <c r="F239">
        <v>159397.04</v>
      </c>
      <c r="G239">
        <v>1517459.84</v>
      </c>
    </row>
    <row r="240" spans="1:7" x14ac:dyDescent="0.35">
      <c r="A240" t="s">
        <v>270</v>
      </c>
      <c r="B240">
        <v>1005834.92</v>
      </c>
      <c r="C240">
        <v>402333.97</v>
      </c>
      <c r="D240">
        <v>201166.98</v>
      </c>
      <c r="E240">
        <v>253470.4</v>
      </c>
      <c r="F240">
        <v>100583.49</v>
      </c>
      <c r="G240">
        <v>957554.84</v>
      </c>
    </row>
    <row r="241" spans="1:7" x14ac:dyDescent="0.35">
      <c r="A241" t="s">
        <v>271</v>
      </c>
      <c r="B241">
        <v>663060.1</v>
      </c>
      <c r="C241">
        <v>265224.03999999998</v>
      </c>
      <c r="D241">
        <v>132612.01999999999</v>
      </c>
      <c r="E241">
        <v>167091.15</v>
      </c>
      <c r="F241">
        <v>66306.009999999995</v>
      </c>
      <c r="G241">
        <v>631233.22</v>
      </c>
    </row>
    <row r="242" spans="1:7" x14ac:dyDescent="0.35">
      <c r="A242" t="s">
        <v>272</v>
      </c>
      <c r="B242">
        <v>958695.92</v>
      </c>
      <c r="C242">
        <v>383478.37</v>
      </c>
      <c r="D242">
        <v>191739.18</v>
      </c>
      <c r="E242">
        <v>241591.37</v>
      </c>
      <c r="F242">
        <v>95869.59</v>
      </c>
      <c r="G242">
        <v>912678.52</v>
      </c>
    </row>
    <row r="243" spans="1:7" x14ac:dyDescent="0.35">
      <c r="A243" t="s">
        <v>273</v>
      </c>
      <c r="B243">
        <v>1362816.13</v>
      </c>
      <c r="C243">
        <v>545126.44999999995</v>
      </c>
      <c r="D243">
        <v>272563.23</v>
      </c>
      <c r="E243">
        <v>343429.67</v>
      </c>
      <c r="F243">
        <v>136281.60999999999</v>
      </c>
      <c r="G243">
        <v>1297400.96</v>
      </c>
    </row>
    <row r="244" spans="1:7" x14ac:dyDescent="0.35">
      <c r="A244" t="s">
        <v>274</v>
      </c>
      <c r="B244">
        <v>789172</v>
      </c>
      <c r="C244">
        <v>315668.8</v>
      </c>
      <c r="D244">
        <v>157834.4</v>
      </c>
      <c r="E244">
        <v>198871.34</v>
      </c>
      <c r="F244">
        <v>78917.2</v>
      </c>
      <c r="G244">
        <v>751291.74</v>
      </c>
    </row>
    <row r="245" spans="1:7" x14ac:dyDescent="0.35">
      <c r="A245" t="s">
        <v>275</v>
      </c>
      <c r="B245">
        <v>1152523.47</v>
      </c>
      <c r="C245">
        <v>461009.39</v>
      </c>
      <c r="D245">
        <v>230504.69</v>
      </c>
      <c r="E245">
        <v>290435.90999999997</v>
      </c>
      <c r="F245">
        <v>115252.35</v>
      </c>
      <c r="G245">
        <v>1097202.3400000001</v>
      </c>
    </row>
    <row r="246" spans="1:7" x14ac:dyDescent="0.35">
      <c r="A246" t="s">
        <v>276</v>
      </c>
      <c r="B246">
        <v>1216674.69</v>
      </c>
      <c r="C246">
        <v>486669.88</v>
      </c>
      <c r="D246">
        <v>243334.94</v>
      </c>
      <c r="E246">
        <v>306602.02</v>
      </c>
      <c r="F246">
        <v>121667.47</v>
      </c>
      <c r="G246">
        <v>1158274.3</v>
      </c>
    </row>
    <row r="247" spans="1:7" x14ac:dyDescent="0.35">
      <c r="A247" t="s">
        <v>277</v>
      </c>
      <c r="B247">
        <v>938172.69</v>
      </c>
      <c r="C247">
        <v>375269.08</v>
      </c>
      <c r="D247">
        <v>187634.54</v>
      </c>
      <c r="E247">
        <v>236419.52</v>
      </c>
      <c r="F247">
        <v>93817.27</v>
      </c>
      <c r="G247">
        <v>893140.4</v>
      </c>
    </row>
    <row r="248" spans="1:7" x14ac:dyDescent="0.35">
      <c r="A248" t="s">
        <v>278</v>
      </c>
      <c r="B248">
        <v>709612.3</v>
      </c>
      <c r="C248">
        <v>283844.92</v>
      </c>
      <c r="D248">
        <v>141922.46</v>
      </c>
      <c r="E248">
        <v>178822.3</v>
      </c>
      <c r="F248">
        <v>70961.23</v>
      </c>
      <c r="G248">
        <v>675550.91</v>
      </c>
    </row>
    <row r="249" spans="1:7" x14ac:dyDescent="0.35">
      <c r="A249" t="s">
        <v>279</v>
      </c>
      <c r="B249">
        <v>1221766</v>
      </c>
      <c r="C249">
        <v>488706.4</v>
      </c>
      <c r="D249">
        <v>244353.2</v>
      </c>
      <c r="E249">
        <v>307885.03000000003</v>
      </c>
      <c r="F249">
        <v>122176.6</v>
      </c>
      <c r="G249">
        <v>1163121.23</v>
      </c>
    </row>
    <row r="250" spans="1:7" x14ac:dyDescent="0.35">
      <c r="A250" t="s">
        <v>280</v>
      </c>
      <c r="B250">
        <v>1089669</v>
      </c>
      <c r="C250">
        <v>435867.6</v>
      </c>
      <c r="D250">
        <v>217933.8</v>
      </c>
      <c r="E250">
        <v>274596.59000000003</v>
      </c>
      <c r="F250">
        <v>108966.9</v>
      </c>
      <c r="G250">
        <v>1037364.89</v>
      </c>
    </row>
    <row r="251" spans="1:7" x14ac:dyDescent="0.35">
      <c r="A251" t="s">
        <v>281</v>
      </c>
      <c r="B251">
        <v>1400723.5</v>
      </c>
      <c r="C251">
        <v>560289.4</v>
      </c>
      <c r="D251">
        <v>280144.7</v>
      </c>
      <c r="E251">
        <v>352982.32</v>
      </c>
      <c r="F251">
        <v>140072.35</v>
      </c>
      <c r="G251">
        <v>1333488.77</v>
      </c>
    </row>
    <row r="252" spans="1:7" x14ac:dyDescent="0.35">
      <c r="A252" t="s">
        <v>282</v>
      </c>
      <c r="B252">
        <v>1406852</v>
      </c>
      <c r="C252">
        <v>562740.80000000005</v>
      </c>
      <c r="D252">
        <v>281370.40000000002</v>
      </c>
      <c r="E252">
        <v>354526.7</v>
      </c>
      <c r="F252">
        <v>140685.20000000001</v>
      </c>
      <c r="G252">
        <v>1339323.1000000001</v>
      </c>
    </row>
    <row r="253" spans="1:7" x14ac:dyDescent="0.35">
      <c r="A253" t="s">
        <v>283</v>
      </c>
      <c r="B253">
        <v>1651095.25</v>
      </c>
      <c r="C253">
        <v>660438.1</v>
      </c>
      <c r="D253">
        <v>330219.05</v>
      </c>
      <c r="E253">
        <v>416076</v>
      </c>
      <c r="F253">
        <v>165109.51999999999</v>
      </c>
      <c r="G253">
        <v>1571842.68</v>
      </c>
    </row>
    <row r="254" spans="1:7" x14ac:dyDescent="0.35">
      <c r="A254" t="s">
        <v>284</v>
      </c>
      <c r="B254">
        <v>380292</v>
      </c>
      <c r="C254">
        <v>152116.79999999999</v>
      </c>
      <c r="D254">
        <v>76058.399999999994</v>
      </c>
      <c r="E254">
        <v>95833.58</v>
      </c>
      <c r="F254">
        <v>38029.199999999997</v>
      </c>
      <c r="G254">
        <v>362037.98</v>
      </c>
    </row>
    <row r="255" spans="1:7" x14ac:dyDescent="0.35">
      <c r="A255" t="s">
        <v>285</v>
      </c>
      <c r="B255">
        <v>1220433.3999999999</v>
      </c>
      <c r="C255">
        <v>488173.36</v>
      </c>
      <c r="D255">
        <v>244086.68</v>
      </c>
      <c r="E255">
        <v>307549.21999999997</v>
      </c>
      <c r="F255">
        <v>122043.34</v>
      </c>
      <c r="G255">
        <v>1161852.6000000001</v>
      </c>
    </row>
    <row r="256" spans="1:7" x14ac:dyDescent="0.35">
      <c r="A256" t="s">
        <v>286</v>
      </c>
      <c r="B256">
        <v>663438</v>
      </c>
      <c r="C256">
        <v>265375.2</v>
      </c>
      <c r="D256">
        <v>132687.6</v>
      </c>
      <c r="E256">
        <v>167186.38</v>
      </c>
      <c r="F256">
        <v>66343.8</v>
      </c>
      <c r="G256">
        <v>631592.98</v>
      </c>
    </row>
    <row r="257" spans="1:7" x14ac:dyDescent="0.35">
      <c r="A257" t="s">
        <v>287</v>
      </c>
      <c r="B257">
        <v>2105113.7400000002</v>
      </c>
      <c r="C257">
        <v>842045.5</v>
      </c>
      <c r="D257">
        <v>421022.75</v>
      </c>
      <c r="E257">
        <v>530488.66</v>
      </c>
      <c r="F257">
        <v>210511.37</v>
      </c>
      <c r="G257">
        <v>2004068.28</v>
      </c>
    </row>
    <row r="258" spans="1:7" x14ac:dyDescent="0.35">
      <c r="A258" t="s">
        <v>288</v>
      </c>
      <c r="B258">
        <v>2569313.19</v>
      </c>
      <c r="C258">
        <v>1027725.28</v>
      </c>
      <c r="D258">
        <v>513862.64</v>
      </c>
      <c r="E258">
        <v>647466.92000000004</v>
      </c>
      <c r="F258">
        <v>256931.32</v>
      </c>
      <c r="G258">
        <v>2445986.16</v>
      </c>
    </row>
    <row r="259" spans="1:7" x14ac:dyDescent="0.35">
      <c r="A259" t="s">
        <v>289</v>
      </c>
      <c r="B259">
        <v>1145685.8400000001</v>
      </c>
      <c r="C259">
        <v>458274.34</v>
      </c>
      <c r="D259">
        <v>229137.17</v>
      </c>
      <c r="E259">
        <v>288712.83</v>
      </c>
      <c r="F259">
        <v>114568.58</v>
      </c>
      <c r="G259">
        <v>1090692.92</v>
      </c>
    </row>
    <row r="260" spans="1:7" x14ac:dyDescent="0.35">
      <c r="A260" t="s">
        <v>290</v>
      </c>
      <c r="B260">
        <v>1131340.56</v>
      </c>
      <c r="C260">
        <v>452536.22</v>
      </c>
      <c r="D260">
        <v>226268.11</v>
      </c>
      <c r="E260">
        <v>285097.82</v>
      </c>
      <c r="F260">
        <v>113134.06</v>
      </c>
      <c r="G260">
        <v>1077036.21</v>
      </c>
    </row>
    <row r="261" spans="1:7" x14ac:dyDescent="0.35">
      <c r="A261" t="s">
        <v>291</v>
      </c>
      <c r="B261">
        <v>460507</v>
      </c>
      <c r="C261">
        <v>184202.8</v>
      </c>
      <c r="D261">
        <v>92101.4</v>
      </c>
      <c r="E261">
        <v>116047.76</v>
      </c>
      <c r="F261">
        <v>46050.7</v>
      </c>
      <c r="G261">
        <v>438402.66</v>
      </c>
    </row>
    <row r="262" spans="1:7" x14ac:dyDescent="0.35">
      <c r="A262" t="s">
        <v>292</v>
      </c>
      <c r="B262">
        <v>1382398.01</v>
      </c>
      <c r="C262">
        <v>552959.19999999995</v>
      </c>
      <c r="D262">
        <v>276479.59999999998</v>
      </c>
      <c r="E262">
        <v>348364.3</v>
      </c>
      <c r="F262">
        <v>138239.79999999999</v>
      </c>
      <c r="G262">
        <v>1316042.9099999999</v>
      </c>
    </row>
    <row r="263" spans="1:7" x14ac:dyDescent="0.35">
      <c r="A263" t="s">
        <v>293</v>
      </c>
      <c r="B263">
        <v>745500</v>
      </c>
      <c r="C263">
        <v>298200</v>
      </c>
      <c r="D263">
        <v>149100</v>
      </c>
      <c r="E263">
        <v>187866</v>
      </c>
      <c r="F263">
        <v>74550</v>
      </c>
      <c r="G263">
        <v>709716</v>
      </c>
    </row>
    <row r="264" spans="1:7" x14ac:dyDescent="0.35">
      <c r="A264" t="s">
        <v>294</v>
      </c>
      <c r="B264">
        <v>1277682.6000000001</v>
      </c>
      <c r="C264">
        <v>511073.04</v>
      </c>
      <c r="D264">
        <v>255536.52</v>
      </c>
      <c r="E264">
        <v>321976.02</v>
      </c>
      <c r="F264">
        <v>127768.26</v>
      </c>
      <c r="G264">
        <v>1216353.8400000001</v>
      </c>
    </row>
    <row r="265" spans="1:7" x14ac:dyDescent="0.35">
      <c r="A265" t="s">
        <v>295</v>
      </c>
      <c r="B265">
        <v>959149.2</v>
      </c>
      <c r="C265">
        <v>383659.68</v>
      </c>
      <c r="D265">
        <v>191829.84</v>
      </c>
      <c r="E265">
        <v>241705.60000000001</v>
      </c>
      <c r="F265">
        <v>95914.92</v>
      </c>
      <c r="G265">
        <v>913110.04</v>
      </c>
    </row>
    <row r="266" spans="1:7" x14ac:dyDescent="0.35">
      <c r="A266" t="s">
        <v>296</v>
      </c>
      <c r="B266">
        <v>1380255.5</v>
      </c>
      <c r="C266">
        <v>552102.19999999995</v>
      </c>
      <c r="D266">
        <v>276051.09999999998</v>
      </c>
      <c r="E266">
        <v>347824.39</v>
      </c>
      <c r="F266">
        <v>138025.54999999999</v>
      </c>
      <c r="G266">
        <v>1314003.24</v>
      </c>
    </row>
    <row r="267" spans="1:7" x14ac:dyDescent="0.35">
      <c r="A267" t="s">
        <v>297</v>
      </c>
      <c r="B267">
        <v>967687.86</v>
      </c>
      <c r="C267">
        <v>387075.14</v>
      </c>
      <c r="D267">
        <v>193537.57</v>
      </c>
      <c r="E267">
        <v>243857.34</v>
      </c>
      <c r="F267">
        <v>96768.79</v>
      </c>
      <c r="G267">
        <v>921238.84</v>
      </c>
    </row>
    <row r="268" spans="1:7" x14ac:dyDescent="0.35">
      <c r="A268" t="s">
        <v>298</v>
      </c>
      <c r="B268">
        <v>856415</v>
      </c>
      <c r="C268">
        <v>342566</v>
      </c>
      <c r="D268">
        <v>171283</v>
      </c>
      <c r="E268">
        <v>215816.58</v>
      </c>
      <c r="F268">
        <v>85641.5</v>
      </c>
      <c r="G268">
        <v>815307.08</v>
      </c>
    </row>
    <row r="269" spans="1:7" x14ac:dyDescent="0.35">
      <c r="A269" t="s">
        <v>299</v>
      </c>
      <c r="B269">
        <v>531678.14</v>
      </c>
      <c r="C269">
        <v>212671.26</v>
      </c>
      <c r="D269">
        <v>106335.63</v>
      </c>
      <c r="E269">
        <v>133982.89000000001</v>
      </c>
      <c r="F269">
        <v>53167.81</v>
      </c>
      <c r="G269">
        <v>506157.59</v>
      </c>
    </row>
    <row r="270" spans="1:7" x14ac:dyDescent="0.35">
      <c r="A270" t="s">
        <v>300</v>
      </c>
      <c r="B270">
        <v>712408.8</v>
      </c>
      <c r="C270">
        <v>284963.52</v>
      </c>
      <c r="D270">
        <v>142481.76</v>
      </c>
      <c r="E270">
        <v>179527.02</v>
      </c>
      <c r="F270">
        <v>71240.88</v>
      </c>
      <c r="G270">
        <v>678213.18</v>
      </c>
    </row>
    <row r="271" spans="1:7" x14ac:dyDescent="0.35">
      <c r="A271" t="s">
        <v>301</v>
      </c>
      <c r="B271">
        <v>910080.05</v>
      </c>
      <c r="C271">
        <v>364032.02</v>
      </c>
      <c r="D271">
        <v>182016.01</v>
      </c>
      <c r="E271">
        <v>229340.17</v>
      </c>
      <c r="F271">
        <v>91008.01</v>
      </c>
      <c r="G271">
        <v>866396.21</v>
      </c>
    </row>
    <row r="272" spans="1:7" x14ac:dyDescent="0.35">
      <c r="A272" t="s">
        <v>302</v>
      </c>
      <c r="B272">
        <v>2422233.52</v>
      </c>
      <c r="C272">
        <v>968893.41</v>
      </c>
      <c r="D272">
        <v>484446.71</v>
      </c>
      <c r="E272">
        <v>610402.85</v>
      </c>
      <c r="F272">
        <v>242223.35</v>
      </c>
      <c r="G272">
        <v>2305966.3199999998</v>
      </c>
    </row>
    <row r="273" spans="1:7" x14ac:dyDescent="0.35">
      <c r="A273" t="s">
        <v>303</v>
      </c>
      <c r="B273">
        <v>1300491.6000000001</v>
      </c>
      <c r="C273">
        <v>520196.64</v>
      </c>
      <c r="D273">
        <v>260098.32</v>
      </c>
      <c r="E273">
        <v>327723.88</v>
      </c>
      <c r="F273">
        <v>130049.16</v>
      </c>
      <c r="G273">
        <v>1238068</v>
      </c>
    </row>
    <row r="274" spans="1:7" x14ac:dyDescent="0.35">
      <c r="A274" t="s">
        <v>304</v>
      </c>
      <c r="B274">
        <v>1249056</v>
      </c>
      <c r="C274">
        <v>499622.40000000002</v>
      </c>
      <c r="D274">
        <v>249811.20000000001</v>
      </c>
      <c r="E274">
        <v>314762.11</v>
      </c>
      <c r="F274">
        <v>124905.60000000001</v>
      </c>
      <c r="G274">
        <v>1189101.31</v>
      </c>
    </row>
    <row r="275" spans="1:7" x14ac:dyDescent="0.35">
      <c r="A275" t="s">
        <v>305</v>
      </c>
      <c r="B275">
        <v>867653</v>
      </c>
      <c r="C275">
        <v>347061.2</v>
      </c>
      <c r="D275">
        <v>173530.6</v>
      </c>
      <c r="E275">
        <v>218648.56</v>
      </c>
      <c r="F275">
        <v>86765.3</v>
      </c>
      <c r="G275">
        <v>826005.66</v>
      </c>
    </row>
    <row r="276" spans="1:7" x14ac:dyDescent="0.35">
      <c r="A276" t="s">
        <v>306</v>
      </c>
      <c r="B276">
        <v>1033049.28</v>
      </c>
      <c r="C276">
        <v>413219.71</v>
      </c>
      <c r="D276">
        <v>206609.86</v>
      </c>
      <c r="E276">
        <v>260328.42</v>
      </c>
      <c r="F276">
        <v>103304.93</v>
      </c>
      <c r="G276">
        <v>983462.92</v>
      </c>
    </row>
    <row r="277" spans="1:7" x14ac:dyDescent="0.35">
      <c r="A277" t="s">
        <v>307</v>
      </c>
      <c r="B277">
        <v>671915</v>
      </c>
      <c r="C277">
        <v>268766</v>
      </c>
      <c r="D277">
        <v>134383</v>
      </c>
      <c r="E277">
        <v>169322.58</v>
      </c>
      <c r="F277">
        <v>67191.5</v>
      </c>
      <c r="G277">
        <v>639663.07999999996</v>
      </c>
    </row>
    <row r="278" spans="1:7" x14ac:dyDescent="0.35">
      <c r="A278" t="s">
        <v>308</v>
      </c>
      <c r="B278">
        <v>778879.35</v>
      </c>
      <c r="C278">
        <v>311551.74</v>
      </c>
      <c r="D278">
        <v>155775.87</v>
      </c>
      <c r="E278">
        <v>196277.6</v>
      </c>
      <c r="F278">
        <v>77887.929999999993</v>
      </c>
      <c r="G278">
        <v>741493.14</v>
      </c>
    </row>
    <row r="279" spans="1:7" x14ac:dyDescent="0.35">
      <c r="A279" t="s">
        <v>309</v>
      </c>
      <c r="B279">
        <v>931605</v>
      </c>
      <c r="C279">
        <v>372642</v>
      </c>
      <c r="D279">
        <v>186321</v>
      </c>
      <c r="E279">
        <v>234764.46</v>
      </c>
      <c r="F279">
        <v>93160.5</v>
      </c>
      <c r="G279">
        <v>886887.96</v>
      </c>
    </row>
    <row r="280" spans="1:7" x14ac:dyDescent="0.35">
      <c r="A280" t="s">
        <v>310</v>
      </c>
      <c r="B280">
        <v>1601898.55</v>
      </c>
      <c r="C280">
        <v>640759.42000000004</v>
      </c>
      <c r="D280">
        <v>320379.71000000002</v>
      </c>
      <c r="E280">
        <v>403678.43</v>
      </c>
      <c r="F280">
        <v>160189.85</v>
      </c>
      <c r="G280">
        <v>1525007.42</v>
      </c>
    </row>
    <row r="281" spans="1:7" x14ac:dyDescent="0.35">
      <c r="A281" t="s">
        <v>311</v>
      </c>
      <c r="B281">
        <v>1438092.6</v>
      </c>
      <c r="C281">
        <v>575237.04</v>
      </c>
      <c r="D281">
        <v>287618.52</v>
      </c>
      <c r="E281">
        <v>362399.34</v>
      </c>
      <c r="F281">
        <v>143809.26</v>
      </c>
      <c r="G281">
        <v>1369064.16</v>
      </c>
    </row>
    <row r="282" spans="1:7" x14ac:dyDescent="0.35">
      <c r="A282" t="s">
        <v>312</v>
      </c>
      <c r="B282">
        <v>775870.8</v>
      </c>
      <c r="C282">
        <v>310348.32</v>
      </c>
      <c r="D282">
        <v>155174.16</v>
      </c>
      <c r="E282">
        <v>195519.44</v>
      </c>
      <c r="F282">
        <v>77587.08</v>
      </c>
      <c r="G282">
        <v>738629</v>
      </c>
    </row>
    <row r="283" spans="1:7" x14ac:dyDescent="0.35">
      <c r="A283" t="s">
        <v>313</v>
      </c>
      <c r="B283">
        <v>1487040.7</v>
      </c>
      <c r="C283">
        <v>594816.28</v>
      </c>
      <c r="D283">
        <v>297408.14</v>
      </c>
      <c r="E283">
        <v>374734.26</v>
      </c>
      <c r="F283">
        <v>148704.07</v>
      </c>
      <c r="G283">
        <v>1415662.75</v>
      </c>
    </row>
    <row r="284" spans="1:7" x14ac:dyDescent="0.35">
      <c r="A284" t="s">
        <v>314</v>
      </c>
      <c r="B284">
        <v>865989.6</v>
      </c>
      <c r="C284">
        <v>346395.84</v>
      </c>
      <c r="D284">
        <v>173197.92</v>
      </c>
      <c r="E284">
        <v>218229.38</v>
      </c>
      <c r="F284">
        <v>86598.96</v>
      </c>
      <c r="G284">
        <v>824422.1</v>
      </c>
    </row>
    <row r="285" spans="1:7" x14ac:dyDescent="0.35">
      <c r="A285" t="s">
        <v>315</v>
      </c>
      <c r="B285">
        <v>994345</v>
      </c>
      <c r="C285">
        <v>397738</v>
      </c>
      <c r="D285">
        <v>198869</v>
      </c>
      <c r="E285">
        <v>250574.94</v>
      </c>
      <c r="F285">
        <v>99434.5</v>
      </c>
      <c r="G285">
        <v>946616.44</v>
      </c>
    </row>
    <row r="286" spans="1:7" x14ac:dyDescent="0.35">
      <c r="A286" t="s">
        <v>316</v>
      </c>
      <c r="B286">
        <v>1448248.02</v>
      </c>
      <c r="C286">
        <v>579299.21</v>
      </c>
      <c r="D286">
        <v>289649.59999999998</v>
      </c>
      <c r="E286">
        <v>364958.5</v>
      </c>
      <c r="F286">
        <v>144824.79999999999</v>
      </c>
      <c r="G286">
        <v>1378732.12</v>
      </c>
    </row>
    <row r="287" spans="1:7" x14ac:dyDescent="0.35">
      <c r="A287" t="s">
        <v>317</v>
      </c>
      <c r="B287">
        <v>1804904.62</v>
      </c>
      <c r="C287">
        <v>721961.85</v>
      </c>
      <c r="D287">
        <v>360980.92</v>
      </c>
      <c r="E287">
        <v>454835.96</v>
      </c>
      <c r="F287">
        <v>180490.46</v>
      </c>
      <c r="G287">
        <v>1718269.2</v>
      </c>
    </row>
    <row r="288" spans="1:7" x14ac:dyDescent="0.35">
      <c r="A288" t="s">
        <v>318</v>
      </c>
      <c r="B288">
        <v>780464.52</v>
      </c>
      <c r="C288">
        <v>312185.81</v>
      </c>
      <c r="D288">
        <v>156092.9</v>
      </c>
      <c r="E288">
        <v>196677.06</v>
      </c>
      <c r="F288">
        <v>78046.45</v>
      </c>
      <c r="G288">
        <v>743002.22</v>
      </c>
    </row>
    <row r="289" spans="1:7" x14ac:dyDescent="0.35">
      <c r="A289" t="s">
        <v>319</v>
      </c>
      <c r="B289">
        <v>643600.80000000005</v>
      </c>
      <c r="C289">
        <v>257440.32</v>
      </c>
      <c r="D289">
        <v>128720.16</v>
      </c>
      <c r="E289">
        <v>162187.4</v>
      </c>
      <c r="F289">
        <v>64360.08</v>
      </c>
      <c r="G289">
        <v>612707.96</v>
      </c>
    </row>
    <row r="290" spans="1:7" x14ac:dyDescent="0.35">
      <c r="A290" t="s">
        <v>320</v>
      </c>
      <c r="B290">
        <v>1265388.6000000001</v>
      </c>
      <c r="C290">
        <v>506155.44</v>
      </c>
      <c r="D290">
        <v>253077.72</v>
      </c>
      <c r="E290">
        <v>318877.93</v>
      </c>
      <c r="F290">
        <v>126538.86</v>
      </c>
      <c r="G290">
        <v>1204649.95</v>
      </c>
    </row>
    <row r="291" spans="1:7" x14ac:dyDescent="0.35">
      <c r="A291" t="s">
        <v>321</v>
      </c>
      <c r="B291">
        <v>841041</v>
      </c>
      <c r="C291">
        <v>336416.4</v>
      </c>
      <c r="D291">
        <v>168208.2</v>
      </c>
      <c r="E291">
        <v>211942.33</v>
      </c>
      <c r="F291">
        <v>84104.1</v>
      </c>
      <c r="G291">
        <v>800671.03</v>
      </c>
    </row>
    <row r="292" spans="1:7" x14ac:dyDescent="0.35">
      <c r="A292" t="s">
        <v>322</v>
      </c>
      <c r="B292">
        <v>2002608.5</v>
      </c>
      <c r="C292">
        <v>801043.4</v>
      </c>
      <c r="D292">
        <v>400521.7</v>
      </c>
      <c r="E292">
        <v>504657.34</v>
      </c>
      <c r="F292">
        <v>200260.85</v>
      </c>
      <c r="G292">
        <v>1906483.29</v>
      </c>
    </row>
    <row r="293" spans="1:7" x14ac:dyDescent="0.35">
      <c r="A293" t="s">
        <v>323</v>
      </c>
      <c r="B293">
        <v>1493359.2</v>
      </c>
      <c r="C293">
        <v>597343.68000000005</v>
      </c>
      <c r="D293">
        <v>298671.84000000003</v>
      </c>
      <c r="E293">
        <v>376326.52</v>
      </c>
      <c r="F293">
        <v>149335.92000000001</v>
      </c>
      <c r="G293">
        <v>1421677.96</v>
      </c>
    </row>
    <row r="294" spans="1:7" x14ac:dyDescent="0.35">
      <c r="A294" t="s">
        <v>324</v>
      </c>
      <c r="B294">
        <v>797369.2</v>
      </c>
      <c r="C294">
        <v>318947.68</v>
      </c>
      <c r="D294">
        <v>159473.84</v>
      </c>
      <c r="E294">
        <v>200937.04</v>
      </c>
      <c r="F294">
        <v>79736.92</v>
      </c>
      <c r="G294">
        <v>759095.48</v>
      </c>
    </row>
    <row r="295" spans="1:7" x14ac:dyDescent="0.35">
      <c r="A295" t="s">
        <v>325</v>
      </c>
      <c r="B295">
        <v>1338804.31</v>
      </c>
      <c r="C295">
        <v>535521.73</v>
      </c>
      <c r="D295">
        <v>267760.86</v>
      </c>
      <c r="E295">
        <v>337378.69</v>
      </c>
      <c r="F295">
        <v>133880.43</v>
      </c>
      <c r="G295">
        <v>1274541.71</v>
      </c>
    </row>
    <row r="296" spans="1:7" x14ac:dyDescent="0.35">
      <c r="A296" t="s">
        <v>326</v>
      </c>
      <c r="B296">
        <v>1555902.6</v>
      </c>
      <c r="C296">
        <v>622361.04</v>
      </c>
      <c r="D296">
        <v>311180.52</v>
      </c>
      <c r="E296">
        <v>392087.46</v>
      </c>
      <c r="F296">
        <v>155590.26</v>
      </c>
      <c r="G296">
        <v>1481219.28</v>
      </c>
    </row>
    <row r="297" spans="1:7" x14ac:dyDescent="0.35">
      <c r="A297" t="s">
        <v>327</v>
      </c>
      <c r="B297">
        <v>934226.2</v>
      </c>
      <c r="C297">
        <v>373690.48</v>
      </c>
      <c r="D297">
        <v>186845.24</v>
      </c>
      <c r="E297">
        <v>235425</v>
      </c>
      <c r="F297">
        <v>93422.62</v>
      </c>
      <c r="G297">
        <v>889383.34</v>
      </c>
    </row>
    <row r="298" spans="1:7" x14ac:dyDescent="0.35">
      <c r="A298" t="s">
        <v>328</v>
      </c>
      <c r="B298">
        <v>1179645.3</v>
      </c>
      <c r="C298">
        <v>471858.12</v>
      </c>
      <c r="D298">
        <v>235929.06</v>
      </c>
      <c r="E298">
        <v>297270.62</v>
      </c>
      <c r="F298">
        <v>117964.53</v>
      </c>
      <c r="G298">
        <v>1123022.33</v>
      </c>
    </row>
    <row r="299" spans="1:7" x14ac:dyDescent="0.35">
      <c r="A299" t="s">
        <v>329</v>
      </c>
      <c r="B299">
        <v>834953.39</v>
      </c>
      <c r="C299">
        <v>333981.34999999998</v>
      </c>
      <c r="D299">
        <v>166990.68</v>
      </c>
      <c r="E299">
        <v>210408.25</v>
      </c>
      <c r="F299">
        <v>83495.34</v>
      </c>
      <c r="G299">
        <v>794875.62</v>
      </c>
    </row>
    <row r="300" spans="1:7" x14ac:dyDescent="0.35">
      <c r="A300" t="s">
        <v>330</v>
      </c>
      <c r="B300">
        <v>1114334.3999999999</v>
      </c>
      <c r="C300">
        <v>445733.76</v>
      </c>
      <c r="D300">
        <v>222866.88</v>
      </c>
      <c r="E300">
        <v>280812.27</v>
      </c>
      <c r="F300">
        <v>111433.44</v>
      </c>
      <c r="G300">
        <v>1060846.3500000001</v>
      </c>
    </row>
    <row r="301" spans="1:7" x14ac:dyDescent="0.35">
      <c r="A301" t="s">
        <v>331</v>
      </c>
      <c r="B301">
        <v>1494564</v>
      </c>
      <c r="C301">
        <v>597825.6</v>
      </c>
      <c r="D301">
        <v>298912.8</v>
      </c>
      <c r="E301">
        <v>376630.13</v>
      </c>
      <c r="F301">
        <v>149456.4</v>
      </c>
      <c r="G301">
        <v>1422824.93</v>
      </c>
    </row>
    <row r="302" spans="1:7" x14ac:dyDescent="0.35">
      <c r="A302" t="s">
        <v>332</v>
      </c>
      <c r="B302">
        <v>1047614.8</v>
      </c>
      <c r="C302">
        <v>419045.92</v>
      </c>
      <c r="D302">
        <v>209522.96</v>
      </c>
      <c r="E302">
        <v>263998.93</v>
      </c>
      <c r="F302">
        <v>104761.48</v>
      </c>
      <c r="G302">
        <v>997329.29</v>
      </c>
    </row>
    <row r="303" spans="1:7" x14ac:dyDescent="0.35">
      <c r="A303" t="s">
        <v>333</v>
      </c>
      <c r="B303">
        <v>1892283.6</v>
      </c>
      <c r="C303">
        <v>756913.44</v>
      </c>
      <c r="D303">
        <v>378456.72</v>
      </c>
      <c r="E303">
        <v>476855.47</v>
      </c>
      <c r="F303">
        <v>189228.36</v>
      </c>
      <c r="G303">
        <v>1801453.99</v>
      </c>
    </row>
    <row r="304" spans="1:7" x14ac:dyDescent="0.35">
      <c r="A304" t="s">
        <v>334</v>
      </c>
      <c r="B304">
        <v>833869.15</v>
      </c>
      <c r="C304">
        <v>333547.65999999997</v>
      </c>
      <c r="D304">
        <v>166773.82999999999</v>
      </c>
      <c r="E304">
        <v>210135.03</v>
      </c>
      <c r="F304">
        <v>83386.91</v>
      </c>
      <c r="G304">
        <v>793843.43</v>
      </c>
    </row>
    <row r="305" spans="1:7" x14ac:dyDescent="0.35">
      <c r="A305" t="s">
        <v>335</v>
      </c>
      <c r="B305">
        <v>1297860.3600000001</v>
      </c>
      <c r="C305">
        <v>519144.14</v>
      </c>
      <c r="D305">
        <v>259572.07</v>
      </c>
      <c r="E305">
        <v>327060.81</v>
      </c>
      <c r="F305">
        <v>129786.04</v>
      </c>
      <c r="G305">
        <v>1235563.06</v>
      </c>
    </row>
    <row r="306" spans="1:7" x14ac:dyDescent="0.35">
      <c r="A306" t="s">
        <v>336</v>
      </c>
      <c r="B306">
        <v>627117.80000000005</v>
      </c>
      <c r="C306">
        <v>250847.12</v>
      </c>
      <c r="D306">
        <v>125423.56</v>
      </c>
      <c r="E306">
        <v>158033.69</v>
      </c>
      <c r="F306">
        <v>62711.78</v>
      </c>
      <c r="G306">
        <v>597016.15</v>
      </c>
    </row>
    <row r="307" spans="1:7" x14ac:dyDescent="0.35">
      <c r="A307" t="s">
        <v>337</v>
      </c>
      <c r="B307">
        <v>1259038.8</v>
      </c>
      <c r="C307">
        <v>503615.52</v>
      </c>
      <c r="D307">
        <v>251807.76</v>
      </c>
      <c r="E307">
        <v>317277.78000000003</v>
      </c>
      <c r="F307">
        <v>125903.88</v>
      </c>
      <c r="G307">
        <v>1198604.94</v>
      </c>
    </row>
    <row r="308" spans="1:7" x14ac:dyDescent="0.35">
      <c r="A308" t="s">
        <v>338</v>
      </c>
      <c r="B308">
        <v>664482</v>
      </c>
      <c r="C308">
        <v>265792.8</v>
      </c>
      <c r="D308">
        <v>132896.4</v>
      </c>
      <c r="E308">
        <v>167449.46</v>
      </c>
      <c r="F308">
        <v>66448.2</v>
      </c>
      <c r="G308">
        <v>632586.86</v>
      </c>
    </row>
    <row r="309" spans="1:7" x14ac:dyDescent="0.35">
      <c r="A309" t="s">
        <v>339</v>
      </c>
      <c r="B309">
        <v>1239838.73</v>
      </c>
      <c r="C309">
        <v>495935.49</v>
      </c>
      <c r="D309">
        <v>247967.75</v>
      </c>
      <c r="E309">
        <v>312439.36</v>
      </c>
      <c r="F309">
        <v>123983.87</v>
      </c>
      <c r="G309">
        <v>1180326.47</v>
      </c>
    </row>
    <row r="310" spans="1:7" x14ac:dyDescent="0.35">
      <c r="A310" t="s">
        <v>340</v>
      </c>
      <c r="B310">
        <v>1216640.1100000001</v>
      </c>
      <c r="C310">
        <v>486656.04</v>
      </c>
      <c r="D310">
        <v>243328.02</v>
      </c>
      <c r="E310">
        <v>306593.31</v>
      </c>
      <c r="F310">
        <v>121664.01</v>
      </c>
      <c r="G310">
        <v>1158241.3799999999</v>
      </c>
    </row>
    <row r="311" spans="1:7" x14ac:dyDescent="0.35">
      <c r="A311" t="s">
        <v>341</v>
      </c>
      <c r="B311">
        <v>958964.58</v>
      </c>
      <c r="C311">
        <v>383585.83</v>
      </c>
      <c r="D311">
        <v>191792.92</v>
      </c>
      <c r="E311">
        <v>241659.07</v>
      </c>
      <c r="F311">
        <v>95896.46</v>
      </c>
      <c r="G311">
        <v>912934.28</v>
      </c>
    </row>
    <row r="312" spans="1:7" x14ac:dyDescent="0.35">
      <c r="A312" t="s">
        <v>342</v>
      </c>
      <c r="B312">
        <v>1534193.57</v>
      </c>
      <c r="C312">
        <v>613677.43000000005</v>
      </c>
      <c r="D312">
        <v>306838.71000000002</v>
      </c>
      <c r="E312">
        <v>386616.78</v>
      </c>
      <c r="F312">
        <v>153419.35999999999</v>
      </c>
      <c r="G312">
        <v>1460552.28</v>
      </c>
    </row>
    <row r="313" spans="1:7" x14ac:dyDescent="0.35">
      <c r="A313" t="s">
        <v>343</v>
      </c>
      <c r="B313">
        <v>735501.78</v>
      </c>
      <c r="C313">
        <v>294200.71000000002</v>
      </c>
      <c r="D313">
        <v>147100.35999999999</v>
      </c>
      <c r="E313">
        <v>185346.45</v>
      </c>
      <c r="F313">
        <v>73550.179999999993</v>
      </c>
      <c r="G313">
        <v>700197.69</v>
      </c>
    </row>
    <row r="314" spans="1:7" x14ac:dyDescent="0.35">
      <c r="A314" t="s">
        <v>344</v>
      </c>
      <c r="B314">
        <v>1090663.8400000001</v>
      </c>
      <c r="C314">
        <v>436265.54</v>
      </c>
      <c r="D314">
        <v>218132.77</v>
      </c>
      <c r="E314">
        <v>274847.28999999998</v>
      </c>
      <c r="F314">
        <v>109066.38</v>
      </c>
      <c r="G314">
        <v>1038311.98</v>
      </c>
    </row>
    <row r="315" spans="1:7" x14ac:dyDescent="0.35">
      <c r="A315" t="s">
        <v>345</v>
      </c>
      <c r="B315">
        <v>1397328.59</v>
      </c>
      <c r="C315">
        <v>558931.43999999994</v>
      </c>
      <c r="D315">
        <v>279465.71999999997</v>
      </c>
      <c r="E315">
        <v>352126.8</v>
      </c>
      <c r="F315">
        <v>139732.85999999999</v>
      </c>
      <c r="G315">
        <v>1330256.82</v>
      </c>
    </row>
    <row r="316" spans="1:7" x14ac:dyDescent="0.35">
      <c r="A316" t="s">
        <v>346</v>
      </c>
      <c r="B316">
        <v>1145949.6000000001</v>
      </c>
      <c r="C316">
        <v>458379.84</v>
      </c>
      <c r="D316">
        <v>229189.92</v>
      </c>
      <c r="E316">
        <v>288779.3</v>
      </c>
      <c r="F316">
        <v>114594.96</v>
      </c>
      <c r="G316">
        <v>1090944.02</v>
      </c>
    </row>
    <row r="317" spans="1:7" x14ac:dyDescent="0.35">
      <c r="A317" t="s">
        <v>347</v>
      </c>
      <c r="B317">
        <v>870262.89</v>
      </c>
      <c r="C317">
        <v>348105.16</v>
      </c>
      <c r="D317">
        <v>174052.58</v>
      </c>
      <c r="E317">
        <v>219306.25</v>
      </c>
      <c r="F317">
        <v>87026.29</v>
      </c>
      <c r="G317">
        <v>828490.27</v>
      </c>
    </row>
    <row r="318" spans="1:7" x14ac:dyDescent="0.35">
      <c r="A318" t="s">
        <v>348</v>
      </c>
      <c r="B318">
        <v>1252140.6599999999</v>
      </c>
      <c r="C318">
        <v>500856.26</v>
      </c>
      <c r="D318">
        <v>250428.13</v>
      </c>
      <c r="E318">
        <v>315539.45</v>
      </c>
      <c r="F318">
        <v>125214.07</v>
      </c>
      <c r="G318">
        <v>1192037.9099999999</v>
      </c>
    </row>
    <row r="319" spans="1:7" x14ac:dyDescent="0.35">
      <c r="A319" t="s">
        <v>349</v>
      </c>
      <c r="B319">
        <v>1045506.54</v>
      </c>
      <c r="C319">
        <v>418202.62</v>
      </c>
      <c r="D319">
        <v>209101.31</v>
      </c>
      <c r="E319">
        <v>263467.65000000002</v>
      </c>
      <c r="F319">
        <v>104550.65</v>
      </c>
      <c r="G319">
        <v>995322.23</v>
      </c>
    </row>
    <row r="320" spans="1:7" x14ac:dyDescent="0.35">
      <c r="A320" t="s">
        <v>350</v>
      </c>
      <c r="B320">
        <v>1595059</v>
      </c>
      <c r="C320">
        <v>638023.6</v>
      </c>
      <c r="D320">
        <v>319011.8</v>
      </c>
      <c r="E320">
        <v>401954.87</v>
      </c>
      <c r="F320">
        <v>159505.9</v>
      </c>
      <c r="G320">
        <v>1518496.17</v>
      </c>
    </row>
    <row r="321" spans="1:7" x14ac:dyDescent="0.35">
      <c r="A321" t="s">
        <v>351</v>
      </c>
      <c r="B321">
        <v>1544480.6</v>
      </c>
      <c r="C321">
        <v>617792.24</v>
      </c>
      <c r="D321">
        <v>308896.12</v>
      </c>
      <c r="E321">
        <v>389209.11</v>
      </c>
      <c r="F321">
        <v>154448.06</v>
      </c>
      <c r="G321">
        <v>1470345.53</v>
      </c>
    </row>
    <row r="322" spans="1:7" x14ac:dyDescent="0.35">
      <c r="A322" t="s">
        <v>352</v>
      </c>
      <c r="B322">
        <v>1107499.17</v>
      </c>
      <c r="C322">
        <v>442999.67</v>
      </c>
      <c r="D322">
        <v>221499.83</v>
      </c>
      <c r="E322">
        <v>279089.78999999998</v>
      </c>
      <c r="F322">
        <v>110749.92</v>
      </c>
      <c r="G322">
        <v>1054339.21</v>
      </c>
    </row>
    <row r="323" spans="1:7" x14ac:dyDescent="0.35">
      <c r="A323" t="s">
        <v>353</v>
      </c>
      <c r="B323">
        <v>761765.1</v>
      </c>
      <c r="C323">
        <v>304706.03999999998</v>
      </c>
      <c r="D323">
        <v>152353.01999999999</v>
      </c>
      <c r="E323">
        <v>191964.81</v>
      </c>
      <c r="F323">
        <v>76176.509999999995</v>
      </c>
      <c r="G323">
        <v>725200.38</v>
      </c>
    </row>
    <row r="324" spans="1:7" x14ac:dyDescent="0.35">
      <c r="A324" t="s">
        <v>354</v>
      </c>
      <c r="B324">
        <v>1201643</v>
      </c>
      <c r="C324">
        <v>480657.2</v>
      </c>
      <c r="D324">
        <v>240328.6</v>
      </c>
      <c r="E324">
        <v>302814.03999999998</v>
      </c>
      <c r="F324">
        <v>120164.3</v>
      </c>
      <c r="G324">
        <v>1143964.1399999999</v>
      </c>
    </row>
    <row r="325" spans="1:7" x14ac:dyDescent="0.35">
      <c r="A325" t="s">
        <v>355</v>
      </c>
      <c r="B325">
        <v>1300785.6000000001</v>
      </c>
      <c r="C325">
        <v>520314.24</v>
      </c>
      <c r="D325">
        <v>260157.12</v>
      </c>
      <c r="E325">
        <v>327797.96999999997</v>
      </c>
      <c r="F325">
        <v>130078.56</v>
      </c>
      <c r="G325">
        <v>1238347.8899999999</v>
      </c>
    </row>
    <row r="326" spans="1:7" x14ac:dyDescent="0.35">
      <c r="A326" t="s">
        <v>356</v>
      </c>
      <c r="B326">
        <v>709593</v>
      </c>
      <c r="C326">
        <v>283837.2</v>
      </c>
      <c r="D326">
        <v>141918.6</v>
      </c>
      <c r="E326">
        <v>178817.44</v>
      </c>
      <c r="F326">
        <v>70959.3</v>
      </c>
      <c r="G326">
        <v>675532.54</v>
      </c>
    </row>
    <row r="327" spans="1:7" x14ac:dyDescent="0.35">
      <c r="A327" t="s">
        <v>357</v>
      </c>
      <c r="B327">
        <v>1171925.7</v>
      </c>
      <c r="C327">
        <v>468770.28</v>
      </c>
      <c r="D327">
        <v>234385.14</v>
      </c>
      <c r="E327">
        <v>295325.28000000003</v>
      </c>
      <c r="F327">
        <v>117192.57</v>
      </c>
      <c r="G327">
        <v>1115673.27</v>
      </c>
    </row>
    <row r="328" spans="1:7" x14ac:dyDescent="0.35">
      <c r="A328" t="s">
        <v>358</v>
      </c>
      <c r="B328">
        <v>1542950</v>
      </c>
      <c r="C328">
        <v>617180</v>
      </c>
      <c r="D328">
        <v>308590</v>
      </c>
      <c r="E328">
        <v>388823.4</v>
      </c>
      <c r="F328">
        <v>154295</v>
      </c>
      <c r="G328">
        <v>1468888.4</v>
      </c>
    </row>
    <row r="329" spans="1:7" x14ac:dyDescent="0.35">
      <c r="A329" t="s">
        <v>359</v>
      </c>
      <c r="B329">
        <v>1049115.97</v>
      </c>
      <c r="C329">
        <v>419646.39</v>
      </c>
      <c r="D329">
        <v>209823.19</v>
      </c>
      <c r="E329">
        <v>264377.21999999997</v>
      </c>
      <c r="F329">
        <v>104911.6</v>
      </c>
      <c r="G329">
        <v>998758.40000000002</v>
      </c>
    </row>
    <row r="330" spans="1:7" x14ac:dyDescent="0.35">
      <c r="A330" t="s">
        <v>360</v>
      </c>
      <c r="B330">
        <v>1081306.1499999999</v>
      </c>
      <c r="C330">
        <v>432522.46</v>
      </c>
      <c r="D330">
        <v>216261.23</v>
      </c>
      <c r="E330">
        <v>272489.15000000002</v>
      </c>
      <c r="F330">
        <v>108130.62</v>
      </c>
      <c r="G330">
        <v>1029403.45</v>
      </c>
    </row>
    <row r="331" spans="1:7" x14ac:dyDescent="0.35">
      <c r="A331" t="s">
        <v>361</v>
      </c>
      <c r="B331">
        <v>1499200.8</v>
      </c>
      <c r="C331">
        <v>599680.31999999995</v>
      </c>
      <c r="D331">
        <v>299840.15999999997</v>
      </c>
      <c r="E331">
        <v>377798.6</v>
      </c>
      <c r="F331">
        <v>149920.07999999999</v>
      </c>
      <c r="G331">
        <v>1427239.16</v>
      </c>
    </row>
    <row r="332" spans="1:7" x14ac:dyDescent="0.35">
      <c r="A332" t="s">
        <v>362</v>
      </c>
      <c r="B332">
        <v>651997.92000000004</v>
      </c>
      <c r="C332">
        <v>260799.17</v>
      </c>
      <c r="D332">
        <v>130399.58</v>
      </c>
      <c r="E332">
        <v>164303.48000000001</v>
      </c>
      <c r="F332">
        <v>65199.79</v>
      </c>
      <c r="G332">
        <v>620702.02</v>
      </c>
    </row>
    <row r="333" spans="1:7" x14ac:dyDescent="0.35">
      <c r="A333" t="s">
        <v>363</v>
      </c>
      <c r="B333">
        <v>830557.07</v>
      </c>
      <c r="C333">
        <v>332222.83</v>
      </c>
      <c r="D333">
        <v>166111.41</v>
      </c>
      <c r="E333">
        <v>209300.38</v>
      </c>
      <c r="F333">
        <v>83055.710000000006</v>
      </c>
      <c r="G333">
        <v>790690.33</v>
      </c>
    </row>
    <row r="334" spans="1:7" x14ac:dyDescent="0.35">
      <c r="A334" t="s">
        <v>364</v>
      </c>
      <c r="B334">
        <v>969910.2</v>
      </c>
      <c r="C334">
        <v>387964.08</v>
      </c>
      <c r="D334">
        <v>193982.04</v>
      </c>
      <c r="E334">
        <v>244417.37</v>
      </c>
      <c r="F334">
        <v>96991.02</v>
      </c>
      <c r="G334">
        <v>923354.51</v>
      </c>
    </row>
    <row r="335" spans="1:7" x14ac:dyDescent="0.35">
      <c r="A335" t="s">
        <v>365</v>
      </c>
      <c r="B335">
        <v>1524702.8</v>
      </c>
      <c r="C335">
        <v>609881.12</v>
      </c>
      <c r="D335">
        <v>304940.56</v>
      </c>
      <c r="E335">
        <v>384225.11</v>
      </c>
      <c r="F335">
        <v>152470.28</v>
      </c>
      <c r="G335">
        <v>1451517.07</v>
      </c>
    </row>
    <row r="336" spans="1:7" x14ac:dyDescent="0.35">
      <c r="A336" t="s">
        <v>366</v>
      </c>
      <c r="B336">
        <v>1535870</v>
      </c>
      <c r="C336">
        <v>614348</v>
      </c>
      <c r="D336">
        <v>307174</v>
      </c>
      <c r="E336">
        <v>387039.24</v>
      </c>
      <c r="F336">
        <v>153587</v>
      </c>
      <c r="G336">
        <v>1462148.24</v>
      </c>
    </row>
    <row r="337" spans="1:7" x14ac:dyDescent="0.35">
      <c r="A337" t="s">
        <v>367</v>
      </c>
      <c r="B337">
        <v>660680.4</v>
      </c>
      <c r="C337">
        <v>264272.15999999997</v>
      </c>
      <c r="D337">
        <v>132136.07999999999</v>
      </c>
      <c r="E337">
        <v>166491.46</v>
      </c>
      <c r="F337">
        <v>66068.039999999994</v>
      </c>
      <c r="G337">
        <v>628967.74</v>
      </c>
    </row>
    <row r="338" spans="1:7" x14ac:dyDescent="0.35">
      <c r="A338" t="s">
        <v>368</v>
      </c>
      <c r="B338">
        <v>553572.6</v>
      </c>
      <c r="C338">
        <v>221429.04</v>
      </c>
      <c r="D338">
        <v>110714.52</v>
      </c>
      <c r="E338">
        <v>139500.29999999999</v>
      </c>
      <c r="F338">
        <v>55357.26</v>
      </c>
      <c r="G338">
        <v>527001.12</v>
      </c>
    </row>
    <row r="339" spans="1:7" x14ac:dyDescent="0.35">
      <c r="A339" t="s">
        <v>369</v>
      </c>
      <c r="B339">
        <v>1366390.3</v>
      </c>
      <c r="C339">
        <v>546556.12</v>
      </c>
      <c r="D339">
        <v>273278.06</v>
      </c>
      <c r="E339">
        <v>344330.36</v>
      </c>
      <c r="F339">
        <v>136639.03</v>
      </c>
      <c r="G339">
        <v>1300803.57</v>
      </c>
    </row>
    <row r="340" spans="1:7" x14ac:dyDescent="0.35">
      <c r="A340" t="s">
        <v>370</v>
      </c>
      <c r="B340">
        <v>1822729.09</v>
      </c>
      <c r="C340">
        <v>729091.64</v>
      </c>
      <c r="D340">
        <v>364545.82</v>
      </c>
      <c r="E340">
        <v>459327.73</v>
      </c>
      <c r="F340">
        <v>182272.91</v>
      </c>
      <c r="G340">
        <v>1735238.09</v>
      </c>
    </row>
    <row r="341" spans="1:7" x14ac:dyDescent="0.35">
      <c r="A341" t="s">
        <v>371</v>
      </c>
      <c r="B341">
        <v>764528.65</v>
      </c>
      <c r="C341">
        <v>305811.46000000002</v>
      </c>
      <c r="D341">
        <v>152905.73000000001</v>
      </c>
      <c r="E341">
        <v>192661.22</v>
      </c>
      <c r="F341">
        <v>76452.86</v>
      </c>
      <c r="G341">
        <v>727831.27</v>
      </c>
    </row>
    <row r="342" spans="1:7" x14ac:dyDescent="0.35">
      <c r="A342" t="s">
        <v>372</v>
      </c>
      <c r="B342">
        <v>796367.6</v>
      </c>
      <c r="C342">
        <v>318547.03999999998</v>
      </c>
      <c r="D342">
        <v>159273.51999999999</v>
      </c>
      <c r="E342">
        <v>200684.64</v>
      </c>
      <c r="F342">
        <v>79636.759999999995</v>
      </c>
      <c r="G342">
        <v>758141.96</v>
      </c>
    </row>
    <row r="343" spans="1:7" x14ac:dyDescent="0.35">
      <c r="A343" t="s">
        <v>373</v>
      </c>
      <c r="B343">
        <v>715951.35</v>
      </c>
      <c r="C343">
        <v>286380.53999999998</v>
      </c>
      <c r="D343">
        <v>143190.26999999999</v>
      </c>
      <c r="E343">
        <v>180419.74</v>
      </c>
      <c r="F343">
        <v>71595.13</v>
      </c>
      <c r="G343">
        <v>681585.69</v>
      </c>
    </row>
    <row r="344" spans="1:7" x14ac:dyDescent="0.35">
      <c r="A344" t="s">
        <v>374</v>
      </c>
      <c r="B344">
        <v>1135042.3999999999</v>
      </c>
      <c r="C344">
        <v>454016.96</v>
      </c>
      <c r="D344">
        <v>227008.48</v>
      </c>
      <c r="E344">
        <v>286030.68</v>
      </c>
      <c r="F344">
        <v>113504.24</v>
      </c>
      <c r="G344">
        <v>1080560.3600000001</v>
      </c>
    </row>
    <row r="345" spans="1:7" x14ac:dyDescent="0.35">
      <c r="A345" t="s">
        <v>375</v>
      </c>
      <c r="B345">
        <v>1357543.16</v>
      </c>
      <c r="C345">
        <v>543017.26</v>
      </c>
      <c r="D345">
        <v>271508.63</v>
      </c>
      <c r="E345">
        <v>342100.88</v>
      </c>
      <c r="F345">
        <v>135754.32</v>
      </c>
      <c r="G345">
        <v>1292381.0900000001</v>
      </c>
    </row>
    <row r="346" spans="1:7" x14ac:dyDescent="0.35">
      <c r="A346" t="s">
        <v>376</v>
      </c>
      <c r="B346">
        <v>1664664.48</v>
      </c>
      <c r="C346">
        <v>665865.79</v>
      </c>
      <c r="D346">
        <v>332932.90000000002</v>
      </c>
      <c r="E346">
        <v>419495.45</v>
      </c>
      <c r="F346">
        <v>166466.45000000001</v>
      </c>
      <c r="G346">
        <v>1584760.58</v>
      </c>
    </row>
    <row r="347" spans="1:7" x14ac:dyDescent="0.35">
      <c r="A347" t="s">
        <v>377</v>
      </c>
      <c r="B347">
        <v>865684.8</v>
      </c>
      <c r="C347">
        <v>346273.92</v>
      </c>
      <c r="D347">
        <v>173136.96</v>
      </c>
      <c r="E347">
        <v>218152.57</v>
      </c>
      <c r="F347">
        <v>86568.48</v>
      </c>
      <c r="G347">
        <v>824131.93</v>
      </c>
    </row>
    <row r="348" spans="1:7" x14ac:dyDescent="0.35">
      <c r="A348" t="s">
        <v>378</v>
      </c>
      <c r="B348">
        <v>854397.6</v>
      </c>
      <c r="C348">
        <v>341759.04</v>
      </c>
      <c r="D348">
        <v>170879.52</v>
      </c>
      <c r="E348">
        <v>215308.2</v>
      </c>
      <c r="F348">
        <v>85439.76</v>
      </c>
      <c r="G348">
        <v>813386.52</v>
      </c>
    </row>
    <row r="349" spans="1:7" x14ac:dyDescent="0.35">
      <c r="A349" t="s">
        <v>379</v>
      </c>
      <c r="B349">
        <v>1201700.51</v>
      </c>
      <c r="C349">
        <v>480680.2</v>
      </c>
      <c r="D349">
        <v>240340.1</v>
      </c>
      <c r="E349">
        <v>302828.53000000003</v>
      </c>
      <c r="F349">
        <v>120170.05</v>
      </c>
      <c r="G349">
        <v>1144018.8799999999</v>
      </c>
    </row>
    <row r="350" spans="1:7" x14ac:dyDescent="0.35">
      <c r="A350" t="s">
        <v>380</v>
      </c>
      <c r="B350">
        <v>1064780.71</v>
      </c>
      <c r="C350">
        <v>425912.28</v>
      </c>
      <c r="D350">
        <v>212956.14</v>
      </c>
      <c r="E350">
        <v>268324.74</v>
      </c>
      <c r="F350">
        <v>106478.07</v>
      </c>
      <c r="G350">
        <v>1013671.24</v>
      </c>
    </row>
    <row r="351" spans="1:7" x14ac:dyDescent="0.35">
      <c r="A351" t="s">
        <v>381</v>
      </c>
      <c r="B351">
        <v>1369349.76</v>
      </c>
      <c r="C351">
        <v>547739.9</v>
      </c>
      <c r="D351">
        <v>273869.95</v>
      </c>
      <c r="E351">
        <v>345076.14</v>
      </c>
      <c r="F351">
        <v>136934.98000000001</v>
      </c>
      <c r="G351">
        <v>1303620.97</v>
      </c>
    </row>
    <row r="352" spans="1:7" x14ac:dyDescent="0.35">
      <c r="A352" t="s">
        <v>382</v>
      </c>
      <c r="B352">
        <v>1216059.6000000001</v>
      </c>
      <c r="C352">
        <v>486423.84</v>
      </c>
      <c r="D352">
        <v>243211.92</v>
      </c>
      <c r="E352">
        <v>306447.02</v>
      </c>
      <c r="F352">
        <v>121605.96</v>
      </c>
      <c r="G352">
        <v>1157688.74</v>
      </c>
    </row>
    <row r="353" spans="1:7" x14ac:dyDescent="0.35">
      <c r="A353" t="s">
        <v>383</v>
      </c>
      <c r="B353">
        <v>1333025.3999999999</v>
      </c>
      <c r="C353">
        <v>533210.16</v>
      </c>
      <c r="D353">
        <v>266605.08</v>
      </c>
      <c r="E353">
        <v>335922.4</v>
      </c>
      <c r="F353">
        <v>133302.54</v>
      </c>
      <c r="G353">
        <v>1269040.18</v>
      </c>
    </row>
    <row r="354" spans="1:7" x14ac:dyDescent="0.35">
      <c r="A354" t="s">
        <v>384</v>
      </c>
      <c r="B354">
        <v>1952667.43</v>
      </c>
      <c r="C354">
        <v>781066.97</v>
      </c>
      <c r="D354">
        <v>390533.49</v>
      </c>
      <c r="E354">
        <v>492072.19</v>
      </c>
      <c r="F354">
        <v>195266.74</v>
      </c>
      <c r="G354">
        <v>1858939.39</v>
      </c>
    </row>
    <row r="355" spans="1:7" x14ac:dyDescent="0.35">
      <c r="A355" t="s">
        <v>385</v>
      </c>
      <c r="B355">
        <v>994730</v>
      </c>
      <c r="C355">
        <v>397892</v>
      </c>
      <c r="D355">
        <v>198946</v>
      </c>
      <c r="E355">
        <v>250671.96</v>
      </c>
      <c r="F355">
        <v>99473</v>
      </c>
      <c r="G355">
        <v>946982.96</v>
      </c>
    </row>
    <row r="356" spans="1:7" x14ac:dyDescent="0.35">
      <c r="A356" t="s">
        <v>386</v>
      </c>
      <c r="B356">
        <v>622310.80000000005</v>
      </c>
      <c r="C356">
        <v>248924.32</v>
      </c>
      <c r="D356">
        <v>124462.16</v>
      </c>
      <c r="E356">
        <v>156822.32</v>
      </c>
      <c r="F356">
        <v>62231.08</v>
      </c>
      <c r="G356">
        <v>592439.88</v>
      </c>
    </row>
    <row r="357" spans="1:7" x14ac:dyDescent="0.35">
      <c r="A357" t="s">
        <v>387</v>
      </c>
      <c r="B357">
        <v>678454.85</v>
      </c>
      <c r="C357">
        <v>271381.94</v>
      </c>
      <c r="D357">
        <v>135690.97</v>
      </c>
      <c r="E357">
        <v>170970.62</v>
      </c>
      <c r="F357">
        <v>67845.490000000005</v>
      </c>
      <c r="G357">
        <v>645889.02</v>
      </c>
    </row>
    <row r="358" spans="1:7" x14ac:dyDescent="0.35">
      <c r="A358" t="s">
        <v>388</v>
      </c>
      <c r="B358">
        <v>655119.43000000005</v>
      </c>
      <c r="C358">
        <v>262047.77</v>
      </c>
      <c r="D358">
        <v>131023.89</v>
      </c>
      <c r="E358">
        <v>165090.1</v>
      </c>
      <c r="F358">
        <v>65511.94</v>
      </c>
      <c r="G358">
        <v>623673.69999999995</v>
      </c>
    </row>
    <row r="359" spans="1:7" x14ac:dyDescent="0.35">
      <c r="A359" t="s">
        <v>389</v>
      </c>
      <c r="B359">
        <v>1179973.2</v>
      </c>
      <c r="C359">
        <v>471989.28</v>
      </c>
      <c r="D359">
        <v>235994.64</v>
      </c>
      <c r="E359">
        <v>297353.25</v>
      </c>
      <c r="F359">
        <v>117997.32</v>
      </c>
      <c r="G359">
        <v>1123334.49</v>
      </c>
    </row>
    <row r="360" spans="1:7" x14ac:dyDescent="0.35">
      <c r="A360" t="s">
        <v>390</v>
      </c>
      <c r="B360">
        <v>1106946.3999999999</v>
      </c>
      <c r="C360">
        <v>442778.56</v>
      </c>
      <c r="D360">
        <v>221389.28</v>
      </c>
      <c r="E360">
        <v>278950.49</v>
      </c>
      <c r="F360">
        <v>110694.64</v>
      </c>
      <c r="G360">
        <v>1053812.97</v>
      </c>
    </row>
    <row r="361" spans="1:7" x14ac:dyDescent="0.35">
      <c r="A361" t="s">
        <v>391</v>
      </c>
      <c r="B361">
        <v>1827377.44</v>
      </c>
      <c r="C361">
        <v>730950.98</v>
      </c>
      <c r="D361">
        <v>365475.49</v>
      </c>
      <c r="E361">
        <v>460499.11</v>
      </c>
      <c r="F361">
        <v>182737.74</v>
      </c>
      <c r="G361">
        <v>1739663.32</v>
      </c>
    </row>
    <row r="362" spans="1:7" x14ac:dyDescent="0.35">
      <c r="A362" t="s">
        <v>392</v>
      </c>
      <c r="B362">
        <v>598165.6</v>
      </c>
      <c r="C362">
        <v>239266.24</v>
      </c>
      <c r="D362">
        <v>119633.12</v>
      </c>
      <c r="E362">
        <v>150737.73000000001</v>
      </c>
      <c r="F362">
        <v>59816.56</v>
      </c>
      <c r="G362">
        <v>569453.65</v>
      </c>
    </row>
    <row r="363" spans="1:7" x14ac:dyDescent="0.35">
      <c r="A363" t="s">
        <v>393</v>
      </c>
      <c r="B363">
        <v>1922499.4</v>
      </c>
      <c r="C363">
        <v>768999.76</v>
      </c>
      <c r="D363">
        <v>384499.88</v>
      </c>
      <c r="E363">
        <v>484469.85</v>
      </c>
      <c r="F363">
        <v>192249.94</v>
      </c>
      <c r="G363">
        <v>1830219.43</v>
      </c>
    </row>
    <row r="364" spans="1:7" x14ac:dyDescent="0.35">
      <c r="A364" t="s">
        <v>394</v>
      </c>
      <c r="B364">
        <v>1801489.2</v>
      </c>
      <c r="C364">
        <v>720595.68</v>
      </c>
      <c r="D364">
        <v>360297.84</v>
      </c>
      <c r="E364">
        <v>453975.28</v>
      </c>
      <c r="F364">
        <v>180148.92</v>
      </c>
      <c r="G364">
        <v>1715017.72</v>
      </c>
    </row>
    <row r="365" spans="1:7" x14ac:dyDescent="0.35">
      <c r="A365" t="s">
        <v>395</v>
      </c>
      <c r="B365">
        <v>1108802</v>
      </c>
      <c r="C365">
        <v>443520.8</v>
      </c>
      <c r="D365">
        <v>221760.4</v>
      </c>
      <c r="E365">
        <v>279418.09999999998</v>
      </c>
      <c r="F365">
        <v>110880.2</v>
      </c>
      <c r="G365">
        <v>1055579.5</v>
      </c>
    </row>
    <row r="366" spans="1:7" x14ac:dyDescent="0.35">
      <c r="A366" t="s">
        <v>396</v>
      </c>
      <c r="B366">
        <v>1570343.63</v>
      </c>
      <c r="C366">
        <v>628137.44999999995</v>
      </c>
      <c r="D366">
        <v>314068.73</v>
      </c>
      <c r="E366">
        <v>395726.6</v>
      </c>
      <c r="F366">
        <v>157034.35999999999</v>
      </c>
      <c r="G366">
        <v>1494967.14</v>
      </c>
    </row>
    <row r="367" spans="1:7" x14ac:dyDescent="0.35">
      <c r="A367" t="s">
        <v>397</v>
      </c>
      <c r="B367">
        <v>1015502</v>
      </c>
      <c r="C367">
        <v>406200.8</v>
      </c>
      <c r="D367">
        <v>203100.4</v>
      </c>
      <c r="E367">
        <v>255906.5</v>
      </c>
      <c r="F367">
        <v>101550.2</v>
      </c>
      <c r="G367">
        <v>966757.9</v>
      </c>
    </row>
    <row r="368" spans="1:7" x14ac:dyDescent="0.35">
      <c r="A368" t="s">
        <v>398</v>
      </c>
      <c r="B368">
        <v>1375030.38</v>
      </c>
      <c r="C368">
        <v>550012.15</v>
      </c>
      <c r="D368">
        <v>275006.08000000002</v>
      </c>
      <c r="E368">
        <v>346507.66</v>
      </c>
      <c r="F368">
        <v>137503.04000000001</v>
      </c>
      <c r="G368">
        <v>1309028.92</v>
      </c>
    </row>
    <row r="369" spans="1:7" x14ac:dyDescent="0.35">
      <c r="A369" t="s">
        <v>399</v>
      </c>
      <c r="B369">
        <v>491063.93</v>
      </c>
      <c r="C369">
        <v>196425.57</v>
      </c>
      <c r="D369">
        <v>98212.79</v>
      </c>
      <c r="E369">
        <v>123748.11</v>
      </c>
      <c r="F369">
        <v>49106.39</v>
      </c>
      <c r="G369">
        <v>467492.86</v>
      </c>
    </row>
    <row r="370" spans="1:7" x14ac:dyDescent="0.35">
      <c r="A370" t="s">
        <v>400</v>
      </c>
      <c r="B370">
        <v>1211666.67</v>
      </c>
      <c r="C370">
        <v>484666.67</v>
      </c>
      <c r="D370">
        <v>242333.33</v>
      </c>
      <c r="E370">
        <v>305340</v>
      </c>
      <c r="F370">
        <v>121166.67</v>
      </c>
      <c r="G370">
        <v>1153506.67</v>
      </c>
    </row>
    <row r="371" spans="1:7" x14ac:dyDescent="0.35">
      <c r="A371" t="s">
        <v>401</v>
      </c>
      <c r="B371">
        <v>1052585.75</v>
      </c>
      <c r="C371">
        <v>421034.3</v>
      </c>
      <c r="D371">
        <v>210517.15</v>
      </c>
      <c r="E371">
        <v>265251.61</v>
      </c>
      <c r="F371">
        <v>105258.57</v>
      </c>
      <c r="G371">
        <v>1002061.63</v>
      </c>
    </row>
    <row r="372" spans="1:7" x14ac:dyDescent="0.35">
      <c r="A372" t="s">
        <v>402</v>
      </c>
      <c r="B372">
        <v>722778</v>
      </c>
      <c r="C372">
        <v>289111.2</v>
      </c>
      <c r="D372">
        <v>144555.6</v>
      </c>
      <c r="E372">
        <v>182140.06</v>
      </c>
      <c r="F372">
        <v>72277.8</v>
      </c>
      <c r="G372">
        <v>688084.66</v>
      </c>
    </row>
    <row r="373" spans="1:7" x14ac:dyDescent="0.35">
      <c r="A373" t="s">
        <v>403</v>
      </c>
      <c r="B373">
        <v>972039.6</v>
      </c>
      <c r="C373">
        <v>388815.84</v>
      </c>
      <c r="D373">
        <v>194407.92</v>
      </c>
      <c r="E373">
        <v>244953.98</v>
      </c>
      <c r="F373">
        <v>97203.96</v>
      </c>
      <c r="G373">
        <v>925381.7</v>
      </c>
    </row>
    <row r="374" spans="1:7" x14ac:dyDescent="0.35">
      <c r="A374" t="s">
        <v>404</v>
      </c>
      <c r="B374">
        <v>1184119.1399999999</v>
      </c>
      <c r="C374">
        <v>473647.66</v>
      </c>
      <c r="D374">
        <v>236823.83</v>
      </c>
      <c r="E374">
        <v>298398.02</v>
      </c>
      <c r="F374">
        <v>118411.91</v>
      </c>
      <c r="G374">
        <v>1127281.42</v>
      </c>
    </row>
    <row r="375" spans="1:7" x14ac:dyDescent="0.35">
      <c r="A375" t="s">
        <v>405</v>
      </c>
      <c r="B375">
        <v>2496904.67</v>
      </c>
      <c r="C375">
        <v>998761.87</v>
      </c>
      <c r="D375">
        <v>499380.93</v>
      </c>
      <c r="E375">
        <v>629219.98</v>
      </c>
      <c r="F375">
        <v>249690.47</v>
      </c>
      <c r="G375">
        <v>2377053.2400000002</v>
      </c>
    </row>
    <row r="376" spans="1:7" x14ac:dyDescent="0.35">
      <c r="A376" t="s">
        <v>406</v>
      </c>
      <c r="B376">
        <v>1025233.16</v>
      </c>
      <c r="C376">
        <v>410093.26</v>
      </c>
      <c r="D376">
        <v>205046.63</v>
      </c>
      <c r="E376">
        <v>258358.76</v>
      </c>
      <c r="F376">
        <v>102523.32</v>
      </c>
      <c r="G376">
        <v>976021.97</v>
      </c>
    </row>
    <row r="377" spans="1:7" x14ac:dyDescent="0.35">
      <c r="A377" t="s">
        <v>407</v>
      </c>
      <c r="B377">
        <v>762522.25</v>
      </c>
      <c r="C377">
        <v>305008.90000000002</v>
      </c>
      <c r="D377">
        <v>152504.45000000001</v>
      </c>
      <c r="E377">
        <v>192155.61</v>
      </c>
      <c r="F377">
        <v>76252.23</v>
      </c>
      <c r="G377">
        <v>725921.18</v>
      </c>
    </row>
    <row r="378" spans="1:7" x14ac:dyDescent="0.35">
      <c r="A378" t="s">
        <v>408</v>
      </c>
      <c r="B378">
        <v>1066804.3999999999</v>
      </c>
      <c r="C378">
        <v>426721.76</v>
      </c>
      <c r="D378">
        <v>213360.88</v>
      </c>
      <c r="E378">
        <v>268834.71000000002</v>
      </c>
      <c r="F378">
        <v>106680.44</v>
      </c>
      <c r="G378">
        <v>1015597.79</v>
      </c>
    </row>
    <row r="379" spans="1:7" x14ac:dyDescent="0.35">
      <c r="A379" t="s">
        <v>409</v>
      </c>
      <c r="B379">
        <v>912055.48</v>
      </c>
      <c r="C379">
        <v>364822.19</v>
      </c>
      <c r="D379">
        <v>182411.1</v>
      </c>
      <c r="E379">
        <v>229837.98</v>
      </c>
      <c r="F379">
        <v>91205.55</v>
      </c>
      <c r="G379">
        <v>868276.82</v>
      </c>
    </row>
    <row r="380" spans="1:7" x14ac:dyDescent="0.35">
      <c r="A380" t="s">
        <v>410</v>
      </c>
      <c r="B380">
        <v>1383885.43</v>
      </c>
      <c r="C380">
        <v>553554.17000000004</v>
      </c>
      <c r="D380">
        <v>276777.08</v>
      </c>
      <c r="E380">
        <v>348739.13</v>
      </c>
      <c r="F380">
        <v>138388.54</v>
      </c>
      <c r="G380">
        <v>1317458.92</v>
      </c>
    </row>
    <row r="381" spans="1:7" x14ac:dyDescent="0.35">
      <c r="A381" t="s">
        <v>411</v>
      </c>
      <c r="B381">
        <v>970550.21</v>
      </c>
      <c r="C381">
        <v>388220.08</v>
      </c>
      <c r="D381">
        <v>194110.04</v>
      </c>
      <c r="E381">
        <v>244578.65</v>
      </c>
      <c r="F381">
        <v>97055.02</v>
      </c>
      <c r="G381">
        <v>923963.8</v>
      </c>
    </row>
    <row r="382" spans="1:7" x14ac:dyDescent="0.35">
      <c r="A382" t="s">
        <v>412</v>
      </c>
      <c r="B382">
        <v>1406181</v>
      </c>
      <c r="C382">
        <v>562472.4</v>
      </c>
      <c r="D382">
        <v>281236.2</v>
      </c>
      <c r="E382">
        <v>354357.61</v>
      </c>
      <c r="F382">
        <v>140618.1</v>
      </c>
      <c r="G382">
        <v>1338684.31</v>
      </c>
    </row>
    <row r="383" spans="1:7" x14ac:dyDescent="0.35">
      <c r="A383" t="s">
        <v>413</v>
      </c>
      <c r="B383">
        <v>594538</v>
      </c>
      <c r="C383">
        <v>237815.2</v>
      </c>
      <c r="D383">
        <v>118907.6</v>
      </c>
      <c r="E383">
        <v>149823.57999999999</v>
      </c>
      <c r="F383">
        <v>59453.8</v>
      </c>
      <c r="G383">
        <v>566000.18000000005</v>
      </c>
    </row>
    <row r="384" spans="1:7" x14ac:dyDescent="0.35">
      <c r="A384" t="s">
        <v>414</v>
      </c>
      <c r="B384">
        <v>978843</v>
      </c>
      <c r="C384">
        <v>391537.2</v>
      </c>
      <c r="D384">
        <v>195768.6</v>
      </c>
      <c r="E384">
        <v>246668.44</v>
      </c>
      <c r="F384">
        <v>97884.3</v>
      </c>
      <c r="G384">
        <v>931858.54</v>
      </c>
    </row>
    <row r="385" spans="1:7" x14ac:dyDescent="0.35">
      <c r="A385" t="s">
        <v>415</v>
      </c>
      <c r="B385">
        <v>656415.6</v>
      </c>
      <c r="C385">
        <v>262566.24</v>
      </c>
      <c r="D385">
        <v>131283.12</v>
      </c>
      <c r="E385">
        <v>165416.73000000001</v>
      </c>
      <c r="F385">
        <v>65641.56</v>
      </c>
      <c r="G385">
        <v>624907.65</v>
      </c>
    </row>
    <row r="386" spans="1:7" x14ac:dyDescent="0.35">
      <c r="A386" t="s">
        <v>416</v>
      </c>
      <c r="B386">
        <v>1633192.97</v>
      </c>
      <c r="C386">
        <v>653277.18999999994</v>
      </c>
      <c r="D386">
        <v>326638.59999999998</v>
      </c>
      <c r="E386">
        <v>411564.63</v>
      </c>
      <c r="F386">
        <v>163319.29999999999</v>
      </c>
      <c r="G386">
        <v>1554799.71</v>
      </c>
    </row>
    <row r="387" spans="1:7" x14ac:dyDescent="0.35">
      <c r="A387" t="s">
        <v>417</v>
      </c>
      <c r="B387">
        <v>1818091.38</v>
      </c>
      <c r="C387">
        <v>727236.55</v>
      </c>
      <c r="D387">
        <v>363618.28</v>
      </c>
      <c r="E387">
        <v>458159.03</v>
      </c>
      <c r="F387">
        <v>181809.14</v>
      </c>
      <c r="G387">
        <v>1730822.99</v>
      </c>
    </row>
    <row r="388" spans="1:7" x14ac:dyDescent="0.35">
      <c r="A388" t="s">
        <v>418</v>
      </c>
      <c r="B388">
        <v>691842.25</v>
      </c>
      <c r="C388">
        <v>276736.90000000002</v>
      </c>
      <c r="D388">
        <v>138368.45000000001</v>
      </c>
      <c r="E388">
        <v>174344.25</v>
      </c>
      <c r="F388">
        <v>69184.23</v>
      </c>
      <c r="G388">
        <v>658633.81999999995</v>
      </c>
    </row>
    <row r="389" spans="1:7" x14ac:dyDescent="0.35">
      <c r="A389" t="s">
        <v>419</v>
      </c>
      <c r="B389">
        <v>1051656.8400000001</v>
      </c>
      <c r="C389">
        <v>420662.74</v>
      </c>
      <c r="D389">
        <v>210331.37</v>
      </c>
      <c r="E389">
        <v>265017.52</v>
      </c>
      <c r="F389">
        <v>105165.68</v>
      </c>
      <c r="G389">
        <v>1001177.31</v>
      </c>
    </row>
    <row r="390" spans="1:7" x14ac:dyDescent="0.35">
      <c r="A390" t="s">
        <v>420</v>
      </c>
      <c r="B390">
        <v>2251396.7000000002</v>
      </c>
      <c r="C390">
        <v>900558.68</v>
      </c>
      <c r="D390">
        <v>450279.34</v>
      </c>
      <c r="E390">
        <v>567351.97</v>
      </c>
      <c r="F390">
        <v>225139.67</v>
      </c>
      <c r="G390">
        <v>2143329.66</v>
      </c>
    </row>
    <row r="391" spans="1:7" x14ac:dyDescent="0.35">
      <c r="A391" t="s">
        <v>421</v>
      </c>
      <c r="B391">
        <v>2000438.37</v>
      </c>
      <c r="C391">
        <v>800175.35</v>
      </c>
      <c r="D391">
        <v>400087.67</v>
      </c>
      <c r="E391">
        <v>504110.47</v>
      </c>
      <c r="F391">
        <v>200043.84</v>
      </c>
      <c r="G391">
        <v>1904417.33</v>
      </c>
    </row>
    <row r="392" spans="1:7" x14ac:dyDescent="0.35">
      <c r="A392" t="s">
        <v>422</v>
      </c>
      <c r="B392">
        <v>1251918.3600000001</v>
      </c>
      <c r="C392">
        <v>500767.34</v>
      </c>
      <c r="D392">
        <v>250383.67</v>
      </c>
      <c r="E392">
        <v>315483.43</v>
      </c>
      <c r="F392">
        <v>125191.84</v>
      </c>
      <c r="G392">
        <v>1191826.28</v>
      </c>
    </row>
    <row r="393" spans="1:7" x14ac:dyDescent="0.35">
      <c r="A393" t="s">
        <v>423</v>
      </c>
      <c r="B393">
        <v>1031684</v>
      </c>
      <c r="C393">
        <v>412673.6</v>
      </c>
      <c r="D393">
        <v>206336.8</v>
      </c>
      <c r="E393">
        <v>259984.37</v>
      </c>
      <c r="F393">
        <v>103168.4</v>
      </c>
      <c r="G393">
        <v>982163.17</v>
      </c>
    </row>
    <row r="394" spans="1:7" x14ac:dyDescent="0.35">
      <c r="A394" t="s">
        <v>424</v>
      </c>
      <c r="B394">
        <v>1770665</v>
      </c>
      <c r="C394">
        <v>708266</v>
      </c>
      <c r="D394">
        <v>354133</v>
      </c>
      <c r="E394">
        <v>446207.58</v>
      </c>
      <c r="F394">
        <v>177066.5</v>
      </c>
      <c r="G394">
        <v>1685673.08</v>
      </c>
    </row>
    <row r="395" spans="1:7" x14ac:dyDescent="0.35">
      <c r="A395" t="s">
        <v>425</v>
      </c>
      <c r="B395">
        <v>1128300.3700000001</v>
      </c>
      <c r="C395">
        <v>451320.15</v>
      </c>
      <c r="D395">
        <v>225660.07</v>
      </c>
      <c r="E395">
        <v>284331.69</v>
      </c>
      <c r="F395">
        <v>112830.04</v>
      </c>
      <c r="G395">
        <v>1074141.95</v>
      </c>
    </row>
    <row r="396" spans="1:7" x14ac:dyDescent="0.35">
      <c r="A396" t="s">
        <v>426</v>
      </c>
      <c r="B396">
        <v>1120342.5</v>
      </c>
      <c r="C396">
        <v>448137</v>
      </c>
      <c r="D396">
        <v>224068.5</v>
      </c>
      <c r="E396">
        <v>282326.31</v>
      </c>
      <c r="F396">
        <v>112034.25</v>
      </c>
      <c r="G396">
        <v>1066566.06</v>
      </c>
    </row>
    <row r="397" spans="1:7" x14ac:dyDescent="0.35">
      <c r="A397" t="s">
        <v>427</v>
      </c>
      <c r="B397">
        <v>1620970.65</v>
      </c>
      <c r="C397">
        <v>648388.26</v>
      </c>
      <c r="D397">
        <v>324194.13</v>
      </c>
      <c r="E397">
        <v>408484.61</v>
      </c>
      <c r="F397">
        <v>162097.07</v>
      </c>
      <c r="G397">
        <v>1543164.06</v>
      </c>
    </row>
    <row r="398" spans="1:7" x14ac:dyDescent="0.35">
      <c r="A398" t="s">
        <v>428</v>
      </c>
      <c r="B398">
        <v>1760665.2</v>
      </c>
      <c r="C398">
        <v>704266.08</v>
      </c>
      <c r="D398">
        <v>352133.04</v>
      </c>
      <c r="E398">
        <v>443687.63</v>
      </c>
      <c r="F398">
        <v>176066.52</v>
      </c>
      <c r="G398">
        <v>1676153.27</v>
      </c>
    </row>
    <row r="399" spans="1:7" x14ac:dyDescent="0.35">
      <c r="A399" t="s">
        <v>429</v>
      </c>
      <c r="B399">
        <v>923094.1</v>
      </c>
      <c r="C399">
        <v>369237.64</v>
      </c>
      <c r="D399">
        <v>184618.82</v>
      </c>
      <c r="E399">
        <v>232619.71</v>
      </c>
      <c r="F399">
        <v>92309.41</v>
      </c>
      <c r="G399">
        <v>878785.58</v>
      </c>
    </row>
    <row r="400" spans="1:7" x14ac:dyDescent="0.35">
      <c r="A400" t="s">
        <v>430</v>
      </c>
      <c r="B400">
        <v>1427096.65</v>
      </c>
      <c r="C400">
        <v>570838.66</v>
      </c>
      <c r="D400">
        <v>285419.33</v>
      </c>
      <c r="E400">
        <v>359628.36</v>
      </c>
      <c r="F400">
        <v>142709.67000000001</v>
      </c>
      <c r="G400">
        <v>1358596.01</v>
      </c>
    </row>
    <row r="401" spans="1:7" x14ac:dyDescent="0.35">
      <c r="A401" t="s">
        <v>431</v>
      </c>
      <c r="B401">
        <v>1622046.24</v>
      </c>
      <c r="C401">
        <v>648818.5</v>
      </c>
      <c r="D401">
        <v>324409.25</v>
      </c>
      <c r="E401">
        <v>408755.65</v>
      </c>
      <c r="F401">
        <v>162204.62</v>
      </c>
      <c r="G401">
        <v>1544188.03</v>
      </c>
    </row>
    <row r="402" spans="1:7" x14ac:dyDescent="0.35">
      <c r="A402" t="s">
        <v>432</v>
      </c>
      <c r="B402">
        <v>829644.5</v>
      </c>
      <c r="C402">
        <v>331857.8</v>
      </c>
      <c r="D402">
        <v>165928.9</v>
      </c>
      <c r="E402">
        <v>209070.41</v>
      </c>
      <c r="F402">
        <v>82964.45</v>
      </c>
      <c r="G402">
        <v>789821.56</v>
      </c>
    </row>
    <row r="403" spans="1:7" x14ac:dyDescent="0.35">
      <c r="A403" t="s">
        <v>433</v>
      </c>
      <c r="B403">
        <v>1263623.69</v>
      </c>
      <c r="C403">
        <v>505449.48</v>
      </c>
      <c r="D403">
        <v>252724.74</v>
      </c>
      <c r="E403">
        <v>318433.17</v>
      </c>
      <c r="F403">
        <v>126362.37</v>
      </c>
      <c r="G403">
        <v>1202969.75</v>
      </c>
    </row>
    <row r="404" spans="1:7" x14ac:dyDescent="0.35">
      <c r="A404" t="s">
        <v>434</v>
      </c>
      <c r="B404">
        <v>737430</v>
      </c>
      <c r="C404">
        <v>294972</v>
      </c>
      <c r="D404">
        <v>147486</v>
      </c>
      <c r="E404">
        <v>185832.36</v>
      </c>
      <c r="F404">
        <v>73743</v>
      </c>
      <c r="G404">
        <v>702033.36</v>
      </c>
    </row>
    <row r="405" spans="1:7" x14ac:dyDescent="0.35">
      <c r="A405" t="s">
        <v>435</v>
      </c>
      <c r="B405">
        <v>1276101.6000000001</v>
      </c>
      <c r="C405">
        <v>510440.64</v>
      </c>
      <c r="D405">
        <v>255220.32</v>
      </c>
      <c r="E405">
        <v>321577.59999999998</v>
      </c>
      <c r="F405">
        <v>127610.16</v>
      </c>
      <c r="G405">
        <v>1214848.72</v>
      </c>
    </row>
    <row r="406" spans="1:7" x14ac:dyDescent="0.35">
      <c r="A406" t="s">
        <v>436</v>
      </c>
      <c r="B406">
        <v>759275</v>
      </c>
      <c r="C406">
        <v>303710</v>
      </c>
      <c r="D406">
        <v>151855</v>
      </c>
      <c r="E406">
        <v>191337.3</v>
      </c>
      <c r="F406">
        <v>75927.5</v>
      </c>
      <c r="G406">
        <v>722829.8</v>
      </c>
    </row>
    <row r="407" spans="1:7" x14ac:dyDescent="0.35">
      <c r="A407" t="s">
        <v>437</v>
      </c>
      <c r="B407">
        <v>707820.3</v>
      </c>
      <c r="C407">
        <v>283128.12</v>
      </c>
      <c r="D407">
        <v>141564.06</v>
      </c>
      <c r="E407">
        <v>178370.72</v>
      </c>
      <c r="F407">
        <v>70782.03</v>
      </c>
      <c r="G407">
        <v>673844.93</v>
      </c>
    </row>
    <row r="408" spans="1:7" x14ac:dyDescent="0.35">
      <c r="A408" t="s">
        <v>438</v>
      </c>
      <c r="B408">
        <v>1705173.4</v>
      </c>
      <c r="C408">
        <v>682069.36</v>
      </c>
      <c r="D408">
        <v>341034.68</v>
      </c>
      <c r="E408">
        <v>429703.7</v>
      </c>
      <c r="F408">
        <v>170517.34</v>
      </c>
      <c r="G408">
        <v>1623325.08</v>
      </c>
    </row>
    <row r="409" spans="1:7" x14ac:dyDescent="0.35">
      <c r="A409" t="s">
        <v>439</v>
      </c>
      <c r="B409">
        <v>1353823.9</v>
      </c>
      <c r="C409">
        <v>541529.56000000006</v>
      </c>
      <c r="D409">
        <v>270764.78000000003</v>
      </c>
      <c r="E409">
        <v>341163.62</v>
      </c>
      <c r="F409">
        <v>135382.39000000001</v>
      </c>
      <c r="G409">
        <v>1288840.3500000001</v>
      </c>
    </row>
    <row r="410" spans="1:7" x14ac:dyDescent="0.35">
      <c r="A410" t="s">
        <v>440</v>
      </c>
      <c r="B410">
        <v>848604</v>
      </c>
      <c r="C410">
        <v>339441.6</v>
      </c>
      <c r="D410">
        <v>169720.8</v>
      </c>
      <c r="E410">
        <v>213848.21</v>
      </c>
      <c r="F410">
        <v>84860.4</v>
      </c>
      <c r="G410">
        <v>807871.01</v>
      </c>
    </row>
    <row r="411" spans="1:7" x14ac:dyDescent="0.35">
      <c r="A411" t="s">
        <v>441</v>
      </c>
      <c r="B411">
        <v>1169160.06</v>
      </c>
      <c r="C411">
        <v>467664.02</v>
      </c>
      <c r="D411">
        <v>233832.01</v>
      </c>
      <c r="E411">
        <v>294628.34000000003</v>
      </c>
      <c r="F411">
        <v>116916.01</v>
      </c>
      <c r="G411">
        <v>1113040.3799999999</v>
      </c>
    </row>
    <row r="412" spans="1:7" x14ac:dyDescent="0.35">
      <c r="A412" t="s">
        <v>442</v>
      </c>
      <c r="B412">
        <v>862113.98</v>
      </c>
      <c r="C412">
        <v>344845.59</v>
      </c>
      <c r="D412">
        <v>172422.8</v>
      </c>
      <c r="E412">
        <v>217252.72</v>
      </c>
      <c r="F412">
        <v>86211.4</v>
      </c>
      <c r="G412">
        <v>820732.51</v>
      </c>
    </row>
    <row r="413" spans="1:7" x14ac:dyDescent="0.35">
      <c r="A413" t="s">
        <v>443</v>
      </c>
      <c r="B413">
        <v>1498081.2</v>
      </c>
      <c r="C413">
        <v>599232.48</v>
      </c>
      <c r="D413">
        <v>299616.24</v>
      </c>
      <c r="E413">
        <v>377516.46</v>
      </c>
      <c r="F413">
        <v>149808.12</v>
      </c>
      <c r="G413">
        <v>1426173.3</v>
      </c>
    </row>
    <row r="414" spans="1:7" x14ac:dyDescent="0.35">
      <c r="A414" t="s">
        <v>444</v>
      </c>
      <c r="B414">
        <v>1385642.8</v>
      </c>
      <c r="C414">
        <v>554257.12</v>
      </c>
      <c r="D414">
        <v>277128.56</v>
      </c>
      <c r="E414">
        <v>349181.99</v>
      </c>
      <c r="F414">
        <v>138564.28</v>
      </c>
      <c r="G414">
        <v>1319131.95</v>
      </c>
    </row>
    <row r="415" spans="1:7" x14ac:dyDescent="0.35">
      <c r="A415" t="s">
        <v>445</v>
      </c>
      <c r="B415">
        <v>1106420.3999999999</v>
      </c>
      <c r="C415">
        <v>442568.16</v>
      </c>
      <c r="D415">
        <v>221284.08</v>
      </c>
      <c r="E415">
        <v>278817.94</v>
      </c>
      <c r="F415">
        <v>110642.04</v>
      </c>
      <c r="G415">
        <v>1053312.22</v>
      </c>
    </row>
    <row r="416" spans="1:7" x14ac:dyDescent="0.35">
      <c r="A416" t="s">
        <v>446</v>
      </c>
      <c r="B416">
        <v>1111860.05</v>
      </c>
      <c r="C416">
        <v>444744.02</v>
      </c>
      <c r="D416">
        <v>222372.01</v>
      </c>
      <c r="E416">
        <v>280188.73</v>
      </c>
      <c r="F416">
        <v>111186.01</v>
      </c>
      <c r="G416">
        <v>1058490.77</v>
      </c>
    </row>
    <row r="417" spans="1:7" x14ac:dyDescent="0.35">
      <c r="A417" t="s">
        <v>447</v>
      </c>
      <c r="B417">
        <v>1218544.8600000001</v>
      </c>
      <c r="C417">
        <v>487417.94</v>
      </c>
      <c r="D417">
        <v>243708.97</v>
      </c>
      <c r="E417">
        <v>307073.3</v>
      </c>
      <c r="F417">
        <v>121854.49</v>
      </c>
      <c r="G417">
        <v>1160054.71</v>
      </c>
    </row>
    <row r="418" spans="1:7" x14ac:dyDescent="0.35">
      <c r="A418" t="s">
        <v>448</v>
      </c>
      <c r="B418">
        <v>1381549.2</v>
      </c>
      <c r="C418">
        <v>552619.68000000005</v>
      </c>
      <c r="D418">
        <v>276309.84000000003</v>
      </c>
      <c r="E418">
        <v>348150.4</v>
      </c>
      <c r="F418">
        <v>138154.92000000001</v>
      </c>
      <c r="G418">
        <v>1315234.8400000001</v>
      </c>
    </row>
    <row r="419" spans="1:7" x14ac:dyDescent="0.35">
      <c r="A419" t="s">
        <v>449</v>
      </c>
      <c r="B419">
        <v>788583.6</v>
      </c>
      <c r="C419">
        <v>315433.44</v>
      </c>
      <c r="D419">
        <v>157716.72</v>
      </c>
      <c r="E419">
        <v>198723.07</v>
      </c>
      <c r="F419">
        <v>78858.36</v>
      </c>
      <c r="G419">
        <v>750731.59</v>
      </c>
    </row>
    <row r="420" spans="1:7" x14ac:dyDescent="0.35">
      <c r="A420" t="s">
        <v>450</v>
      </c>
      <c r="B420">
        <v>1857410.8</v>
      </c>
      <c r="C420">
        <v>742964.32</v>
      </c>
      <c r="D420">
        <v>371482.16</v>
      </c>
      <c r="E420">
        <v>468067.52</v>
      </c>
      <c r="F420">
        <v>185741.08</v>
      </c>
      <c r="G420">
        <v>1768255.08</v>
      </c>
    </row>
    <row r="421" spans="1:7" x14ac:dyDescent="0.35">
      <c r="A421" t="s">
        <v>451</v>
      </c>
      <c r="B421">
        <v>998973.64</v>
      </c>
      <c r="C421">
        <v>399589.46</v>
      </c>
      <c r="D421">
        <v>199794.73</v>
      </c>
      <c r="E421">
        <v>251741.36</v>
      </c>
      <c r="F421">
        <v>99897.36</v>
      </c>
      <c r="G421">
        <v>951022.91</v>
      </c>
    </row>
    <row r="422" spans="1:7" x14ac:dyDescent="0.35">
      <c r="A422" t="s">
        <v>452</v>
      </c>
      <c r="B422">
        <v>848067</v>
      </c>
      <c r="C422">
        <v>339226.8</v>
      </c>
      <c r="D422">
        <v>169613.4</v>
      </c>
      <c r="E422">
        <v>213712.88</v>
      </c>
      <c r="F422">
        <v>84806.7</v>
      </c>
      <c r="G422">
        <v>807359.78</v>
      </c>
    </row>
    <row r="423" spans="1:7" x14ac:dyDescent="0.35">
      <c r="A423" t="s">
        <v>453</v>
      </c>
      <c r="B423">
        <v>756671.2</v>
      </c>
      <c r="C423">
        <v>302668.48</v>
      </c>
      <c r="D423">
        <v>151334.24</v>
      </c>
      <c r="E423">
        <v>190681.14</v>
      </c>
      <c r="F423">
        <v>75667.12</v>
      </c>
      <c r="G423">
        <v>720350.98</v>
      </c>
    </row>
    <row r="424" spans="1:7" x14ac:dyDescent="0.35">
      <c r="A424" t="s">
        <v>454</v>
      </c>
      <c r="B424">
        <v>1455676.26</v>
      </c>
      <c r="C424">
        <v>582270.5</v>
      </c>
      <c r="D424">
        <v>291135.25</v>
      </c>
      <c r="E424">
        <v>366830.42</v>
      </c>
      <c r="F424">
        <v>145567.63</v>
      </c>
      <c r="G424">
        <v>1385803.8</v>
      </c>
    </row>
    <row r="425" spans="1:7" x14ac:dyDescent="0.35">
      <c r="A425" t="s">
        <v>455</v>
      </c>
      <c r="B425">
        <v>408247.68</v>
      </c>
      <c r="C425">
        <v>163299.07</v>
      </c>
      <c r="D425">
        <v>81649.539999999994</v>
      </c>
      <c r="E425">
        <v>102878.42</v>
      </c>
      <c r="F425">
        <v>40824.769999999997</v>
      </c>
      <c r="G425">
        <v>388651.79</v>
      </c>
    </row>
    <row r="426" spans="1:7" x14ac:dyDescent="0.35">
      <c r="A426" t="s">
        <v>456</v>
      </c>
      <c r="B426">
        <v>2268141.5299999998</v>
      </c>
      <c r="C426">
        <v>907256.61</v>
      </c>
      <c r="D426">
        <v>453628.31</v>
      </c>
      <c r="E426">
        <v>571571.67000000004</v>
      </c>
      <c r="F426">
        <v>226814.15</v>
      </c>
      <c r="G426">
        <v>2159270.7400000002</v>
      </c>
    </row>
    <row r="427" spans="1:7" x14ac:dyDescent="0.35">
      <c r="A427" t="s">
        <v>457</v>
      </c>
      <c r="B427">
        <v>778466.1</v>
      </c>
      <c r="C427">
        <v>311386.44</v>
      </c>
      <c r="D427">
        <v>155693.22</v>
      </c>
      <c r="E427">
        <v>196173.46</v>
      </c>
      <c r="F427">
        <v>77846.61</v>
      </c>
      <c r="G427">
        <v>741099.73</v>
      </c>
    </row>
    <row r="428" spans="1:7" x14ac:dyDescent="0.35">
      <c r="A428" t="s">
        <v>458</v>
      </c>
      <c r="B428">
        <v>1043582.22</v>
      </c>
      <c r="C428">
        <v>417432.89</v>
      </c>
      <c r="D428">
        <v>208716.44</v>
      </c>
      <c r="E428">
        <v>262982.71999999997</v>
      </c>
      <c r="F428">
        <v>104358.22</v>
      </c>
      <c r="G428">
        <v>993490.27</v>
      </c>
    </row>
    <row r="429" spans="1:7" x14ac:dyDescent="0.35">
      <c r="A429" t="s">
        <v>459</v>
      </c>
      <c r="B429">
        <v>1303352.6000000001</v>
      </c>
      <c r="C429">
        <v>521341.04</v>
      </c>
      <c r="D429">
        <v>260670.52</v>
      </c>
      <c r="E429">
        <v>328444.86</v>
      </c>
      <c r="F429">
        <v>130335.26</v>
      </c>
      <c r="G429">
        <v>1240791.68</v>
      </c>
    </row>
    <row r="430" spans="1:7" x14ac:dyDescent="0.35">
      <c r="A430" t="s">
        <v>460</v>
      </c>
      <c r="B430">
        <v>1389781.79</v>
      </c>
      <c r="C430">
        <v>555912.72</v>
      </c>
      <c r="D430">
        <v>277956.36</v>
      </c>
      <c r="E430">
        <v>350225.01</v>
      </c>
      <c r="F430">
        <v>138978.18</v>
      </c>
      <c r="G430">
        <v>1323072.26</v>
      </c>
    </row>
    <row r="431" spans="1:7" x14ac:dyDescent="0.35">
      <c r="A431" t="s">
        <v>461</v>
      </c>
      <c r="B431">
        <v>1281163.3500000001</v>
      </c>
      <c r="C431">
        <v>512465.34</v>
      </c>
      <c r="D431">
        <v>256232.67</v>
      </c>
      <c r="E431">
        <v>322853.15999999997</v>
      </c>
      <c r="F431">
        <v>128116.34</v>
      </c>
      <c r="G431">
        <v>1219667.51</v>
      </c>
    </row>
    <row r="432" spans="1:7" x14ac:dyDescent="0.35">
      <c r="A432" t="s">
        <v>462</v>
      </c>
      <c r="B432">
        <v>464122.5</v>
      </c>
      <c r="C432">
        <v>185649</v>
      </c>
      <c r="D432">
        <v>92824.5</v>
      </c>
      <c r="E432">
        <v>116958.87</v>
      </c>
      <c r="F432">
        <v>46412.25</v>
      </c>
      <c r="G432">
        <v>441844.62</v>
      </c>
    </row>
    <row r="433" spans="1:7" x14ac:dyDescent="0.35">
      <c r="A433" t="s">
        <v>463</v>
      </c>
      <c r="B433">
        <v>1112092.8</v>
      </c>
      <c r="C433">
        <v>444837.12</v>
      </c>
      <c r="D433">
        <v>222418.56</v>
      </c>
      <c r="E433">
        <v>280247.39</v>
      </c>
      <c r="F433">
        <v>111209.28</v>
      </c>
      <c r="G433">
        <v>1058712.3500000001</v>
      </c>
    </row>
    <row r="434" spans="1:7" x14ac:dyDescent="0.35">
      <c r="A434" t="s">
        <v>464</v>
      </c>
      <c r="B434">
        <v>1039024.8</v>
      </c>
      <c r="C434">
        <v>415609.92</v>
      </c>
      <c r="D434">
        <v>207804.96</v>
      </c>
      <c r="E434">
        <v>261834.25</v>
      </c>
      <c r="F434">
        <v>103902.48</v>
      </c>
      <c r="G434">
        <v>989151.61</v>
      </c>
    </row>
    <row r="435" spans="1:7" x14ac:dyDescent="0.35">
      <c r="A435" t="s">
        <v>465</v>
      </c>
      <c r="B435">
        <v>895022.55</v>
      </c>
      <c r="C435">
        <v>358009.02</v>
      </c>
      <c r="D435">
        <v>179004.51</v>
      </c>
      <c r="E435">
        <v>225545.68</v>
      </c>
      <c r="F435">
        <v>89502.26</v>
      </c>
      <c r="G435">
        <v>852061.47</v>
      </c>
    </row>
    <row r="436" spans="1:7" x14ac:dyDescent="0.35">
      <c r="A436" t="s">
        <v>466</v>
      </c>
      <c r="B436">
        <v>1143202.8</v>
      </c>
      <c r="C436">
        <v>457281.12</v>
      </c>
      <c r="D436">
        <v>228640.56</v>
      </c>
      <c r="E436">
        <v>288087.11</v>
      </c>
      <c r="F436">
        <v>114320.28</v>
      </c>
      <c r="G436">
        <v>1088329.07</v>
      </c>
    </row>
    <row r="437" spans="1:7" x14ac:dyDescent="0.35">
      <c r="A437" t="s">
        <v>467</v>
      </c>
      <c r="B437">
        <v>1078366.8</v>
      </c>
      <c r="C437">
        <v>431346.72</v>
      </c>
      <c r="D437">
        <v>215673.36</v>
      </c>
      <c r="E437">
        <v>271748.43</v>
      </c>
      <c r="F437">
        <v>107836.68</v>
      </c>
      <c r="G437">
        <v>1026605.19</v>
      </c>
    </row>
    <row r="438" spans="1:7" x14ac:dyDescent="0.35">
      <c r="A438" t="s">
        <v>468</v>
      </c>
      <c r="B438">
        <v>535122</v>
      </c>
      <c r="C438">
        <v>214048.8</v>
      </c>
      <c r="D438">
        <v>107024.4</v>
      </c>
      <c r="E438">
        <v>134850.74</v>
      </c>
      <c r="F438">
        <v>53512.2</v>
      </c>
      <c r="G438">
        <v>509436.14</v>
      </c>
    </row>
    <row r="439" spans="1:7" x14ac:dyDescent="0.35">
      <c r="A439" t="s">
        <v>469</v>
      </c>
      <c r="B439">
        <v>1747058.55</v>
      </c>
      <c r="C439">
        <v>698823.42</v>
      </c>
      <c r="D439">
        <v>349411.71</v>
      </c>
      <c r="E439">
        <v>440258.75</v>
      </c>
      <c r="F439">
        <v>174705.85</v>
      </c>
      <c r="G439">
        <v>1663199.74</v>
      </c>
    </row>
    <row r="440" spans="1:7" x14ac:dyDescent="0.35">
      <c r="A440" t="s">
        <v>470</v>
      </c>
      <c r="B440">
        <v>1212093.03</v>
      </c>
      <c r="C440">
        <v>484837.21</v>
      </c>
      <c r="D440">
        <v>242418.61</v>
      </c>
      <c r="E440">
        <v>305447.44</v>
      </c>
      <c r="F440">
        <v>121209.3</v>
      </c>
      <c r="G440">
        <v>1153912.56</v>
      </c>
    </row>
    <row r="441" spans="1:7" x14ac:dyDescent="0.35">
      <c r="A441" t="s">
        <v>471</v>
      </c>
      <c r="B441">
        <v>754180.8</v>
      </c>
      <c r="C441">
        <v>301672.32000000001</v>
      </c>
      <c r="D441">
        <v>150836.16</v>
      </c>
      <c r="E441">
        <v>190053.56</v>
      </c>
      <c r="F441">
        <v>75418.080000000002</v>
      </c>
      <c r="G441">
        <v>717980.12</v>
      </c>
    </row>
    <row r="442" spans="1:7" x14ac:dyDescent="0.35">
      <c r="A442" t="s">
        <v>472</v>
      </c>
      <c r="B442">
        <v>603398.40000000002</v>
      </c>
      <c r="C442">
        <v>241359.35999999999</v>
      </c>
      <c r="D442">
        <v>120679.67999999999</v>
      </c>
      <c r="E442">
        <v>152056.4</v>
      </c>
      <c r="F442">
        <v>60339.839999999997</v>
      </c>
      <c r="G442">
        <v>574435.28</v>
      </c>
    </row>
    <row r="443" spans="1:7" x14ac:dyDescent="0.35">
      <c r="A443" t="s">
        <v>473</v>
      </c>
      <c r="B443">
        <v>1300004</v>
      </c>
      <c r="C443">
        <v>520001.6</v>
      </c>
      <c r="D443">
        <v>260000.8</v>
      </c>
      <c r="E443">
        <v>327601.01</v>
      </c>
      <c r="F443">
        <v>130000.4</v>
      </c>
      <c r="G443">
        <v>1237603.81</v>
      </c>
    </row>
    <row r="444" spans="1:7" x14ac:dyDescent="0.35">
      <c r="A444" t="s">
        <v>474</v>
      </c>
      <c r="B444">
        <v>1886752</v>
      </c>
      <c r="C444">
        <v>754700.80000000005</v>
      </c>
      <c r="D444">
        <v>377350.40000000002</v>
      </c>
      <c r="E444">
        <v>475461.5</v>
      </c>
      <c r="F444">
        <v>188675.20000000001</v>
      </c>
      <c r="G444">
        <v>1796187.9</v>
      </c>
    </row>
    <row r="445" spans="1:7" x14ac:dyDescent="0.35">
      <c r="A445" t="s">
        <v>475</v>
      </c>
      <c r="B445">
        <v>1341144.45</v>
      </c>
      <c r="C445">
        <v>536457.78</v>
      </c>
      <c r="D445">
        <v>268228.89</v>
      </c>
      <c r="E445">
        <v>337968.4</v>
      </c>
      <c r="F445">
        <v>134114.45000000001</v>
      </c>
      <c r="G445">
        <v>1276769.52</v>
      </c>
    </row>
    <row r="446" spans="1:7" x14ac:dyDescent="0.35">
      <c r="A446" t="s">
        <v>476</v>
      </c>
      <c r="B446">
        <v>1353028.95</v>
      </c>
      <c r="C446">
        <v>541211.57999999996</v>
      </c>
      <c r="D446">
        <v>270605.78999999998</v>
      </c>
      <c r="E446">
        <v>340963.3</v>
      </c>
      <c r="F446">
        <v>135302.89000000001</v>
      </c>
      <c r="G446">
        <v>1288083.56</v>
      </c>
    </row>
    <row r="447" spans="1:7" x14ac:dyDescent="0.35">
      <c r="A447" t="s">
        <v>477</v>
      </c>
      <c r="B447">
        <v>1798987.26</v>
      </c>
      <c r="C447">
        <v>719594.9</v>
      </c>
      <c r="D447">
        <v>359797.45</v>
      </c>
      <c r="E447">
        <v>453344.79</v>
      </c>
      <c r="F447">
        <v>179898.73</v>
      </c>
      <c r="G447">
        <v>1712635.87</v>
      </c>
    </row>
    <row r="448" spans="1:7" x14ac:dyDescent="0.35">
      <c r="A448" t="s">
        <v>478</v>
      </c>
      <c r="B448">
        <v>1247520.05</v>
      </c>
      <c r="C448">
        <v>499008.02</v>
      </c>
      <c r="D448">
        <v>249504.01</v>
      </c>
      <c r="E448">
        <v>314375.05</v>
      </c>
      <c r="F448">
        <v>124752.01</v>
      </c>
      <c r="G448">
        <v>1187639.0900000001</v>
      </c>
    </row>
    <row r="449" spans="1:7" x14ac:dyDescent="0.35">
      <c r="A449" t="s">
        <v>479</v>
      </c>
      <c r="B449">
        <v>2001336.9</v>
      </c>
      <c r="C449">
        <v>800534.76</v>
      </c>
      <c r="D449">
        <v>400267.38</v>
      </c>
      <c r="E449">
        <v>504336.9</v>
      </c>
      <c r="F449">
        <v>200133.69</v>
      </c>
      <c r="G449">
        <v>1905272.73</v>
      </c>
    </row>
    <row r="450" spans="1:7" x14ac:dyDescent="0.35">
      <c r="A450" t="s">
        <v>480</v>
      </c>
      <c r="B450">
        <v>1364238.1</v>
      </c>
      <c r="C450">
        <v>545695.24</v>
      </c>
      <c r="D450">
        <v>272847.62</v>
      </c>
      <c r="E450">
        <v>343788</v>
      </c>
      <c r="F450">
        <v>136423.81</v>
      </c>
      <c r="G450">
        <v>1298754.67</v>
      </c>
    </row>
    <row r="451" spans="1:7" x14ac:dyDescent="0.35">
      <c r="A451" t="s">
        <v>481</v>
      </c>
      <c r="B451">
        <v>597699.15</v>
      </c>
      <c r="C451">
        <v>239079.66</v>
      </c>
      <c r="D451">
        <v>119539.83</v>
      </c>
      <c r="E451">
        <v>150620.19</v>
      </c>
      <c r="F451">
        <v>59769.919999999998</v>
      </c>
      <c r="G451">
        <v>569009.59</v>
      </c>
    </row>
    <row r="452" spans="1:7" x14ac:dyDescent="0.35">
      <c r="A452" t="s">
        <v>482</v>
      </c>
      <c r="B452">
        <v>1249462.8</v>
      </c>
      <c r="C452">
        <v>499785.12</v>
      </c>
      <c r="D452">
        <v>249892.56</v>
      </c>
      <c r="E452">
        <v>314864.63</v>
      </c>
      <c r="F452">
        <v>124946.28</v>
      </c>
      <c r="G452">
        <v>1189488.5900000001</v>
      </c>
    </row>
    <row r="453" spans="1:7" x14ac:dyDescent="0.35">
      <c r="A453" t="s">
        <v>483</v>
      </c>
      <c r="B453">
        <v>1524351</v>
      </c>
      <c r="C453">
        <v>609740.4</v>
      </c>
      <c r="D453">
        <v>304870.2</v>
      </c>
      <c r="E453">
        <v>384136.45</v>
      </c>
      <c r="F453">
        <v>152435.1</v>
      </c>
      <c r="G453">
        <v>1451182.15</v>
      </c>
    </row>
    <row r="454" spans="1:7" x14ac:dyDescent="0.35">
      <c r="A454" t="s">
        <v>484</v>
      </c>
      <c r="B454">
        <v>977984.15</v>
      </c>
      <c r="C454">
        <v>391193.66</v>
      </c>
      <c r="D454">
        <v>195596.83</v>
      </c>
      <c r="E454">
        <v>246452.01</v>
      </c>
      <c r="F454">
        <v>97798.41</v>
      </c>
      <c r="G454">
        <v>931040.91</v>
      </c>
    </row>
    <row r="455" spans="1:7" x14ac:dyDescent="0.35">
      <c r="A455" t="s">
        <v>485</v>
      </c>
      <c r="B455">
        <v>615320.69999999995</v>
      </c>
      <c r="C455">
        <v>246128.28</v>
      </c>
      <c r="D455">
        <v>123064.14</v>
      </c>
      <c r="E455">
        <v>155060.82</v>
      </c>
      <c r="F455">
        <v>61532.07</v>
      </c>
      <c r="G455">
        <v>585785.31000000006</v>
      </c>
    </row>
    <row r="456" spans="1:7" x14ac:dyDescent="0.35">
      <c r="A456" t="s">
        <v>486</v>
      </c>
      <c r="B456">
        <v>509597.1</v>
      </c>
      <c r="C456">
        <v>203838.84</v>
      </c>
      <c r="D456">
        <v>101919.42</v>
      </c>
      <c r="E456">
        <v>128418.47</v>
      </c>
      <c r="F456">
        <v>50959.71</v>
      </c>
      <c r="G456">
        <v>485136.44</v>
      </c>
    </row>
    <row r="457" spans="1:7" x14ac:dyDescent="0.35">
      <c r="A457" t="s">
        <v>487</v>
      </c>
      <c r="B457">
        <v>668114</v>
      </c>
      <c r="C457">
        <v>267245.59999999998</v>
      </c>
      <c r="D457">
        <v>133622.79999999999</v>
      </c>
      <c r="E457">
        <v>168364.73</v>
      </c>
      <c r="F457">
        <v>66811.399999999994</v>
      </c>
      <c r="G457">
        <v>636044.53</v>
      </c>
    </row>
    <row r="458" spans="1:7" x14ac:dyDescent="0.35">
      <c r="A458" t="s">
        <v>488</v>
      </c>
      <c r="B458">
        <v>1052410.3799999999</v>
      </c>
      <c r="C458">
        <v>420964.15</v>
      </c>
      <c r="D458">
        <v>210482.08</v>
      </c>
      <c r="E458">
        <v>265207.42</v>
      </c>
      <c r="F458">
        <v>105241.04</v>
      </c>
      <c r="G458">
        <v>1001894.68</v>
      </c>
    </row>
    <row r="459" spans="1:7" x14ac:dyDescent="0.35">
      <c r="A459" t="s">
        <v>489</v>
      </c>
      <c r="B459">
        <v>637943.6</v>
      </c>
      <c r="C459">
        <v>255177.44</v>
      </c>
      <c r="D459">
        <v>127588.72</v>
      </c>
      <c r="E459">
        <v>160761.79</v>
      </c>
      <c r="F459">
        <v>63794.36</v>
      </c>
      <c r="G459">
        <v>607322.31000000006</v>
      </c>
    </row>
    <row r="460" spans="1:7" x14ac:dyDescent="0.35">
      <c r="A460" t="s">
        <v>490</v>
      </c>
      <c r="B460">
        <v>614133</v>
      </c>
      <c r="C460">
        <v>245653.2</v>
      </c>
      <c r="D460">
        <v>122826.6</v>
      </c>
      <c r="E460">
        <v>154761.51999999999</v>
      </c>
      <c r="F460">
        <v>61413.3</v>
      </c>
      <c r="G460">
        <v>584654.62</v>
      </c>
    </row>
    <row r="461" spans="1:7" x14ac:dyDescent="0.35">
      <c r="A461" t="s">
        <v>491</v>
      </c>
      <c r="B461">
        <v>1423071.78</v>
      </c>
      <c r="C461">
        <v>569228.71</v>
      </c>
      <c r="D461">
        <v>284614.36</v>
      </c>
      <c r="E461">
        <v>358614.09</v>
      </c>
      <c r="F461">
        <v>142307.18</v>
      </c>
      <c r="G461">
        <v>1354764.34</v>
      </c>
    </row>
    <row r="462" spans="1:7" x14ac:dyDescent="0.35">
      <c r="A462" t="s">
        <v>492</v>
      </c>
      <c r="B462">
        <v>695230.9</v>
      </c>
      <c r="C462">
        <v>278092.36</v>
      </c>
      <c r="D462">
        <v>139046.18</v>
      </c>
      <c r="E462">
        <v>175198.19</v>
      </c>
      <c r="F462">
        <v>69523.09</v>
      </c>
      <c r="G462">
        <v>661859.81999999995</v>
      </c>
    </row>
    <row r="463" spans="1:7" x14ac:dyDescent="0.35">
      <c r="A463" t="s">
        <v>493</v>
      </c>
      <c r="B463">
        <v>1186423.08</v>
      </c>
      <c r="C463">
        <v>474569.23</v>
      </c>
      <c r="D463">
        <v>237284.62</v>
      </c>
      <c r="E463">
        <v>298978.62</v>
      </c>
      <c r="F463">
        <v>118642.31</v>
      </c>
      <c r="G463">
        <v>1129474.77</v>
      </c>
    </row>
    <row r="464" spans="1:7" x14ac:dyDescent="0.35">
      <c r="A464" t="s">
        <v>494</v>
      </c>
      <c r="B464">
        <v>1582264.14</v>
      </c>
      <c r="C464">
        <v>632905.66</v>
      </c>
      <c r="D464">
        <v>316452.83</v>
      </c>
      <c r="E464">
        <v>398730.56</v>
      </c>
      <c r="F464">
        <v>158226.41</v>
      </c>
      <c r="G464">
        <v>1506315.46</v>
      </c>
    </row>
    <row r="465" spans="1:7" x14ac:dyDescent="0.35">
      <c r="A465" t="s">
        <v>495</v>
      </c>
      <c r="B465">
        <v>1524093.26</v>
      </c>
      <c r="C465">
        <v>609637.31000000006</v>
      </c>
      <c r="D465">
        <v>304818.65000000002</v>
      </c>
      <c r="E465">
        <v>384071.5</v>
      </c>
      <c r="F465">
        <v>152409.32999999999</v>
      </c>
      <c r="G465">
        <v>1450936.79</v>
      </c>
    </row>
    <row r="466" spans="1:7" x14ac:dyDescent="0.35">
      <c r="A466" t="s">
        <v>496</v>
      </c>
      <c r="B466">
        <v>951630</v>
      </c>
      <c r="C466">
        <v>380652</v>
      </c>
      <c r="D466">
        <v>190326</v>
      </c>
      <c r="E466">
        <v>239810.76</v>
      </c>
      <c r="F466">
        <v>95163</v>
      </c>
      <c r="G466">
        <v>905951.76</v>
      </c>
    </row>
    <row r="467" spans="1:7" x14ac:dyDescent="0.35">
      <c r="A467" t="s">
        <v>497</v>
      </c>
      <c r="B467">
        <v>1098124.95</v>
      </c>
      <c r="C467">
        <v>439249.98</v>
      </c>
      <c r="D467">
        <v>219624.99</v>
      </c>
      <c r="E467">
        <v>276727.49</v>
      </c>
      <c r="F467">
        <v>109812.49</v>
      </c>
      <c r="G467">
        <v>1045414.95</v>
      </c>
    </row>
    <row r="468" spans="1:7" x14ac:dyDescent="0.35">
      <c r="A468" t="s">
        <v>498</v>
      </c>
      <c r="B468">
        <v>1536968.04</v>
      </c>
      <c r="C468">
        <v>614787.22</v>
      </c>
      <c r="D468">
        <v>307393.61</v>
      </c>
      <c r="E468">
        <v>387315.95</v>
      </c>
      <c r="F468">
        <v>153696.79999999999</v>
      </c>
      <c r="G468">
        <v>1463193.58</v>
      </c>
    </row>
    <row r="469" spans="1:7" x14ac:dyDescent="0.35">
      <c r="A469" t="s">
        <v>499</v>
      </c>
      <c r="B469">
        <v>1878457.5</v>
      </c>
      <c r="C469">
        <v>751383</v>
      </c>
      <c r="D469">
        <v>375691.5</v>
      </c>
      <c r="E469">
        <v>473371.29</v>
      </c>
      <c r="F469">
        <v>187845.75</v>
      </c>
      <c r="G469">
        <v>1788291.54</v>
      </c>
    </row>
    <row r="470" spans="1:7" x14ac:dyDescent="0.35">
      <c r="A470" t="s">
        <v>500</v>
      </c>
      <c r="B470">
        <v>927810.66</v>
      </c>
      <c r="C470">
        <v>371124.26</v>
      </c>
      <c r="D470">
        <v>185562.13</v>
      </c>
      <c r="E470">
        <v>233808.29</v>
      </c>
      <c r="F470">
        <v>92781.07</v>
      </c>
      <c r="G470">
        <v>883275.75</v>
      </c>
    </row>
    <row r="471" spans="1:7" x14ac:dyDescent="0.35">
      <c r="A471" t="s">
        <v>501</v>
      </c>
      <c r="B471">
        <v>1285749.95</v>
      </c>
      <c r="C471">
        <v>514299.98</v>
      </c>
      <c r="D471">
        <v>257149.99</v>
      </c>
      <c r="E471">
        <v>324008.99</v>
      </c>
      <c r="F471">
        <v>128575</v>
      </c>
      <c r="G471">
        <v>1224033.95</v>
      </c>
    </row>
    <row r="472" spans="1:7" x14ac:dyDescent="0.35">
      <c r="A472" t="s">
        <v>502</v>
      </c>
      <c r="B472">
        <v>388297.3</v>
      </c>
      <c r="C472">
        <v>155318.92000000001</v>
      </c>
      <c r="D472">
        <v>77659.460000000006</v>
      </c>
      <c r="E472">
        <v>97850.92</v>
      </c>
      <c r="F472">
        <v>38829.730000000003</v>
      </c>
      <c r="G472">
        <v>369659.03</v>
      </c>
    </row>
    <row r="473" spans="1:7" x14ac:dyDescent="0.35">
      <c r="A473" t="s">
        <v>503</v>
      </c>
      <c r="B473">
        <v>1209436.1000000001</v>
      </c>
      <c r="C473">
        <v>483774.44</v>
      </c>
      <c r="D473">
        <v>241887.22</v>
      </c>
      <c r="E473">
        <v>304777.90000000002</v>
      </c>
      <c r="F473">
        <v>120943.61</v>
      </c>
      <c r="G473">
        <v>1151383.17</v>
      </c>
    </row>
    <row r="474" spans="1:7" x14ac:dyDescent="0.35">
      <c r="A474" t="s">
        <v>504</v>
      </c>
      <c r="B474">
        <v>1294175</v>
      </c>
      <c r="C474">
        <v>517670</v>
      </c>
      <c r="D474">
        <v>258835</v>
      </c>
      <c r="E474">
        <v>326132.09999999998</v>
      </c>
      <c r="F474">
        <v>129417.5</v>
      </c>
      <c r="G474">
        <v>1232054.6000000001</v>
      </c>
    </row>
    <row r="475" spans="1:7" x14ac:dyDescent="0.35">
      <c r="A475" t="s">
        <v>505</v>
      </c>
      <c r="B475">
        <v>903616</v>
      </c>
      <c r="C475">
        <v>361446.40000000002</v>
      </c>
      <c r="D475">
        <v>180723.20000000001</v>
      </c>
      <c r="E475">
        <v>227711.23</v>
      </c>
      <c r="F475">
        <v>90361.600000000006</v>
      </c>
      <c r="G475">
        <v>860242.43</v>
      </c>
    </row>
    <row r="476" spans="1:7" x14ac:dyDescent="0.35">
      <c r="A476" t="s">
        <v>506</v>
      </c>
      <c r="B476">
        <v>1652411.95</v>
      </c>
      <c r="C476">
        <v>660964.78</v>
      </c>
      <c r="D476">
        <v>330482.39</v>
      </c>
      <c r="E476">
        <v>416407.81</v>
      </c>
      <c r="F476">
        <v>165241.20000000001</v>
      </c>
      <c r="G476">
        <v>1573096.18</v>
      </c>
    </row>
    <row r="477" spans="1:7" x14ac:dyDescent="0.35">
      <c r="A477" t="s">
        <v>507</v>
      </c>
      <c r="B477">
        <v>1332861.6000000001</v>
      </c>
      <c r="C477">
        <v>533144.64</v>
      </c>
      <c r="D477">
        <v>266572.32</v>
      </c>
      <c r="E477">
        <v>335881.12</v>
      </c>
      <c r="F477">
        <v>133286.16</v>
      </c>
      <c r="G477">
        <v>1268884.24</v>
      </c>
    </row>
    <row r="478" spans="1:7" x14ac:dyDescent="0.35">
      <c r="A478" t="s">
        <v>508</v>
      </c>
      <c r="B478">
        <v>803234.88</v>
      </c>
      <c r="C478">
        <v>321293.95</v>
      </c>
      <c r="D478">
        <v>160646.98000000001</v>
      </c>
      <c r="E478">
        <v>202415.19</v>
      </c>
      <c r="F478">
        <v>80323.490000000005</v>
      </c>
      <c r="G478">
        <v>764679.61</v>
      </c>
    </row>
    <row r="479" spans="1:7" x14ac:dyDescent="0.35">
      <c r="A479" t="s">
        <v>509</v>
      </c>
      <c r="B479">
        <v>1692490.93</v>
      </c>
      <c r="C479">
        <v>676996.37</v>
      </c>
      <c r="D479">
        <v>338498.19</v>
      </c>
      <c r="E479">
        <v>426507.71</v>
      </c>
      <c r="F479">
        <v>169249.09</v>
      </c>
      <c r="G479">
        <v>1611251.37</v>
      </c>
    </row>
    <row r="480" spans="1:7" x14ac:dyDescent="0.35">
      <c r="A480" t="s">
        <v>510</v>
      </c>
      <c r="B480">
        <v>1397096.12</v>
      </c>
      <c r="C480">
        <v>558838.44999999995</v>
      </c>
      <c r="D480">
        <v>279419.21999999997</v>
      </c>
      <c r="E480">
        <v>352068.22</v>
      </c>
      <c r="F480">
        <v>139709.60999999999</v>
      </c>
      <c r="G480">
        <v>1330035.51</v>
      </c>
    </row>
    <row r="481" spans="1:7" x14ac:dyDescent="0.35">
      <c r="A481" t="s">
        <v>511</v>
      </c>
      <c r="B481">
        <v>1609294.8</v>
      </c>
      <c r="C481">
        <v>643717.92000000004</v>
      </c>
      <c r="D481">
        <v>321858.96000000002</v>
      </c>
      <c r="E481">
        <v>405542.29</v>
      </c>
      <c r="F481">
        <v>160929.48000000001</v>
      </c>
      <c r="G481">
        <v>1532048.65</v>
      </c>
    </row>
    <row r="482" spans="1:7" x14ac:dyDescent="0.35">
      <c r="A482" t="s">
        <v>512</v>
      </c>
      <c r="B482">
        <v>645641.28</v>
      </c>
      <c r="C482">
        <v>258256.51</v>
      </c>
      <c r="D482">
        <v>129128.26</v>
      </c>
      <c r="E482">
        <v>162701.6</v>
      </c>
      <c r="F482">
        <v>64564.13</v>
      </c>
      <c r="G482">
        <v>614650.5</v>
      </c>
    </row>
    <row r="483" spans="1:7" x14ac:dyDescent="0.35">
      <c r="A483" t="s">
        <v>513</v>
      </c>
      <c r="B483">
        <v>1504634.4</v>
      </c>
      <c r="C483">
        <v>601853.76</v>
      </c>
      <c r="D483">
        <v>300926.88</v>
      </c>
      <c r="E483">
        <v>379167.87</v>
      </c>
      <c r="F483">
        <v>150463.44</v>
      </c>
      <c r="G483">
        <v>1432411.95</v>
      </c>
    </row>
    <row r="484" spans="1:7" x14ac:dyDescent="0.35">
      <c r="A484" t="s">
        <v>514</v>
      </c>
      <c r="B484">
        <v>1421196.96</v>
      </c>
      <c r="C484">
        <v>568478.78</v>
      </c>
      <c r="D484">
        <v>284239.39</v>
      </c>
      <c r="E484">
        <v>358141.63</v>
      </c>
      <c r="F484">
        <v>142119.70000000001</v>
      </c>
      <c r="G484">
        <v>1352979.51</v>
      </c>
    </row>
    <row r="485" spans="1:7" x14ac:dyDescent="0.35">
      <c r="A485" t="s">
        <v>515</v>
      </c>
      <c r="B485">
        <v>639348.47999999998</v>
      </c>
      <c r="C485">
        <v>255739.39</v>
      </c>
      <c r="D485">
        <v>127869.7</v>
      </c>
      <c r="E485">
        <v>161115.82</v>
      </c>
      <c r="F485">
        <v>63934.85</v>
      </c>
      <c r="G485">
        <v>608659.75</v>
      </c>
    </row>
    <row r="486" spans="1:7" x14ac:dyDescent="0.35">
      <c r="A486" t="s">
        <v>516</v>
      </c>
      <c r="B486">
        <v>1858433.2</v>
      </c>
      <c r="C486">
        <v>743373.28</v>
      </c>
      <c r="D486">
        <v>371686.64</v>
      </c>
      <c r="E486">
        <v>468325.17</v>
      </c>
      <c r="F486">
        <v>185843.32</v>
      </c>
      <c r="G486">
        <v>1769228.41</v>
      </c>
    </row>
    <row r="487" spans="1:7" x14ac:dyDescent="0.35">
      <c r="A487" t="s">
        <v>517</v>
      </c>
      <c r="B487">
        <v>1974835.87</v>
      </c>
      <c r="C487">
        <v>789934.35</v>
      </c>
      <c r="D487">
        <v>394967.17</v>
      </c>
      <c r="E487">
        <v>497658.64</v>
      </c>
      <c r="F487">
        <v>197483.59</v>
      </c>
      <c r="G487">
        <v>1880043.75</v>
      </c>
    </row>
    <row r="488" spans="1:7" x14ac:dyDescent="0.35">
      <c r="A488" t="s">
        <v>518</v>
      </c>
      <c r="B488">
        <v>489092.8</v>
      </c>
      <c r="C488">
        <v>195637.12</v>
      </c>
      <c r="D488">
        <v>97818.559999999998</v>
      </c>
      <c r="E488">
        <v>123251.39</v>
      </c>
      <c r="F488">
        <v>48909.279999999999</v>
      </c>
      <c r="G488">
        <v>465616.35</v>
      </c>
    </row>
    <row r="489" spans="1:7" x14ac:dyDescent="0.35">
      <c r="A489" t="s">
        <v>519</v>
      </c>
      <c r="B489">
        <v>1375967.08</v>
      </c>
      <c r="C489">
        <v>550386.82999999996</v>
      </c>
      <c r="D489">
        <v>275193.42</v>
      </c>
      <c r="E489">
        <v>346743.7</v>
      </c>
      <c r="F489">
        <v>137596.71</v>
      </c>
      <c r="G489">
        <v>1309920.6599999999</v>
      </c>
    </row>
    <row r="490" spans="1:7" x14ac:dyDescent="0.35">
      <c r="A490" t="s">
        <v>520</v>
      </c>
      <c r="B490">
        <v>978123.13</v>
      </c>
      <c r="C490">
        <v>391249.25</v>
      </c>
      <c r="D490">
        <v>195624.63</v>
      </c>
      <c r="E490">
        <v>246487.03</v>
      </c>
      <c r="F490">
        <v>97812.31</v>
      </c>
      <c r="G490">
        <v>931173.22</v>
      </c>
    </row>
    <row r="491" spans="1:7" x14ac:dyDescent="0.35">
      <c r="A491" t="s">
        <v>521</v>
      </c>
      <c r="B491">
        <v>1220217.6000000001</v>
      </c>
      <c r="C491">
        <v>488087.03999999998</v>
      </c>
      <c r="D491">
        <v>244043.51999999999</v>
      </c>
      <c r="E491">
        <v>307494.84000000003</v>
      </c>
      <c r="F491">
        <v>122021.75999999999</v>
      </c>
      <c r="G491">
        <v>1161647.1599999999</v>
      </c>
    </row>
    <row r="492" spans="1:7" x14ac:dyDescent="0.35">
      <c r="A492" t="s">
        <v>522</v>
      </c>
      <c r="B492">
        <v>1825061.44</v>
      </c>
      <c r="C492">
        <v>730024.57</v>
      </c>
      <c r="D492">
        <v>365012.29</v>
      </c>
      <c r="E492">
        <v>459915.48</v>
      </c>
      <c r="F492">
        <v>182506.14</v>
      </c>
      <c r="G492">
        <v>1737458.49</v>
      </c>
    </row>
    <row r="493" spans="1:7" x14ac:dyDescent="0.35">
      <c r="A493" t="s">
        <v>523</v>
      </c>
      <c r="B493">
        <v>887109</v>
      </c>
      <c r="C493">
        <v>354843.6</v>
      </c>
      <c r="D493">
        <v>177421.8</v>
      </c>
      <c r="E493">
        <v>223551.47</v>
      </c>
      <c r="F493">
        <v>88710.9</v>
      </c>
      <c r="G493">
        <v>844527.77</v>
      </c>
    </row>
    <row r="494" spans="1:7" x14ac:dyDescent="0.35">
      <c r="A494" t="s">
        <v>524</v>
      </c>
      <c r="B494">
        <v>1224516.18</v>
      </c>
      <c r="C494">
        <v>489806.47</v>
      </c>
      <c r="D494">
        <v>244903.24</v>
      </c>
      <c r="E494">
        <v>308578.08</v>
      </c>
      <c r="F494">
        <v>122451.62</v>
      </c>
      <c r="G494">
        <v>1165739.3999999999</v>
      </c>
    </row>
    <row r="495" spans="1:7" x14ac:dyDescent="0.35">
      <c r="A495" t="s">
        <v>525</v>
      </c>
      <c r="B495">
        <v>1041362.2</v>
      </c>
      <c r="C495">
        <v>416544.88</v>
      </c>
      <c r="D495">
        <v>208272.44</v>
      </c>
      <c r="E495">
        <v>262423.27</v>
      </c>
      <c r="F495">
        <v>104136.22</v>
      </c>
      <c r="G495">
        <v>991376.81</v>
      </c>
    </row>
    <row r="496" spans="1:7" x14ac:dyDescent="0.35">
      <c r="A496" t="s">
        <v>526</v>
      </c>
      <c r="B496">
        <v>1011147.13</v>
      </c>
      <c r="C496">
        <v>404458.85</v>
      </c>
      <c r="D496">
        <v>202229.43</v>
      </c>
      <c r="E496">
        <v>254809.08</v>
      </c>
      <c r="F496">
        <v>101114.71</v>
      </c>
      <c r="G496">
        <v>962612.07</v>
      </c>
    </row>
    <row r="497" spans="1:7" x14ac:dyDescent="0.35">
      <c r="A497" t="s">
        <v>527</v>
      </c>
      <c r="B497">
        <v>1486982.18</v>
      </c>
      <c r="C497">
        <v>594792.87</v>
      </c>
      <c r="D497">
        <v>297396.44</v>
      </c>
      <c r="E497">
        <v>374719.51</v>
      </c>
      <c r="F497">
        <v>148698.22</v>
      </c>
      <c r="G497">
        <v>1415607.04</v>
      </c>
    </row>
    <row r="498" spans="1:7" x14ac:dyDescent="0.35">
      <c r="A498" t="s">
        <v>528</v>
      </c>
      <c r="B498">
        <v>932745</v>
      </c>
      <c r="C498">
        <v>373098</v>
      </c>
      <c r="D498">
        <v>186549</v>
      </c>
      <c r="E498">
        <v>235051.74</v>
      </c>
      <c r="F498">
        <v>93274.5</v>
      </c>
      <c r="G498">
        <v>887973.24</v>
      </c>
    </row>
    <row r="499" spans="1:7" x14ac:dyDescent="0.35">
      <c r="A499" t="s">
        <v>529</v>
      </c>
      <c r="B499">
        <v>1329675.48</v>
      </c>
      <c r="C499">
        <v>531870.18999999994</v>
      </c>
      <c r="D499">
        <v>265935.09999999998</v>
      </c>
      <c r="E499">
        <v>335078.21999999997</v>
      </c>
      <c r="F499">
        <v>132967.54999999999</v>
      </c>
      <c r="G499">
        <v>1265851.06</v>
      </c>
    </row>
    <row r="500" spans="1:7" x14ac:dyDescent="0.35">
      <c r="A500" t="s">
        <v>530</v>
      </c>
      <c r="B500">
        <v>969732</v>
      </c>
      <c r="C500">
        <v>387892.8</v>
      </c>
      <c r="D500">
        <v>193946.4</v>
      </c>
      <c r="E500">
        <v>244372.46</v>
      </c>
      <c r="F500">
        <v>96973.2</v>
      </c>
      <c r="G500">
        <v>923184.86</v>
      </c>
    </row>
    <row r="501" spans="1:7" x14ac:dyDescent="0.35">
      <c r="A501" t="s">
        <v>531</v>
      </c>
      <c r="B501">
        <v>1456361.2</v>
      </c>
      <c r="C501">
        <v>582544.48</v>
      </c>
      <c r="D501">
        <v>291272.24</v>
      </c>
      <c r="E501">
        <v>367003.02</v>
      </c>
      <c r="F501">
        <v>145636.12</v>
      </c>
      <c r="G501">
        <v>1386455.86</v>
      </c>
    </row>
    <row r="502" spans="1:7" x14ac:dyDescent="0.35">
      <c r="A502" t="s">
        <v>532</v>
      </c>
      <c r="B502">
        <v>843205.37</v>
      </c>
      <c r="C502">
        <v>337282.15</v>
      </c>
      <c r="D502">
        <v>168641.07</v>
      </c>
      <c r="E502">
        <v>212487.75</v>
      </c>
      <c r="F502">
        <v>84320.54</v>
      </c>
      <c r="G502">
        <v>802731.51</v>
      </c>
    </row>
    <row r="503" spans="1:7" x14ac:dyDescent="0.35">
      <c r="A503" t="s">
        <v>533</v>
      </c>
      <c r="B503">
        <v>562373.21</v>
      </c>
      <c r="C503">
        <v>224949.28</v>
      </c>
      <c r="D503">
        <v>112474.64</v>
      </c>
      <c r="E503">
        <v>141718.04999999999</v>
      </c>
      <c r="F503">
        <v>56237.32</v>
      </c>
      <c r="G503">
        <v>535379.30000000005</v>
      </c>
    </row>
    <row r="504" spans="1:7" x14ac:dyDescent="0.35">
      <c r="A504" t="s">
        <v>534</v>
      </c>
      <c r="B504">
        <v>715766.8</v>
      </c>
      <c r="C504">
        <v>286306.71999999997</v>
      </c>
      <c r="D504">
        <v>143153.35999999999</v>
      </c>
      <c r="E504">
        <v>180373.23</v>
      </c>
      <c r="F504">
        <v>71576.679999999993</v>
      </c>
      <c r="G504">
        <v>681409.99</v>
      </c>
    </row>
    <row r="505" spans="1:7" x14ac:dyDescent="0.35">
      <c r="A505" t="s">
        <v>535</v>
      </c>
      <c r="B505">
        <v>1438506.34</v>
      </c>
      <c r="C505">
        <v>575402.54</v>
      </c>
      <c r="D505">
        <v>287701.27</v>
      </c>
      <c r="E505">
        <v>362503.6</v>
      </c>
      <c r="F505">
        <v>143850.63</v>
      </c>
      <c r="G505">
        <v>1369458.04</v>
      </c>
    </row>
    <row r="506" spans="1:7" x14ac:dyDescent="0.35">
      <c r="A506" t="s">
        <v>536</v>
      </c>
      <c r="B506">
        <v>1630498.9</v>
      </c>
      <c r="C506">
        <v>652199.56000000006</v>
      </c>
      <c r="D506">
        <v>326099.78000000003</v>
      </c>
      <c r="E506">
        <v>410885.72</v>
      </c>
      <c r="F506">
        <v>163049.89000000001</v>
      </c>
      <c r="G506">
        <v>1552234.95</v>
      </c>
    </row>
    <row r="507" spans="1:7" x14ac:dyDescent="0.35">
      <c r="A507" t="s">
        <v>537</v>
      </c>
      <c r="B507">
        <v>993857.7</v>
      </c>
      <c r="C507">
        <v>397543.08</v>
      </c>
      <c r="D507">
        <v>198771.54</v>
      </c>
      <c r="E507">
        <v>250452.14</v>
      </c>
      <c r="F507">
        <v>99385.77</v>
      </c>
      <c r="G507">
        <v>946152.53</v>
      </c>
    </row>
    <row r="508" spans="1:7" x14ac:dyDescent="0.35">
      <c r="A508" t="s">
        <v>538</v>
      </c>
      <c r="B508">
        <v>1471781.8</v>
      </c>
      <c r="C508">
        <v>588712.72</v>
      </c>
      <c r="D508">
        <v>294356.36</v>
      </c>
      <c r="E508">
        <v>370889.01</v>
      </c>
      <c r="F508">
        <v>147178.18</v>
      </c>
      <c r="G508">
        <v>1401136.27</v>
      </c>
    </row>
    <row r="509" spans="1:7" x14ac:dyDescent="0.35">
      <c r="A509" t="s">
        <v>539</v>
      </c>
      <c r="B509">
        <v>1031083.45</v>
      </c>
      <c r="C509">
        <v>412433.38</v>
      </c>
      <c r="D509">
        <v>206216.69</v>
      </c>
      <c r="E509">
        <v>259833.03</v>
      </c>
      <c r="F509">
        <v>103108.35</v>
      </c>
      <c r="G509">
        <v>981591.44</v>
      </c>
    </row>
    <row r="510" spans="1:7" x14ac:dyDescent="0.35">
      <c r="A510" t="s">
        <v>540</v>
      </c>
      <c r="B510">
        <v>689578.8</v>
      </c>
      <c r="C510">
        <v>275831.52</v>
      </c>
      <c r="D510">
        <v>137915.76</v>
      </c>
      <c r="E510">
        <v>173773.86</v>
      </c>
      <c r="F510">
        <v>68957.88</v>
      </c>
      <c r="G510">
        <v>656479.02</v>
      </c>
    </row>
    <row r="511" spans="1:7" x14ac:dyDescent="0.35">
      <c r="A511" t="s">
        <v>541</v>
      </c>
      <c r="B511">
        <v>526858</v>
      </c>
      <c r="C511">
        <v>210743.2</v>
      </c>
      <c r="D511">
        <v>105371.6</v>
      </c>
      <c r="E511">
        <v>132768.22</v>
      </c>
      <c r="F511">
        <v>52685.8</v>
      </c>
      <c r="G511">
        <v>501568.82</v>
      </c>
    </row>
    <row r="512" spans="1:7" x14ac:dyDescent="0.35">
      <c r="A512" t="s">
        <v>542</v>
      </c>
      <c r="B512">
        <v>1308917.1200000001</v>
      </c>
      <c r="C512">
        <v>523566.85</v>
      </c>
      <c r="D512">
        <v>261783.42</v>
      </c>
      <c r="E512">
        <v>329847.12</v>
      </c>
      <c r="F512">
        <v>130891.71</v>
      </c>
      <c r="G512">
        <v>1246089.1000000001</v>
      </c>
    </row>
    <row r="513" spans="1:7" x14ac:dyDescent="0.35">
      <c r="A513" t="s">
        <v>543</v>
      </c>
      <c r="B513">
        <v>987467.1</v>
      </c>
      <c r="C513">
        <v>394986.84</v>
      </c>
      <c r="D513">
        <v>197493.42</v>
      </c>
      <c r="E513">
        <v>248841.71</v>
      </c>
      <c r="F513">
        <v>98746.71</v>
      </c>
      <c r="G513">
        <v>940068.68</v>
      </c>
    </row>
    <row r="514" spans="1:7" x14ac:dyDescent="0.35">
      <c r="A514" t="s">
        <v>544</v>
      </c>
      <c r="B514">
        <v>1566275.45</v>
      </c>
      <c r="C514">
        <v>626510.18000000005</v>
      </c>
      <c r="D514">
        <v>313255.09000000003</v>
      </c>
      <c r="E514">
        <v>394701.41</v>
      </c>
      <c r="F514">
        <v>156627.54999999999</v>
      </c>
      <c r="G514">
        <v>1491094.23</v>
      </c>
    </row>
    <row r="515" spans="1:7" x14ac:dyDescent="0.35">
      <c r="A515" t="s">
        <v>545</v>
      </c>
      <c r="B515">
        <v>1379103.41</v>
      </c>
      <c r="C515">
        <v>551641.36</v>
      </c>
      <c r="D515">
        <v>275820.68</v>
      </c>
      <c r="E515">
        <v>347534.06</v>
      </c>
      <c r="F515">
        <v>137910.34</v>
      </c>
      <c r="G515">
        <v>1312906.45</v>
      </c>
    </row>
    <row r="516" spans="1:7" x14ac:dyDescent="0.35">
      <c r="A516" t="s">
        <v>546</v>
      </c>
      <c r="B516">
        <v>1027705</v>
      </c>
      <c r="C516">
        <v>411082</v>
      </c>
      <c r="D516">
        <v>205541</v>
      </c>
      <c r="E516">
        <v>258981.66</v>
      </c>
      <c r="F516">
        <v>102770.5</v>
      </c>
      <c r="G516">
        <v>978375.16</v>
      </c>
    </row>
    <row r="517" spans="1:7" x14ac:dyDescent="0.35">
      <c r="A517" t="s">
        <v>547</v>
      </c>
      <c r="B517">
        <v>1228149.93</v>
      </c>
      <c r="C517">
        <v>491259.97</v>
      </c>
      <c r="D517">
        <v>245629.99</v>
      </c>
      <c r="E517">
        <v>309493.78000000003</v>
      </c>
      <c r="F517">
        <v>122814.99</v>
      </c>
      <c r="G517">
        <v>1169198.73</v>
      </c>
    </row>
    <row r="518" spans="1:7" x14ac:dyDescent="0.35">
      <c r="A518" t="s">
        <v>548</v>
      </c>
      <c r="B518">
        <v>2467019.6</v>
      </c>
      <c r="C518">
        <v>986807.84</v>
      </c>
      <c r="D518">
        <v>493403.92</v>
      </c>
      <c r="E518">
        <v>621688.93999999994</v>
      </c>
      <c r="F518">
        <v>246701.96</v>
      </c>
      <c r="G518">
        <v>2348602.66</v>
      </c>
    </row>
    <row r="519" spans="1:7" x14ac:dyDescent="0.35">
      <c r="A519" t="s">
        <v>549</v>
      </c>
      <c r="B519">
        <v>2105543.5</v>
      </c>
      <c r="C519">
        <v>842217.4</v>
      </c>
      <c r="D519">
        <v>421108.7</v>
      </c>
      <c r="E519">
        <v>530596.96</v>
      </c>
      <c r="F519">
        <v>210554.35</v>
      </c>
      <c r="G519">
        <v>2004477.41</v>
      </c>
    </row>
    <row r="520" spans="1:7" x14ac:dyDescent="0.35">
      <c r="A520" t="s">
        <v>550</v>
      </c>
      <c r="B520">
        <v>825272.6</v>
      </c>
      <c r="C520">
        <v>330109.03999999998</v>
      </c>
      <c r="D520">
        <v>165054.51999999999</v>
      </c>
      <c r="E520">
        <v>207968.7</v>
      </c>
      <c r="F520">
        <v>82527.259999999995</v>
      </c>
      <c r="G520">
        <v>785659.52</v>
      </c>
    </row>
    <row r="521" spans="1:7" x14ac:dyDescent="0.35">
      <c r="A521" t="s">
        <v>551</v>
      </c>
      <c r="B521">
        <v>1301317.98</v>
      </c>
      <c r="C521">
        <v>520527.19</v>
      </c>
      <c r="D521">
        <v>260263.6</v>
      </c>
      <c r="E521">
        <v>327932.13</v>
      </c>
      <c r="F521">
        <v>130131.8</v>
      </c>
      <c r="G521">
        <v>1238854.72</v>
      </c>
    </row>
    <row r="522" spans="1:7" x14ac:dyDescent="0.35">
      <c r="A522" t="s">
        <v>552</v>
      </c>
      <c r="B522">
        <v>886440.25</v>
      </c>
      <c r="C522">
        <v>354576.1</v>
      </c>
      <c r="D522">
        <v>177288.05</v>
      </c>
      <c r="E522">
        <v>223382.94</v>
      </c>
      <c r="F522">
        <v>88644.03</v>
      </c>
      <c r="G522">
        <v>843891.12</v>
      </c>
    </row>
    <row r="523" spans="1:7" x14ac:dyDescent="0.35">
      <c r="A523" t="s">
        <v>553</v>
      </c>
      <c r="B523">
        <v>624289</v>
      </c>
      <c r="C523">
        <v>249715.6</v>
      </c>
      <c r="D523">
        <v>124857.8</v>
      </c>
      <c r="E523">
        <v>157320.82999999999</v>
      </c>
      <c r="F523">
        <v>62428.9</v>
      </c>
      <c r="G523">
        <v>594323.13</v>
      </c>
    </row>
    <row r="524" spans="1:7" x14ac:dyDescent="0.35">
      <c r="A524" t="s">
        <v>554</v>
      </c>
      <c r="B524">
        <v>1164838.8</v>
      </c>
      <c r="C524">
        <v>465935.52</v>
      </c>
      <c r="D524">
        <v>232967.76</v>
      </c>
      <c r="E524">
        <v>293539.38</v>
      </c>
      <c r="F524">
        <v>116483.88</v>
      </c>
      <c r="G524">
        <v>1108926.54</v>
      </c>
    </row>
    <row r="525" spans="1:7" x14ac:dyDescent="0.35">
      <c r="A525" t="s">
        <v>555</v>
      </c>
      <c r="B525">
        <v>1162171</v>
      </c>
      <c r="C525">
        <v>464868.4</v>
      </c>
      <c r="D525">
        <v>232434.2</v>
      </c>
      <c r="E525">
        <v>292867.09000000003</v>
      </c>
      <c r="F525">
        <v>116217.1</v>
      </c>
      <c r="G525">
        <v>1106386.79</v>
      </c>
    </row>
    <row r="526" spans="1:7" x14ac:dyDescent="0.35">
      <c r="A526" t="s">
        <v>556</v>
      </c>
      <c r="B526">
        <v>1283288.69</v>
      </c>
      <c r="C526">
        <v>513315.48</v>
      </c>
      <c r="D526">
        <v>256657.74</v>
      </c>
      <c r="E526">
        <v>323388.75</v>
      </c>
      <c r="F526">
        <v>128328.87</v>
      </c>
      <c r="G526">
        <v>1221690.83</v>
      </c>
    </row>
    <row r="527" spans="1:7" x14ac:dyDescent="0.35">
      <c r="A527" t="s">
        <v>557</v>
      </c>
      <c r="B527">
        <v>364757.25</v>
      </c>
      <c r="C527">
        <v>145902.9</v>
      </c>
      <c r="D527">
        <v>72951.45</v>
      </c>
      <c r="E527">
        <v>91918.83</v>
      </c>
      <c r="F527">
        <v>36475.72</v>
      </c>
      <c r="G527">
        <v>347248.9</v>
      </c>
    </row>
    <row r="528" spans="1:7" x14ac:dyDescent="0.35">
      <c r="A528" t="s">
        <v>558</v>
      </c>
      <c r="B528">
        <v>646165.30000000005</v>
      </c>
      <c r="C528">
        <v>258466.12</v>
      </c>
      <c r="D528">
        <v>129233.06</v>
      </c>
      <c r="E528">
        <v>162833.66</v>
      </c>
      <c r="F528">
        <v>64616.53</v>
      </c>
      <c r="G528">
        <v>615149.37</v>
      </c>
    </row>
    <row r="529" spans="1:7" x14ac:dyDescent="0.35">
      <c r="A529" t="s">
        <v>559</v>
      </c>
      <c r="B529">
        <v>1170799</v>
      </c>
      <c r="C529">
        <v>468319.6</v>
      </c>
      <c r="D529">
        <v>234159.8</v>
      </c>
      <c r="E529">
        <v>295041.34999999998</v>
      </c>
      <c r="F529">
        <v>117079.9</v>
      </c>
      <c r="G529">
        <v>1114600.6499999999</v>
      </c>
    </row>
    <row r="530" spans="1:7" x14ac:dyDescent="0.35">
      <c r="A530" t="s">
        <v>560</v>
      </c>
      <c r="B530">
        <v>797600.4</v>
      </c>
      <c r="C530">
        <v>319040.15999999997</v>
      </c>
      <c r="D530">
        <v>159520.07999999999</v>
      </c>
      <c r="E530">
        <v>200995.3</v>
      </c>
      <c r="F530">
        <v>79760.039999999994</v>
      </c>
      <c r="G530">
        <v>759315.58</v>
      </c>
    </row>
    <row r="531" spans="1:7" x14ac:dyDescent="0.35">
      <c r="A531" t="s">
        <v>561</v>
      </c>
      <c r="B531">
        <v>1459344.6</v>
      </c>
      <c r="C531">
        <v>583737.84</v>
      </c>
      <c r="D531">
        <v>291868.92</v>
      </c>
      <c r="E531">
        <v>367754.84</v>
      </c>
      <c r="F531">
        <v>145934.46</v>
      </c>
      <c r="G531">
        <v>1389296.06</v>
      </c>
    </row>
    <row r="532" spans="1:7" x14ac:dyDescent="0.35">
      <c r="A532" t="s">
        <v>562</v>
      </c>
      <c r="B532">
        <v>829512.45</v>
      </c>
      <c r="C532">
        <v>331804.98</v>
      </c>
      <c r="D532">
        <v>165902.49</v>
      </c>
      <c r="E532">
        <v>209037.14</v>
      </c>
      <c r="F532">
        <v>82951.240000000005</v>
      </c>
      <c r="G532">
        <v>789695.85</v>
      </c>
    </row>
    <row r="533" spans="1:7" x14ac:dyDescent="0.35">
      <c r="A533" t="s">
        <v>563</v>
      </c>
      <c r="B533">
        <v>677561</v>
      </c>
      <c r="C533">
        <v>271024.40000000002</v>
      </c>
      <c r="D533">
        <v>135512.20000000001</v>
      </c>
      <c r="E533">
        <v>170745.37</v>
      </c>
      <c r="F533">
        <v>67756.100000000006</v>
      </c>
      <c r="G533">
        <v>645038.06999999995</v>
      </c>
    </row>
    <row r="534" spans="1:7" x14ac:dyDescent="0.35">
      <c r="A534" t="s">
        <v>564</v>
      </c>
      <c r="B534">
        <v>835841</v>
      </c>
      <c r="C534">
        <v>334336.40000000002</v>
      </c>
      <c r="D534">
        <v>167168.20000000001</v>
      </c>
      <c r="E534">
        <v>210631.93</v>
      </c>
      <c r="F534">
        <v>83584.100000000006</v>
      </c>
      <c r="G534">
        <v>795720.63</v>
      </c>
    </row>
    <row r="535" spans="1:7" x14ac:dyDescent="0.35">
      <c r="A535" t="s">
        <v>565</v>
      </c>
      <c r="B535">
        <v>1386454.51</v>
      </c>
      <c r="C535">
        <v>554581.80000000005</v>
      </c>
      <c r="D535">
        <v>277290.90000000002</v>
      </c>
      <c r="E535">
        <v>349386.54</v>
      </c>
      <c r="F535">
        <v>138645.45000000001</v>
      </c>
      <c r="G535">
        <v>1319904.69</v>
      </c>
    </row>
    <row r="536" spans="1:7" x14ac:dyDescent="0.35">
      <c r="A536" t="s">
        <v>566</v>
      </c>
      <c r="B536">
        <v>910217.04</v>
      </c>
      <c r="C536">
        <v>364086.82</v>
      </c>
      <c r="D536">
        <v>182043.41</v>
      </c>
      <c r="E536">
        <v>229374.69</v>
      </c>
      <c r="F536">
        <v>91021.7</v>
      </c>
      <c r="G536">
        <v>866526.62</v>
      </c>
    </row>
    <row r="537" spans="1:7" x14ac:dyDescent="0.35">
      <c r="A537" t="s">
        <v>567</v>
      </c>
      <c r="B537">
        <v>1421145.09</v>
      </c>
      <c r="C537">
        <v>568458.04</v>
      </c>
      <c r="D537">
        <v>284229.02</v>
      </c>
      <c r="E537">
        <v>358128.56</v>
      </c>
      <c r="F537">
        <v>142114.51</v>
      </c>
      <c r="G537">
        <v>1352930.13</v>
      </c>
    </row>
    <row r="538" spans="1:7" x14ac:dyDescent="0.35">
      <c r="A538" t="s">
        <v>568</v>
      </c>
      <c r="B538">
        <v>1312646.3999999999</v>
      </c>
      <c r="C538">
        <v>525058.56000000006</v>
      </c>
      <c r="D538">
        <v>262529.28000000003</v>
      </c>
      <c r="E538">
        <v>330786.89</v>
      </c>
      <c r="F538">
        <v>131264.64000000001</v>
      </c>
      <c r="G538">
        <v>1249639.3700000001</v>
      </c>
    </row>
    <row r="539" spans="1:7" x14ac:dyDescent="0.35">
      <c r="A539" t="s">
        <v>569</v>
      </c>
      <c r="B539">
        <v>1897223.8</v>
      </c>
      <c r="C539">
        <v>758889.52</v>
      </c>
      <c r="D539">
        <v>379444.76</v>
      </c>
      <c r="E539">
        <v>478100.4</v>
      </c>
      <c r="F539">
        <v>189722.38</v>
      </c>
      <c r="G539">
        <v>1806157.06</v>
      </c>
    </row>
    <row r="540" spans="1:7" x14ac:dyDescent="0.35">
      <c r="A540" t="s">
        <v>570</v>
      </c>
      <c r="B540">
        <v>1776067.37</v>
      </c>
      <c r="C540">
        <v>710426.95</v>
      </c>
      <c r="D540">
        <v>355213.47</v>
      </c>
      <c r="E540">
        <v>447568.98</v>
      </c>
      <c r="F540">
        <v>177606.74</v>
      </c>
      <c r="G540">
        <v>1690816.14</v>
      </c>
    </row>
    <row r="541" spans="1:7" x14ac:dyDescent="0.35">
      <c r="A541" t="s">
        <v>571</v>
      </c>
      <c r="B541">
        <v>949420.5</v>
      </c>
      <c r="C541">
        <v>379768.2</v>
      </c>
      <c r="D541">
        <v>189884.1</v>
      </c>
      <c r="E541">
        <v>239253.97</v>
      </c>
      <c r="F541">
        <v>94942.05</v>
      </c>
      <c r="G541">
        <v>903848.32</v>
      </c>
    </row>
    <row r="542" spans="1:7" x14ac:dyDescent="0.35">
      <c r="A542" t="s">
        <v>572</v>
      </c>
      <c r="B542">
        <v>746314.11</v>
      </c>
      <c r="C542">
        <v>298525.64</v>
      </c>
      <c r="D542">
        <v>149262.82</v>
      </c>
      <c r="E542">
        <v>188071.16</v>
      </c>
      <c r="F542">
        <v>74631.41</v>
      </c>
      <c r="G542">
        <v>710491.03</v>
      </c>
    </row>
    <row r="543" spans="1:7" x14ac:dyDescent="0.35">
      <c r="A543" t="s">
        <v>573</v>
      </c>
      <c r="B543">
        <v>1395211.8</v>
      </c>
      <c r="C543">
        <v>558084.72</v>
      </c>
      <c r="D543">
        <v>279042.36</v>
      </c>
      <c r="E543">
        <v>351593.37</v>
      </c>
      <c r="F543">
        <v>139521.18</v>
      </c>
      <c r="G543">
        <v>1328241.6299999999</v>
      </c>
    </row>
    <row r="544" spans="1:7" x14ac:dyDescent="0.35">
      <c r="A544" t="s">
        <v>574</v>
      </c>
      <c r="B544">
        <v>1381603.43</v>
      </c>
      <c r="C544">
        <v>552641.37</v>
      </c>
      <c r="D544">
        <v>276320.69</v>
      </c>
      <c r="E544">
        <v>348164.06</v>
      </c>
      <c r="F544">
        <v>138160.34</v>
      </c>
      <c r="G544">
        <v>1315286.47</v>
      </c>
    </row>
    <row r="545" spans="1:7" x14ac:dyDescent="0.35">
      <c r="A545" t="s">
        <v>575</v>
      </c>
      <c r="B545">
        <v>1643336.79</v>
      </c>
      <c r="C545">
        <v>657334.72</v>
      </c>
      <c r="D545">
        <v>328667.36</v>
      </c>
      <c r="E545">
        <v>414120.87</v>
      </c>
      <c r="F545">
        <v>164333.68</v>
      </c>
      <c r="G545">
        <v>1564456.62</v>
      </c>
    </row>
    <row r="546" spans="1:7" x14ac:dyDescent="0.35">
      <c r="A546" t="s">
        <v>576</v>
      </c>
      <c r="B546">
        <v>1163687</v>
      </c>
      <c r="C546">
        <v>465474.8</v>
      </c>
      <c r="D546">
        <v>232737.4</v>
      </c>
      <c r="E546">
        <v>293249.12</v>
      </c>
      <c r="F546">
        <v>116368.7</v>
      </c>
      <c r="G546">
        <v>1107830.02</v>
      </c>
    </row>
    <row r="547" spans="1:7" x14ac:dyDescent="0.35">
      <c r="A547" t="s">
        <v>577</v>
      </c>
      <c r="B547">
        <v>1238841</v>
      </c>
      <c r="C547">
        <v>495536.4</v>
      </c>
      <c r="D547">
        <v>247768.2</v>
      </c>
      <c r="E547">
        <v>312187.93</v>
      </c>
      <c r="F547">
        <v>123884.1</v>
      </c>
      <c r="G547">
        <v>1179376.6299999999</v>
      </c>
    </row>
    <row r="548" spans="1:7" x14ac:dyDescent="0.35">
      <c r="A548" t="s">
        <v>578</v>
      </c>
      <c r="B548">
        <v>1142866</v>
      </c>
      <c r="C548">
        <v>457146.4</v>
      </c>
      <c r="D548">
        <v>228573.2</v>
      </c>
      <c r="E548">
        <v>288002.23</v>
      </c>
      <c r="F548">
        <v>114286.6</v>
      </c>
      <c r="G548">
        <v>1088008.43</v>
      </c>
    </row>
    <row r="549" spans="1:7" x14ac:dyDescent="0.35">
      <c r="A549" t="s">
        <v>579</v>
      </c>
      <c r="B549">
        <v>1512032.7</v>
      </c>
      <c r="C549">
        <v>604813.07999999996</v>
      </c>
      <c r="D549">
        <v>302406.53999999998</v>
      </c>
      <c r="E549">
        <v>381032.24</v>
      </c>
      <c r="F549">
        <v>151203.26999999999</v>
      </c>
      <c r="G549">
        <v>1439455.13</v>
      </c>
    </row>
    <row r="550" spans="1:7" x14ac:dyDescent="0.35">
      <c r="A550" t="s">
        <v>580</v>
      </c>
      <c r="B550">
        <v>916973.4</v>
      </c>
      <c r="C550">
        <v>366789.36</v>
      </c>
      <c r="D550">
        <v>183394.68</v>
      </c>
      <c r="E550">
        <v>231077.3</v>
      </c>
      <c r="F550">
        <v>91697.34</v>
      </c>
      <c r="G550">
        <v>872958.68</v>
      </c>
    </row>
    <row r="551" spans="1:7" x14ac:dyDescent="0.35">
      <c r="A551" t="s">
        <v>581</v>
      </c>
      <c r="B551">
        <v>1472186.4</v>
      </c>
      <c r="C551">
        <v>588874.56000000006</v>
      </c>
      <c r="D551">
        <v>294437.28000000003</v>
      </c>
      <c r="E551">
        <v>370990.97</v>
      </c>
      <c r="F551">
        <v>147218.64000000001</v>
      </c>
      <c r="G551">
        <v>1401521.45</v>
      </c>
    </row>
    <row r="552" spans="1:7" x14ac:dyDescent="0.35">
      <c r="A552" t="s">
        <v>582</v>
      </c>
      <c r="B552">
        <v>1132839.47</v>
      </c>
      <c r="C552">
        <v>453135.79</v>
      </c>
      <c r="D552">
        <v>226567.89</v>
      </c>
      <c r="E552">
        <v>285475.55</v>
      </c>
      <c r="F552">
        <v>113283.95</v>
      </c>
      <c r="G552">
        <v>1078463.18</v>
      </c>
    </row>
    <row r="553" spans="1:7" x14ac:dyDescent="0.35">
      <c r="A553" t="s">
        <v>583</v>
      </c>
      <c r="B553">
        <v>848906</v>
      </c>
      <c r="C553">
        <v>339562.4</v>
      </c>
      <c r="D553">
        <v>169781.2</v>
      </c>
      <c r="E553">
        <v>213924.31</v>
      </c>
      <c r="F553">
        <v>84890.6</v>
      </c>
      <c r="G553">
        <v>808158.51</v>
      </c>
    </row>
    <row r="554" spans="1:7" x14ac:dyDescent="0.35">
      <c r="A554" t="s">
        <v>584</v>
      </c>
      <c r="B554">
        <v>662109.6</v>
      </c>
      <c r="C554">
        <v>264843.84000000003</v>
      </c>
      <c r="D554">
        <v>132421.92000000001</v>
      </c>
      <c r="E554">
        <v>166851.62</v>
      </c>
      <c r="F554">
        <v>66210.960000000006</v>
      </c>
      <c r="G554">
        <v>630328.34</v>
      </c>
    </row>
    <row r="555" spans="1:7" x14ac:dyDescent="0.35">
      <c r="A555" t="s">
        <v>585</v>
      </c>
      <c r="B555">
        <v>1127181.6499999999</v>
      </c>
      <c r="C555">
        <v>450872.66</v>
      </c>
      <c r="D555">
        <v>225436.33</v>
      </c>
      <c r="E555">
        <v>284049.78000000003</v>
      </c>
      <c r="F555">
        <v>112718.17</v>
      </c>
      <c r="G555">
        <v>1073076.93</v>
      </c>
    </row>
    <row r="556" spans="1:7" x14ac:dyDescent="0.35">
      <c r="A556" t="s">
        <v>586</v>
      </c>
      <c r="B556">
        <v>1026566</v>
      </c>
      <c r="C556">
        <v>410626.4</v>
      </c>
      <c r="D556">
        <v>205313.2</v>
      </c>
      <c r="E556">
        <v>258694.63</v>
      </c>
      <c r="F556">
        <v>102656.6</v>
      </c>
      <c r="G556">
        <v>977290.83</v>
      </c>
    </row>
    <row r="557" spans="1:7" x14ac:dyDescent="0.35">
      <c r="A557" t="s">
        <v>587</v>
      </c>
      <c r="B557">
        <v>716643</v>
      </c>
      <c r="C557">
        <v>286657.2</v>
      </c>
      <c r="D557">
        <v>143328.6</v>
      </c>
      <c r="E557">
        <v>180594.04</v>
      </c>
      <c r="F557">
        <v>71664.3</v>
      </c>
      <c r="G557">
        <v>682244.14</v>
      </c>
    </row>
    <row r="558" spans="1:7" x14ac:dyDescent="0.35">
      <c r="A558" t="s">
        <v>588</v>
      </c>
      <c r="B558">
        <v>1082664</v>
      </c>
      <c r="C558">
        <v>433065.6</v>
      </c>
      <c r="D558">
        <v>216532.8</v>
      </c>
      <c r="E558">
        <v>272831.33</v>
      </c>
      <c r="F558">
        <v>108266.4</v>
      </c>
      <c r="G558">
        <v>1030696.13</v>
      </c>
    </row>
    <row r="559" spans="1:7" x14ac:dyDescent="0.35">
      <c r="A559" t="s">
        <v>589</v>
      </c>
      <c r="B559">
        <v>727216.45</v>
      </c>
      <c r="C559">
        <v>290886.58</v>
      </c>
      <c r="D559">
        <v>145443.29</v>
      </c>
      <c r="E559">
        <v>183258.55</v>
      </c>
      <c r="F559">
        <v>72721.649999999994</v>
      </c>
      <c r="G559">
        <v>692310.06</v>
      </c>
    </row>
    <row r="560" spans="1:7" x14ac:dyDescent="0.35">
      <c r="A560" t="s">
        <v>590</v>
      </c>
      <c r="B560">
        <v>1260778</v>
      </c>
      <c r="C560">
        <v>504311.2</v>
      </c>
      <c r="D560">
        <v>252155.6</v>
      </c>
      <c r="E560">
        <v>317716.06</v>
      </c>
      <c r="F560">
        <v>126077.8</v>
      </c>
      <c r="G560">
        <v>1200260.6599999999</v>
      </c>
    </row>
    <row r="561" spans="1:7" x14ac:dyDescent="0.35">
      <c r="A561" t="s">
        <v>591</v>
      </c>
      <c r="B561">
        <v>1562371.4</v>
      </c>
      <c r="C561">
        <v>624948.56000000006</v>
      </c>
      <c r="D561">
        <v>312474.28000000003</v>
      </c>
      <c r="E561">
        <v>393717.59</v>
      </c>
      <c r="F561">
        <v>156237.14000000001</v>
      </c>
      <c r="G561">
        <v>1487377.57</v>
      </c>
    </row>
    <row r="562" spans="1:7" x14ac:dyDescent="0.35">
      <c r="A562" t="s">
        <v>592</v>
      </c>
      <c r="B562">
        <v>1583356.2</v>
      </c>
      <c r="C562">
        <v>633342.48</v>
      </c>
      <c r="D562">
        <v>316671.24</v>
      </c>
      <c r="E562">
        <v>399005.76</v>
      </c>
      <c r="F562">
        <v>158335.62</v>
      </c>
      <c r="G562">
        <v>1507355.1</v>
      </c>
    </row>
    <row r="563" spans="1:7" x14ac:dyDescent="0.35">
      <c r="A563" t="s">
        <v>593</v>
      </c>
      <c r="B563">
        <v>1246344.33</v>
      </c>
      <c r="C563">
        <v>498537.73</v>
      </c>
      <c r="D563">
        <v>249268.87</v>
      </c>
      <c r="E563">
        <v>314078.77</v>
      </c>
      <c r="F563">
        <v>124634.43</v>
      </c>
      <c r="G563">
        <v>1186519.8</v>
      </c>
    </row>
    <row r="564" spans="1:7" x14ac:dyDescent="0.35">
      <c r="A564" t="s">
        <v>594</v>
      </c>
      <c r="B564">
        <v>678208.2</v>
      </c>
      <c r="C564">
        <v>271283.28000000003</v>
      </c>
      <c r="D564">
        <v>135641.64000000001</v>
      </c>
      <c r="E564">
        <v>170908.47</v>
      </c>
      <c r="F564">
        <v>67820.820000000007</v>
      </c>
      <c r="G564">
        <v>645654.21</v>
      </c>
    </row>
    <row r="565" spans="1:7" x14ac:dyDescent="0.35">
      <c r="A565" t="s">
        <v>595</v>
      </c>
      <c r="B565">
        <v>973556</v>
      </c>
      <c r="C565">
        <v>389422.4</v>
      </c>
      <c r="D565">
        <v>194711.2</v>
      </c>
      <c r="E565">
        <v>245336.11</v>
      </c>
      <c r="F565">
        <v>97355.6</v>
      </c>
      <c r="G565">
        <v>926825.31</v>
      </c>
    </row>
    <row r="566" spans="1:7" x14ac:dyDescent="0.35">
      <c r="A566" t="s">
        <v>596</v>
      </c>
      <c r="B566">
        <v>1140953.04</v>
      </c>
      <c r="C566">
        <v>456381.22</v>
      </c>
      <c r="D566">
        <v>228190.61</v>
      </c>
      <c r="E566">
        <v>287520.17</v>
      </c>
      <c r="F566">
        <v>114095.3</v>
      </c>
      <c r="G566">
        <v>1086187.29</v>
      </c>
    </row>
    <row r="567" spans="1:7" x14ac:dyDescent="0.35">
      <c r="A567" t="s">
        <v>597</v>
      </c>
      <c r="B567">
        <v>1252600.8</v>
      </c>
      <c r="C567">
        <v>501040.32</v>
      </c>
      <c r="D567">
        <v>250520.16</v>
      </c>
      <c r="E567">
        <v>315655.40000000002</v>
      </c>
      <c r="F567">
        <v>125260.08</v>
      </c>
      <c r="G567">
        <v>1192475.96</v>
      </c>
    </row>
    <row r="568" spans="1:7" x14ac:dyDescent="0.35">
      <c r="A568" t="s">
        <v>598</v>
      </c>
      <c r="B568">
        <v>1105375.6000000001</v>
      </c>
      <c r="C568">
        <v>442150.24</v>
      </c>
      <c r="D568">
        <v>221075.12</v>
      </c>
      <c r="E568">
        <v>278554.65000000002</v>
      </c>
      <c r="F568">
        <v>110537.56</v>
      </c>
      <c r="G568">
        <v>1052317.57</v>
      </c>
    </row>
    <row r="569" spans="1:7" x14ac:dyDescent="0.35">
      <c r="A569" t="s">
        <v>599</v>
      </c>
      <c r="B569">
        <v>1460302.8</v>
      </c>
      <c r="C569">
        <v>584121.12</v>
      </c>
      <c r="D569">
        <v>292060.56</v>
      </c>
      <c r="E569">
        <v>367996.31</v>
      </c>
      <c r="F569">
        <v>146030.28</v>
      </c>
      <c r="G569">
        <v>1390208.27</v>
      </c>
    </row>
    <row r="570" spans="1:7" x14ac:dyDescent="0.35">
      <c r="A570" t="s">
        <v>600</v>
      </c>
      <c r="B570">
        <v>2179300.38</v>
      </c>
      <c r="C570">
        <v>871720.15</v>
      </c>
      <c r="D570">
        <v>435860.08</v>
      </c>
      <c r="E570">
        <v>549183.69999999995</v>
      </c>
      <c r="F570">
        <v>217930.04</v>
      </c>
      <c r="G570">
        <v>2074693.96</v>
      </c>
    </row>
    <row r="571" spans="1:7" x14ac:dyDescent="0.35">
      <c r="A571" t="s">
        <v>601</v>
      </c>
      <c r="B571">
        <v>1885892.12</v>
      </c>
      <c r="C571">
        <v>754356.85</v>
      </c>
      <c r="D571">
        <v>377178.42</v>
      </c>
      <c r="E571">
        <v>475244.81</v>
      </c>
      <c r="F571">
        <v>188589.21</v>
      </c>
      <c r="G571">
        <v>1795369.3</v>
      </c>
    </row>
    <row r="572" spans="1:7" x14ac:dyDescent="0.35">
      <c r="A572" t="s">
        <v>602</v>
      </c>
      <c r="B572">
        <v>805047.48</v>
      </c>
      <c r="C572">
        <v>322018.99</v>
      </c>
      <c r="D572">
        <v>161009.5</v>
      </c>
      <c r="E572">
        <v>202871.96</v>
      </c>
      <c r="F572">
        <v>80504.75</v>
      </c>
      <c r="G572">
        <v>766405.2</v>
      </c>
    </row>
    <row r="573" spans="1:7" x14ac:dyDescent="0.35">
      <c r="A573" t="s">
        <v>603</v>
      </c>
      <c r="B573">
        <v>899459.4</v>
      </c>
      <c r="C573">
        <v>359783.76</v>
      </c>
      <c r="D573">
        <v>179891.88</v>
      </c>
      <c r="E573">
        <v>226663.77</v>
      </c>
      <c r="F573">
        <v>89945.94</v>
      </c>
      <c r="G573">
        <v>856285.35</v>
      </c>
    </row>
    <row r="574" spans="1:7" x14ac:dyDescent="0.35">
      <c r="A574" t="s">
        <v>604</v>
      </c>
      <c r="B574">
        <v>765736.1</v>
      </c>
      <c r="C574">
        <v>306294.44</v>
      </c>
      <c r="D574">
        <v>153147.22</v>
      </c>
      <c r="E574">
        <v>192965.5</v>
      </c>
      <c r="F574">
        <v>76573.61</v>
      </c>
      <c r="G574">
        <v>728980.77</v>
      </c>
    </row>
    <row r="575" spans="1:7" x14ac:dyDescent="0.35">
      <c r="A575" t="s">
        <v>605</v>
      </c>
      <c r="B575">
        <v>874332</v>
      </c>
      <c r="C575">
        <v>349732.8</v>
      </c>
      <c r="D575">
        <v>174866.4</v>
      </c>
      <c r="E575">
        <v>220331.66</v>
      </c>
      <c r="F575">
        <v>87433.2</v>
      </c>
      <c r="G575">
        <v>832364.06</v>
      </c>
    </row>
    <row r="576" spans="1:7" x14ac:dyDescent="0.35">
      <c r="A576" t="s">
        <v>606</v>
      </c>
      <c r="B576">
        <v>1163517.6000000001</v>
      </c>
      <c r="C576">
        <v>465407.04</v>
      </c>
      <c r="D576">
        <v>232703.52</v>
      </c>
      <c r="E576">
        <v>293206.44</v>
      </c>
      <c r="F576">
        <v>116351.76</v>
      </c>
      <c r="G576">
        <v>1107668.76</v>
      </c>
    </row>
    <row r="577" spans="1:7" x14ac:dyDescent="0.35">
      <c r="A577" t="s">
        <v>607</v>
      </c>
      <c r="B577">
        <v>1788835.37</v>
      </c>
      <c r="C577">
        <v>715534.15</v>
      </c>
      <c r="D577">
        <v>357767.07</v>
      </c>
      <c r="E577">
        <v>450786.51</v>
      </c>
      <c r="F577">
        <v>178883.54</v>
      </c>
      <c r="G577">
        <v>1702971.27</v>
      </c>
    </row>
    <row r="578" spans="1:7" x14ac:dyDescent="0.35">
      <c r="A578" t="s">
        <v>608</v>
      </c>
      <c r="B578">
        <v>872123.8</v>
      </c>
      <c r="C578">
        <v>348849.52</v>
      </c>
      <c r="D578">
        <v>174424.76</v>
      </c>
      <c r="E578">
        <v>219775.2</v>
      </c>
      <c r="F578">
        <v>87212.38</v>
      </c>
      <c r="G578">
        <v>830261.86</v>
      </c>
    </row>
    <row r="579" spans="1:7" x14ac:dyDescent="0.35">
      <c r="A579" t="s">
        <v>609</v>
      </c>
      <c r="B579">
        <v>879603.48</v>
      </c>
      <c r="C579">
        <v>351841.39</v>
      </c>
      <c r="D579">
        <v>175920.7</v>
      </c>
      <c r="E579">
        <v>221660.08</v>
      </c>
      <c r="F579">
        <v>87960.35</v>
      </c>
      <c r="G579">
        <v>837382.51</v>
      </c>
    </row>
    <row r="580" spans="1:7" x14ac:dyDescent="0.35">
      <c r="A580" t="s">
        <v>610</v>
      </c>
      <c r="B580">
        <v>619608.05000000005</v>
      </c>
      <c r="C580">
        <v>247843.22</v>
      </c>
      <c r="D580">
        <v>123921.61</v>
      </c>
      <c r="E580">
        <v>156141.23000000001</v>
      </c>
      <c r="F580">
        <v>61960.800000000003</v>
      </c>
      <c r="G580">
        <v>589866.86</v>
      </c>
    </row>
    <row r="581" spans="1:7" x14ac:dyDescent="0.35">
      <c r="A581" t="s">
        <v>611</v>
      </c>
      <c r="B581">
        <v>937014</v>
      </c>
      <c r="C581">
        <v>374805.6</v>
      </c>
      <c r="D581">
        <v>187402.8</v>
      </c>
      <c r="E581">
        <v>236127.53</v>
      </c>
      <c r="F581">
        <v>93701.4</v>
      </c>
      <c r="G581">
        <v>892037.33</v>
      </c>
    </row>
    <row r="582" spans="1:7" x14ac:dyDescent="0.35">
      <c r="A582" t="s">
        <v>612</v>
      </c>
      <c r="B582">
        <v>1982787.18</v>
      </c>
      <c r="C582">
        <v>793114.87</v>
      </c>
      <c r="D582">
        <v>396557.44</v>
      </c>
      <c r="E582">
        <v>499662.37</v>
      </c>
      <c r="F582">
        <v>198278.72</v>
      </c>
      <c r="G582">
        <v>1887613.4</v>
      </c>
    </row>
    <row r="583" spans="1:7" x14ac:dyDescent="0.35">
      <c r="A583" t="s">
        <v>613</v>
      </c>
      <c r="B583">
        <v>779317</v>
      </c>
      <c r="C583">
        <v>311726.8</v>
      </c>
      <c r="D583">
        <v>155863.4</v>
      </c>
      <c r="E583">
        <v>196387.88</v>
      </c>
      <c r="F583">
        <v>77931.7</v>
      </c>
      <c r="G583">
        <v>741909.78</v>
      </c>
    </row>
    <row r="584" spans="1:7" x14ac:dyDescent="0.35">
      <c r="A584" t="s">
        <v>614</v>
      </c>
      <c r="B584">
        <v>1570927.5</v>
      </c>
      <c r="C584">
        <v>628371</v>
      </c>
      <c r="D584">
        <v>314185.5</v>
      </c>
      <c r="E584">
        <v>395873.73</v>
      </c>
      <c r="F584">
        <v>157092.75</v>
      </c>
      <c r="G584">
        <v>1495522.98</v>
      </c>
    </row>
    <row r="585" spans="1:7" x14ac:dyDescent="0.35">
      <c r="A585" t="s">
        <v>615</v>
      </c>
      <c r="B585">
        <v>1196813.6000000001</v>
      </c>
      <c r="C585">
        <v>478725.44</v>
      </c>
      <c r="D585">
        <v>239362.72</v>
      </c>
      <c r="E585">
        <v>301597.03000000003</v>
      </c>
      <c r="F585">
        <v>119681.36</v>
      </c>
      <c r="G585">
        <v>1139366.55</v>
      </c>
    </row>
    <row r="586" spans="1:7" x14ac:dyDescent="0.35">
      <c r="A586" t="s">
        <v>616</v>
      </c>
      <c r="B586">
        <v>1097278</v>
      </c>
      <c r="C586">
        <v>438911.2</v>
      </c>
      <c r="D586">
        <v>219455.6</v>
      </c>
      <c r="E586">
        <v>276514.06</v>
      </c>
      <c r="F586">
        <v>109727.8</v>
      </c>
      <c r="G586">
        <v>1044608.66</v>
      </c>
    </row>
    <row r="587" spans="1:7" x14ac:dyDescent="0.35">
      <c r="A587" t="s">
        <v>617</v>
      </c>
      <c r="B587">
        <v>1329658.3999999999</v>
      </c>
      <c r="C587">
        <v>531863.36</v>
      </c>
      <c r="D587">
        <v>265931.68</v>
      </c>
      <c r="E587">
        <v>335073.91999999998</v>
      </c>
      <c r="F587">
        <v>132965.84</v>
      </c>
      <c r="G587">
        <v>1265834.8</v>
      </c>
    </row>
    <row r="588" spans="1:7" x14ac:dyDescent="0.35">
      <c r="A588" t="s">
        <v>618</v>
      </c>
      <c r="B588">
        <v>655514.25</v>
      </c>
      <c r="C588">
        <v>262205.7</v>
      </c>
      <c r="D588">
        <v>131102.85</v>
      </c>
      <c r="E588">
        <v>165189.59</v>
      </c>
      <c r="F588">
        <v>65551.429999999993</v>
      </c>
      <c r="G588">
        <v>624049.56999999995</v>
      </c>
    </row>
    <row r="589" spans="1:7" x14ac:dyDescent="0.35">
      <c r="A589" t="s">
        <v>619</v>
      </c>
      <c r="B589">
        <v>495180</v>
      </c>
      <c r="C589">
        <v>198072</v>
      </c>
      <c r="D589">
        <v>99036</v>
      </c>
      <c r="E589">
        <v>124785.36</v>
      </c>
      <c r="F589">
        <v>49518</v>
      </c>
      <c r="G589">
        <v>471411.36</v>
      </c>
    </row>
    <row r="590" spans="1:7" x14ac:dyDescent="0.35">
      <c r="A590" t="s">
        <v>620</v>
      </c>
      <c r="B590">
        <v>1945314.33</v>
      </c>
      <c r="C590">
        <v>778125.73</v>
      </c>
      <c r="D590">
        <v>389062.87</v>
      </c>
      <c r="E590">
        <v>490219.21</v>
      </c>
      <c r="F590">
        <v>194531.43</v>
      </c>
      <c r="G590">
        <v>1851939.25</v>
      </c>
    </row>
    <row r="591" spans="1:7" x14ac:dyDescent="0.35">
      <c r="A591" t="s">
        <v>621</v>
      </c>
      <c r="B591">
        <v>684811.2</v>
      </c>
      <c r="C591">
        <v>273924.47999999998</v>
      </c>
      <c r="D591">
        <v>136962.23999999999</v>
      </c>
      <c r="E591">
        <v>172572.42</v>
      </c>
      <c r="F591">
        <v>68481.119999999995</v>
      </c>
      <c r="G591">
        <v>651940.26</v>
      </c>
    </row>
    <row r="592" spans="1:7" x14ac:dyDescent="0.35">
      <c r="A592" t="s">
        <v>622</v>
      </c>
      <c r="B592">
        <v>1053575</v>
      </c>
      <c r="C592">
        <v>421430</v>
      </c>
      <c r="D592">
        <v>210715</v>
      </c>
      <c r="E592">
        <v>265500.90000000002</v>
      </c>
      <c r="F592">
        <v>105357.5</v>
      </c>
      <c r="G592">
        <v>1003003.4</v>
      </c>
    </row>
    <row r="593" spans="1:7" x14ac:dyDescent="0.35">
      <c r="A593" t="s">
        <v>623</v>
      </c>
      <c r="B593">
        <v>1664780.6</v>
      </c>
      <c r="C593">
        <v>665912.24</v>
      </c>
      <c r="D593">
        <v>332956.12</v>
      </c>
      <c r="E593">
        <v>419524.71</v>
      </c>
      <c r="F593">
        <v>166478.06</v>
      </c>
      <c r="G593">
        <v>1584871.13</v>
      </c>
    </row>
    <row r="594" spans="1:7" x14ac:dyDescent="0.35">
      <c r="A594" t="s">
        <v>624</v>
      </c>
      <c r="B594">
        <v>1767502.17</v>
      </c>
      <c r="C594">
        <v>707000.87</v>
      </c>
      <c r="D594">
        <v>353500.43</v>
      </c>
      <c r="E594">
        <v>445410.55</v>
      </c>
      <c r="F594">
        <v>176750.22</v>
      </c>
      <c r="G594">
        <v>1682662.07</v>
      </c>
    </row>
    <row r="595" spans="1:7" x14ac:dyDescent="0.35">
      <c r="A595" t="s">
        <v>625</v>
      </c>
      <c r="B595">
        <v>1012884.39</v>
      </c>
      <c r="C595">
        <v>405153.76</v>
      </c>
      <c r="D595">
        <v>202576.88</v>
      </c>
      <c r="E595">
        <v>255246.87</v>
      </c>
      <c r="F595">
        <v>101288.44</v>
      </c>
      <c r="G595">
        <v>964265.94</v>
      </c>
    </row>
    <row r="596" spans="1:7" x14ac:dyDescent="0.35">
      <c r="A596" t="s">
        <v>626</v>
      </c>
      <c r="B596">
        <v>726648.16</v>
      </c>
      <c r="C596">
        <v>290659.26</v>
      </c>
      <c r="D596">
        <v>145329.63</v>
      </c>
      <c r="E596">
        <v>183115.34</v>
      </c>
      <c r="F596">
        <v>72664.820000000007</v>
      </c>
      <c r="G596">
        <v>691769.05</v>
      </c>
    </row>
    <row r="597" spans="1:7" x14ac:dyDescent="0.35">
      <c r="A597" t="s">
        <v>627</v>
      </c>
      <c r="B597">
        <v>983834.82</v>
      </c>
      <c r="C597">
        <v>393533.93</v>
      </c>
      <c r="D597">
        <v>196766.96</v>
      </c>
      <c r="E597">
        <v>247926.37</v>
      </c>
      <c r="F597">
        <v>98383.48</v>
      </c>
      <c r="G597">
        <v>936610.75</v>
      </c>
    </row>
    <row r="598" spans="1:7" x14ac:dyDescent="0.35">
      <c r="A598" t="s">
        <v>628</v>
      </c>
      <c r="B598">
        <v>1274137.3400000001</v>
      </c>
      <c r="C598">
        <v>509654.94</v>
      </c>
      <c r="D598">
        <v>254827.47</v>
      </c>
      <c r="E598">
        <v>321082.61</v>
      </c>
      <c r="F598">
        <v>127413.73</v>
      </c>
      <c r="G598">
        <v>1212978.75</v>
      </c>
    </row>
    <row r="599" spans="1:7" x14ac:dyDescent="0.35">
      <c r="A599" t="s">
        <v>629</v>
      </c>
      <c r="B599">
        <v>522542.75</v>
      </c>
      <c r="C599">
        <v>209017.1</v>
      </c>
      <c r="D599">
        <v>104508.55</v>
      </c>
      <c r="E599">
        <v>131680.76999999999</v>
      </c>
      <c r="F599">
        <v>52254.28</v>
      </c>
      <c r="G599">
        <v>497460.7</v>
      </c>
    </row>
    <row r="600" spans="1:7" x14ac:dyDescent="0.35">
      <c r="A600" t="s">
        <v>630</v>
      </c>
      <c r="B600">
        <v>1317790.6000000001</v>
      </c>
      <c r="C600">
        <v>527116.24</v>
      </c>
      <c r="D600">
        <v>263558.12</v>
      </c>
      <c r="E600">
        <v>332083.23</v>
      </c>
      <c r="F600">
        <v>131779.06</v>
      </c>
      <c r="G600">
        <v>1254536.6499999999</v>
      </c>
    </row>
    <row r="601" spans="1:7" x14ac:dyDescent="0.35">
      <c r="A601" t="s">
        <v>631</v>
      </c>
      <c r="B601">
        <v>808558.87</v>
      </c>
      <c r="C601">
        <v>323423.55</v>
      </c>
      <c r="D601">
        <v>161711.76999999999</v>
      </c>
      <c r="E601">
        <v>203756.84</v>
      </c>
      <c r="F601">
        <v>80855.89</v>
      </c>
      <c r="G601">
        <v>769748.04</v>
      </c>
    </row>
    <row r="602" spans="1:7" x14ac:dyDescent="0.35">
      <c r="A602" t="s">
        <v>632</v>
      </c>
      <c r="B602">
        <v>662849</v>
      </c>
      <c r="C602">
        <v>265139.59999999998</v>
      </c>
      <c r="D602">
        <v>132569.79999999999</v>
      </c>
      <c r="E602">
        <v>167037.95000000001</v>
      </c>
      <c r="F602">
        <v>66284.899999999994</v>
      </c>
      <c r="G602">
        <v>631032.25</v>
      </c>
    </row>
    <row r="603" spans="1:7" x14ac:dyDescent="0.35">
      <c r="A603" t="s">
        <v>633</v>
      </c>
      <c r="B603">
        <v>1324364.6000000001</v>
      </c>
      <c r="C603">
        <v>529745.84</v>
      </c>
      <c r="D603">
        <v>264872.92</v>
      </c>
      <c r="E603">
        <v>333739.88</v>
      </c>
      <c r="F603">
        <v>132436.46</v>
      </c>
      <c r="G603">
        <v>1260795.1000000001</v>
      </c>
    </row>
    <row r="604" spans="1:7" x14ac:dyDescent="0.35">
      <c r="A604" t="s">
        <v>634</v>
      </c>
      <c r="B604">
        <v>1081909.02</v>
      </c>
      <c r="C604">
        <v>432763.61</v>
      </c>
      <c r="D604">
        <v>216381.8</v>
      </c>
      <c r="E604">
        <v>272641.07</v>
      </c>
      <c r="F604">
        <v>108190.9</v>
      </c>
      <c r="G604">
        <v>1029977.39</v>
      </c>
    </row>
    <row r="605" spans="1:7" x14ac:dyDescent="0.35">
      <c r="A605" t="s">
        <v>635</v>
      </c>
      <c r="B605">
        <v>985067.16</v>
      </c>
      <c r="C605">
        <v>394026.86</v>
      </c>
      <c r="D605">
        <v>197013.43</v>
      </c>
      <c r="E605">
        <v>248236.92</v>
      </c>
      <c r="F605">
        <v>98506.72</v>
      </c>
      <c r="G605">
        <v>937783.94</v>
      </c>
    </row>
    <row r="606" spans="1:7" x14ac:dyDescent="0.35">
      <c r="A606" t="s">
        <v>636</v>
      </c>
      <c r="B606">
        <v>2234158.7000000002</v>
      </c>
      <c r="C606">
        <v>893663.48</v>
      </c>
      <c r="D606">
        <v>446831.74</v>
      </c>
      <c r="E606">
        <v>563007.99</v>
      </c>
      <c r="F606">
        <v>223415.87</v>
      </c>
      <c r="G606">
        <v>2126919.08</v>
      </c>
    </row>
    <row r="607" spans="1:7" x14ac:dyDescent="0.35">
      <c r="A607" t="s">
        <v>637</v>
      </c>
      <c r="B607">
        <v>1280519.82</v>
      </c>
      <c r="C607">
        <v>512207.93</v>
      </c>
      <c r="D607">
        <v>256103.96</v>
      </c>
      <c r="E607">
        <v>322690.99</v>
      </c>
      <c r="F607">
        <v>128051.98</v>
      </c>
      <c r="G607">
        <v>1219054.8700000001</v>
      </c>
    </row>
    <row r="608" spans="1:7" x14ac:dyDescent="0.35">
      <c r="A608" t="s">
        <v>638</v>
      </c>
      <c r="B608">
        <v>1348082.4</v>
      </c>
      <c r="C608">
        <v>539232.96</v>
      </c>
      <c r="D608">
        <v>269616.48</v>
      </c>
      <c r="E608">
        <v>339716.76</v>
      </c>
      <c r="F608">
        <v>134808.24</v>
      </c>
      <c r="G608">
        <v>1283374.44</v>
      </c>
    </row>
    <row r="609" spans="1:7" x14ac:dyDescent="0.35">
      <c r="A609" t="s">
        <v>639</v>
      </c>
      <c r="B609">
        <v>954265.2</v>
      </c>
      <c r="C609">
        <v>381706.08</v>
      </c>
      <c r="D609">
        <v>190853.04</v>
      </c>
      <c r="E609">
        <v>240474.83</v>
      </c>
      <c r="F609">
        <v>95426.52</v>
      </c>
      <c r="G609">
        <v>908460.47</v>
      </c>
    </row>
    <row r="610" spans="1:7" x14ac:dyDescent="0.35">
      <c r="A610" t="s">
        <v>640</v>
      </c>
      <c r="B610">
        <v>921273.9</v>
      </c>
      <c r="C610">
        <v>368509.56</v>
      </c>
      <c r="D610">
        <v>184254.78</v>
      </c>
      <c r="E610">
        <v>232161.02</v>
      </c>
      <c r="F610">
        <v>92127.39</v>
      </c>
      <c r="G610">
        <v>877052.75</v>
      </c>
    </row>
    <row r="611" spans="1:7" x14ac:dyDescent="0.35">
      <c r="A611" t="s">
        <v>641</v>
      </c>
      <c r="B611">
        <v>1033220</v>
      </c>
      <c r="C611">
        <v>413288</v>
      </c>
      <c r="D611">
        <v>206644</v>
      </c>
      <c r="E611">
        <v>260371.44</v>
      </c>
      <c r="F611">
        <v>103322</v>
      </c>
      <c r="G611">
        <v>983625.44</v>
      </c>
    </row>
    <row r="612" spans="1:7" x14ac:dyDescent="0.35">
      <c r="A612" t="s">
        <v>642</v>
      </c>
      <c r="B612">
        <v>581996.03</v>
      </c>
      <c r="C612">
        <v>232798.41</v>
      </c>
      <c r="D612">
        <v>116399.21</v>
      </c>
      <c r="E612">
        <v>146663</v>
      </c>
      <c r="F612">
        <v>58199.6</v>
      </c>
      <c r="G612">
        <v>554060.22</v>
      </c>
    </row>
    <row r="613" spans="1:7" x14ac:dyDescent="0.35">
      <c r="A613" t="s">
        <v>643</v>
      </c>
      <c r="B613">
        <v>1812308.8</v>
      </c>
      <c r="C613">
        <v>724923.52</v>
      </c>
      <c r="D613">
        <v>362461.76</v>
      </c>
      <c r="E613">
        <v>456701.82</v>
      </c>
      <c r="F613">
        <v>181230.88</v>
      </c>
      <c r="G613">
        <v>1725317.98</v>
      </c>
    </row>
    <row r="614" spans="1:7" x14ac:dyDescent="0.35">
      <c r="A614" t="s">
        <v>644</v>
      </c>
      <c r="B614">
        <v>987479.78</v>
      </c>
      <c r="C614">
        <v>394991.91</v>
      </c>
      <c r="D614">
        <v>197495.96</v>
      </c>
      <c r="E614">
        <v>248844.9</v>
      </c>
      <c r="F614">
        <v>98747.98</v>
      </c>
      <c r="G614">
        <v>940080.75</v>
      </c>
    </row>
    <row r="615" spans="1:7" x14ac:dyDescent="0.35">
      <c r="A615" t="s">
        <v>645</v>
      </c>
      <c r="B615">
        <v>1030888.7</v>
      </c>
      <c r="C615">
        <v>412355.48</v>
      </c>
      <c r="D615">
        <v>206177.74</v>
      </c>
      <c r="E615">
        <v>259783.95</v>
      </c>
      <c r="F615">
        <v>103088.87</v>
      </c>
      <c r="G615">
        <v>981406.04</v>
      </c>
    </row>
    <row r="616" spans="1:7" x14ac:dyDescent="0.35">
      <c r="A616" t="s">
        <v>646</v>
      </c>
      <c r="B616">
        <v>570929.1</v>
      </c>
      <c r="C616">
        <v>228371.64</v>
      </c>
      <c r="D616">
        <v>114185.82</v>
      </c>
      <c r="E616">
        <v>143874.13</v>
      </c>
      <c r="F616">
        <v>57092.91</v>
      </c>
      <c r="G616">
        <v>543524.5</v>
      </c>
    </row>
    <row r="617" spans="1:7" x14ac:dyDescent="0.35">
      <c r="A617" t="s">
        <v>647</v>
      </c>
      <c r="B617">
        <v>1239959</v>
      </c>
      <c r="C617">
        <v>495983.6</v>
      </c>
      <c r="D617">
        <v>247991.8</v>
      </c>
      <c r="E617">
        <v>312469.67</v>
      </c>
      <c r="F617">
        <v>123995.9</v>
      </c>
      <c r="G617">
        <v>1180440.97</v>
      </c>
    </row>
    <row r="618" spans="1:7" x14ac:dyDescent="0.35">
      <c r="A618" t="s">
        <v>648</v>
      </c>
      <c r="B618">
        <v>604903.94999999995</v>
      </c>
      <c r="C618">
        <v>241961.58</v>
      </c>
      <c r="D618">
        <v>120980.79</v>
      </c>
      <c r="E618">
        <v>152435.79999999999</v>
      </c>
      <c r="F618">
        <v>60490.39</v>
      </c>
      <c r="G618">
        <v>575868.56000000006</v>
      </c>
    </row>
    <row r="619" spans="1:7" x14ac:dyDescent="0.35">
      <c r="A619" t="s">
        <v>649</v>
      </c>
      <c r="B619">
        <v>831699</v>
      </c>
      <c r="C619">
        <v>332679.59999999998</v>
      </c>
      <c r="D619">
        <v>166339.79999999999</v>
      </c>
      <c r="E619">
        <v>209588.15</v>
      </c>
      <c r="F619">
        <v>83169.899999999994</v>
      </c>
      <c r="G619">
        <v>791777.45</v>
      </c>
    </row>
    <row r="620" spans="1:7" x14ac:dyDescent="0.35">
      <c r="A620" t="s">
        <v>650</v>
      </c>
      <c r="B620">
        <v>604985.46</v>
      </c>
      <c r="C620">
        <v>241994.18</v>
      </c>
      <c r="D620">
        <v>120997.09</v>
      </c>
      <c r="E620">
        <v>152456.34</v>
      </c>
      <c r="F620">
        <v>60498.55</v>
      </c>
      <c r="G620">
        <v>575946.16</v>
      </c>
    </row>
    <row r="621" spans="1:7" x14ac:dyDescent="0.35">
      <c r="A621" t="s">
        <v>651</v>
      </c>
      <c r="B621">
        <v>1699920.1</v>
      </c>
      <c r="C621">
        <v>679968.04</v>
      </c>
      <c r="D621">
        <v>339984.02</v>
      </c>
      <c r="E621">
        <v>428379.87</v>
      </c>
      <c r="F621">
        <v>169992.01</v>
      </c>
      <c r="G621">
        <v>1618323.94</v>
      </c>
    </row>
    <row r="622" spans="1:7" x14ac:dyDescent="0.35">
      <c r="A622" t="s">
        <v>652</v>
      </c>
      <c r="B622">
        <v>1047263.28</v>
      </c>
      <c r="C622">
        <v>418905.31</v>
      </c>
      <c r="D622">
        <v>209452.66</v>
      </c>
      <c r="E622">
        <v>263910.34999999998</v>
      </c>
      <c r="F622">
        <v>104726.33</v>
      </c>
      <c r="G622">
        <v>996994.64</v>
      </c>
    </row>
    <row r="623" spans="1:7" x14ac:dyDescent="0.35">
      <c r="A623" t="s">
        <v>653</v>
      </c>
      <c r="B623">
        <v>1060831</v>
      </c>
      <c r="C623">
        <v>424332.4</v>
      </c>
      <c r="D623">
        <v>212166.2</v>
      </c>
      <c r="E623">
        <v>267329.40999999997</v>
      </c>
      <c r="F623">
        <v>106083.1</v>
      </c>
      <c r="G623">
        <v>1009911.11</v>
      </c>
    </row>
    <row r="624" spans="1:7" x14ac:dyDescent="0.35">
      <c r="A624" t="s">
        <v>654</v>
      </c>
      <c r="B624">
        <v>920319.06</v>
      </c>
      <c r="C624">
        <v>368127.62</v>
      </c>
      <c r="D624">
        <v>184063.81</v>
      </c>
      <c r="E624">
        <v>231920.4</v>
      </c>
      <c r="F624">
        <v>92031.91</v>
      </c>
      <c r="G624">
        <v>876143.74</v>
      </c>
    </row>
    <row r="625" spans="1:7" x14ac:dyDescent="0.35">
      <c r="A625" t="s">
        <v>655</v>
      </c>
      <c r="B625">
        <v>1452181.2</v>
      </c>
      <c r="C625">
        <v>580872.48</v>
      </c>
      <c r="D625">
        <v>290436.24</v>
      </c>
      <c r="E625">
        <v>365949.66</v>
      </c>
      <c r="F625">
        <v>145218.12</v>
      </c>
      <c r="G625">
        <v>1382476.5</v>
      </c>
    </row>
    <row r="626" spans="1:7" x14ac:dyDescent="0.35">
      <c r="A626" t="s">
        <v>656</v>
      </c>
      <c r="B626">
        <v>1771289.5</v>
      </c>
      <c r="C626">
        <v>708515.8</v>
      </c>
      <c r="D626">
        <v>354257.9</v>
      </c>
      <c r="E626">
        <v>446364.95</v>
      </c>
      <c r="F626">
        <v>177128.95</v>
      </c>
      <c r="G626">
        <v>1686267.6</v>
      </c>
    </row>
    <row r="627" spans="1:7" x14ac:dyDescent="0.35">
      <c r="A627" t="s">
        <v>657</v>
      </c>
      <c r="B627">
        <v>1362643.2</v>
      </c>
      <c r="C627">
        <v>545057.28000000003</v>
      </c>
      <c r="D627">
        <v>272528.64000000001</v>
      </c>
      <c r="E627">
        <v>343386.09</v>
      </c>
      <c r="F627">
        <v>136264.32000000001</v>
      </c>
      <c r="G627">
        <v>1297236.33</v>
      </c>
    </row>
    <row r="628" spans="1:7" x14ac:dyDescent="0.35">
      <c r="A628" t="s">
        <v>658</v>
      </c>
      <c r="B628">
        <v>1355052</v>
      </c>
      <c r="C628">
        <v>542020.80000000005</v>
      </c>
      <c r="D628">
        <v>271010.40000000002</v>
      </c>
      <c r="E628">
        <v>341473.1</v>
      </c>
      <c r="F628">
        <v>135505.20000000001</v>
      </c>
      <c r="G628">
        <v>1290009.5</v>
      </c>
    </row>
    <row r="629" spans="1:7" x14ac:dyDescent="0.35">
      <c r="A629" t="s">
        <v>659</v>
      </c>
      <c r="B629">
        <v>1441341</v>
      </c>
      <c r="C629">
        <v>576536.4</v>
      </c>
      <c r="D629">
        <v>288268.2</v>
      </c>
      <c r="E629">
        <v>363217.93</v>
      </c>
      <c r="F629">
        <v>144134.1</v>
      </c>
      <c r="G629">
        <v>1372156.63</v>
      </c>
    </row>
    <row r="630" spans="1:7" x14ac:dyDescent="0.35">
      <c r="A630" t="s">
        <v>660</v>
      </c>
      <c r="B630">
        <v>1334599.1399999999</v>
      </c>
      <c r="C630">
        <v>533839.66</v>
      </c>
      <c r="D630">
        <v>266919.83</v>
      </c>
      <c r="E630">
        <v>336318.98</v>
      </c>
      <c r="F630">
        <v>133459.91</v>
      </c>
      <c r="G630">
        <v>1270538.3799999999</v>
      </c>
    </row>
    <row r="631" spans="1:7" x14ac:dyDescent="0.35">
      <c r="A631" t="s">
        <v>661</v>
      </c>
      <c r="B631">
        <v>1371584.2</v>
      </c>
      <c r="C631">
        <v>548633.68000000005</v>
      </c>
      <c r="D631">
        <v>274316.84000000003</v>
      </c>
      <c r="E631">
        <v>345639.22</v>
      </c>
      <c r="F631">
        <v>137158.42000000001</v>
      </c>
      <c r="G631">
        <v>1305748.1599999999</v>
      </c>
    </row>
    <row r="632" spans="1:7" x14ac:dyDescent="0.35">
      <c r="A632" t="s">
        <v>662</v>
      </c>
      <c r="B632">
        <v>1239585.6000000001</v>
      </c>
      <c r="C632">
        <v>495834.24</v>
      </c>
      <c r="D632">
        <v>247917.12</v>
      </c>
      <c r="E632">
        <v>312375.57</v>
      </c>
      <c r="F632">
        <v>123958.56</v>
      </c>
      <c r="G632">
        <v>1180085.49</v>
      </c>
    </row>
    <row r="633" spans="1:7" x14ac:dyDescent="0.35">
      <c r="A633" t="s">
        <v>663</v>
      </c>
      <c r="B633">
        <v>382412.05</v>
      </c>
      <c r="C633">
        <v>152964.82</v>
      </c>
      <c r="D633">
        <v>76482.41</v>
      </c>
      <c r="E633">
        <v>96367.84</v>
      </c>
      <c r="F633">
        <v>38241.21</v>
      </c>
      <c r="G633">
        <v>364056.27</v>
      </c>
    </row>
    <row r="634" spans="1:7" x14ac:dyDescent="0.35">
      <c r="A634" t="s">
        <v>664</v>
      </c>
      <c r="B634">
        <v>843729.39</v>
      </c>
      <c r="C634">
        <v>337491.76</v>
      </c>
      <c r="D634">
        <v>168745.88</v>
      </c>
      <c r="E634">
        <v>212619.81</v>
      </c>
      <c r="F634">
        <v>84372.94</v>
      </c>
      <c r="G634">
        <v>803230.38</v>
      </c>
    </row>
    <row r="635" spans="1:7" x14ac:dyDescent="0.35">
      <c r="A635" t="s">
        <v>665</v>
      </c>
      <c r="B635">
        <v>1841166.3</v>
      </c>
      <c r="C635">
        <v>736466.52</v>
      </c>
      <c r="D635">
        <v>368233.26</v>
      </c>
      <c r="E635">
        <v>463973.91</v>
      </c>
      <c r="F635">
        <v>184116.63</v>
      </c>
      <c r="G635">
        <v>1752790.32</v>
      </c>
    </row>
    <row r="636" spans="1:7" x14ac:dyDescent="0.35">
      <c r="A636" t="s">
        <v>666</v>
      </c>
      <c r="B636">
        <v>803781</v>
      </c>
      <c r="C636">
        <v>321512.40000000002</v>
      </c>
      <c r="D636">
        <v>160756.20000000001</v>
      </c>
      <c r="E636">
        <v>202552.81</v>
      </c>
      <c r="F636">
        <v>80378.100000000006</v>
      </c>
      <c r="G636">
        <v>765199.51</v>
      </c>
    </row>
    <row r="637" spans="1:7" x14ac:dyDescent="0.35">
      <c r="A637" t="s">
        <v>667</v>
      </c>
      <c r="B637">
        <v>990416.51</v>
      </c>
      <c r="C637">
        <v>396166.61</v>
      </c>
      <c r="D637">
        <v>198083.3</v>
      </c>
      <c r="E637">
        <v>249584.96</v>
      </c>
      <c r="F637">
        <v>99041.65</v>
      </c>
      <c r="G637">
        <v>942876.52</v>
      </c>
    </row>
    <row r="638" spans="1:7" x14ac:dyDescent="0.35">
      <c r="A638" t="s">
        <v>668</v>
      </c>
      <c r="B638">
        <v>859751.71</v>
      </c>
      <c r="C638">
        <v>343900.68</v>
      </c>
      <c r="D638">
        <v>171950.34</v>
      </c>
      <c r="E638">
        <v>216657.43</v>
      </c>
      <c r="F638">
        <v>85975.17</v>
      </c>
      <c r="G638">
        <v>818483.63</v>
      </c>
    </row>
    <row r="639" spans="1:7" x14ac:dyDescent="0.35">
      <c r="A639" t="s">
        <v>669</v>
      </c>
      <c r="B639">
        <v>1093358.42</v>
      </c>
      <c r="C639">
        <v>437343.37</v>
      </c>
      <c r="D639">
        <v>218671.68</v>
      </c>
      <c r="E639">
        <v>275526.32</v>
      </c>
      <c r="F639">
        <v>109335.84</v>
      </c>
      <c r="G639">
        <v>1040877.22</v>
      </c>
    </row>
    <row r="640" spans="1:7" x14ac:dyDescent="0.35">
      <c r="A640" t="s">
        <v>670</v>
      </c>
      <c r="B640">
        <v>872686.15</v>
      </c>
      <c r="C640">
        <v>349074.46</v>
      </c>
      <c r="D640">
        <v>174537.23</v>
      </c>
      <c r="E640">
        <v>219916.91</v>
      </c>
      <c r="F640">
        <v>87268.62</v>
      </c>
      <c r="G640">
        <v>830797.21</v>
      </c>
    </row>
    <row r="641" spans="1:7" x14ac:dyDescent="0.35">
      <c r="A641" t="s">
        <v>671</v>
      </c>
      <c r="B641">
        <v>635865.4</v>
      </c>
      <c r="C641">
        <v>254346.16</v>
      </c>
      <c r="D641">
        <v>127173.08</v>
      </c>
      <c r="E641">
        <v>160238.07999999999</v>
      </c>
      <c r="F641">
        <v>63586.54</v>
      </c>
      <c r="G641">
        <v>605343.86</v>
      </c>
    </row>
    <row r="642" spans="1:7" x14ac:dyDescent="0.35">
      <c r="A642" t="s">
        <v>672</v>
      </c>
      <c r="B642">
        <v>2001058.1</v>
      </c>
      <c r="C642">
        <v>800423.24</v>
      </c>
      <c r="D642">
        <v>400211.62</v>
      </c>
      <c r="E642">
        <v>504266.64</v>
      </c>
      <c r="F642">
        <v>200105.81</v>
      </c>
      <c r="G642">
        <v>1905007.31</v>
      </c>
    </row>
    <row r="643" spans="1:7" x14ac:dyDescent="0.35">
      <c r="A643" t="s">
        <v>673</v>
      </c>
      <c r="B643">
        <v>1640702.82</v>
      </c>
      <c r="C643">
        <v>656281.13</v>
      </c>
      <c r="D643">
        <v>328140.56</v>
      </c>
      <c r="E643">
        <v>413457.11</v>
      </c>
      <c r="F643">
        <v>164070.28</v>
      </c>
      <c r="G643">
        <v>1561949.08</v>
      </c>
    </row>
    <row r="644" spans="1:7" x14ac:dyDescent="0.35">
      <c r="A644" t="s">
        <v>674</v>
      </c>
      <c r="B644">
        <v>1074106.8600000001</v>
      </c>
      <c r="C644">
        <v>429642.74</v>
      </c>
      <c r="D644">
        <v>214821.37</v>
      </c>
      <c r="E644">
        <v>270674.93</v>
      </c>
      <c r="F644">
        <v>107410.69</v>
      </c>
      <c r="G644">
        <v>1022549.73</v>
      </c>
    </row>
    <row r="645" spans="1:7" x14ac:dyDescent="0.35">
      <c r="A645" t="s">
        <v>675</v>
      </c>
      <c r="B645">
        <v>716699</v>
      </c>
      <c r="C645">
        <v>286679.59999999998</v>
      </c>
      <c r="D645">
        <v>143339.79999999999</v>
      </c>
      <c r="E645">
        <v>180608.15</v>
      </c>
      <c r="F645">
        <v>71669.899999999994</v>
      </c>
      <c r="G645">
        <v>682297.45</v>
      </c>
    </row>
    <row r="646" spans="1:7" x14ac:dyDescent="0.35">
      <c r="A646" t="s">
        <v>676</v>
      </c>
      <c r="B646">
        <v>1145935</v>
      </c>
      <c r="C646">
        <v>458374</v>
      </c>
      <c r="D646">
        <v>229187</v>
      </c>
      <c r="E646">
        <v>288775.62</v>
      </c>
      <c r="F646">
        <v>114593.5</v>
      </c>
      <c r="G646">
        <v>1090930.1200000001</v>
      </c>
    </row>
    <row r="647" spans="1:7" x14ac:dyDescent="0.35">
      <c r="A647" t="s">
        <v>677</v>
      </c>
      <c r="B647">
        <v>958465.45</v>
      </c>
      <c r="C647">
        <v>383386.18</v>
      </c>
      <c r="D647">
        <v>191693.09</v>
      </c>
      <c r="E647">
        <v>241533.29</v>
      </c>
      <c r="F647">
        <v>95846.54</v>
      </c>
      <c r="G647">
        <v>912459.11</v>
      </c>
    </row>
    <row r="648" spans="1:7" x14ac:dyDescent="0.35">
      <c r="A648" t="s">
        <v>678</v>
      </c>
      <c r="B648">
        <v>1760490.2</v>
      </c>
      <c r="C648">
        <v>704196.08</v>
      </c>
      <c r="D648">
        <v>352098.04</v>
      </c>
      <c r="E648">
        <v>443643.53</v>
      </c>
      <c r="F648">
        <v>176049.02</v>
      </c>
      <c r="G648">
        <v>1675986.67</v>
      </c>
    </row>
    <row r="649" spans="1:7" x14ac:dyDescent="0.35">
      <c r="A649" t="s">
        <v>679</v>
      </c>
      <c r="B649">
        <v>1954369.2</v>
      </c>
      <c r="C649">
        <v>781747.68</v>
      </c>
      <c r="D649">
        <v>390873.84</v>
      </c>
      <c r="E649">
        <v>492501.04</v>
      </c>
      <c r="F649">
        <v>195436.92</v>
      </c>
      <c r="G649">
        <v>1860559.48</v>
      </c>
    </row>
    <row r="650" spans="1:7" x14ac:dyDescent="0.35">
      <c r="A650" t="s">
        <v>680</v>
      </c>
      <c r="B650">
        <v>1516963</v>
      </c>
      <c r="C650">
        <v>606785.19999999995</v>
      </c>
      <c r="D650">
        <v>303392.59999999998</v>
      </c>
      <c r="E650">
        <v>382274.68</v>
      </c>
      <c r="F650">
        <v>151696.29999999999</v>
      </c>
      <c r="G650">
        <v>1444148.78</v>
      </c>
    </row>
    <row r="651" spans="1:7" x14ac:dyDescent="0.35">
      <c r="A651" t="s">
        <v>681</v>
      </c>
      <c r="B651">
        <v>1416496.55</v>
      </c>
      <c r="C651">
        <v>566598.62</v>
      </c>
      <c r="D651">
        <v>283299.31</v>
      </c>
      <c r="E651">
        <v>356957.13</v>
      </c>
      <c r="F651">
        <v>141649.65</v>
      </c>
      <c r="G651">
        <v>1348504.72</v>
      </c>
    </row>
    <row r="652" spans="1:7" x14ac:dyDescent="0.35">
      <c r="A652" t="s">
        <v>682</v>
      </c>
      <c r="B652">
        <v>1918378.8</v>
      </c>
      <c r="C652">
        <v>767351.52</v>
      </c>
      <c r="D652">
        <v>383675.76</v>
      </c>
      <c r="E652">
        <v>483431.46</v>
      </c>
      <c r="F652">
        <v>191837.88</v>
      </c>
      <c r="G652">
        <v>1826296.62</v>
      </c>
    </row>
    <row r="653" spans="1:7" x14ac:dyDescent="0.35">
      <c r="A653" t="s">
        <v>683</v>
      </c>
      <c r="B653">
        <v>2187632.17</v>
      </c>
      <c r="C653">
        <v>875052.87</v>
      </c>
      <c r="D653">
        <v>437526.43</v>
      </c>
      <c r="E653">
        <v>551283.31000000006</v>
      </c>
      <c r="F653">
        <v>218763.22</v>
      </c>
      <c r="G653">
        <v>2082625.82</v>
      </c>
    </row>
    <row r="654" spans="1:7" x14ac:dyDescent="0.35">
      <c r="A654" t="s">
        <v>684</v>
      </c>
      <c r="B654">
        <v>1412426.3</v>
      </c>
      <c r="C654">
        <v>564970.52</v>
      </c>
      <c r="D654">
        <v>282485.26</v>
      </c>
      <c r="E654">
        <v>355931.43</v>
      </c>
      <c r="F654">
        <v>141242.63</v>
      </c>
      <c r="G654">
        <v>1344629.84</v>
      </c>
    </row>
    <row r="655" spans="1:7" x14ac:dyDescent="0.35">
      <c r="A655" t="s">
        <v>685</v>
      </c>
      <c r="B655">
        <v>1121564.21</v>
      </c>
      <c r="C655">
        <v>448625.68</v>
      </c>
      <c r="D655">
        <v>224312.84</v>
      </c>
      <c r="E655">
        <v>282634.18</v>
      </c>
      <c r="F655">
        <v>112156.42</v>
      </c>
      <c r="G655">
        <v>1067729.1200000001</v>
      </c>
    </row>
    <row r="656" spans="1:7" x14ac:dyDescent="0.35">
      <c r="A656" t="s">
        <v>686</v>
      </c>
      <c r="B656">
        <v>1601214.93</v>
      </c>
      <c r="C656">
        <v>640485.97</v>
      </c>
      <c r="D656">
        <v>320242.99</v>
      </c>
      <c r="E656">
        <v>403506.16</v>
      </c>
      <c r="F656">
        <v>160121.49</v>
      </c>
      <c r="G656">
        <v>1524356.61</v>
      </c>
    </row>
    <row r="657" spans="1:7" x14ac:dyDescent="0.35">
      <c r="A657" t="s">
        <v>687</v>
      </c>
      <c r="B657">
        <v>1363472.6</v>
      </c>
      <c r="C657">
        <v>545389.04</v>
      </c>
      <c r="D657">
        <v>272694.52</v>
      </c>
      <c r="E657">
        <v>343595.1</v>
      </c>
      <c r="F657">
        <v>136347.26</v>
      </c>
      <c r="G657">
        <v>1298025.92</v>
      </c>
    </row>
    <row r="658" spans="1:7" x14ac:dyDescent="0.35">
      <c r="A658" t="s">
        <v>688</v>
      </c>
      <c r="B658">
        <v>1183896.8400000001</v>
      </c>
      <c r="C658">
        <v>473558.74</v>
      </c>
      <c r="D658">
        <v>236779.37</v>
      </c>
      <c r="E658">
        <v>298342</v>
      </c>
      <c r="F658">
        <v>118389.68</v>
      </c>
      <c r="G658">
        <v>1127069.79</v>
      </c>
    </row>
    <row r="659" spans="1:7" x14ac:dyDescent="0.35">
      <c r="A659" t="s">
        <v>689</v>
      </c>
      <c r="B659">
        <v>812634.75</v>
      </c>
      <c r="C659">
        <v>325053.90000000002</v>
      </c>
      <c r="D659">
        <v>162526.95000000001</v>
      </c>
      <c r="E659">
        <v>204783.96</v>
      </c>
      <c r="F659">
        <v>81263.48</v>
      </c>
      <c r="G659">
        <v>773628.28</v>
      </c>
    </row>
    <row r="660" spans="1:7" x14ac:dyDescent="0.35">
      <c r="A660" t="s">
        <v>690</v>
      </c>
      <c r="B660">
        <v>1654858.8</v>
      </c>
      <c r="C660">
        <v>661943.52</v>
      </c>
      <c r="D660">
        <v>330971.76</v>
      </c>
      <c r="E660">
        <v>417024.42</v>
      </c>
      <c r="F660">
        <v>165485.88</v>
      </c>
      <c r="G660">
        <v>1575425.58</v>
      </c>
    </row>
    <row r="661" spans="1:7" x14ac:dyDescent="0.35">
      <c r="A661" t="s">
        <v>691</v>
      </c>
      <c r="B661">
        <v>586591.75</v>
      </c>
      <c r="C661">
        <v>234636.7</v>
      </c>
      <c r="D661">
        <v>117318.35</v>
      </c>
      <c r="E661">
        <v>147821.12</v>
      </c>
      <c r="F661">
        <v>58659.18</v>
      </c>
      <c r="G661">
        <v>558435.35</v>
      </c>
    </row>
    <row r="662" spans="1:7" x14ac:dyDescent="0.35">
      <c r="A662" t="s">
        <v>692</v>
      </c>
      <c r="B662">
        <v>1417176.18</v>
      </c>
      <c r="C662">
        <v>566870.47</v>
      </c>
      <c r="D662">
        <v>283435.24</v>
      </c>
      <c r="E662">
        <v>357128.4</v>
      </c>
      <c r="F662">
        <v>141717.62</v>
      </c>
      <c r="G662">
        <v>1349151.72</v>
      </c>
    </row>
    <row r="663" spans="1:7" x14ac:dyDescent="0.35">
      <c r="A663" t="s">
        <v>693</v>
      </c>
      <c r="B663">
        <v>1222184</v>
      </c>
      <c r="C663">
        <v>488873.6</v>
      </c>
      <c r="D663">
        <v>244436.8</v>
      </c>
      <c r="E663">
        <v>307990.37</v>
      </c>
      <c r="F663">
        <v>122218.4</v>
      </c>
      <c r="G663">
        <v>1163519.17</v>
      </c>
    </row>
    <row r="664" spans="1:7" x14ac:dyDescent="0.35">
      <c r="A664" t="s">
        <v>694</v>
      </c>
      <c r="B664">
        <v>698940.65</v>
      </c>
      <c r="C664">
        <v>279576.26</v>
      </c>
      <c r="D664">
        <v>139788.13</v>
      </c>
      <c r="E664">
        <v>176133.04</v>
      </c>
      <c r="F664">
        <v>69894.070000000007</v>
      </c>
      <c r="G664">
        <v>665391.5</v>
      </c>
    </row>
    <row r="665" spans="1:7" x14ac:dyDescent="0.35">
      <c r="A665" t="s">
        <v>695</v>
      </c>
      <c r="B665">
        <v>1013360.4</v>
      </c>
      <c r="C665">
        <v>405344.16</v>
      </c>
      <c r="D665">
        <v>202672.08</v>
      </c>
      <c r="E665">
        <v>255366.82</v>
      </c>
      <c r="F665">
        <v>101336.04</v>
      </c>
      <c r="G665">
        <v>964719.1</v>
      </c>
    </row>
    <row r="666" spans="1:7" x14ac:dyDescent="0.35">
      <c r="A666" t="s">
        <v>696</v>
      </c>
      <c r="B666">
        <v>581104.46</v>
      </c>
      <c r="C666">
        <v>232441.78</v>
      </c>
      <c r="D666">
        <v>116220.89</v>
      </c>
      <c r="E666">
        <v>146438.32</v>
      </c>
      <c r="F666">
        <v>58110.45</v>
      </c>
      <c r="G666">
        <v>553211.43999999994</v>
      </c>
    </row>
    <row r="667" spans="1:7" x14ac:dyDescent="0.35">
      <c r="A667" t="s">
        <v>697</v>
      </c>
      <c r="B667">
        <v>893698.8</v>
      </c>
      <c r="C667">
        <v>357479.52</v>
      </c>
      <c r="D667">
        <v>178739.76</v>
      </c>
      <c r="E667">
        <v>225212.1</v>
      </c>
      <c r="F667">
        <v>89369.88</v>
      </c>
      <c r="G667">
        <v>850801.26</v>
      </c>
    </row>
    <row r="668" spans="1:7" x14ac:dyDescent="0.35">
      <c r="A668" t="s">
        <v>698</v>
      </c>
      <c r="B668">
        <v>1270182.3</v>
      </c>
      <c r="C668">
        <v>508072.92</v>
      </c>
      <c r="D668">
        <v>254036.46</v>
      </c>
      <c r="E668">
        <v>320085.94</v>
      </c>
      <c r="F668">
        <v>127018.23</v>
      </c>
      <c r="G668">
        <v>1209213.55</v>
      </c>
    </row>
    <row r="669" spans="1:7" x14ac:dyDescent="0.35">
      <c r="A669" t="s">
        <v>699</v>
      </c>
      <c r="B669">
        <v>837045</v>
      </c>
      <c r="C669">
        <v>334818</v>
      </c>
      <c r="D669">
        <v>167409</v>
      </c>
      <c r="E669">
        <v>210935.34</v>
      </c>
      <c r="F669">
        <v>83704.5</v>
      </c>
      <c r="G669">
        <v>796866.84</v>
      </c>
    </row>
    <row r="670" spans="1:7" x14ac:dyDescent="0.35">
      <c r="A670" t="s">
        <v>700</v>
      </c>
      <c r="B670">
        <v>1336237.3999999999</v>
      </c>
      <c r="C670">
        <v>534494.96</v>
      </c>
      <c r="D670">
        <v>267247.48</v>
      </c>
      <c r="E670">
        <v>336731.82</v>
      </c>
      <c r="F670">
        <v>133623.74</v>
      </c>
      <c r="G670">
        <v>1272098</v>
      </c>
    </row>
    <row r="671" spans="1:7" x14ac:dyDescent="0.35">
      <c r="A671" t="s">
        <v>701</v>
      </c>
      <c r="B671">
        <v>1015049.35</v>
      </c>
      <c r="C671">
        <v>406019.74</v>
      </c>
      <c r="D671">
        <v>203009.87</v>
      </c>
      <c r="E671">
        <v>255792.44</v>
      </c>
      <c r="F671">
        <v>101504.94</v>
      </c>
      <c r="G671">
        <v>966326.98</v>
      </c>
    </row>
    <row r="672" spans="1:7" x14ac:dyDescent="0.35">
      <c r="A672" t="s">
        <v>702</v>
      </c>
      <c r="B672">
        <v>741420</v>
      </c>
      <c r="C672">
        <v>296568</v>
      </c>
      <c r="D672">
        <v>148284</v>
      </c>
      <c r="E672">
        <v>186837.84</v>
      </c>
      <c r="F672">
        <v>74142</v>
      </c>
      <c r="G672">
        <v>705831.84</v>
      </c>
    </row>
    <row r="673" spans="1:7" x14ac:dyDescent="0.35">
      <c r="A673" t="s">
        <v>703</v>
      </c>
      <c r="B673">
        <v>771504.12</v>
      </c>
      <c r="C673">
        <v>308601.65000000002</v>
      </c>
      <c r="D673">
        <v>154300.82</v>
      </c>
      <c r="E673">
        <v>194419.04</v>
      </c>
      <c r="F673">
        <v>77150.41</v>
      </c>
      <c r="G673">
        <v>734471.92</v>
      </c>
    </row>
    <row r="674" spans="1:7" x14ac:dyDescent="0.35">
      <c r="A674" t="s">
        <v>704</v>
      </c>
      <c r="B674">
        <v>1555702.04</v>
      </c>
      <c r="C674">
        <v>622280.81999999995</v>
      </c>
      <c r="D674">
        <v>311140.40999999997</v>
      </c>
      <c r="E674">
        <v>392036.92</v>
      </c>
      <c r="F674">
        <v>155570.20000000001</v>
      </c>
      <c r="G674">
        <v>1481028.35</v>
      </c>
    </row>
    <row r="675" spans="1:7" x14ac:dyDescent="0.35">
      <c r="A675" t="s">
        <v>705</v>
      </c>
      <c r="B675">
        <v>654546.19999999995</v>
      </c>
      <c r="C675">
        <v>261818.48</v>
      </c>
      <c r="D675">
        <v>130909.24</v>
      </c>
      <c r="E675">
        <v>164945.64000000001</v>
      </c>
      <c r="F675">
        <v>65454.62</v>
      </c>
      <c r="G675">
        <v>623127.98</v>
      </c>
    </row>
    <row r="676" spans="1:7" x14ac:dyDescent="0.35">
      <c r="A676" t="s">
        <v>706</v>
      </c>
      <c r="B676">
        <v>795789.4</v>
      </c>
      <c r="C676">
        <v>318315.76</v>
      </c>
      <c r="D676">
        <v>159157.88</v>
      </c>
      <c r="E676">
        <v>200538.93</v>
      </c>
      <c r="F676">
        <v>79578.94</v>
      </c>
      <c r="G676">
        <v>757591.51</v>
      </c>
    </row>
    <row r="677" spans="1:7" x14ac:dyDescent="0.35">
      <c r="A677" t="s">
        <v>707</v>
      </c>
      <c r="B677">
        <v>1117394.3999999999</v>
      </c>
      <c r="C677">
        <v>446957.76</v>
      </c>
      <c r="D677">
        <v>223478.88</v>
      </c>
      <c r="E677">
        <v>281583.39</v>
      </c>
      <c r="F677">
        <v>111739.44</v>
      </c>
      <c r="G677">
        <v>1063759.47</v>
      </c>
    </row>
    <row r="678" spans="1:7" x14ac:dyDescent="0.35">
      <c r="A678" t="s">
        <v>708</v>
      </c>
      <c r="B678">
        <v>601992</v>
      </c>
      <c r="C678">
        <v>240796.79999999999</v>
      </c>
      <c r="D678">
        <v>120398.39999999999</v>
      </c>
      <c r="E678">
        <v>151701.98000000001</v>
      </c>
      <c r="F678">
        <v>60199.199999999997</v>
      </c>
      <c r="G678">
        <v>573096.38</v>
      </c>
    </row>
    <row r="679" spans="1:7" x14ac:dyDescent="0.35">
      <c r="A679" t="s">
        <v>709</v>
      </c>
      <c r="B679">
        <v>843695.76</v>
      </c>
      <c r="C679">
        <v>337478.3</v>
      </c>
      <c r="D679">
        <v>168739.15</v>
      </c>
      <c r="E679">
        <v>212611.33</v>
      </c>
      <c r="F679">
        <v>84369.58</v>
      </c>
      <c r="G679">
        <v>803198.36</v>
      </c>
    </row>
    <row r="680" spans="1:7" x14ac:dyDescent="0.35">
      <c r="A680" t="s">
        <v>710</v>
      </c>
      <c r="B680">
        <v>599333</v>
      </c>
      <c r="C680">
        <v>239733.2</v>
      </c>
      <c r="D680">
        <v>119866.6</v>
      </c>
      <c r="E680">
        <v>151031.92000000001</v>
      </c>
      <c r="F680">
        <v>59933.3</v>
      </c>
      <c r="G680">
        <v>570565.02</v>
      </c>
    </row>
    <row r="681" spans="1:7" x14ac:dyDescent="0.35">
      <c r="A681" t="s">
        <v>711</v>
      </c>
      <c r="B681">
        <v>965190.3</v>
      </c>
      <c r="C681">
        <v>386076.12</v>
      </c>
      <c r="D681">
        <v>193038.06</v>
      </c>
      <c r="E681">
        <v>243227.96</v>
      </c>
      <c r="F681">
        <v>96519.03</v>
      </c>
      <c r="G681">
        <v>918861.17</v>
      </c>
    </row>
    <row r="682" spans="1:7" x14ac:dyDescent="0.35">
      <c r="A682" t="s">
        <v>712</v>
      </c>
      <c r="B682">
        <v>908514</v>
      </c>
      <c r="C682">
        <v>363405.6</v>
      </c>
      <c r="D682">
        <v>181702.8</v>
      </c>
      <c r="E682">
        <v>228945.53</v>
      </c>
      <c r="F682">
        <v>90851.4</v>
      </c>
      <c r="G682">
        <v>864905.33</v>
      </c>
    </row>
    <row r="683" spans="1:7" x14ac:dyDescent="0.35">
      <c r="A683" t="s">
        <v>713</v>
      </c>
      <c r="B683">
        <v>1095262.98</v>
      </c>
      <c r="C683">
        <v>438105.19</v>
      </c>
      <c r="D683">
        <v>219052.6</v>
      </c>
      <c r="E683">
        <v>276006.27</v>
      </c>
      <c r="F683">
        <v>109526.3</v>
      </c>
      <c r="G683">
        <v>1042690.36</v>
      </c>
    </row>
    <row r="684" spans="1:7" x14ac:dyDescent="0.35">
      <c r="A684" t="s">
        <v>714</v>
      </c>
      <c r="B684">
        <v>704144.75</v>
      </c>
      <c r="C684">
        <v>281657.90000000002</v>
      </c>
      <c r="D684">
        <v>140828.95000000001</v>
      </c>
      <c r="E684">
        <v>177444.48000000001</v>
      </c>
      <c r="F684">
        <v>70414.48</v>
      </c>
      <c r="G684">
        <v>670345.80000000005</v>
      </c>
    </row>
    <row r="685" spans="1:7" x14ac:dyDescent="0.35">
      <c r="A685" t="s">
        <v>715</v>
      </c>
      <c r="B685">
        <v>827365</v>
      </c>
      <c r="C685">
        <v>330946</v>
      </c>
      <c r="D685">
        <v>165473</v>
      </c>
      <c r="E685">
        <v>208495.98</v>
      </c>
      <c r="F685">
        <v>82736.5</v>
      </c>
      <c r="G685">
        <v>787651.48</v>
      </c>
    </row>
    <row r="686" spans="1:7" x14ac:dyDescent="0.35">
      <c r="A686" t="s">
        <v>716</v>
      </c>
      <c r="B686">
        <v>1758883.58</v>
      </c>
      <c r="C686">
        <v>703553.43</v>
      </c>
      <c r="D686">
        <v>351776.72</v>
      </c>
      <c r="E686">
        <v>443238.66</v>
      </c>
      <c r="F686">
        <v>175888.36</v>
      </c>
      <c r="G686">
        <v>1674457.17</v>
      </c>
    </row>
    <row r="687" spans="1:7" x14ac:dyDescent="0.35">
      <c r="A687" t="s">
        <v>717</v>
      </c>
      <c r="B687">
        <v>975245.11</v>
      </c>
      <c r="C687">
        <v>390098.04</v>
      </c>
      <c r="D687">
        <v>195049.02</v>
      </c>
      <c r="E687">
        <v>245761.77</v>
      </c>
      <c r="F687">
        <v>97524.51</v>
      </c>
      <c r="G687">
        <v>928433.34</v>
      </c>
    </row>
    <row r="688" spans="1:7" x14ac:dyDescent="0.35">
      <c r="A688" t="s">
        <v>718</v>
      </c>
      <c r="B688">
        <v>1060915.8</v>
      </c>
      <c r="C688">
        <v>424366.32</v>
      </c>
      <c r="D688">
        <v>212183.16</v>
      </c>
      <c r="E688">
        <v>267350.78000000003</v>
      </c>
      <c r="F688">
        <v>106091.58</v>
      </c>
      <c r="G688">
        <v>1009991.84</v>
      </c>
    </row>
    <row r="689" spans="1:7" x14ac:dyDescent="0.35">
      <c r="A689" t="s">
        <v>719</v>
      </c>
      <c r="B689">
        <v>912067.2</v>
      </c>
      <c r="C689">
        <v>364826.88</v>
      </c>
      <c r="D689">
        <v>182413.44</v>
      </c>
      <c r="E689">
        <v>229840.93</v>
      </c>
      <c r="F689">
        <v>91206.720000000001</v>
      </c>
      <c r="G689">
        <v>868287.97</v>
      </c>
    </row>
    <row r="690" spans="1:7" x14ac:dyDescent="0.35">
      <c r="A690" t="s">
        <v>720</v>
      </c>
      <c r="B690">
        <v>716997.02</v>
      </c>
      <c r="C690">
        <v>286798.81</v>
      </c>
      <c r="D690">
        <v>143399.4</v>
      </c>
      <c r="E690">
        <v>180683.25</v>
      </c>
      <c r="F690">
        <v>71699.7</v>
      </c>
      <c r="G690">
        <v>682581.16</v>
      </c>
    </row>
    <row r="691" spans="1:7" x14ac:dyDescent="0.35">
      <c r="A691" t="s">
        <v>721</v>
      </c>
      <c r="B691">
        <v>1114601.18</v>
      </c>
      <c r="C691">
        <v>445840.47</v>
      </c>
      <c r="D691">
        <v>222920.24</v>
      </c>
      <c r="E691">
        <v>280879.5</v>
      </c>
      <c r="F691">
        <v>111460.12</v>
      </c>
      <c r="G691">
        <v>1061100.32</v>
      </c>
    </row>
    <row r="692" spans="1:7" x14ac:dyDescent="0.35">
      <c r="A692" t="s">
        <v>722</v>
      </c>
      <c r="B692">
        <v>548281.86</v>
      </c>
      <c r="C692">
        <v>219312.74</v>
      </c>
      <c r="D692">
        <v>109656.37</v>
      </c>
      <c r="E692">
        <v>138167.03</v>
      </c>
      <c r="F692">
        <v>54828.19</v>
      </c>
      <c r="G692">
        <v>521964.33</v>
      </c>
    </row>
    <row r="693" spans="1:7" x14ac:dyDescent="0.35">
      <c r="A693" t="s">
        <v>723</v>
      </c>
      <c r="B693">
        <v>974455.47</v>
      </c>
      <c r="C693">
        <v>389782.19</v>
      </c>
      <c r="D693">
        <v>194891.09</v>
      </c>
      <c r="E693">
        <v>245562.78</v>
      </c>
      <c r="F693">
        <v>97445.55</v>
      </c>
      <c r="G693">
        <v>927681.61</v>
      </c>
    </row>
    <row r="694" spans="1:7" x14ac:dyDescent="0.35">
      <c r="A694" t="s">
        <v>724</v>
      </c>
      <c r="B694">
        <v>709280.8</v>
      </c>
      <c r="C694">
        <v>283712.32</v>
      </c>
      <c r="D694">
        <v>141856.16</v>
      </c>
      <c r="E694">
        <v>178738.76</v>
      </c>
      <c r="F694">
        <v>70928.08</v>
      </c>
      <c r="G694">
        <v>675235.32</v>
      </c>
    </row>
    <row r="695" spans="1:7" x14ac:dyDescent="0.35">
      <c r="A695" t="s">
        <v>725</v>
      </c>
      <c r="B695">
        <v>1906298.4</v>
      </c>
      <c r="C695">
        <v>762519.36</v>
      </c>
      <c r="D695">
        <v>381259.68</v>
      </c>
      <c r="E695">
        <v>480387.2</v>
      </c>
      <c r="F695">
        <v>190629.84</v>
      </c>
      <c r="G695">
        <v>1814796.08</v>
      </c>
    </row>
    <row r="696" spans="1:7" x14ac:dyDescent="0.35">
      <c r="A696" t="s">
        <v>726</v>
      </c>
      <c r="B696">
        <v>1104937</v>
      </c>
      <c r="C696">
        <v>441974.8</v>
      </c>
      <c r="D696">
        <v>220987.4</v>
      </c>
      <c r="E696">
        <v>278444.12</v>
      </c>
      <c r="F696">
        <v>110493.7</v>
      </c>
      <c r="G696">
        <v>1051900.02</v>
      </c>
    </row>
    <row r="697" spans="1:7" x14ac:dyDescent="0.35">
      <c r="A697" t="s">
        <v>727</v>
      </c>
      <c r="B697">
        <v>777481.2</v>
      </c>
      <c r="C697">
        <v>310992.48</v>
      </c>
      <c r="D697">
        <v>155496.24</v>
      </c>
      <c r="E697">
        <v>195925.26</v>
      </c>
      <c r="F697">
        <v>77748.12</v>
      </c>
      <c r="G697">
        <v>740162.1</v>
      </c>
    </row>
    <row r="698" spans="1:7" x14ac:dyDescent="0.35">
      <c r="A698" t="s">
        <v>728</v>
      </c>
      <c r="B698">
        <v>816584</v>
      </c>
      <c r="C698">
        <v>326633.59999999998</v>
      </c>
      <c r="D698">
        <v>163316.79999999999</v>
      </c>
      <c r="E698">
        <v>205779.17</v>
      </c>
      <c r="F698">
        <v>81658.399999999994</v>
      </c>
      <c r="G698">
        <v>777387.97</v>
      </c>
    </row>
    <row r="699" spans="1:7" x14ac:dyDescent="0.35">
      <c r="A699" t="s">
        <v>729</v>
      </c>
      <c r="B699">
        <v>564900.4</v>
      </c>
      <c r="C699">
        <v>225960.16</v>
      </c>
      <c r="D699">
        <v>112980.08</v>
      </c>
      <c r="E699">
        <v>142354.9</v>
      </c>
      <c r="F699">
        <v>56490.04</v>
      </c>
      <c r="G699">
        <v>537785.18000000005</v>
      </c>
    </row>
    <row r="700" spans="1:7" x14ac:dyDescent="0.35">
      <c r="A700" t="s">
        <v>730</v>
      </c>
      <c r="B700">
        <v>1550327.32</v>
      </c>
      <c r="C700">
        <v>620130.93000000005</v>
      </c>
      <c r="D700">
        <v>310065.46999999997</v>
      </c>
      <c r="E700">
        <v>390682.49</v>
      </c>
      <c r="F700">
        <v>155032.73000000001</v>
      </c>
      <c r="G700">
        <v>1475911.61</v>
      </c>
    </row>
    <row r="701" spans="1:7" x14ac:dyDescent="0.35">
      <c r="A701" t="s">
        <v>731</v>
      </c>
      <c r="B701">
        <v>1165438.3999999999</v>
      </c>
      <c r="C701">
        <v>466175.36</v>
      </c>
      <c r="D701">
        <v>233087.68</v>
      </c>
      <c r="E701">
        <v>293690.48</v>
      </c>
      <c r="F701">
        <v>116543.84</v>
      </c>
      <c r="G701">
        <v>1109497.3600000001</v>
      </c>
    </row>
    <row r="702" spans="1:7" x14ac:dyDescent="0.35">
      <c r="A702" t="s">
        <v>732</v>
      </c>
      <c r="B702">
        <v>1204689.7</v>
      </c>
      <c r="C702">
        <v>481875.88</v>
      </c>
      <c r="D702">
        <v>240937.94</v>
      </c>
      <c r="E702">
        <v>303581.8</v>
      </c>
      <c r="F702">
        <v>120468.97</v>
      </c>
      <c r="G702">
        <v>1146864.5900000001</v>
      </c>
    </row>
    <row r="703" spans="1:7" x14ac:dyDescent="0.35">
      <c r="A703" t="s">
        <v>733</v>
      </c>
      <c r="B703">
        <v>1566514.47</v>
      </c>
      <c r="C703">
        <v>626605.79</v>
      </c>
      <c r="D703">
        <v>313302.89</v>
      </c>
      <c r="E703">
        <v>394761.65</v>
      </c>
      <c r="F703">
        <v>156651.45000000001</v>
      </c>
      <c r="G703">
        <v>1491321.78</v>
      </c>
    </row>
    <row r="704" spans="1:7" x14ac:dyDescent="0.35">
      <c r="A704" t="s">
        <v>734</v>
      </c>
      <c r="B704">
        <v>1064080.75</v>
      </c>
      <c r="C704">
        <v>425632.3</v>
      </c>
      <c r="D704">
        <v>212816.15</v>
      </c>
      <c r="E704">
        <v>268148.34999999998</v>
      </c>
      <c r="F704">
        <v>106408.07</v>
      </c>
      <c r="G704">
        <v>1013004.87</v>
      </c>
    </row>
    <row r="705" spans="1:7" x14ac:dyDescent="0.35">
      <c r="A705" t="s">
        <v>735</v>
      </c>
      <c r="B705">
        <v>1061060.1000000001</v>
      </c>
      <c r="C705">
        <v>424424.04</v>
      </c>
      <c r="D705">
        <v>212212.02</v>
      </c>
      <c r="E705">
        <v>267387.15000000002</v>
      </c>
      <c r="F705">
        <v>106106.01</v>
      </c>
      <c r="G705">
        <v>1010129.22</v>
      </c>
    </row>
    <row r="706" spans="1:7" x14ac:dyDescent="0.35">
      <c r="A706" t="s">
        <v>736</v>
      </c>
      <c r="B706">
        <v>734183.8</v>
      </c>
      <c r="C706">
        <v>293673.52</v>
      </c>
      <c r="D706">
        <v>146836.76</v>
      </c>
      <c r="E706">
        <v>185014.32</v>
      </c>
      <c r="F706">
        <v>73418.38</v>
      </c>
      <c r="G706">
        <v>698942.98</v>
      </c>
    </row>
    <row r="707" spans="1:7" x14ac:dyDescent="0.35">
      <c r="A707" t="s">
        <v>737</v>
      </c>
      <c r="B707">
        <v>1037680.8</v>
      </c>
      <c r="C707">
        <v>415072.32</v>
      </c>
      <c r="D707">
        <v>207536.16</v>
      </c>
      <c r="E707">
        <v>261495.56</v>
      </c>
      <c r="F707">
        <v>103768.08</v>
      </c>
      <c r="G707">
        <v>987872.12</v>
      </c>
    </row>
    <row r="708" spans="1:7" x14ac:dyDescent="0.35">
      <c r="A708" t="s">
        <v>738</v>
      </c>
      <c r="B708">
        <v>640678.80000000005</v>
      </c>
      <c r="C708">
        <v>256271.52</v>
      </c>
      <c r="D708">
        <v>128135.76</v>
      </c>
      <c r="E708">
        <v>161451.06</v>
      </c>
      <c r="F708">
        <v>64067.88</v>
      </c>
      <c r="G708">
        <v>609926.22</v>
      </c>
    </row>
    <row r="709" spans="1:7" x14ac:dyDescent="0.35">
      <c r="A709" t="s">
        <v>739</v>
      </c>
      <c r="B709">
        <v>853087.2</v>
      </c>
      <c r="C709">
        <v>341234.88</v>
      </c>
      <c r="D709">
        <v>170617.44</v>
      </c>
      <c r="E709">
        <v>214977.97</v>
      </c>
      <c r="F709">
        <v>85308.72</v>
      </c>
      <c r="G709">
        <v>812139.01</v>
      </c>
    </row>
    <row r="710" spans="1:7" x14ac:dyDescent="0.35">
      <c r="A710" t="s">
        <v>740</v>
      </c>
      <c r="B710">
        <v>1970424.4</v>
      </c>
      <c r="C710">
        <v>788169.76</v>
      </c>
      <c r="D710">
        <v>394084.88</v>
      </c>
      <c r="E710">
        <v>496546.95</v>
      </c>
      <c r="F710">
        <v>197042.44</v>
      </c>
      <c r="G710">
        <v>1875844.03</v>
      </c>
    </row>
    <row r="711" spans="1:7" x14ac:dyDescent="0.35">
      <c r="A711" t="s">
        <v>741</v>
      </c>
      <c r="B711">
        <v>914761.2</v>
      </c>
      <c r="C711">
        <v>365904.48</v>
      </c>
      <c r="D711">
        <v>182952.24</v>
      </c>
      <c r="E711">
        <v>230519.82</v>
      </c>
      <c r="F711">
        <v>91476.12</v>
      </c>
      <c r="G711">
        <v>870852.66</v>
      </c>
    </row>
    <row r="712" spans="1:7" x14ac:dyDescent="0.35">
      <c r="A712" t="s">
        <v>742</v>
      </c>
      <c r="B712">
        <v>1170237.6000000001</v>
      </c>
      <c r="C712">
        <v>468095.04</v>
      </c>
      <c r="D712">
        <v>234047.52</v>
      </c>
      <c r="E712">
        <v>294899.88</v>
      </c>
      <c r="F712">
        <v>117023.76</v>
      </c>
      <c r="G712">
        <v>1114066.2</v>
      </c>
    </row>
    <row r="713" spans="1:7" x14ac:dyDescent="0.35">
      <c r="A713" t="s">
        <v>743</v>
      </c>
      <c r="B713">
        <v>1129442.3999999999</v>
      </c>
      <c r="C713">
        <v>451776.96</v>
      </c>
      <c r="D713">
        <v>225888.48</v>
      </c>
      <c r="E713">
        <v>284619.48</v>
      </c>
      <c r="F713">
        <v>112944.24</v>
      </c>
      <c r="G713">
        <v>1075229.1599999999</v>
      </c>
    </row>
    <row r="714" spans="1:7" x14ac:dyDescent="0.35">
      <c r="A714" t="s">
        <v>744</v>
      </c>
      <c r="B714">
        <v>884412</v>
      </c>
      <c r="C714">
        <v>353764.8</v>
      </c>
      <c r="D714">
        <v>176882.4</v>
      </c>
      <c r="E714">
        <v>222871.82</v>
      </c>
      <c r="F714">
        <v>88441.2</v>
      </c>
      <c r="G714">
        <v>841960.22</v>
      </c>
    </row>
    <row r="715" spans="1:7" x14ac:dyDescent="0.35">
      <c r="A715" t="s">
        <v>745</v>
      </c>
      <c r="B715">
        <v>827842.8</v>
      </c>
      <c r="C715">
        <v>331137.12</v>
      </c>
      <c r="D715">
        <v>165568.56</v>
      </c>
      <c r="E715">
        <v>208616.39</v>
      </c>
      <c r="F715">
        <v>82784.28</v>
      </c>
      <c r="G715">
        <v>788106.35</v>
      </c>
    </row>
    <row r="716" spans="1:7" x14ac:dyDescent="0.35">
      <c r="A716" t="s">
        <v>746</v>
      </c>
      <c r="B716">
        <v>929601.4</v>
      </c>
      <c r="C716">
        <v>371840.56</v>
      </c>
      <c r="D716">
        <v>185920.28</v>
      </c>
      <c r="E716">
        <v>234259.55</v>
      </c>
      <c r="F716">
        <v>92960.14</v>
      </c>
      <c r="G716">
        <v>884980.53</v>
      </c>
    </row>
    <row r="717" spans="1:7" x14ac:dyDescent="0.35">
      <c r="A717" t="s">
        <v>747</v>
      </c>
      <c r="B717">
        <v>1303921.3600000001</v>
      </c>
      <c r="C717">
        <v>521568.54</v>
      </c>
      <c r="D717">
        <v>260784.27</v>
      </c>
      <c r="E717">
        <v>328588.18</v>
      </c>
      <c r="F717">
        <v>130392.14</v>
      </c>
      <c r="G717">
        <v>1241333.1299999999</v>
      </c>
    </row>
    <row r="718" spans="1:7" x14ac:dyDescent="0.35">
      <c r="A718" t="s">
        <v>748</v>
      </c>
      <c r="B718">
        <v>1697050.07</v>
      </c>
      <c r="C718">
        <v>678820.03</v>
      </c>
      <c r="D718">
        <v>339410.02</v>
      </c>
      <c r="E718">
        <v>427656.62</v>
      </c>
      <c r="F718">
        <v>169705.01</v>
      </c>
      <c r="G718">
        <v>1615591.67</v>
      </c>
    </row>
    <row r="719" spans="1:7" x14ac:dyDescent="0.35">
      <c r="A719" t="s">
        <v>749</v>
      </c>
      <c r="B719">
        <v>1083664.8</v>
      </c>
      <c r="C719">
        <v>433465.92</v>
      </c>
      <c r="D719">
        <v>216732.96</v>
      </c>
      <c r="E719">
        <v>273083.53000000003</v>
      </c>
      <c r="F719">
        <v>108366.48</v>
      </c>
      <c r="G719">
        <v>1031648.89</v>
      </c>
    </row>
    <row r="720" spans="1:7" x14ac:dyDescent="0.35">
      <c r="A720" t="s">
        <v>750</v>
      </c>
      <c r="B720">
        <v>888073.2</v>
      </c>
      <c r="C720">
        <v>355229.28</v>
      </c>
      <c r="D720">
        <v>177614.64</v>
      </c>
      <c r="E720">
        <v>223794.45</v>
      </c>
      <c r="F720">
        <v>88807.32</v>
      </c>
      <c r="G720">
        <v>845445.69</v>
      </c>
    </row>
    <row r="721" spans="1:7" x14ac:dyDescent="0.35">
      <c r="A721" t="s">
        <v>751</v>
      </c>
      <c r="B721">
        <v>1172176.8</v>
      </c>
      <c r="C721">
        <v>468870.72</v>
      </c>
      <c r="D721">
        <v>234435.36</v>
      </c>
      <c r="E721">
        <v>295388.55</v>
      </c>
      <c r="F721">
        <v>117217.68</v>
      </c>
      <c r="G721">
        <v>1115912.31</v>
      </c>
    </row>
    <row r="722" spans="1:7" x14ac:dyDescent="0.35">
      <c r="A722" t="s">
        <v>752</v>
      </c>
      <c r="B722">
        <v>2218132.7999999998</v>
      </c>
      <c r="C722">
        <v>887253.12</v>
      </c>
      <c r="D722">
        <v>443626.56</v>
      </c>
      <c r="E722">
        <v>558969.47</v>
      </c>
      <c r="F722">
        <v>221813.28</v>
      </c>
      <c r="G722">
        <v>2111662.4300000002</v>
      </c>
    </row>
    <row r="723" spans="1:7" x14ac:dyDescent="0.35">
      <c r="A723" t="s">
        <v>753</v>
      </c>
      <c r="B723">
        <v>554965</v>
      </c>
      <c r="C723">
        <v>221986</v>
      </c>
      <c r="D723">
        <v>110993</v>
      </c>
      <c r="E723">
        <v>139851.18</v>
      </c>
      <c r="F723">
        <v>55496.5</v>
      </c>
      <c r="G723">
        <v>528326.68000000005</v>
      </c>
    </row>
    <row r="724" spans="1:7" x14ac:dyDescent="0.35">
      <c r="A724" t="s">
        <v>754</v>
      </c>
      <c r="B724">
        <v>1375180.8</v>
      </c>
      <c r="C724">
        <v>550072.31999999995</v>
      </c>
      <c r="D724">
        <v>275036.15999999997</v>
      </c>
      <c r="E724">
        <v>346545.56</v>
      </c>
      <c r="F724">
        <v>137518.07999999999</v>
      </c>
      <c r="G724">
        <v>1309172.1200000001</v>
      </c>
    </row>
    <row r="725" spans="1:7" x14ac:dyDescent="0.35">
      <c r="A725" t="s">
        <v>755</v>
      </c>
      <c r="B725">
        <v>1330329.6000000001</v>
      </c>
      <c r="C725">
        <v>532131.83999999997</v>
      </c>
      <c r="D725">
        <v>266065.91999999998</v>
      </c>
      <c r="E725">
        <v>335243.06</v>
      </c>
      <c r="F725">
        <v>133032.95999999999</v>
      </c>
      <c r="G725">
        <v>1266473.78</v>
      </c>
    </row>
    <row r="726" spans="1:7" x14ac:dyDescent="0.35">
      <c r="A726" t="s">
        <v>756</v>
      </c>
      <c r="B726">
        <v>777481.9</v>
      </c>
      <c r="C726">
        <v>310992.76</v>
      </c>
      <c r="D726">
        <v>155496.38</v>
      </c>
      <c r="E726">
        <v>195925.44</v>
      </c>
      <c r="F726">
        <v>77748.19</v>
      </c>
      <c r="G726">
        <v>740162.77</v>
      </c>
    </row>
    <row r="727" spans="1:7" x14ac:dyDescent="0.35">
      <c r="A727" t="s">
        <v>757</v>
      </c>
      <c r="B727">
        <v>2058655.03</v>
      </c>
      <c r="C727">
        <v>823462.01</v>
      </c>
      <c r="D727">
        <v>411731.01</v>
      </c>
      <c r="E727">
        <v>518781.07</v>
      </c>
      <c r="F727">
        <v>205865.5</v>
      </c>
      <c r="G727">
        <v>1959839.59</v>
      </c>
    </row>
    <row r="728" spans="1:7" x14ac:dyDescent="0.35">
      <c r="A728" t="s">
        <v>758</v>
      </c>
      <c r="B728">
        <v>1592697.4</v>
      </c>
      <c r="C728">
        <v>637078.96</v>
      </c>
      <c r="D728">
        <v>318539.48</v>
      </c>
      <c r="E728">
        <v>401359.74</v>
      </c>
      <c r="F728">
        <v>159269.74</v>
      </c>
      <c r="G728">
        <v>1516247.92</v>
      </c>
    </row>
    <row r="729" spans="1:7" x14ac:dyDescent="0.35">
      <c r="A729" t="s">
        <v>759</v>
      </c>
      <c r="B729">
        <v>1115480.5</v>
      </c>
      <c r="C729">
        <v>446192.2</v>
      </c>
      <c r="D729">
        <v>223096.1</v>
      </c>
      <c r="E729">
        <v>281101.09000000003</v>
      </c>
      <c r="F729">
        <v>111548.05</v>
      </c>
      <c r="G729">
        <v>1061937.44</v>
      </c>
    </row>
    <row r="730" spans="1:7" x14ac:dyDescent="0.35">
      <c r="A730" t="s">
        <v>760</v>
      </c>
      <c r="B730">
        <v>1025472.75</v>
      </c>
      <c r="C730">
        <v>410189.1</v>
      </c>
      <c r="D730">
        <v>205094.55</v>
      </c>
      <c r="E730">
        <v>258419.13</v>
      </c>
      <c r="F730">
        <v>102547.27</v>
      </c>
      <c r="G730">
        <v>976250.06</v>
      </c>
    </row>
    <row r="731" spans="1:7" x14ac:dyDescent="0.35">
      <c r="A731" t="s">
        <v>761</v>
      </c>
      <c r="B731">
        <v>673918</v>
      </c>
      <c r="C731">
        <v>269567.2</v>
      </c>
      <c r="D731">
        <v>134783.6</v>
      </c>
      <c r="E731">
        <v>169827.34</v>
      </c>
      <c r="F731">
        <v>67391.8</v>
      </c>
      <c r="G731">
        <v>641569.93999999994</v>
      </c>
    </row>
    <row r="732" spans="1:7" x14ac:dyDescent="0.35">
      <c r="A732" t="s">
        <v>762</v>
      </c>
      <c r="B732">
        <v>1260924</v>
      </c>
      <c r="C732">
        <v>504369.6</v>
      </c>
      <c r="D732">
        <v>252184.8</v>
      </c>
      <c r="E732">
        <v>317752.84999999998</v>
      </c>
      <c r="F732">
        <v>126092.4</v>
      </c>
      <c r="G732">
        <v>1200399.6499999999</v>
      </c>
    </row>
    <row r="733" spans="1:7" x14ac:dyDescent="0.35">
      <c r="A733" t="s">
        <v>763</v>
      </c>
      <c r="B733">
        <v>589076</v>
      </c>
      <c r="C733">
        <v>235630.4</v>
      </c>
      <c r="D733">
        <v>117815.2</v>
      </c>
      <c r="E733">
        <v>148447.15</v>
      </c>
      <c r="F733">
        <v>58907.6</v>
      </c>
      <c r="G733">
        <v>560800.35</v>
      </c>
    </row>
    <row r="734" spans="1:7" x14ac:dyDescent="0.35">
      <c r="A734" t="s">
        <v>764</v>
      </c>
      <c r="B734">
        <v>625150.4</v>
      </c>
      <c r="C734">
        <v>250060.16</v>
      </c>
      <c r="D734">
        <v>125030.08</v>
      </c>
      <c r="E734">
        <v>157537.9</v>
      </c>
      <c r="F734">
        <v>62515.040000000001</v>
      </c>
      <c r="G734">
        <v>595143.18000000005</v>
      </c>
    </row>
    <row r="735" spans="1:7" x14ac:dyDescent="0.35">
      <c r="A735" t="s">
        <v>765</v>
      </c>
      <c r="B735">
        <v>1139880.49</v>
      </c>
      <c r="C735">
        <v>455952.2</v>
      </c>
      <c r="D735">
        <v>227976.1</v>
      </c>
      <c r="E735">
        <v>287249.88</v>
      </c>
      <c r="F735">
        <v>113988.05</v>
      </c>
      <c r="G735">
        <v>1085166.23</v>
      </c>
    </row>
    <row r="736" spans="1:7" x14ac:dyDescent="0.35">
      <c r="A736" t="s">
        <v>766</v>
      </c>
      <c r="B736">
        <v>1461052.6</v>
      </c>
      <c r="C736">
        <v>584421.04</v>
      </c>
      <c r="D736">
        <v>292210.52</v>
      </c>
      <c r="E736">
        <v>368185.26</v>
      </c>
      <c r="F736">
        <v>146105.26</v>
      </c>
      <c r="G736">
        <v>1390922.08</v>
      </c>
    </row>
    <row r="737" spans="1:7" x14ac:dyDescent="0.35">
      <c r="A737" t="s">
        <v>767</v>
      </c>
      <c r="B737">
        <v>334489</v>
      </c>
      <c r="C737">
        <v>133795.6</v>
      </c>
      <c r="D737">
        <v>66897.8</v>
      </c>
      <c r="E737">
        <v>84291.23</v>
      </c>
      <c r="F737">
        <v>33448.9</v>
      </c>
      <c r="G737">
        <v>318433.53000000003</v>
      </c>
    </row>
    <row r="738" spans="1:7" x14ac:dyDescent="0.35">
      <c r="A738" t="s">
        <v>768</v>
      </c>
      <c r="B738">
        <v>1698384.8</v>
      </c>
      <c r="C738">
        <v>679353.92</v>
      </c>
      <c r="D738">
        <v>339676.96</v>
      </c>
      <c r="E738">
        <v>427992.97</v>
      </c>
      <c r="F738">
        <v>169838.48</v>
      </c>
      <c r="G738">
        <v>1616862.33</v>
      </c>
    </row>
    <row r="739" spans="1:7" x14ac:dyDescent="0.35">
      <c r="A739" t="s">
        <v>769</v>
      </c>
      <c r="B739">
        <v>1878009.21</v>
      </c>
      <c r="C739">
        <v>751203.68</v>
      </c>
      <c r="D739">
        <v>375601.84</v>
      </c>
      <c r="E739">
        <v>473258.32</v>
      </c>
      <c r="F739">
        <v>187800.92</v>
      </c>
      <c r="G739">
        <v>1787864.77</v>
      </c>
    </row>
    <row r="740" spans="1:7" x14ac:dyDescent="0.35">
      <c r="A740" t="s">
        <v>770</v>
      </c>
      <c r="B740">
        <v>1342737.2</v>
      </c>
      <c r="C740">
        <v>537094.88</v>
      </c>
      <c r="D740">
        <v>268547.44</v>
      </c>
      <c r="E740">
        <v>338369.77</v>
      </c>
      <c r="F740">
        <v>134273.72</v>
      </c>
      <c r="G740">
        <v>1278285.81</v>
      </c>
    </row>
    <row r="741" spans="1:7" x14ac:dyDescent="0.35">
      <c r="A741" t="s">
        <v>771</v>
      </c>
      <c r="B741">
        <v>1101604</v>
      </c>
      <c r="C741">
        <v>440641.6</v>
      </c>
      <c r="D741">
        <v>220320.8</v>
      </c>
      <c r="E741">
        <v>277604.21000000002</v>
      </c>
      <c r="F741">
        <v>110160.4</v>
      </c>
      <c r="G741">
        <v>1048727.01</v>
      </c>
    </row>
    <row r="742" spans="1:7" x14ac:dyDescent="0.35">
      <c r="A742" t="s">
        <v>772</v>
      </c>
      <c r="B742">
        <v>1363216.75</v>
      </c>
      <c r="C742">
        <v>545286.69999999995</v>
      </c>
      <c r="D742">
        <v>272643.34999999998</v>
      </c>
      <c r="E742">
        <v>343530.62</v>
      </c>
      <c r="F742">
        <v>136321.67000000001</v>
      </c>
      <c r="G742">
        <v>1297782.3500000001</v>
      </c>
    </row>
    <row r="743" spans="1:7" x14ac:dyDescent="0.35">
      <c r="A743" t="s">
        <v>773</v>
      </c>
      <c r="B743">
        <v>993328.8</v>
      </c>
      <c r="C743">
        <v>397331.52</v>
      </c>
      <c r="D743">
        <v>198665.76</v>
      </c>
      <c r="E743">
        <v>250318.86</v>
      </c>
      <c r="F743">
        <v>99332.88</v>
      </c>
      <c r="G743">
        <v>945649.02</v>
      </c>
    </row>
    <row r="744" spans="1:7" x14ac:dyDescent="0.35">
      <c r="A744" t="s">
        <v>774</v>
      </c>
      <c r="B744">
        <v>1687139.58</v>
      </c>
      <c r="C744">
        <v>674855.83</v>
      </c>
      <c r="D744">
        <v>337427.92</v>
      </c>
      <c r="E744">
        <v>425159.17</v>
      </c>
      <c r="F744">
        <v>168713.96</v>
      </c>
      <c r="G744">
        <v>1606156.88</v>
      </c>
    </row>
    <row r="745" spans="1:7" x14ac:dyDescent="0.35">
      <c r="A745" t="s">
        <v>775</v>
      </c>
      <c r="B745">
        <v>1440977.86</v>
      </c>
      <c r="C745">
        <v>576391.14</v>
      </c>
      <c r="D745">
        <v>288195.57</v>
      </c>
      <c r="E745">
        <v>363126.42</v>
      </c>
      <c r="F745">
        <v>144097.79</v>
      </c>
      <c r="G745">
        <v>1371810.92</v>
      </c>
    </row>
    <row r="746" spans="1:7" x14ac:dyDescent="0.35">
      <c r="A746" t="s">
        <v>776</v>
      </c>
      <c r="B746">
        <v>654740.4</v>
      </c>
      <c r="C746">
        <v>261896.16</v>
      </c>
      <c r="D746">
        <v>130948.08</v>
      </c>
      <c r="E746">
        <v>164994.57999999999</v>
      </c>
      <c r="F746">
        <v>65474.04</v>
      </c>
      <c r="G746">
        <v>623312.86</v>
      </c>
    </row>
    <row r="747" spans="1:7" x14ac:dyDescent="0.35">
      <c r="A747" t="s">
        <v>777</v>
      </c>
      <c r="B747">
        <v>1555548</v>
      </c>
      <c r="C747">
        <v>622219.19999999995</v>
      </c>
      <c r="D747">
        <v>311109.59999999998</v>
      </c>
      <c r="E747">
        <v>391998.1</v>
      </c>
      <c r="F747">
        <v>155554.79999999999</v>
      </c>
      <c r="G747">
        <v>1480881.7</v>
      </c>
    </row>
    <row r="748" spans="1:7" x14ac:dyDescent="0.35">
      <c r="A748" t="s">
        <v>778</v>
      </c>
      <c r="B748">
        <v>1224985.1000000001</v>
      </c>
      <c r="C748">
        <v>489994.04</v>
      </c>
      <c r="D748">
        <v>244997.02</v>
      </c>
      <c r="E748">
        <v>308696.25</v>
      </c>
      <c r="F748">
        <v>122498.51</v>
      </c>
      <c r="G748">
        <v>1166185.82</v>
      </c>
    </row>
    <row r="749" spans="1:7" x14ac:dyDescent="0.35">
      <c r="A749" t="s">
        <v>779</v>
      </c>
      <c r="B749">
        <v>975174.05</v>
      </c>
      <c r="C749">
        <v>390069.62</v>
      </c>
      <c r="D749">
        <v>195034.81</v>
      </c>
      <c r="E749">
        <v>245743.86</v>
      </c>
      <c r="F749">
        <v>97517.4</v>
      </c>
      <c r="G749">
        <v>928365.7</v>
      </c>
    </row>
    <row r="750" spans="1:7" x14ac:dyDescent="0.35">
      <c r="A750" t="s">
        <v>780</v>
      </c>
      <c r="B750">
        <v>927576.1</v>
      </c>
      <c r="C750">
        <v>371030.44</v>
      </c>
      <c r="D750">
        <v>185515.22</v>
      </c>
      <c r="E750">
        <v>233749.18</v>
      </c>
      <c r="F750">
        <v>92757.61</v>
      </c>
      <c r="G750">
        <v>883052.45</v>
      </c>
    </row>
    <row r="751" spans="1:7" x14ac:dyDescent="0.35">
      <c r="A751" t="s">
        <v>781</v>
      </c>
      <c r="B751">
        <v>1538639.76</v>
      </c>
      <c r="C751">
        <v>615455.9</v>
      </c>
      <c r="D751">
        <v>307727.95</v>
      </c>
      <c r="E751">
        <v>387737.22</v>
      </c>
      <c r="F751">
        <v>153863.98000000001</v>
      </c>
      <c r="G751">
        <v>1464785.05</v>
      </c>
    </row>
    <row r="752" spans="1:7" x14ac:dyDescent="0.35">
      <c r="A752" t="s">
        <v>782</v>
      </c>
      <c r="B752">
        <v>604893.5</v>
      </c>
      <c r="C752">
        <v>241957.4</v>
      </c>
      <c r="D752">
        <v>120978.7</v>
      </c>
      <c r="E752">
        <v>152433.16</v>
      </c>
      <c r="F752">
        <v>60489.35</v>
      </c>
      <c r="G752">
        <v>575858.61</v>
      </c>
    </row>
    <row r="753" spans="1:7" x14ac:dyDescent="0.35">
      <c r="A753" t="s">
        <v>783</v>
      </c>
      <c r="B753">
        <v>572482.80000000005</v>
      </c>
      <c r="C753">
        <v>228993.12</v>
      </c>
      <c r="D753">
        <v>114496.56</v>
      </c>
      <c r="E753">
        <v>144265.67000000001</v>
      </c>
      <c r="F753">
        <v>57248.28</v>
      </c>
      <c r="G753">
        <v>545003.63</v>
      </c>
    </row>
    <row r="754" spans="1:7" x14ac:dyDescent="0.35">
      <c r="A754" t="s">
        <v>784</v>
      </c>
      <c r="B754">
        <v>1068681.6000000001</v>
      </c>
      <c r="C754">
        <v>427472.64000000001</v>
      </c>
      <c r="D754">
        <v>213736.32000000001</v>
      </c>
      <c r="E754">
        <v>269307.76</v>
      </c>
      <c r="F754">
        <v>106868.16</v>
      </c>
      <c r="G754">
        <v>1017384.88</v>
      </c>
    </row>
    <row r="755" spans="1:7" x14ac:dyDescent="0.35">
      <c r="A755" t="s">
        <v>785</v>
      </c>
      <c r="B755">
        <v>1984612.13</v>
      </c>
      <c r="C755">
        <v>793844.85</v>
      </c>
      <c r="D755">
        <v>396922.43</v>
      </c>
      <c r="E755">
        <v>500122.26</v>
      </c>
      <c r="F755">
        <v>198461.21</v>
      </c>
      <c r="G755">
        <v>1889350.75</v>
      </c>
    </row>
    <row r="756" spans="1:7" x14ac:dyDescent="0.35">
      <c r="A756" t="s">
        <v>786</v>
      </c>
      <c r="B756">
        <v>1468206.95</v>
      </c>
      <c r="C756">
        <v>587282.78</v>
      </c>
      <c r="D756">
        <v>293641.39</v>
      </c>
      <c r="E756">
        <v>369988.15</v>
      </c>
      <c r="F756">
        <v>146820.70000000001</v>
      </c>
      <c r="G756">
        <v>1397733.02</v>
      </c>
    </row>
    <row r="757" spans="1:7" x14ac:dyDescent="0.35">
      <c r="A757" t="s">
        <v>787</v>
      </c>
      <c r="B757">
        <v>678277.2</v>
      </c>
      <c r="C757">
        <v>271310.88</v>
      </c>
      <c r="D757">
        <v>135655.44</v>
      </c>
      <c r="E757">
        <v>170925.85</v>
      </c>
      <c r="F757">
        <v>67827.72</v>
      </c>
      <c r="G757">
        <v>645719.89</v>
      </c>
    </row>
    <row r="758" spans="1:7" x14ac:dyDescent="0.35">
      <c r="A758" t="s">
        <v>788</v>
      </c>
      <c r="B758">
        <v>1513944.6</v>
      </c>
      <c r="C758">
        <v>605577.84</v>
      </c>
      <c r="D758">
        <v>302788.92</v>
      </c>
      <c r="E758">
        <v>381514.04</v>
      </c>
      <c r="F758">
        <v>151394.46</v>
      </c>
      <c r="G758">
        <v>1441275.26</v>
      </c>
    </row>
    <row r="759" spans="1:7" x14ac:dyDescent="0.35">
      <c r="A759" t="s">
        <v>789</v>
      </c>
      <c r="B759">
        <v>955397.52</v>
      </c>
      <c r="C759">
        <v>382159.01</v>
      </c>
      <c r="D759">
        <v>191079.5</v>
      </c>
      <c r="E759">
        <v>240760.18</v>
      </c>
      <c r="F759">
        <v>95539.75</v>
      </c>
      <c r="G759">
        <v>909538.44</v>
      </c>
    </row>
    <row r="760" spans="1:7" x14ac:dyDescent="0.35">
      <c r="A760" t="s">
        <v>790</v>
      </c>
      <c r="B760">
        <v>1045663.2</v>
      </c>
      <c r="C760">
        <v>418265.28</v>
      </c>
      <c r="D760">
        <v>209132.64</v>
      </c>
      <c r="E760">
        <v>263507.13</v>
      </c>
      <c r="F760">
        <v>104566.32</v>
      </c>
      <c r="G760">
        <v>995471.37</v>
      </c>
    </row>
    <row r="761" spans="1:7" x14ac:dyDescent="0.35">
      <c r="A761" t="s">
        <v>791</v>
      </c>
      <c r="B761">
        <v>938682.08</v>
      </c>
      <c r="C761">
        <v>375472.83</v>
      </c>
      <c r="D761">
        <v>187736.42</v>
      </c>
      <c r="E761">
        <v>236547.88</v>
      </c>
      <c r="F761">
        <v>93868.21</v>
      </c>
      <c r="G761">
        <v>893625.34</v>
      </c>
    </row>
    <row r="762" spans="1:7" x14ac:dyDescent="0.35">
      <c r="A762" t="s">
        <v>792</v>
      </c>
      <c r="B762">
        <v>1099740.8999999999</v>
      </c>
      <c r="C762">
        <v>439896.36</v>
      </c>
      <c r="D762">
        <v>219948.18</v>
      </c>
      <c r="E762">
        <v>277134.71000000002</v>
      </c>
      <c r="F762">
        <v>109974.09</v>
      </c>
      <c r="G762">
        <v>1046953.34</v>
      </c>
    </row>
    <row r="763" spans="1:7" x14ac:dyDescent="0.35">
      <c r="A763" t="s">
        <v>793</v>
      </c>
      <c r="B763">
        <v>1682556.3</v>
      </c>
      <c r="C763">
        <v>673022.52</v>
      </c>
      <c r="D763">
        <v>336511.26</v>
      </c>
      <c r="E763">
        <v>424004.19</v>
      </c>
      <c r="F763">
        <v>168255.63</v>
      </c>
      <c r="G763">
        <v>1601793.6</v>
      </c>
    </row>
    <row r="764" spans="1:7" x14ac:dyDescent="0.35">
      <c r="A764" t="s">
        <v>794</v>
      </c>
      <c r="B764">
        <v>851002.02</v>
      </c>
      <c r="C764">
        <v>340400.81</v>
      </c>
      <c r="D764">
        <v>170200.4</v>
      </c>
      <c r="E764">
        <v>214452.51</v>
      </c>
      <c r="F764">
        <v>85100.2</v>
      </c>
      <c r="G764">
        <v>810153.92</v>
      </c>
    </row>
    <row r="765" spans="1:7" x14ac:dyDescent="0.35">
      <c r="A765" t="s">
        <v>795</v>
      </c>
      <c r="B765">
        <v>1209367.67</v>
      </c>
      <c r="C765">
        <v>483747.07</v>
      </c>
      <c r="D765">
        <v>241873.53</v>
      </c>
      <c r="E765">
        <v>304760.65000000002</v>
      </c>
      <c r="F765">
        <v>120936.77</v>
      </c>
      <c r="G765">
        <v>1151318.02</v>
      </c>
    </row>
    <row r="766" spans="1:7" x14ac:dyDescent="0.35">
      <c r="A766" t="s">
        <v>796</v>
      </c>
      <c r="B766">
        <v>774461.85</v>
      </c>
      <c r="C766">
        <v>309784.74</v>
      </c>
      <c r="D766">
        <v>154892.37</v>
      </c>
      <c r="E766">
        <v>195164.39</v>
      </c>
      <c r="F766">
        <v>77446.179999999993</v>
      </c>
      <c r="G766">
        <v>737287.68000000005</v>
      </c>
    </row>
    <row r="767" spans="1:7" x14ac:dyDescent="0.35">
      <c r="A767" t="s">
        <v>797</v>
      </c>
      <c r="B767">
        <v>1073910.6000000001</v>
      </c>
      <c r="C767">
        <v>429564.24</v>
      </c>
      <c r="D767">
        <v>214782.12</v>
      </c>
      <c r="E767">
        <v>270625.46999999997</v>
      </c>
      <c r="F767">
        <v>107391.06</v>
      </c>
      <c r="G767">
        <v>1022362.89</v>
      </c>
    </row>
    <row r="768" spans="1:7" x14ac:dyDescent="0.35">
      <c r="A768" t="s">
        <v>798</v>
      </c>
      <c r="B768">
        <v>940527.6</v>
      </c>
      <c r="C768">
        <v>376211.04</v>
      </c>
      <c r="D768">
        <v>188105.52</v>
      </c>
      <c r="E768">
        <v>237012.96</v>
      </c>
      <c r="F768">
        <v>94052.76</v>
      </c>
      <c r="G768">
        <v>895382.28</v>
      </c>
    </row>
    <row r="769" spans="1:7" x14ac:dyDescent="0.35">
      <c r="A769" t="s">
        <v>799</v>
      </c>
      <c r="B769">
        <v>584626</v>
      </c>
      <c r="C769">
        <v>233850.4</v>
      </c>
      <c r="D769">
        <v>116925.2</v>
      </c>
      <c r="E769">
        <v>147325.75</v>
      </c>
      <c r="F769">
        <v>58462.6</v>
      </c>
      <c r="G769">
        <v>556563.94999999995</v>
      </c>
    </row>
    <row r="770" spans="1:7" x14ac:dyDescent="0.35">
      <c r="A770" t="s">
        <v>800</v>
      </c>
      <c r="B770">
        <v>1176446.94</v>
      </c>
      <c r="C770">
        <v>470578.78</v>
      </c>
      <c r="D770">
        <v>235289.39</v>
      </c>
      <c r="E770">
        <v>296464.63</v>
      </c>
      <c r="F770">
        <v>117644.69</v>
      </c>
      <c r="G770">
        <v>1119977.49</v>
      </c>
    </row>
    <row r="771" spans="1:7" x14ac:dyDescent="0.35">
      <c r="A771" t="s">
        <v>801</v>
      </c>
      <c r="B771">
        <v>515138.4</v>
      </c>
      <c r="C771">
        <v>206055.36</v>
      </c>
      <c r="D771">
        <v>103027.68</v>
      </c>
      <c r="E771">
        <v>129814.88</v>
      </c>
      <c r="F771">
        <v>51513.84</v>
      </c>
      <c r="G771">
        <v>490411.76</v>
      </c>
    </row>
    <row r="772" spans="1:7" x14ac:dyDescent="0.35">
      <c r="A772" t="s">
        <v>802</v>
      </c>
      <c r="B772">
        <v>1453231.91</v>
      </c>
      <c r="C772">
        <v>581292.76</v>
      </c>
      <c r="D772">
        <v>290646.38</v>
      </c>
      <c r="E772">
        <v>366214.44</v>
      </c>
      <c r="F772">
        <v>145323.19</v>
      </c>
      <c r="G772">
        <v>1383476.78</v>
      </c>
    </row>
    <row r="773" spans="1:7" x14ac:dyDescent="0.35">
      <c r="A773" t="s">
        <v>803</v>
      </c>
      <c r="B773">
        <v>1417084.3</v>
      </c>
      <c r="C773">
        <v>566833.72</v>
      </c>
      <c r="D773">
        <v>283416.86</v>
      </c>
      <c r="E773">
        <v>357105.24</v>
      </c>
      <c r="F773">
        <v>141708.43</v>
      </c>
      <c r="G773">
        <v>1349064.25</v>
      </c>
    </row>
    <row r="774" spans="1:7" x14ac:dyDescent="0.35">
      <c r="A774" t="s">
        <v>804</v>
      </c>
      <c r="B774">
        <v>1394195.58</v>
      </c>
      <c r="C774">
        <v>557678.23</v>
      </c>
      <c r="D774">
        <v>278839.12</v>
      </c>
      <c r="E774">
        <v>351337.29</v>
      </c>
      <c r="F774">
        <v>139419.56</v>
      </c>
      <c r="G774">
        <v>1327274.2</v>
      </c>
    </row>
    <row r="775" spans="1:7" x14ac:dyDescent="0.35">
      <c r="A775" t="s">
        <v>805</v>
      </c>
      <c r="B775">
        <v>1947339.55</v>
      </c>
      <c r="C775">
        <v>778935.82</v>
      </c>
      <c r="D775">
        <v>389467.91</v>
      </c>
      <c r="E775">
        <v>490729.57</v>
      </c>
      <c r="F775">
        <v>194733.95</v>
      </c>
      <c r="G775">
        <v>1853867.25</v>
      </c>
    </row>
    <row r="776" spans="1:7" x14ac:dyDescent="0.35">
      <c r="A776" t="s">
        <v>806</v>
      </c>
      <c r="B776">
        <v>752421.6</v>
      </c>
      <c r="C776">
        <v>300968.64</v>
      </c>
      <c r="D776">
        <v>150484.32</v>
      </c>
      <c r="E776">
        <v>189610.23999999999</v>
      </c>
      <c r="F776">
        <v>75242.16</v>
      </c>
      <c r="G776">
        <v>716305.36</v>
      </c>
    </row>
    <row r="777" spans="1:7" x14ac:dyDescent="0.35">
      <c r="A777" t="s">
        <v>807</v>
      </c>
      <c r="B777">
        <v>1248723.7</v>
      </c>
      <c r="C777">
        <v>499489.48</v>
      </c>
      <c r="D777">
        <v>249744.74</v>
      </c>
      <c r="E777">
        <v>314678.37</v>
      </c>
      <c r="F777">
        <v>124872.37</v>
      </c>
      <c r="G777">
        <v>1188784.96</v>
      </c>
    </row>
    <row r="778" spans="1:7" x14ac:dyDescent="0.35">
      <c r="A778" t="s">
        <v>808</v>
      </c>
      <c r="B778">
        <v>1910581.4</v>
      </c>
      <c r="C778">
        <v>764232.56</v>
      </c>
      <c r="D778">
        <v>382116.28</v>
      </c>
      <c r="E778">
        <v>481466.51</v>
      </c>
      <c r="F778">
        <v>191058.14</v>
      </c>
      <c r="G778">
        <v>1818873.49</v>
      </c>
    </row>
    <row r="779" spans="1:7" x14ac:dyDescent="0.35">
      <c r="A779" t="s">
        <v>809</v>
      </c>
      <c r="B779">
        <v>495312</v>
      </c>
      <c r="C779">
        <v>198124.79999999999</v>
      </c>
      <c r="D779">
        <v>99062.399999999994</v>
      </c>
      <c r="E779">
        <v>124818.62</v>
      </c>
      <c r="F779">
        <v>49531.199999999997</v>
      </c>
      <c r="G779">
        <v>471537.02</v>
      </c>
    </row>
    <row r="780" spans="1:7" x14ac:dyDescent="0.35">
      <c r="A780" t="s">
        <v>810</v>
      </c>
      <c r="B780">
        <v>1110012.68</v>
      </c>
      <c r="C780">
        <v>444005.07</v>
      </c>
      <c r="D780">
        <v>222002.54</v>
      </c>
      <c r="E780">
        <v>279723.2</v>
      </c>
      <c r="F780">
        <v>111001.27</v>
      </c>
      <c r="G780">
        <v>1056732.07</v>
      </c>
    </row>
    <row r="781" spans="1:7" x14ac:dyDescent="0.35">
      <c r="A781" t="s">
        <v>811</v>
      </c>
      <c r="B781">
        <v>609431.19999999995</v>
      </c>
      <c r="C781">
        <v>243772.48</v>
      </c>
      <c r="D781">
        <v>121886.24</v>
      </c>
      <c r="E781">
        <v>153576.66</v>
      </c>
      <c r="F781">
        <v>60943.12</v>
      </c>
      <c r="G781">
        <v>580178.5</v>
      </c>
    </row>
    <row r="782" spans="1:7" x14ac:dyDescent="0.35">
      <c r="A782" t="s">
        <v>812</v>
      </c>
      <c r="B782">
        <v>955554</v>
      </c>
      <c r="C782">
        <v>382221.6</v>
      </c>
      <c r="D782">
        <v>191110.8</v>
      </c>
      <c r="E782">
        <v>240799.61</v>
      </c>
      <c r="F782">
        <v>95555.4</v>
      </c>
      <c r="G782">
        <v>909687.41</v>
      </c>
    </row>
    <row r="783" spans="1:7" x14ac:dyDescent="0.35">
      <c r="A783" t="s">
        <v>813</v>
      </c>
      <c r="B783">
        <v>1423084.04</v>
      </c>
      <c r="C783">
        <v>569233.62</v>
      </c>
      <c r="D783">
        <v>284616.81</v>
      </c>
      <c r="E783">
        <v>358617.18</v>
      </c>
      <c r="F783">
        <v>142308.4</v>
      </c>
      <c r="G783">
        <v>1354776.01</v>
      </c>
    </row>
    <row r="784" spans="1:7" x14ac:dyDescent="0.35">
      <c r="A784" t="s">
        <v>814</v>
      </c>
      <c r="B784">
        <v>994301</v>
      </c>
      <c r="C784">
        <v>397720.4</v>
      </c>
      <c r="D784">
        <v>198860.2</v>
      </c>
      <c r="E784">
        <v>250563.85</v>
      </c>
      <c r="F784">
        <v>99430.1</v>
      </c>
      <c r="G784">
        <v>946574.55</v>
      </c>
    </row>
    <row r="785" spans="1:7" x14ac:dyDescent="0.35">
      <c r="A785" t="s">
        <v>815</v>
      </c>
      <c r="B785">
        <v>834232</v>
      </c>
      <c r="C785">
        <v>333692.79999999999</v>
      </c>
      <c r="D785">
        <v>166846.39999999999</v>
      </c>
      <c r="E785">
        <v>210226.46</v>
      </c>
      <c r="F785">
        <v>83423.199999999997</v>
      </c>
      <c r="G785">
        <v>794188.86</v>
      </c>
    </row>
    <row r="786" spans="1:7" x14ac:dyDescent="0.35">
      <c r="A786" t="s">
        <v>816</v>
      </c>
      <c r="B786">
        <v>1053990.99</v>
      </c>
      <c r="C786">
        <v>421596.4</v>
      </c>
      <c r="D786">
        <v>210798.2</v>
      </c>
      <c r="E786">
        <v>265605.73</v>
      </c>
      <c r="F786">
        <v>105399.1</v>
      </c>
      <c r="G786">
        <v>1003399.42</v>
      </c>
    </row>
    <row r="787" spans="1:7" x14ac:dyDescent="0.35">
      <c r="A787" t="s">
        <v>817</v>
      </c>
      <c r="B787">
        <v>1179964.98</v>
      </c>
      <c r="C787">
        <v>471985.99</v>
      </c>
      <c r="D787">
        <v>235993</v>
      </c>
      <c r="E787">
        <v>297351.17</v>
      </c>
      <c r="F787">
        <v>117996.5</v>
      </c>
      <c r="G787">
        <v>1123326.6599999999</v>
      </c>
    </row>
    <row r="788" spans="1:7" x14ac:dyDescent="0.35">
      <c r="A788" t="s">
        <v>818</v>
      </c>
      <c r="B788">
        <v>923442.46</v>
      </c>
      <c r="C788">
        <v>369376.99</v>
      </c>
      <c r="D788">
        <v>184688.49</v>
      </c>
      <c r="E788">
        <v>232707.5</v>
      </c>
      <c r="F788">
        <v>92344.25</v>
      </c>
      <c r="G788">
        <v>879117.23</v>
      </c>
    </row>
    <row r="789" spans="1:7" x14ac:dyDescent="0.35">
      <c r="A789" t="s">
        <v>819</v>
      </c>
      <c r="B789">
        <v>1899684.12</v>
      </c>
      <c r="C789">
        <v>759873.65</v>
      </c>
      <c r="D789">
        <v>379936.83</v>
      </c>
      <c r="E789">
        <v>478720.4</v>
      </c>
      <c r="F789">
        <v>189968.41</v>
      </c>
      <c r="G789">
        <v>1808499.29</v>
      </c>
    </row>
    <row r="790" spans="1:7" x14ac:dyDescent="0.35">
      <c r="A790" t="s">
        <v>820</v>
      </c>
      <c r="B790">
        <v>568326.48</v>
      </c>
      <c r="C790">
        <v>227330.59</v>
      </c>
      <c r="D790">
        <v>113665.3</v>
      </c>
      <c r="E790">
        <v>143218.26999999999</v>
      </c>
      <c r="F790">
        <v>56832.65</v>
      </c>
      <c r="G790">
        <v>541046.81000000006</v>
      </c>
    </row>
    <row r="791" spans="1:7" x14ac:dyDescent="0.35">
      <c r="A791" t="s">
        <v>821</v>
      </c>
      <c r="B791">
        <v>910337.88</v>
      </c>
      <c r="C791">
        <v>364135.15</v>
      </c>
      <c r="D791">
        <v>182067.58</v>
      </c>
      <c r="E791">
        <v>229405.15</v>
      </c>
      <c r="F791">
        <v>91033.79</v>
      </c>
      <c r="G791">
        <v>866641.66</v>
      </c>
    </row>
    <row r="792" spans="1:7" x14ac:dyDescent="0.35">
      <c r="A792" t="s">
        <v>822</v>
      </c>
      <c r="B792">
        <v>1379088.88</v>
      </c>
      <c r="C792">
        <v>551635.55000000005</v>
      </c>
      <c r="D792">
        <v>275817.77</v>
      </c>
      <c r="E792">
        <v>347530.4</v>
      </c>
      <c r="F792">
        <v>137908.89000000001</v>
      </c>
      <c r="G792">
        <v>1312892.6100000001</v>
      </c>
    </row>
    <row r="793" spans="1:7" x14ac:dyDescent="0.35">
      <c r="A793" t="s">
        <v>823</v>
      </c>
      <c r="B793">
        <v>2028512.01</v>
      </c>
      <c r="C793">
        <v>811404.80000000005</v>
      </c>
      <c r="D793">
        <v>405702.40000000002</v>
      </c>
      <c r="E793">
        <v>511185.03</v>
      </c>
      <c r="F793">
        <v>202851.20000000001</v>
      </c>
      <c r="G793">
        <v>1931143.43</v>
      </c>
    </row>
    <row r="794" spans="1:7" x14ac:dyDescent="0.35">
      <c r="A794" t="s">
        <v>824</v>
      </c>
      <c r="B794">
        <v>1187052.46</v>
      </c>
      <c r="C794">
        <v>474820.98</v>
      </c>
      <c r="D794">
        <v>237410.49</v>
      </c>
      <c r="E794">
        <v>299137.21999999997</v>
      </c>
      <c r="F794">
        <v>118705.25</v>
      </c>
      <c r="G794">
        <v>1130073.94</v>
      </c>
    </row>
    <row r="795" spans="1:7" x14ac:dyDescent="0.35">
      <c r="A795" t="s">
        <v>825</v>
      </c>
      <c r="B795">
        <v>707926.32</v>
      </c>
      <c r="C795">
        <v>283170.53000000003</v>
      </c>
      <c r="D795">
        <v>141585.26</v>
      </c>
      <c r="E795">
        <v>178397.43</v>
      </c>
      <c r="F795">
        <v>70792.63</v>
      </c>
      <c r="G795">
        <v>673945.86</v>
      </c>
    </row>
    <row r="796" spans="1:7" x14ac:dyDescent="0.35">
      <c r="A796" t="s">
        <v>826</v>
      </c>
      <c r="B796">
        <v>1004606.76</v>
      </c>
      <c r="C796">
        <v>401842.7</v>
      </c>
      <c r="D796">
        <v>200921.35</v>
      </c>
      <c r="E796">
        <v>253160.9</v>
      </c>
      <c r="F796">
        <v>100460.68</v>
      </c>
      <c r="G796">
        <v>956385.64</v>
      </c>
    </row>
    <row r="797" spans="1:7" x14ac:dyDescent="0.35">
      <c r="A797" t="s">
        <v>827</v>
      </c>
      <c r="B797">
        <v>622026.18000000005</v>
      </c>
      <c r="C797">
        <v>248810.47</v>
      </c>
      <c r="D797">
        <v>124405.24</v>
      </c>
      <c r="E797">
        <v>156750.6</v>
      </c>
      <c r="F797">
        <v>62202.62</v>
      </c>
      <c r="G797">
        <v>592168.92000000004</v>
      </c>
    </row>
    <row r="798" spans="1:7" x14ac:dyDescent="0.35">
      <c r="A798" t="s">
        <v>828</v>
      </c>
      <c r="B798">
        <v>1476791.4</v>
      </c>
      <c r="C798">
        <v>590716.56000000006</v>
      </c>
      <c r="D798">
        <v>295358.28000000003</v>
      </c>
      <c r="E798">
        <v>372151.43</v>
      </c>
      <c r="F798">
        <v>147679.14000000001</v>
      </c>
      <c r="G798">
        <v>1405905.41</v>
      </c>
    </row>
    <row r="799" spans="1:7" x14ac:dyDescent="0.35">
      <c r="A799" t="s">
        <v>829</v>
      </c>
      <c r="B799">
        <v>1556540.23</v>
      </c>
      <c r="C799">
        <v>622616.09</v>
      </c>
      <c r="D799">
        <v>311308.05</v>
      </c>
      <c r="E799">
        <v>392248.14</v>
      </c>
      <c r="F799">
        <v>155654.01999999999</v>
      </c>
      <c r="G799">
        <v>1481826.3</v>
      </c>
    </row>
    <row r="800" spans="1:7" x14ac:dyDescent="0.35">
      <c r="A800" t="s">
        <v>830</v>
      </c>
      <c r="B800">
        <v>989494</v>
      </c>
      <c r="C800">
        <v>395797.6</v>
      </c>
      <c r="D800">
        <v>197898.8</v>
      </c>
      <c r="E800">
        <v>249352.49</v>
      </c>
      <c r="F800">
        <v>98949.4</v>
      </c>
      <c r="G800">
        <v>941998.29</v>
      </c>
    </row>
    <row r="801" spans="1:7" x14ac:dyDescent="0.35">
      <c r="A801" t="s">
        <v>831</v>
      </c>
      <c r="B801">
        <v>1161378</v>
      </c>
      <c r="C801">
        <v>464551.2</v>
      </c>
      <c r="D801">
        <v>232275.6</v>
      </c>
      <c r="E801">
        <v>292667.26</v>
      </c>
      <c r="F801">
        <v>116137.8</v>
      </c>
      <c r="G801">
        <v>1105631.8600000001</v>
      </c>
    </row>
    <row r="802" spans="1:7" x14ac:dyDescent="0.35">
      <c r="A802" t="s">
        <v>832</v>
      </c>
      <c r="B802">
        <v>1095701.5900000001</v>
      </c>
      <c r="C802">
        <v>438280.64</v>
      </c>
      <c r="D802">
        <v>219140.32</v>
      </c>
      <c r="E802">
        <v>276116.8</v>
      </c>
      <c r="F802">
        <v>109570.16</v>
      </c>
      <c r="G802">
        <v>1043107.92</v>
      </c>
    </row>
    <row r="803" spans="1:7" x14ac:dyDescent="0.35">
      <c r="A803" t="s">
        <v>833</v>
      </c>
      <c r="B803">
        <v>1029309</v>
      </c>
      <c r="C803">
        <v>411723.6</v>
      </c>
      <c r="D803">
        <v>205861.8</v>
      </c>
      <c r="E803">
        <v>259385.87</v>
      </c>
      <c r="F803">
        <v>102930.9</v>
      </c>
      <c r="G803">
        <v>979902.17</v>
      </c>
    </row>
    <row r="804" spans="1:7" x14ac:dyDescent="0.35">
      <c r="A804" t="s">
        <v>834</v>
      </c>
      <c r="B804">
        <v>1150734.6200000001</v>
      </c>
      <c r="C804">
        <v>460293.85</v>
      </c>
      <c r="D804">
        <v>230146.92</v>
      </c>
      <c r="E804">
        <v>289985.12</v>
      </c>
      <c r="F804">
        <v>115073.46</v>
      </c>
      <c r="G804">
        <v>1095499.3600000001</v>
      </c>
    </row>
    <row r="805" spans="1:7" x14ac:dyDescent="0.35">
      <c r="A805" t="s">
        <v>835</v>
      </c>
      <c r="B805">
        <v>900460.54</v>
      </c>
      <c r="C805">
        <v>360184.22</v>
      </c>
      <c r="D805">
        <v>180092.11</v>
      </c>
      <c r="E805">
        <v>226916.06</v>
      </c>
      <c r="F805">
        <v>90046.05</v>
      </c>
      <c r="G805">
        <v>857238.43</v>
      </c>
    </row>
    <row r="806" spans="1:7" x14ac:dyDescent="0.35">
      <c r="A806" t="s">
        <v>836</v>
      </c>
      <c r="B806">
        <v>591240.48</v>
      </c>
      <c r="C806">
        <v>236496.19</v>
      </c>
      <c r="D806">
        <v>118248.1</v>
      </c>
      <c r="E806">
        <v>148992.6</v>
      </c>
      <c r="F806">
        <v>59124.05</v>
      </c>
      <c r="G806">
        <v>562860.93999999994</v>
      </c>
    </row>
    <row r="807" spans="1:7" x14ac:dyDescent="0.35">
      <c r="A807" t="s">
        <v>837</v>
      </c>
      <c r="B807">
        <v>1310875.93</v>
      </c>
      <c r="C807">
        <v>524350.37</v>
      </c>
      <c r="D807">
        <v>262175.19</v>
      </c>
      <c r="E807">
        <v>330340.73</v>
      </c>
      <c r="F807">
        <v>131087.59</v>
      </c>
      <c r="G807">
        <v>1247953.8899999999</v>
      </c>
    </row>
    <row r="808" spans="1:7" x14ac:dyDescent="0.35">
      <c r="A808" t="s">
        <v>838</v>
      </c>
      <c r="B808">
        <v>1051053.3</v>
      </c>
      <c r="C808">
        <v>420421.32</v>
      </c>
      <c r="D808">
        <v>210210.66</v>
      </c>
      <c r="E808">
        <v>264865.43</v>
      </c>
      <c r="F808">
        <v>105105.33</v>
      </c>
      <c r="G808">
        <v>1000602.75</v>
      </c>
    </row>
    <row r="809" spans="1:7" x14ac:dyDescent="0.35">
      <c r="A809" t="s">
        <v>839</v>
      </c>
      <c r="B809">
        <v>686304</v>
      </c>
      <c r="C809">
        <v>274521.59999999998</v>
      </c>
      <c r="D809">
        <v>137260.79999999999</v>
      </c>
      <c r="E809">
        <v>172948.61</v>
      </c>
      <c r="F809">
        <v>68630.399999999994</v>
      </c>
      <c r="G809">
        <v>653361.41</v>
      </c>
    </row>
    <row r="810" spans="1:7" x14ac:dyDescent="0.35">
      <c r="A810" t="s">
        <v>840</v>
      </c>
      <c r="B810">
        <v>725871</v>
      </c>
      <c r="C810">
        <v>290348.40000000002</v>
      </c>
      <c r="D810">
        <v>145174.20000000001</v>
      </c>
      <c r="E810">
        <v>182919.49</v>
      </c>
      <c r="F810">
        <v>72587.100000000006</v>
      </c>
      <c r="G810">
        <v>691029.19</v>
      </c>
    </row>
    <row r="811" spans="1:7" x14ac:dyDescent="0.35">
      <c r="A811" t="s">
        <v>841</v>
      </c>
      <c r="B811">
        <v>1089700</v>
      </c>
      <c r="C811">
        <v>435880</v>
      </c>
      <c r="D811">
        <v>217940</v>
      </c>
      <c r="E811">
        <v>274604.40000000002</v>
      </c>
      <c r="F811">
        <v>108970</v>
      </c>
      <c r="G811">
        <v>1037394.4</v>
      </c>
    </row>
    <row r="812" spans="1:7" x14ac:dyDescent="0.35">
      <c r="A812" t="s">
        <v>842</v>
      </c>
      <c r="B812">
        <v>994164</v>
      </c>
      <c r="C812">
        <v>397665.6</v>
      </c>
      <c r="D812">
        <v>198832.8</v>
      </c>
      <c r="E812">
        <v>250529.33</v>
      </c>
      <c r="F812">
        <v>99416.4</v>
      </c>
      <c r="G812">
        <v>946444.13</v>
      </c>
    </row>
    <row r="813" spans="1:7" x14ac:dyDescent="0.35">
      <c r="A813" t="s">
        <v>843</v>
      </c>
      <c r="B813">
        <v>1206549.3999999999</v>
      </c>
      <c r="C813">
        <v>482619.76</v>
      </c>
      <c r="D813">
        <v>241309.88</v>
      </c>
      <c r="E813">
        <v>304050.45</v>
      </c>
      <c r="F813">
        <v>120654.94</v>
      </c>
      <c r="G813">
        <v>1148635.03</v>
      </c>
    </row>
    <row r="814" spans="1:7" x14ac:dyDescent="0.35">
      <c r="A814" t="s">
        <v>844</v>
      </c>
      <c r="B814">
        <v>653492</v>
      </c>
      <c r="C814">
        <v>261396.8</v>
      </c>
      <c r="D814">
        <v>130698.4</v>
      </c>
      <c r="E814">
        <v>164679.98000000001</v>
      </c>
      <c r="F814">
        <v>65349.2</v>
      </c>
      <c r="G814">
        <v>622124.38</v>
      </c>
    </row>
    <row r="815" spans="1:7" x14ac:dyDescent="0.35">
      <c r="A815" t="s">
        <v>845</v>
      </c>
      <c r="B815">
        <v>1906828.89</v>
      </c>
      <c r="C815">
        <v>762731.55</v>
      </c>
      <c r="D815">
        <v>381365.78</v>
      </c>
      <c r="E815">
        <v>480520.88</v>
      </c>
      <c r="F815">
        <v>190682.89</v>
      </c>
      <c r="G815">
        <v>1815301.1</v>
      </c>
    </row>
    <row r="816" spans="1:7" x14ac:dyDescent="0.35">
      <c r="A816" t="s">
        <v>846</v>
      </c>
      <c r="B816">
        <v>664510.56000000006</v>
      </c>
      <c r="C816">
        <v>265804.21999999997</v>
      </c>
      <c r="D816">
        <v>132902.10999999999</v>
      </c>
      <c r="E816">
        <v>167456.66</v>
      </c>
      <c r="F816">
        <v>66451.06</v>
      </c>
      <c r="G816">
        <v>632614.05000000005</v>
      </c>
    </row>
    <row r="817" spans="1:7" x14ac:dyDescent="0.35">
      <c r="A817" t="s">
        <v>847</v>
      </c>
      <c r="B817">
        <v>913231.2</v>
      </c>
      <c r="C817">
        <v>365292.48</v>
      </c>
      <c r="D817">
        <v>182646.24</v>
      </c>
      <c r="E817">
        <v>230134.26</v>
      </c>
      <c r="F817">
        <v>91323.12</v>
      </c>
      <c r="G817">
        <v>869396.1</v>
      </c>
    </row>
    <row r="818" spans="1:7" x14ac:dyDescent="0.35">
      <c r="A818" t="s">
        <v>848</v>
      </c>
      <c r="B818">
        <v>2476442.7000000002</v>
      </c>
      <c r="C818">
        <v>990577.08</v>
      </c>
      <c r="D818">
        <v>495288.54</v>
      </c>
      <c r="E818">
        <v>624063.56000000006</v>
      </c>
      <c r="F818">
        <v>247644.27</v>
      </c>
      <c r="G818">
        <v>2357573.4500000002</v>
      </c>
    </row>
    <row r="819" spans="1:7" x14ac:dyDescent="0.35">
      <c r="A819" t="s">
        <v>849</v>
      </c>
      <c r="B819">
        <v>1230271.3</v>
      </c>
      <c r="C819">
        <v>492108.52</v>
      </c>
      <c r="D819">
        <v>246054.26</v>
      </c>
      <c r="E819">
        <v>310028.37</v>
      </c>
      <c r="F819">
        <v>123027.13</v>
      </c>
      <c r="G819">
        <v>1171218.28</v>
      </c>
    </row>
    <row r="820" spans="1:7" x14ac:dyDescent="0.35">
      <c r="A820" t="s">
        <v>850</v>
      </c>
      <c r="B820">
        <v>1227445.2</v>
      </c>
      <c r="C820">
        <v>490978.08</v>
      </c>
      <c r="D820">
        <v>245489.04</v>
      </c>
      <c r="E820">
        <v>309316.19</v>
      </c>
      <c r="F820">
        <v>122744.52</v>
      </c>
      <c r="G820">
        <v>1168527.83</v>
      </c>
    </row>
    <row r="821" spans="1:7" x14ac:dyDescent="0.35">
      <c r="A821" t="s">
        <v>851</v>
      </c>
      <c r="B821">
        <v>1013128.26</v>
      </c>
      <c r="C821">
        <v>405251.3</v>
      </c>
      <c r="D821">
        <v>202625.65</v>
      </c>
      <c r="E821">
        <v>255308.32</v>
      </c>
      <c r="F821">
        <v>101312.83</v>
      </c>
      <c r="G821">
        <v>964498.1</v>
      </c>
    </row>
    <row r="822" spans="1:7" x14ac:dyDescent="0.35">
      <c r="A822" t="s">
        <v>852</v>
      </c>
      <c r="B822">
        <v>920617</v>
      </c>
      <c r="C822">
        <v>368246.8</v>
      </c>
      <c r="D822">
        <v>184123.4</v>
      </c>
      <c r="E822">
        <v>231995.48</v>
      </c>
      <c r="F822">
        <v>92061.7</v>
      </c>
      <c r="G822">
        <v>876427.38</v>
      </c>
    </row>
    <row r="823" spans="1:7" x14ac:dyDescent="0.35">
      <c r="A823" t="s">
        <v>853</v>
      </c>
      <c r="B823">
        <v>1622117.9</v>
      </c>
      <c r="C823">
        <v>648847.16</v>
      </c>
      <c r="D823">
        <v>324423.58</v>
      </c>
      <c r="E823">
        <v>408773.71</v>
      </c>
      <c r="F823">
        <v>162211.79</v>
      </c>
      <c r="G823">
        <v>1544256.24</v>
      </c>
    </row>
    <row r="824" spans="1:7" x14ac:dyDescent="0.35">
      <c r="A824" t="s">
        <v>854</v>
      </c>
      <c r="B824">
        <v>1287970.57</v>
      </c>
      <c r="C824">
        <v>515188.23</v>
      </c>
      <c r="D824">
        <v>257594.12</v>
      </c>
      <c r="E824">
        <v>324568.58</v>
      </c>
      <c r="F824">
        <v>128797.06</v>
      </c>
      <c r="G824">
        <v>1226147.99</v>
      </c>
    </row>
    <row r="825" spans="1:7" x14ac:dyDescent="0.35">
      <c r="A825" t="s">
        <v>855</v>
      </c>
      <c r="B825">
        <v>821480.2</v>
      </c>
      <c r="C825">
        <v>328592.08</v>
      </c>
      <c r="D825">
        <v>164296.04</v>
      </c>
      <c r="E825">
        <v>207013.01</v>
      </c>
      <c r="F825">
        <v>82148.02</v>
      </c>
      <c r="G825">
        <v>782049.15</v>
      </c>
    </row>
    <row r="826" spans="1:7" x14ac:dyDescent="0.35">
      <c r="A826" t="s">
        <v>856</v>
      </c>
      <c r="B826">
        <v>2006717.3</v>
      </c>
      <c r="C826">
        <v>802686.92</v>
      </c>
      <c r="D826">
        <v>401343.46</v>
      </c>
      <c r="E826">
        <v>505692.76</v>
      </c>
      <c r="F826">
        <v>200671.73</v>
      </c>
      <c r="G826">
        <v>1910394.87</v>
      </c>
    </row>
    <row r="827" spans="1:7" x14ac:dyDescent="0.35">
      <c r="A827" t="s">
        <v>857</v>
      </c>
      <c r="B827">
        <v>1277878.6299999999</v>
      </c>
      <c r="C827">
        <v>511151.45</v>
      </c>
      <c r="D827">
        <v>255575.73</v>
      </c>
      <c r="E827">
        <v>322025.40999999997</v>
      </c>
      <c r="F827">
        <v>127787.86</v>
      </c>
      <c r="G827">
        <v>1216540.46</v>
      </c>
    </row>
    <row r="828" spans="1:7" x14ac:dyDescent="0.35">
      <c r="A828" t="s">
        <v>858</v>
      </c>
      <c r="B828">
        <v>1276970</v>
      </c>
      <c r="C828">
        <v>510788</v>
      </c>
      <c r="D828">
        <v>255394</v>
      </c>
      <c r="E828">
        <v>321796.44</v>
      </c>
      <c r="F828">
        <v>127697</v>
      </c>
      <c r="G828">
        <v>1215675.44</v>
      </c>
    </row>
    <row r="829" spans="1:7" x14ac:dyDescent="0.35">
      <c r="A829" t="s">
        <v>859</v>
      </c>
      <c r="B829">
        <v>1039741.56</v>
      </c>
      <c r="C829">
        <v>415896.62</v>
      </c>
      <c r="D829">
        <v>207948.31</v>
      </c>
      <c r="E829">
        <v>262014.87</v>
      </c>
      <c r="F829">
        <v>103974.16</v>
      </c>
      <c r="G829">
        <v>989833.97</v>
      </c>
    </row>
    <row r="830" spans="1:7" x14ac:dyDescent="0.35">
      <c r="A830" t="s">
        <v>860</v>
      </c>
      <c r="B830">
        <v>949506.95</v>
      </c>
      <c r="C830">
        <v>379802.78</v>
      </c>
      <c r="D830">
        <v>189901.39</v>
      </c>
      <c r="E830">
        <v>239275.75</v>
      </c>
      <c r="F830">
        <v>94950.7</v>
      </c>
      <c r="G830">
        <v>903930.62</v>
      </c>
    </row>
    <row r="831" spans="1:7" x14ac:dyDescent="0.35">
      <c r="A831" t="s">
        <v>861</v>
      </c>
      <c r="B831">
        <v>648913.65</v>
      </c>
      <c r="C831">
        <v>259565.46</v>
      </c>
      <c r="D831">
        <v>129782.73</v>
      </c>
      <c r="E831">
        <v>163526.24</v>
      </c>
      <c r="F831">
        <v>64891.37</v>
      </c>
      <c r="G831">
        <v>617765.79</v>
      </c>
    </row>
    <row r="832" spans="1:7" x14ac:dyDescent="0.35">
      <c r="A832" t="s">
        <v>862</v>
      </c>
      <c r="B832">
        <v>933455.94</v>
      </c>
      <c r="C832">
        <v>373382.38</v>
      </c>
      <c r="D832">
        <v>186691.19</v>
      </c>
      <c r="E832">
        <v>235230.9</v>
      </c>
      <c r="F832">
        <v>93345.59</v>
      </c>
      <c r="G832">
        <v>888650.05</v>
      </c>
    </row>
    <row r="833" spans="1:7" x14ac:dyDescent="0.35">
      <c r="A833" t="s">
        <v>863</v>
      </c>
      <c r="B833">
        <v>864151.92</v>
      </c>
      <c r="C833">
        <v>345660.77</v>
      </c>
      <c r="D833">
        <v>172830.38</v>
      </c>
      <c r="E833">
        <v>217766.28</v>
      </c>
      <c r="F833">
        <v>86415.19</v>
      </c>
      <c r="G833">
        <v>822672.63</v>
      </c>
    </row>
    <row r="834" spans="1:7" x14ac:dyDescent="0.35">
      <c r="A834" t="s">
        <v>864</v>
      </c>
      <c r="B834">
        <v>1353013.2</v>
      </c>
      <c r="C834">
        <v>541205.28</v>
      </c>
      <c r="D834">
        <v>270602.64</v>
      </c>
      <c r="E834">
        <v>340959.33</v>
      </c>
      <c r="F834">
        <v>135301.32</v>
      </c>
      <c r="G834">
        <v>1288068.57</v>
      </c>
    </row>
    <row r="835" spans="1:7" x14ac:dyDescent="0.35">
      <c r="A835" t="s">
        <v>865</v>
      </c>
      <c r="B835">
        <v>863336.82</v>
      </c>
      <c r="C835">
        <v>345334.73</v>
      </c>
      <c r="D835">
        <v>172667.36</v>
      </c>
      <c r="E835">
        <v>217560.88</v>
      </c>
      <c r="F835">
        <v>86333.68</v>
      </c>
      <c r="G835">
        <v>821896.65</v>
      </c>
    </row>
    <row r="836" spans="1:7" x14ac:dyDescent="0.35">
      <c r="A836" t="s">
        <v>866</v>
      </c>
      <c r="B836">
        <v>1251574</v>
      </c>
      <c r="C836">
        <v>500629.6</v>
      </c>
      <c r="D836">
        <v>250314.8</v>
      </c>
      <c r="E836">
        <v>315396.65000000002</v>
      </c>
      <c r="F836">
        <v>125157.4</v>
      </c>
      <c r="G836">
        <v>1191498.45</v>
      </c>
    </row>
    <row r="837" spans="1:7" x14ac:dyDescent="0.35">
      <c r="A837" t="s">
        <v>867</v>
      </c>
      <c r="B837">
        <v>724659.05</v>
      </c>
      <c r="C837">
        <v>289863.62</v>
      </c>
      <c r="D837">
        <v>144931.81</v>
      </c>
      <c r="E837">
        <v>182614.08</v>
      </c>
      <c r="F837">
        <v>72465.899999999994</v>
      </c>
      <c r="G837">
        <v>689875.42</v>
      </c>
    </row>
    <row r="838" spans="1:7" x14ac:dyDescent="0.35">
      <c r="A838" t="s">
        <v>868</v>
      </c>
      <c r="B838">
        <v>1088185.3</v>
      </c>
      <c r="C838">
        <v>435274.12</v>
      </c>
      <c r="D838">
        <v>217637.06</v>
      </c>
      <c r="E838">
        <v>274222.7</v>
      </c>
      <c r="F838">
        <v>108818.53</v>
      </c>
      <c r="G838">
        <v>1035952.41</v>
      </c>
    </row>
    <row r="839" spans="1:7" x14ac:dyDescent="0.35">
      <c r="A839" t="s">
        <v>869</v>
      </c>
      <c r="B839">
        <v>901454</v>
      </c>
      <c r="C839">
        <v>360581.6</v>
      </c>
      <c r="D839">
        <v>180290.8</v>
      </c>
      <c r="E839">
        <v>227166.41</v>
      </c>
      <c r="F839">
        <v>90145.4</v>
      </c>
      <c r="G839">
        <v>858184.21</v>
      </c>
    </row>
    <row r="840" spans="1:7" x14ac:dyDescent="0.35">
      <c r="A840" t="s">
        <v>870</v>
      </c>
      <c r="B840">
        <v>1519863.8</v>
      </c>
      <c r="C840">
        <v>607945.52</v>
      </c>
      <c r="D840">
        <v>303972.76</v>
      </c>
      <c r="E840">
        <v>383005.68</v>
      </c>
      <c r="F840">
        <v>151986.38</v>
      </c>
      <c r="G840">
        <v>1446910.34</v>
      </c>
    </row>
    <row r="841" spans="1:7" x14ac:dyDescent="0.35">
      <c r="A841" t="s">
        <v>871</v>
      </c>
      <c r="B841">
        <v>743674</v>
      </c>
      <c r="C841">
        <v>297469.59999999998</v>
      </c>
      <c r="D841">
        <v>148734.79999999999</v>
      </c>
      <c r="E841">
        <v>187405.85</v>
      </c>
      <c r="F841">
        <v>74367.399999999994</v>
      </c>
      <c r="G841">
        <v>707977.65</v>
      </c>
    </row>
    <row r="842" spans="1:7" x14ac:dyDescent="0.35">
      <c r="A842" t="s">
        <v>872</v>
      </c>
      <c r="B842">
        <v>992754.75</v>
      </c>
      <c r="C842">
        <v>397101.9</v>
      </c>
      <c r="D842">
        <v>198550.95</v>
      </c>
      <c r="E842">
        <v>250174.2</v>
      </c>
      <c r="F842">
        <v>99275.48</v>
      </c>
      <c r="G842">
        <v>945102.52</v>
      </c>
    </row>
    <row r="843" spans="1:7" x14ac:dyDescent="0.35">
      <c r="A843" t="s">
        <v>873</v>
      </c>
      <c r="B843">
        <v>1267087.2</v>
      </c>
      <c r="C843">
        <v>506834.88</v>
      </c>
      <c r="D843">
        <v>253417.44</v>
      </c>
      <c r="E843">
        <v>319305.96999999997</v>
      </c>
      <c r="F843">
        <v>126708.72</v>
      </c>
      <c r="G843">
        <v>1206267.01</v>
      </c>
    </row>
    <row r="844" spans="1:7" x14ac:dyDescent="0.35">
      <c r="A844" t="s">
        <v>874</v>
      </c>
      <c r="B844">
        <v>809083.2</v>
      </c>
      <c r="C844">
        <v>323633.28000000003</v>
      </c>
      <c r="D844">
        <v>161816.64000000001</v>
      </c>
      <c r="E844">
        <v>203888.97</v>
      </c>
      <c r="F844">
        <v>80908.320000000007</v>
      </c>
      <c r="G844">
        <v>770247.21</v>
      </c>
    </row>
    <row r="845" spans="1:7" x14ac:dyDescent="0.35">
      <c r="A845" t="s">
        <v>875</v>
      </c>
      <c r="B845">
        <v>702552.55</v>
      </c>
      <c r="C845">
        <v>281021.02</v>
      </c>
      <c r="D845">
        <v>140510.51</v>
      </c>
      <c r="E845">
        <v>177043.24</v>
      </c>
      <c r="F845">
        <v>70255.25</v>
      </c>
      <c r="G845">
        <v>668830.03</v>
      </c>
    </row>
    <row r="846" spans="1:7" x14ac:dyDescent="0.35">
      <c r="A846" t="s">
        <v>876</v>
      </c>
      <c r="B846">
        <v>1042992.84</v>
      </c>
      <c r="C846">
        <v>417197.14</v>
      </c>
      <c r="D846">
        <v>208598.57</v>
      </c>
      <c r="E846">
        <v>262834.2</v>
      </c>
      <c r="F846">
        <v>104299.28</v>
      </c>
      <c r="G846">
        <v>992929.18</v>
      </c>
    </row>
    <row r="847" spans="1:7" x14ac:dyDescent="0.35">
      <c r="A847" t="s">
        <v>877</v>
      </c>
      <c r="B847">
        <v>1579740.3</v>
      </c>
      <c r="C847">
        <v>631896.12</v>
      </c>
      <c r="D847">
        <v>315948.06</v>
      </c>
      <c r="E847">
        <v>398094.56</v>
      </c>
      <c r="F847">
        <v>157974.03</v>
      </c>
      <c r="G847">
        <v>1503912.77</v>
      </c>
    </row>
    <row r="848" spans="1:7" x14ac:dyDescent="0.35">
      <c r="A848" t="s">
        <v>878</v>
      </c>
      <c r="B848">
        <v>1252414.73</v>
      </c>
      <c r="C848">
        <v>500965.89</v>
      </c>
      <c r="D848">
        <v>250482.95</v>
      </c>
      <c r="E848">
        <v>315608.51</v>
      </c>
      <c r="F848">
        <v>125241.47</v>
      </c>
      <c r="G848">
        <v>1192298.83</v>
      </c>
    </row>
    <row r="849" spans="1:7" x14ac:dyDescent="0.35">
      <c r="A849" t="s">
        <v>879</v>
      </c>
      <c r="B849">
        <v>890133.09</v>
      </c>
      <c r="C849">
        <v>356053.24</v>
      </c>
      <c r="D849">
        <v>178026.62</v>
      </c>
      <c r="E849">
        <v>224313.54</v>
      </c>
      <c r="F849">
        <v>89013.31</v>
      </c>
      <c r="G849">
        <v>847406.7</v>
      </c>
    </row>
    <row r="850" spans="1:7" x14ac:dyDescent="0.35">
      <c r="A850" t="s">
        <v>880</v>
      </c>
      <c r="B850">
        <v>1048045.32</v>
      </c>
      <c r="C850">
        <v>419218.13</v>
      </c>
      <c r="D850">
        <v>209609.06</v>
      </c>
      <c r="E850">
        <v>264107.42</v>
      </c>
      <c r="F850">
        <v>104804.53</v>
      </c>
      <c r="G850">
        <v>997739.14</v>
      </c>
    </row>
    <row r="851" spans="1:7" x14ac:dyDescent="0.35">
      <c r="A851" t="s">
        <v>881</v>
      </c>
      <c r="B851">
        <v>1362247.56</v>
      </c>
      <c r="C851">
        <v>544899.02</v>
      </c>
      <c r="D851">
        <v>272449.51</v>
      </c>
      <c r="E851">
        <v>343286.39</v>
      </c>
      <c r="F851">
        <v>136224.76</v>
      </c>
      <c r="G851">
        <v>1296859.68</v>
      </c>
    </row>
    <row r="852" spans="1:7" x14ac:dyDescent="0.35">
      <c r="A852" t="s">
        <v>882</v>
      </c>
      <c r="B852">
        <v>659326</v>
      </c>
      <c r="C852">
        <v>263730.40000000002</v>
      </c>
      <c r="D852">
        <v>131865.20000000001</v>
      </c>
      <c r="E852">
        <v>166150.15</v>
      </c>
      <c r="F852">
        <v>65932.600000000006</v>
      </c>
      <c r="G852">
        <v>627678.35</v>
      </c>
    </row>
    <row r="853" spans="1:7" x14ac:dyDescent="0.35">
      <c r="A853" t="s">
        <v>883</v>
      </c>
      <c r="B853">
        <v>1397077.98</v>
      </c>
      <c r="C853">
        <v>558831.18999999994</v>
      </c>
      <c r="D853">
        <v>279415.59999999998</v>
      </c>
      <c r="E853">
        <v>352063.65</v>
      </c>
      <c r="F853">
        <v>139707.79999999999</v>
      </c>
      <c r="G853">
        <v>1330018.24</v>
      </c>
    </row>
    <row r="854" spans="1:7" x14ac:dyDescent="0.35">
      <c r="A854" t="s">
        <v>884</v>
      </c>
      <c r="B854">
        <v>1285698.3999999999</v>
      </c>
      <c r="C854">
        <v>514279.36</v>
      </c>
      <c r="D854">
        <v>257139.68</v>
      </c>
      <c r="E854">
        <v>323996</v>
      </c>
      <c r="F854">
        <v>128569.84</v>
      </c>
      <c r="G854">
        <v>1223984.8799999999</v>
      </c>
    </row>
    <row r="855" spans="1:7" x14ac:dyDescent="0.35">
      <c r="A855" t="s">
        <v>885</v>
      </c>
      <c r="B855">
        <v>1383305.64</v>
      </c>
      <c r="C855">
        <v>553322.26</v>
      </c>
      <c r="D855">
        <v>276661.13</v>
      </c>
      <c r="E855">
        <v>348593.02</v>
      </c>
      <c r="F855">
        <v>138330.56</v>
      </c>
      <c r="G855">
        <v>1316906.97</v>
      </c>
    </row>
    <row r="856" spans="1:7" x14ac:dyDescent="0.35">
      <c r="A856" t="s">
        <v>886</v>
      </c>
      <c r="B856">
        <v>1456783.58</v>
      </c>
      <c r="C856">
        <v>582713.43000000005</v>
      </c>
      <c r="D856">
        <v>291356.71999999997</v>
      </c>
      <c r="E856">
        <v>367109.46</v>
      </c>
      <c r="F856">
        <v>145678.35999999999</v>
      </c>
      <c r="G856">
        <v>1386857.97</v>
      </c>
    </row>
    <row r="857" spans="1:7" x14ac:dyDescent="0.35">
      <c r="A857" t="s">
        <v>887</v>
      </c>
      <c r="B857">
        <v>2179387.59</v>
      </c>
      <c r="C857">
        <v>871755.04</v>
      </c>
      <c r="D857">
        <v>435877.52</v>
      </c>
      <c r="E857">
        <v>549205.67000000004</v>
      </c>
      <c r="F857">
        <v>217938.76</v>
      </c>
      <c r="G857">
        <v>2074776.99</v>
      </c>
    </row>
    <row r="858" spans="1:7" x14ac:dyDescent="0.35">
      <c r="A858" t="s">
        <v>888</v>
      </c>
      <c r="B858">
        <v>917516.4</v>
      </c>
      <c r="C858">
        <v>367006.56</v>
      </c>
      <c r="D858">
        <v>183503.28</v>
      </c>
      <c r="E858">
        <v>231214.13</v>
      </c>
      <c r="F858">
        <v>91751.64</v>
      </c>
      <c r="G858">
        <v>873475.61</v>
      </c>
    </row>
    <row r="859" spans="1:7" x14ac:dyDescent="0.35">
      <c r="A859" t="s">
        <v>889</v>
      </c>
      <c r="B859">
        <v>1032866.8</v>
      </c>
      <c r="C859">
        <v>413146.72</v>
      </c>
      <c r="D859">
        <v>206573.36</v>
      </c>
      <c r="E859">
        <v>260282.43</v>
      </c>
      <c r="F859">
        <v>103286.68</v>
      </c>
      <c r="G859">
        <v>983289.19</v>
      </c>
    </row>
    <row r="860" spans="1:7" x14ac:dyDescent="0.35">
      <c r="A860" t="s">
        <v>890</v>
      </c>
      <c r="B860">
        <v>974791.39</v>
      </c>
      <c r="C860">
        <v>389916.56</v>
      </c>
      <c r="D860">
        <v>194958.28</v>
      </c>
      <c r="E860">
        <v>245647.43</v>
      </c>
      <c r="F860">
        <v>97479.14</v>
      </c>
      <c r="G860">
        <v>928001.4</v>
      </c>
    </row>
    <row r="861" spans="1:7" x14ac:dyDescent="0.35">
      <c r="A861" t="s">
        <v>891</v>
      </c>
      <c r="B861">
        <v>1255621.7</v>
      </c>
      <c r="C861">
        <v>502248.68</v>
      </c>
      <c r="D861">
        <v>251124.34</v>
      </c>
      <c r="E861">
        <v>316416.67</v>
      </c>
      <c r="F861">
        <v>125562.17</v>
      </c>
      <c r="G861">
        <v>1195351.8600000001</v>
      </c>
    </row>
    <row r="862" spans="1:7" x14ac:dyDescent="0.35">
      <c r="A862" t="s">
        <v>892</v>
      </c>
      <c r="B862">
        <v>1424894.1</v>
      </c>
      <c r="C862">
        <v>569957.64</v>
      </c>
      <c r="D862">
        <v>284978.82</v>
      </c>
      <c r="E862">
        <v>359073.31</v>
      </c>
      <c r="F862">
        <v>142489.41</v>
      </c>
      <c r="G862">
        <v>1356499.18</v>
      </c>
    </row>
    <row r="863" spans="1:7" x14ac:dyDescent="0.35">
      <c r="A863" t="s">
        <v>893</v>
      </c>
      <c r="B863">
        <v>1181089.3999999999</v>
      </c>
      <c r="C863">
        <v>472435.76</v>
      </c>
      <c r="D863">
        <v>236217.88</v>
      </c>
      <c r="E863">
        <v>297634.53000000003</v>
      </c>
      <c r="F863">
        <v>118108.94</v>
      </c>
      <c r="G863">
        <v>1124397.1100000001</v>
      </c>
    </row>
    <row r="864" spans="1:7" x14ac:dyDescent="0.35">
      <c r="A864" t="s">
        <v>894</v>
      </c>
      <c r="B864">
        <v>2006358.7</v>
      </c>
      <c r="C864">
        <v>802543.48</v>
      </c>
      <c r="D864">
        <v>401271.74</v>
      </c>
      <c r="E864">
        <v>505602.39</v>
      </c>
      <c r="F864">
        <v>200635.87</v>
      </c>
      <c r="G864">
        <v>1910053.48</v>
      </c>
    </row>
    <row r="865" spans="1:7" x14ac:dyDescent="0.35">
      <c r="A865" t="s">
        <v>895</v>
      </c>
      <c r="B865">
        <v>1107951.18</v>
      </c>
      <c r="C865">
        <v>443180.47</v>
      </c>
      <c r="D865">
        <v>221590.24</v>
      </c>
      <c r="E865">
        <v>279203.7</v>
      </c>
      <c r="F865">
        <v>110795.12</v>
      </c>
      <c r="G865">
        <v>1054769.52</v>
      </c>
    </row>
    <row r="866" spans="1:7" x14ac:dyDescent="0.35">
      <c r="A866" t="s">
        <v>896</v>
      </c>
      <c r="B866">
        <v>1404433</v>
      </c>
      <c r="C866">
        <v>561773.19999999995</v>
      </c>
      <c r="D866">
        <v>280886.59999999998</v>
      </c>
      <c r="E866">
        <v>353917.12</v>
      </c>
      <c r="F866">
        <v>140443.29999999999</v>
      </c>
      <c r="G866">
        <v>1337020.22</v>
      </c>
    </row>
    <row r="867" spans="1:7" x14ac:dyDescent="0.35">
      <c r="A867" t="s">
        <v>897</v>
      </c>
      <c r="B867">
        <v>1031392.8</v>
      </c>
      <c r="C867">
        <v>412557.12</v>
      </c>
      <c r="D867">
        <v>206278.56</v>
      </c>
      <c r="E867">
        <v>259910.99</v>
      </c>
      <c r="F867">
        <v>103139.28</v>
      </c>
      <c r="G867">
        <v>981885.95</v>
      </c>
    </row>
    <row r="868" spans="1:7" x14ac:dyDescent="0.35">
      <c r="A868" t="s">
        <v>898</v>
      </c>
      <c r="B868">
        <v>1439959.5</v>
      </c>
      <c r="C868">
        <v>575983.80000000005</v>
      </c>
      <c r="D868">
        <v>287991.90000000002</v>
      </c>
      <c r="E868">
        <v>362869.79</v>
      </c>
      <c r="F868">
        <v>143995.95000000001</v>
      </c>
      <c r="G868">
        <v>1370841.44</v>
      </c>
    </row>
    <row r="869" spans="1:7" x14ac:dyDescent="0.35">
      <c r="A869" t="s">
        <v>899</v>
      </c>
      <c r="B869">
        <v>1633178.1</v>
      </c>
      <c r="C869">
        <v>653271.24</v>
      </c>
      <c r="D869">
        <v>326635.62</v>
      </c>
      <c r="E869">
        <v>411560.88</v>
      </c>
      <c r="F869">
        <v>163317.81</v>
      </c>
      <c r="G869">
        <v>1554785.55</v>
      </c>
    </row>
    <row r="870" spans="1:7" x14ac:dyDescent="0.35">
      <c r="A870" t="s">
        <v>900</v>
      </c>
      <c r="B870">
        <v>1483577.2</v>
      </c>
      <c r="C870">
        <v>593430.88</v>
      </c>
      <c r="D870">
        <v>296715.44</v>
      </c>
      <c r="E870">
        <v>373861.45</v>
      </c>
      <c r="F870">
        <v>148357.72</v>
      </c>
      <c r="G870">
        <v>1412365.49</v>
      </c>
    </row>
    <row r="871" spans="1:7" x14ac:dyDescent="0.35">
      <c r="A871" t="s">
        <v>901</v>
      </c>
      <c r="B871">
        <v>1110257.3999999999</v>
      </c>
      <c r="C871">
        <v>444102.96</v>
      </c>
      <c r="D871">
        <v>222051.48</v>
      </c>
      <c r="E871">
        <v>279784.86</v>
      </c>
      <c r="F871">
        <v>111025.74</v>
      </c>
      <c r="G871">
        <v>1056965.04</v>
      </c>
    </row>
    <row r="872" spans="1:7" x14ac:dyDescent="0.35">
      <c r="A872" t="s">
        <v>902</v>
      </c>
      <c r="B872">
        <v>1433019</v>
      </c>
      <c r="C872">
        <v>573207.6</v>
      </c>
      <c r="D872">
        <v>286603.8</v>
      </c>
      <c r="E872">
        <v>361120.79</v>
      </c>
      <c r="F872">
        <v>143301.9</v>
      </c>
      <c r="G872">
        <v>1364234.09</v>
      </c>
    </row>
    <row r="873" spans="1:7" x14ac:dyDescent="0.35">
      <c r="A873" t="s">
        <v>903</v>
      </c>
      <c r="B873">
        <v>1154351.8</v>
      </c>
      <c r="C873">
        <v>461740.72</v>
      </c>
      <c r="D873">
        <v>230870.36</v>
      </c>
      <c r="E873">
        <v>290896.65000000002</v>
      </c>
      <c r="F873">
        <v>115435.18</v>
      </c>
      <c r="G873">
        <v>1098942.9099999999</v>
      </c>
    </row>
    <row r="874" spans="1:7" x14ac:dyDescent="0.35">
      <c r="A874" t="s">
        <v>904</v>
      </c>
      <c r="B874">
        <v>835109.28</v>
      </c>
      <c r="C874">
        <v>334043.71000000002</v>
      </c>
      <c r="D874">
        <v>167021.85999999999</v>
      </c>
      <c r="E874">
        <v>210447.54</v>
      </c>
      <c r="F874">
        <v>83510.929999999993</v>
      </c>
      <c r="G874">
        <v>795024.03</v>
      </c>
    </row>
    <row r="875" spans="1:7" x14ac:dyDescent="0.35">
      <c r="A875" t="s">
        <v>905</v>
      </c>
      <c r="B875">
        <v>905652.48</v>
      </c>
      <c r="C875">
        <v>362260.99</v>
      </c>
      <c r="D875">
        <v>181130.5</v>
      </c>
      <c r="E875">
        <v>228224.42</v>
      </c>
      <c r="F875">
        <v>90565.25</v>
      </c>
      <c r="G875">
        <v>862181.16</v>
      </c>
    </row>
    <row r="876" spans="1:7" x14ac:dyDescent="0.35">
      <c r="A876" t="s">
        <v>906</v>
      </c>
      <c r="B876">
        <v>1621432.54</v>
      </c>
      <c r="C876">
        <v>648573.02</v>
      </c>
      <c r="D876">
        <v>324286.51</v>
      </c>
      <c r="E876">
        <v>408601</v>
      </c>
      <c r="F876">
        <v>162143.25</v>
      </c>
      <c r="G876">
        <v>1543603.78</v>
      </c>
    </row>
    <row r="877" spans="1:7" x14ac:dyDescent="0.35">
      <c r="A877" t="s">
        <v>907</v>
      </c>
      <c r="B877">
        <v>886370.9</v>
      </c>
      <c r="C877">
        <v>354548.36</v>
      </c>
      <c r="D877">
        <v>177274.18</v>
      </c>
      <c r="E877">
        <v>223365.47</v>
      </c>
      <c r="F877">
        <v>88637.09</v>
      </c>
      <c r="G877">
        <v>843825.1</v>
      </c>
    </row>
    <row r="878" spans="1:7" x14ac:dyDescent="0.35">
      <c r="A878" t="s">
        <v>908</v>
      </c>
      <c r="B878">
        <v>1483020</v>
      </c>
      <c r="C878">
        <v>593208</v>
      </c>
      <c r="D878">
        <v>296604</v>
      </c>
      <c r="E878">
        <v>373721.04</v>
      </c>
      <c r="F878">
        <v>148302</v>
      </c>
      <c r="G878">
        <v>1411835.04</v>
      </c>
    </row>
    <row r="879" spans="1:7" x14ac:dyDescent="0.35">
      <c r="A879" t="s">
        <v>909</v>
      </c>
      <c r="B879">
        <v>1424026.8</v>
      </c>
      <c r="C879">
        <v>569610.72</v>
      </c>
      <c r="D879">
        <v>284805.36</v>
      </c>
      <c r="E879">
        <v>358854.75</v>
      </c>
      <c r="F879">
        <v>142402.68</v>
      </c>
      <c r="G879">
        <v>1355673.51</v>
      </c>
    </row>
    <row r="880" spans="1:7" x14ac:dyDescent="0.35">
      <c r="A880" t="s">
        <v>910</v>
      </c>
      <c r="B880">
        <v>898179</v>
      </c>
      <c r="C880">
        <v>359271.6</v>
      </c>
      <c r="D880">
        <v>179635.8</v>
      </c>
      <c r="E880">
        <v>226341.11</v>
      </c>
      <c r="F880">
        <v>89817.9</v>
      </c>
      <c r="G880">
        <v>855066.41</v>
      </c>
    </row>
    <row r="881" spans="1:7" x14ac:dyDescent="0.35">
      <c r="A881" t="s">
        <v>911</v>
      </c>
      <c r="B881">
        <v>780218.28</v>
      </c>
      <c r="C881">
        <v>312087.31</v>
      </c>
      <c r="D881">
        <v>156043.66</v>
      </c>
      <c r="E881">
        <v>196615.01</v>
      </c>
      <c r="F881">
        <v>78021.83</v>
      </c>
      <c r="G881">
        <v>742767.8</v>
      </c>
    </row>
    <row r="882" spans="1:7" x14ac:dyDescent="0.35">
      <c r="A882" t="s">
        <v>912</v>
      </c>
      <c r="B882">
        <v>958777.9</v>
      </c>
      <c r="C882">
        <v>383511.16</v>
      </c>
      <c r="D882">
        <v>191755.58</v>
      </c>
      <c r="E882">
        <v>241612.03</v>
      </c>
      <c r="F882">
        <v>95877.79</v>
      </c>
      <c r="G882">
        <v>912756.56</v>
      </c>
    </row>
    <row r="883" spans="1:7" x14ac:dyDescent="0.35">
      <c r="A883" t="s">
        <v>913</v>
      </c>
      <c r="B883">
        <v>1338185.58</v>
      </c>
      <c r="C883">
        <v>535274.23</v>
      </c>
      <c r="D883">
        <v>267637.12</v>
      </c>
      <c r="E883">
        <v>337222.77</v>
      </c>
      <c r="F883">
        <v>133818.56</v>
      </c>
      <c r="G883">
        <v>1273952.67</v>
      </c>
    </row>
    <row r="884" spans="1:7" x14ac:dyDescent="0.35">
      <c r="A884" t="s">
        <v>914</v>
      </c>
      <c r="B884">
        <v>667092.85</v>
      </c>
      <c r="C884">
        <v>266837.14</v>
      </c>
      <c r="D884">
        <v>133418.57</v>
      </c>
      <c r="E884">
        <v>168107.4</v>
      </c>
      <c r="F884">
        <v>66709.289999999994</v>
      </c>
      <c r="G884">
        <v>635072.39</v>
      </c>
    </row>
    <row r="885" spans="1:7" x14ac:dyDescent="0.35">
      <c r="A885" t="s">
        <v>915</v>
      </c>
      <c r="B885">
        <v>2200691.0499999998</v>
      </c>
      <c r="C885">
        <v>880276.42</v>
      </c>
      <c r="D885">
        <v>440138.21</v>
      </c>
      <c r="E885">
        <v>554574.15</v>
      </c>
      <c r="F885">
        <v>220069.11</v>
      </c>
      <c r="G885">
        <v>2095057.88</v>
      </c>
    </row>
    <row r="886" spans="1:7" x14ac:dyDescent="0.35">
      <c r="A886" t="s">
        <v>916</v>
      </c>
      <c r="B886">
        <v>1063985.94</v>
      </c>
      <c r="C886">
        <v>425594.38</v>
      </c>
      <c r="D886">
        <v>212797.19</v>
      </c>
      <c r="E886">
        <v>268124.46000000002</v>
      </c>
      <c r="F886">
        <v>106398.59</v>
      </c>
      <c r="G886">
        <v>1012914.61</v>
      </c>
    </row>
    <row r="887" spans="1:7" x14ac:dyDescent="0.35">
      <c r="A887" t="s">
        <v>917</v>
      </c>
      <c r="B887">
        <v>1050965.5</v>
      </c>
      <c r="C887">
        <v>420386.2</v>
      </c>
      <c r="D887">
        <v>210193.1</v>
      </c>
      <c r="E887">
        <v>264843.31</v>
      </c>
      <c r="F887">
        <v>105096.55</v>
      </c>
      <c r="G887">
        <v>1000519.16</v>
      </c>
    </row>
    <row r="888" spans="1:7" x14ac:dyDescent="0.35">
      <c r="A888" t="s">
        <v>918</v>
      </c>
      <c r="B888">
        <v>1439565.78</v>
      </c>
      <c r="C888">
        <v>575826.31000000006</v>
      </c>
      <c r="D888">
        <v>287913.15999999997</v>
      </c>
      <c r="E888">
        <v>362770.58</v>
      </c>
      <c r="F888">
        <v>143956.57999999999</v>
      </c>
      <c r="G888">
        <v>1370466.62</v>
      </c>
    </row>
    <row r="889" spans="1:7" x14ac:dyDescent="0.35">
      <c r="A889" t="s">
        <v>919</v>
      </c>
      <c r="B889">
        <v>676444.08</v>
      </c>
      <c r="C889">
        <v>270577.63</v>
      </c>
      <c r="D889">
        <v>135288.82</v>
      </c>
      <c r="E889">
        <v>170463.91</v>
      </c>
      <c r="F889">
        <v>67644.41</v>
      </c>
      <c r="G889">
        <v>643974.76</v>
      </c>
    </row>
    <row r="890" spans="1:7" x14ac:dyDescent="0.35">
      <c r="A890" t="s">
        <v>920</v>
      </c>
      <c r="B890">
        <v>631977.24</v>
      </c>
      <c r="C890">
        <v>252790.9</v>
      </c>
      <c r="D890">
        <v>126395.45</v>
      </c>
      <c r="E890">
        <v>159258.26</v>
      </c>
      <c r="F890">
        <v>63197.72</v>
      </c>
      <c r="G890">
        <v>601642.32999999996</v>
      </c>
    </row>
    <row r="891" spans="1:7" x14ac:dyDescent="0.35">
      <c r="A891" t="s">
        <v>921</v>
      </c>
      <c r="B891">
        <v>1463803.7</v>
      </c>
      <c r="C891">
        <v>585521.48</v>
      </c>
      <c r="D891">
        <v>292760.74</v>
      </c>
      <c r="E891">
        <v>368878.53</v>
      </c>
      <c r="F891">
        <v>146380.37</v>
      </c>
      <c r="G891">
        <v>1393541.1200000001</v>
      </c>
    </row>
    <row r="892" spans="1:7" x14ac:dyDescent="0.35">
      <c r="A892" t="s">
        <v>922</v>
      </c>
      <c r="B892">
        <v>779968</v>
      </c>
      <c r="C892">
        <v>311987.20000000001</v>
      </c>
      <c r="D892">
        <v>155993.60000000001</v>
      </c>
      <c r="E892">
        <v>196551.94</v>
      </c>
      <c r="F892">
        <v>77996.800000000003</v>
      </c>
      <c r="G892">
        <v>742529.54</v>
      </c>
    </row>
    <row r="893" spans="1:7" x14ac:dyDescent="0.35">
      <c r="A893" t="s">
        <v>923</v>
      </c>
      <c r="B893">
        <v>1171446.71</v>
      </c>
      <c r="C893">
        <v>468578.68</v>
      </c>
      <c r="D893">
        <v>234289.34</v>
      </c>
      <c r="E893">
        <v>295204.57</v>
      </c>
      <c r="F893">
        <v>117144.67</v>
      </c>
      <c r="G893">
        <v>1115217.27</v>
      </c>
    </row>
    <row r="894" spans="1:7" x14ac:dyDescent="0.35">
      <c r="A894" t="s">
        <v>924</v>
      </c>
      <c r="B894">
        <v>1041907.2</v>
      </c>
      <c r="C894">
        <v>416762.88</v>
      </c>
      <c r="D894">
        <v>208381.44</v>
      </c>
      <c r="E894">
        <v>262560.61</v>
      </c>
      <c r="F894">
        <v>104190.72</v>
      </c>
      <c r="G894">
        <v>991895.65</v>
      </c>
    </row>
    <row r="895" spans="1:7" x14ac:dyDescent="0.35">
      <c r="A895" t="s">
        <v>925</v>
      </c>
      <c r="B895">
        <v>1191332</v>
      </c>
      <c r="C895">
        <v>476532.8</v>
      </c>
      <c r="D895">
        <v>238266.4</v>
      </c>
      <c r="E895">
        <v>300215.65999999997</v>
      </c>
      <c r="F895">
        <v>119133.2</v>
      </c>
      <c r="G895">
        <v>1134148.06</v>
      </c>
    </row>
    <row r="896" spans="1:7" x14ac:dyDescent="0.35">
      <c r="A896" t="s">
        <v>926</v>
      </c>
      <c r="B896">
        <v>540642</v>
      </c>
      <c r="C896">
        <v>216256.8</v>
      </c>
      <c r="D896">
        <v>108128.4</v>
      </c>
      <c r="E896">
        <v>136241.78</v>
      </c>
      <c r="F896">
        <v>54064.2</v>
      </c>
      <c r="G896">
        <v>514691.18</v>
      </c>
    </row>
    <row r="897" spans="1:7" x14ac:dyDescent="0.35">
      <c r="A897" t="s">
        <v>927</v>
      </c>
      <c r="B897">
        <v>928445.64</v>
      </c>
      <c r="C897">
        <v>371378.26</v>
      </c>
      <c r="D897">
        <v>185689.13</v>
      </c>
      <c r="E897">
        <v>233968.3</v>
      </c>
      <c r="F897">
        <v>92844.56</v>
      </c>
      <c r="G897">
        <v>883880.25</v>
      </c>
    </row>
    <row r="898" spans="1:7" x14ac:dyDescent="0.35">
      <c r="A898" t="s">
        <v>928</v>
      </c>
      <c r="B898">
        <v>520401.45</v>
      </c>
      <c r="C898">
        <v>208160.58</v>
      </c>
      <c r="D898">
        <v>104080.29</v>
      </c>
      <c r="E898">
        <v>131141.17000000001</v>
      </c>
      <c r="F898">
        <v>52040.14</v>
      </c>
      <c r="G898">
        <v>495422.18</v>
      </c>
    </row>
    <row r="899" spans="1:7" x14ac:dyDescent="0.35">
      <c r="A899" t="s">
        <v>929</v>
      </c>
      <c r="B899">
        <v>957102</v>
      </c>
      <c r="C899">
        <v>382840.8</v>
      </c>
      <c r="D899">
        <v>191420.4</v>
      </c>
      <c r="E899">
        <v>241189.7</v>
      </c>
      <c r="F899">
        <v>95710.2</v>
      </c>
      <c r="G899">
        <v>911161.1</v>
      </c>
    </row>
    <row r="900" spans="1:7" x14ac:dyDescent="0.35">
      <c r="A900" t="s">
        <v>930</v>
      </c>
      <c r="B900">
        <v>542079.5</v>
      </c>
      <c r="C900">
        <v>216831.8</v>
      </c>
      <c r="D900">
        <v>108415.9</v>
      </c>
      <c r="E900">
        <v>136604.03</v>
      </c>
      <c r="F900">
        <v>54207.95</v>
      </c>
      <c r="G900">
        <v>516059.68</v>
      </c>
    </row>
    <row r="901" spans="1:7" x14ac:dyDescent="0.35">
      <c r="A901" t="s">
        <v>931</v>
      </c>
      <c r="B901">
        <v>1104441.1200000001</v>
      </c>
      <c r="C901">
        <v>441776.45</v>
      </c>
      <c r="D901">
        <v>220888.22</v>
      </c>
      <c r="E901">
        <v>278319.15999999997</v>
      </c>
      <c r="F901">
        <v>110444.11</v>
      </c>
      <c r="G901">
        <v>1051427.95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01"/>
  <sheetViews>
    <sheetView workbookViewId="0">
      <selection activeCell="D3" sqref="D3"/>
    </sheetView>
  </sheetViews>
  <sheetFormatPr defaultRowHeight="14.5" x14ac:dyDescent="0.35"/>
  <sheetData>
    <row r="1" spans="1:4" x14ac:dyDescent="0.35">
      <c r="A1" t="s">
        <v>0</v>
      </c>
      <c r="B1" t="s">
        <v>943</v>
      </c>
      <c r="C1" t="s">
        <v>944</v>
      </c>
      <c r="D1" t="s">
        <v>945</v>
      </c>
    </row>
    <row r="2" spans="1:4" x14ac:dyDescent="0.35">
      <c r="A2" t="s">
        <v>13</v>
      </c>
      <c r="B2">
        <f>MIN(0.12*Earnings!C3,1800)</f>
        <v>1800</v>
      </c>
      <c r="C2">
        <f>IF([1]Earnings!G2&lt;=21000,0.0075*[1]Earnings!G2,0)</f>
        <v>0</v>
      </c>
      <c r="D2">
        <v>200</v>
      </c>
    </row>
    <row r="3" spans="1:4" x14ac:dyDescent="0.35">
      <c r="A3" t="s">
        <v>18</v>
      </c>
      <c r="B3">
        <f>MIN(0.12*Earnings!C4,1800)</f>
        <v>1800</v>
      </c>
      <c r="C3">
        <f>IF([1]Earnings!G3&lt;=21000,0.0075*[1]Earnings!G3,0)</f>
        <v>0</v>
      </c>
      <c r="D3">
        <v>280</v>
      </c>
    </row>
    <row r="4" spans="1:4" x14ac:dyDescent="0.35">
      <c r="A4" t="s">
        <v>23</v>
      </c>
      <c r="B4">
        <f>MIN(0.12*Earnings!C5,1800)</f>
        <v>1800</v>
      </c>
      <c r="C4">
        <f>IF([1]Earnings!G4&lt;=21000,0.0075*[1]Earnings!G4,0)</f>
        <v>0</v>
      </c>
      <c r="D4">
        <v>200</v>
      </c>
    </row>
    <row r="5" spans="1:4" x14ac:dyDescent="0.35">
      <c r="A5" t="s">
        <v>25</v>
      </c>
      <c r="B5">
        <f>MIN(0.12*Earnings!C6,1800)</f>
        <v>1800</v>
      </c>
      <c r="C5">
        <f>IF([1]Earnings!G5&lt;=21000,0.0075*[1]Earnings!G5,0)</f>
        <v>0</v>
      </c>
      <c r="D5">
        <v>200</v>
      </c>
    </row>
    <row r="6" spans="1:4" x14ac:dyDescent="0.35">
      <c r="A6" t="s">
        <v>28</v>
      </c>
      <c r="B6">
        <f>MIN(0.12*Earnings!C7,1800)</f>
        <v>1800</v>
      </c>
      <c r="C6">
        <f>IF([1]Earnings!G6&lt;=21000,0.0075*[1]Earnings!G6,0)</f>
        <v>0</v>
      </c>
      <c r="D6">
        <v>200</v>
      </c>
    </row>
    <row r="7" spans="1:4" x14ac:dyDescent="0.35">
      <c r="A7" t="s">
        <v>30</v>
      </c>
      <c r="B7">
        <f>MIN(0.12*Earnings!C8,1800)</f>
        <v>1800</v>
      </c>
      <c r="C7">
        <f>IF([1]Earnings!G7&lt;=21000,0.0075*[1]Earnings!G7,0)</f>
        <v>0</v>
      </c>
      <c r="D7">
        <v>200</v>
      </c>
    </row>
    <row r="8" spans="1:4" x14ac:dyDescent="0.35">
      <c r="A8" t="s">
        <v>32</v>
      </c>
      <c r="B8">
        <f>MIN(0.12*Earnings!C9,1800)</f>
        <v>1800</v>
      </c>
      <c r="C8">
        <f>IF([1]Earnings!G8&lt;=21000,0.0075*[1]Earnings!G8,0)</f>
        <v>0</v>
      </c>
      <c r="D8">
        <v>240</v>
      </c>
    </row>
    <row r="9" spans="1:4" x14ac:dyDescent="0.35">
      <c r="A9" t="s">
        <v>34</v>
      </c>
      <c r="B9">
        <f>MIN(0.12*Earnings!C10,1800)</f>
        <v>1800</v>
      </c>
      <c r="C9">
        <f>IF([1]Earnings!G9&lt;=21000,0.0075*[1]Earnings!G9,0)</f>
        <v>0</v>
      </c>
      <c r="D9">
        <v>240</v>
      </c>
    </row>
    <row r="10" spans="1:4" x14ac:dyDescent="0.35">
      <c r="A10" t="s">
        <v>36</v>
      </c>
      <c r="B10">
        <f>MIN(0.12*Earnings!C11,1800)</f>
        <v>1800</v>
      </c>
      <c r="C10">
        <f>IF([1]Earnings!G10&lt;=21000,0.0075*[1]Earnings!G10,0)</f>
        <v>0</v>
      </c>
      <c r="D10">
        <v>280</v>
      </c>
    </row>
    <row r="11" spans="1:4" x14ac:dyDescent="0.35">
      <c r="A11" t="s">
        <v>38</v>
      </c>
      <c r="B11">
        <f>MIN(0.12*Earnings!C12,1800)</f>
        <v>1800</v>
      </c>
      <c r="C11">
        <f>IF([1]Earnings!G11&lt;=21000,0.0075*[1]Earnings!G11,0)</f>
        <v>0</v>
      </c>
      <c r="D11">
        <v>240</v>
      </c>
    </row>
    <row r="12" spans="1:4" x14ac:dyDescent="0.35">
      <c r="A12" t="s">
        <v>39</v>
      </c>
      <c r="B12">
        <f>MIN(0.12*Earnings!C13,1800)</f>
        <v>1800</v>
      </c>
      <c r="C12">
        <f>IF([1]Earnings!G12&lt;=21000,0.0075*[1]Earnings!G12,0)</f>
        <v>0</v>
      </c>
      <c r="D12">
        <v>200</v>
      </c>
    </row>
    <row r="13" spans="1:4" x14ac:dyDescent="0.35">
      <c r="A13" t="s">
        <v>40</v>
      </c>
      <c r="B13">
        <f>MIN(0.12*Earnings!C14,1800)</f>
        <v>1800</v>
      </c>
      <c r="C13">
        <f>IF([1]Earnings!G13&lt;=21000,0.0075*[1]Earnings!G13,0)</f>
        <v>0</v>
      </c>
      <c r="D13">
        <v>240</v>
      </c>
    </row>
    <row r="14" spans="1:4" x14ac:dyDescent="0.35">
      <c r="A14" t="s">
        <v>41</v>
      </c>
      <c r="B14">
        <f>MIN(0.12*Earnings!C15,1800)</f>
        <v>1800</v>
      </c>
      <c r="C14">
        <f>IF([1]Earnings!G14&lt;=21000,0.0075*[1]Earnings!G14,0)</f>
        <v>0</v>
      </c>
      <c r="D14">
        <v>280</v>
      </c>
    </row>
    <row r="15" spans="1:4" x14ac:dyDescent="0.35">
      <c r="A15" t="s">
        <v>42</v>
      </c>
      <c r="B15">
        <f>MIN(0.12*Earnings!C16,1800)</f>
        <v>1800</v>
      </c>
      <c r="C15">
        <f>IF([1]Earnings!G15&lt;=21000,0.0075*[1]Earnings!G15,0)</f>
        <v>0</v>
      </c>
      <c r="D15">
        <v>340</v>
      </c>
    </row>
    <row r="16" spans="1:4" x14ac:dyDescent="0.35">
      <c r="A16" t="s">
        <v>45</v>
      </c>
      <c r="B16">
        <f>MIN(0.12*Earnings!C17,1800)</f>
        <v>1800</v>
      </c>
      <c r="C16">
        <f>IF([1]Earnings!G16&lt;=21000,0.0075*[1]Earnings!G16,0)</f>
        <v>0</v>
      </c>
      <c r="D16">
        <v>280</v>
      </c>
    </row>
    <row r="17" spans="1:4" x14ac:dyDescent="0.35">
      <c r="A17" t="s">
        <v>46</v>
      </c>
      <c r="B17">
        <f>MIN(0.12*Earnings!C18,1800)</f>
        <v>1800</v>
      </c>
      <c r="C17">
        <f>IF([1]Earnings!G17&lt;=21000,0.0075*[1]Earnings!G17,0)</f>
        <v>0</v>
      </c>
      <c r="D17">
        <v>200</v>
      </c>
    </row>
    <row r="18" spans="1:4" x14ac:dyDescent="0.35">
      <c r="A18" t="s">
        <v>47</v>
      </c>
      <c r="B18">
        <f>MIN(0.12*Earnings!C19,1800)</f>
        <v>1800</v>
      </c>
      <c r="C18">
        <f>IF([1]Earnings!G18&lt;=21000,0.0075*[1]Earnings!G18,0)</f>
        <v>0</v>
      </c>
      <c r="D18">
        <v>340</v>
      </c>
    </row>
    <row r="19" spans="1:4" x14ac:dyDescent="0.35">
      <c r="A19" t="s">
        <v>48</v>
      </c>
      <c r="B19">
        <f>MIN(0.12*Earnings!C20,1800)</f>
        <v>1800</v>
      </c>
      <c r="C19">
        <f>IF([1]Earnings!G19&lt;=21000,0.0075*[1]Earnings!G19,0)</f>
        <v>0</v>
      </c>
      <c r="D19">
        <v>280</v>
      </c>
    </row>
    <row r="20" spans="1:4" x14ac:dyDescent="0.35">
      <c r="A20" t="s">
        <v>49</v>
      </c>
      <c r="B20">
        <f>MIN(0.12*Earnings!C21,1800)</f>
        <v>1800</v>
      </c>
      <c r="C20">
        <f>IF([1]Earnings!G20&lt;=21000,0.0075*[1]Earnings!G20,0)</f>
        <v>0</v>
      </c>
      <c r="D20">
        <v>340</v>
      </c>
    </row>
    <row r="21" spans="1:4" x14ac:dyDescent="0.35">
      <c r="A21" t="s">
        <v>50</v>
      </c>
      <c r="B21">
        <f>MIN(0.12*Earnings!C22,1800)</f>
        <v>1800</v>
      </c>
      <c r="C21">
        <f>IF([1]Earnings!G21&lt;=21000,0.0075*[1]Earnings!G21,0)</f>
        <v>0</v>
      </c>
      <c r="D21">
        <v>240</v>
      </c>
    </row>
    <row r="22" spans="1:4" x14ac:dyDescent="0.35">
      <c r="A22" t="s">
        <v>51</v>
      </c>
      <c r="B22">
        <f>MIN(0.12*Earnings!C23,1800)</f>
        <v>1800</v>
      </c>
      <c r="C22">
        <f>IF([1]Earnings!G22&lt;=21000,0.0075*[1]Earnings!G22,0)</f>
        <v>0</v>
      </c>
      <c r="D22">
        <v>200</v>
      </c>
    </row>
    <row r="23" spans="1:4" x14ac:dyDescent="0.35">
      <c r="A23" t="s">
        <v>52</v>
      </c>
      <c r="B23">
        <f>MIN(0.12*Earnings!C24,1800)</f>
        <v>1800</v>
      </c>
      <c r="C23">
        <f>IF([1]Earnings!G23&lt;=21000,0.0075*[1]Earnings!G23,0)</f>
        <v>0</v>
      </c>
      <c r="D23">
        <v>280</v>
      </c>
    </row>
    <row r="24" spans="1:4" x14ac:dyDescent="0.35">
      <c r="A24" t="s">
        <v>53</v>
      </c>
      <c r="B24">
        <f>MIN(0.12*Earnings!C25,1800)</f>
        <v>1800</v>
      </c>
      <c r="C24">
        <f>IF([1]Earnings!G24&lt;=21000,0.0075*[1]Earnings!G24,0)</f>
        <v>0</v>
      </c>
      <c r="D24">
        <v>240</v>
      </c>
    </row>
    <row r="25" spans="1:4" x14ac:dyDescent="0.35">
      <c r="A25" t="s">
        <v>54</v>
      </c>
      <c r="B25">
        <f>MIN(0.12*Earnings!C26,1800)</f>
        <v>1800</v>
      </c>
      <c r="C25">
        <f>IF([1]Earnings!G25&lt;=21000,0.0075*[1]Earnings!G25,0)</f>
        <v>0</v>
      </c>
      <c r="D25">
        <v>340</v>
      </c>
    </row>
    <row r="26" spans="1:4" x14ac:dyDescent="0.35">
      <c r="A26" t="s">
        <v>55</v>
      </c>
      <c r="B26">
        <f>MIN(0.12*Earnings!C27,1800)</f>
        <v>1800</v>
      </c>
      <c r="C26">
        <f>IF([1]Earnings!G26&lt;=21000,0.0075*[1]Earnings!G26,0)</f>
        <v>0</v>
      </c>
      <c r="D26">
        <v>200</v>
      </c>
    </row>
    <row r="27" spans="1:4" x14ac:dyDescent="0.35">
      <c r="A27" t="s">
        <v>56</v>
      </c>
      <c r="B27">
        <f>MIN(0.12*Earnings!C28,1800)</f>
        <v>1800</v>
      </c>
      <c r="C27">
        <f>IF([1]Earnings!G27&lt;=21000,0.0075*[1]Earnings!G27,0)</f>
        <v>0</v>
      </c>
      <c r="D27">
        <v>240</v>
      </c>
    </row>
    <row r="28" spans="1:4" x14ac:dyDescent="0.35">
      <c r="A28" t="s">
        <v>57</v>
      </c>
      <c r="B28">
        <f>MIN(0.12*Earnings!C29,1800)</f>
        <v>1800</v>
      </c>
      <c r="C28">
        <f>IF([1]Earnings!G28&lt;=21000,0.0075*[1]Earnings!G28,0)</f>
        <v>0</v>
      </c>
      <c r="D28">
        <v>240</v>
      </c>
    </row>
    <row r="29" spans="1:4" x14ac:dyDescent="0.35">
      <c r="A29" t="s">
        <v>58</v>
      </c>
      <c r="B29">
        <f>MIN(0.12*Earnings!C30,1800)</f>
        <v>1800</v>
      </c>
      <c r="C29">
        <f>IF([1]Earnings!G29&lt;=21000,0.0075*[1]Earnings!G29,0)</f>
        <v>0</v>
      </c>
      <c r="D29">
        <v>280</v>
      </c>
    </row>
    <row r="30" spans="1:4" x14ac:dyDescent="0.35">
      <c r="A30" t="s">
        <v>59</v>
      </c>
      <c r="B30">
        <f>MIN(0.12*Earnings!C31,1800)</f>
        <v>1800</v>
      </c>
      <c r="C30">
        <f>IF([1]Earnings!G30&lt;=21000,0.0075*[1]Earnings!G30,0)</f>
        <v>0</v>
      </c>
      <c r="D30">
        <v>280</v>
      </c>
    </row>
    <row r="31" spans="1:4" x14ac:dyDescent="0.35">
      <c r="A31" t="s">
        <v>60</v>
      </c>
      <c r="B31">
        <f>MIN(0.12*Earnings!C32,1800)</f>
        <v>1800</v>
      </c>
      <c r="C31">
        <f>IF([1]Earnings!G31&lt;=21000,0.0075*[1]Earnings!G31,0)</f>
        <v>0</v>
      </c>
      <c r="D31">
        <v>200</v>
      </c>
    </row>
    <row r="32" spans="1:4" x14ac:dyDescent="0.35">
      <c r="A32" t="s">
        <v>61</v>
      </c>
      <c r="B32">
        <f>MIN(0.12*Earnings!C33,1800)</f>
        <v>1800</v>
      </c>
      <c r="C32">
        <f>IF([1]Earnings!G32&lt;=21000,0.0075*[1]Earnings!G32,0)</f>
        <v>0</v>
      </c>
      <c r="D32">
        <v>340</v>
      </c>
    </row>
    <row r="33" spans="1:4" x14ac:dyDescent="0.35">
      <c r="A33" t="s">
        <v>62</v>
      </c>
      <c r="B33">
        <f>MIN(0.12*Earnings!C34,1800)</f>
        <v>1800</v>
      </c>
      <c r="C33">
        <f>IF([1]Earnings!G33&lt;=21000,0.0075*[1]Earnings!G33,0)</f>
        <v>0</v>
      </c>
      <c r="D33">
        <v>280</v>
      </c>
    </row>
    <row r="34" spans="1:4" x14ac:dyDescent="0.35">
      <c r="A34" t="s">
        <v>63</v>
      </c>
      <c r="B34">
        <f>MIN(0.12*Earnings!C35,1800)</f>
        <v>1800</v>
      </c>
      <c r="C34">
        <f>IF([1]Earnings!G34&lt;=21000,0.0075*[1]Earnings!G34,0)</f>
        <v>0</v>
      </c>
      <c r="D34">
        <v>340</v>
      </c>
    </row>
    <row r="35" spans="1:4" x14ac:dyDescent="0.35">
      <c r="A35" t="s">
        <v>64</v>
      </c>
      <c r="B35">
        <f>MIN(0.12*Earnings!C36,1800)</f>
        <v>1800</v>
      </c>
      <c r="C35">
        <f>IF([1]Earnings!G35&lt;=21000,0.0075*[1]Earnings!G35,0)</f>
        <v>0</v>
      </c>
      <c r="D35">
        <v>340</v>
      </c>
    </row>
    <row r="36" spans="1:4" x14ac:dyDescent="0.35">
      <c r="A36" t="s">
        <v>65</v>
      </c>
      <c r="B36">
        <f>MIN(0.12*Earnings!C37,1800)</f>
        <v>1800</v>
      </c>
      <c r="C36">
        <f>IF([1]Earnings!G36&lt;=21000,0.0075*[1]Earnings!G36,0)</f>
        <v>0</v>
      </c>
      <c r="D36">
        <v>200</v>
      </c>
    </row>
    <row r="37" spans="1:4" x14ac:dyDescent="0.35">
      <c r="A37" t="s">
        <v>66</v>
      </c>
      <c r="B37">
        <f>MIN(0.12*Earnings!C38,1800)</f>
        <v>1800</v>
      </c>
      <c r="C37">
        <f>IF([1]Earnings!G37&lt;=21000,0.0075*[1]Earnings!G37,0)</f>
        <v>0</v>
      </c>
      <c r="D37">
        <v>200</v>
      </c>
    </row>
    <row r="38" spans="1:4" x14ac:dyDescent="0.35">
      <c r="A38" t="s">
        <v>67</v>
      </c>
      <c r="B38">
        <f>MIN(0.12*Earnings!C39,1800)</f>
        <v>1800</v>
      </c>
      <c r="C38">
        <f>IF([1]Earnings!G38&lt;=21000,0.0075*[1]Earnings!G38,0)</f>
        <v>0</v>
      </c>
      <c r="D38">
        <v>200</v>
      </c>
    </row>
    <row r="39" spans="1:4" x14ac:dyDescent="0.35">
      <c r="A39" t="s">
        <v>68</v>
      </c>
      <c r="B39">
        <f>MIN(0.12*Earnings!C40,1800)</f>
        <v>1800</v>
      </c>
      <c r="C39">
        <f>IF([1]Earnings!G39&lt;=21000,0.0075*[1]Earnings!G39,0)</f>
        <v>0</v>
      </c>
      <c r="D39">
        <v>280</v>
      </c>
    </row>
    <row r="40" spans="1:4" x14ac:dyDescent="0.35">
      <c r="A40" t="s">
        <v>69</v>
      </c>
      <c r="B40">
        <f>MIN(0.12*Earnings!C41,1800)</f>
        <v>1800</v>
      </c>
      <c r="C40">
        <f>IF([1]Earnings!G40&lt;=21000,0.0075*[1]Earnings!G40,0)</f>
        <v>0</v>
      </c>
      <c r="D40">
        <v>240</v>
      </c>
    </row>
    <row r="41" spans="1:4" x14ac:dyDescent="0.35">
      <c r="A41" t="s">
        <v>71</v>
      </c>
      <c r="B41">
        <f>MIN(0.12*Earnings!C42,1800)</f>
        <v>1800</v>
      </c>
      <c r="C41">
        <f>IF([1]Earnings!G41&lt;=21000,0.0075*[1]Earnings!G41,0)</f>
        <v>0</v>
      </c>
      <c r="D41">
        <v>280</v>
      </c>
    </row>
    <row r="42" spans="1:4" x14ac:dyDescent="0.35">
      <c r="A42" t="s">
        <v>72</v>
      </c>
      <c r="B42">
        <f>MIN(0.12*Earnings!C43,1800)</f>
        <v>1800</v>
      </c>
      <c r="C42">
        <f>IF([1]Earnings!G42&lt;=21000,0.0075*[1]Earnings!G42,0)</f>
        <v>0</v>
      </c>
      <c r="D42">
        <v>240</v>
      </c>
    </row>
    <row r="43" spans="1:4" x14ac:dyDescent="0.35">
      <c r="A43" t="s">
        <v>73</v>
      </c>
      <c r="B43">
        <f>MIN(0.12*Earnings!C44,1800)</f>
        <v>1800</v>
      </c>
      <c r="C43">
        <f>IF([1]Earnings!G43&lt;=21000,0.0075*[1]Earnings!G43,0)</f>
        <v>0</v>
      </c>
      <c r="D43">
        <v>280</v>
      </c>
    </row>
    <row r="44" spans="1:4" x14ac:dyDescent="0.35">
      <c r="A44" t="s">
        <v>74</v>
      </c>
      <c r="B44">
        <f>MIN(0.12*Earnings!C45,1800)</f>
        <v>1800</v>
      </c>
      <c r="C44">
        <f>IF([1]Earnings!G44&lt;=21000,0.0075*[1]Earnings!G44,0)</f>
        <v>0</v>
      </c>
      <c r="D44">
        <v>340</v>
      </c>
    </row>
    <row r="45" spans="1:4" x14ac:dyDescent="0.35">
      <c r="A45" t="s">
        <v>75</v>
      </c>
      <c r="B45">
        <f>MIN(0.12*Earnings!C46,1800)</f>
        <v>1800</v>
      </c>
      <c r="C45">
        <f>IF([1]Earnings!G45&lt;=21000,0.0075*[1]Earnings!G45,0)</f>
        <v>0</v>
      </c>
      <c r="D45">
        <v>200</v>
      </c>
    </row>
    <row r="46" spans="1:4" x14ac:dyDescent="0.35">
      <c r="A46" t="s">
        <v>76</v>
      </c>
      <c r="B46">
        <f>MIN(0.12*Earnings!C47,1800)</f>
        <v>1800</v>
      </c>
      <c r="C46">
        <f>IF([1]Earnings!G46&lt;=21000,0.0075*[1]Earnings!G46,0)</f>
        <v>0</v>
      </c>
      <c r="D46">
        <v>280</v>
      </c>
    </row>
    <row r="47" spans="1:4" x14ac:dyDescent="0.35">
      <c r="A47" t="s">
        <v>77</v>
      </c>
      <c r="B47">
        <f>MIN(0.12*Earnings!C48,1800)</f>
        <v>1800</v>
      </c>
      <c r="C47">
        <f>IF([1]Earnings!G47&lt;=21000,0.0075*[1]Earnings!G47,0)</f>
        <v>0</v>
      </c>
      <c r="D47">
        <v>280</v>
      </c>
    </row>
    <row r="48" spans="1:4" x14ac:dyDescent="0.35">
      <c r="A48" t="s">
        <v>78</v>
      </c>
      <c r="B48">
        <f>MIN(0.12*Earnings!C49,1800)</f>
        <v>1800</v>
      </c>
      <c r="C48">
        <f>IF([1]Earnings!G48&lt;=21000,0.0075*[1]Earnings!G48,0)</f>
        <v>0</v>
      </c>
      <c r="D48">
        <v>240</v>
      </c>
    </row>
    <row r="49" spans="1:4" x14ac:dyDescent="0.35">
      <c r="A49" t="s">
        <v>79</v>
      </c>
      <c r="B49">
        <f>MIN(0.12*Earnings!C50,1800)</f>
        <v>1800</v>
      </c>
      <c r="C49">
        <f>IF([1]Earnings!G49&lt;=21000,0.0075*[1]Earnings!G49,0)</f>
        <v>0</v>
      </c>
      <c r="D49">
        <v>280</v>
      </c>
    </row>
    <row r="50" spans="1:4" x14ac:dyDescent="0.35">
      <c r="A50" t="s">
        <v>80</v>
      </c>
      <c r="B50">
        <f>MIN(0.12*Earnings!C51,1800)</f>
        <v>1800</v>
      </c>
      <c r="C50">
        <f>IF([1]Earnings!G50&lt;=21000,0.0075*[1]Earnings!G50,0)</f>
        <v>0</v>
      </c>
      <c r="D50">
        <v>200</v>
      </c>
    </row>
    <row r="51" spans="1:4" x14ac:dyDescent="0.35">
      <c r="A51" t="s">
        <v>81</v>
      </c>
      <c r="B51">
        <f>MIN(0.12*Earnings!C52,1800)</f>
        <v>1800</v>
      </c>
      <c r="C51">
        <f>IF([1]Earnings!G51&lt;=21000,0.0075*[1]Earnings!G51,0)</f>
        <v>0</v>
      </c>
      <c r="D51">
        <v>200</v>
      </c>
    </row>
    <row r="52" spans="1:4" x14ac:dyDescent="0.35">
      <c r="A52" t="s">
        <v>82</v>
      </c>
      <c r="B52">
        <f>MIN(0.12*Earnings!C53,1800)</f>
        <v>1800</v>
      </c>
      <c r="C52">
        <f>IF([1]Earnings!G52&lt;=21000,0.0075*[1]Earnings!G52,0)</f>
        <v>0</v>
      </c>
      <c r="D52">
        <v>340</v>
      </c>
    </row>
    <row r="53" spans="1:4" x14ac:dyDescent="0.35">
      <c r="A53" t="s">
        <v>83</v>
      </c>
      <c r="B53">
        <f>MIN(0.12*Earnings!C54,1800)</f>
        <v>1800</v>
      </c>
      <c r="C53">
        <f>IF([1]Earnings!G53&lt;=21000,0.0075*[1]Earnings!G53,0)</f>
        <v>0</v>
      </c>
      <c r="D53">
        <v>200</v>
      </c>
    </row>
    <row r="54" spans="1:4" x14ac:dyDescent="0.35">
      <c r="A54" t="s">
        <v>84</v>
      </c>
      <c r="B54">
        <f>MIN(0.12*Earnings!C55,1800)</f>
        <v>1800</v>
      </c>
      <c r="C54">
        <f>IF([1]Earnings!G54&lt;=21000,0.0075*[1]Earnings!G54,0)</f>
        <v>0</v>
      </c>
      <c r="D54">
        <v>340</v>
      </c>
    </row>
    <row r="55" spans="1:4" x14ac:dyDescent="0.35">
      <c r="A55" t="s">
        <v>85</v>
      </c>
      <c r="B55">
        <f>MIN(0.12*Earnings!C56,1800)</f>
        <v>1800</v>
      </c>
      <c r="C55">
        <f>IF([1]Earnings!G55&lt;=21000,0.0075*[1]Earnings!G55,0)</f>
        <v>0</v>
      </c>
      <c r="D55">
        <v>200</v>
      </c>
    </row>
    <row r="56" spans="1:4" x14ac:dyDescent="0.35">
      <c r="A56" t="s">
        <v>86</v>
      </c>
      <c r="B56">
        <f>MIN(0.12*Earnings!C57,1800)</f>
        <v>1800</v>
      </c>
      <c r="C56">
        <f>IF([1]Earnings!G56&lt;=21000,0.0075*[1]Earnings!G56,0)</f>
        <v>0</v>
      </c>
      <c r="D56">
        <v>200</v>
      </c>
    </row>
    <row r="57" spans="1:4" x14ac:dyDescent="0.35">
      <c r="A57" t="s">
        <v>87</v>
      </c>
      <c r="B57">
        <f>MIN(0.12*Earnings!C58,1800)</f>
        <v>1800</v>
      </c>
      <c r="C57">
        <f>IF([1]Earnings!G57&lt;=21000,0.0075*[1]Earnings!G57,0)</f>
        <v>0</v>
      </c>
      <c r="D57">
        <v>200</v>
      </c>
    </row>
    <row r="58" spans="1:4" x14ac:dyDescent="0.35">
      <c r="A58" t="s">
        <v>88</v>
      </c>
      <c r="B58">
        <f>MIN(0.12*Earnings!C59,1800)</f>
        <v>1800</v>
      </c>
      <c r="C58">
        <f>IF([1]Earnings!G58&lt;=21000,0.0075*[1]Earnings!G58,0)</f>
        <v>0</v>
      </c>
      <c r="D58">
        <v>200</v>
      </c>
    </row>
    <row r="59" spans="1:4" x14ac:dyDescent="0.35">
      <c r="A59" t="s">
        <v>89</v>
      </c>
      <c r="B59">
        <f>MIN(0.12*Earnings!C60,1800)</f>
        <v>1800</v>
      </c>
      <c r="C59">
        <f>IF([1]Earnings!G59&lt;=21000,0.0075*[1]Earnings!G59,0)</f>
        <v>0</v>
      </c>
      <c r="D59">
        <v>200</v>
      </c>
    </row>
    <row r="60" spans="1:4" x14ac:dyDescent="0.35">
      <c r="A60" t="s">
        <v>90</v>
      </c>
      <c r="B60">
        <f>MIN(0.12*Earnings!C61,1800)</f>
        <v>1800</v>
      </c>
      <c r="C60">
        <f>IF([1]Earnings!G60&lt;=21000,0.0075*[1]Earnings!G60,0)</f>
        <v>0</v>
      </c>
      <c r="D60">
        <v>240</v>
      </c>
    </row>
    <row r="61" spans="1:4" x14ac:dyDescent="0.35">
      <c r="A61" t="s">
        <v>91</v>
      </c>
      <c r="B61">
        <f>MIN(0.12*Earnings!C62,1800)</f>
        <v>1800</v>
      </c>
      <c r="C61">
        <f>IF([1]Earnings!G61&lt;=21000,0.0075*[1]Earnings!G61,0)</f>
        <v>0</v>
      </c>
      <c r="D61">
        <v>340</v>
      </c>
    </row>
    <row r="62" spans="1:4" x14ac:dyDescent="0.35">
      <c r="A62" t="s">
        <v>92</v>
      </c>
      <c r="B62">
        <f>MIN(0.12*Earnings!C63,1800)</f>
        <v>1800</v>
      </c>
      <c r="C62">
        <f>IF([1]Earnings!G62&lt;=21000,0.0075*[1]Earnings!G62,0)</f>
        <v>0</v>
      </c>
      <c r="D62">
        <v>200</v>
      </c>
    </row>
    <row r="63" spans="1:4" x14ac:dyDescent="0.35">
      <c r="A63" t="s">
        <v>93</v>
      </c>
      <c r="B63">
        <f>MIN(0.12*Earnings!C64,1800)</f>
        <v>1800</v>
      </c>
      <c r="C63">
        <f>IF([1]Earnings!G63&lt;=21000,0.0075*[1]Earnings!G63,0)</f>
        <v>0</v>
      </c>
      <c r="D63">
        <v>280</v>
      </c>
    </row>
    <row r="64" spans="1:4" x14ac:dyDescent="0.35">
      <c r="A64" t="s">
        <v>94</v>
      </c>
      <c r="B64">
        <f>MIN(0.12*Earnings!C65,1800)</f>
        <v>1800</v>
      </c>
      <c r="C64">
        <f>IF([1]Earnings!G64&lt;=21000,0.0075*[1]Earnings!G64,0)</f>
        <v>0</v>
      </c>
      <c r="D64">
        <v>340</v>
      </c>
    </row>
    <row r="65" spans="1:4" x14ac:dyDescent="0.35">
      <c r="A65" t="s">
        <v>95</v>
      </c>
      <c r="B65">
        <f>MIN(0.12*Earnings!C66,1800)</f>
        <v>1800</v>
      </c>
      <c r="C65">
        <f>IF([1]Earnings!G65&lt;=21000,0.0075*[1]Earnings!G65,0)</f>
        <v>0</v>
      </c>
      <c r="D65">
        <v>280</v>
      </c>
    </row>
    <row r="66" spans="1:4" x14ac:dyDescent="0.35">
      <c r="A66" t="s">
        <v>96</v>
      </c>
      <c r="B66">
        <f>MIN(0.12*Earnings!C67,1800)</f>
        <v>1800</v>
      </c>
      <c r="C66">
        <f>IF([1]Earnings!G66&lt;=21000,0.0075*[1]Earnings!G66,0)</f>
        <v>0</v>
      </c>
      <c r="D66">
        <v>340</v>
      </c>
    </row>
    <row r="67" spans="1:4" x14ac:dyDescent="0.35">
      <c r="A67" t="s">
        <v>97</v>
      </c>
      <c r="B67">
        <f>MIN(0.12*Earnings!C68,1800)</f>
        <v>1800</v>
      </c>
      <c r="C67">
        <f>IF([1]Earnings!G67&lt;=21000,0.0075*[1]Earnings!G67,0)</f>
        <v>0</v>
      </c>
      <c r="D67">
        <v>280</v>
      </c>
    </row>
    <row r="68" spans="1:4" x14ac:dyDescent="0.35">
      <c r="A68" t="s">
        <v>98</v>
      </c>
      <c r="B68">
        <f>MIN(0.12*Earnings!C69,1800)</f>
        <v>1800</v>
      </c>
      <c r="C68">
        <f>IF([1]Earnings!G68&lt;=21000,0.0075*[1]Earnings!G68,0)</f>
        <v>0</v>
      </c>
      <c r="D68">
        <v>240</v>
      </c>
    </row>
    <row r="69" spans="1:4" x14ac:dyDescent="0.35">
      <c r="A69" t="s">
        <v>99</v>
      </c>
      <c r="B69">
        <f>MIN(0.12*Earnings!C70,1800)</f>
        <v>1800</v>
      </c>
      <c r="C69">
        <f>IF([1]Earnings!G69&lt;=21000,0.0075*[1]Earnings!G69,0)</f>
        <v>0</v>
      </c>
      <c r="D69">
        <v>280</v>
      </c>
    </row>
    <row r="70" spans="1:4" x14ac:dyDescent="0.35">
      <c r="A70" t="s">
        <v>100</v>
      </c>
      <c r="B70">
        <f>MIN(0.12*Earnings!C71,1800)</f>
        <v>1800</v>
      </c>
      <c r="C70">
        <f>IF([1]Earnings!G70&lt;=21000,0.0075*[1]Earnings!G70,0)</f>
        <v>0</v>
      </c>
      <c r="D70">
        <v>200</v>
      </c>
    </row>
    <row r="71" spans="1:4" x14ac:dyDescent="0.35">
      <c r="A71" t="s">
        <v>101</v>
      </c>
      <c r="B71">
        <f>MIN(0.12*Earnings!C72,1800)</f>
        <v>1800</v>
      </c>
      <c r="C71">
        <f>IF([1]Earnings!G71&lt;=21000,0.0075*[1]Earnings!G71,0)</f>
        <v>0</v>
      </c>
      <c r="D71">
        <v>280</v>
      </c>
    </row>
    <row r="72" spans="1:4" x14ac:dyDescent="0.35">
      <c r="A72" t="s">
        <v>102</v>
      </c>
      <c r="B72">
        <f>MIN(0.12*Earnings!C73,1800)</f>
        <v>1800</v>
      </c>
      <c r="C72">
        <f>IF([1]Earnings!G72&lt;=21000,0.0075*[1]Earnings!G72,0)</f>
        <v>0</v>
      </c>
      <c r="D72">
        <v>280</v>
      </c>
    </row>
    <row r="73" spans="1:4" x14ac:dyDescent="0.35">
      <c r="A73" t="s">
        <v>103</v>
      </c>
      <c r="B73">
        <f>MIN(0.12*Earnings!C74,1800)</f>
        <v>1800</v>
      </c>
      <c r="C73">
        <f>IF([1]Earnings!G73&lt;=21000,0.0075*[1]Earnings!G73,0)</f>
        <v>0</v>
      </c>
      <c r="D73">
        <v>340</v>
      </c>
    </row>
    <row r="74" spans="1:4" x14ac:dyDescent="0.35">
      <c r="A74" t="s">
        <v>104</v>
      </c>
      <c r="B74">
        <f>MIN(0.12*Earnings!C75,1800)</f>
        <v>1800</v>
      </c>
      <c r="C74">
        <f>IF([1]Earnings!G74&lt;=21000,0.0075*[1]Earnings!G74,0)</f>
        <v>0</v>
      </c>
      <c r="D74">
        <v>240</v>
      </c>
    </row>
    <row r="75" spans="1:4" x14ac:dyDescent="0.35">
      <c r="A75" t="s">
        <v>105</v>
      </c>
      <c r="B75">
        <f>MIN(0.12*Earnings!C76,1800)</f>
        <v>1800</v>
      </c>
      <c r="C75">
        <f>IF([1]Earnings!G75&lt;=21000,0.0075*[1]Earnings!G75,0)</f>
        <v>0</v>
      </c>
      <c r="D75">
        <v>340</v>
      </c>
    </row>
    <row r="76" spans="1:4" x14ac:dyDescent="0.35">
      <c r="A76" t="s">
        <v>106</v>
      </c>
      <c r="B76">
        <f>MIN(0.12*Earnings!C77,1800)</f>
        <v>1800</v>
      </c>
      <c r="C76">
        <f>IF([1]Earnings!G76&lt;=21000,0.0075*[1]Earnings!G76,0)</f>
        <v>0</v>
      </c>
      <c r="D76">
        <v>240</v>
      </c>
    </row>
    <row r="77" spans="1:4" x14ac:dyDescent="0.35">
      <c r="A77" t="s">
        <v>107</v>
      </c>
      <c r="B77">
        <f>MIN(0.12*Earnings!C78,1800)</f>
        <v>1800</v>
      </c>
      <c r="C77">
        <f>IF([1]Earnings!G77&lt;=21000,0.0075*[1]Earnings!G77,0)</f>
        <v>0</v>
      </c>
      <c r="D77">
        <v>280</v>
      </c>
    </row>
    <row r="78" spans="1:4" x14ac:dyDescent="0.35">
      <c r="A78" t="s">
        <v>108</v>
      </c>
      <c r="B78">
        <f>MIN(0.12*Earnings!C79,1800)</f>
        <v>1800</v>
      </c>
      <c r="C78">
        <f>IF([1]Earnings!G78&lt;=21000,0.0075*[1]Earnings!G78,0)</f>
        <v>0</v>
      </c>
      <c r="D78">
        <v>240</v>
      </c>
    </row>
    <row r="79" spans="1:4" x14ac:dyDescent="0.35">
      <c r="A79" t="s">
        <v>109</v>
      </c>
      <c r="B79">
        <f>MIN(0.12*Earnings!C80,1800)</f>
        <v>1800</v>
      </c>
      <c r="C79">
        <f>IF([1]Earnings!G79&lt;=21000,0.0075*[1]Earnings!G79,0)</f>
        <v>0</v>
      </c>
      <c r="D79">
        <v>340</v>
      </c>
    </row>
    <row r="80" spans="1:4" x14ac:dyDescent="0.35">
      <c r="A80" t="s">
        <v>110</v>
      </c>
      <c r="B80">
        <f>MIN(0.12*Earnings!C81,1800)</f>
        <v>1800</v>
      </c>
      <c r="C80">
        <f>IF([1]Earnings!G80&lt;=21000,0.0075*[1]Earnings!G80,0)</f>
        <v>0</v>
      </c>
      <c r="D80">
        <v>340</v>
      </c>
    </row>
    <row r="81" spans="1:4" x14ac:dyDescent="0.35">
      <c r="A81" t="s">
        <v>111</v>
      </c>
      <c r="B81">
        <f>MIN(0.12*Earnings!C82,1800)</f>
        <v>1800</v>
      </c>
      <c r="C81">
        <f>IF([1]Earnings!G81&lt;=21000,0.0075*[1]Earnings!G81,0)</f>
        <v>0</v>
      </c>
      <c r="D81">
        <v>340</v>
      </c>
    </row>
    <row r="82" spans="1:4" x14ac:dyDescent="0.35">
      <c r="A82" t="s">
        <v>112</v>
      </c>
      <c r="B82">
        <f>MIN(0.12*Earnings!C83,1800)</f>
        <v>1800</v>
      </c>
      <c r="C82">
        <f>IF([1]Earnings!G82&lt;=21000,0.0075*[1]Earnings!G82,0)</f>
        <v>0</v>
      </c>
      <c r="D82">
        <v>240</v>
      </c>
    </row>
    <row r="83" spans="1:4" x14ac:dyDescent="0.35">
      <c r="A83" t="s">
        <v>113</v>
      </c>
      <c r="B83">
        <f>MIN(0.12*Earnings!C84,1800)</f>
        <v>1800</v>
      </c>
      <c r="C83">
        <f>IF([1]Earnings!G83&lt;=21000,0.0075*[1]Earnings!G83,0)</f>
        <v>0</v>
      </c>
      <c r="D83">
        <v>280</v>
      </c>
    </row>
    <row r="84" spans="1:4" x14ac:dyDescent="0.35">
      <c r="A84" t="s">
        <v>114</v>
      </c>
      <c r="B84">
        <f>MIN(0.12*Earnings!C85,1800)</f>
        <v>1800</v>
      </c>
      <c r="C84">
        <f>IF([1]Earnings!G84&lt;=21000,0.0075*[1]Earnings!G84,0)</f>
        <v>0</v>
      </c>
      <c r="D84">
        <v>200</v>
      </c>
    </row>
    <row r="85" spans="1:4" x14ac:dyDescent="0.35">
      <c r="A85" t="s">
        <v>115</v>
      </c>
      <c r="B85">
        <f>MIN(0.12*Earnings!C86,1800)</f>
        <v>1800</v>
      </c>
      <c r="C85">
        <f>IF([1]Earnings!G85&lt;=21000,0.0075*[1]Earnings!G85,0)</f>
        <v>0</v>
      </c>
      <c r="D85">
        <v>280</v>
      </c>
    </row>
    <row r="86" spans="1:4" x14ac:dyDescent="0.35">
      <c r="A86" t="s">
        <v>116</v>
      </c>
      <c r="B86">
        <f>MIN(0.12*Earnings!C87,1800)</f>
        <v>1800</v>
      </c>
      <c r="C86">
        <f>IF([1]Earnings!G86&lt;=21000,0.0075*[1]Earnings!G86,0)</f>
        <v>0</v>
      </c>
      <c r="D86">
        <v>200</v>
      </c>
    </row>
    <row r="87" spans="1:4" x14ac:dyDescent="0.35">
      <c r="A87" t="s">
        <v>117</v>
      </c>
      <c r="B87">
        <f>MIN(0.12*Earnings!C88,1800)</f>
        <v>1800</v>
      </c>
      <c r="C87">
        <f>IF([1]Earnings!G87&lt;=21000,0.0075*[1]Earnings!G87,0)</f>
        <v>0</v>
      </c>
      <c r="D87">
        <v>200</v>
      </c>
    </row>
    <row r="88" spans="1:4" x14ac:dyDescent="0.35">
      <c r="A88" t="s">
        <v>118</v>
      </c>
      <c r="B88">
        <f>MIN(0.12*Earnings!C89,1800)</f>
        <v>1800</v>
      </c>
      <c r="C88">
        <f>IF([1]Earnings!G88&lt;=21000,0.0075*[1]Earnings!G88,0)</f>
        <v>0</v>
      </c>
      <c r="D88">
        <v>200</v>
      </c>
    </row>
    <row r="89" spans="1:4" x14ac:dyDescent="0.35">
      <c r="A89" t="s">
        <v>119</v>
      </c>
      <c r="B89">
        <f>MIN(0.12*Earnings!C90,1800)</f>
        <v>1800</v>
      </c>
      <c r="C89">
        <f>IF([1]Earnings!G89&lt;=21000,0.0075*[1]Earnings!G89,0)</f>
        <v>0</v>
      </c>
      <c r="D89">
        <v>340</v>
      </c>
    </row>
    <row r="90" spans="1:4" x14ac:dyDescent="0.35">
      <c r="A90" t="s">
        <v>120</v>
      </c>
      <c r="B90">
        <f>MIN(0.12*Earnings!C91,1800)</f>
        <v>1800</v>
      </c>
      <c r="C90">
        <f>IF([1]Earnings!G90&lt;=21000,0.0075*[1]Earnings!G90,0)</f>
        <v>0</v>
      </c>
      <c r="D90">
        <v>240</v>
      </c>
    </row>
    <row r="91" spans="1:4" x14ac:dyDescent="0.35">
      <c r="A91" t="s">
        <v>121</v>
      </c>
      <c r="B91">
        <f>MIN(0.12*Earnings!C92,1800)</f>
        <v>1800</v>
      </c>
      <c r="C91">
        <f>IF([1]Earnings!G91&lt;=21000,0.0075*[1]Earnings!G91,0)</f>
        <v>0</v>
      </c>
      <c r="D91">
        <v>280</v>
      </c>
    </row>
    <row r="92" spans="1:4" x14ac:dyDescent="0.35">
      <c r="A92" t="s">
        <v>122</v>
      </c>
      <c r="B92">
        <f>MIN(0.12*Earnings!C93,1800)</f>
        <v>1800</v>
      </c>
      <c r="C92">
        <f>IF([1]Earnings!G92&lt;=21000,0.0075*[1]Earnings!G92,0)</f>
        <v>0</v>
      </c>
      <c r="D92">
        <v>340</v>
      </c>
    </row>
    <row r="93" spans="1:4" x14ac:dyDescent="0.35">
      <c r="A93" t="s">
        <v>123</v>
      </c>
      <c r="B93">
        <f>MIN(0.12*Earnings!C94,1800)</f>
        <v>1800</v>
      </c>
      <c r="C93">
        <f>IF([1]Earnings!G93&lt;=21000,0.0075*[1]Earnings!G93,0)</f>
        <v>0</v>
      </c>
      <c r="D93">
        <v>200</v>
      </c>
    </row>
    <row r="94" spans="1:4" x14ac:dyDescent="0.35">
      <c r="A94" t="s">
        <v>124</v>
      </c>
      <c r="B94">
        <f>MIN(0.12*Earnings!C95,1800)</f>
        <v>1800</v>
      </c>
      <c r="C94">
        <f>IF([1]Earnings!G94&lt;=21000,0.0075*[1]Earnings!G94,0)</f>
        <v>0</v>
      </c>
      <c r="D94">
        <v>240</v>
      </c>
    </row>
    <row r="95" spans="1:4" x14ac:dyDescent="0.35">
      <c r="A95" t="s">
        <v>125</v>
      </c>
      <c r="B95">
        <f>MIN(0.12*Earnings!C96,1800)</f>
        <v>1800</v>
      </c>
      <c r="C95">
        <f>IF([1]Earnings!G95&lt;=21000,0.0075*[1]Earnings!G95,0)</f>
        <v>0</v>
      </c>
      <c r="D95">
        <v>240</v>
      </c>
    </row>
    <row r="96" spans="1:4" x14ac:dyDescent="0.35">
      <c r="A96" t="s">
        <v>126</v>
      </c>
      <c r="B96">
        <f>MIN(0.12*Earnings!C97,1800)</f>
        <v>1800</v>
      </c>
      <c r="C96">
        <f>IF([1]Earnings!G96&lt;=21000,0.0075*[1]Earnings!G96,0)</f>
        <v>0</v>
      </c>
      <c r="D96">
        <v>240</v>
      </c>
    </row>
    <row r="97" spans="1:4" x14ac:dyDescent="0.35">
      <c r="A97" t="s">
        <v>127</v>
      </c>
      <c r="B97">
        <f>MIN(0.12*Earnings!C98,1800)</f>
        <v>1800</v>
      </c>
      <c r="C97">
        <f>IF([1]Earnings!G97&lt;=21000,0.0075*[1]Earnings!G97,0)</f>
        <v>0</v>
      </c>
      <c r="D97">
        <v>340</v>
      </c>
    </row>
    <row r="98" spans="1:4" x14ac:dyDescent="0.35">
      <c r="A98" t="s">
        <v>128</v>
      </c>
      <c r="B98">
        <f>MIN(0.12*Earnings!C99,1800)</f>
        <v>1800</v>
      </c>
      <c r="C98">
        <f>IF([1]Earnings!G98&lt;=21000,0.0075*[1]Earnings!G98,0)</f>
        <v>0</v>
      </c>
      <c r="D98">
        <v>280</v>
      </c>
    </row>
    <row r="99" spans="1:4" x14ac:dyDescent="0.35">
      <c r="A99" t="s">
        <v>129</v>
      </c>
      <c r="B99">
        <f>MIN(0.12*Earnings!C100,1800)</f>
        <v>1800</v>
      </c>
      <c r="C99">
        <f>IF([1]Earnings!G99&lt;=21000,0.0075*[1]Earnings!G99,0)</f>
        <v>0</v>
      </c>
      <c r="D99">
        <v>240</v>
      </c>
    </row>
    <row r="100" spans="1:4" x14ac:dyDescent="0.35">
      <c r="A100" t="s">
        <v>130</v>
      </c>
      <c r="B100">
        <f>MIN(0.12*Earnings!C101,1800)</f>
        <v>1800</v>
      </c>
      <c r="C100">
        <f>IF([1]Earnings!G100&lt;=21000,0.0075*[1]Earnings!G100,0)</f>
        <v>0</v>
      </c>
      <c r="D100">
        <v>280</v>
      </c>
    </row>
    <row r="101" spans="1:4" x14ac:dyDescent="0.35">
      <c r="A101" t="s">
        <v>131</v>
      </c>
      <c r="B101">
        <f>MIN(0.12*Earnings!C102,1800)</f>
        <v>1800</v>
      </c>
      <c r="C101">
        <f>IF([1]Earnings!G101&lt;=21000,0.0075*[1]Earnings!G101,0)</f>
        <v>0</v>
      </c>
      <c r="D101">
        <v>280</v>
      </c>
    </row>
    <row r="102" spans="1:4" x14ac:dyDescent="0.35">
      <c r="A102" t="s">
        <v>132</v>
      </c>
      <c r="B102">
        <f>MIN(0.12*Earnings!C103,1800)</f>
        <v>1800</v>
      </c>
      <c r="C102">
        <f>IF([1]Earnings!G102&lt;=21000,0.0075*[1]Earnings!G102,0)</f>
        <v>0</v>
      </c>
      <c r="D102">
        <v>280</v>
      </c>
    </row>
    <row r="103" spans="1:4" x14ac:dyDescent="0.35">
      <c r="A103" t="s">
        <v>133</v>
      </c>
      <c r="B103">
        <f>MIN(0.12*Earnings!C104,1800)</f>
        <v>1800</v>
      </c>
      <c r="C103">
        <f>IF([1]Earnings!G103&lt;=21000,0.0075*[1]Earnings!G103,0)</f>
        <v>0</v>
      </c>
      <c r="D103">
        <v>280</v>
      </c>
    </row>
    <row r="104" spans="1:4" x14ac:dyDescent="0.35">
      <c r="A104" t="s">
        <v>134</v>
      </c>
      <c r="B104">
        <f>MIN(0.12*Earnings!C105,1800)</f>
        <v>1800</v>
      </c>
      <c r="C104">
        <f>IF([1]Earnings!G104&lt;=21000,0.0075*[1]Earnings!G104,0)</f>
        <v>0</v>
      </c>
      <c r="D104">
        <v>240</v>
      </c>
    </row>
    <row r="105" spans="1:4" x14ac:dyDescent="0.35">
      <c r="A105" t="s">
        <v>135</v>
      </c>
      <c r="B105">
        <f>MIN(0.12*Earnings!C106,1800)</f>
        <v>1800</v>
      </c>
      <c r="C105">
        <f>IF([1]Earnings!G105&lt;=21000,0.0075*[1]Earnings!G105,0)</f>
        <v>0</v>
      </c>
      <c r="D105">
        <v>200</v>
      </c>
    </row>
    <row r="106" spans="1:4" x14ac:dyDescent="0.35">
      <c r="A106" t="s">
        <v>136</v>
      </c>
      <c r="B106">
        <f>MIN(0.12*Earnings!C107,1800)</f>
        <v>1800</v>
      </c>
      <c r="C106">
        <f>IF([1]Earnings!G106&lt;=21000,0.0075*[1]Earnings!G106,0)</f>
        <v>0</v>
      </c>
      <c r="D106">
        <v>340</v>
      </c>
    </row>
    <row r="107" spans="1:4" x14ac:dyDescent="0.35">
      <c r="A107" t="s">
        <v>137</v>
      </c>
      <c r="B107">
        <f>MIN(0.12*Earnings!C108,1800)</f>
        <v>1800</v>
      </c>
      <c r="C107">
        <f>IF([1]Earnings!G107&lt;=21000,0.0075*[1]Earnings!G107,0)</f>
        <v>0</v>
      </c>
      <c r="D107">
        <v>200</v>
      </c>
    </row>
    <row r="108" spans="1:4" x14ac:dyDescent="0.35">
      <c r="A108" t="s">
        <v>138</v>
      </c>
      <c r="B108">
        <f>MIN(0.12*Earnings!C109,1800)</f>
        <v>1800</v>
      </c>
      <c r="C108">
        <f>IF([1]Earnings!G108&lt;=21000,0.0075*[1]Earnings!G108,0)</f>
        <v>0</v>
      </c>
      <c r="D108">
        <v>200</v>
      </c>
    </row>
    <row r="109" spans="1:4" x14ac:dyDescent="0.35">
      <c r="A109" t="s">
        <v>139</v>
      </c>
      <c r="B109">
        <f>MIN(0.12*Earnings!C110,1800)</f>
        <v>1800</v>
      </c>
      <c r="C109">
        <f>IF([1]Earnings!G109&lt;=21000,0.0075*[1]Earnings!G109,0)</f>
        <v>0</v>
      </c>
      <c r="D109">
        <v>340</v>
      </c>
    </row>
    <row r="110" spans="1:4" x14ac:dyDescent="0.35">
      <c r="A110" t="s">
        <v>140</v>
      </c>
      <c r="B110">
        <f>MIN(0.12*Earnings!C111,1800)</f>
        <v>1800</v>
      </c>
      <c r="C110">
        <f>IF([1]Earnings!G110&lt;=21000,0.0075*[1]Earnings!G110,0)</f>
        <v>0</v>
      </c>
      <c r="D110">
        <v>240</v>
      </c>
    </row>
    <row r="111" spans="1:4" x14ac:dyDescent="0.35">
      <c r="A111" t="s">
        <v>141</v>
      </c>
      <c r="B111">
        <f>MIN(0.12*Earnings!C112,1800)</f>
        <v>1800</v>
      </c>
      <c r="C111">
        <f>IF([1]Earnings!G111&lt;=21000,0.0075*[1]Earnings!G111,0)</f>
        <v>0</v>
      </c>
      <c r="D111">
        <v>340</v>
      </c>
    </row>
    <row r="112" spans="1:4" x14ac:dyDescent="0.35">
      <c r="A112" t="s">
        <v>142</v>
      </c>
      <c r="B112">
        <f>MIN(0.12*Earnings!C113,1800)</f>
        <v>1800</v>
      </c>
      <c r="C112">
        <f>IF([1]Earnings!G112&lt;=21000,0.0075*[1]Earnings!G112,0)</f>
        <v>0</v>
      </c>
      <c r="D112">
        <v>340</v>
      </c>
    </row>
    <row r="113" spans="1:4" x14ac:dyDescent="0.35">
      <c r="A113" t="s">
        <v>143</v>
      </c>
      <c r="B113">
        <f>MIN(0.12*Earnings!C114,1800)</f>
        <v>1800</v>
      </c>
      <c r="C113">
        <f>IF([1]Earnings!G113&lt;=21000,0.0075*[1]Earnings!G113,0)</f>
        <v>0</v>
      </c>
      <c r="D113">
        <v>340</v>
      </c>
    </row>
    <row r="114" spans="1:4" x14ac:dyDescent="0.35">
      <c r="A114" t="s">
        <v>144</v>
      </c>
      <c r="B114">
        <f>MIN(0.12*Earnings!C115,1800)</f>
        <v>1800</v>
      </c>
      <c r="C114">
        <f>IF([1]Earnings!G114&lt;=21000,0.0075*[1]Earnings!G114,0)</f>
        <v>0</v>
      </c>
      <c r="D114">
        <v>200</v>
      </c>
    </row>
    <row r="115" spans="1:4" x14ac:dyDescent="0.35">
      <c r="A115" t="s">
        <v>145</v>
      </c>
      <c r="B115">
        <f>MIN(0.12*Earnings!C116,1800)</f>
        <v>1800</v>
      </c>
      <c r="C115">
        <f>IF([1]Earnings!G115&lt;=21000,0.0075*[1]Earnings!G115,0)</f>
        <v>0</v>
      </c>
      <c r="D115">
        <v>200</v>
      </c>
    </row>
    <row r="116" spans="1:4" x14ac:dyDescent="0.35">
      <c r="A116" t="s">
        <v>146</v>
      </c>
      <c r="B116">
        <f>MIN(0.12*Earnings!C117,1800)</f>
        <v>1800</v>
      </c>
      <c r="C116">
        <f>IF([1]Earnings!G116&lt;=21000,0.0075*[1]Earnings!G116,0)</f>
        <v>0</v>
      </c>
      <c r="D116">
        <v>200</v>
      </c>
    </row>
    <row r="117" spans="1:4" x14ac:dyDescent="0.35">
      <c r="A117" t="s">
        <v>147</v>
      </c>
      <c r="B117">
        <f>MIN(0.12*Earnings!C118,1800)</f>
        <v>1800</v>
      </c>
      <c r="C117">
        <f>IF([1]Earnings!G117&lt;=21000,0.0075*[1]Earnings!G117,0)</f>
        <v>0</v>
      </c>
      <c r="D117">
        <v>240</v>
      </c>
    </row>
    <row r="118" spans="1:4" x14ac:dyDescent="0.35">
      <c r="A118" t="s">
        <v>148</v>
      </c>
      <c r="B118">
        <f>MIN(0.12*Earnings!C119,1800)</f>
        <v>1800</v>
      </c>
      <c r="C118">
        <f>IF([1]Earnings!G118&lt;=21000,0.0075*[1]Earnings!G118,0)</f>
        <v>0</v>
      </c>
      <c r="D118">
        <v>200</v>
      </c>
    </row>
    <row r="119" spans="1:4" x14ac:dyDescent="0.35">
      <c r="A119" t="s">
        <v>149</v>
      </c>
      <c r="B119">
        <f>MIN(0.12*Earnings!C120,1800)</f>
        <v>1800</v>
      </c>
      <c r="C119">
        <f>IF([1]Earnings!G119&lt;=21000,0.0075*[1]Earnings!G119,0)</f>
        <v>0</v>
      </c>
      <c r="D119">
        <v>340</v>
      </c>
    </row>
    <row r="120" spans="1:4" x14ac:dyDescent="0.35">
      <c r="A120" t="s">
        <v>150</v>
      </c>
      <c r="B120">
        <f>MIN(0.12*Earnings!C121,1800)</f>
        <v>1800</v>
      </c>
      <c r="C120">
        <f>IF([1]Earnings!G120&lt;=21000,0.0075*[1]Earnings!G120,0)</f>
        <v>0</v>
      </c>
      <c r="D120">
        <v>280</v>
      </c>
    </row>
    <row r="121" spans="1:4" x14ac:dyDescent="0.35">
      <c r="A121" t="s">
        <v>151</v>
      </c>
      <c r="B121">
        <f>MIN(0.12*Earnings!C122,1800)</f>
        <v>1800</v>
      </c>
      <c r="C121">
        <f>IF([1]Earnings!G121&lt;=21000,0.0075*[1]Earnings!G121,0)</f>
        <v>0</v>
      </c>
      <c r="D121">
        <v>200</v>
      </c>
    </row>
    <row r="122" spans="1:4" x14ac:dyDescent="0.35">
      <c r="A122" t="s">
        <v>152</v>
      </c>
      <c r="B122">
        <f>MIN(0.12*Earnings!C123,1800)</f>
        <v>1800</v>
      </c>
      <c r="C122">
        <f>IF([1]Earnings!G122&lt;=21000,0.0075*[1]Earnings!G122,0)</f>
        <v>0</v>
      </c>
      <c r="D122">
        <v>240</v>
      </c>
    </row>
    <row r="123" spans="1:4" x14ac:dyDescent="0.35">
      <c r="A123" t="s">
        <v>153</v>
      </c>
      <c r="B123">
        <f>MIN(0.12*Earnings!C124,1800)</f>
        <v>1800</v>
      </c>
      <c r="C123">
        <f>IF([1]Earnings!G123&lt;=21000,0.0075*[1]Earnings!G123,0)</f>
        <v>0</v>
      </c>
      <c r="D123">
        <v>200</v>
      </c>
    </row>
    <row r="124" spans="1:4" x14ac:dyDescent="0.35">
      <c r="A124" t="s">
        <v>154</v>
      </c>
      <c r="B124">
        <f>MIN(0.12*Earnings!C125,1800)</f>
        <v>1800</v>
      </c>
      <c r="C124">
        <f>IF([1]Earnings!G124&lt;=21000,0.0075*[1]Earnings!G124,0)</f>
        <v>0</v>
      </c>
      <c r="D124">
        <v>280</v>
      </c>
    </row>
    <row r="125" spans="1:4" x14ac:dyDescent="0.35">
      <c r="A125" t="s">
        <v>155</v>
      </c>
      <c r="B125">
        <f>MIN(0.12*Earnings!C126,1800)</f>
        <v>1800</v>
      </c>
      <c r="C125">
        <f>IF([1]Earnings!G125&lt;=21000,0.0075*[1]Earnings!G125,0)</f>
        <v>0</v>
      </c>
      <c r="D125">
        <v>200</v>
      </c>
    </row>
    <row r="126" spans="1:4" x14ac:dyDescent="0.35">
      <c r="A126" t="s">
        <v>156</v>
      </c>
      <c r="B126">
        <f>MIN(0.12*Earnings!C127,1800)</f>
        <v>1800</v>
      </c>
      <c r="C126">
        <f>IF([1]Earnings!G126&lt;=21000,0.0075*[1]Earnings!G126,0)</f>
        <v>0</v>
      </c>
      <c r="D126">
        <v>280</v>
      </c>
    </row>
    <row r="127" spans="1:4" x14ac:dyDescent="0.35">
      <c r="A127" t="s">
        <v>157</v>
      </c>
      <c r="B127">
        <f>MIN(0.12*Earnings!C128,1800)</f>
        <v>1800</v>
      </c>
      <c r="C127">
        <f>IF([1]Earnings!G127&lt;=21000,0.0075*[1]Earnings!G127,0)</f>
        <v>0</v>
      </c>
      <c r="D127">
        <v>240</v>
      </c>
    </row>
    <row r="128" spans="1:4" x14ac:dyDescent="0.35">
      <c r="A128" t="s">
        <v>158</v>
      </c>
      <c r="B128">
        <f>MIN(0.12*Earnings!C129,1800)</f>
        <v>1800</v>
      </c>
      <c r="C128">
        <f>IF([1]Earnings!G128&lt;=21000,0.0075*[1]Earnings!G128,0)</f>
        <v>0</v>
      </c>
      <c r="D128">
        <v>340</v>
      </c>
    </row>
    <row r="129" spans="1:4" x14ac:dyDescent="0.35">
      <c r="A129" t="s">
        <v>159</v>
      </c>
      <c r="B129">
        <f>MIN(0.12*Earnings!C130,1800)</f>
        <v>1800</v>
      </c>
      <c r="C129">
        <f>IF([1]Earnings!G129&lt;=21000,0.0075*[1]Earnings!G129,0)</f>
        <v>0</v>
      </c>
      <c r="D129">
        <v>200</v>
      </c>
    </row>
    <row r="130" spans="1:4" x14ac:dyDescent="0.35">
      <c r="A130" t="s">
        <v>160</v>
      </c>
      <c r="B130">
        <f>MIN(0.12*Earnings!C131,1800)</f>
        <v>1800</v>
      </c>
      <c r="C130">
        <f>IF([1]Earnings!G130&lt;=21000,0.0075*[1]Earnings!G130,0)</f>
        <v>0</v>
      </c>
      <c r="D130">
        <v>240</v>
      </c>
    </row>
    <row r="131" spans="1:4" x14ac:dyDescent="0.35">
      <c r="A131" t="s">
        <v>161</v>
      </c>
      <c r="B131">
        <f>MIN(0.12*Earnings!C132,1800)</f>
        <v>1800</v>
      </c>
      <c r="C131">
        <f>IF([1]Earnings!G131&lt;=21000,0.0075*[1]Earnings!G131,0)</f>
        <v>0</v>
      </c>
      <c r="D131">
        <v>200</v>
      </c>
    </row>
    <row r="132" spans="1:4" x14ac:dyDescent="0.35">
      <c r="A132" t="s">
        <v>162</v>
      </c>
      <c r="B132">
        <f>MIN(0.12*Earnings!C133,1800)</f>
        <v>1800</v>
      </c>
      <c r="C132">
        <f>IF([1]Earnings!G132&lt;=21000,0.0075*[1]Earnings!G132,0)</f>
        <v>0</v>
      </c>
      <c r="D132">
        <v>280</v>
      </c>
    </row>
    <row r="133" spans="1:4" x14ac:dyDescent="0.35">
      <c r="A133" t="s">
        <v>163</v>
      </c>
      <c r="B133">
        <f>MIN(0.12*Earnings!C134,1800)</f>
        <v>1800</v>
      </c>
      <c r="C133">
        <f>IF([1]Earnings!G133&lt;=21000,0.0075*[1]Earnings!G133,0)</f>
        <v>0</v>
      </c>
      <c r="D133">
        <v>240</v>
      </c>
    </row>
    <row r="134" spans="1:4" x14ac:dyDescent="0.35">
      <c r="A134" t="s">
        <v>164</v>
      </c>
      <c r="B134">
        <f>MIN(0.12*Earnings!C135,1800)</f>
        <v>1800</v>
      </c>
      <c r="C134">
        <f>IF([1]Earnings!G134&lt;=21000,0.0075*[1]Earnings!G134,0)</f>
        <v>0</v>
      </c>
      <c r="D134">
        <v>340</v>
      </c>
    </row>
    <row r="135" spans="1:4" x14ac:dyDescent="0.35">
      <c r="A135" t="s">
        <v>165</v>
      </c>
      <c r="B135">
        <f>MIN(0.12*Earnings!C136,1800)</f>
        <v>1800</v>
      </c>
      <c r="C135">
        <f>IF([1]Earnings!G135&lt;=21000,0.0075*[1]Earnings!G135,0)</f>
        <v>0</v>
      </c>
      <c r="D135">
        <v>200</v>
      </c>
    </row>
    <row r="136" spans="1:4" x14ac:dyDescent="0.35">
      <c r="A136" t="s">
        <v>166</v>
      </c>
      <c r="B136">
        <f>MIN(0.12*Earnings!C137,1800)</f>
        <v>1800</v>
      </c>
      <c r="C136">
        <f>IF([1]Earnings!G136&lt;=21000,0.0075*[1]Earnings!G136,0)</f>
        <v>0</v>
      </c>
      <c r="D136">
        <v>280</v>
      </c>
    </row>
    <row r="137" spans="1:4" x14ac:dyDescent="0.35">
      <c r="A137" t="s">
        <v>167</v>
      </c>
      <c r="B137">
        <f>MIN(0.12*Earnings!C138,1800)</f>
        <v>1800</v>
      </c>
      <c r="C137">
        <f>IF([1]Earnings!G137&lt;=21000,0.0075*[1]Earnings!G137,0)</f>
        <v>0</v>
      </c>
      <c r="D137">
        <v>240</v>
      </c>
    </row>
    <row r="138" spans="1:4" x14ac:dyDescent="0.35">
      <c r="A138" t="s">
        <v>168</v>
      </c>
      <c r="B138">
        <f>MIN(0.12*Earnings!C139,1800)</f>
        <v>1800</v>
      </c>
      <c r="C138">
        <f>IF([1]Earnings!G138&lt;=21000,0.0075*[1]Earnings!G138,0)</f>
        <v>0</v>
      </c>
      <c r="D138">
        <v>240</v>
      </c>
    </row>
    <row r="139" spans="1:4" x14ac:dyDescent="0.35">
      <c r="A139" t="s">
        <v>169</v>
      </c>
      <c r="B139">
        <f>MIN(0.12*Earnings!C140,1800)</f>
        <v>1800</v>
      </c>
      <c r="C139">
        <f>IF([1]Earnings!G139&lt;=21000,0.0075*[1]Earnings!G139,0)</f>
        <v>0</v>
      </c>
      <c r="D139">
        <v>340</v>
      </c>
    </row>
    <row r="140" spans="1:4" x14ac:dyDescent="0.35">
      <c r="A140" t="s">
        <v>170</v>
      </c>
      <c r="B140">
        <f>MIN(0.12*Earnings!C141,1800)</f>
        <v>1800</v>
      </c>
      <c r="C140">
        <f>IF([1]Earnings!G140&lt;=21000,0.0075*[1]Earnings!G140,0)</f>
        <v>0</v>
      </c>
      <c r="D140">
        <v>340</v>
      </c>
    </row>
    <row r="141" spans="1:4" x14ac:dyDescent="0.35">
      <c r="A141" t="s">
        <v>171</v>
      </c>
      <c r="B141">
        <f>MIN(0.12*Earnings!C142,1800)</f>
        <v>1800</v>
      </c>
      <c r="C141">
        <f>IF([1]Earnings!G141&lt;=21000,0.0075*[1]Earnings!G141,0)</f>
        <v>0</v>
      </c>
      <c r="D141">
        <v>240</v>
      </c>
    </row>
    <row r="142" spans="1:4" x14ac:dyDescent="0.35">
      <c r="A142" t="s">
        <v>172</v>
      </c>
      <c r="B142">
        <f>MIN(0.12*Earnings!C143,1800)</f>
        <v>1800</v>
      </c>
      <c r="C142">
        <f>IF([1]Earnings!G142&lt;=21000,0.0075*[1]Earnings!G142,0)</f>
        <v>0</v>
      </c>
      <c r="D142">
        <v>200</v>
      </c>
    </row>
    <row r="143" spans="1:4" x14ac:dyDescent="0.35">
      <c r="A143" t="s">
        <v>173</v>
      </c>
      <c r="B143">
        <f>MIN(0.12*Earnings!C144,1800)</f>
        <v>1800</v>
      </c>
      <c r="C143">
        <f>IF([1]Earnings!G143&lt;=21000,0.0075*[1]Earnings!G143,0)</f>
        <v>0</v>
      </c>
      <c r="D143">
        <v>200</v>
      </c>
    </row>
    <row r="144" spans="1:4" x14ac:dyDescent="0.35">
      <c r="A144" t="s">
        <v>174</v>
      </c>
      <c r="B144">
        <f>MIN(0.12*Earnings!C145,1800)</f>
        <v>1800</v>
      </c>
      <c r="C144">
        <f>IF([1]Earnings!G144&lt;=21000,0.0075*[1]Earnings!G144,0)</f>
        <v>0</v>
      </c>
      <c r="D144">
        <v>200</v>
      </c>
    </row>
    <row r="145" spans="1:4" x14ac:dyDescent="0.35">
      <c r="A145" t="s">
        <v>175</v>
      </c>
      <c r="B145">
        <f>MIN(0.12*Earnings!C146,1800)</f>
        <v>1800</v>
      </c>
      <c r="C145">
        <f>IF([1]Earnings!G145&lt;=21000,0.0075*[1]Earnings!G145,0)</f>
        <v>0</v>
      </c>
      <c r="D145">
        <v>340</v>
      </c>
    </row>
    <row r="146" spans="1:4" x14ac:dyDescent="0.35">
      <c r="A146" t="s">
        <v>176</v>
      </c>
      <c r="B146">
        <f>MIN(0.12*Earnings!C147,1800)</f>
        <v>1800</v>
      </c>
      <c r="C146">
        <f>IF([1]Earnings!G146&lt;=21000,0.0075*[1]Earnings!G146,0)</f>
        <v>0</v>
      </c>
      <c r="D146">
        <v>280</v>
      </c>
    </row>
    <row r="147" spans="1:4" x14ac:dyDescent="0.35">
      <c r="A147" t="s">
        <v>177</v>
      </c>
      <c r="B147">
        <f>MIN(0.12*Earnings!C148,1800)</f>
        <v>1800</v>
      </c>
      <c r="C147">
        <f>IF([1]Earnings!G147&lt;=21000,0.0075*[1]Earnings!G147,0)</f>
        <v>0</v>
      </c>
      <c r="D147">
        <v>240</v>
      </c>
    </row>
    <row r="148" spans="1:4" x14ac:dyDescent="0.35">
      <c r="A148" t="s">
        <v>178</v>
      </c>
      <c r="B148">
        <f>MIN(0.12*Earnings!C149,1800)</f>
        <v>1800</v>
      </c>
      <c r="C148">
        <f>IF([1]Earnings!G148&lt;=21000,0.0075*[1]Earnings!G148,0)</f>
        <v>0</v>
      </c>
      <c r="D148">
        <v>200</v>
      </c>
    </row>
    <row r="149" spans="1:4" x14ac:dyDescent="0.35">
      <c r="A149" t="s">
        <v>179</v>
      </c>
      <c r="B149">
        <f>MIN(0.12*Earnings!C150,1800)</f>
        <v>1800</v>
      </c>
      <c r="C149">
        <f>IF([1]Earnings!G149&lt;=21000,0.0075*[1]Earnings!G149,0)</f>
        <v>0</v>
      </c>
      <c r="D149">
        <v>200</v>
      </c>
    </row>
    <row r="150" spans="1:4" x14ac:dyDescent="0.35">
      <c r="A150" t="s">
        <v>180</v>
      </c>
      <c r="B150">
        <f>MIN(0.12*Earnings!C151,1800)</f>
        <v>1800</v>
      </c>
      <c r="C150">
        <f>IF([1]Earnings!G150&lt;=21000,0.0075*[1]Earnings!G150,0)</f>
        <v>0</v>
      </c>
      <c r="D150">
        <v>200</v>
      </c>
    </row>
    <row r="151" spans="1:4" x14ac:dyDescent="0.35">
      <c r="A151" t="s">
        <v>181</v>
      </c>
      <c r="B151">
        <f>MIN(0.12*Earnings!C152,1800)</f>
        <v>1800</v>
      </c>
      <c r="C151">
        <f>IF([1]Earnings!G151&lt;=21000,0.0075*[1]Earnings!G151,0)</f>
        <v>0</v>
      </c>
      <c r="D151">
        <v>200</v>
      </c>
    </row>
    <row r="152" spans="1:4" x14ac:dyDescent="0.35">
      <c r="A152" t="s">
        <v>182</v>
      </c>
      <c r="B152">
        <f>MIN(0.12*Earnings!C153,1800)</f>
        <v>1800</v>
      </c>
      <c r="C152">
        <f>IF([1]Earnings!G152&lt;=21000,0.0075*[1]Earnings!G152,0)</f>
        <v>0</v>
      </c>
      <c r="D152">
        <v>240</v>
      </c>
    </row>
    <row r="153" spans="1:4" x14ac:dyDescent="0.35">
      <c r="A153" t="s">
        <v>183</v>
      </c>
      <c r="B153">
        <f>MIN(0.12*Earnings!C154,1800)</f>
        <v>1800</v>
      </c>
      <c r="C153">
        <f>IF([1]Earnings!G153&lt;=21000,0.0075*[1]Earnings!G153,0)</f>
        <v>0</v>
      </c>
      <c r="D153">
        <v>240</v>
      </c>
    </row>
    <row r="154" spans="1:4" x14ac:dyDescent="0.35">
      <c r="A154" t="s">
        <v>184</v>
      </c>
      <c r="B154">
        <f>MIN(0.12*Earnings!C155,1800)</f>
        <v>1800</v>
      </c>
      <c r="C154">
        <f>IF([1]Earnings!G154&lt;=21000,0.0075*[1]Earnings!G154,0)</f>
        <v>0</v>
      </c>
      <c r="D154">
        <v>280</v>
      </c>
    </row>
    <row r="155" spans="1:4" x14ac:dyDescent="0.35">
      <c r="A155" t="s">
        <v>185</v>
      </c>
      <c r="B155">
        <f>MIN(0.12*Earnings!C156,1800)</f>
        <v>1800</v>
      </c>
      <c r="C155">
        <f>IF([1]Earnings!G155&lt;=21000,0.0075*[1]Earnings!G155,0)</f>
        <v>0</v>
      </c>
      <c r="D155">
        <v>340</v>
      </c>
    </row>
    <row r="156" spans="1:4" x14ac:dyDescent="0.35">
      <c r="A156" t="s">
        <v>186</v>
      </c>
      <c r="B156">
        <f>MIN(0.12*Earnings!C157,1800)</f>
        <v>1800</v>
      </c>
      <c r="C156">
        <f>IF([1]Earnings!G156&lt;=21000,0.0075*[1]Earnings!G156,0)</f>
        <v>0</v>
      </c>
      <c r="D156">
        <v>240</v>
      </c>
    </row>
    <row r="157" spans="1:4" x14ac:dyDescent="0.35">
      <c r="A157" t="s">
        <v>187</v>
      </c>
      <c r="B157">
        <f>MIN(0.12*Earnings!C158,1800)</f>
        <v>1800</v>
      </c>
      <c r="C157">
        <f>IF([1]Earnings!G157&lt;=21000,0.0075*[1]Earnings!G157,0)</f>
        <v>0</v>
      </c>
      <c r="D157">
        <v>280</v>
      </c>
    </row>
    <row r="158" spans="1:4" x14ac:dyDescent="0.35">
      <c r="A158" t="s">
        <v>188</v>
      </c>
      <c r="B158">
        <f>MIN(0.12*Earnings!C159,1800)</f>
        <v>1800</v>
      </c>
      <c r="C158">
        <f>IF([1]Earnings!G158&lt;=21000,0.0075*[1]Earnings!G158,0)</f>
        <v>0</v>
      </c>
      <c r="D158">
        <v>280</v>
      </c>
    </row>
    <row r="159" spans="1:4" x14ac:dyDescent="0.35">
      <c r="A159" t="s">
        <v>189</v>
      </c>
      <c r="B159">
        <f>MIN(0.12*Earnings!C160,1800)</f>
        <v>1800</v>
      </c>
      <c r="C159">
        <f>IF([1]Earnings!G159&lt;=21000,0.0075*[1]Earnings!G159,0)</f>
        <v>0</v>
      </c>
      <c r="D159">
        <v>240</v>
      </c>
    </row>
    <row r="160" spans="1:4" x14ac:dyDescent="0.35">
      <c r="A160" t="s">
        <v>190</v>
      </c>
      <c r="B160">
        <f>MIN(0.12*Earnings!C161,1800)</f>
        <v>1800</v>
      </c>
      <c r="C160">
        <f>IF([1]Earnings!G160&lt;=21000,0.0075*[1]Earnings!G160,0)</f>
        <v>0</v>
      </c>
      <c r="D160">
        <v>280</v>
      </c>
    </row>
    <row r="161" spans="1:4" x14ac:dyDescent="0.35">
      <c r="A161" t="s">
        <v>191</v>
      </c>
      <c r="B161">
        <f>MIN(0.12*Earnings!C162,1800)</f>
        <v>1800</v>
      </c>
      <c r="C161">
        <f>IF([1]Earnings!G161&lt;=21000,0.0075*[1]Earnings!G161,0)</f>
        <v>0</v>
      </c>
      <c r="D161">
        <v>340</v>
      </c>
    </row>
    <row r="162" spans="1:4" x14ac:dyDescent="0.35">
      <c r="A162" t="s">
        <v>192</v>
      </c>
      <c r="B162">
        <f>MIN(0.12*Earnings!C163,1800)</f>
        <v>1800</v>
      </c>
      <c r="C162">
        <f>IF([1]Earnings!G162&lt;=21000,0.0075*[1]Earnings!G162,0)</f>
        <v>0</v>
      </c>
      <c r="D162">
        <v>200</v>
      </c>
    </row>
    <row r="163" spans="1:4" x14ac:dyDescent="0.35">
      <c r="A163" t="s">
        <v>193</v>
      </c>
      <c r="B163">
        <f>MIN(0.12*Earnings!C164,1800)</f>
        <v>1800</v>
      </c>
      <c r="C163">
        <f>IF([1]Earnings!G163&lt;=21000,0.0075*[1]Earnings!G163,0)</f>
        <v>0</v>
      </c>
      <c r="D163">
        <v>280</v>
      </c>
    </row>
    <row r="164" spans="1:4" x14ac:dyDescent="0.35">
      <c r="A164" t="s">
        <v>194</v>
      </c>
      <c r="B164">
        <f>MIN(0.12*Earnings!C165,1800)</f>
        <v>1800</v>
      </c>
      <c r="C164">
        <f>IF([1]Earnings!G164&lt;=21000,0.0075*[1]Earnings!G164,0)</f>
        <v>0</v>
      </c>
      <c r="D164">
        <v>280</v>
      </c>
    </row>
    <row r="165" spans="1:4" x14ac:dyDescent="0.35">
      <c r="A165" t="s">
        <v>195</v>
      </c>
      <c r="B165">
        <f>MIN(0.12*Earnings!C166,1800)</f>
        <v>1800</v>
      </c>
      <c r="C165">
        <f>IF([1]Earnings!G165&lt;=21000,0.0075*[1]Earnings!G165,0)</f>
        <v>0</v>
      </c>
      <c r="D165">
        <v>340</v>
      </c>
    </row>
    <row r="166" spans="1:4" x14ac:dyDescent="0.35">
      <c r="A166" t="s">
        <v>196</v>
      </c>
      <c r="B166">
        <f>MIN(0.12*Earnings!C167,1800)</f>
        <v>1800</v>
      </c>
      <c r="C166">
        <f>IF([1]Earnings!G166&lt;=21000,0.0075*[1]Earnings!G166,0)</f>
        <v>0</v>
      </c>
      <c r="D166">
        <v>340</v>
      </c>
    </row>
    <row r="167" spans="1:4" x14ac:dyDescent="0.35">
      <c r="A167" t="s">
        <v>197</v>
      </c>
      <c r="B167">
        <f>MIN(0.12*Earnings!C168,1800)</f>
        <v>1800</v>
      </c>
      <c r="C167">
        <f>IF([1]Earnings!G167&lt;=21000,0.0075*[1]Earnings!G167,0)</f>
        <v>0</v>
      </c>
      <c r="D167">
        <v>200</v>
      </c>
    </row>
    <row r="168" spans="1:4" x14ac:dyDescent="0.35">
      <c r="A168" t="s">
        <v>198</v>
      </c>
      <c r="B168">
        <f>MIN(0.12*Earnings!C169,1800)</f>
        <v>1800</v>
      </c>
      <c r="C168">
        <f>IF([1]Earnings!G168&lt;=21000,0.0075*[1]Earnings!G168,0)</f>
        <v>0</v>
      </c>
      <c r="D168">
        <v>200</v>
      </c>
    </row>
    <row r="169" spans="1:4" x14ac:dyDescent="0.35">
      <c r="A169" t="s">
        <v>199</v>
      </c>
      <c r="B169">
        <f>MIN(0.12*Earnings!C170,1800)</f>
        <v>1800</v>
      </c>
      <c r="C169">
        <f>IF([1]Earnings!G169&lt;=21000,0.0075*[1]Earnings!G169,0)</f>
        <v>0</v>
      </c>
      <c r="D169">
        <v>240</v>
      </c>
    </row>
    <row r="170" spans="1:4" x14ac:dyDescent="0.35">
      <c r="A170" t="s">
        <v>200</v>
      </c>
      <c r="B170">
        <f>MIN(0.12*Earnings!C171,1800)</f>
        <v>1800</v>
      </c>
      <c r="C170">
        <f>IF([1]Earnings!G170&lt;=21000,0.0075*[1]Earnings!G170,0)</f>
        <v>0</v>
      </c>
      <c r="D170">
        <v>240</v>
      </c>
    </row>
    <row r="171" spans="1:4" x14ac:dyDescent="0.35">
      <c r="A171" t="s">
        <v>201</v>
      </c>
      <c r="B171">
        <f>MIN(0.12*Earnings!C172,1800)</f>
        <v>1800</v>
      </c>
      <c r="C171">
        <f>IF([1]Earnings!G171&lt;=21000,0.0075*[1]Earnings!G171,0)</f>
        <v>0</v>
      </c>
      <c r="D171">
        <v>280</v>
      </c>
    </row>
    <row r="172" spans="1:4" x14ac:dyDescent="0.35">
      <c r="A172" t="s">
        <v>202</v>
      </c>
      <c r="B172">
        <f>MIN(0.12*Earnings!C173,1800)</f>
        <v>1800</v>
      </c>
      <c r="C172">
        <f>IF([1]Earnings!G172&lt;=21000,0.0075*[1]Earnings!G172,0)</f>
        <v>0</v>
      </c>
      <c r="D172">
        <v>280</v>
      </c>
    </row>
    <row r="173" spans="1:4" x14ac:dyDescent="0.35">
      <c r="A173" t="s">
        <v>203</v>
      </c>
      <c r="B173">
        <f>MIN(0.12*Earnings!C174,1800)</f>
        <v>1800</v>
      </c>
      <c r="C173">
        <f>IF([1]Earnings!G173&lt;=21000,0.0075*[1]Earnings!G173,0)</f>
        <v>0</v>
      </c>
      <c r="D173">
        <v>340</v>
      </c>
    </row>
    <row r="174" spans="1:4" x14ac:dyDescent="0.35">
      <c r="A174" t="s">
        <v>204</v>
      </c>
      <c r="B174">
        <f>MIN(0.12*Earnings!C175,1800)</f>
        <v>1800</v>
      </c>
      <c r="C174">
        <f>IF([1]Earnings!G174&lt;=21000,0.0075*[1]Earnings!G174,0)</f>
        <v>0</v>
      </c>
      <c r="D174">
        <v>340</v>
      </c>
    </row>
    <row r="175" spans="1:4" x14ac:dyDescent="0.35">
      <c r="A175" t="s">
        <v>205</v>
      </c>
      <c r="B175">
        <f>MIN(0.12*Earnings!C176,1800)</f>
        <v>1800</v>
      </c>
      <c r="C175">
        <f>IF([1]Earnings!G175&lt;=21000,0.0075*[1]Earnings!G175,0)</f>
        <v>0</v>
      </c>
      <c r="D175">
        <v>240</v>
      </c>
    </row>
    <row r="176" spans="1:4" x14ac:dyDescent="0.35">
      <c r="A176" t="s">
        <v>206</v>
      </c>
      <c r="B176">
        <f>MIN(0.12*Earnings!C177,1800)</f>
        <v>1800</v>
      </c>
      <c r="C176">
        <f>IF([1]Earnings!G176&lt;=21000,0.0075*[1]Earnings!G176,0)</f>
        <v>0</v>
      </c>
      <c r="D176">
        <v>200</v>
      </c>
    </row>
    <row r="177" spans="1:4" x14ac:dyDescent="0.35">
      <c r="A177" t="s">
        <v>207</v>
      </c>
      <c r="B177">
        <f>MIN(0.12*Earnings!C178,1800)</f>
        <v>1800</v>
      </c>
      <c r="C177">
        <f>IF([1]Earnings!G177&lt;=21000,0.0075*[1]Earnings!G177,0)</f>
        <v>0</v>
      </c>
      <c r="D177">
        <v>200</v>
      </c>
    </row>
    <row r="178" spans="1:4" x14ac:dyDescent="0.35">
      <c r="A178" t="s">
        <v>208</v>
      </c>
      <c r="B178">
        <f>MIN(0.12*Earnings!C179,1800)</f>
        <v>1800</v>
      </c>
      <c r="C178">
        <f>IF([1]Earnings!G178&lt;=21000,0.0075*[1]Earnings!G178,0)</f>
        <v>0</v>
      </c>
      <c r="D178">
        <v>280</v>
      </c>
    </row>
    <row r="179" spans="1:4" x14ac:dyDescent="0.35">
      <c r="A179" t="s">
        <v>209</v>
      </c>
      <c r="B179">
        <f>MIN(0.12*Earnings!C180,1800)</f>
        <v>1800</v>
      </c>
      <c r="C179">
        <f>IF([1]Earnings!G179&lt;=21000,0.0075*[1]Earnings!G179,0)</f>
        <v>0</v>
      </c>
      <c r="D179">
        <v>200</v>
      </c>
    </row>
    <row r="180" spans="1:4" x14ac:dyDescent="0.35">
      <c r="A180" t="s">
        <v>210</v>
      </c>
      <c r="B180">
        <f>MIN(0.12*Earnings!C181,1800)</f>
        <v>1800</v>
      </c>
      <c r="C180">
        <f>IF([1]Earnings!G180&lt;=21000,0.0075*[1]Earnings!G180,0)</f>
        <v>0</v>
      </c>
      <c r="D180">
        <v>340</v>
      </c>
    </row>
    <row r="181" spans="1:4" x14ac:dyDescent="0.35">
      <c r="A181" t="s">
        <v>211</v>
      </c>
      <c r="B181">
        <f>MIN(0.12*Earnings!C182,1800)</f>
        <v>1800</v>
      </c>
      <c r="C181">
        <f>IF([1]Earnings!G181&lt;=21000,0.0075*[1]Earnings!G181,0)</f>
        <v>0</v>
      </c>
      <c r="D181">
        <v>200</v>
      </c>
    </row>
    <row r="182" spans="1:4" x14ac:dyDescent="0.35">
      <c r="A182" t="s">
        <v>212</v>
      </c>
      <c r="B182">
        <f>MIN(0.12*Earnings!C183,1800)</f>
        <v>1800</v>
      </c>
      <c r="C182">
        <f>IF([1]Earnings!G182&lt;=21000,0.0075*[1]Earnings!G182,0)</f>
        <v>0</v>
      </c>
      <c r="D182">
        <v>340</v>
      </c>
    </row>
    <row r="183" spans="1:4" x14ac:dyDescent="0.35">
      <c r="A183" t="s">
        <v>213</v>
      </c>
      <c r="B183">
        <f>MIN(0.12*Earnings!C184,1800)</f>
        <v>1800</v>
      </c>
      <c r="C183">
        <f>IF([1]Earnings!G183&lt;=21000,0.0075*[1]Earnings!G183,0)</f>
        <v>0</v>
      </c>
      <c r="D183">
        <v>240</v>
      </c>
    </row>
    <row r="184" spans="1:4" x14ac:dyDescent="0.35">
      <c r="A184" t="s">
        <v>214</v>
      </c>
      <c r="B184">
        <f>MIN(0.12*Earnings!C185,1800)</f>
        <v>1800</v>
      </c>
      <c r="C184">
        <f>IF([1]Earnings!G184&lt;=21000,0.0075*[1]Earnings!G184,0)</f>
        <v>0</v>
      </c>
      <c r="D184">
        <v>340</v>
      </c>
    </row>
    <row r="185" spans="1:4" x14ac:dyDescent="0.35">
      <c r="A185" t="s">
        <v>215</v>
      </c>
      <c r="B185">
        <f>MIN(0.12*Earnings!C186,1800)</f>
        <v>1800</v>
      </c>
      <c r="C185">
        <f>IF([1]Earnings!G185&lt;=21000,0.0075*[1]Earnings!G185,0)</f>
        <v>0</v>
      </c>
      <c r="D185">
        <v>280</v>
      </c>
    </row>
    <row r="186" spans="1:4" x14ac:dyDescent="0.35">
      <c r="A186" t="s">
        <v>216</v>
      </c>
      <c r="B186">
        <f>MIN(0.12*Earnings!C187,1800)</f>
        <v>1800</v>
      </c>
      <c r="C186">
        <f>IF([1]Earnings!G186&lt;=21000,0.0075*[1]Earnings!G186,0)</f>
        <v>0</v>
      </c>
      <c r="D186">
        <v>280</v>
      </c>
    </row>
    <row r="187" spans="1:4" x14ac:dyDescent="0.35">
      <c r="A187" t="s">
        <v>217</v>
      </c>
      <c r="B187">
        <f>MIN(0.12*Earnings!C188,1800)</f>
        <v>1800</v>
      </c>
      <c r="C187">
        <f>IF([1]Earnings!G187&lt;=21000,0.0075*[1]Earnings!G187,0)</f>
        <v>0</v>
      </c>
      <c r="D187">
        <v>280</v>
      </c>
    </row>
    <row r="188" spans="1:4" x14ac:dyDescent="0.35">
      <c r="A188" t="s">
        <v>218</v>
      </c>
      <c r="B188">
        <f>MIN(0.12*Earnings!C189,1800)</f>
        <v>1800</v>
      </c>
      <c r="C188">
        <f>IF([1]Earnings!G188&lt;=21000,0.0075*[1]Earnings!G188,0)</f>
        <v>0</v>
      </c>
      <c r="D188">
        <v>200</v>
      </c>
    </row>
    <row r="189" spans="1:4" x14ac:dyDescent="0.35">
      <c r="A189" t="s">
        <v>219</v>
      </c>
      <c r="B189">
        <f>MIN(0.12*Earnings!C190,1800)</f>
        <v>1800</v>
      </c>
      <c r="C189">
        <f>IF([1]Earnings!G189&lt;=21000,0.0075*[1]Earnings!G189,0)</f>
        <v>0</v>
      </c>
      <c r="D189">
        <v>240</v>
      </c>
    </row>
    <row r="190" spans="1:4" x14ac:dyDescent="0.35">
      <c r="A190" t="s">
        <v>220</v>
      </c>
      <c r="B190">
        <f>MIN(0.12*Earnings!C191,1800)</f>
        <v>1800</v>
      </c>
      <c r="C190">
        <f>IF([1]Earnings!G190&lt;=21000,0.0075*[1]Earnings!G190,0)</f>
        <v>0</v>
      </c>
      <c r="D190">
        <v>340</v>
      </c>
    </row>
    <row r="191" spans="1:4" x14ac:dyDescent="0.35">
      <c r="A191" t="s">
        <v>221</v>
      </c>
      <c r="B191">
        <f>MIN(0.12*Earnings!C192,1800)</f>
        <v>1800</v>
      </c>
      <c r="C191">
        <f>IF([1]Earnings!G191&lt;=21000,0.0075*[1]Earnings!G191,0)</f>
        <v>0</v>
      </c>
      <c r="D191">
        <v>200</v>
      </c>
    </row>
    <row r="192" spans="1:4" x14ac:dyDescent="0.35">
      <c r="A192" t="s">
        <v>222</v>
      </c>
      <c r="B192">
        <f>MIN(0.12*Earnings!C193,1800)</f>
        <v>1800</v>
      </c>
      <c r="C192">
        <f>IF([1]Earnings!G192&lt;=21000,0.0075*[1]Earnings!G192,0)</f>
        <v>0</v>
      </c>
      <c r="D192">
        <v>200</v>
      </c>
    </row>
    <row r="193" spans="1:4" x14ac:dyDescent="0.35">
      <c r="A193" t="s">
        <v>223</v>
      </c>
      <c r="B193">
        <f>MIN(0.12*Earnings!C194,1800)</f>
        <v>1800</v>
      </c>
      <c r="C193">
        <f>IF([1]Earnings!G193&lt;=21000,0.0075*[1]Earnings!G193,0)</f>
        <v>0</v>
      </c>
      <c r="D193">
        <v>200</v>
      </c>
    </row>
    <row r="194" spans="1:4" x14ac:dyDescent="0.35">
      <c r="A194" t="s">
        <v>224</v>
      </c>
      <c r="B194">
        <f>MIN(0.12*Earnings!C195,1800)</f>
        <v>1800</v>
      </c>
      <c r="C194">
        <f>IF([1]Earnings!G194&lt;=21000,0.0075*[1]Earnings!G194,0)</f>
        <v>0</v>
      </c>
      <c r="D194">
        <v>280</v>
      </c>
    </row>
    <row r="195" spans="1:4" x14ac:dyDescent="0.35">
      <c r="A195" t="s">
        <v>225</v>
      </c>
      <c r="B195">
        <f>MIN(0.12*Earnings!C196,1800)</f>
        <v>1800</v>
      </c>
      <c r="C195">
        <f>IF([1]Earnings!G195&lt;=21000,0.0075*[1]Earnings!G195,0)</f>
        <v>0</v>
      </c>
      <c r="D195">
        <v>340</v>
      </c>
    </row>
    <row r="196" spans="1:4" x14ac:dyDescent="0.35">
      <c r="A196" t="s">
        <v>226</v>
      </c>
      <c r="B196">
        <f>MIN(0.12*Earnings!C197,1800)</f>
        <v>1800</v>
      </c>
      <c r="C196">
        <f>IF([1]Earnings!G196&lt;=21000,0.0075*[1]Earnings!G196,0)</f>
        <v>0</v>
      </c>
      <c r="D196">
        <v>340</v>
      </c>
    </row>
    <row r="197" spans="1:4" x14ac:dyDescent="0.35">
      <c r="A197" t="s">
        <v>227</v>
      </c>
      <c r="B197">
        <f>MIN(0.12*Earnings!C198,1800)</f>
        <v>1800</v>
      </c>
      <c r="C197">
        <f>IF([1]Earnings!G197&lt;=21000,0.0075*[1]Earnings!G197,0)</f>
        <v>0</v>
      </c>
      <c r="D197">
        <v>340</v>
      </c>
    </row>
    <row r="198" spans="1:4" x14ac:dyDescent="0.35">
      <c r="A198" t="s">
        <v>228</v>
      </c>
      <c r="B198">
        <f>MIN(0.12*Earnings!C199,1800)</f>
        <v>1800</v>
      </c>
      <c r="C198">
        <f>IF([1]Earnings!G198&lt;=21000,0.0075*[1]Earnings!G198,0)</f>
        <v>0</v>
      </c>
      <c r="D198">
        <v>280</v>
      </c>
    </row>
    <row r="199" spans="1:4" x14ac:dyDescent="0.35">
      <c r="A199" t="s">
        <v>229</v>
      </c>
      <c r="B199">
        <f>MIN(0.12*Earnings!C200,1800)</f>
        <v>1800</v>
      </c>
      <c r="C199">
        <f>IF([1]Earnings!G199&lt;=21000,0.0075*[1]Earnings!G199,0)</f>
        <v>0</v>
      </c>
      <c r="D199">
        <v>240</v>
      </c>
    </row>
    <row r="200" spans="1:4" x14ac:dyDescent="0.35">
      <c r="A200" t="s">
        <v>230</v>
      </c>
      <c r="B200">
        <f>MIN(0.12*Earnings!C201,1800)</f>
        <v>1800</v>
      </c>
      <c r="C200">
        <f>IF([1]Earnings!G200&lt;=21000,0.0075*[1]Earnings!G200,0)</f>
        <v>0</v>
      </c>
      <c r="D200">
        <v>340</v>
      </c>
    </row>
    <row r="201" spans="1:4" x14ac:dyDescent="0.35">
      <c r="A201" t="s">
        <v>231</v>
      </c>
      <c r="B201">
        <f>MIN(0.12*Earnings!C202,1800)</f>
        <v>1800</v>
      </c>
      <c r="C201">
        <f>IF([1]Earnings!G201&lt;=21000,0.0075*[1]Earnings!G201,0)</f>
        <v>0</v>
      </c>
      <c r="D201">
        <v>200</v>
      </c>
    </row>
    <row r="202" spans="1:4" x14ac:dyDescent="0.35">
      <c r="A202" t="s">
        <v>232</v>
      </c>
      <c r="B202">
        <f>MIN(0.12*Earnings!C203,1800)</f>
        <v>1800</v>
      </c>
      <c r="C202">
        <f>IF([1]Earnings!G202&lt;=21000,0.0075*[1]Earnings!G202,0)</f>
        <v>0</v>
      </c>
      <c r="D202">
        <v>340</v>
      </c>
    </row>
    <row r="203" spans="1:4" x14ac:dyDescent="0.35">
      <c r="A203" t="s">
        <v>233</v>
      </c>
      <c r="B203">
        <f>MIN(0.12*Earnings!C204,1800)</f>
        <v>1800</v>
      </c>
      <c r="C203">
        <f>IF([1]Earnings!G203&lt;=21000,0.0075*[1]Earnings!G203,0)</f>
        <v>0</v>
      </c>
      <c r="D203">
        <v>340</v>
      </c>
    </row>
    <row r="204" spans="1:4" x14ac:dyDescent="0.35">
      <c r="A204" t="s">
        <v>234</v>
      </c>
      <c r="B204">
        <f>MIN(0.12*Earnings!C205,1800)</f>
        <v>1800</v>
      </c>
      <c r="C204">
        <f>IF([1]Earnings!G204&lt;=21000,0.0075*[1]Earnings!G204,0)</f>
        <v>0</v>
      </c>
      <c r="D204">
        <v>280</v>
      </c>
    </row>
    <row r="205" spans="1:4" x14ac:dyDescent="0.35">
      <c r="A205" t="s">
        <v>235</v>
      </c>
      <c r="B205">
        <f>MIN(0.12*Earnings!C206,1800)</f>
        <v>1800</v>
      </c>
      <c r="C205">
        <f>IF([1]Earnings!G205&lt;=21000,0.0075*[1]Earnings!G205,0)</f>
        <v>0</v>
      </c>
      <c r="D205">
        <v>240</v>
      </c>
    </row>
    <row r="206" spans="1:4" x14ac:dyDescent="0.35">
      <c r="A206" t="s">
        <v>236</v>
      </c>
      <c r="B206">
        <f>MIN(0.12*Earnings!C207,1800)</f>
        <v>1800</v>
      </c>
      <c r="C206">
        <f>IF([1]Earnings!G206&lt;=21000,0.0075*[1]Earnings!G206,0)</f>
        <v>0</v>
      </c>
      <c r="D206">
        <v>240</v>
      </c>
    </row>
    <row r="207" spans="1:4" x14ac:dyDescent="0.35">
      <c r="A207" t="s">
        <v>237</v>
      </c>
      <c r="B207">
        <f>MIN(0.12*Earnings!C208,1800)</f>
        <v>1800</v>
      </c>
      <c r="C207">
        <f>IF([1]Earnings!G207&lt;=21000,0.0075*[1]Earnings!G207,0)</f>
        <v>0</v>
      </c>
      <c r="D207">
        <v>240</v>
      </c>
    </row>
    <row r="208" spans="1:4" x14ac:dyDescent="0.35">
      <c r="A208" t="s">
        <v>238</v>
      </c>
      <c r="B208">
        <f>MIN(0.12*Earnings!C209,1800)</f>
        <v>1800</v>
      </c>
      <c r="C208">
        <f>IF([1]Earnings!G208&lt;=21000,0.0075*[1]Earnings!G208,0)</f>
        <v>0</v>
      </c>
      <c r="D208">
        <v>280</v>
      </c>
    </row>
    <row r="209" spans="1:4" x14ac:dyDescent="0.35">
      <c r="A209" t="s">
        <v>239</v>
      </c>
      <c r="B209">
        <f>MIN(0.12*Earnings!C210,1800)</f>
        <v>1800</v>
      </c>
      <c r="C209">
        <f>IF([1]Earnings!G209&lt;=21000,0.0075*[1]Earnings!G209,0)</f>
        <v>0</v>
      </c>
      <c r="D209">
        <v>240</v>
      </c>
    </row>
    <row r="210" spans="1:4" x14ac:dyDescent="0.35">
      <c r="A210" t="s">
        <v>240</v>
      </c>
      <c r="B210">
        <f>MIN(0.12*Earnings!C211,1800)</f>
        <v>1800</v>
      </c>
      <c r="C210">
        <f>IF([1]Earnings!G210&lt;=21000,0.0075*[1]Earnings!G210,0)</f>
        <v>0</v>
      </c>
      <c r="D210">
        <v>280</v>
      </c>
    </row>
    <row r="211" spans="1:4" x14ac:dyDescent="0.35">
      <c r="A211" t="s">
        <v>241</v>
      </c>
      <c r="B211">
        <f>MIN(0.12*Earnings!C212,1800)</f>
        <v>1800</v>
      </c>
      <c r="C211">
        <f>IF([1]Earnings!G211&lt;=21000,0.0075*[1]Earnings!G211,0)</f>
        <v>0</v>
      </c>
      <c r="D211">
        <v>200</v>
      </c>
    </row>
    <row r="212" spans="1:4" x14ac:dyDescent="0.35">
      <c r="A212" t="s">
        <v>242</v>
      </c>
      <c r="B212">
        <f>MIN(0.12*Earnings!C213,1800)</f>
        <v>1800</v>
      </c>
      <c r="C212">
        <f>IF([1]Earnings!G212&lt;=21000,0.0075*[1]Earnings!G212,0)</f>
        <v>0</v>
      </c>
      <c r="D212">
        <v>200</v>
      </c>
    </row>
    <row r="213" spans="1:4" x14ac:dyDescent="0.35">
      <c r="A213" t="s">
        <v>243</v>
      </c>
      <c r="B213">
        <f>MIN(0.12*Earnings!C214,1800)</f>
        <v>1800</v>
      </c>
      <c r="C213">
        <f>IF([1]Earnings!G213&lt;=21000,0.0075*[1]Earnings!G213,0)</f>
        <v>0</v>
      </c>
      <c r="D213">
        <v>200</v>
      </c>
    </row>
    <row r="214" spans="1:4" x14ac:dyDescent="0.35">
      <c r="A214" t="s">
        <v>244</v>
      </c>
      <c r="B214">
        <f>MIN(0.12*Earnings!C215,1800)</f>
        <v>1800</v>
      </c>
      <c r="C214">
        <f>IF([1]Earnings!G214&lt;=21000,0.0075*[1]Earnings!G214,0)</f>
        <v>0</v>
      </c>
      <c r="D214">
        <v>340</v>
      </c>
    </row>
    <row r="215" spans="1:4" x14ac:dyDescent="0.35">
      <c r="A215" t="s">
        <v>245</v>
      </c>
      <c r="B215">
        <f>MIN(0.12*Earnings!C216,1800)</f>
        <v>1800</v>
      </c>
      <c r="C215">
        <f>IF([1]Earnings!G215&lt;=21000,0.0075*[1]Earnings!G215,0)</f>
        <v>0</v>
      </c>
      <c r="D215">
        <v>240</v>
      </c>
    </row>
    <row r="216" spans="1:4" x14ac:dyDescent="0.35">
      <c r="A216" t="s">
        <v>246</v>
      </c>
      <c r="B216">
        <f>MIN(0.12*Earnings!C217,1800)</f>
        <v>1800</v>
      </c>
      <c r="C216">
        <f>IF([1]Earnings!G216&lt;=21000,0.0075*[1]Earnings!G216,0)</f>
        <v>0</v>
      </c>
      <c r="D216">
        <v>200</v>
      </c>
    </row>
    <row r="217" spans="1:4" x14ac:dyDescent="0.35">
      <c r="A217" t="s">
        <v>247</v>
      </c>
      <c r="B217">
        <f>MIN(0.12*Earnings!C218,1800)</f>
        <v>1800</v>
      </c>
      <c r="C217">
        <f>IF([1]Earnings!G217&lt;=21000,0.0075*[1]Earnings!G217,0)</f>
        <v>0</v>
      </c>
      <c r="D217">
        <v>340</v>
      </c>
    </row>
    <row r="218" spans="1:4" x14ac:dyDescent="0.35">
      <c r="A218" t="s">
        <v>248</v>
      </c>
      <c r="B218">
        <f>MIN(0.12*Earnings!C219,1800)</f>
        <v>1800</v>
      </c>
      <c r="C218">
        <f>IF([1]Earnings!G218&lt;=21000,0.0075*[1]Earnings!G218,0)</f>
        <v>0</v>
      </c>
      <c r="D218">
        <v>280</v>
      </c>
    </row>
    <row r="219" spans="1:4" x14ac:dyDescent="0.35">
      <c r="A219" t="s">
        <v>249</v>
      </c>
      <c r="B219">
        <f>MIN(0.12*Earnings!C220,1800)</f>
        <v>1800</v>
      </c>
      <c r="C219">
        <f>IF([1]Earnings!G219&lt;=21000,0.0075*[1]Earnings!G219,0)</f>
        <v>0</v>
      </c>
      <c r="D219">
        <v>240</v>
      </c>
    </row>
    <row r="220" spans="1:4" x14ac:dyDescent="0.35">
      <c r="A220" t="s">
        <v>250</v>
      </c>
      <c r="B220">
        <f>MIN(0.12*Earnings!C221,1800)</f>
        <v>1800</v>
      </c>
      <c r="C220">
        <f>IF([1]Earnings!G220&lt;=21000,0.0075*[1]Earnings!G220,0)</f>
        <v>0</v>
      </c>
      <c r="D220">
        <v>240</v>
      </c>
    </row>
    <row r="221" spans="1:4" x14ac:dyDescent="0.35">
      <c r="A221" t="s">
        <v>251</v>
      </c>
      <c r="B221">
        <f>MIN(0.12*Earnings!C222,1800)</f>
        <v>1800</v>
      </c>
      <c r="C221">
        <f>IF([1]Earnings!G221&lt;=21000,0.0075*[1]Earnings!G221,0)</f>
        <v>0</v>
      </c>
      <c r="D221">
        <v>340</v>
      </c>
    </row>
    <row r="222" spans="1:4" x14ac:dyDescent="0.35">
      <c r="A222" t="s">
        <v>252</v>
      </c>
      <c r="B222">
        <f>MIN(0.12*Earnings!C223,1800)</f>
        <v>1800</v>
      </c>
      <c r="C222">
        <f>IF([1]Earnings!G222&lt;=21000,0.0075*[1]Earnings!G222,0)</f>
        <v>0</v>
      </c>
      <c r="D222">
        <v>340</v>
      </c>
    </row>
    <row r="223" spans="1:4" x14ac:dyDescent="0.35">
      <c r="A223" t="s">
        <v>253</v>
      </c>
      <c r="B223">
        <f>MIN(0.12*Earnings!C224,1800)</f>
        <v>1800</v>
      </c>
      <c r="C223">
        <f>IF([1]Earnings!G223&lt;=21000,0.0075*[1]Earnings!G223,0)</f>
        <v>0</v>
      </c>
      <c r="D223">
        <v>240</v>
      </c>
    </row>
    <row r="224" spans="1:4" x14ac:dyDescent="0.35">
      <c r="A224" t="s">
        <v>254</v>
      </c>
      <c r="B224">
        <f>MIN(0.12*Earnings!C225,1800)</f>
        <v>1800</v>
      </c>
      <c r="C224">
        <f>IF([1]Earnings!G224&lt;=21000,0.0075*[1]Earnings!G224,0)</f>
        <v>0</v>
      </c>
      <c r="D224">
        <v>200</v>
      </c>
    </row>
    <row r="225" spans="1:4" x14ac:dyDescent="0.35">
      <c r="A225" t="s">
        <v>255</v>
      </c>
      <c r="B225">
        <f>MIN(0.12*Earnings!C226,1800)</f>
        <v>1800</v>
      </c>
      <c r="C225">
        <f>IF([1]Earnings!G225&lt;=21000,0.0075*[1]Earnings!G225,0)</f>
        <v>0</v>
      </c>
      <c r="D225">
        <v>280</v>
      </c>
    </row>
    <row r="226" spans="1:4" x14ac:dyDescent="0.35">
      <c r="A226" t="s">
        <v>256</v>
      </c>
      <c r="B226">
        <f>MIN(0.12*Earnings!C227,1800)</f>
        <v>1800</v>
      </c>
      <c r="C226">
        <f>IF([1]Earnings!G226&lt;=21000,0.0075*[1]Earnings!G226,0)</f>
        <v>0</v>
      </c>
      <c r="D226">
        <v>280</v>
      </c>
    </row>
    <row r="227" spans="1:4" x14ac:dyDescent="0.35">
      <c r="A227" t="s">
        <v>257</v>
      </c>
      <c r="B227">
        <f>MIN(0.12*Earnings!C228,1800)</f>
        <v>1800</v>
      </c>
      <c r="C227">
        <f>IF([1]Earnings!G227&lt;=21000,0.0075*[1]Earnings!G227,0)</f>
        <v>0</v>
      </c>
      <c r="D227">
        <v>200</v>
      </c>
    </row>
    <row r="228" spans="1:4" x14ac:dyDescent="0.35">
      <c r="A228" t="s">
        <v>258</v>
      </c>
      <c r="B228">
        <f>MIN(0.12*Earnings!C229,1800)</f>
        <v>1800</v>
      </c>
      <c r="C228">
        <f>IF([1]Earnings!G228&lt;=21000,0.0075*[1]Earnings!G228,0)</f>
        <v>0</v>
      </c>
      <c r="D228">
        <v>280</v>
      </c>
    </row>
    <row r="229" spans="1:4" x14ac:dyDescent="0.35">
      <c r="A229" t="s">
        <v>259</v>
      </c>
      <c r="B229">
        <f>MIN(0.12*Earnings!C230,1800)</f>
        <v>1800</v>
      </c>
      <c r="C229">
        <f>IF([1]Earnings!G229&lt;=21000,0.0075*[1]Earnings!G229,0)</f>
        <v>0</v>
      </c>
      <c r="D229">
        <v>200</v>
      </c>
    </row>
    <row r="230" spans="1:4" x14ac:dyDescent="0.35">
      <c r="A230" t="s">
        <v>260</v>
      </c>
      <c r="B230">
        <f>MIN(0.12*Earnings!C231,1800)</f>
        <v>1800</v>
      </c>
      <c r="C230">
        <f>IF([1]Earnings!G230&lt;=21000,0.0075*[1]Earnings!G230,0)</f>
        <v>0</v>
      </c>
      <c r="D230">
        <v>240</v>
      </c>
    </row>
    <row r="231" spans="1:4" x14ac:dyDescent="0.35">
      <c r="A231" t="s">
        <v>261</v>
      </c>
      <c r="B231">
        <f>MIN(0.12*Earnings!C232,1800)</f>
        <v>1800</v>
      </c>
      <c r="C231">
        <f>IF([1]Earnings!G231&lt;=21000,0.0075*[1]Earnings!G231,0)</f>
        <v>0</v>
      </c>
      <c r="D231">
        <v>200</v>
      </c>
    </row>
    <row r="232" spans="1:4" x14ac:dyDescent="0.35">
      <c r="A232" t="s">
        <v>262</v>
      </c>
      <c r="B232">
        <f>MIN(0.12*Earnings!C233,1800)</f>
        <v>1800</v>
      </c>
      <c r="C232">
        <f>IF([1]Earnings!G232&lt;=21000,0.0075*[1]Earnings!G232,0)</f>
        <v>0</v>
      </c>
      <c r="D232">
        <v>280</v>
      </c>
    </row>
    <row r="233" spans="1:4" x14ac:dyDescent="0.35">
      <c r="A233" t="s">
        <v>263</v>
      </c>
      <c r="B233">
        <f>MIN(0.12*Earnings!C234,1800)</f>
        <v>1800</v>
      </c>
      <c r="C233">
        <f>IF([1]Earnings!G233&lt;=21000,0.0075*[1]Earnings!G233,0)</f>
        <v>0</v>
      </c>
      <c r="D233">
        <v>280</v>
      </c>
    </row>
    <row r="234" spans="1:4" x14ac:dyDescent="0.35">
      <c r="A234" t="s">
        <v>264</v>
      </c>
      <c r="B234">
        <f>MIN(0.12*Earnings!C235,1800)</f>
        <v>1800</v>
      </c>
      <c r="C234">
        <f>IF([1]Earnings!G234&lt;=21000,0.0075*[1]Earnings!G234,0)</f>
        <v>0</v>
      </c>
      <c r="D234">
        <v>280</v>
      </c>
    </row>
    <row r="235" spans="1:4" x14ac:dyDescent="0.35">
      <c r="A235" t="s">
        <v>265</v>
      </c>
      <c r="B235">
        <f>MIN(0.12*Earnings!C236,1800)</f>
        <v>1800</v>
      </c>
      <c r="C235">
        <f>IF([1]Earnings!G235&lt;=21000,0.0075*[1]Earnings!G235,0)</f>
        <v>0</v>
      </c>
      <c r="D235">
        <v>200</v>
      </c>
    </row>
    <row r="236" spans="1:4" x14ac:dyDescent="0.35">
      <c r="A236" t="s">
        <v>266</v>
      </c>
      <c r="B236">
        <f>MIN(0.12*Earnings!C237,1800)</f>
        <v>1800</v>
      </c>
      <c r="C236">
        <f>IF([1]Earnings!G236&lt;=21000,0.0075*[1]Earnings!G236,0)</f>
        <v>0</v>
      </c>
      <c r="D236">
        <v>280</v>
      </c>
    </row>
    <row r="237" spans="1:4" x14ac:dyDescent="0.35">
      <c r="A237" t="s">
        <v>267</v>
      </c>
      <c r="B237">
        <f>MIN(0.12*Earnings!C238,1800)</f>
        <v>1800</v>
      </c>
      <c r="C237">
        <f>IF([1]Earnings!G237&lt;=21000,0.0075*[1]Earnings!G237,0)</f>
        <v>0</v>
      </c>
      <c r="D237">
        <v>280</v>
      </c>
    </row>
    <row r="238" spans="1:4" x14ac:dyDescent="0.35">
      <c r="A238" t="s">
        <v>268</v>
      </c>
      <c r="B238">
        <f>MIN(0.12*Earnings!C239,1800)</f>
        <v>1800</v>
      </c>
      <c r="C238">
        <f>IF([1]Earnings!G238&lt;=21000,0.0075*[1]Earnings!G238,0)</f>
        <v>0</v>
      </c>
      <c r="D238">
        <v>240</v>
      </c>
    </row>
    <row r="239" spans="1:4" x14ac:dyDescent="0.35">
      <c r="A239" t="s">
        <v>269</v>
      </c>
      <c r="B239">
        <f>MIN(0.12*Earnings!C240,1800)</f>
        <v>1800</v>
      </c>
      <c r="C239">
        <f>IF([1]Earnings!G239&lt;=21000,0.0075*[1]Earnings!G239,0)</f>
        <v>0</v>
      </c>
      <c r="D239">
        <v>280</v>
      </c>
    </row>
    <row r="240" spans="1:4" x14ac:dyDescent="0.35">
      <c r="A240" t="s">
        <v>270</v>
      </c>
      <c r="B240">
        <f>MIN(0.12*Earnings!C241,1800)</f>
        <v>1800</v>
      </c>
      <c r="C240">
        <f>IF([1]Earnings!G240&lt;=21000,0.0075*[1]Earnings!G240,0)</f>
        <v>0</v>
      </c>
      <c r="D240">
        <v>340</v>
      </c>
    </row>
    <row r="241" spans="1:4" x14ac:dyDescent="0.35">
      <c r="A241" t="s">
        <v>271</v>
      </c>
      <c r="B241">
        <f>MIN(0.12*Earnings!C242,1800)</f>
        <v>1800</v>
      </c>
      <c r="C241">
        <f>IF([1]Earnings!G241&lt;=21000,0.0075*[1]Earnings!G241,0)</f>
        <v>0</v>
      </c>
      <c r="D241">
        <v>200</v>
      </c>
    </row>
    <row r="242" spans="1:4" x14ac:dyDescent="0.35">
      <c r="A242" t="s">
        <v>272</v>
      </c>
      <c r="B242">
        <f>MIN(0.12*Earnings!C243,1800)</f>
        <v>1800</v>
      </c>
      <c r="C242">
        <f>IF([1]Earnings!G242&lt;=21000,0.0075*[1]Earnings!G242,0)</f>
        <v>0</v>
      </c>
      <c r="D242">
        <v>280</v>
      </c>
    </row>
    <row r="243" spans="1:4" x14ac:dyDescent="0.35">
      <c r="A243" t="s">
        <v>273</v>
      </c>
      <c r="B243">
        <f>MIN(0.12*Earnings!C244,1800)</f>
        <v>1800</v>
      </c>
      <c r="C243">
        <f>IF([1]Earnings!G243&lt;=21000,0.0075*[1]Earnings!G243,0)</f>
        <v>0</v>
      </c>
      <c r="D243">
        <v>340</v>
      </c>
    </row>
    <row r="244" spans="1:4" x14ac:dyDescent="0.35">
      <c r="A244" t="s">
        <v>274</v>
      </c>
      <c r="B244">
        <f>MIN(0.12*Earnings!C245,1800)</f>
        <v>1800</v>
      </c>
      <c r="C244">
        <f>IF([1]Earnings!G244&lt;=21000,0.0075*[1]Earnings!G244,0)</f>
        <v>0</v>
      </c>
      <c r="D244">
        <v>200</v>
      </c>
    </row>
    <row r="245" spans="1:4" x14ac:dyDescent="0.35">
      <c r="A245" t="s">
        <v>275</v>
      </c>
      <c r="B245">
        <f>MIN(0.12*Earnings!C246,1800)</f>
        <v>1800</v>
      </c>
      <c r="C245">
        <f>IF([1]Earnings!G245&lt;=21000,0.0075*[1]Earnings!G245,0)</f>
        <v>0</v>
      </c>
      <c r="D245">
        <v>280</v>
      </c>
    </row>
    <row r="246" spans="1:4" x14ac:dyDescent="0.35">
      <c r="A246" t="s">
        <v>276</v>
      </c>
      <c r="B246">
        <f>MIN(0.12*Earnings!C247,1800)</f>
        <v>1800</v>
      </c>
      <c r="C246">
        <f>IF([1]Earnings!G246&lt;=21000,0.0075*[1]Earnings!G246,0)</f>
        <v>0</v>
      </c>
      <c r="D246">
        <v>280</v>
      </c>
    </row>
    <row r="247" spans="1:4" x14ac:dyDescent="0.35">
      <c r="A247" t="s">
        <v>277</v>
      </c>
      <c r="B247">
        <f>MIN(0.12*Earnings!C248,1800)</f>
        <v>1800</v>
      </c>
      <c r="C247">
        <f>IF([1]Earnings!G247&lt;=21000,0.0075*[1]Earnings!G247,0)</f>
        <v>0</v>
      </c>
      <c r="D247">
        <v>280</v>
      </c>
    </row>
    <row r="248" spans="1:4" x14ac:dyDescent="0.35">
      <c r="A248" t="s">
        <v>278</v>
      </c>
      <c r="B248">
        <f>MIN(0.12*Earnings!C249,1800)</f>
        <v>1800</v>
      </c>
      <c r="C248">
        <f>IF([1]Earnings!G248&lt;=21000,0.0075*[1]Earnings!G248,0)</f>
        <v>0</v>
      </c>
      <c r="D248">
        <v>340</v>
      </c>
    </row>
    <row r="249" spans="1:4" x14ac:dyDescent="0.35">
      <c r="A249" t="s">
        <v>279</v>
      </c>
      <c r="B249">
        <f>MIN(0.12*Earnings!C250,1800)</f>
        <v>1800</v>
      </c>
      <c r="C249">
        <f>IF([1]Earnings!G249&lt;=21000,0.0075*[1]Earnings!G249,0)</f>
        <v>0</v>
      </c>
      <c r="D249">
        <v>200</v>
      </c>
    </row>
    <row r="250" spans="1:4" x14ac:dyDescent="0.35">
      <c r="A250" t="s">
        <v>280</v>
      </c>
      <c r="B250">
        <f>MIN(0.12*Earnings!C251,1800)</f>
        <v>1800</v>
      </c>
      <c r="C250">
        <f>IF([1]Earnings!G250&lt;=21000,0.0075*[1]Earnings!G250,0)</f>
        <v>0</v>
      </c>
      <c r="D250">
        <v>200</v>
      </c>
    </row>
    <row r="251" spans="1:4" x14ac:dyDescent="0.35">
      <c r="A251" t="s">
        <v>281</v>
      </c>
      <c r="B251">
        <f>MIN(0.12*Earnings!C252,1800)</f>
        <v>1800</v>
      </c>
      <c r="C251">
        <f>IF([1]Earnings!G251&lt;=21000,0.0075*[1]Earnings!G251,0)</f>
        <v>0</v>
      </c>
      <c r="D251">
        <v>340</v>
      </c>
    </row>
    <row r="252" spans="1:4" x14ac:dyDescent="0.35">
      <c r="A252" t="s">
        <v>282</v>
      </c>
      <c r="B252">
        <f>MIN(0.12*Earnings!C253,1800)</f>
        <v>1800</v>
      </c>
      <c r="C252">
        <f>IF([1]Earnings!G252&lt;=21000,0.0075*[1]Earnings!G252,0)</f>
        <v>0</v>
      </c>
      <c r="D252">
        <v>340</v>
      </c>
    </row>
    <row r="253" spans="1:4" x14ac:dyDescent="0.35">
      <c r="A253" t="s">
        <v>283</v>
      </c>
      <c r="B253">
        <f>MIN(0.12*Earnings!C254,1800)</f>
        <v>1800</v>
      </c>
      <c r="C253">
        <f>IF([1]Earnings!G253&lt;=21000,0.0075*[1]Earnings!G253,0)</f>
        <v>0</v>
      </c>
      <c r="D253">
        <v>340</v>
      </c>
    </row>
    <row r="254" spans="1:4" x14ac:dyDescent="0.35">
      <c r="A254" t="s">
        <v>284</v>
      </c>
      <c r="B254">
        <f>MIN(0.12*Earnings!C255,1800)</f>
        <v>1800</v>
      </c>
      <c r="C254">
        <f>IF([1]Earnings!G254&lt;=21000,0.0075*[1]Earnings!G254,0)</f>
        <v>0</v>
      </c>
      <c r="D254">
        <v>240</v>
      </c>
    </row>
    <row r="255" spans="1:4" x14ac:dyDescent="0.35">
      <c r="A255" t="s">
        <v>285</v>
      </c>
      <c r="B255">
        <f>MIN(0.12*Earnings!C256,1800)</f>
        <v>1800</v>
      </c>
      <c r="C255">
        <f>IF([1]Earnings!G255&lt;=21000,0.0075*[1]Earnings!G255,0)</f>
        <v>0</v>
      </c>
      <c r="D255">
        <v>340</v>
      </c>
    </row>
    <row r="256" spans="1:4" x14ac:dyDescent="0.35">
      <c r="A256" t="s">
        <v>286</v>
      </c>
      <c r="B256">
        <f>MIN(0.12*Earnings!C257,1800)</f>
        <v>1800</v>
      </c>
      <c r="C256">
        <f>IF([1]Earnings!G256&lt;=21000,0.0075*[1]Earnings!G256,0)</f>
        <v>0</v>
      </c>
      <c r="D256">
        <v>240</v>
      </c>
    </row>
    <row r="257" spans="1:4" x14ac:dyDescent="0.35">
      <c r="A257" t="s">
        <v>287</v>
      </c>
      <c r="B257">
        <f>MIN(0.12*Earnings!C258,1800)</f>
        <v>1800</v>
      </c>
      <c r="C257">
        <f>IF([1]Earnings!G257&lt;=21000,0.0075*[1]Earnings!G257,0)</f>
        <v>0</v>
      </c>
      <c r="D257">
        <v>340</v>
      </c>
    </row>
    <row r="258" spans="1:4" x14ac:dyDescent="0.35">
      <c r="A258" t="s">
        <v>288</v>
      </c>
      <c r="B258">
        <f>MIN(0.12*Earnings!C259,1800)</f>
        <v>1800</v>
      </c>
      <c r="C258">
        <f>IF([1]Earnings!G258&lt;=21000,0.0075*[1]Earnings!G258,0)</f>
        <v>0</v>
      </c>
      <c r="D258">
        <v>340</v>
      </c>
    </row>
    <row r="259" spans="1:4" x14ac:dyDescent="0.35">
      <c r="A259" t="s">
        <v>289</v>
      </c>
      <c r="B259">
        <f>MIN(0.12*Earnings!C260,1800)</f>
        <v>1800</v>
      </c>
      <c r="C259">
        <f>IF([1]Earnings!G259&lt;=21000,0.0075*[1]Earnings!G259,0)</f>
        <v>0</v>
      </c>
      <c r="D259">
        <v>340</v>
      </c>
    </row>
    <row r="260" spans="1:4" x14ac:dyDescent="0.35">
      <c r="A260" t="s">
        <v>290</v>
      </c>
      <c r="B260">
        <f>MIN(0.12*Earnings!C261,1800)</f>
        <v>1800</v>
      </c>
      <c r="C260">
        <f>IF([1]Earnings!G260&lt;=21000,0.0075*[1]Earnings!G260,0)</f>
        <v>0</v>
      </c>
      <c r="D260">
        <v>280</v>
      </c>
    </row>
    <row r="261" spans="1:4" x14ac:dyDescent="0.35">
      <c r="A261" t="s">
        <v>291</v>
      </c>
      <c r="B261">
        <f>MIN(0.12*Earnings!C262,1800)</f>
        <v>1800</v>
      </c>
      <c r="C261">
        <f>IF([1]Earnings!G261&lt;=21000,0.0075*[1]Earnings!G261,0)</f>
        <v>0</v>
      </c>
      <c r="D261">
        <v>200</v>
      </c>
    </row>
    <row r="262" spans="1:4" x14ac:dyDescent="0.35">
      <c r="A262" t="s">
        <v>292</v>
      </c>
      <c r="B262">
        <f>MIN(0.12*Earnings!C263,1800)</f>
        <v>1800</v>
      </c>
      <c r="C262">
        <f>IF([1]Earnings!G262&lt;=21000,0.0075*[1]Earnings!G262,0)</f>
        <v>0</v>
      </c>
      <c r="D262">
        <v>340</v>
      </c>
    </row>
    <row r="263" spans="1:4" x14ac:dyDescent="0.35">
      <c r="A263" t="s">
        <v>293</v>
      </c>
      <c r="B263">
        <f>MIN(0.12*Earnings!C264,1800)</f>
        <v>1800</v>
      </c>
      <c r="C263">
        <f>IF([1]Earnings!G263&lt;=21000,0.0075*[1]Earnings!G263,0)</f>
        <v>0</v>
      </c>
      <c r="D263">
        <v>280</v>
      </c>
    </row>
    <row r="264" spans="1:4" x14ac:dyDescent="0.35">
      <c r="A264" t="s">
        <v>294</v>
      </c>
      <c r="B264">
        <f>MIN(0.12*Earnings!C265,1800)</f>
        <v>1800</v>
      </c>
      <c r="C264">
        <f>IF([1]Earnings!G264&lt;=21000,0.0075*[1]Earnings!G264,0)</f>
        <v>0</v>
      </c>
      <c r="D264">
        <v>340</v>
      </c>
    </row>
    <row r="265" spans="1:4" x14ac:dyDescent="0.35">
      <c r="A265" t="s">
        <v>295</v>
      </c>
      <c r="B265">
        <f>MIN(0.12*Earnings!C266,1800)</f>
        <v>1800</v>
      </c>
      <c r="C265">
        <f>IF([1]Earnings!G265&lt;=21000,0.0075*[1]Earnings!G265,0)</f>
        <v>0</v>
      </c>
      <c r="D265">
        <v>240</v>
      </c>
    </row>
    <row r="266" spans="1:4" x14ac:dyDescent="0.35">
      <c r="A266" t="s">
        <v>296</v>
      </c>
      <c r="B266">
        <f>MIN(0.12*Earnings!C267,1800)</f>
        <v>1800</v>
      </c>
      <c r="C266">
        <f>IF([1]Earnings!G266&lt;=21000,0.0075*[1]Earnings!G266,0)</f>
        <v>0</v>
      </c>
      <c r="D266">
        <v>340</v>
      </c>
    </row>
    <row r="267" spans="1:4" x14ac:dyDescent="0.35">
      <c r="A267" t="s">
        <v>297</v>
      </c>
      <c r="B267">
        <f>MIN(0.12*Earnings!C268,1800)</f>
        <v>1800</v>
      </c>
      <c r="C267">
        <f>IF([1]Earnings!G267&lt;=21000,0.0075*[1]Earnings!G267,0)</f>
        <v>0</v>
      </c>
      <c r="D267">
        <v>240</v>
      </c>
    </row>
    <row r="268" spans="1:4" x14ac:dyDescent="0.35">
      <c r="A268" t="s">
        <v>298</v>
      </c>
      <c r="B268">
        <f>MIN(0.12*Earnings!C269,1800)</f>
        <v>1800</v>
      </c>
      <c r="C268">
        <f>IF([1]Earnings!G268&lt;=21000,0.0075*[1]Earnings!G268,0)</f>
        <v>0</v>
      </c>
      <c r="D268">
        <v>200</v>
      </c>
    </row>
    <row r="269" spans="1:4" x14ac:dyDescent="0.35">
      <c r="A269" t="s">
        <v>299</v>
      </c>
      <c r="B269">
        <f>MIN(0.12*Earnings!C270,1800)</f>
        <v>1800</v>
      </c>
      <c r="C269">
        <f>IF([1]Earnings!G269&lt;=21000,0.0075*[1]Earnings!G269,0)</f>
        <v>0</v>
      </c>
      <c r="D269">
        <v>280</v>
      </c>
    </row>
    <row r="270" spans="1:4" x14ac:dyDescent="0.35">
      <c r="A270" t="s">
        <v>300</v>
      </c>
      <c r="B270">
        <f>MIN(0.12*Earnings!C271,1800)</f>
        <v>1800</v>
      </c>
      <c r="C270">
        <f>IF([1]Earnings!G270&lt;=21000,0.0075*[1]Earnings!G270,0)</f>
        <v>0</v>
      </c>
      <c r="D270">
        <v>200</v>
      </c>
    </row>
    <row r="271" spans="1:4" x14ac:dyDescent="0.35">
      <c r="A271" t="s">
        <v>301</v>
      </c>
      <c r="B271">
        <f>MIN(0.12*Earnings!C272,1800)</f>
        <v>1800</v>
      </c>
      <c r="C271">
        <f>IF([1]Earnings!G271&lt;=21000,0.0075*[1]Earnings!G271,0)</f>
        <v>0</v>
      </c>
      <c r="D271">
        <v>200</v>
      </c>
    </row>
    <row r="272" spans="1:4" x14ac:dyDescent="0.35">
      <c r="A272" t="s">
        <v>302</v>
      </c>
      <c r="B272">
        <f>MIN(0.12*Earnings!C273,1800)</f>
        <v>1800</v>
      </c>
      <c r="C272">
        <f>IF([1]Earnings!G272&lt;=21000,0.0075*[1]Earnings!G272,0)</f>
        <v>0</v>
      </c>
      <c r="D272">
        <v>340</v>
      </c>
    </row>
    <row r="273" spans="1:4" x14ac:dyDescent="0.35">
      <c r="A273" t="s">
        <v>303</v>
      </c>
      <c r="B273">
        <f>MIN(0.12*Earnings!C274,1800)</f>
        <v>1800</v>
      </c>
      <c r="C273">
        <f>IF([1]Earnings!G273&lt;=21000,0.0075*[1]Earnings!G273,0)</f>
        <v>0</v>
      </c>
      <c r="D273">
        <v>240</v>
      </c>
    </row>
    <row r="274" spans="1:4" x14ac:dyDescent="0.35">
      <c r="A274" t="s">
        <v>304</v>
      </c>
      <c r="B274">
        <f>MIN(0.12*Earnings!C275,1800)</f>
        <v>1800</v>
      </c>
      <c r="C274">
        <f>IF([1]Earnings!G274&lt;=21000,0.0075*[1]Earnings!G274,0)</f>
        <v>0</v>
      </c>
      <c r="D274">
        <v>240</v>
      </c>
    </row>
    <row r="275" spans="1:4" x14ac:dyDescent="0.35">
      <c r="A275" t="s">
        <v>305</v>
      </c>
      <c r="B275">
        <f>MIN(0.12*Earnings!C276,1800)</f>
        <v>1800</v>
      </c>
      <c r="C275">
        <f>IF([1]Earnings!G275&lt;=21000,0.0075*[1]Earnings!G275,0)</f>
        <v>0</v>
      </c>
      <c r="D275">
        <v>200</v>
      </c>
    </row>
    <row r="276" spans="1:4" x14ac:dyDescent="0.35">
      <c r="A276" t="s">
        <v>306</v>
      </c>
      <c r="B276">
        <f>MIN(0.12*Earnings!C277,1800)</f>
        <v>1800</v>
      </c>
      <c r="C276">
        <f>IF([1]Earnings!G276&lt;=21000,0.0075*[1]Earnings!G276,0)</f>
        <v>0</v>
      </c>
      <c r="D276">
        <v>340</v>
      </c>
    </row>
    <row r="277" spans="1:4" x14ac:dyDescent="0.35">
      <c r="A277" t="s">
        <v>307</v>
      </c>
      <c r="B277">
        <f>MIN(0.12*Earnings!C278,1800)</f>
        <v>1800</v>
      </c>
      <c r="C277">
        <f>IF([1]Earnings!G277&lt;=21000,0.0075*[1]Earnings!G277,0)</f>
        <v>0</v>
      </c>
      <c r="D277">
        <v>200</v>
      </c>
    </row>
    <row r="278" spans="1:4" x14ac:dyDescent="0.35">
      <c r="A278" t="s">
        <v>308</v>
      </c>
      <c r="B278">
        <f>MIN(0.12*Earnings!C279,1800)</f>
        <v>1800</v>
      </c>
      <c r="C278">
        <f>IF([1]Earnings!G278&lt;=21000,0.0075*[1]Earnings!G278,0)</f>
        <v>0</v>
      </c>
      <c r="D278">
        <v>200</v>
      </c>
    </row>
    <row r="279" spans="1:4" x14ac:dyDescent="0.35">
      <c r="A279" t="s">
        <v>309</v>
      </c>
      <c r="B279">
        <f>MIN(0.12*Earnings!C280,1800)</f>
        <v>1800</v>
      </c>
      <c r="C279">
        <f>IF([1]Earnings!G279&lt;=21000,0.0075*[1]Earnings!G279,0)</f>
        <v>0</v>
      </c>
      <c r="D279">
        <v>200</v>
      </c>
    </row>
    <row r="280" spans="1:4" x14ac:dyDescent="0.35">
      <c r="A280" t="s">
        <v>310</v>
      </c>
      <c r="B280">
        <f>MIN(0.12*Earnings!C281,1800)</f>
        <v>1800</v>
      </c>
      <c r="C280">
        <f>IF([1]Earnings!G280&lt;=21000,0.0075*[1]Earnings!G280,0)</f>
        <v>0</v>
      </c>
      <c r="D280">
        <v>280</v>
      </c>
    </row>
    <row r="281" spans="1:4" x14ac:dyDescent="0.35">
      <c r="A281" t="s">
        <v>311</v>
      </c>
      <c r="B281">
        <f>MIN(0.12*Earnings!C282,1800)</f>
        <v>1800</v>
      </c>
      <c r="C281">
        <f>IF([1]Earnings!G281&lt;=21000,0.0075*[1]Earnings!G281,0)</f>
        <v>0</v>
      </c>
      <c r="D281">
        <v>280</v>
      </c>
    </row>
    <row r="282" spans="1:4" x14ac:dyDescent="0.35">
      <c r="A282" t="s">
        <v>312</v>
      </c>
      <c r="B282">
        <f>MIN(0.12*Earnings!C283,1800)</f>
        <v>1800</v>
      </c>
      <c r="C282">
        <f>IF([1]Earnings!G282&lt;=21000,0.0075*[1]Earnings!G282,0)</f>
        <v>0</v>
      </c>
      <c r="D282">
        <v>240</v>
      </c>
    </row>
    <row r="283" spans="1:4" x14ac:dyDescent="0.35">
      <c r="A283" t="s">
        <v>313</v>
      </c>
      <c r="B283">
        <f>MIN(0.12*Earnings!C284,1800)</f>
        <v>1800</v>
      </c>
      <c r="C283">
        <f>IF([1]Earnings!G283&lt;=21000,0.0075*[1]Earnings!G283,0)</f>
        <v>0</v>
      </c>
      <c r="D283">
        <v>200</v>
      </c>
    </row>
    <row r="284" spans="1:4" x14ac:dyDescent="0.35">
      <c r="A284" t="s">
        <v>314</v>
      </c>
      <c r="B284">
        <f>MIN(0.12*Earnings!C285,1800)</f>
        <v>1800</v>
      </c>
      <c r="C284">
        <f>IF([1]Earnings!G284&lt;=21000,0.0075*[1]Earnings!G284,0)</f>
        <v>0</v>
      </c>
      <c r="D284">
        <v>200</v>
      </c>
    </row>
    <row r="285" spans="1:4" x14ac:dyDescent="0.35">
      <c r="A285" t="s">
        <v>315</v>
      </c>
      <c r="B285">
        <f>MIN(0.12*Earnings!C286,1800)</f>
        <v>1800</v>
      </c>
      <c r="C285">
        <f>IF([1]Earnings!G285&lt;=21000,0.0075*[1]Earnings!G285,0)</f>
        <v>0</v>
      </c>
      <c r="D285">
        <v>200</v>
      </c>
    </row>
    <row r="286" spans="1:4" x14ac:dyDescent="0.35">
      <c r="A286" t="s">
        <v>316</v>
      </c>
      <c r="B286">
        <f>MIN(0.12*Earnings!C287,1800)</f>
        <v>1800</v>
      </c>
      <c r="C286">
        <f>IF([1]Earnings!G286&lt;=21000,0.0075*[1]Earnings!G286,0)</f>
        <v>0</v>
      </c>
      <c r="D286">
        <v>340</v>
      </c>
    </row>
    <row r="287" spans="1:4" x14ac:dyDescent="0.35">
      <c r="A287" t="s">
        <v>317</v>
      </c>
      <c r="B287">
        <f>MIN(0.12*Earnings!C288,1800)</f>
        <v>1800</v>
      </c>
      <c r="C287">
        <f>IF([1]Earnings!G287&lt;=21000,0.0075*[1]Earnings!G287,0)</f>
        <v>0</v>
      </c>
      <c r="D287">
        <v>340</v>
      </c>
    </row>
    <row r="288" spans="1:4" x14ac:dyDescent="0.35">
      <c r="A288" t="s">
        <v>318</v>
      </c>
      <c r="B288">
        <f>MIN(0.12*Earnings!C289,1800)</f>
        <v>1800</v>
      </c>
      <c r="C288">
        <f>IF([1]Earnings!G288&lt;=21000,0.0075*[1]Earnings!G288,0)</f>
        <v>0</v>
      </c>
      <c r="D288">
        <v>240</v>
      </c>
    </row>
    <row r="289" spans="1:4" x14ac:dyDescent="0.35">
      <c r="A289" t="s">
        <v>319</v>
      </c>
      <c r="B289">
        <f>MIN(0.12*Earnings!C290,1800)</f>
        <v>1800</v>
      </c>
      <c r="C289">
        <f>IF([1]Earnings!G289&lt;=21000,0.0075*[1]Earnings!G289,0)</f>
        <v>0</v>
      </c>
      <c r="D289">
        <v>240</v>
      </c>
    </row>
    <row r="290" spans="1:4" x14ac:dyDescent="0.35">
      <c r="A290" t="s">
        <v>320</v>
      </c>
      <c r="B290">
        <f>MIN(0.12*Earnings!C291,1800)</f>
        <v>1800</v>
      </c>
      <c r="C290">
        <f>IF([1]Earnings!G290&lt;=21000,0.0075*[1]Earnings!G290,0)</f>
        <v>0</v>
      </c>
      <c r="D290">
        <v>280</v>
      </c>
    </row>
    <row r="291" spans="1:4" x14ac:dyDescent="0.35">
      <c r="A291" t="s">
        <v>321</v>
      </c>
      <c r="B291">
        <f>MIN(0.12*Earnings!C292,1800)</f>
        <v>1800</v>
      </c>
      <c r="C291">
        <f>IF([1]Earnings!G291&lt;=21000,0.0075*[1]Earnings!G291,0)</f>
        <v>0</v>
      </c>
      <c r="D291">
        <v>200</v>
      </c>
    </row>
    <row r="292" spans="1:4" x14ac:dyDescent="0.35">
      <c r="A292" t="s">
        <v>322</v>
      </c>
      <c r="B292">
        <f>MIN(0.12*Earnings!C293,1800)</f>
        <v>1800</v>
      </c>
      <c r="C292">
        <f>IF([1]Earnings!G292&lt;=21000,0.0075*[1]Earnings!G292,0)</f>
        <v>0</v>
      </c>
      <c r="D292">
        <v>340</v>
      </c>
    </row>
    <row r="293" spans="1:4" x14ac:dyDescent="0.35">
      <c r="A293" t="s">
        <v>323</v>
      </c>
      <c r="B293">
        <f>MIN(0.12*Earnings!C294,1800)</f>
        <v>1800</v>
      </c>
      <c r="C293">
        <f>IF([1]Earnings!G293&lt;=21000,0.0075*[1]Earnings!G293,0)</f>
        <v>0</v>
      </c>
      <c r="D293">
        <v>240</v>
      </c>
    </row>
    <row r="294" spans="1:4" x14ac:dyDescent="0.35">
      <c r="A294" t="s">
        <v>324</v>
      </c>
      <c r="B294">
        <f>MIN(0.12*Earnings!C295,1800)</f>
        <v>1800</v>
      </c>
      <c r="C294">
        <f>IF([1]Earnings!G294&lt;=21000,0.0075*[1]Earnings!G294,0)</f>
        <v>0</v>
      </c>
      <c r="D294">
        <v>200</v>
      </c>
    </row>
    <row r="295" spans="1:4" x14ac:dyDescent="0.35">
      <c r="A295" t="s">
        <v>325</v>
      </c>
      <c r="B295">
        <f>MIN(0.12*Earnings!C296,1800)</f>
        <v>1800</v>
      </c>
      <c r="C295">
        <f>IF([1]Earnings!G295&lt;=21000,0.0075*[1]Earnings!G295,0)</f>
        <v>0</v>
      </c>
      <c r="D295">
        <v>340</v>
      </c>
    </row>
    <row r="296" spans="1:4" x14ac:dyDescent="0.35">
      <c r="A296" t="s">
        <v>326</v>
      </c>
      <c r="B296">
        <f>MIN(0.12*Earnings!C297,1800)</f>
        <v>1800</v>
      </c>
      <c r="C296">
        <f>IF([1]Earnings!G296&lt;=21000,0.0075*[1]Earnings!G296,0)</f>
        <v>0</v>
      </c>
      <c r="D296">
        <v>280</v>
      </c>
    </row>
    <row r="297" spans="1:4" x14ac:dyDescent="0.35">
      <c r="A297" t="s">
        <v>327</v>
      </c>
      <c r="B297">
        <f>MIN(0.12*Earnings!C298,1800)</f>
        <v>1800</v>
      </c>
      <c r="C297">
        <f>IF([1]Earnings!G297&lt;=21000,0.0075*[1]Earnings!G297,0)</f>
        <v>0</v>
      </c>
      <c r="D297">
        <v>200</v>
      </c>
    </row>
    <row r="298" spans="1:4" x14ac:dyDescent="0.35">
      <c r="A298" t="s">
        <v>328</v>
      </c>
      <c r="B298">
        <f>MIN(0.12*Earnings!C299,1800)</f>
        <v>1800</v>
      </c>
      <c r="C298">
        <f>IF([1]Earnings!G298&lt;=21000,0.0075*[1]Earnings!G298,0)</f>
        <v>0</v>
      </c>
      <c r="D298">
        <v>340</v>
      </c>
    </row>
    <row r="299" spans="1:4" x14ac:dyDescent="0.35">
      <c r="A299" t="s">
        <v>329</v>
      </c>
      <c r="B299">
        <f>MIN(0.12*Earnings!C300,1800)</f>
        <v>1800</v>
      </c>
      <c r="C299">
        <f>IF([1]Earnings!G299&lt;=21000,0.0075*[1]Earnings!G299,0)</f>
        <v>0</v>
      </c>
      <c r="D299">
        <v>340</v>
      </c>
    </row>
    <row r="300" spans="1:4" x14ac:dyDescent="0.35">
      <c r="A300" t="s">
        <v>330</v>
      </c>
      <c r="B300">
        <f>MIN(0.12*Earnings!C301,1800)</f>
        <v>1800</v>
      </c>
      <c r="C300">
        <f>IF([1]Earnings!G300&lt;=21000,0.0075*[1]Earnings!G300,0)</f>
        <v>0</v>
      </c>
      <c r="D300">
        <v>240</v>
      </c>
    </row>
    <row r="301" spans="1:4" x14ac:dyDescent="0.35">
      <c r="A301" t="s">
        <v>331</v>
      </c>
      <c r="B301">
        <f>MIN(0.12*Earnings!C302,1800)</f>
        <v>1800</v>
      </c>
      <c r="C301">
        <f>IF([1]Earnings!G301&lt;=21000,0.0075*[1]Earnings!G301,0)</f>
        <v>0</v>
      </c>
      <c r="D301">
        <v>240</v>
      </c>
    </row>
    <row r="302" spans="1:4" x14ac:dyDescent="0.35">
      <c r="A302" t="s">
        <v>332</v>
      </c>
      <c r="B302">
        <f>MIN(0.12*Earnings!C303,1800)</f>
        <v>1800</v>
      </c>
      <c r="C302">
        <f>IF([1]Earnings!G302&lt;=21000,0.0075*[1]Earnings!G302,0)</f>
        <v>0</v>
      </c>
      <c r="D302">
        <v>340</v>
      </c>
    </row>
    <row r="303" spans="1:4" x14ac:dyDescent="0.35">
      <c r="A303" t="s">
        <v>333</v>
      </c>
      <c r="B303">
        <f>MIN(0.12*Earnings!C304,1800)</f>
        <v>1800</v>
      </c>
      <c r="C303">
        <f>IF([1]Earnings!G303&lt;=21000,0.0075*[1]Earnings!G303,0)</f>
        <v>0</v>
      </c>
      <c r="D303">
        <v>340</v>
      </c>
    </row>
    <row r="304" spans="1:4" x14ac:dyDescent="0.35">
      <c r="A304" t="s">
        <v>334</v>
      </c>
      <c r="B304">
        <f>MIN(0.12*Earnings!C305,1800)</f>
        <v>1800</v>
      </c>
      <c r="C304">
        <f>IF([1]Earnings!G304&lt;=21000,0.0075*[1]Earnings!G304,0)</f>
        <v>0</v>
      </c>
      <c r="D304">
        <v>200</v>
      </c>
    </row>
    <row r="305" spans="1:4" x14ac:dyDescent="0.35">
      <c r="A305" t="s">
        <v>335</v>
      </c>
      <c r="B305">
        <f>MIN(0.12*Earnings!C306,1800)</f>
        <v>1800</v>
      </c>
      <c r="C305">
        <f>IF([1]Earnings!G305&lt;=21000,0.0075*[1]Earnings!G305,0)</f>
        <v>0</v>
      </c>
      <c r="D305">
        <v>240</v>
      </c>
    </row>
    <row r="306" spans="1:4" x14ac:dyDescent="0.35">
      <c r="A306" t="s">
        <v>336</v>
      </c>
      <c r="B306">
        <f>MIN(0.12*Earnings!C307,1800)</f>
        <v>1800</v>
      </c>
      <c r="C306">
        <f>IF([1]Earnings!G306&lt;=21000,0.0075*[1]Earnings!G306,0)</f>
        <v>0</v>
      </c>
      <c r="D306">
        <v>200</v>
      </c>
    </row>
    <row r="307" spans="1:4" x14ac:dyDescent="0.35">
      <c r="A307" t="s">
        <v>337</v>
      </c>
      <c r="B307">
        <f>MIN(0.12*Earnings!C308,1800)</f>
        <v>1800</v>
      </c>
      <c r="C307">
        <f>IF([1]Earnings!G307&lt;=21000,0.0075*[1]Earnings!G307,0)</f>
        <v>0</v>
      </c>
      <c r="D307">
        <v>240</v>
      </c>
    </row>
    <row r="308" spans="1:4" x14ac:dyDescent="0.35">
      <c r="A308" t="s">
        <v>338</v>
      </c>
      <c r="B308">
        <f>MIN(0.12*Earnings!C309,1800)</f>
        <v>1800</v>
      </c>
      <c r="C308">
        <f>IF([1]Earnings!G308&lt;=21000,0.0075*[1]Earnings!G308,0)</f>
        <v>0</v>
      </c>
      <c r="D308">
        <v>280</v>
      </c>
    </row>
    <row r="309" spans="1:4" x14ac:dyDescent="0.35">
      <c r="A309" t="s">
        <v>339</v>
      </c>
      <c r="B309">
        <f>MIN(0.12*Earnings!C310,1800)</f>
        <v>1800</v>
      </c>
      <c r="C309">
        <f>IF([1]Earnings!G309&lt;=21000,0.0075*[1]Earnings!G309,0)</f>
        <v>0</v>
      </c>
      <c r="D309">
        <v>340</v>
      </c>
    </row>
    <row r="310" spans="1:4" x14ac:dyDescent="0.35">
      <c r="A310" t="s">
        <v>340</v>
      </c>
      <c r="B310">
        <f>MIN(0.12*Earnings!C311,1800)</f>
        <v>1800</v>
      </c>
      <c r="C310">
        <f>IF([1]Earnings!G310&lt;=21000,0.0075*[1]Earnings!G310,0)</f>
        <v>0</v>
      </c>
      <c r="D310">
        <v>280</v>
      </c>
    </row>
    <row r="311" spans="1:4" x14ac:dyDescent="0.35">
      <c r="A311" t="s">
        <v>341</v>
      </c>
      <c r="B311">
        <f>MIN(0.12*Earnings!C312,1800)</f>
        <v>1800</v>
      </c>
      <c r="C311">
        <f>IF([1]Earnings!G311&lt;=21000,0.0075*[1]Earnings!G311,0)</f>
        <v>0</v>
      </c>
      <c r="D311">
        <v>240</v>
      </c>
    </row>
    <row r="312" spans="1:4" x14ac:dyDescent="0.35">
      <c r="A312" t="s">
        <v>342</v>
      </c>
      <c r="B312">
        <f>MIN(0.12*Earnings!C313,1800)</f>
        <v>1800</v>
      </c>
      <c r="C312">
        <f>IF([1]Earnings!G312&lt;=21000,0.0075*[1]Earnings!G312,0)</f>
        <v>0</v>
      </c>
      <c r="D312">
        <v>280</v>
      </c>
    </row>
    <row r="313" spans="1:4" x14ac:dyDescent="0.35">
      <c r="A313" t="s">
        <v>343</v>
      </c>
      <c r="B313">
        <f>MIN(0.12*Earnings!C314,1800)</f>
        <v>1800</v>
      </c>
      <c r="C313">
        <f>IF([1]Earnings!G313&lt;=21000,0.0075*[1]Earnings!G313,0)</f>
        <v>0</v>
      </c>
      <c r="D313">
        <v>240</v>
      </c>
    </row>
    <row r="314" spans="1:4" x14ac:dyDescent="0.35">
      <c r="A314" t="s">
        <v>344</v>
      </c>
      <c r="B314">
        <f>MIN(0.12*Earnings!C315,1800)</f>
        <v>1800</v>
      </c>
      <c r="C314">
        <f>IF([1]Earnings!G314&lt;=21000,0.0075*[1]Earnings!G314,0)</f>
        <v>0</v>
      </c>
      <c r="D314">
        <v>280</v>
      </c>
    </row>
    <row r="315" spans="1:4" x14ac:dyDescent="0.35">
      <c r="A315" t="s">
        <v>345</v>
      </c>
      <c r="B315">
        <f>MIN(0.12*Earnings!C316,1800)</f>
        <v>1800</v>
      </c>
      <c r="C315">
        <f>IF([1]Earnings!G315&lt;=21000,0.0075*[1]Earnings!G315,0)</f>
        <v>0</v>
      </c>
      <c r="D315">
        <v>280</v>
      </c>
    </row>
    <row r="316" spans="1:4" x14ac:dyDescent="0.35">
      <c r="A316" t="s">
        <v>346</v>
      </c>
      <c r="B316">
        <f>MIN(0.12*Earnings!C317,1800)</f>
        <v>1800</v>
      </c>
      <c r="C316">
        <f>IF([1]Earnings!G316&lt;=21000,0.0075*[1]Earnings!G316,0)</f>
        <v>0</v>
      </c>
      <c r="D316">
        <v>340</v>
      </c>
    </row>
    <row r="317" spans="1:4" x14ac:dyDescent="0.35">
      <c r="A317" t="s">
        <v>347</v>
      </c>
      <c r="B317">
        <f>MIN(0.12*Earnings!C318,1800)</f>
        <v>1800</v>
      </c>
      <c r="C317">
        <f>IF([1]Earnings!G317&lt;=21000,0.0075*[1]Earnings!G317,0)</f>
        <v>0</v>
      </c>
      <c r="D317">
        <v>280</v>
      </c>
    </row>
    <row r="318" spans="1:4" x14ac:dyDescent="0.35">
      <c r="A318" t="s">
        <v>348</v>
      </c>
      <c r="B318">
        <f>MIN(0.12*Earnings!C319,1800)</f>
        <v>1800</v>
      </c>
      <c r="C318">
        <f>IF([1]Earnings!G318&lt;=21000,0.0075*[1]Earnings!G318,0)</f>
        <v>0</v>
      </c>
      <c r="D318">
        <v>240</v>
      </c>
    </row>
    <row r="319" spans="1:4" x14ac:dyDescent="0.35">
      <c r="A319" t="s">
        <v>349</v>
      </c>
      <c r="B319">
        <f>MIN(0.12*Earnings!C320,1800)</f>
        <v>1800</v>
      </c>
      <c r="C319">
        <f>IF([1]Earnings!G319&lt;=21000,0.0075*[1]Earnings!G319,0)</f>
        <v>0</v>
      </c>
      <c r="D319">
        <v>240</v>
      </c>
    </row>
    <row r="320" spans="1:4" x14ac:dyDescent="0.35">
      <c r="A320" t="s">
        <v>350</v>
      </c>
      <c r="B320">
        <f>MIN(0.12*Earnings!C321,1800)</f>
        <v>1800</v>
      </c>
      <c r="C320">
        <f>IF([1]Earnings!G320&lt;=21000,0.0075*[1]Earnings!G320,0)</f>
        <v>0</v>
      </c>
      <c r="D320">
        <v>340</v>
      </c>
    </row>
    <row r="321" spans="1:4" x14ac:dyDescent="0.35">
      <c r="A321" t="s">
        <v>351</v>
      </c>
      <c r="B321">
        <f>MIN(0.12*Earnings!C322,1800)</f>
        <v>1800</v>
      </c>
      <c r="C321">
        <f>IF([1]Earnings!G321&lt;=21000,0.0075*[1]Earnings!G321,0)</f>
        <v>0</v>
      </c>
      <c r="D321">
        <v>340</v>
      </c>
    </row>
    <row r="322" spans="1:4" x14ac:dyDescent="0.35">
      <c r="A322" t="s">
        <v>352</v>
      </c>
      <c r="B322">
        <f>MIN(0.12*Earnings!C323,1800)</f>
        <v>1800</v>
      </c>
      <c r="C322">
        <f>IF([1]Earnings!G322&lt;=21000,0.0075*[1]Earnings!G322,0)</f>
        <v>0</v>
      </c>
      <c r="D322">
        <v>340</v>
      </c>
    </row>
    <row r="323" spans="1:4" x14ac:dyDescent="0.35">
      <c r="A323" t="s">
        <v>353</v>
      </c>
      <c r="B323">
        <f>MIN(0.12*Earnings!C324,1800)</f>
        <v>1800</v>
      </c>
      <c r="C323">
        <f>IF([1]Earnings!G323&lt;=21000,0.0075*[1]Earnings!G323,0)</f>
        <v>0</v>
      </c>
      <c r="D323">
        <v>200</v>
      </c>
    </row>
    <row r="324" spans="1:4" x14ac:dyDescent="0.35">
      <c r="A324" t="s">
        <v>354</v>
      </c>
      <c r="B324">
        <f>MIN(0.12*Earnings!C325,1800)</f>
        <v>1800</v>
      </c>
      <c r="C324">
        <f>IF([1]Earnings!G324&lt;=21000,0.0075*[1]Earnings!G324,0)</f>
        <v>0</v>
      </c>
      <c r="D324">
        <v>200</v>
      </c>
    </row>
    <row r="325" spans="1:4" x14ac:dyDescent="0.35">
      <c r="A325" t="s">
        <v>355</v>
      </c>
      <c r="B325">
        <f>MIN(0.12*Earnings!C326,1800)</f>
        <v>1800</v>
      </c>
      <c r="C325">
        <f>IF([1]Earnings!G325&lt;=21000,0.0075*[1]Earnings!G325,0)</f>
        <v>0</v>
      </c>
      <c r="D325">
        <v>240</v>
      </c>
    </row>
    <row r="326" spans="1:4" x14ac:dyDescent="0.35">
      <c r="A326" t="s">
        <v>356</v>
      </c>
      <c r="B326">
        <f>MIN(0.12*Earnings!C327,1800)</f>
        <v>1800</v>
      </c>
      <c r="C326">
        <f>IF([1]Earnings!G326&lt;=21000,0.0075*[1]Earnings!G326,0)</f>
        <v>0</v>
      </c>
      <c r="D326">
        <v>200</v>
      </c>
    </row>
    <row r="327" spans="1:4" x14ac:dyDescent="0.35">
      <c r="A327" t="s">
        <v>357</v>
      </c>
      <c r="B327">
        <f>MIN(0.12*Earnings!C328,1800)</f>
        <v>1800</v>
      </c>
      <c r="C327">
        <f>IF([1]Earnings!G327&lt;=21000,0.0075*[1]Earnings!G327,0)</f>
        <v>0</v>
      </c>
      <c r="D327">
        <v>240</v>
      </c>
    </row>
    <row r="328" spans="1:4" x14ac:dyDescent="0.35">
      <c r="A328" t="s">
        <v>358</v>
      </c>
      <c r="B328">
        <f>MIN(0.12*Earnings!C329,1800)</f>
        <v>1800</v>
      </c>
      <c r="C328">
        <f>IF([1]Earnings!G328&lt;=21000,0.0075*[1]Earnings!G328,0)</f>
        <v>0</v>
      </c>
      <c r="D328">
        <v>340</v>
      </c>
    </row>
    <row r="329" spans="1:4" x14ac:dyDescent="0.35">
      <c r="A329" t="s">
        <v>359</v>
      </c>
      <c r="B329">
        <f>MIN(0.12*Earnings!C330,1800)</f>
        <v>1800</v>
      </c>
      <c r="C329">
        <f>IF([1]Earnings!G329&lt;=21000,0.0075*[1]Earnings!G329,0)</f>
        <v>0</v>
      </c>
      <c r="D329">
        <v>280</v>
      </c>
    </row>
    <row r="330" spans="1:4" x14ac:dyDescent="0.35">
      <c r="A330" t="s">
        <v>360</v>
      </c>
      <c r="B330">
        <f>MIN(0.12*Earnings!C331,1800)</f>
        <v>1800</v>
      </c>
      <c r="C330">
        <f>IF([1]Earnings!G330&lt;=21000,0.0075*[1]Earnings!G330,0)</f>
        <v>0</v>
      </c>
      <c r="D330">
        <v>200</v>
      </c>
    </row>
    <row r="331" spans="1:4" x14ac:dyDescent="0.35">
      <c r="A331" t="s">
        <v>361</v>
      </c>
      <c r="B331">
        <f>MIN(0.12*Earnings!C332,1800)</f>
        <v>1800</v>
      </c>
      <c r="C331">
        <f>IF([1]Earnings!G331&lt;=21000,0.0075*[1]Earnings!G331,0)</f>
        <v>0</v>
      </c>
      <c r="D331">
        <v>240</v>
      </c>
    </row>
    <row r="332" spans="1:4" x14ac:dyDescent="0.35">
      <c r="A332" t="s">
        <v>362</v>
      </c>
      <c r="B332">
        <f>MIN(0.12*Earnings!C333,1800)</f>
        <v>1800</v>
      </c>
      <c r="C332">
        <f>IF([1]Earnings!G332&lt;=21000,0.0075*[1]Earnings!G332,0)</f>
        <v>0</v>
      </c>
      <c r="D332">
        <v>280</v>
      </c>
    </row>
    <row r="333" spans="1:4" x14ac:dyDescent="0.35">
      <c r="A333" t="s">
        <v>363</v>
      </c>
      <c r="B333">
        <f>MIN(0.12*Earnings!C334,1800)</f>
        <v>1800</v>
      </c>
      <c r="C333">
        <f>IF([1]Earnings!G333&lt;=21000,0.0075*[1]Earnings!G333,0)</f>
        <v>0</v>
      </c>
      <c r="D333">
        <v>280</v>
      </c>
    </row>
    <row r="334" spans="1:4" x14ac:dyDescent="0.35">
      <c r="A334" t="s">
        <v>364</v>
      </c>
      <c r="B334">
        <f>MIN(0.12*Earnings!C335,1800)</f>
        <v>1800</v>
      </c>
      <c r="C334">
        <f>IF([1]Earnings!G334&lt;=21000,0.0075*[1]Earnings!G334,0)</f>
        <v>0</v>
      </c>
      <c r="D334">
        <v>280</v>
      </c>
    </row>
    <row r="335" spans="1:4" x14ac:dyDescent="0.35">
      <c r="A335" t="s">
        <v>365</v>
      </c>
      <c r="B335">
        <f>MIN(0.12*Earnings!C336,1800)</f>
        <v>1800</v>
      </c>
      <c r="C335">
        <f>IF([1]Earnings!G335&lt;=21000,0.0075*[1]Earnings!G335,0)</f>
        <v>0</v>
      </c>
      <c r="D335">
        <v>340</v>
      </c>
    </row>
    <row r="336" spans="1:4" x14ac:dyDescent="0.35">
      <c r="A336" t="s">
        <v>366</v>
      </c>
      <c r="B336">
        <f>MIN(0.12*Earnings!C337,1800)</f>
        <v>1800</v>
      </c>
      <c r="C336">
        <f>IF([1]Earnings!G336&lt;=21000,0.0075*[1]Earnings!G336,0)</f>
        <v>0</v>
      </c>
      <c r="D336">
        <v>280</v>
      </c>
    </row>
    <row r="337" spans="1:4" x14ac:dyDescent="0.35">
      <c r="A337" t="s">
        <v>367</v>
      </c>
      <c r="B337">
        <f>MIN(0.12*Earnings!C338,1800)</f>
        <v>1800</v>
      </c>
      <c r="C337">
        <f>IF([1]Earnings!G337&lt;=21000,0.0075*[1]Earnings!G337,0)</f>
        <v>0</v>
      </c>
      <c r="D337">
        <v>240</v>
      </c>
    </row>
    <row r="338" spans="1:4" x14ac:dyDescent="0.35">
      <c r="A338" t="s">
        <v>368</v>
      </c>
      <c r="B338">
        <f>MIN(0.12*Earnings!C339,1800)</f>
        <v>1800</v>
      </c>
      <c r="C338">
        <f>IF([1]Earnings!G338&lt;=21000,0.0075*[1]Earnings!G338,0)</f>
        <v>0</v>
      </c>
      <c r="D338">
        <v>240</v>
      </c>
    </row>
    <row r="339" spans="1:4" x14ac:dyDescent="0.35">
      <c r="A339" t="s">
        <v>369</v>
      </c>
      <c r="B339">
        <f>MIN(0.12*Earnings!C340,1800)</f>
        <v>1800</v>
      </c>
      <c r="C339">
        <f>IF([1]Earnings!G339&lt;=21000,0.0075*[1]Earnings!G339,0)</f>
        <v>0</v>
      </c>
      <c r="D339">
        <v>340</v>
      </c>
    </row>
    <row r="340" spans="1:4" x14ac:dyDescent="0.35">
      <c r="A340" t="s">
        <v>370</v>
      </c>
      <c r="B340">
        <f>MIN(0.12*Earnings!C341,1800)</f>
        <v>1800</v>
      </c>
      <c r="C340">
        <f>IF([1]Earnings!G340&lt;=21000,0.0075*[1]Earnings!G340,0)</f>
        <v>0</v>
      </c>
      <c r="D340">
        <v>280</v>
      </c>
    </row>
    <row r="341" spans="1:4" x14ac:dyDescent="0.35">
      <c r="A341" t="s">
        <v>371</v>
      </c>
      <c r="B341">
        <f>MIN(0.12*Earnings!C342,1800)</f>
        <v>1800</v>
      </c>
      <c r="C341">
        <f>IF([1]Earnings!G341&lt;=21000,0.0075*[1]Earnings!G341,0)</f>
        <v>0</v>
      </c>
      <c r="D341">
        <v>200</v>
      </c>
    </row>
    <row r="342" spans="1:4" x14ac:dyDescent="0.35">
      <c r="A342" t="s">
        <v>372</v>
      </c>
      <c r="B342">
        <f>MIN(0.12*Earnings!C343,1800)</f>
        <v>1800</v>
      </c>
      <c r="C342">
        <f>IF([1]Earnings!G342&lt;=21000,0.0075*[1]Earnings!G342,0)</f>
        <v>0</v>
      </c>
      <c r="D342">
        <v>280</v>
      </c>
    </row>
    <row r="343" spans="1:4" x14ac:dyDescent="0.35">
      <c r="A343" t="s">
        <v>373</v>
      </c>
      <c r="B343">
        <f>MIN(0.12*Earnings!C344,1800)</f>
        <v>1800</v>
      </c>
      <c r="C343">
        <f>IF([1]Earnings!G343&lt;=21000,0.0075*[1]Earnings!G343,0)</f>
        <v>0</v>
      </c>
      <c r="D343">
        <v>200</v>
      </c>
    </row>
    <row r="344" spans="1:4" x14ac:dyDescent="0.35">
      <c r="A344" t="s">
        <v>374</v>
      </c>
      <c r="B344">
        <f>MIN(0.12*Earnings!C345,1800)</f>
        <v>1800</v>
      </c>
      <c r="C344">
        <f>IF([1]Earnings!G344&lt;=21000,0.0075*[1]Earnings!G344,0)</f>
        <v>0</v>
      </c>
      <c r="D344">
        <v>340</v>
      </c>
    </row>
    <row r="345" spans="1:4" x14ac:dyDescent="0.35">
      <c r="A345" t="s">
        <v>375</v>
      </c>
      <c r="B345">
        <f>MIN(0.12*Earnings!C346,1800)</f>
        <v>1800</v>
      </c>
      <c r="C345">
        <f>IF([1]Earnings!G345&lt;=21000,0.0075*[1]Earnings!G345,0)</f>
        <v>0</v>
      </c>
      <c r="D345">
        <v>340</v>
      </c>
    </row>
    <row r="346" spans="1:4" x14ac:dyDescent="0.35">
      <c r="A346" t="s">
        <v>376</v>
      </c>
      <c r="B346">
        <f>MIN(0.12*Earnings!C347,1800)</f>
        <v>1800</v>
      </c>
      <c r="C346">
        <f>IF([1]Earnings!G346&lt;=21000,0.0075*[1]Earnings!G346,0)</f>
        <v>0</v>
      </c>
      <c r="D346">
        <v>340</v>
      </c>
    </row>
    <row r="347" spans="1:4" x14ac:dyDescent="0.35">
      <c r="A347" t="s">
        <v>377</v>
      </c>
      <c r="B347">
        <f>MIN(0.12*Earnings!C348,1800)</f>
        <v>1800</v>
      </c>
      <c r="C347">
        <f>IF([1]Earnings!G347&lt;=21000,0.0075*[1]Earnings!G347,0)</f>
        <v>0</v>
      </c>
      <c r="D347">
        <v>240</v>
      </c>
    </row>
    <row r="348" spans="1:4" x14ac:dyDescent="0.35">
      <c r="A348" t="s">
        <v>378</v>
      </c>
      <c r="B348">
        <f>MIN(0.12*Earnings!C349,1800)</f>
        <v>1800</v>
      </c>
      <c r="C348">
        <f>IF([1]Earnings!G348&lt;=21000,0.0075*[1]Earnings!G348,0)</f>
        <v>0</v>
      </c>
      <c r="D348">
        <v>280</v>
      </c>
    </row>
    <row r="349" spans="1:4" x14ac:dyDescent="0.35">
      <c r="A349" t="s">
        <v>379</v>
      </c>
      <c r="B349">
        <f>MIN(0.12*Earnings!C350,1800)</f>
        <v>1800</v>
      </c>
      <c r="C349">
        <f>IF([1]Earnings!G349&lt;=21000,0.0075*[1]Earnings!G349,0)</f>
        <v>0</v>
      </c>
      <c r="D349">
        <v>340</v>
      </c>
    </row>
    <row r="350" spans="1:4" x14ac:dyDescent="0.35">
      <c r="A350" t="s">
        <v>380</v>
      </c>
      <c r="B350">
        <f>MIN(0.12*Earnings!C351,1800)</f>
        <v>1800</v>
      </c>
      <c r="C350">
        <f>IF([1]Earnings!G350&lt;=21000,0.0075*[1]Earnings!G350,0)</f>
        <v>0</v>
      </c>
      <c r="D350">
        <v>280</v>
      </c>
    </row>
    <row r="351" spans="1:4" x14ac:dyDescent="0.35">
      <c r="A351" t="s">
        <v>381</v>
      </c>
      <c r="B351">
        <f>MIN(0.12*Earnings!C352,1800)</f>
        <v>1800</v>
      </c>
      <c r="C351">
        <f>IF([1]Earnings!G351&lt;=21000,0.0075*[1]Earnings!G351,0)</f>
        <v>0</v>
      </c>
      <c r="D351">
        <v>240</v>
      </c>
    </row>
    <row r="352" spans="1:4" x14ac:dyDescent="0.35">
      <c r="A352" t="s">
        <v>382</v>
      </c>
      <c r="B352">
        <f>MIN(0.12*Earnings!C353,1800)</f>
        <v>1800</v>
      </c>
      <c r="C352">
        <f>IF([1]Earnings!G352&lt;=21000,0.0075*[1]Earnings!G352,0)</f>
        <v>0</v>
      </c>
      <c r="D352">
        <v>280</v>
      </c>
    </row>
    <row r="353" spans="1:4" x14ac:dyDescent="0.35">
      <c r="A353" t="s">
        <v>383</v>
      </c>
      <c r="B353">
        <f>MIN(0.12*Earnings!C354,1800)</f>
        <v>1800</v>
      </c>
      <c r="C353">
        <f>IF([1]Earnings!G353&lt;=21000,0.0075*[1]Earnings!G353,0)</f>
        <v>0</v>
      </c>
      <c r="D353">
        <v>280</v>
      </c>
    </row>
    <row r="354" spans="1:4" x14ac:dyDescent="0.35">
      <c r="A354" t="s">
        <v>384</v>
      </c>
      <c r="B354">
        <f>MIN(0.12*Earnings!C355,1800)</f>
        <v>1800</v>
      </c>
      <c r="C354">
        <f>IF([1]Earnings!G354&lt;=21000,0.0075*[1]Earnings!G354,0)</f>
        <v>0</v>
      </c>
      <c r="D354">
        <v>340</v>
      </c>
    </row>
    <row r="355" spans="1:4" x14ac:dyDescent="0.35">
      <c r="A355" t="s">
        <v>385</v>
      </c>
      <c r="B355">
        <f>MIN(0.12*Earnings!C356,1800)</f>
        <v>1800</v>
      </c>
      <c r="C355">
        <f>IF([1]Earnings!G355&lt;=21000,0.0075*[1]Earnings!G355,0)</f>
        <v>0</v>
      </c>
      <c r="D355">
        <v>200</v>
      </c>
    </row>
    <row r="356" spans="1:4" x14ac:dyDescent="0.35">
      <c r="A356" t="s">
        <v>386</v>
      </c>
      <c r="B356">
        <f>MIN(0.12*Earnings!C357,1800)</f>
        <v>1800</v>
      </c>
      <c r="C356">
        <f>IF([1]Earnings!G356&lt;=21000,0.0075*[1]Earnings!G356,0)</f>
        <v>0</v>
      </c>
      <c r="D356">
        <v>200</v>
      </c>
    </row>
    <row r="357" spans="1:4" x14ac:dyDescent="0.35">
      <c r="A357" t="s">
        <v>387</v>
      </c>
      <c r="B357">
        <f>MIN(0.12*Earnings!C358,1800)</f>
        <v>1800</v>
      </c>
      <c r="C357">
        <f>IF([1]Earnings!G357&lt;=21000,0.0075*[1]Earnings!G357,0)</f>
        <v>0</v>
      </c>
      <c r="D357">
        <v>200</v>
      </c>
    </row>
    <row r="358" spans="1:4" x14ac:dyDescent="0.35">
      <c r="A358" t="s">
        <v>388</v>
      </c>
      <c r="B358">
        <f>MIN(0.12*Earnings!C359,1800)</f>
        <v>1800</v>
      </c>
      <c r="C358">
        <f>IF([1]Earnings!G358&lt;=21000,0.0075*[1]Earnings!G358,0)</f>
        <v>0</v>
      </c>
      <c r="D358">
        <v>280</v>
      </c>
    </row>
    <row r="359" spans="1:4" x14ac:dyDescent="0.35">
      <c r="A359" t="s">
        <v>389</v>
      </c>
      <c r="B359">
        <f>MIN(0.12*Earnings!C360,1800)</f>
        <v>1800</v>
      </c>
      <c r="C359">
        <f>IF([1]Earnings!G359&lt;=21000,0.0075*[1]Earnings!G359,0)</f>
        <v>0</v>
      </c>
      <c r="D359">
        <v>280</v>
      </c>
    </row>
    <row r="360" spans="1:4" x14ac:dyDescent="0.35">
      <c r="A360" t="s">
        <v>390</v>
      </c>
      <c r="B360">
        <f>MIN(0.12*Earnings!C361,1800)</f>
        <v>1800</v>
      </c>
      <c r="C360">
        <f>IF([1]Earnings!G360&lt;=21000,0.0075*[1]Earnings!G360,0)</f>
        <v>0</v>
      </c>
      <c r="D360">
        <v>280</v>
      </c>
    </row>
    <row r="361" spans="1:4" x14ac:dyDescent="0.35">
      <c r="A361" t="s">
        <v>391</v>
      </c>
      <c r="B361">
        <f>MIN(0.12*Earnings!C362,1800)</f>
        <v>1800</v>
      </c>
      <c r="C361">
        <f>IF([1]Earnings!G361&lt;=21000,0.0075*[1]Earnings!G361,0)</f>
        <v>0</v>
      </c>
      <c r="D361">
        <v>280</v>
      </c>
    </row>
    <row r="362" spans="1:4" x14ac:dyDescent="0.35">
      <c r="A362" t="s">
        <v>392</v>
      </c>
      <c r="B362">
        <f>MIN(0.12*Earnings!C363,1800)</f>
        <v>1800</v>
      </c>
      <c r="C362">
        <f>IF([1]Earnings!G362&lt;=21000,0.0075*[1]Earnings!G362,0)</f>
        <v>0</v>
      </c>
      <c r="D362">
        <v>200</v>
      </c>
    </row>
    <row r="363" spans="1:4" x14ac:dyDescent="0.35">
      <c r="A363" t="s">
        <v>393</v>
      </c>
      <c r="B363">
        <f>MIN(0.12*Earnings!C364,1800)</f>
        <v>1800</v>
      </c>
      <c r="C363">
        <f>IF([1]Earnings!G363&lt;=21000,0.0075*[1]Earnings!G363,0)</f>
        <v>0</v>
      </c>
      <c r="D363">
        <v>340</v>
      </c>
    </row>
    <row r="364" spans="1:4" x14ac:dyDescent="0.35">
      <c r="A364" t="s">
        <v>394</v>
      </c>
      <c r="B364">
        <f>MIN(0.12*Earnings!C365,1800)</f>
        <v>1800</v>
      </c>
      <c r="C364">
        <f>IF([1]Earnings!G364&lt;=21000,0.0075*[1]Earnings!G364,0)</f>
        <v>0</v>
      </c>
      <c r="D364">
        <v>240</v>
      </c>
    </row>
    <row r="365" spans="1:4" x14ac:dyDescent="0.35">
      <c r="A365" t="s">
        <v>395</v>
      </c>
      <c r="B365">
        <f>MIN(0.12*Earnings!C366,1800)</f>
        <v>1800</v>
      </c>
      <c r="C365">
        <f>IF([1]Earnings!G365&lt;=21000,0.0075*[1]Earnings!G365,0)</f>
        <v>0</v>
      </c>
      <c r="D365">
        <v>200</v>
      </c>
    </row>
    <row r="366" spans="1:4" x14ac:dyDescent="0.35">
      <c r="A366" t="s">
        <v>396</v>
      </c>
      <c r="B366">
        <f>MIN(0.12*Earnings!C367,1800)</f>
        <v>1800</v>
      </c>
      <c r="C366">
        <f>IF([1]Earnings!G366&lt;=21000,0.0075*[1]Earnings!G366,0)</f>
        <v>0</v>
      </c>
      <c r="D366">
        <v>340</v>
      </c>
    </row>
    <row r="367" spans="1:4" x14ac:dyDescent="0.35">
      <c r="A367" t="s">
        <v>397</v>
      </c>
      <c r="B367">
        <f>MIN(0.12*Earnings!C368,1800)</f>
        <v>1800</v>
      </c>
      <c r="C367">
        <f>IF([1]Earnings!G367&lt;=21000,0.0075*[1]Earnings!G367,0)</f>
        <v>0</v>
      </c>
      <c r="D367">
        <v>200</v>
      </c>
    </row>
    <row r="368" spans="1:4" x14ac:dyDescent="0.35">
      <c r="A368" t="s">
        <v>398</v>
      </c>
      <c r="B368">
        <f>MIN(0.12*Earnings!C369,1800)</f>
        <v>1800</v>
      </c>
      <c r="C368">
        <f>IF([1]Earnings!G368&lt;=21000,0.0075*[1]Earnings!G368,0)</f>
        <v>0</v>
      </c>
      <c r="D368">
        <v>340</v>
      </c>
    </row>
    <row r="369" spans="1:4" x14ac:dyDescent="0.35">
      <c r="A369" t="s">
        <v>399</v>
      </c>
      <c r="B369">
        <f>MIN(0.12*Earnings!C370,1800)</f>
        <v>1800</v>
      </c>
      <c r="C369">
        <f>IF([1]Earnings!G369&lt;=21000,0.0075*[1]Earnings!G369,0)</f>
        <v>0</v>
      </c>
      <c r="D369">
        <v>280</v>
      </c>
    </row>
    <row r="370" spans="1:4" x14ac:dyDescent="0.35">
      <c r="A370" t="s">
        <v>400</v>
      </c>
      <c r="B370">
        <f>MIN(0.12*Earnings!C371,1800)</f>
        <v>1800</v>
      </c>
      <c r="C370">
        <f>IF([1]Earnings!G370&lt;=21000,0.0075*[1]Earnings!G370,0)</f>
        <v>0</v>
      </c>
      <c r="D370">
        <v>340</v>
      </c>
    </row>
    <row r="371" spans="1:4" x14ac:dyDescent="0.35">
      <c r="A371" t="s">
        <v>401</v>
      </c>
      <c r="B371">
        <f>MIN(0.12*Earnings!C372,1800)</f>
        <v>1800</v>
      </c>
      <c r="C371">
        <f>IF([1]Earnings!G371&lt;=21000,0.0075*[1]Earnings!G371,0)</f>
        <v>0</v>
      </c>
      <c r="D371">
        <v>200</v>
      </c>
    </row>
    <row r="372" spans="1:4" x14ac:dyDescent="0.35">
      <c r="A372" t="s">
        <v>402</v>
      </c>
      <c r="B372">
        <f>MIN(0.12*Earnings!C373,1800)</f>
        <v>1800</v>
      </c>
      <c r="C372">
        <f>IF([1]Earnings!G372&lt;=21000,0.0075*[1]Earnings!G372,0)</f>
        <v>0</v>
      </c>
      <c r="D372">
        <v>280</v>
      </c>
    </row>
    <row r="373" spans="1:4" x14ac:dyDescent="0.35">
      <c r="A373" t="s">
        <v>403</v>
      </c>
      <c r="B373">
        <f>MIN(0.12*Earnings!C374,1800)</f>
        <v>1800</v>
      </c>
      <c r="C373">
        <f>IF([1]Earnings!G373&lt;=21000,0.0075*[1]Earnings!G373,0)</f>
        <v>0</v>
      </c>
      <c r="D373">
        <v>240</v>
      </c>
    </row>
    <row r="374" spans="1:4" x14ac:dyDescent="0.35">
      <c r="A374" t="s">
        <v>404</v>
      </c>
      <c r="B374">
        <f>MIN(0.12*Earnings!C375,1800)</f>
        <v>1800</v>
      </c>
      <c r="C374">
        <f>IF([1]Earnings!G374&lt;=21000,0.0075*[1]Earnings!G374,0)</f>
        <v>0</v>
      </c>
      <c r="D374">
        <v>240</v>
      </c>
    </row>
    <row r="375" spans="1:4" x14ac:dyDescent="0.35">
      <c r="A375" t="s">
        <v>405</v>
      </c>
      <c r="B375">
        <f>MIN(0.12*Earnings!C376,1800)</f>
        <v>1800</v>
      </c>
      <c r="C375">
        <f>IF([1]Earnings!G375&lt;=21000,0.0075*[1]Earnings!G375,0)</f>
        <v>0</v>
      </c>
      <c r="D375">
        <v>340</v>
      </c>
    </row>
    <row r="376" spans="1:4" x14ac:dyDescent="0.35">
      <c r="A376" t="s">
        <v>406</v>
      </c>
      <c r="B376">
        <f>MIN(0.12*Earnings!C377,1800)</f>
        <v>1800</v>
      </c>
      <c r="C376">
        <f>IF([1]Earnings!G376&lt;=21000,0.0075*[1]Earnings!G376,0)</f>
        <v>0</v>
      </c>
      <c r="D376">
        <v>280</v>
      </c>
    </row>
    <row r="377" spans="1:4" x14ac:dyDescent="0.35">
      <c r="A377" t="s">
        <v>407</v>
      </c>
      <c r="B377">
        <f>MIN(0.12*Earnings!C378,1800)</f>
        <v>1800</v>
      </c>
      <c r="C377">
        <f>IF([1]Earnings!G377&lt;=21000,0.0075*[1]Earnings!G377,0)</f>
        <v>0</v>
      </c>
      <c r="D377">
        <v>200</v>
      </c>
    </row>
    <row r="378" spans="1:4" x14ac:dyDescent="0.35">
      <c r="A378" t="s">
        <v>408</v>
      </c>
      <c r="B378">
        <f>MIN(0.12*Earnings!C379,1800)</f>
        <v>1800</v>
      </c>
      <c r="C378">
        <f>IF([1]Earnings!G378&lt;=21000,0.0075*[1]Earnings!G378,0)</f>
        <v>0</v>
      </c>
      <c r="D378">
        <v>340</v>
      </c>
    </row>
    <row r="379" spans="1:4" x14ac:dyDescent="0.35">
      <c r="A379" t="s">
        <v>409</v>
      </c>
      <c r="B379">
        <f>MIN(0.12*Earnings!C380,1800)</f>
        <v>1800</v>
      </c>
      <c r="C379">
        <f>IF([1]Earnings!G379&lt;=21000,0.0075*[1]Earnings!G379,0)</f>
        <v>0</v>
      </c>
      <c r="D379">
        <v>280</v>
      </c>
    </row>
    <row r="380" spans="1:4" x14ac:dyDescent="0.35">
      <c r="A380" t="s">
        <v>410</v>
      </c>
      <c r="B380">
        <f>MIN(0.12*Earnings!C381,1800)</f>
        <v>1800</v>
      </c>
      <c r="C380">
        <f>IF([1]Earnings!G380&lt;=21000,0.0075*[1]Earnings!G380,0)</f>
        <v>0</v>
      </c>
      <c r="D380">
        <v>340</v>
      </c>
    </row>
    <row r="381" spans="1:4" x14ac:dyDescent="0.35">
      <c r="A381" t="s">
        <v>411</v>
      </c>
      <c r="B381">
        <f>MIN(0.12*Earnings!C382,1800)</f>
        <v>1800</v>
      </c>
      <c r="C381">
        <f>IF([1]Earnings!G381&lt;=21000,0.0075*[1]Earnings!G381,0)</f>
        <v>0</v>
      </c>
      <c r="D381">
        <v>280</v>
      </c>
    </row>
    <row r="382" spans="1:4" x14ac:dyDescent="0.35">
      <c r="A382" t="s">
        <v>412</v>
      </c>
      <c r="B382">
        <f>MIN(0.12*Earnings!C383,1800)</f>
        <v>1800</v>
      </c>
      <c r="C382">
        <f>IF([1]Earnings!G382&lt;=21000,0.0075*[1]Earnings!G382,0)</f>
        <v>0</v>
      </c>
      <c r="D382">
        <v>280</v>
      </c>
    </row>
    <row r="383" spans="1:4" x14ac:dyDescent="0.35">
      <c r="A383" t="s">
        <v>413</v>
      </c>
      <c r="B383">
        <f>MIN(0.12*Earnings!C384,1800)</f>
        <v>1800</v>
      </c>
      <c r="C383">
        <f>IF([1]Earnings!G383&lt;=21000,0.0075*[1]Earnings!G383,0)</f>
        <v>0</v>
      </c>
      <c r="D383">
        <v>200</v>
      </c>
    </row>
    <row r="384" spans="1:4" x14ac:dyDescent="0.35">
      <c r="A384" t="s">
        <v>414</v>
      </c>
      <c r="B384">
        <f>MIN(0.12*Earnings!C385,1800)</f>
        <v>1800</v>
      </c>
      <c r="C384">
        <f>IF([1]Earnings!G384&lt;=21000,0.0075*[1]Earnings!G384,0)</f>
        <v>0</v>
      </c>
      <c r="D384">
        <v>200</v>
      </c>
    </row>
    <row r="385" spans="1:4" x14ac:dyDescent="0.35">
      <c r="A385" t="s">
        <v>415</v>
      </c>
      <c r="B385">
        <f>MIN(0.12*Earnings!C386,1800)</f>
        <v>1800</v>
      </c>
      <c r="C385">
        <f>IF([1]Earnings!G385&lt;=21000,0.0075*[1]Earnings!G385,0)</f>
        <v>0</v>
      </c>
      <c r="D385">
        <v>240</v>
      </c>
    </row>
    <row r="386" spans="1:4" x14ac:dyDescent="0.35">
      <c r="A386" t="s">
        <v>416</v>
      </c>
      <c r="B386">
        <f>MIN(0.12*Earnings!C387,1800)</f>
        <v>1800</v>
      </c>
      <c r="C386">
        <f>IF([1]Earnings!G386&lt;=21000,0.0075*[1]Earnings!G386,0)</f>
        <v>0</v>
      </c>
      <c r="D386">
        <v>340</v>
      </c>
    </row>
    <row r="387" spans="1:4" x14ac:dyDescent="0.35">
      <c r="A387" t="s">
        <v>417</v>
      </c>
      <c r="B387">
        <f>MIN(0.12*Earnings!C388,1800)</f>
        <v>1800</v>
      </c>
      <c r="C387">
        <f>IF([1]Earnings!G387&lt;=21000,0.0075*[1]Earnings!G387,0)</f>
        <v>0</v>
      </c>
      <c r="D387">
        <v>280</v>
      </c>
    </row>
    <row r="388" spans="1:4" x14ac:dyDescent="0.35">
      <c r="A388" t="s">
        <v>418</v>
      </c>
      <c r="B388">
        <f>MIN(0.12*Earnings!C389,1800)</f>
        <v>1800</v>
      </c>
      <c r="C388">
        <f>IF([1]Earnings!G388&lt;=21000,0.0075*[1]Earnings!G388,0)</f>
        <v>0</v>
      </c>
      <c r="D388">
        <v>200</v>
      </c>
    </row>
    <row r="389" spans="1:4" x14ac:dyDescent="0.35">
      <c r="A389" t="s">
        <v>419</v>
      </c>
      <c r="B389">
        <f>MIN(0.12*Earnings!C390,1800)</f>
        <v>1800</v>
      </c>
      <c r="C389">
        <f>IF([1]Earnings!G389&lt;=21000,0.0075*[1]Earnings!G389,0)</f>
        <v>0</v>
      </c>
      <c r="D389">
        <v>240</v>
      </c>
    </row>
    <row r="390" spans="1:4" x14ac:dyDescent="0.35">
      <c r="A390" t="s">
        <v>420</v>
      </c>
      <c r="B390">
        <f>MIN(0.12*Earnings!C391,1800)</f>
        <v>1800</v>
      </c>
      <c r="C390">
        <f>IF([1]Earnings!G390&lt;=21000,0.0075*[1]Earnings!G390,0)</f>
        <v>0</v>
      </c>
      <c r="D390">
        <v>340</v>
      </c>
    </row>
    <row r="391" spans="1:4" x14ac:dyDescent="0.35">
      <c r="A391" t="s">
        <v>421</v>
      </c>
      <c r="B391">
        <f>MIN(0.12*Earnings!C392,1800)</f>
        <v>1800</v>
      </c>
      <c r="C391">
        <f>IF([1]Earnings!G391&lt;=21000,0.0075*[1]Earnings!G391,0)</f>
        <v>0</v>
      </c>
      <c r="D391">
        <v>280</v>
      </c>
    </row>
    <row r="392" spans="1:4" x14ac:dyDescent="0.35">
      <c r="A392" t="s">
        <v>422</v>
      </c>
      <c r="B392">
        <f>MIN(0.12*Earnings!C393,1800)</f>
        <v>1800</v>
      </c>
      <c r="C392">
        <f>IF([1]Earnings!G392&lt;=21000,0.0075*[1]Earnings!G392,0)</f>
        <v>0</v>
      </c>
      <c r="D392">
        <v>280</v>
      </c>
    </row>
    <row r="393" spans="1:4" x14ac:dyDescent="0.35">
      <c r="A393" t="s">
        <v>423</v>
      </c>
      <c r="B393">
        <f>MIN(0.12*Earnings!C394,1800)</f>
        <v>1800</v>
      </c>
      <c r="C393">
        <f>IF([1]Earnings!G393&lt;=21000,0.0075*[1]Earnings!G393,0)</f>
        <v>0</v>
      </c>
      <c r="D393">
        <v>200</v>
      </c>
    </row>
    <row r="394" spans="1:4" x14ac:dyDescent="0.35">
      <c r="A394" t="s">
        <v>424</v>
      </c>
      <c r="B394">
        <f>MIN(0.12*Earnings!C395,1800)</f>
        <v>1800</v>
      </c>
      <c r="C394">
        <f>IF([1]Earnings!G394&lt;=21000,0.0075*[1]Earnings!G394,0)</f>
        <v>0</v>
      </c>
      <c r="D394">
        <v>340</v>
      </c>
    </row>
    <row r="395" spans="1:4" x14ac:dyDescent="0.35">
      <c r="A395" t="s">
        <v>425</v>
      </c>
      <c r="B395">
        <f>MIN(0.12*Earnings!C396,1800)</f>
        <v>1800</v>
      </c>
      <c r="C395">
        <f>IF([1]Earnings!G395&lt;=21000,0.0075*[1]Earnings!G395,0)</f>
        <v>0</v>
      </c>
      <c r="D395">
        <v>340</v>
      </c>
    </row>
    <row r="396" spans="1:4" x14ac:dyDescent="0.35">
      <c r="A396" t="s">
        <v>426</v>
      </c>
      <c r="B396">
        <f>MIN(0.12*Earnings!C397,1800)</f>
        <v>1800</v>
      </c>
      <c r="C396">
        <f>IF([1]Earnings!G396&lt;=21000,0.0075*[1]Earnings!G396,0)</f>
        <v>0</v>
      </c>
      <c r="D396">
        <v>340</v>
      </c>
    </row>
    <row r="397" spans="1:4" x14ac:dyDescent="0.35">
      <c r="A397" t="s">
        <v>427</v>
      </c>
      <c r="B397">
        <f>MIN(0.12*Earnings!C398,1800)</f>
        <v>1800</v>
      </c>
      <c r="C397">
        <f>IF([1]Earnings!G397&lt;=21000,0.0075*[1]Earnings!G397,0)</f>
        <v>0</v>
      </c>
      <c r="D397">
        <v>340</v>
      </c>
    </row>
    <row r="398" spans="1:4" x14ac:dyDescent="0.35">
      <c r="A398" t="s">
        <v>428</v>
      </c>
      <c r="B398">
        <f>MIN(0.12*Earnings!C399,1800)</f>
        <v>1800</v>
      </c>
      <c r="C398">
        <f>IF([1]Earnings!G398&lt;=21000,0.0075*[1]Earnings!G398,0)</f>
        <v>0</v>
      </c>
      <c r="D398">
        <v>280</v>
      </c>
    </row>
    <row r="399" spans="1:4" x14ac:dyDescent="0.35">
      <c r="A399" t="s">
        <v>429</v>
      </c>
      <c r="B399">
        <f>MIN(0.12*Earnings!C400,1800)</f>
        <v>1800</v>
      </c>
      <c r="C399">
        <f>IF([1]Earnings!G399&lt;=21000,0.0075*[1]Earnings!G399,0)</f>
        <v>0</v>
      </c>
      <c r="D399">
        <v>200</v>
      </c>
    </row>
    <row r="400" spans="1:4" x14ac:dyDescent="0.35">
      <c r="A400" t="s">
        <v>430</v>
      </c>
      <c r="B400">
        <f>MIN(0.12*Earnings!C401,1800)</f>
        <v>1800</v>
      </c>
      <c r="C400">
        <f>IF([1]Earnings!G400&lt;=21000,0.0075*[1]Earnings!G400,0)</f>
        <v>0</v>
      </c>
      <c r="D400">
        <v>200</v>
      </c>
    </row>
    <row r="401" spans="1:4" x14ac:dyDescent="0.35">
      <c r="A401" t="s">
        <v>431</v>
      </c>
      <c r="B401">
        <f>MIN(0.12*Earnings!C402,1800)</f>
        <v>1800</v>
      </c>
      <c r="C401">
        <f>IF([1]Earnings!G401&lt;=21000,0.0075*[1]Earnings!G401,0)</f>
        <v>0</v>
      </c>
      <c r="D401">
        <v>340</v>
      </c>
    </row>
    <row r="402" spans="1:4" x14ac:dyDescent="0.35">
      <c r="A402" t="s">
        <v>432</v>
      </c>
      <c r="B402">
        <f>MIN(0.12*Earnings!C403,1800)</f>
        <v>1800</v>
      </c>
      <c r="C402">
        <f>IF([1]Earnings!G402&lt;=21000,0.0075*[1]Earnings!G402,0)</f>
        <v>0</v>
      </c>
      <c r="D402">
        <v>200</v>
      </c>
    </row>
    <row r="403" spans="1:4" x14ac:dyDescent="0.35">
      <c r="A403" t="s">
        <v>433</v>
      </c>
      <c r="B403">
        <f>MIN(0.12*Earnings!C404,1800)</f>
        <v>1800</v>
      </c>
      <c r="C403">
        <f>IF([1]Earnings!G403&lt;=21000,0.0075*[1]Earnings!G403,0)</f>
        <v>0</v>
      </c>
      <c r="D403">
        <v>280</v>
      </c>
    </row>
    <row r="404" spans="1:4" x14ac:dyDescent="0.35">
      <c r="A404" t="s">
        <v>434</v>
      </c>
      <c r="B404">
        <f>MIN(0.12*Earnings!C405,1800)</f>
        <v>1800</v>
      </c>
      <c r="C404">
        <f>IF([1]Earnings!G404&lt;=21000,0.0075*[1]Earnings!G404,0)</f>
        <v>0</v>
      </c>
      <c r="D404">
        <v>200</v>
      </c>
    </row>
    <row r="405" spans="1:4" x14ac:dyDescent="0.35">
      <c r="A405" t="s">
        <v>435</v>
      </c>
      <c r="B405">
        <f>MIN(0.12*Earnings!C406,1800)</f>
        <v>1800</v>
      </c>
      <c r="C405">
        <f>IF([1]Earnings!G405&lt;=21000,0.0075*[1]Earnings!G405,0)</f>
        <v>0</v>
      </c>
      <c r="D405">
        <v>340</v>
      </c>
    </row>
    <row r="406" spans="1:4" x14ac:dyDescent="0.35">
      <c r="A406" t="s">
        <v>436</v>
      </c>
      <c r="B406">
        <f>MIN(0.12*Earnings!C407,1800)</f>
        <v>1800</v>
      </c>
      <c r="C406">
        <f>IF([1]Earnings!G406&lt;=21000,0.0075*[1]Earnings!G406,0)</f>
        <v>0</v>
      </c>
      <c r="D406">
        <v>200</v>
      </c>
    </row>
    <row r="407" spans="1:4" x14ac:dyDescent="0.35">
      <c r="A407" t="s">
        <v>437</v>
      </c>
      <c r="B407">
        <f>MIN(0.12*Earnings!C408,1800)</f>
        <v>1800</v>
      </c>
      <c r="C407">
        <f>IF([1]Earnings!G407&lt;=21000,0.0075*[1]Earnings!G407,0)</f>
        <v>0</v>
      </c>
      <c r="D407">
        <v>200</v>
      </c>
    </row>
    <row r="408" spans="1:4" x14ac:dyDescent="0.35">
      <c r="A408" t="s">
        <v>438</v>
      </c>
      <c r="B408">
        <f>MIN(0.12*Earnings!C409,1800)</f>
        <v>1800</v>
      </c>
      <c r="C408">
        <f>IF([1]Earnings!G408&lt;=21000,0.0075*[1]Earnings!G408,0)</f>
        <v>0</v>
      </c>
      <c r="D408">
        <v>280</v>
      </c>
    </row>
    <row r="409" spans="1:4" x14ac:dyDescent="0.35">
      <c r="A409" t="s">
        <v>439</v>
      </c>
      <c r="B409">
        <f>MIN(0.12*Earnings!C410,1800)</f>
        <v>1800</v>
      </c>
      <c r="C409">
        <f>IF([1]Earnings!G409&lt;=21000,0.0075*[1]Earnings!G409,0)</f>
        <v>0</v>
      </c>
      <c r="D409">
        <v>340</v>
      </c>
    </row>
    <row r="410" spans="1:4" x14ac:dyDescent="0.35">
      <c r="A410" t="s">
        <v>440</v>
      </c>
      <c r="B410">
        <f>MIN(0.12*Earnings!C411,1800)</f>
        <v>1800</v>
      </c>
      <c r="C410">
        <f>IF([1]Earnings!G410&lt;=21000,0.0075*[1]Earnings!G410,0)</f>
        <v>0</v>
      </c>
      <c r="D410">
        <v>200</v>
      </c>
    </row>
    <row r="411" spans="1:4" x14ac:dyDescent="0.35">
      <c r="A411" t="s">
        <v>441</v>
      </c>
      <c r="B411">
        <f>MIN(0.12*Earnings!C412,1800)</f>
        <v>1800</v>
      </c>
      <c r="C411">
        <f>IF([1]Earnings!G411&lt;=21000,0.0075*[1]Earnings!G411,0)</f>
        <v>0</v>
      </c>
      <c r="D411">
        <v>240</v>
      </c>
    </row>
    <row r="412" spans="1:4" x14ac:dyDescent="0.35">
      <c r="A412" t="s">
        <v>442</v>
      </c>
      <c r="B412">
        <f>MIN(0.12*Earnings!C413,1800)</f>
        <v>1800</v>
      </c>
      <c r="C412">
        <f>IF([1]Earnings!G412&lt;=21000,0.0075*[1]Earnings!G412,0)</f>
        <v>0</v>
      </c>
      <c r="D412">
        <v>280</v>
      </c>
    </row>
    <row r="413" spans="1:4" x14ac:dyDescent="0.35">
      <c r="A413" t="s">
        <v>443</v>
      </c>
      <c r="B413">
        <f>MIN(0.12*Earnings!C414,1800)</f>
        <v>1800</v>
      </c>
      <c r="C413">
        <f>IF([1]Earnings!G413&lt;=21000,0.0075*[1]Earnings!G413,0)</f>
        <v>0</v>
      </c>
      <c r="D413">
        <v>240</v>
      </c>
    </row>
    <row r="414" spans="1:4" x14ac:dyDescent="0.35">
      <c r="A414" t="s">
        <v>444</v>
      </c>
      <c r="B414">
        <f>MIN(0.12*Earnings!C415,1800)</f>
        <v>1800</v>
      </c>
      <c r="C414">
        <f>IF([1]Earnings!G414&lt;=21000,0.0075*[1]Earnings!G414,0)</f>
        <v>0</v>
      </c>
      <c r="D414">
        <v>340</v>
      </c>
    </row>
    <row r="415" spans="1:4" x14ac:dyDescent="0.35">
      <c r="A415" t="s">
        <v>445</v>
      </c>
      <c r="B415">
        <f>MIN(0.12*Earnings!C416,1800)</f>
        <v>1800</v>
      </c>
      <c r="C415">
        <f>IF([1]Earnings!G415&lt;=21000,0.0075*[1]Earnings!G415,0)</f>
        <v>0</v>
      </c>
      <c r="D415">
        <v>240</v>
      </c>
    </row>
    <row r="416" spans="1:4" x14ac:dyDescent="0.35">
      <c r="A416" t="s">
        <v>446</v>
      </c>
      <c r="B416">
        <f>MIN(0.12*Earnings!C417,1800)</f>
        <v>1800</v>
      </c>
      <c r="C416">
        <f>IF([1]Earnings!G416&lt;=21000,0.0075*[1]Earnings!G416,0)</f>
        <v>0</v>
      </c>
      <c r="D416">
        <v>280</v>
      </c>
    </row>
    <row r="417" spans="1:4" x14ac:dyDescent="0.35">
      <c r="A417" t="s">
        <v>447</v>
      </c>
      <c r="B417">
        <f>MIN(0.12*Earnings!C418,1800)</f>
        <v>1800</v>
      </c>
      <c r="C417">
        <f>IF([1]Earnings!G417&lt;=21000,0.0075*[1]Earnings!G417,0)</f>
        <v>0</v>
      </c>
      <c r="D417">
        <v>240</v>
      </c>
    </row>
    <row r="418" spans="1:4" x14ac:dyDescent="0.35">
      <c r="A418" t="s">
        <v>448</v>
      </c>
      <c r="B418">
        <f>MIN(0.12*Earnings!C419,1800)</f>
        <v>1800</v>
      </c>
      <c r="C418">
        <f>IF([1]Earnings!G418&lt;=21000,0.0075*[1]Earnings!G418,0)</f>
        <v>0</v>
      </c>
      <c r="D418">
        <v>340</v>
      </c>
    </row>
    <row r="419" spans="1:4" x14ac:dyDescent="0.35">
      <c r="A419" t="s">
        <v>449</v>
      </c>
      <c r="B419">
        <f>MIN(0.12*Earnings!C420,1800)</f>
        <v>1800</v>
      </c>
      <c r="C419">
        <f>IF([1]Earnings!G419&lt;=21000,0.0075*[1]Earnings!G419,0)</f>
        <v>0</v>
      </c>
      <c r="D419">
        <v>280</v>
      </c>
    </row>
    <row r="420" spans="1:4" x14ac:dyDescent="0.35">
      <c r="A420" t="s">
        <v>450</v>
      </c>
      <c r="B420">
        <f>MIN(0.12*Earnings!C421,1800)</f>
        <v>1800</v>
      </c>
      <c r="C420">
        <f>IF([1]Earnings!G420&lt;=21000,0.0075*[1]Earnings!G420,0)</f>
        <v>0</v>
      </c>
      <c r="D420">
        <v>280</v>
      </c>
    </row>
    <row r="421" spans="1:4" x14ac:dyDescent="0.35">
      <c r="A421" t="s">
        <v>451</v>
      </c>
      <c r="B421">
        <f>MIN(0.12*Earnings!C422,1800)</f>
        <v>1800</v>
      </c>
      <c r="C421">
        <f>IF([1]Earnings!G421&lt;=21000,0.0075*[1]Earnings!G421,0)</f>
        <v>0</v>
      </c>
      <c r="D421">
        <v>280</v>
      </c>
    </row>
    <row r="422" spans="1:4" x14ac:dyDescent="0.35">
      <c r="A422" t="s">
        <v>452</v>
      </c>
      <c r="B422">
        <f>MIN(0.12*Earnings!C423,1800)</f>
        <v>1800</v>
      </c>
      <c r="C422">
        <f>IF([1]Earnings!G422&lt;=21000,0.0075*[1]Earnings!G422,0)</f>
        <v>0</v>
      </c>
      <c r="D422">
        <v>200</v>
      </c>
    </row>
    <row r="423" spans="1:4" x14ac:dyDescent="0.35">
      <c r="A423" t="s">
        <v>453</v>
      </c>
      <c r="B423">
        <f>MIN(0.12*Earnings!C424,1800)</f>
        <v>1800</v>
      </c>
      <c r="C423">
        <f>IF([1]Earnings!G423&lt;=21000,0.0075*[1]Earnings!G423,0)</f>
        <v>0</v>
      </c>
      <c r="D423">
        <v>200</v>
      </c>
    </row>
    <row r="424" spans="1:4" x14ac:dyDescent="0.35">
      <c r="A424" t="s">
        <v>454</v>
      </c>
      <c r="B424">
        <f>MIN(0.12*Earnings!C425,1800)</f>
        <v>1800</v>
      </c>
      <c r="C424">
        <f>IF([1]Earnings!G424&lt;=21000,0.0075*[1]Earnings!G424,0)</f>
        <v>0</v>
      </c>
      <c r="D424">
        <v>240</v>
      </c>
    </row>
    <row r="425" spans="1:4" x14ac:dyDescent="0.35">
      <c r="A425" t="s">
        <v>455</v>
      </c>
      <c r="B425">
        <f>MIN(0.12*Earnings!C426,1800)</f>
        <v>1800</v>
      </c>
      <c r="C425">
        <f>IF([1]Earnings!G425&lt;=21000,0.0075*[1]Earnings!G425,0)</f>
        <v>0</v>
      </c>
      <c r="D425">
        <v>240</v>
      </c>
    </row>
    <row r="426" spans="1:4" x14ac:dyDescent="0.35">
      <c r="A426" t="s">
        <v>456</v>
      </c>
      <c r="B426">
        <f>MIN(0.12*Earnings!C427,1800)</f>
        <v>1800</v>
      </c>
      <c r="C426">
        <f>IF([1]Earnings!G426&lt;=21000,0.0075*[1]Earnings!G426,0)</f>
        <v>0</v>
      </c>
      <c r="D426">
        <v>340</v>
      </c>
    </row>
    <row r="427" spans="1:4" x14ac:dyDescent="0.35">
      <c r="A427" t="s">
        <v>457</v>
      </c>
      <c r="B427">
        <f>MIN(0.12*Earnings!C428,1800)</f>
        <v>1800</v>
      </c>
      <c r="C427">
        <f>IF([1]Earnings!G427&lt;=21000,0.0075*[1]Earnings!G427,0)</f>
        <v>0</v>
      </c>
      <c r="D427">
        <v>200</v>
      </c>
    </row>
    <row r="428" spans="1:4" x14ac:dyDescent="0.35">
      <c r="A428" t="s">
        <v>458</v>
      </c>
      <c r="B428">
        <f>MIN(0.12*Earnings!C429,1800)</f>
        <v>1800</v>
      </c>
      <c r="C428">
        <f>IF([1]Earnings!G428&lt;=21000,0.0075*[1]Earnings!G428,0)</f>
        <v>0</v>
      </c>
      <c r="D428">
        <v>240</v>
      </c>
    </row>
    <row r="429" spans="1:4" x14ac:dyDescent="0.35">
      <c r="A429" t="s">
        <v>459</v>
      </c>
      <c r="B429">
        <f>MIN(0.12*Earnings!C430,1800)</f>
        <v>1800</v>
      </c>
      <c r="C429">
        <f>IF([1]Earnings!G429&lt;=21000,0.0075*[1]Earnings!G429,0)</f>
        <v>0</v>
      </c>
      <c r="D429">
        <v>340</v>
      </c>
    </row>
    <row r="430" spans="1:4" x14ac:dyDescent="0.35">
      <c r="A430" t="s">
        <v>460</v>
      </c>
      <c r="B430">
        <f>MIN(0.12*Earnings!C431,1800)</f>
        <v>1800</v>
      </c>
      <c r="C430">
        <f>IF([1]Earnings!G430&lt;=21000,0.0075*[1]Earnings!G430,0)</f>
        <v>0</v>
      </c>
      <c r="D430">
        <v>340</v>
      </c>
    </row>
    <row r="431" spans="1:4" x14ac:dyDescent="0.35">
      <c r="A431" t="s">
        <v>461</v>
      </c>
      <c r="B431">
        <f>MIN(0.12*Earnings!C432,1800)</f>
        <v>1800</v>
      </c>
      <c r="C431">
        <f>IF([1]Earnings!G431&lt;=21000,0.0075*[1]Earnings!G431,0)</f>
        <v>0</v>
      </c>
      <c r="D431">
        <v>340</v>
      </c>
    </row>
    <row r="432" spans="1:4" x14ac:dyDescent="0.35">
      <c r="A432" t="s">
        <v>462</v>
      </c>
      <c r="B432">
        <f>MIN(0.12*Earnings!C433,1800)</f>
        <v>1800</v>
      </c>
      <c r="C432">
        <f>IF([1]Earnings!G432&lt;=21000,0.0075*[1]Earnings!G432,0)</f>
        <v>0</v>
      </c>
      <c r="D432">
        <v>240</v>
      </c>
    </row>
    <row r="433" spans="1:4" x14ac:dyDescent="0.35">
      <c r="A433" t="s">
        <v>463</v>
      </c>
      <c r="B433">
        <f>MIN(0.12*Earnings!C434,1800)</f>
        <v>1800</v>
      </c>
      <c r="C433">
        <f>IF([1]Earnings!G433&lt;=21000,0.0075*[1]Earnings!G433,0)</f>
        <v>0</v>
      </c>
      <c r="D433">
        <v>240</v>
      </c>
    </row>
    <row r="434" spans="1:4" x14ac:dyDescent="0.35">
      <c r="A434" t="s">
        <v>464</v>
      </c>
      <c r="B434">
        <f>MIN(0.12*Earnings!C435,1800)</f>
        <v>1800</v>
      </c>
      <c r="C434">
        <f>IF([1]Earnings!G434&lt;=21000,0.0075*[1]Earnings!G434,0)</f>
        <v>0</v>
      </c>
      <c r="D434">
        <v>240</v>
      </c>
    </row>
    <row r="435" spans="1:4" x14ac:dyDescent="0.35">
      <c r="A435" t="s">
        <v>465</v>
      </c>
      <c r="B435">
        <f>MIN(0.12*Earnings!C436,1800)</f>
        <v>1800</v>
      </c>
      <c r="C435">
        <f>IF([1]Earnings!G435&lt;=21000,0.0075*[1]Earnings!G435,0)</f>
        <v>0</v>
      </c>
      <c r="D435">
        <v>200</v>
      </c>
    </row>
    <row r="436" spans="1:4" x14ac:dyDescent="0.35">
      <c r="A436" t="s">
        <v>466</v>
      </c>
      <c r="B436">
        <f>MIN(0.12*Earnings!C437,1800)</f>
        <v>1800</v>
      </c>
      <c r="C436">
        <f>IF([1]Earnings!G436&lt;=21000,0.0075*[1]Earnings!G436,0)</f>
        <v>0</v>
      </c>
      <c r="D436">
        <v>240</v>
      </c>
    </row>
    <row r="437" spans="1:4" x14ac:dyDescent="0.35">
      <c r="A437" t="s">
        <v>467</v>
      </c>
      <c r="B437">
        <f>MIN(0.12*Earnings!C438,1800)</f>
        <v>1800</v>
      </c>
      <c r="C437">
        <f>IF([1]Earnings!G437&lt;=21000,0.0075*[1]Earnings!G437,0)</f>
        <v>0</v>
      </c>
      <c r="D437">
        <v>280</v>
      </c>
    </row>
    <row r="438" spans="1:4" x14ac:dyDescent="0.35">
      <c r="A438" t="s">
        <v>468</v>
      </c>
      <c r="B438">
        <f>MIN(0.12*Earnings!C439,1800)</f>
        <v>1800</v>
      </c>
      <c r="C438">
        <f>IF([1]Earnings!G438&lt;=21000,0.0075*[1]Earnings!G438,0)</f>
        <v>0</v>
      </c>
      <c r="D438">
        <v>200</v>
      </c>
    </row>
    <row r="439" spans="1:4" x14ac:dyDescent="0.35">
      <c r="A439" t="s">
        <v>469</v>
      </c>
      <c r="B439">
        <f>MIN(0.12*Earnings!C440,1800)</f>
        <v>1800</v>
      </c>
      <c r="C439">
        <f>IF([1]Earnings!G439&lt;=21000,0.0075*[1]Earnings!G439,0)</f>
        <v>0</v>
      </c>
      <c r="D439">
        <v>340</v>
      </c>
    </row>
    <row r="440" spans="1:4" x14ac:dyDescent="0.35">
      <c r="A440" t="s">
        <v>470</v>
      </c>
      <c r="B440">
        <f>MIN(0.12*Earnings!C441,1800)</f>
        <v>1800</v>
      </c>
      <c r="C440">
        <f>IF([1]Earnings!G440&lt;=21000,0.0075*[1]Earnings!G440,0)</f>
        <v>0</v>
      </c>
      <c r="D440">
        <v>340</v>
      </c>
    </row>
    <row r="441" spans="1:4" x14ac:dyDescent="0.35">
      <c r="A441" t="s">
        <v>471</v>
      </c>
      <c r="B441">
        <f>MIN(0.12*Earnings!C442,1800)</f>
        <v>1800</v>
      </c>
      <c r="C441">
        <f>IF([1]Earnings!G441&lt;=21000,0.0075*[1]Earnings!G441,0)</f>
        <v>0</v>
      </c>
      <c r="D441">
        <v>240</v>
      </c>
    </row>
    <row r="442" spans="1:4" x14ac:dyDescent="0.35">
      <c r="A442" t="s">
        <v>472</v>
      </c>
      <c r="B442">
        <f>MIN(0.12*Earnings!C443,1800)</f>
        <v>1800</v>
      </c>
      <c r="C442">
        <f>IF([1]Earnings!G442&lt;=21000,0.0075*[1]Earnings!G442,0)</f>
        <v>0</v>
      </c>
      <c r="D442">
        <v>240</v>
      </c>
    </row>
    <row r="443" spans="1:4" x14ac:dyDescent="0.35">
      <c r="A443" t="s">
        <v>473</v>
      </c>
      <c r="B443">
        <f>MIN(0.12*Earnings!C444,1800)</f>
        <v>1800</v>
      </c>
      <c r="C443">
        <f>IF([1]Earnings!G443&lt;=21000,0.0075*[1]Earnings!G443,0)</f>
        <v>0</v>
      </c>
      <c r="D443">
        <v>200</v>
      </c>
    </row>
    <row r="444" spans="1:4" x14ac:dyDescent="0.35">
      <c r="A444" t="s">
        <v>474</v>
      </c>
      <c r="B444">
        <f>MIN(0.12*Earnings!C445,1800)</f>
        <v>1800</v>
      </c>
      <c r="C444">
        <f>IF([1]Earnings!G444&lt;=21000,0.0075*[1]Earnings!G444,0)</f>
        <v>0</v>
      </c>
      <c r="D444">
        <v>280</v>
      </c>
    </row>
    <row r="445" spans="1:4" x14ac:dyDescent="0.35">
      <c r="A445" t="s">
        <v>475</v>
      </c>
      <c r="B445">
        <f>MIN(0.12*Earnings!C446,1800)</f>
        <v>1800</v>
      </c>
      <c r="C445">
        <f>IF([1]Earnings!G445&lt;=21000,0.0075*[1]Earnings!G445,0)</f>
        <v>0</v>
      </c>
      <c r="D445">
        <v>340</v>
      </c>
    </row>
    <row r="446" spans="1:4" x14ac:dyDescent="0.35">
      <c r="A446" t="s">
        <v>476</v>
      </c>
      <c r="B446">
        <f>MIN(0.12*Earnings!C447,1800)</f>
        <v>1800</v>
      </c>
      <c r="C446">
        <f>IF([1]Earnings!G446&lt;=21000,0.0075*[1]Earnings!G446,0)</f>
        <v>0</v>
      </c>
      <c r="D446">
        <v>280</v>
      </c>
    </row>
    <row r="447" spans="1:4" x14ac:dyDescent="0.35">
      <c r="A447" t="s">
        <v>477</v>
      </c>
      <c r="B447">
        <f>MIN(0.12*Earnings!C448,1800)</f>
        <v>1800</v>
      </c>
      <c r="C447">
        <f>IF([1]Earnings!G447&lt;=21000,0.0075*[1]Earnings!G447,0)</f>
        <v>0</v>
      </c>
      <c r="D447">
        <v>280</v>
      </c>
    </row>
    <row r="448" spans="1:4" x14ac:dyDescent="0.35">
      <c r="A448" t="s">
        <v>478</v>
      </c>
      <c r="B448">
        <f>MIN(0.12*Earnings!C449,1800)</f>
        <v>1800</v>
      </c>
      <c r="C448">
        <f>IF([1]Earnings!G448&lt;=21000,0.0075*[1]Earnings!G448,0)</f>
        <v>0</v>
      </c>
      <c r="D448">
        <v>280</v>
      </c>
    </row>
    <row r="449" spans="1:4" x14ac:dyDescent="0.35">
      <c r="A449" t="s">
        <v>479</v>
      </c>
      <c r="B449">
        <f>MIN(0.12*Earnings!C450,1800)</f>
        <v>1800</v>
      </c>
      <c r="C449">
        <f>IF([1]Earnings!G449&lt;=21000,0.0075*[1]Earnings!G449,0)</f>
        <v>0</v>
      </c>
      <c r="D449">
        <v>340</v>
      </c>
    </row>
    <row r="450" spans="1:4" x14ac:dyDescent="0.35">
      <c r="A450" t="s">
        <v>480</v>
      </c>
      <c r="B450">
        <f>MIN(0.12*Earnings!C451,1800)</f>
        <v>1800</v>
      </c>
      <c r="C450">
        <f>IF([1]Earnings!G450&lt;=21000,0.0075*[1]Earnings!G450,0)</f>
        <v>0</v>
      </c>
      <c r="D450">
        <v>340</v>
      </c>
    </row>
    <row r="451" spans="1:4" x14ac:dyDescent="0.35">
      <c r="A451" t="s">
        <v>481</v>
      </c>
      <c r="B451">
        <f>MIN(0.12*Earnings!C452,1800)</f>
        <v>1800</v>
      </c>
      <c r="C451">
        <f>IF([1]Earnings!G451&lt;=21000,0.0075*[1]Earnings!G451,0)</f>
        <v>0</v>
      </c>
      <c r="D451">
        <v>200</v>
      </c>
    </row>
    <row r="452" spans="1:4" x14ac:dyDescent="0.35">
      <c r="A452" t="s">
        <v>482</v>
      </c>
      <c r="B452">
        <f>MIN(0.12*Earnings!C453,1800)</f>
        <v>1800</v>
      </c>
      <c r="C452">
        <f>IF([1]Earnings!G452&lt;=21000,0.0075*[1]Earnings!G452,0)</f>
        <v>0</v>
      </c>
      <c r="D452">
        <v>240</v>
      </c>
    </row>
    <row r="453" spans="1:4" x14ac:dyDescent="0.35">
      <c r="A453" t="s">
        <v>483</v>
      </c>
      <c r="B453">
        <f>MIN(0.12*Earnings!C454,1800)</f>
        <v>1800</v>
      </c>
      <c r="C453">
        <f>IF([1]Earnings!G453&lt;=21000,0.0075*[1]Earnings!G453,0)</f>
        <v>0</v>
      </c>
      <c r="D453">
        <v>200</v>
      </c>
    </row>
    <row r="454" spans="1:4" x14ac:dyDescent="0.35">
      <c r="A454" t="s">
        <v>484</v>
      </c>
      <c r="B454">
        <f>MIN(0.12*Earnings!C455,1800)</f>
        <v>1800</v>
      </c>
      <c r="C454">
        <f>IF([1]Earnings!G454&lt;=21000,0.0075*[1]Earnings!G454,0)</f>
        <v>0</v>
      </c>
      <c r="D454">
        <v>200</v>
      </c>
    </row>
    <row r="455" spans="1:4" x14ac:dyDescent="0.35">
      <c r="A455" t="s">
        <v>485</v>
      </c>
      <c r="B455">
        <f>MIN(0.12*Earnings!C456,1800)</f>
        <v>1800</v>
      </c>
      <c r="C455">
        <f>IF([1]Earnings!G455&lt;=21000,0.0075*[1]Earnings!G455,0)</f>
        <v>0</v>
      </c>
      <c r="D455">
        <v>200</v>
      </c>
    </row>
    <row r="456" spans="1:4" x14ac:dyDescent="0.35">
      <c r="A456" t="s">
        <v>486</v>
      </c>
      <c r="B456">
        <f>MIN(0.12*Earnings!C457,1800)</f>
        <v>1800</v>
      </c>
      <c r="C456">
        <f>IF([1]Earnings!G456&lt;=21000,0.0075*[1]Earnings!G456,0)</f>
        <v>0</v>
      </c>
      <c r="D456">
        <v>340</v>
      </c>
    </row>
    <row r="457" spans="1:4" x14ac:dyDescent="0.35">
      <c r="A457" t="s">
        <v>487</v>
      </c>
      <c r="B457">
        <f>MIN(0.12*Earnings!C458,1800)</f>
        <v>1800</v>
      </c>
      <c r="C457">
        <f>IF([1]Earnings!G457&lt;=21000,0.0075*[1]Earnings!G457,0)</f>
        <v>0</v>
      </c>
      <c r="D457">
        <v>200</v>
      </c>
    </row>
    <row r="458" spans="1:4" x14ac:dyDescent="0.35">
      <c r="A458" t="s">
        <v>488</v>
      </c>
      <c r="B458">
        <f>MIN(0.12*Earnings!C459,1800)</f>
        <v>1800</v>
      </c>
      <c r="C458">
        <f>IF([1]Earnings!G458&lt;=21000,0.0075*[1]Earnings!G458,0)</f>
        <v>0</v>
      </c>
      <c r="D458">
        <v>240</v>
      </c>
    </row>
    <row r="459" spans="1:4" x14ac:dyDescent="0.35">
      <c r="A459" t="s">
        <v>489</v>
      </c>
      <c r="B459">
        <f>MIN(0.12*Earnings!C460,1800)</f>
        <v>1800</v>
      </c>
      <c r="C459">
        <f>IF([1]Earnings!G459&lt;=21000,0.0075*[1]Earnings!G459,0)</f>
        <v>0</v>
      </c>
      <c r="D459">
        <v>280</v>
      </c>
    </row>
    <row r="460" spans="1:4" x14ac:dyDescent="0.35">
      <c r="A460" t="s">
        <v>490</v>
      </c>
      <c r="B460">
        <f>MIN(0.12*Earnings!C461,1800)</f>
        <v>1800</v>
      </c>
      <c r="C460">
        <f>IF([1]Earnings!G460&lt;=21000,0.0075*[1]Earnings!G460,0)</f>
        <v>0</v>
      </c>
      <c r="D460">
        <v>200</v>
      </c>
    </row>
    <row r="461" spans="1:4" x14ac:dyDescent="0.35">
      <c r="A461" t="s">
        <v>491</v>
      </c>
      <c r="B461">
        <f>MIN(0.12*Earnings!C462,1800)</f>
        <v>1800</v>
      </c>
      <c r="C461">
        <f>IF([1]Earnings!G461&lt;=21000,0.0075*[1]Earnings!G461,0)</f>
        <v>0</v>
      </c>
      <c r="D461">
        <v>340</v>
      </c>
    </row>
    <row r="462" spans="1:4" x14ac:dyDescent="0.35">
      <c r="A462" t="s">
        <v>492</v>
      </c>
      <c r="B462">
        <f>MIN(0.12*Earnings!C463,1800)</f>
        <v>1800</v>
      </c>
      <c r="C462">
        <f>IF([1]Earnings!G462&lt;=21000,0.0075*[1]Earnings!G462,0)</f>
        <v>0</v>
      </c>
      <c r="D462">
        <v>280</v>
      </c>
    </row>
    <row r="463" spans="1:4" x14ac:dyDescent="0.35">
      <c r="A463" t="s">
        <v>493</v>
      </c>
      <c r="B463">
        <f>MIN(0.12*Earnings!C464,1800)</f>
        <v>1800</v>
      </c>
      <c r="C463">
        <f>IF([1]Earnings!G463&lt;=21000,0.0075*[1]Earnings!G463,0)</f>
        <v>0</v>
      </c>
      <c r="D463">
        <v>240</v>
      </c>
    </row>
    <row r="464" spans="1:4" x14ac:dyDescent="0.35">
      <c r="A464" t="s">
        <v>494</v>
      </c>
      <c r="B464">
        <f>MIN(0.12*Earnings!C465,1800)</f>
        <v>1800</v>
      </c>
      <c r="C464">
        <f>IF([1]Earnings!G464&lt;=21000,0.0075*[1]Earnings!G464,0)</f>
        <v>0</v>
      </c>
      <c r="D464">
        <v>240</v>
      </c>
    </row>
    <row r="465" spans="1:4" x14ac:dyDescent="0.35">
      <c r="A465" t="s">
        <v>495</v>
      </c>
      <c r="B465">
        <f>MIN(0.12*Earnings!C466,1800)</f>
        <v>1800</v>
      </c>
      <c r="C465">
        <f>IF([1]Earnings!G465&lt;=21000,0.0075*[1]Earnings!G465,0)</f>
        <v>0</v>
      </c>
      <c r="D465">
        <v>340</v>
      </c>
    </row>
    <row r="466" spans="1:4" x14ac:dyDescent="0.35">
      <c r="A466" t="s">
        <v>496</v>
      </c>
      <c r="B466">
        <f>MIN(0.12*Earnings!C467,1800)</f>
        <v>1800</v>
      </c>
      <c r="C466">
        <f>IF([1]Earnings!G466&lt;=21000,0.0075*[1]Earnings!G466,0)</f>
        <v>0</v>
      </c>
      <c r="D466">
        <v>240</v>
      </c>
    </row>
    <row r="467" spans="1:4" x14ac:dyDescent="0.35">
      <c r="A467" t="s">
        <v>497</v>
      </c>
      <c r="B467">
        <f>MIN(0.12*Earnings!C468,1800)</f>
        <v>1800</v>
      </c>
      <c r="C467">
        <f>IF([1]Earnings!G467&lt;=21000,0.0075*[1]Earnings!G467,0)</f>
        <v>0</v>
      </c>
      <c r="D467">
        <v>200</v>
      </c>
    </row>
    <row r="468" spans="1:4" x14ac:dyDescent="0.35">
      <c r="A468" t="s">
        <v>498</v>
      </c>
      <c r="B468">
        <f>MIN(0.12*Earnings!C469,1800)</f>
        <v>1800</v>
      </c>
      <c r="C468">
        <f>IF([1]Earnings!G468&lt;=21000,0.0075*[1]Earnings!G468,0)</f>
        <v>0</v>
      </c>
      <c r="D468">
        <v>340</v>
      </c>
    </row>
    <row r="469" spans="1:4" x14ac:dyDescent="0.35">
      <c r="A469" t="s">
        <v>499</v>
      </c>
      <c r="B469">
        <f>MIN(0.12*Earnings!C470,1800)</f>
        <v>1800</v>
      </c>
      <c r="C469">
        <f>IF([1]Earnings!G469&lt;=21000,0.0075*[1]Earnings!G469,0)</f>
        <v>0</v>
      </c>
      <c r="D469">
        <v>340</v>
      </c>
    </row>
    <row r="470" spans="1:4" x14ac:dyDescent="0.35">
      <c r="A470" t="s">
        <v>500</v>
      </c>
      <c r="B470">
        <f>MIN(0.12*Earnings!C471,1800)</f>
        <v>1800</v>
      </c>
      <c r="C470">
        <f>IF([1]Earnings!G470&lt;=21000,0.0075*[1]Earnings!G470,0)</f>
        <v>0</v>
      </c>
      <c r="D470">
        <v>240</v>
      </c>
    </row>
    <row r="471" spans="1:4" x14ac:dyDescent="0.35">
      <c r="A471" t="s">
        <v>501</v>
      </c>
      <c r="B471">
        <f>MIN(0.12*Earnings!C472,1800)</f>
        <v>1800</v>
      </c>
      <c r="C471">
        <f>IF([1]Earnings!G471&lt;=21000,0.0075*[1]Earnings!G471,0)</f>
        <v>0</v>
      </c>
      <c r="D471">
        <v>340</v>
      </c>
    </row>
    <row r="472" spans="1:4" x14ac:dyDescent="0.35">
      <c r="A472" t="s">
        <v>502</v>
      </c>
      <c r="B472">
        <f>MIN(0.12*Earnings!C473,1800)</f>
        <v>1800</v>
      </c>
      <c r="C472">
        <f>IF([1]Earnings!G472&lt;=21000,0.0075*[1]Earnings!G472,0)</f>
        <v>0</v>
      </c>
      <c r="D472">
        <v>200</v>
      </c>
    </row>
    <row r="473" spans="1:4" x14ac:dyDescent="0.35">
      <c r="A473" t="s">
        <v>503</v>
      </c>
      <c r="B473">
        <f>MIN(0.12*Earnings!C474,1800)</f>
        <v>1800</v>
      </c>
      <c r="C473">
        <f>IF([1]Earnings!G473&lt;=21000,0.0075*[1]Earnings!G473,0)</f>
        <v>0</v>
      </c>
      <c r="D473">
        <v>340</v>
      </c>
    </row>
    <row r="474" spans="1:4" x14ac:dyDescent="0.35">
      <c r="A474" t="s">
        <v>504</v>
      </c>
      <c r="B474">
        <f>MIN(0.12*Earnings!C475,1800)</f>
        <v>1800</v>
      </c>
      <c r="C474">
        <f>IF([1]Earnings!G474&lt;=21000,0.0075*[1]Earnings!G474,0)</f>
        <v>0</v>
      </c>
      <c r="D474">
        <v>200</v>
      </c>
    </row>
    <row r="475" spans="1:4" x14ac:dyDescent="0.35">
      <c r="A475" t="s">
        <v>505</v>
      </c>
      <c r="B475">
        <f>MIN(0.12*Earnings!C476,1800)</f>
        <v>1800</v>
      </c>
      <c r="C475">
        <f>IF([1]Earnings!G475&lt;=21000,0.0075*[1]Earnings!G475,0)</f>
        <v>0</v>
      </c>
      <c r="D475">
        <v>200</v>
      </c>
    </row>
    <row r="476" spans="1:4" x14ac:dyDescent="0.35">
      <c r="A476" t="s">
        <v>506</v>
      </c>
      <c r="B476">
        <f>MIN(0.12*Earnings!C477,1800)</f>
        <v>1800</v>
      </c>
      <c r="C476">
        <f>IF([1]Earnings!G476&lt;=21000,0.0075*[1]Earnings!G476,0)</f>
        <v>0</v>
      </c>
      <c r="D476">
        <v>280</v>
      </c>
    </row>
    <row r="477" spans="1:4" x14ac:dyDescent="0.35">
      <c r="A477" t="s">
        <v>507</v>
      </c>
      <c r="B477">
        <f>MIN(0.12*Earnings!C478,1800)</f>
        <v>1800</v>
      </c>
      <c r="C477">
        <f>IF([1]Earnings!G477&lt;=21000,0.0075*[1]Earnings!G477,0)</f>
        <v>0</v>
      </c>
      <c r="D477">
        <v>240</v>
      </c>
    </row>
    <row r="478" spans="1:4" x14ac:dyDescent="0.35">
      <c r="A478" t="s">
        <v>508</v>
      </c>
      <c r="B478">
        <f>MIN(0.12*Earnings!C479,1800)</f>
        <v>1800</v>
      </c>
      <c r="C478">
        <f>IF([1]Earnings!G478&lt;=21000,0.0075*[1]Earnings!G478,0)</f>
        <v>0</v>
      </c>
      <c r="D478">
        <v>280</v>
      </c>
    </row>
    <row r="479" spans="1:4" x14ac:dyDescent="0.35">
      <c r="A479" t="s">
        <v>509</v>
      </c>
      <c r="B479">
        <f>MIN(0.12*Earnings!C480,1800)</f>
        <v>1800</v>
      </c>
      <c r="C479">
        <f>IF([1]Earnings!G479&lt;=21000,0.0075*[1]Earnings!G479,0)</f>
        <v>0</v>
      </c>
      <c r="D479">
        <v>340</v>
      </c>
    </row>
    <row r="480" spans="1:4" x14ac:dyDescent="0.35">
      <c r="A480" t="s">
        <v>510</v>
      </c>
      <c r="B480">
        <f>MIN(0.12*Earnings!C481,1800)</f>
        <v>1800</v>
      </c>
      <c r="C480">
        <f>IF([1]Earnings!G480&lt;=21000,0.0075*[1]Earnings!G480,0)</f>
        <v>0</v>
      </c>
      <c r="D480">
        <v>340</v>
      </c>
    </row>
    <row r="481" spans="1:4" x14ac:dyDescent="0.35">
      <c r="A481" t="s">
        <v>511</v>
      </c>
      <c r="B481">
        <f>MIN(0.12*Earnings!C482,1800)</f>
        <v>1800</v>
      </c>
      <c r="C481">
        <f>IF([1]Earnings!G481&lt;=21000,0.0075*[1]Earnings!G481,0)</f>
        <v>0</v>
      </c>
      <c r="D481">
        <v>340</v>
      </c>
    </row>
    <row r="482" spans="1:4" x14ac:dyDescent="0.35">
      <c r="A482" t="s">
        <v>512</v>
      </c>
      <c r="B482">
        <f>MIN(0.12*Earnings!C483,1800)</f>
        <v>1800</v>
      </c>
      <c r="C482">
        <f>IF([1]Earnings!G482&lt;=21000,0.0075*[1]Earnings!G482,0)</f>
        <v>0</v>
      </c>
      <c r="D482">
        <v>240</v>
      </c>
    </row>
    <row r="483" spans="1:4" x14ac:dyDescent="0.35">
      <c r="A483" t="s">
        <v>513</v>
      </c>
      <c r="B483">
        <f>MIN(0.12*Earnings!C484,1800)</f>
        <v>1800</v>
      </c>
      <c r="C483">
        <f>IF([1]Earnings!G483&lt;=21000,0.0075*[1]Earnings!G483,0)</f>
        <v>0</v>
      </c>
      <c r="D483">
        <v>240</v>
      </c>
    </row>
    <row r="484" spans="1:4" x14ac:dyDescent="0.35">
      <c r="A484" t="s">
        <v>514</v>
      </c>
      <c r="B484">
        <f>MIN(0.12*Earnings!C485,1800)</f>
        <v>1800</v>
      </c>
      <c r="C484">
        <f>IF([1]Earnings!G484&lt;=21000,0.0075*[1]Earnings!G484,0)</f>
        <v>0</v>
      </c>
      <c r="D484">
        <v>240</v>
      </c>
    </row>
    <row r="485" spans="1:4" x14ac:dyDescent="0.35">
      <c r="A485" t="s">
        <v>515</v>
      </c>
      <c r="B485">
        <f>MIN(0.12*Earnings!C486,1800)</f>
        <v>1800</v>
      </c>
      <c r="C485">
        <f>IF([1]Earnings!G485&lt;=21000,0.0075*[1]Earnings!G485,0)</f>
        <v>0</v>
      </c>
      <c r="D485">
        <v>240</v>
      </c>
    </row>
    <row r="486" spans="1:4" x14ac:dyDescent="0.35">
      <c r="A486" t="s">
        <v>516</v>
      </c>
      <c r="B486">
        <f>MIN(0.12*Earnings!C487,1800)</f>
        <v>1800</v>
      </c>
      <c r="C486">
        <f>IF([1]Earnings!G486&lt;=21000,0.0075*[1]Earnings!G486,0)</f>
        <v>0</v>
      </c>
      <c r="D486">
        <v>340</v>
      </c>
    </row>
    <row r="487" spans="1:4" x14ac:dyDescent="0.35">
      <c r="A487" t="s">
        <v>517</v>
      </c>
      <c r="B487">
        <f>MIN(0.12*Earnings!C488,1800)</f>
        <v>1800</v>
      </c>
      <c r="C487">
        <f>IF([1]Earnings!G487&lt;=21000,0.0075*[1]Earnings!G487,0)</f>
        <v>0</v>
      </c>
      <c r="D487">
        <v>280</v>
      </c>
    </row>
    <row r="488" spans="1:4" x14ac:dyDescent="0.35">
      <c r="A488" t="s">
        <v>518</v>
      </c>
      <c r="B488">
        <f>MIN(0.12*Earnings!C489,1800)</f>
        <v>1800</v>
      </c>
      <c r="C488">
        <f>IF([1]Earnings!G488&lt;=21000,0.0075*[1]Earnings!G488,0)</f>
        <v>0</v>
      </c>
      <c r="D488">
        <v>280</v>
      </c>
    </row>
    <row r="489" spans="1:4" x14ac:dyDescent="0.35">
      <c r="A489" t="s">
        <v>519</v>
      </c>
      <c r="B489">
        <f>MIN(0.12*Earnings!C490,1800)</f>
        <v>1800</v>
      </c>
      <c r="C489">
        <f>IF([1]Earnings!G489&lt;=21000,0.0075*[1]Earnings!G489,0)</f>
        <v>0</v>
      </c>
      <c r="D489">
        <v>340</v>
      </c>
    </row>
    <row r="490" spans="1:4" x14ac:dyDescent="0.35">
      <c r="A490" t="s">
        <v>520</v>
      </c>
      <c r="B490">
        <f>MIN(0.12*Earnings!C491,1800)</f>
        <v>1800</v>
      </c>
      <c r="C490">
        <f>IF([1]Earnings!G490&lt;=21000,0.0075*[1]Earnings!G490,0)</f>
        <v>0</v>
      </c>
      <c r="D490">
        <v>340</v>
      </c>
    </row>
    <row r="491" spans="1:4" x14ac:dyDescent="0.35">
      <c r="A491" t="s">
        <v>521</v>
      </c>
      <c r="B491">
        <f>MIN(0.12*Earnings!C492,1800)</f>
        <v>1800</v>
      </c>
      <c r="C491">
        <f>IF([1]Earnings!G491&lt;=21000,0.0075*[1]Earnings!G491,0)</f>
        <v>0</v>
      </c>
      <c r="D491">
        <v>280</v>
      </c>
    </row>
    <row r="492" spans="1:4" x14ac:dyDescent="0.35">
      <c r="A492" t="s">
        <v>522</v>
      </c>
      <c r="B492">
        <f>MIN(0.12*Earnings!C493,1800)</f>
        <v>1800</v>
      </c>
      <c r="C492">
        <f>IF([1]Earnings!G492&lt;=21000,0.0075*[1]Earnings!G492,0)</f>
        <v>0</v>
      </c>
      <c r="D492">
        <v>340</v>
      </c>
    </row>
    <row r="493" spans="1:4" x14ac:dyDescent="0.35">
      <c r="A493" t="s">
        <v>523</v>
      </c>
      <c r="B493">
        <f>MIN(0.12*Earnings!C494,1800)</f>
        <v>1800</v>
      </c>
      <c r="C493">
        <f>IF([1]Earnings!G493&lt;=21000,0.0075*[1]Earnings!G493,0)</f>
        <v>0</v>
      </c>
      <c r="D493">
        <v>200</v>
      </c>
    </row>
    <row r="494" spans="1:4" x14ac:dyDescent="0.35">
      <c r="A494" t="s">
        <v>524</v>
      </c>
      <c r="B494">
        <f>MIN(0.12*Earnings!C495,1800)</f>
        <v>1800</v>
      </c>
      <c r="C494">
        <f>IF([1]Earnings!G494&lt;=21000,0.0075*[1]Earnings!G494,0)</f>
        <v>0</v>
      </c>
      <c r="D494">
        <v>240</v>
      </c>
    </row>
    <row r="495" spans="1:4" x14ac:dyDescent="0.35">
      <c r="A495" t="s">
        <v>525</v>
      </c>
      <c r="B495">
        <f>MIN(0.12*Earnings!C496,1800)</f>
        <v>1800</v>
      </c>
      <c r="C495">
        <f>IF([1]Earnings!G495&lt;=21000,0.0075*[1]Earnings!G495,0)</f>
        <v>0</v>
      </c>
      <c r="D495">
        <v>340</v>
      </c>
    </row>
    <row r="496" spans="1:4" x14ac:dyDescent="0.35">
      <c r="A496" t="s">
        <v>526</v>
      </c>
      <c r="B496">
        <f>MIN(0.12*Earnings!C497,1800)</f>
        <v>1800</v>
      </c>
      <c r="C496">
        <f>IF([1]Earnings!G496&lt;=21000,0.0075*[1]Earnings!G496,0)</f>
        <v>0</v>
      </c>
      <c r="D496">
        <v>280</v>
      </c>
    </row>
    <row r="497" spans="1:4" x14ac:dyDescent="0.35">
      <c r="A497" t="s">
        <v>527</v>
      </c>
      <c r="B497">
        <f>MIN(0.12*Earnings!C498,1800)</f>
        <v>1800</v>
      </c>
      <c r="C497">
        <f>IF([1]Earnings!G497&lt;=21000,0.0075*[1]Earnings!G497,0)</f>
        <v>0</v>
      </c>
      <c r="D497">
        <v>340</v>
      </c>
    </row>
    <row r="498" spans="1:4" x14ac:dyDescent="0.35">
      <c r="A498" t="s">
        <v>528</v>
      </c>
      <c r="B498">
        <f>MIN(0.12*Earnings!C499,1800)</f>
        <v>1800</v>
      </c>
      <c r="C498">
        <f>IF([1]Earnings!G498&lt;=21000,0.0075*[1]Earnings!G498,0)</f>
        <v>0</v>
      </c>
      <c r="D498">
        <v>200</v>
      </c>
    </row>
    <row r="499" spans="1:4" x14ac:dyDescent="0.35">
      <c r="A499" t="s">
        <v>529</v>
      </c>
      <c r="B499">
        <f>MIN(0.12*Earnings!C500,1800)</f>
        <v>1800</v>
      </c>
      <c r="C499">
        <f>IF([1]Earnings!G499&lt;=21000,0.0075*[1]Earnings!G499,0)</f>
        <v>0</v>
      </c>
      <c r="D499">
        <v>240</v>
      </c>
    </row>
    <row r="500" spans="1:4" x14ac:dyDescent="0.35">
      <c r="A500" t="s">
        <v>530</v>
      </c>
      <c r="B500">
        <f>MIN(0.12*Earnings!C501,1800)</f>
        <v>1800</v>
      </c>
      <c r="C500">
        <f>IF([1]Earnings!G500&lt;=21000,0.0075*[1]Earnings!G500,0)</f>
        <v>0</v>
      </c>
      <c r="D500">
        <v>200</v>
      </c>
    </row>
    <row r="501" spans="1:4" x14ac:dyDescent="0.35">
      <c r="A501" t="s">
        <v>531</v>
      </c>
      <c r="B501">
        <f>MIN(0.12*Earnings!C502,1800)</f>
        <v>1800</v>
      </c>
      <c r="C501">
        <f>IF([1]Earnings!G501&lt;=21000,0.0075*[1]Earnings!G501,0)</f>
        <v>0</v>
      </c>
      <c r="D501">
        <v>280</v>
      </c>
    </row>
    <row r="502" spans="1:4" x14ac:dyDescent="0.35">
      <c r="A502" t="s">
        <v>532</v>
      </c>
      <c r="B502">
        <f>MIN(0.12*Earnings!C503,1800)</f>
        <v>1800</v>
      </c>
      <c r="C502">
        <f>IF([1]Earnings!G502&lt;=21000,0.0075*[1]Earnings!G502,0)</f>
        <v>0</v>
      </c>
      <c r="D502">
        <v>280</v>
      </c>
    </row>
    <row r="503" spans="1:4" x14ac:dyDescent="0.35">
      <c r="A503" t="s">
        <v>533</v>
      </c>
      <c r="B503">
        <f>MIN(0.12*Earnings!C504,1800)</f>
        <v>1800</v>
      </c>
      <c r="C503">
        <f>IF([1]Earnings!G503&lt;=21000,0.0075*[1]Earnings!G503,0)</f>
        <v>0</v>
      </c>
      <c r="D503">
        <v>280</v>
      </c>
    </row>
    <row r="504" spans="1:4" x14ac:dyDescent="0.35">
      <c r="A504" t="s">
        <v>534</v>
      </c>
      <c r="B504">
        <f>MIN(0.12*Earnings!C505,1800)</f>
        <v>1800</v>
      </c>
      <c r="C504">
        <f>IF([1]Earnings!G504&lt;=21000,0.0075*[1]Earnings!G504,0)</f>
        <v>0</v>
      </c>
      <c r="D504">
        <v>280</v>
      </c>
    </row>
    <row r="505" spans="1:4" x14ac:dyDescent="0.35">
      <c r="A505" t="s">
        <v>535</v>
      </c>
      <c r="B505">
        <f>MIN(0.12*Earnings!C506,1800)</f>
        <v>1800</v>
      </c>
      <c r="C505">
        <f>IF([1]Earnings!G505&lt;=21000,0.0075*[1]Earnings!G505,0)</f>
        <v>0</v>
      </c>
      <c r="D505">
        <v>340</v>
      </c>
    </row>
    <row r="506" spans="1:4" x14ac:dyDescent="0.35">
      <c r="A506" t="s">
        <v>536</v>
      </c>
      <c r="B506">
        <f>MIN(0.12*Earnings!C507,1800)</f>
        <v>1800</v>
      </c>
      <c r="C506">
        <f>IF([1]Earnings!G506&lt;=21000,0.0075*[1]Earnings!G506,0)</f>
        <v>0</v>
      </c>
      <c r="D506">
        <v>340</v>
      </c>
    </row>
    <row r="507" spans="1:4" x14ac:dyDescent="0.35">
      <c r="A507" t="s">
        <v>537</v>
      </c>
      <c r="B507">
        <f>MIN(0.12*Earnings!C508,1800)</f>
        <v>1800</v>
      </c>
      <c r="C507">
        <f>IF([1]Earnings!G507&lt;=21000,0.0075*[1]Earnings!G507,0)</f>
        <v>0</v>
      </c>
      <c r="D507">
        <v>240</v>
      </c>
    </row>
    <row r="508" spans="1:4" x14ac:dyDescent="0.35">
      <c r="A508" t="s">
        <v>538</v>
      </c>
      <c r="B508">
        <f>MIN(0.12*Earnings!C509,1800)</f>
        <v>1800</v>
      </c>
      <c r="C508">
        <f>IF([1]Earnings!G508&lt;=21000,0.0075*[1]Earnings!G508,0)</f>
        <v>0</v>
      </c>
      <c r="D508">
        <v>340</v>
      </c>
    </row>
    <row r="509" spans="1:4" x14ac:dyDescent="0.35">
      <c r="A509" t="s">
        <v>539</v>
      </c>
      <c r="B509">
        <f>MIN(0.12*Earnings!C510,1800)</f>
        <v>1800</v>
      </c>
      <c r="C509">
        <f>IF([1]Earnings!G509&lt;=21000,0.0075*[1]Earnings!G509,0)</f>
        <v>0</v>
      </c>
      <c r="D509">
        <v>200</v>
      </c>
    </row>
    <row r="510" spans="1:4" x14ac:dyDescent="0.35">
      <c r="A510" t="s">
        <v>540</v>
      </c>
      <c r="B510">
        <f>MIN(0.12*Earnings!C511,1800)</f>
        <v>1800</v>
      </c>
      <c r="C510">
        <f>IF([1]Earnings!G510&lt;=21000,0.0075*[1]Earnings!G510,0)</f>
        <v>0</v>
      </c>
      <c r="D510">
        <v>240</v>
      </c>
    </row>
    <row r="511" spans="1:4" x14ac:dyDescent="0.35">
      <c r="A511" t="s">
        <v>541</v>
      </c>
      <c r="B511">
        <f>MIN(0.12*Earnings!C512,1800)</f>
        <v>1800</v>
      </c>
      <c r="C511">
        <f>IF([1]Earnings!G511&lt;=21000,0.0075*[1]Earnings!G511,0)</f>
        <v>0</v>
      </c>
      <c r="D511">
        <v>200</v>
      </c>
    </row>
    <row r="512" spans="1:4" x14ac:dyDescent="0.35">
      <c r="A512" t="s">
        <v>542</v>
      </c>
      <c r="B512">
        <f>MIN(0.12*Earnings!C513,1800)</f>
        <v>1800</v>
      </c>
      <c r="C512">
        <f>IF([1]Earnings!G512&lt;=21000,0.0075*[1]Earnings!G512,0)</f>
        <v>0</v>
      </c>
      <c r="D512">
        <v>340</v>
      </c>
    </row>
    <row r="513" spans="1:4" x14ac:dyDescent="0.35">
      <c r="A513" t="s">
        <v>543</v>
      </c>
      <c r="B513">
        <f>MIN(0.12*Earnings!C514,1800)</f>
        <v>1800</v>
      </c>
      <c r="C513">
        <f>IF([1]Earnings!G513&lt;=21000,0.0075*[1]Earnings!G513,0)</f>
        <v>0</v>
      </c>
      <c r="D513">
        <v>340</v>
      </c>
    </row>
    <row r="514" spans="1:4" x14ac:dyDescent="0.35">
      <c r="A514" t="s">
        <v>544</v>
      </c>
      <c r="B514">
        <f>MIN(0.12*Earnings!C515,1800)</f>
        <v>1800</v>
      </c>
      <c r="C514">
        <f>IF([1]Earnings!G514&lt;=21000,0.0075*[1]Earnings!G514,0)</f>
        <v>0</v>
      </c>
      <c r="D514">
        <v>340</v>
      </c>
    </row>
    <row r="515" spans="1:4" x14ac:dyDescent="0.35">
      <c r="A515" t="s">
        <v>545</v>
      </c>
      <c r="B515">
        <f>MIN(0.12*Earnings!C516,1800)</f>
        <v>1800</v>
      </c>
      <c r="C515">
        <f>IF([1]Earnings!G515&lt;=21000,0.0075*[1]Earnings!G515,0)</f>
        <v>0</v>
      </c>
      <c r="D515">
        <v>340</v>
      </c>
    </row>
    <row r="516" spans="1:4" x14ac:dyDescent="0.35">
      <c r="A516" t="s">
        <v>546</v>
      </c>
      <c r="B516">
        <f>MIN(0.12*Earnings!C517,1800)</f>
        <v>1800</v>
      </c>
      <c r="C516">
        <f>IF([1]Earnings!G516&lt;=21000,0.0075*[1]Earnings!G516,0)</f>
        <v>0</v>
      </c>
      <c r="D516">
        <v>200</v>
      </c>
    </row>
    <row r="517" spans="1:4" x14ac:dyDescent="0.35">
      <c r="A517" t="s">
        <v>547</v>
      </c>
      <c r="B517">
        <f>MIN(0.12*Earnings!C518,1800)</f>
        <v>1800</v>
      </c>
      <c r="C517">
        <f>IF([1]Earnings!G517&lt;=21000,0.0075*[1]Earnings!G517,0)</f>
        <v>0</v>
      </c>
      <c r="D517">
        <v>280</v>
      </c>
    </row>
    <row r="518" spans="1:4" x14ac:dyDescent="0.35">
      <c r="A518" t="s">
        <v>548</v>
      </c>
      <c r="B518">
        <f>MIN(0.12*Earnings!C519,1800)</f>
        <v>1800</v>
      </c>
      <c r="C518">
        <f>IF([1]Earnings!G518&lt;=21000,0.0075*[1]Earnings!G518,0)</f>
        <v>0</v>
      </c>
      <c r="D518">
        <v>340</v>
      </c>
    </row>
    <row r="519" spans="1:4" x14ac:dyDescent="0.35">
      <c r="A519" t="s">
        <v>549</v>
      </c>
      <c r="B519">
        <f>MIN(0.12*Earnings!C520,1800)</f>
        <v>1800</v>
      </c>
      <c r="C519">
        <f>IF([1]Earnings!G519&lt;=21000,0.0075*[1]Earnings!G519,0)</f>
        <v>0</v>
      </c>
      <c r="D519">
        <v>340</v>
      </c>
    </row>
    <row r="520" spans="1:4" x14ac:dyDescent="0.35">
      <c r="A520" t="s">
        <v>550</v>
      </c>
      <c r="B520">
        <f>MIN(0.12*Earnings!C521,1800)</f>
        <v>1800</v>
      </c>
      <c r="C520">
        <f>IF([1]Earnings!G520&lt;=21000,0.0075*[1]Earnings!G520,0)</f>
        <v>0</v>
      </c>
      <c r="D520">
        <v>200</v>
      </c>
    </row>
    <row r="521" spans="1:4" x14ac:dyDescent="0.35">
      <c r="A521" t="s">
        <v>551</v>
      </c>
      <c r="B521">
        <f>MIN(0.12*Earnings!C522,1800)</f>
        <v>1800</v>
      </c>
      <c r="C521">
        <f>IF([1]Earnings!G521&lt;=21000,0.0075*[1]Earnings!G521,0)</f>
        <v>0</v>
      </c>
      <c r="D521">
        <v>240</v>
      </c>
    </row>
    <row r="522" spans="1:4" x14ac:dyDescent="0.35">
      <c r="A522" t="s">
        <v>552</v>
      </c>
      <c r="B522">
        <f>MIN(0.12*Earnings!C523,1800)</f>
        <v>1800</v>
      </c>
      <c r="C522">
        <f>IF([1]Earnings!G522&lt;=21000,0.0075*[1]Earnings!G522,0)</f>
        <v>0</v>
      </c>
      <c r="D522">
        <v>200</v>
      </c>
    </row>
    <row r="523" spans="1:4" x14ac:dyDescent="0.35">
      <c r="A523" t="s">
        <v>553</v>
      </c>
      <c r="B523">
        <f>MIN(0.12*Earnings!C524,1800)</f>
        <v>1800</v>
      </c>
      <c r="C523">
        <f>IF([1]Earnings!G523&lt;=21000,0.0075*[1]Earnings!G523,0)</f>
        <v>0</v>
      </c>
      <c r="D523">
        <v>200</v>
      </c>
    </row>
    <row r="524" spans="1:4" x14ac:dyDescent="0.35">
      <c r="A524" t="s">
        <v>554</v>
      </c>
      <c r="B524">
        <f>MIN(0.12*Earnings!C525,1800)</f>
        <v>1800</v>
      </c>
      <c r="C524">
        <f>IF([1]Earnings!G524&lt;=21000,0.0075*[1]Earnings!G524,0)</f>
        <v>0</v>
      </c>
      <c r="D524">
        <v>240</v>
      </c>
    </row>
    <row r="525" spans="1:4" x14ac:dyDescent="0.35">
      <c r="A525" t="s">
        <v>555</v>
      </c>
      <c r="B525">
        <f>MIN(0.12*Earnings!C526,1800)</f>
        <v>1800</v>
      </c>
      <c r="C525">
        <f>IF([1]Earnings!G525&lt;=21000,0.0075*[1]Earnings!G525,0)</f>
        <v>0</v>
      </c>
      <c r="D525">
        <v>340</v>
      </c>
    </row>
    <row r="526" spans="1:4" x14ac:dyDescent="0.35">
      <c r="A526" t="s">
        <v>556</v>
      </c>
      <c r="B526">
        <f>MIN(0.12*Earnings!C527,1800)</f>
        <v>1800</v>
      </c>
      <c r="C526">
        <f>IF([1]Earnings!G526&lt;=21000,0.0075*[1]Earnings!G526,0)</f>
        <v>0</v>
      </c>
      <c r="D526">
        <v>340</v>
      </c>
    </row>
    <row r="527" spans="1:4" x14ac:dyDescent="0.35">
      <c r="A527" t="s">
        <v>557</v>
      </c>
      <c r="B527">
        <f>MIN(0.12*Earnings!C528,1800)</f>
        <v>1800</v>
      </c>
      <c r="C527">
        <f>IF([1]Earnings!G527&lt;=21000,0.0075*[1]Earnings!G527,0)</f>
        <v>0</v>
      </c>
      <c r="D527">
        <v>200</v>
      </c>
    </row>
    <row r="528" spans="1:4" x14ac:dyDescent="0.35">
      <c r="A528" t="s">
        <v>558</v>
      </c>
      <c r="B528">
        <f>MIN(0.12*Earnings!C529,1800)</f>
        <v>1800</v>
      </c>
      <c r="C528">
        <f>IF([1]Earnings!G528&lt;=21000,0.0075*[1]Earnings!G528,0)</f>
        <v>0</v>
      </c>
      <c r="D528">
        <v>200</v>
      </c>
    </row>
    <row r="529" spans="1:4" x14ac:dyDescent="0.35">
      <c r="A529" t="s">
        <v>559</v>
      </c>
      <c r="B529">
        <f>MIN(0.12*Earnings!C530,1800)</f>
        <v>1800</v>
      </c>
      <c r="C529">
        <f>IF([1]Earnings!G529&lt;=21000,0.0075*[1]Earnings!G529,0)</f>
        <v>0</v>
      </c>
      <c r="D529">
        <v>200</v>
      </c>
    </row>
    <row r="530" spans="1:4" x14ac:dyDescent="0.35">
      <c r="A530" t="s">
        <v>560</v>
      </c>
      <c r="B530">
        <f>MIN(0.12*Earnings!C531,1800)</f>
        <v>1800</v>
      </c>
      <c r="C530">
        <f>IF([1]Earnings!G530&lt;=21000,0.0075*[1]Earnings!G530,0)</f>
        <v>0</v>
      </c>
      <c r="D530">
        <v>240</v>
      </c>
    </row>
    <row r="531" spans="1:4" x14ac:dyDescent="0.35">
      <c r="A531" t="s">
        <v>561</v>
      </c>
      <c r="B531">
        <f>MIN(0.12*Earnings!C532,1800)</f>
        <v>1800</v>
      </c>
      <c r="C531">
        <f>IF([1]Earnings!G531&lt;=21000,0.0075*[1]Earnings!G531,0)</f>
        <v>0</v>
      </c>
      <c r="D531">
        <v>280</v>
      </c>
    </row>
    <row r="532" spans="1:4" x14ac:dyDescent="0.35">
      <c r="A532" t="s">
        <v>562</v>
      </c>
      <c r="B532">
        <f>MIN(0.12*Earnings!C533,1800)</f>
        <v>1800</v>
      </c>
      <c r="C532">
        <f>IF([1]Earnings!G532&lt;=21000,0.0075*[1]Earnings!G532,0)</f>
        <v>0</v>
      </c>
      <c r="D532">
        <v>200</v>
      </c>
    </row>
    <row r="533" spans="1:4" x14ac:dyDescent="0.35">
      <c r="A533" t="s">
        <v>563</v>
      </c>
      <c r="B533">
        <f>MIN(0.12*Earnings!C534,1800)</f>
        <v>1800</v>
      </c>
      <c r="C533">
        <f>IF([1]Earnings!G533&lt;=21000,0.0075*[1]Earnings!G533,0)</f>
        <v>0</v>
      </c>
      <c r="D533">
        <v>200</v>
      </c>
    </row>
    <row r="534" spans="1:4" x14ac:dyDescent="0.35">
      <c r="A534" t="s">
        <v>564</v>
      </c>
      <c r="B534">
        <f>MIN(0.12*Earnings!C535,1800)</f>
        <v>1800</v>
      </c>
      <c r="C534">
        <f>IF([1]Earnings!G534&lt;=21000,0.0075*[1]Earnings!G534,0)</f>
        <v>0</v>
      </c>
      <c r="D534">
        <v>200</v>
      </c>
    </row>
    <row r="535" spans="1:4" x14ac:dyDescent="0.35">
      <c r="A535" t="s">
        <v>565</v>
      </c>
      <c r="B535">
        <f>MIN(0.12*Earnings!C536,1800)</f>
        <v>1800</v>
      </c>
      <c r="C535">
        <f>IF([1]Earnings!G535&lt;=21000,0.0075*[1]Earnings!G535,0)</f>
        <v>0</v>
      </c>
      <c r="D535">
        <v>280</v>
      </c>
    </row>
    <row r="536" spans="1:4" x14ac:dyDescent="0.35">
      <c r="A536" t="s">
        <v>566</v>
      </c>
      <c r="B536">
        <f>MIN(0.12*Earnings!C537,1800)</f>
        <v>1800</v>
      </c>
      <c r="C536">
        <f>IF([1]Earnings!G536&lt;=21000,0.0075*[1]Earnings!G536,0)</f>
        <v>0</v>
      </c>
      <c r="D536">
        <v>240</v>
      </c>
    </row>
    <row r="537" spans="1:4" x14ac:dyDescent="0.35">
      <c r="A537" t="s">
        <v>567</v>
      </c>
      <c r="B537">
        <f>MIN(0.12*Earnings!C538,1800)</f>
        <v>1800</v>
      </c>
      <c r="C537">
        <f>IF([1]Earnings!G537&lt;=21000,0.0075*[1]Earnings!G537,0)</f>
        <v>0</v>
      </c>
      <c r="D537">
        <v>340</v>
      </c>
    </row>
    <row r="538" spans="1:4" x14ac:dyDescent="0.35">
      <c r="A538" t="s">
        <v>568</v>
      </c>
      <c r="B538">
        <f>MIN(0.12*Earnings!C539,1800)</f>
        <v>1800</v>
      </c>
      <c r="C538">
        <f>IF([1]Earnings!G538&lt;=21000,0.0075*[1]Earnings!G538,0)</f>
        <v>0</v>
      </c>
      <c r="D538">
        <v>240</v>
      </c>
    </row>
    <row r="539" spans="1:4" x14ac:dyDescent="0.35">
      <c r="A539" t="s">
        <v>569</v>
      </c>
      <c r="B539">
        <f>MIN(0.12*Earnings!C540,1800)</f>
        <v>1800</v>
      </c>
      <c r="C539">
        <f>IF([1]Earnings!G539&lt;=21000,0.0075*[1]Earnings!G539,0)</f>
        <v>0</v>
      </c>
      <c r="D539">
        <v>340</v>
      </c>
    </row>
    <row r="540" spans="1:4" x14ac:dyDescent="0.35">
      <c r="A540" t="s">
        <v>570</v>
      </c>
      <c r="B540">
        <f>MIN(0.12*Earnings!C541,1800)</f>
        <v>1800</v>
      </c>
      <c r="C540">
        <f>IF([1]Earnings!G540&lt;=21000,0.0075*[1]Earnings!G540,0)</f>
        <v>0</v>
      </c>
      <c r="D540">
        <v>280</v>
      </c>
    </row>
    <row r="541" spans="1:4" x14ac:dyDescent="0.35">
      <c r="A541" t="s">
        <v>571</v>
      </c>
      <c r="B541">
        <f>MIN(0.12*Earnings!C542,1800)</f>
        <v>1800</v>
      </c>
      <c r="C541">
        <f>IF([1]Earnings!G541&lt;=21000,0.0075*[1]Earnings!G541,0)</f>
        <v>0</v>
      </c>
      <c r="D541">
        <v>240</v>
      </c>
    </row>
    <row r="542" spans="1:4" x14ac:dyDescent="0.35">
      <c r="A542" t="s">
        <v>572</v>
      </c>
      <c r="B542">
        <f>MIN(0.12*Earnings!C543,1800)</f>
        <v>1800</v>
      </c>
      <c r="C542">
        <f>IF([1]Earnings!G542&lt;=21000,0.0075*[1]Earnings!G542,0)</f>
        <v>0</v>
      </c>
      <c r="D542">
        <v>340</v>
      </c>
    </row>
    <row r="543" spans="1:4" x14ac:dyDescent="0.35">
      <c r="A543" t="s">
        <v>573</v>
      </c>
      <c r="B543">
        <f>MIN(0.12*Earnings!C544,1800)</f>
        <v>1800</v>
      </c>
      <c r="C543">
        <f>IF([1]Earnings!G543&lt;=21000,0.0075*[1]Earnings!G543,0)</f>
        <v>0</v>
      </c>
      <c r="D543">
        <v>200</v>
      </c>
    </row>
    <row r="544" spans="1:4" x14ac:dyDescent="0.35">
      <c r="A544" t="s">
        <v>574</v>
      </c>
      <c r="B544">
        <f>MIN(0.12*Earnings!C545,1800)</f>
        <v>1800</v>
      </c>
      <c r="C544">
        <f>IF([1]Earnings!G544&lt;=21000,0.0075*[1]Earnings!G544,0)</f>
        <v>0</v>
      </c>
      <c r="D544">
        <v>340</v>
      </c>
    </row>
    <row r="545" spans="1:4" x14ac:dyDescent="0.35">
      <c r="A545" t="s">
        <v>575</v>
      </c>
      <c r="B545">
        <f>MIN(0.12*Earnings!C546,1800)</f>
        <v>1800</v>
      </c>
      <c r="C545">
        <f>IF([1]Earnings!G545&lt;=21000,0.0075*[1]Earnings!G545,0)</f>
        <v>0</v>
      </c>
      <c r="D545">
        <v>340</v>
      </c>
    </row>
    <row r="546" spans="1:4" x14ac:dyDescent="0.35">
      <c r="A546" t="s">
        <v>576</v>
      </c>
      <c r="B546">
        <f>MIN(0.12*Earnings!C547,1800)</f>
        <v>1800</v>
      </c>
      <c r="C546">
        <f>IF([1]Earnings!G546&lt;=21000,0.0075*[1]Earnings!G546,0)</f>
        <v>0</v>
      </c>
      <c r="D546">
        <v>280</v>
      </c>
    </row>
    <row r="547" spans="1:4" x14ac:dyDescent="0.35">
      <c r="A547" t="s">
        <v>577</v>
      </c>
      <c r="B547">
        <f>MIN(0.12*Earnings!C548,1800)</f>
        <v>1800</v>
      </c>
      <c r="C547">
        <f>IF([1]Earnings!G547&lt;=21000,0.0075*[1]Earnings!G547,0)</f>
        <v>0</v>
      </c>
      <c r="D547">
        <v>340</v>
      </c>
    </row>
    <row r="548" spans="1:4" x14ac:dyDescent="0.35">
      <c r="A548" t="s">
        <v>578</v>
      </c>
      <c r="B548">
        <f>MIN(0.12*Earnings!C549,1800)</f>
        <v>1800</v>
      </c>
      <c r="C548">
        <f>IF([1]Earnings!G548&lt;=21000,0.0075*[1]Earnings!G548,0)</f>
        <v>0</v>
      </c>
      <c r="D548">
        <v>200</v>
      </c>
    </row>
    <row r="549" spans="1:4" x14ac:dyDescent="0.35">
      <c r="A549" t="s">
        <v>579</v>
      </c>
      <c r="B549">
        <f>MIN(0.12*Earnings!C550,1800)</f>
        <v>1800</v>
      </c>
      <c r="C549">
        <f>IF([1]Earnings!G549&lt;=21000,0.0075*[1]Earnings!G549,0)</f>
        <v>0</v>
      </c>
      <c r="D549">
        <v>340</v>
      </c>
    </row>
    <row r="550" spans="1:4" x14ac:dyDescent="0.35">
      <c r="A550" t="s">
        <v>580</v>
      </c>
      <c r="B550">
        <f>MIN(0.12*Earnings!C551,1800)</f>
        <v>1800</v>
      </c>
      <c r="C550">
        <f>IF([1]Earnings!G550&lt;=21000,0.0075*[1]Earnings!G550,0)</f>
        <v>0</v>
      </c>
      <c r="D550">
        <v>280</v>
      </c>
    </row>
    <row r="551" spans="1:4" x14ac:dyDescent="0.35">
      <c r="A551" t="s">
        <v>581</v>
      </c>
      <c r="B551">
        <f>MIN(0.12*Earnings!C552,1800)</f>
        <v>1800</v>
      </c>
      <c r="C551">
        <f>IF([1]Earnings!G551&lt;=21000,0.0075*[1]Earnings!G551,0)</f>
        <v>0</v>
      </c>
      <c r="D551">
        <v>340</v>
      </c>
    </row>
    <row r="552" spans="1:4" x14ac:dyDescent="0.35">
      <c r="A552" t="s">
        <v>582</v>
      </c>
      <c r="B552">
        <f>MIN(0.12*Earnings!C553,1800)</f>
        <v>1800</v>
      </c>
      <c r="C552">
        <f>IF([1]Earnings!G552&lt;=21000,0.0075*[1]Earnings!G552,0)</f>
        <v>0</v>
      </c>
      <c r="D552">
        <v>280</v>
      </c>
    </row>
    <row r="553" spans="1:4" x14ac:dyDescent="0.35">
      <c r="A553" t="s">
        <v>583</v>
      </c>
      <c r="B553">
        <f>MIN(0.12*Earnings!C554,1800)</f>
        <v>1800</v>
      </c>
      <c r="C553">
        <f>IF([1]Earnings!G553&lt;=21000,0.0075*[1]Earnings!G553,0)</f>
        <v>0</v>
      </c>
      <c r="D553">
        <v>200</v>
      </c>
    </row>
    <row r="554" spans="1:4" x14ac:dyDescent="0.35">
      <c r="A554" t="s">
        <v>584</v>
      </c>
      <c r="B554">
        <f>MIN(0.12*Earnings!C555,1800)</f>
        <v>1800</v>
      </c>
      <c r="C554">
        <f>IF([1]Earnings!G554&lt;=21000,0.0075*[1]Earnings!G554,0)</f>
        <v>0</v>
      </c>
      <c r="D554">
        <v>240</v>
      </c>
    </row>
    <row r="555" spans="1:4" x14ac:dyDescent="0.35">
      <c r="A555" t="s">
        <v>585</v>
      </c>
      <c r="B555">
        <f>MIN(0.12*Earnings!C556,1800)</f>
        <v>1800</v>
      </c>
      <c r="C555">
        <f>IF([1]Earnings!G555&lt;=21000,0.0075*[1]Earnings!G555,0)</f>
        <v>0</v>
      </c>
      <c r="D555">
        <v>280</v>
      </c>
    </row>
    <row r="556" spans="1:4" x14ac:dyDescent="0.35">
      <c r="A556" t="s">
        <v>586</v>
      </c>
      <c r="B556">
        <f>MIN(0.12*Earnings!C557,1800)</f>
        <v>1800</v>
      </c>
      <c r="C556">
        <f>IF([1]Earnings!G556&lt;=21000,0.0075*[1]Earnings!G556,0)</f>
        <v>0</v>
      </c>
      <c r="D556">
        <v>200</v>
      </c>
    </row>
    <row r="557" spans="1:4" x14ac:dyDescent="0.35">
      <c r="A557" t="s">
        <v>587</v>
      </c>
      <c r="B557">
        <f>MIN(0.12*Earnings!C558,1800)</f>
        <v>1800</v>
      </c>
      <c r="C557">
        <f>IF([1]Earnings!G557&lt;=21000,0.0075*[1]Earnings!G557,0)</f>
        <v>0</v>
      </c>
      <c r="D557">
        <v>200</v>
      </c>
    </row>
    <row r="558" spans="1:4" x14ac:dyDescent="0.35">
      <c r="A558" t="s">
        <v>588</v>
      </c>
      <c r="B558">
        <f>MIN(0.12*Earnings!C559,1800)</f>
        <v>1800</v>
      </c>
      <c r="C558">
        <f>IF([1]Earnings!G558&lt;=21000,0.0075*[1]Earnings!G558,0)</f>
        <v>0</v>
      </c>
      <c r="D558">
        <v>240</v>
      </c>
    </row>
    <row r="559" spans="1:4" x14ac:dyDescent="0.35">
      <c r="A559" t="s">
        <v>589</v>
      </c>
      <c r="B559">
        <f>MIN(0.12*Earnings!C560,1800)</f>
        <v>1800</v>
      </c>
      <c r="C559">
        <f>IF([1]Earnings!G559&lt;=21000,0.0075*[1]Earnings!G559,0)</f>
        <v>0</v>
      </c>
      <c r="D559">
        <v>200</v>
      </c>
    </row>
    <row r="560" spans="1:4" x14ac:dyDescent="0.35">
      <c r="A560" t="s">
        <v>590</v>
      </c>
      <c r="B560">
        <f>MIN(0.12*Earnings!C561,1800)</f>
        <v>1800</v>
      </c>
      <c r="C560">
        <f>IF([1]Earnings!G560&lt;=21000,0.0075*[1]Earnings!G560,0)</f>
        <v>0</v>
      </c>
      <c r="D560">
        <v>200</v>
      </c>
    </row>
    <row r="561" spans="1:4" x14ac:dyDescent="0.35">
      <c r="A561" t="s">
        <v>591</v>
      </c>
      <c r="B561">
        <f>MIN(0.12*Earnings!C562,1800)</f>
        <v>1800</v>
      </c>
      <c r="C561">
        <f>IF([1]Earnings!G561&lt;=21000,0.0075*[1]Earnings!G561,0)</f>
        <v>0</v>
      </c>
      <c r="D561">
        <v>340</v>
      </c>
    </row>
    <row r="562" spans="1:4" x14ac:dyDescent="0.35">
      <c r="A562" t="s">
        <v>592</v>
      </c>
      <c r="B562">
        <f>MIN(0.12*Earnings!C563,1800)</f>
        <v>1800</v>
      </c>
      <c r="C562">
        <f>IF([1]Earnings!G562&lt;=21000,0.0075*[1]Earnings!G562,0)</f>
        <v>0</v>
      </c>
      <c r="D562">
        <v>340</v>
      </c>
    </row>
    <row r="563" spans="1:4" x14ac:dyDescent="0.35">
      <c r="A563" t="s">
        <v>593</v>
      </c>
      <c r="B563">
        <f>MIN(0.12*Earnings!C564,1800)</f>
        <v>1800</v>
      </c>
      <c r="C563">
        <f>IF([1]Earnings!G563&lt;=21000,0.0075*[1]Earnings!G563,0)</f>
        <v>0</v>
      </c>
      <c r="D563">
        <v>280</v>
      </c>
    </row>
    <row r="564" spans="1:4" x14ac:dyDescent="0.35">
      <c r="A564" t="s">
        <v>594</v>
      </c>
      <c r="B564">
        <f>MIN(0.12*Earnings!C565,1800)</f>
        <v>1800</v>
      </c>
      <c r="C564">
        <f>IF([1]Earnings!G564&lt;=21000,0.0075*[1]Earnings!G564,0)</f>
        <v>0</v>
      </c>
      <c r="D564">
        <v>340</v>
      </c>
    </row>
    <row r="565" spans="1:4" x14ac:dyDescent="0.35">
      <c r="A565" t="s">
        <v>595</v>
      </c>
      <c r="B565">
        <f>MIN(0.12*Earnings!C566,1800)</f>
        <v>1800</v>
      </c>
      <c r="C565">
        <f>IF([1]Earnings!G565&lt;=21000,0.0075*[1]Earnings!G565,0)</f>
        <v>0</v>
      </c>
      <c r="D565">
        <v>340</v>
      </c>
    </row>
    <row r="566" spans="1:4" x14ac:dyDescent="0.35">
      <c r="A566" t="s">
        <v>596</v>
      </c>
      <c r="B566">
        <f>MIN(0.12*Earnings!C567,1800)</f>
        <v>1800</v>
      </c>
      <c r="C566">
        <f>IF([1]Earnings!G566&lt;=21000,0.0075*[1]Earnings!G566,0)</f>
        <v>0</v>
      </c>
      <c r="D566">
        <v>240</v>
      </c>
    </row>
    <row r="567" spans="1:4" x14ac:dyDescent="0.35">
      <c r="A567" t="s">
        <v>597</v>
      </c>
      <c r="B567">
        <f>MIN(0.12*Earnings!C568,1800)</f>
        <v>1800</v>
      </c>
      <c r="C567">
        <f>IF([1]Earnings!G567&lt;=21000,0.0075*[1]Earnings!G567,0)</f>
        <v>0</v>
      </c>
      <c r="D567">
        <v>240</v>
      </c>
    </row>
    <row r="568" spans="1:4" x14ac:dyDescent="0.35">
      <c r="A568" t="s">
        <v>598</v>
      </c>
      <c r="B568">
        <f>MIN(0.12*Earnings!C569,1800)</f>
        <v>1800</v>
      </c>
      <c r="C568">
        <f>IF([1]Earnings!G568&lt;=21000,0.0075*[1]Earnings!G568,0)</f>
        <v>0</v>
      </c>
      <c r="D568">
        <v>280</v>
      </c>
    </row>
    <row r="569" spans="1:4" x14ac:dyDescent="0.35">
      <c r="A569" t="s">
        <v>599</v>
      </c>
      <c r="B569">
        <f>MIN(0.12*Earnings!C570,1800)</f>
        <v>1800</v>
      </c>
      <c r="C569">
        <f>IF([1]Earnings!G569&lt;=21000,0.0075*[1]Earnings!G569,0)</f>
        <v>0</v>
      </c>
      <c r="D569">
        <v>240</v>
      </c>
    </row>
    <row r="570" spans="1:4" x14ac:dyDescent="0.35">
      <c r="A570" t="s">
        <v>600</v>
      </c>
      <c r="B570">
        <f>MIN(0.12*Earnings!C571,1800)</f>
        <v>1800</v>
      </c>
      <c r="C570">
        <f>IF([1]Earnings!G570&lt;=21000,0.0075*[1]Earnings!G570,0)</f>
        <v>0</v>
      </c>
      <c r="D570">
        <v>340</v>
      </c>
    </row>
    <row r="571" spans="1:4" x14ac:dyDescent="0.35">
      <c r="A571" t="s">
        <v>601</v>
      </c>
      <c r="B571">
        <f>MIN(0.12*Earnings!C572,1800)</f>
        <v>1800</v>
      </c>
      <c r="C571">
        <f>IF([1]Earnings!G571&lt;=21000,0.0075*[1]Earnings!G571,0)</f>
        <v>0</v>
      </c>
      <c r="D571">
        <v>280</v>
      </c>
    </row>
    <row r="572" spans="1:4" x14ac:dyDescent="0.35">
      <c r="A572" t="s">
        <v>602</v>
      </c>
      <c r="B572">
        <f>MIN(0.12*Earnings!C573,1800)</f>
        <v>1800</v>
      </c>
      <c r="C572">
        <f>IF([1]Earnings!G572&lt;=21000,0.0075*[1]Earnings!G572,0)</f>
        <v>0</v>
      </c>
      <c r="D572">
        <v>240</v>
      </c>
    </row>
    <row r="573" spans="1:4" x14ac:dyDescent="0.35">
      <c r="A573" t="s">
        <v>603</v>
      </c>
      <c r="B573">
        <f>MIN(0.12*Earnings!C574,1800)</f>
        <v>1800</v>
      </c>
      <c r="C573">
        <f>IF([1]Earnings!G573&lt;=21000,0.0075*[1]Earnings!G573,0)</f>
        <v>0</v>
      </c>
      <c r="D573">
        <v>280</v>
      </c>
    </row>
    <row r="574" spans="1:4" x14ac:dyDescent="0.35">
      <c r="A574" t="s">
        <v>604</v>
      </c>
      <c r="B574">
        <f>MIN(0.12*Earnings!C575,1800)</f>
        <v>1800</v>
      </c>
      <c r="C574">
        <f>IF([1]Earnings!G574&lt;=21000,0.0075*[1]Earnings!G574,0)</f>
        <v>0</v>
      </c>
      <c r="D574">
        <v>340</v>
      </c>
    </row>
    <row r="575" spans="1:4" x14ac:dyDescent="0.35">
      <c r="A575" t="s">
        <v>605</v>
      </c>
      <c r="B575">
        <f>MIN(0.12*Earnings!C576,1800)</f>
        <v>1800</v>
      </c>
      <c r="C575">
        <f>IF([1]Earnings!G575&lt;=21000,0.0075*[1]Earnings!G575,0)</f>
        <v>0</v>
      </c>
      <c r="D575">
        <v>200</v>
      </c>
    </row>
    <row r="576" spans="1:4" x14ac:dyDescent="0.35">
      <c r="A576" t="s">
        <v>606</v>
      </c>
      <c r="B576">
        <f>MIN(0.12*Earnings!C577,1800)</f>
        <v>1800</v>
      </c>
      <c r="C576">
        <f>IF([1]Earnings!G576&lt;=21000,0.0075*[1]Earnings!G576,0)</f>
        <v>0</v>
      </c>
      <c r="D576">
        <v>280</v>
      </c>
    </row>
    <row r="577" spans="1:4" x14ac:dyDescent="0.35">
      <c r="A577" t="s">
        <v>607</v>
      </c>
      <c r="B577">
        <f>MIN(0.12*Earnings!C578,1800)</f>
        <v>1800</v>
      </c>
      <c r="C577">
        <f>IF([1]Earnings!G577&lt;=21000,0.0075*[1]Earnings!G577,0)</f>
        <v>0</v>
      </c>
      <c r="D577">
        <v>340</v>
      </c>
    </row>
    <row r="578" spans="1:4" x14ac:dyDescent="0.35">
      <c r="A578" t="s">
        <v>608</v>
      </c>
      <c r="B578">
        <f>MIN(0.12*Earnings!C579,1800)</f>
        <v>1800</v>
      </c>
      <c r="C578">
        <f>IF([1]Earnings!G578&lt;=21000,0.0075*[1]Earnings!G578,0)</f>
        <v>0</v>
      </c>
      <c r="D578">
        <v>340</v>
      </c>
    </row>
    <row r="579" spans="1:4" x14ac:dyDescent="0.35">
      <c r="A579" t="s">
        <v>609</v>
      </c>
      <c r="B579">
        <f>MIN(0.12*Earnings!C580,1800)</f>
        <v>1800</v>
      </c>
      <c r="C579">
        <f>IF([1]Earnings!G579&lt;=21000,0.0075*[1]Earnings!G579,0)</f>
        <v>0</v>
      </c>
      <c r="D579">
        <v>240</v>
      </c>
    </row>
    <row r="580" spans="1:4" x14ac:dyDescent="0.35">
      <c r="A580" t="s">
        <v>610</v>
      </c>
      <c r="B580">
        <f>MIN(0.12*Earnings!C581,1800)</f>
        <v>1800</v>
      </c>
      <c r="C580">
        <f>IF([1]Earnings!G580&lt;=21000,0.0075*[1]Earnings!G580,0)</f>
        <v>0</v>
      </c>
      <c r="D580">
        <v>200</v>
      </c>
    </row>
    <row r="581" spans="1:4" x14ac:dyDescent="0.35">
      <c r="A581" t="s">
        <v>611</v>
      </c>
      <c r="B581">
        <f>MIN(0.12*Earnings!C582,1800)</f>
        <v>1800</v>
      </c>
      <c r="C581">
        <f>IF([1]Earnings!G581&lt;=21000,0.0075*[1]Earnings!G581,0)</f>
        <v>0</v>
      </c>
      <c r="D581">
        <v>200</v>
      </c>
    </row>
    <row r="582" spans="1:4" x14ac:dyDescent="0.35">
      <c r="A582" t="s">
        <v>612</v>
      </c>
      <c r="B582">
        <f>MIN(0.12*Earnings!C583,1800)</f>
        <v>1800</v>
      </c>
      <c r="C582">
        <f>IF([1]Earnings!G582&lt;=21000,0.0075*[1]Earnings!G582,0)</f>
        <v>0</v>
      </c>
      <c r="D582">
        <v>340</v>
      </c>
    </row>
    <row r="583" spans="1:4" x14ac:dyDescent="0.35">
      <c r="A583" t="s">
        <v>613</v>
      </c>
      <c r="B583">
        <f>MIN(0.12*Earnings!C584,1800)</f>
        <v>1800</v>
      </c>
      <c r="C583">
        <f>IF([1]Earnings!G583&lt;=21000,0.0075*[1]Earnings!G583,0)</f>
        <v>0</v>
      </c>
      <c r="D583">
        <v>200</v>
      </c>
    </row>
    <row r="584" spans="1:4" x14ac:dyDescent="0.35">
      <c r="A584" t="s">
        <v>614</v>
      </c>
      <c r="B584">
        <f>MIN(0.12*Earnings!C585,1800)</f>
        <v>1800</v>
      </c>
      <c r="C584">
        <f>IF([1]Earnings!G584&lt;=21000,0.0075*[1]Earnings!G584,0)</f>
        <v>0</v>
      </c>
      <c r="D584">
        <v>340</v>
      </c>
    </row>
    <row r="585" spans="1:4" x14ac:dyDescent="0.35">
      <c r="A585" t="s">
        <v>615</v>
      </c>
      <c r="B585">
        <f>MIN(0.12*Earnings!C586,1800)</f>
        <v>1800</v>
      </c>
      <c r="C585">
        <f>IF([1]Earnings!G585&lt;=21000,0.0075*[1]Earnings!G585,0)</f>
        <v>0</v>
      </c>
      <c r="D585">
        <v>340</v>
      </c>
    </row>
    <row r="586" spans="1:4" x14ac:dyDescent="0.35">
      <c r="A586" t="s">
        <v>616</v>
      </c>
      <c r="B586">
        <f>MIN(0.12*Earnings!C587,1800)</f>
        <v>1800</v>
      </c>
      <c r="C586">
        <f>IF([1]Earnings!G586&lt;=21000,0.0075*[1]Earnings!G586,0)</f>
        <v>0</v>
      </c>
      <c r="D586">
        <v>280</v>
      </c>
    </row>
    <row r="587" spans="1:4" x14ac:dyDescent="0.35">
      <c r="A587" t="s">
        <v>617</v>
      </c>
      <c r="B587">
        <f>MIN(0.12*Earnings!C588,1800)</f>
        <v>1800</v>
      </c>
      <c r="C587">
        <f>IF([1]Earnings!G587&lt;=21000,0.0075*[1]Earnings!G587,0)</f>
        <v>0</v>
      </c>
      <c r="D587">
        <v>280</v>
      </c>
    </row>
    <row r="588" spans="1:4" x14ac:dyDescent="0.35">
      <c r="A588" t="s">
        <v>618</v>
      </c>
      <c r="B588">
        <f>MIN(0.12*Earnings!C589,1800)</f>
        <v>1800</v>
      </c>
      <c r="C588">
        <f>IF([1]Earnings!G588&lt;=21000,0.0075*[1]Earnings!G588,0)</f>
        <v>0</v>
      </c>
      <c r="D588">
        <v>200</v>
      </c>
    </row>
    <row r="589" spans="1:4" x14ac:dyDescent="0.35">
      <c r="A589" t="s">
        <v>619</v>
      </c>
      <c r="B589">
        <f>MIN(0.12*Earnings!C590,1800)</f>
        <v>1800</v>
      </c>
      <c r="C589">
        <f>IF([1]Earnings!G589&lt;=21000,0.0075*[1]Earnings!G589,0)</f>
        <v>0</v>
      </c>
      <c r="D589">
        <v>200</v>
      </c>
    </row>
    <row r="590" spans="1:4" x14ac:dyDescent="0.35">
      <c r="A590" t="s">
        <v>620</v>
      </c>
      <c r="B590">
        <f>MIN(0.12*Earnings!C591,1800)</f>
        <v>1800</v>
      </c>
      <c r="C590">
        <f>IF([1]Earnings!G590&lt;=21000,0.0075*[1]Earnings!G590,0)</f>
        <v>0</v>
      </c>
      <c r="D590">
        <v>340</v>
      </c>
    </row>
    <row r="591" spans="1:4" x14ac:dyDescent="0.35">
      <c r="A591" t="s">
        <v>621</v>
      </c>
      <c r="B591">
        <f>MIN(0.12*Earnings!C592,1800)</f>
        <v>1800</v>
      </c>
      <c r="C591">
        <f>IF([1]Earnings!G591&lt;=21000,0.0075*[1]Earnings!G591,0)</f>
        <v>0</v>
      </c>
      <c r="D591">
        <v>240</v>
      </c>
    </row>
    <row r="592" spans="1:4" x14ac:dyDescent="0.35">
      <c r="A592" t="s">
        <v>622</v>
      </c>
      <c r="B592">
        <f>MIN(0.12*Earnings!C593,1800)</f>
        <v>1800</v>
      </c>
      <c r="C592">
        <f>IF([1]Earnings!G592&lt;=21000,0.0075*[1]Earnings!G592,0)</f>
        <v>0</v>
      </c>
      <c r="D592">
        <v>340</v>
      </c>
    </row>
    <row r="593" spans="1:4" x14ac:dyDescent="0.35">
      <c r="A593" t="s">
        <v>623</v>
      </c>
      <c r="B593">
        <f>MIN(0.12*Earnings!C594,1800)</f>
        <v>1800</v>
      </c>
      <c r="C593">
        <f>IF([1]Earnings!G593&lt;=21000,0.0075*[1]Earnings!G593,0)</f>
        <v>0</v>
      </c>
      <c r="D593">
        <v>280</v>
      </c>
    </row>
    <row r="594" spans="1:4" x14ac:dyDescent="0.35">
      <c r="A594" t="s">
        <v>624</v>
      </c>
      <c r="B594">
        <f>MIN(0.12*Earnings!C595,1800)</f>
        <v>1800</v>
      </c>
      <c r="C594">
        <f>IF([1]Earnings!G594&lt;=21000,0.0075*[1]Earnings!G594,0)</f>
        <v>0</v>
      </c>
      <c r="D594">
        <v>280</v>
      </c>
    </row>
    <row r="595" spans="1:4" x14ac:dyDescent="0.35">
      <c r="A595" t="s">
        <v>625</v>
      </c>
      <c r="B595">
        <f>MIN(0.12*Earnings!C596,1800)</f>
        <v>1800</v>
      </c>
      <c r="C595">
        <f>IF([1]Earnings!G595&lt;=21000,0.0075*[1]Earnings!G595,0)</f>
        <v>0</v>
      </c>
      <c r="D595">
        <v>340</v>
      </c>
    </row>
    <row r="596" spans="1:4" x14ac:dyDescent="0.35">
      <c r="A596" t="s">
        <v>626</v>
      </c>
      <c r="B596">
        <f>MIN(0.12*Earnings!C597,1800)</f>
        <v>1800</v>
      </c>
      <c r="C596">
        <f>IF([1]Earnings!G596&lt;=21000,0.0075*[1]Earnings!G596,0)</f>
        <v>0</v>
      </c>
      <c r="D596">
        <v>280</v>
      </c>
    </row>
    <row r="597" spans="1:4" x14ac:dyDescent="0.35">
      <c r="A597" t="s">
        <v>627</v>
      </c>
      <c r="B597">
        <f>MIN(0.12*Earnings!C598,1800)</f>
        <v>1800</v>
      </c>
      <c r="C597">
        <f>IF([1]Earnings!G597&lt;=21000,0.0075*[1]Earnings!G597,0)</f>
        <v>0</v>
      </c>
      <c r="D597">
        <v>240</v>
      </c>
    </row>
    <row r="598" spans="1:4" x14ac:dyDescent="0.35">
      <c r="A598" t="s">
        <v>628</v>
      </c>
      <c r="B598">
        <f>MIN(0.12*Earnings!C599,1800)</f>
        <v>1800</v>
      </c>
      <c r="C598">
        <f>IF([1]Earnings!G598&lt;=21000,0.0075*[1]Earnings!G598,0)</f>
        <v>0</v>
      </c>
      <c r="D598">
        <v>280</v>
      </c>
    </row>
    <row r="599" spans="1:4" x14ac:dyDescent="0.35">
      <c r="A599" t="s">
        <v>629</v>
      </c>
      <c r="B599">
        <f>MIN(0.12*Earnings!C600,1800)</f>
        <v>1800</v>
      </c>
      <c r="C599">
        <f>IF([1]Earnings!G599&lt;=21000,0.0075*[1]Earnings!G599,0)</f>
        <v>0</v>
      </c>
      <c r="D599">
        <v>200</v>
      </c>
    </row>
    <row r="600" spans="1:4" x14ac:dyDescent="0.35">
      <c r="A600" t="s">
        <v>630</v>
      </c>
      <c r="B600">
        <f>MIN(0.12*Earnings!C601,1800)</f>
        <v>1800</v>
      </c>
      <c r="C600">
        <f>IF([1]Earnings!G600&lt;=21000,0.0075*[1]Earnings!G600,0)</f>
        <v>0</v>
      </c>
      <c r="D600">
        <v>280</v>
      </c>
    </row>
    <row r="601" spans="1:4" x14ac:dyDescent="0.35">
      <c r="A601" t="s">
        <v>631</v>
      </c>
      <c r="B601">
        <f>MIN(0.12*Earnings!C602,1800)</f>
        <v>1800</v>
      </c>
      <c r="C601">
        <f>IF([1]Earnings!G601&lt;=21000,0.0075*[1]Earnings!G601,0)</f>
        <v>0</v>
      </c>
      <c r="D601">
        <v>280</v>
      </c>
    </row>
    <row r="602" spans="1:4" x14ac:dyDescent="0.35">
      <c r="A602" t="s">
        <v>632</v>
      </c>
      <c r="B602">
        <f>MIN(0.12*Earnings!C603,1800)</f>
        <v>1800</v>
      </c>
      <c r="C602">
        <f>IF([1]Earnings!G602&lt;=21000,0.0075*[1]Earnings!G602,0)</f>
        <v>0</v>
      </c>
      <c r="D602">
        <v>200</v>
      </c>
    </row>
    <row r="603" spans="1:4" x14ac:dyDescent="0.35">
      <c r="A603" t="s">
        <v>633</v>
      </c>
      <c r="B603">
        <f>MIN(0.12*Earnings!C604,1800)</f>
        <v>1800</v>
      </c>
      <c r="C603">
        <f>IF([1]Earnings!G603&lt;=21000,0.0075*[1]Earnings!G603,0)</f>
        <v>0</v>
      </c>
      <c r="D603">
        <v>340</v>
      </c>
    </row>
    <row r="604" spans="1:4" x14ac:dyDescent="0.35">
      <c r="A604" t="s">
        <v>634</v>
      </c>
      <c r="B604">
        <f>MIN(0.12*Earnings!C605,1800)</f>
        <v>1800</v>
      </c>
      <c r="C604">
        <f>IF([1]Earnings!G604&lt;=21000,0.0075*[1]Earnings!G604,0)</f>
        <v>0</v>
      </c>
      <c r="D604">
        <v>240</v>
      </c>
    </row>
    <row r="605" spans="1:4" x14ac:dyDescent="0.35">
      <c r="A605" t="s">
        <v>635</v>
      </c>
      <c r="B605">
        <f>MIN(0.12*Earnings!C606,1800)</f>
        <v>1800</v>
      </c>
      <c r="C605">
        <f>IF([1]Earnings!G605&lt;=21000,0.0075*[1]Earnings!G605,0)</f>
        <v>0</v>
      </c>
      <c r="D605">
        <v>240</v>
      </c>
    </row>
    <row r="606" spans="1:4" x14ac:dyDescent="0.35">
      <c r="A606" t="s">
        <v>636</v>
      </c>
      <c r="B606">
        <f>MIN(0.12*Earnings!C607,1800)</f>
        <v>1800</v>
      </c>
      <c r="C606">
        <f>IF([1]Earnings!G606&lt;=21000,0.0075*[1]Earnings!G606,0)</f>
        <v>0</v>
      </c>
      <c r="D606">
        <v>340</v>
      </c>
    </row>
    <row r="607" spans="1:4" x14ac:dyDescent="0.35">
      <c r="A607" t="s">
        <v>637</v>
      </c>
      <c r="B607">
        <f>MIN(0.12*Earnings!C608,1800)</f>
        <v>1800</v>
      </c>
      <c r="C607">
        <f>IF([1]Earnings!G607&lt;=21000,0.0075*[1]Earnings!G607,0)</f>
        <v>0</v>
      </c>
      <c r="D607">
        <v>240</v>
      </c>
    </row>
    <row r="608" spans="1:4" x14ac:dyDescent="0.35">
      <c r="A608" t="s">
        <v>638</v>
      </c>
      <c r="B608">
        <f>MIN(0.12*Earnings!C609,1800)</f>
        <v>1800</v>
      </c>
      <c r="C608">
        <f>IF([1]Earnings!G608&lt;=21000,0.0075*[1]Earnings!G608,0)</f>
        <v>0</v>
      </c>
      <c r="D608">
        <v>280</v>
      </c>
    </row>
    <row r="609" spans="1:4" x14ac:dyDescent="0.35">
      <c r="A609" t="s">
        <v>639</v>
      </c>
      <c r="B609">
        <f>MIN(0.12*Earnings!C610,1800)</f>
        <v>1800</v>
      </c>
      <c r="C609">
        <f>IF([1]Earnings!G609&lt;=21000,0.0075*[1]Earnings!G609,0)</f>
        <v>0</v>
      </c>
      <c r="D609">
        <v>280</v>
      </c>
    </row>
    <row r="610" spans="1:4" x14ac:dyDescent="0.35">
      <c r="A610" t="s">
        <v>640</v>
      </c>
      <c r="B610">
        <f>MIN(0.12*Earnings!C611,1800)</f>
        <v>1800</v>
      </c>
      <c r="C610">
        <f>IF([1]Earnings!G610&lt;=21000,0.0075*[1]Earnings!G610,0)</f>
        <v>0</v>
      </c>
      <c r="D610">
        <v>240</v>
      </c>
    </row>
    <row r="611" spans="1:4" x14ac:dyDescent="0.35">
      <c r="A611" t="s">
        <v>641</v>
      </c>
      <c r="B611">
        <f>MIN(0.12*Earnings!C612,1800)</f>
        <v>1800</v>
      </c>
      <c r="C611">
        <f>IF([1]Earnings!G611&lt;=21000,0.0075*[1]Earnings!G611,0)</f>
        <v>0</v>
      </c>
      <c r="D611">
        <v>200</v>
      </c>
    </row>
    <row r="612" spans="1:4" x14ac:dyDescent="0.35">
      <c r="A612" t="s">
        <v>642</v>
      </c>
      <c r="B612">
        <f>MIN(0.12*Earnings!C613,1800)</f>
        <v>1800</v>
      </c>
      <c r="C612">
        <f>IF([1]Earnings!G612&lt;=21000,0.0075*[1]Earnings!G612,0)</f>
        <v>0</v>
      </c>
      <c r="D612">
        <v>280</v>
      </c>
    </row>
    <row r="613" spans="1:4" x14ac:dyDescent="0.35">
      <c r="A613" t="s">
        <v>643</v>
      </c>
      <c r="B613">
        <f>MIN(0.12*Earnings!C614,1800)</f>
        <v>1800</v>
      </c>
      <c r="C613">
        <f>IF([1]Earnings!G613&lt;=21000,0.0075*[1]Earnings!G613,0)</f>
        <v>0</v>
      </c>
      <c r="D613">
        <v>340</v>
      </c>
    </row>
    <row r="614" spans="1:4" x14ac:dyDescent="0.35">
      <c r="A614" t="s">
        <v>644</v>
      </c>
      <c r="B614">
        <f>MIN(0.12*Earnings!C615,1800)</f>
        <v>1800</v>
      </c>
      <c r="C614">
        <f>IF([1]Earnings!G614&lt;=21000,0.0075*[1]Earnings!G614,0)</f>
        <v>0</v>
      </c>
      <c r="D614">
        <v>280</v>
      </c>
    </row>
    <row r="615" spans="1:4" x14ac:dyDescent="0.35">
      <c r="A615" t="s">
        <v>645</v>
      </c>
      <c r="B615">
        <f>MIN(0.12*Earnings!C616,1800)</f>
        <v>1800</v>
      </c>
      <c r="C615">
        <f>IF([1]Earnings!G615&lt;=21000,0.0075*[1]Earnings!G615,0)</f>
        <v>0</v>
      </c>
      <c r="D615">
        <v>200</v>
      </c>
    </row>
    <row r="616" spans="1:4" x14ac:dyDescent="0.35">
      <c r="A616" t="s">
        <v>646</v>
      </c>
      <c r="B616">
        <f>MIN(0.12*Earnings!C617,1800)</f>
        <v>1800</v>
      </c>
      <c r="C616">
        <f>IF([1]Earnings!G616&lt;=21000,0.0075*[1]Earnings!G616,0)</f>
        <v>0</v>
      </c>
      <c r="D616">
        <v>200</v>
      </c>
    </row>
    <row r="617" spans="1:4" x14ac:dyDescent="0.35">
      <c r="A617" t="s">
        <v>647</v>
      </c>
      <c r="B617">
        <f>MIN(0.12*Earnings!C618,1800)</f>
        <v>1800</v>
      </c>
      <c r="C617">
        <f>IF([1]Earnings!G617&lt;=21000,0.0075*[1]Earnings!G617,0)</f>
        <v>0</v>
      </c>
      <c r="D617">
        <v>200</v>
      </c>
    </row>
    <row r="618" spans="1:4" x14ac:dyDescent="0.35">
      <c r="A618" t="s">
        <v>648</v>
      </c>
      <c r="B618">
        <f>MIN(0.12*Earnings!C619,1800)</f>
        <v>1800</v>
      </c>
      <c r="C618">
        <f>IF([1]Earnings!G618&lt;=21000,0.0075*[1]Earnings!G618,0)</f>
        <v>0</v>
      </c>
      <c r="D618">
        <v>200</v>
      </c>
    </row>
    <row r="619" spans="1:4" x14ac:dyDescent="0.35">
      <c r="A619" t="s">
        <v>649</v>
      </c>
      <c r="B619">
        <f>MIN(0.12*Earnings!C620,1800)</f>
        <v>1800</v>
      </c>
      <c r="C619">
        <f>IF([1]Earnings!G619&lt;=21000,0.0075*[1]Earnings!G619,0)</f>
        <v>0</v>
      </c>
      <c r="D619">
        <v>200</v>
      </c>
    </row>
    <row r="620" spans="1:4" x14ac:dyDescent="0.35">
      <c r="A620" t="s">
        <v>650</v>
      </c>
      <c r="B620">
        <f>MIN(0.12*Earnings!C621,1800)</f>
        <v>1800</v>
      </c>
      <c r="C620">
        <f>IF([1]Earnings!G620&lt;=21000,0.0075*[1]Earnings!G620,0)</f>
        <v>0</v>
      </c>
      <c r="D620">
        <v>240</v>
      </c>
    </row>
    <row r="621" spans="1:4" x14ac:dyDescent="0.35">
      <c r="A621" t="s">
        <v>651</v>
      </c>
      <c r="B621">
        <f>MIN(0.12*Earnings!C622,1800)</f>
        <v>1800</v>
      </c>
      <c r="C621">
        <f>IF([1]Earnings!G621&lt;=21000,0.0075*[1]Earnings!G621,0)</f>
        <v>0</v>
      </c>
      <c r="D621">
        <v>340</v>
      </c>
    </row>
    <row r="622" spans="1:4" x14ac:dyDescent="0.35">
      <c r="A622" t="s">
        <v>652</v>
      </c>
      <c r="B622">
        <f>MIN(0.12*Earnings!C623,1800)</f>
        <v>1800</v>
      </c>
      <c r="C622">
        <f>IF([1]Earnings!G622&lt;=21000,0.0075*[1]Earnings!G622,0)</f>
        <v>0</v>
      </c>
      <c r="D622">
        <v>240</v>
      </c>
    </row>
    <row r="623" spans="1:4" x14ac:dyDescent="0.35">
      <c r="A623" t="s">
        <v>653</v>
      </c>
      <c r="B623">
        <f>MIN(0.12*Earnings!C624,1800)</f>
        <v>1800</v>
      </c>
      <c r="C623">
        <f>IF([1]Earnings!G623&lt;=21000,0.0075*[1]Earnings!G623,0)</f>
        <v>0</v>
      </c>
      <c r="D623">
        <v>200</v>
      </c>
    </row>
    <row r="624" spans="1:4" x14ac:dyDescent="0.35">
      <c r="A624" t="s">
        <v>654</v>
      </c>
      <c r="B624">
        <f>MIN(0.12*Earnings!C625,1800)</f>
        <v>1800</v>
      </c>
      <c r="C624">
        <f>IF([1]Earnings!G624&lt;=21000,0.0075*[1]Earnings!G624,0)</f>
        <v>0</v>
      </c>
      <c r="D624">
        <v>340</v>
      </c>
    </row>
    <row r="625" spans="1:4" x14ac:dyDescent="0.35">
      <c r="A625" t="s">
        <v>655</v>
      </c>
      <c r="B625">
        <f>MIN(0.12*Earnings!C626,1800)</f>
        <v>1800</v>
      </c>
      <c r="C625">
        <f>IF([1]Earnings!G625&lt;=21000,0.0075*[1]Earnings!G625,0)</f>
        <v>0</v>
      </c>
      <c r="D625">
        <v>240</v>
      </c>
    </row>
    <row r="626" spans="1:4" x14ac:dyDescent="0.35">
      <c r="A626" t="s">
        <v>656</v>
      </c>
      <c r="B626">
        <f>MIN(0.12*Earnings!C627,1800)</f>
        <v>1800</v>
      </c>
      <c r="C626">
        <f>IF([1]Earnings!G626&lt;=21000,0.0075*[1]Earnings!G626,0)</f>
        <v>0</v>
      </c>
      <c r="D626">
        <v>340</v>
      </c>
    </row>
    <row r="627" spans="1:4" x14ac:dyDescent="0.35">
      <c r="A627" t="s">
        <v>657</v>
      </c>
      <c r="B627">
        <f>MIN(0.12*Earnings!C628,1800)</f>
        <v>1800</v>
      </c>
      <c r="C627">
        <f>IF([1]Earnings!G627&lt;=21000,0.0075*[1]Earnings!G627,0)</f>
        <v>0</v>
      </c>
      <c r="D627">
        <v>240</v>
      </c>
    </row>
    <row r="628" spans="1:4" x14ac:dyDescent="0.35">
      <c r="A628" t="s">
        <v>658</v>
      </c>
      <c r="B628">
        <f>MIN(0.12*Earnings!C629,1800)</f>
        <v>1800</v>
      </c>
      <c r="C628">
        <f>IF([1]Earnings!G628&lt;=21000,0.0075*[1]Earnings!G628,0)</f>
        <v>0</v>
      </c>
      <c r="D628">
        <v>200</v>
      </c>
    </row>
    <row r="629" spans="1:4" x14ac:dyDescent="0.35">
      <c r="A629" t="s">
        <v>659</v>
      </c>
      <c r="B629">
        <f>MIN(0.12*Earnings!C630,1800)</f>
        <v>1800</v>
      </c>
      <c r="C629">
        <f>IF([1]Earnings!G629&lt;=21000,0.0075*[1]Earnings!G629,0)</f>
        <v>0</v>
      </c>
      <c r="D629">
        <v>200</v>
      </c>
    </row>
    <row r="630" spans="1:4" x14ac:dyDescent="0.35">
      <c r="A630" t="s">
        <v>660</v>
      </c>
      <c r="B630">
        <f>MIN(0.12*Earnings!C631,1800)</f>
        <v>1800</v>
      </c>
      <c r="C630">
        <f>IF([1]Earnings!G630&lt;=21000,0.0075*[1]Earnings!G630,0)</f>
        <v>0</v>
      </c>
      <c r="D630">
        <v>280</v>
      </c>
    </row>
    <row r="631" spans="1:4" x14ac:dyDescent="0.35">
      <c r="A631" t="s">
        <v>661</v>
      </c>
      <c r="B631">
        <f>MIN(0.12*Earnings!C632,1800)</f>
        <v>1800</v>
      </c>
      <c r="C631">
        <f>IF([1]Earnings!G631&lt;=21000,0.0075*[1]Earnings!G631,0)</f>
        <v>0</v>
      </c>
      <c r="D631">
        <v>280</v>
      </c>
    </row>
    <row r="632" spans="1:4" x14ac:dyDescent="0.35">
      <c r="A632" t="s">
        <v>662</v>
      </c>
      <c r="B632">
        <f>MIN(0.12*Earnings!C633,1800)</f>
        <v>1800</v>
      </c>
      <c r="C632">
        <f>IF([1]Earnings!G632&lt;=21000,0.0075*[1]Earnings!G632,0)</f>
        <v>0</v>
      </c>
      <c r="D632">
        <v>340</v>
      </c>
    </row>
    <row r="633" spans="1:4" x14ac:dyDescent="0.35">
      <c r="A633" t="s">
        <v>663</v>
      </c>
      <c r="B633">
        <f>MIN(0.12*Earnings!C634,1800)</f>
        <v>1800</v>
      </c>
      <c r="C633">
        <f>IF([1]Earnings!G633&lt;=21000,0.0075*[1]Earnings!G633,0)</f>
        <v>0</v>
      </c>
      <c r="D633">
        <v>200</v>
      </c>
    </row>
    <row r="634" spans="1:4" x14ac:dyDescent="0.35">
      <c r="A634" t="s">
        <v>664</v>
      </c>
      <c r="B634">
        <f>MIN(0.12*Earnings!C635,1800)</f>
        <v>1800</v>
      </c>
      <c r="C634">
        <f>IF([1]Earnings!G634&lt;=21000,0.0075*[1]Earnings!G634,0)</f>
        <v>0</v>
      </c>
      <c r="D634">
        <v>280</v>
      </c>
    </row>
    <row r="635" spans="1:4" x14ac:dyDescent="0.35">
      <c r="A635" t="s">
        <v>665</v>
      </c>
      <c r="B635">
        <f>MIN(0.12*Earnings!C636,1800)</f>
        <v>1800</v>
      </c>
      <c r="C635">
        <f>IF([1]Earnings!G635&lt;=21000,0.0075*[1]Earnings!G635,0)</f>
        <v>0</v>
      </c>
      <c r="D635">
        <v>340</v>
      </c>
    </row>
    <row r="636" spans="1:4" x14ac:dyDescent="0.35">
      <c r="A636" t="s">
        <v>666</v>
      </c>
      <c r="B636">
        <f>MIN(0.12*Earnings!C637,1800)</f>
        <v>1800</v>
      </c>
      <c r="C636">
        <f>IF([1]Earnings!G636&lt;=21000,0.0075*[1]Earnings!G636,0)</f>
        <v>0</v>
      </c>
      <c r="D636">
        <v>200</v>
      </c>
    </row>
    <row r="637" spans="1:4" x14ac:dyDescent="0.35">
      <c r="A637" t="s">
        <v>667</v>
      </c>
      <c r="B637">
        <f>MIN(0.12*Earnings!C638,1800)</f>
        <v>1800</v>
      </c>
      <c r="C637">
        <f>IF([1]Earnings!G637&lt;=21000,0.0075*[1]Earnings!G637,0)</f>
        <v>0</v>
      </c>
      <c r="D637">
        <v>340</v>
      </c>
    </row>
    <row r="638" spans="1:4" x14ac:dyDescent="0.35">
      <c r="A638" t="s">
        <v>668</v>
      </c>
      <c r="B638">
        <f>MIN(0.12*Earnings!C639,1800)</f>
        <v>1800</v>
      </c>
      <c r="C638">
        <f>IF([1]Earnings!G638&lt;=21000,0.0075*[1]Earnings!G638,0)</f>
        <v>0</v>
      </c>
      <c r="D638">
        <v>340</v>
      </c>
    </row>
    <row r="639" spans="1:4" x14ac:dyDescent="0.35">
      <c r="A639" t="s">
        <v>669</v>
      </c>
      <c r="B639">
        <f>MIN(0.12*Earnings!C640,1800)</f>
        <v>1800</v>
      </c>
      <c r="C639">
        <f>IF([1]Earnings!G639&lt;=21000,0.0075*[1]Earnings!G639,0)</f>
        <v>0</v>
      </c>
      <c r="D639">
        <v>280</v>
      </c>
    </row>
    <row r="640" spans="1:4" x14ac:dyDescent="0.35">
      <c r="A640" t="s">
        <v>670</v>
      </c>
      <c r="B640">
        <f>MIN(0.12*Earnings!C641,1800)</f>
        <v>1800</v>
      </c>
      <c r="C640">
        <f>IF([1]Earnings!G640&lt;=21000,0.0075*[1]Earnings!G640,0)</f>
        <v>0</v>
      </c>
      <c r="D640">
        <v>280</v>
      </c>
    </row>
    <row r="641" spans="1:4" x14ac:dyDescent="0.35">
      <c r="A641" t="s">
        <v>671</v>
      </c>
      <c r="B641">
        <f>MIN(0.12*Earnings!C642,1800)</f>
        <v>1800</v>
      </c>
      <c r="C641">
        <f>IF([1]Earnings!G641&lt;=21000,0.0075*[1]Earnings!G641,0)</f>
        <v>0</v>
      </c>
      <c r="D641">
        <v>200</v>
      </c>
    </row>
    <row r="642" spans="1:4" x14ac:dyDescent="0.35">
      <c r="A642" t="s">
        <v>672</v>
      </c>
      <c r="B642">
        <f>MIN(0.12*Earnings!C643,1800)</f>
        <v>1800</v>
      </c>
      <c r="C642">
        <f>IF([1]Earnings!G642&lt;=21000,0.0075*[1]Earnings!G642,0)</f>
        <v>0</v>
      </c>
      <c r="D642">
        <v>340</v>
      </c>
    </row>
    <row r="643" spans="1:4" x14ac:dyDescent="0.35">
      <c r="A643" t="s">
        <v>673</v>
      </c>
      <c r="B643">
        <f>MIN(0.12*Earnings!C644,1800)</f>
        <v>1800</v>
      </c>
      <c r="C643">
        <f>IF([1]Earnings!G643&lt;=21000,0.0075*[1]Earnings!G643,0)</f>
        <v>0</v>
      </c>
      <c r="D643">
        <v>240</v>
      </c>
    </row>
    <row r="644" spans="1:4" x14ac:dyDescent="0.35">
      <c r="A644" t="s">
        <v>674</v>
      </c>
      <c r="B644">
        <f>MIN(0.12*Earnings!C645,1800)</f>
        <v>1800</v>
      </c>
      <c r="C644">
        <f>IF([1]Earnings!G644&lt;=21000,0.0075*[1]Earnings!G644,0)</f>
        <v>0</v>
      </c>
      <c r="D644">
        <v>240</v>
      </c>
    </row>
    <row r="645" spans="1:4" x14ac:dyDescent="0.35">
      <c r="A645" t="s">
        <v>675</v>
      </c>
      <c r="B645">
        <f>MIN(0.12*Earnings!C646,1800)</f>
        <v>1800</v>
      </c>
      <c r="C645">
        <f>IF([1]Earnings!G645&lt;=21000,0.0075*[1]Earnings!G645,0)</f>
        <v>0</v>
      </c>
      <c r="D645">
        <v>200</v>
      </c>
    </row>
    <row r="646" spans="1:4" x14ac:dyDescent="0.35">
      <c r="A646" t="s">
        <v>676</v>
      </c>
      <c r="B646">
        <f>MIN(0.12*Earnings!C647,1800)</f>
        <v>1800</v>
      </c>
      <c r="C646">
        <f>IF([1]Earnings!G646&lt;=21000,0.0075*[1]Earnings!G646,0)</f>
        <v>0</v>
      </c>
      <c r="D646">
        <v>200</v>
      </c>
    </row>
    <row r="647" spans="1:4" x14ac:dyDescent="0.35">
      <c r="A647" t="s">
        <v>677</v>
      </c>
      <c r="B647">
        <f>MIN(0.12*Earnings!C648,1800)</f>
        <v>1800</v>
      </c>
      <c r="C647">
        <f>IF([1]Earnings!G647&lt;=21000,0.0075*[1]Earnings!G647,0)</f>
        <v>0</v>
      </c>
      <c r="D647">
        <v>200</v>
      </c>
    </row>
    <row r="648" spans="1:4" x14ac:dyDescent="0.35">
      <c r="A648" t="s">
        <v>678</v>
      </c>
      <c r="B648">
        <f>MIN(0.12*Earnings!C649,1800)</f>
        <v>1800</v>
      </c>
      <c r="C648">
        <f>IF([1]Earnings!G648&lt;=21000,0.0075*[1]Earnings!G648,0)</f>
        <v>0</v>
      </c>
      <c r="D648">
        <v>280</v>
      </c>
    </row>
    <row r="649" spans="1:4" x14ac:dyDescent="0.35">
      <c r="A649" t="s">
        <v>679</v>
      </c>
      <c r="B649">
        <f>MIN(0.12*Earnings!C650,1800)</f>
        <v>1800</v>
      </c>
      <c r="C649">
        <f>IF([1]Earnings!G649&lt;=21000,0.0075*[1]Earnings!G649,0)</f>
        <v>0</v>
      </c>
      <c r="D649">
        <v>280</v>
      </c>
    </row>
    <row r="650" spans="1:4" x14ac:dyDescent="0.35">
      <c r="A650" t="s">
        <v>680</v>
      </c>
      <c r="B650">
        <f>MIN(0.12*Earnings!C651,1800)</f>
        <v>1800</v>
      </c>
      <c r="C650">
        <f>IF([1]Earnings!G650&lt;=21000,0.0075*[1]Earnings!G650,0)</f>
        <v>0</v>
      </c>
      <c r="D650">
        <v>280</v>
      </c>
    </row>
    <row r="651" spans="1:4" x14ac:dyDescent="0.35">
      <c r="A651" t="s">
        <v>681</v>
      </c>
      <c r="B651">
        <f>MIN(0.12*Earnings!C652,1800)</f>
        <v>1800</v>
      </c>
      <c r="C651">
        <f>IF([1]Earnings!G651&lt;=21000,0.0075*[1]Earnings!G651,0)</f>
        <v>0</v>
      </c>
      <c r="D651">
        <v>200</v>
      </c>
    </row>
    <row r="652" spans="1:4" x14ac:dyDescent="0.35">
      <c r="A652" t="s">
        <v>682</v>
      </c>
      <c r="B652">
        <f>MIN(0.12*Earnings!C653,1800)</f>
        <v>1800</v>
      </c>
      <c r="C652">
        <f>IF([1]Earnings!G652&lt;=21000,0.0075*[1]Earnings!G652,0)</f>
        <v>0</v>
      </c>
      <c r="D652">
        <v>240</v>
      </c>
    </row>
    <row r="653" spans="1:4" x14ac:dyDescent="0.35">
      <c r="A653" t="s">
        <v>683</v>
      </c>
      <c r="B653">
        <f>MIN(0.12*Earnings!C654,1800)</f>
        <v>1800</v>
      </c>
      <c r="C653">
        <f>IF([1]Earnings!G653&lt;=21000,0.0075*[1]Earnings!G653,0)</f>
        <v>0</v>
      </c>
      <c r="D653">
        <v>340</v>
      </c>
    </row>
    <row r="654" spans="1:4" x14ac:dyDescent="0.35">
      <c r="A654" t="s">
        <v>684</v>
      </c>
      <c r="B654">
        <f>MIN(0.12*Earnings!C655,1800)</f>
        <v>1800</v>
      </c>
      <c r="C654">
        <f>IF([1]Earnings!G654&lt;=21000,0.0075*[1]Earnings!G654,0)</f>
        <v>0</v>
      </c>
      <c r="D654">
        <v>340</v>
      </c>
    </row>
    <row r="655" spans="1:4" x14ac:dyDescent="0.35">
      <c r="A655" t="s">
        <v>685</v>
      </c>
      <c r="B655">
        <f>MIN(0.12*Earnings!C656,1800)</f>
        <v>1800</v>
      </c>
      <c r="C655">
        <f>IF([1]Earnings!G655&lt;=21000,0.0075*[1]Earnings!G655,0)</f>
        <v>0</v>
      </c>
      <c r="D655">
        <v>340</v>
      </c>
    </row>
    <row r="656" spans="1:4" x14ac:dyDescent="0.35">
      <c r="A656" t="s">
        <v>686</v>
      </c>
      <c r="B656">
        <f>MIN(0.12*Earnings!C657,1800)</f>
        <v>1800</v>
      </c>
      <c r="C656">
        <f>IF([1]Earnings!G656&lt;=21000,0.0075*[1]Earnings!G656,0)</f>
        <v>0</v>
      </c>
      <c r="D656">
        <v>280</v>
      </c>
    </row>
    <row r="657" spans="1:4" x14ac:dyDescent="0.35">
      <c r="A657" t="s">
        <v>687</v>
      </c>
      <c r="B657">
        <f>MIN(0.12*Earnings!C658,1800)</f>
        <v>1800</v>
      </c>
      <c r="C657">
        <f>IF([1]Earnings!G657&lt;=21000,0.0075*[1]Earnings!G657,0)</f>
        <v>0</v>
      </c>
      <c r="D657">
        <v>280</v>
      </c>
    </row>
    <row r="658" spans="1:4" x14ac:dyDescent="0.35">
      <c r="A658" t="s">
        <v>688</v>
      </c>
      <c r="B658">
        <f>MIN(0.12*Earnings!C659,1800)</f>
        <v>1800</v>
      </c>
      <c r="C658">
        <f>IF([1]Earnings!G658&lt;=21000,0.0075*[1]Earnings!G658,0)</f>
        <v>0</v>
      </c>
      <c r="D658">
        <v>240</v>
      </c>
    </row>
    <row r="659" spans="1:4" x14ac:dyDescent="0.35">
      <c r="A659" t="s">
        <v>689</v>
      </c>
      <c r="B659">
        <f>MIN(0.12*Earnings!C660,1800)</f>
        <v>1800</v>
      </c>
      <c r="C659">
        <f>IF([1]Earnings!G659&lt;=21000,0.0075*[1]Earnings!G659,0)</f>
        <v>0</v>
      </c>
      <c r="D659">
        <v>200</v>
      </c>
    </row>
    <row r="660" spans="1:4" x14ac:dyDescent="0.35">
      <c r="A660" t="s">
        <v>690</v>
      </c>
      <c r="B660">
        <f>MIN(0.12*Earnings!C661,1800)</f>
        <v>1800</v>
      </c>
      <c r="C660">
        <f>IF([1]Earnings!G660&lt;=21000,0.0075*[1]Earnings!G660,0)</f>
        <v>0</v>
      </c>
      <c r="D660">
        <v>240</v>
      </c>
    </row>
    <row r="661" spans="1:4" x14ac:dyDescent="0.35">
      <c r="A661" t="s">
        <v>691</v>
      </c>
      <c r="B661">
        <f>MIN(0.12*Earnings!C662,1800)</f>
        <v>1800</v>
      </c>
      <c r="C661">
        <f>IF([1]Earnings!G661&lt;=21000,0.0075*[1]Earnings!G661,0)</f>
        <v>0</v>
      </c>
      <c r="D661">
        <v>200</v>
      </c>
    </row>
    <row r="662" spans="1:4" x14ac:dyDescent="0.35">
      <c r="A662" t="s">
        <v>692</v>
      </c>
      <c r="B662">
        <f>MIN(0.12*Earnings!C663,1800)</f>
        <v>1800</v>
      </c>
      <c r="C662">
        <f>IF([1]Earnings!G662&lt;=21000,0.0075*[1]Earnings!G662,0)</f>
        <v>0</v>
      </c>
      <c r="D662">
        <v>240</v>
      </c>
    </row>
    <row r="663" spans="1:4" x14ac:dyDescent="0.35">
      <c r="A663" t="s">
        <v>693</v>
      </c>
      <c r="B663">
        <f>MIN(0.12*Earnings!C664,1800)</f>
        <v>1800</v>
      </c>
      <c r="C663">
        <f>IF([1]Earnings!G663&lt;=21000,0.0075*[1]Earnings!G663,0)</f>
        <v>0</v>
      </c>
      <c r="D663">
        <v>200</v>
      </c>
    </row>
    <row r="664" spans="1:4" x14ac:dyDescent="0.35">
      <c r="A664" t="s">
        <v>694</v>
      </c>
      <c r="B664">
        <f>MIN(0.12*Earnings!C665,1800)</f>
        <v>1800</v>
      </c>
      <c r="C664">
        <f>IF([1]Earnings!G664&lt;=21000,0.0075*[1]Earnings!G664,0)</f>
        <v>0</v>
      </c>
      <c r="D664">
        <v>200</v>
      </c>
    </row>
    <row r="665" spans="1:4" x14ac:dyDescent="0.35">
      <c r="A665" t="s">
        <v>695</v>
      </c>
      <c r="B665">
        <f>MIN(0.12*Earnings!C666,1800)</f>
        <v>1800</v>
      </c>
      <c r="C665">
        <f>IF([1]Earnings!G665&lt;=21000,0.0075*[1]Earnings!G665,0)</f>
        <v>0</v>
      </c>
      <c r="D665">
        <v>240</v>
      </c>
    </row>
    <row r="666" spans="1:4" x14ac:dyDescent="0.35">
      <c r="A666" t="s">
        <v>696</v>
      </c>
      <c r="B666">
        <f>MIN(0.12*Earnings!C667,1800)</f>
        <v>1800</v>
      </c>
      <c r="C666">
        <f>IF([1]Earnings!G666&lt;=21000,0.0075*[1]Earnings!G666,0)</f>
        <v>0</v>
      </c>
      <c r="D666">
        <v>340</v>
      </c>
    </row>
    <row r="667" spans="1:4" x14ac:dyDescent="0.35">
      <c r="A667" t="s">
        <v>697</v>
      </c>
      <c r="B667">
        <f>MIN(0.12*Earnings!C668,1800)</f>
        <v>1800</v>
      </c>
      <c r="C667">
        <f>IF([1]Earnings!G667&lt;=21000,0.0075*[1]Earnings!G667,0)</f>
        <v>0</v>
      </c>
      <c r="D667">
        <v>240</v>
      </c>
    </row>
    <row r="668" spans="1:4" x14ac:dyDescent="0.35">
      <c r="A668" t="s">
        <v>698</v>
      </c>
      <c r="B668">
        <f>MIN(0.12*Earnings!C669,1800)</f>
        <v>1800</v>
      </c>
      <c r="C668">
        <f>IF([1]Earnings!G668&lt;=21000,0.0075*[1]Earnings!G668,0)</f>
        <v>0</v>
      </c>
      <c r="D668">
        <v>200</v>
      </c>
    </row>
    <row r="669" spans="1:4" x14ac:dyDescent="0.35">
      <c r="A669" t="s">
        <v>699</v>
      </c>
      <c r="B669">
        <f>MIN(0.12*Earnings!C670,1800)</f>
        <v>1800</v>
      </c>
      <c r="C669">
        <f>IF([1]Earnings!G669&lt;=21000,0.0075*[1]Earnings!G669,0)</f>
        <v>0</v>
      </c>
      <c r="D669">
        <v>240</v>
      </c>
    </row>
    <row r="670" spans="1:4" x14ac:dyDescent="0.35">
      <c r="A670" t="s">
        <v>700</v>
      </c>
      <c r="B670">
        <f>MIN(0.12*Earnings!C671,1800)</f>
        <v>1800</v>
      </c>
      <c r="C670">
        <f>IF([1]Earnings!G670&lt;=21000,0.0075*[1]Earnings!G670,0)</f>
        <v>0</v>
      </c>
      <c r="D670">
        <v>340</v>
      </c>
    </row>
    <row r="671" spans="1:4" x14ac:dyDescent="0.35">
      <c r="A671" t="s">
        <v>701</v>
      </c>
      <c r="B671">
        <f>MIN(0.12*Earnings!C672,1800)</f>
        <v>1800</v>
      </c>
      <c r="C671">
        <f>IF([1]Earnings!G671&lt;=21000,0.0075*[1]Earnings!G671,0)</f>
        <v>0</v>
      </c>
      <c r="D671">
        <v>280</v>
      </c>
    </row>
    <row r="672" spans="1:4" x14ac:dyDescent="0.35">
      <c r="A672" t="s">
        <v>702</v>
      </c>
      <c r="B672">
        <f>MIN(0.12*Earnings!C673,1800)</f>
        <v>1800</v>
      </c>
      <c r="C672">
        <f>IF([1]Earnings!G672&lt;=21000,0.0075*[1]Earnings!G672,0)</f>
        <v>0</v>
      </c>
      <c r="D672">
        <v>200</v>
      </c>
    </row>
    <row r="673" spans="1:4" x14ac:dyDescent="0.35">
      <c r="A673" t="s">
        <v>703</v>
      </c>
      <c r="B673">
        <f>MIN(0.12*Earnings!C674,1800)</f>
        <v>1800</v>
      </c>
      <c r="C673">
        <f>IF([1]Earnings!G673&lt;=21000,0.0075*[1]Earnings!G673,0)</f>
        <v>0</v>
      </c>
      <c r="D673">
        <v>240</v>
      </c>
    </row>
    <row r="674" spans="1:4" x14ac:dyDescent="0.35">
      <c r="A674" t="s">
        <v>704</v>
      </c>
      <c r="B674">
        <f>MIN(0.12*Earnings!C675,1800)</f>
        <v>1800</v>
      </c>
      <c r="C674">
        <f>IF([1]Earnings!G674&lt;=21000,0.0075*[1]Earnings!G674,0)</f>
        <v>0</v>
      </c>
      <c r="D674">
        <v>340</v>
      </c>
    </row>
    <row r="675" spans="1:4" x14ac:dyDescent="0.35">
      <c r="A675" t="s">
        <v>705</v>
      </c>
      <c r="B675">
        <f>MIN(0.12*Earnings!C676,1800)</f>
        <v>1800</v>
      </c>
      <c r="C675">
        <f>IF([1]Earnings!G675&lt;=21000,0.0075*[1]Earnings!G675,0)</f>
        <v>0</v>
      </c>
      <c r="D675">
        <v>280</v>
      </c>
    </row>
    <row r="676" spans="1:4" x14ac:dyDescent="0.35">
      <c r="A676" t="s">
        <v>706</v>
      </c>
      <c r="B676">
        <f>MIN(0.12*Earnings!C677,1800)</f>
        <v>1800</v>
      </c>
      <c r="C676">
        <f>IF([1]Earnings!G676&lt;=21000,0.0075*[1]Earnings!G676,0)</f>
        <v>0</v>
      </c>
      <c r="D676">
        <v>280</v>
      </c>
    </row>
    <row r="677" spans="1:4" x14ac:dyDescent="0.35">
      <c r="A677" t="s">
        <v>707</v>
      </c>
      <c r="B677">
        <f>MIN(0.12*Earnings!C678,1800)</f>
        <v>1800</v>
      </c>
      <c r="C677">
        <f>IF([1]Earnings!G677&lt;=21000,0.0075*[1]Earnings!G677,0)</f>
        <v>0</v>
      </c>
      <c r="D677">
        <v>240</v>
      </c>
    </row>
    <row r="678" spans="1:4" x14ac:dyDescent="0.35">
      <c r="A678" t="s">
        <v>708</v>
      </c>
      <c r="B678">
        <f>MIN(0.12*Earnings!C679,1800)</f>
        <v>1800</v>
      </c>
      <c r="C678">
        <f>IF([1]Earnings!G678&lt;=21000,0.0075*[1]Earnings!G678,0)</f>
        <v>0</v>
      </c>
      <c r="D678">
        <v>200</v>
      </c>
    </row>
    <row r="679" spans="1:4" x14ac:dyDescent="0.35">
      <c r="A679" t="s">
        <v>709</v>
      </c>
      <c r="B679">
        <f>MIN(0.12*Earnings!C680,1800)</f>
        <v>1800</v>
      </c>
      <c r="C679">
        <f>IF([1]Earnings!G679&lt;=21000,0.0075*[1]Earnings!G679,0)</f>
        <v>0</v>
      </c>
      <c r="D679">
        <v>240</v>
      </c>
    </row>
    <row r="680" spans="1:4" x14ac:dyDescent="0.35">
      <c r="A680" t="s">
        <v>710</v>
      </c>
      <c r="B680">
        <f>MIN(0.12*Earnings!C681,1800)</f>
        <v>1800</v>
      </c>
      <c r="C680">
        <f>IF([1]Earnings!G680&lt;=21000,0.0075*[1]Earnings!G680,0)</f>
        <v>0</v>
      </c>
      <c r="D680">
        <v>200</v>
      </c>
    </row>
    <row r="681" spans="1:4" x14ac:dyDescent="0.35">
      <c r="A681" t="s">
        <v>711</v>
      </c>
      <c r="B681">
        <f>MIN(0.12*Earnings!C682,1800)</f>
        <v>1800</v>
      </c>
      <c r="C681">
        <f>IF([1]Earnings!G681&lt;=21000,0.0075*[1]Earnings!G681,0)</f>
        <v>0</v>
      </c>
      <c r="D681">
        <v>340</v>
      </c>
    </row>
    <row r="682" spans="1:4" x14ac:dyDescent="0.35">
      <c r="A682" t="s">
        <v>712</v>
      </c>
      <c r="B682">
        <f>MIN(0.12*Earnings!C683,1800)</f>
        <v>1800</v>
      </c>
      <c r="C682">
        <f>IF([1]Earnings!G682&lt;=21000,0.0075*[1]Earnings!G682,0)</f>
        <v>0</v>
      </c>
      <c r="D682">
        <v>240</v>
      </c>
    </row>
    <row r="683" spans="1:4" x14ac:dyDescent="0.35">
      <c r="A683" t="s">
        <v>713</v>
      </c>
      <c r="B683">
        <f>MIN(0.12*Earnings!C684,1800)</f>
        <v>1800</v>
      </c>
      <c r="C683">
        <f>IF([1]Earnings!G683&lt;=21000,0.0075*[1]Earnings!G683,0)</f>
        <v>0</v>
      </c>
      <c r="D683">
        <v>280</v>
      </c>
    </row>
    <row r="684" spans="1:4" x14ac:dyDescent="0.35">
      <c r="A684" t="s">
        <v>714</v>
      </c>
      <c r="B684">
        <f>MIN(0.12*Earnings!C685,1800)</f>
        <v>1800</v>
      </c>
      <c r="C684">
        <f>IF([1]Earnings!G684&lt;=21000,0.0075*[1]Earnings!G684,0)</f>
        <v>0</v>
      </c>
      <c r="D684">
        <v>200</v>
      </c>
    </row>
    <row r="685" spans="1:4" x14ac:dyDescent="0.35">
      <c r="A685" t="s">
        <v>715</v>
      </c>
      <c r="B685">
        <f>MIN(0.12*Earnings!C686,1800)</f>
        <v>1800</v>
      </c>
      <c r="C685">
        <f>IF([1]Earnings!G685&lt;=21000,0.0075*[1]Earnings!G685,0)</f>
        <v>0</v>
      </c>
      <c r="D685">
        <v>200</v>
      </c>
    </row>
    <row r="686" spans="1:4" x14ac:dyDescent="0.35">
      <c r="A686" t="s">
        <v>716</v>
      </c>
      <c r="B686">
        <f>MIN(0.12*Earnings!C687,1800)</f>
        <v>1800</v>
      </c>
      <c r="C686">
        <f>IF([1]Earnings!G686&lt;=21000,0.0075*[1]Earnings!G686,0)</f>
        <v>0</v>
      </c>
      <c r="D686">
        <v>340</v>
      </c>
    </row>
    <row r="687" spans="1:4" x14ac:dyDescent="0.35">
      <c r="A687" t="s">
        <v>717</v>
      </c>
      <c r="B687">
        <f>MIN(0.12*Earnings!C688,1800)</f>
        <v>1800</v>
      </c>
      <c r="C687">
        <f>IF([1]Earnings!G687&lt;=21000,0.0075*[1]Earnings!G687,0)</f>
        <v>0</v>
      </c>
      <c r="D687">
        <v>280</v>
      </c>
    </row>
    <row r="688" spans="1:4" x14ac:dyDescent="0.35">
      <c r="A688" t="s">
        <v>718</v>
      </c>
      <c r="B688">
        <f>MIN(0.12*Earnings!C689,1800)</f>
        <v>1800</v>
      </c>
      <c r="C688">
        <f>IF([1]Earnings!G688&lt;=21000,0.0075*[1]Earnings!G688,0)</f>
        <v>0</v>
      </c>
      <c r="D688">
        <v>280</v>
      </c>
    </row>
    <row r="689" spans="1:4" x14ac:dyDescent="0.35">
      <c r="A689" t="s">
        <v>719</v>
      </c>
      <c r="B689">
        <f>MIN(0.12*Earnings!C690,1800)</f>
        <v>1800</v>
      </c>
      <c r="C689">
        <f>IF([1]Earnings!G689&lt;=21000,0.0075*[1]Earnings!G689,0)</f>
        <v>0</v>
      </c>
      <c r="D689">
        <v>240</v>
      </c>
    </row>
    <row r="690" spans="1:4" x14ac:dyDescent="0.35">
      <c r="A690" t="s">
        <v>720</v>
      </c>
      <c r="B690">
        <f>MIN(0.12*Earnings!C691,1800)</f>
        <v>1800</v>
      </c>
      <c r="C690">
        <f>IF([1]Earnings!G690&lt;=21000,0.0075*[1]Earnings!G690,0)</f>
        <v>0</v>
      </c>
      <c r="D690">
        <v>340</v>
      </c>
    </row>
    <row r="691" spans="1:4" x14ac:dyDescent="0.35">
      <c r="A691" t="s">
        <v>721</v>
      </c>
      <c r="B691">
        <f>MIN(0.12*Earnings!C692,1800)</f>
        <v>1800</v>
      </c>
      <c r="C691">
        <f>IF([1]Earnings!G691&lt;=21000,0.0075*[1]Earnings!G691,0)</f>
        <v>0</v>
      </c>
      <c r="D691">
        <v>280</v>
      </c>
    </row>
    <row r="692" spans="1:4" x14ac:dyDescent="0.35">
      <c r="A692" t="s">
        <v>722</v>
      </c>
      <c r="B692">
        <f>MIN(0.12*Earnings!C693,1800)</f>
        <v>1800</v>
      </c>
      <c r="C692">
        <f>IF([1]Earnings!G692&lt;=21000,0.0075*[1]Earnings!G692,0)</f>
        <v>0</v>
      </c>
      <c r="D692">
        <v>280</v>
      </c>
    </row>
    <row r="693" spans="1:4" x14ac:dyDescent="0.35">
      <c r="A693" t="s">
        <v>723</v>
      </c>
      <c r="B693">
        <f>MIN(0.12*Earnings!C694,1800)</f>
        <v>1800</v>
      </c>
      <c r="C693">
        <f>IF([1]Earnings!G693&lt;=21000,0.0075*[1]Earnings!G693,0)</f>
        <v>0</v>
      </c>
      <c r="D693">
        <v>340</v>
      </c>
    </row>
    <row r="694" spans="1:4" x14ac:dyDescent="0.35">
      <c r="A694" t="s">
        <v>724</v>
      </c>
      <c r="B694">
        <f>MIN(0.12*Earnings!C695,1800)</f>
        <v>1800</v>
      </c>
      <c r="C694">
        <f>IF([1]Earnings!G694&lt;=21000,0.0075*[1]Earnings!G694,0)</f>
        <v>0</v>
      </c>
      <c r="D694">
        <v>340</v>
      </c>
    </row>
    <row r="695" spans="1:4" x14ac:dyDescent="0.35">
      <c r="A695" t="s">
        <v>725</v>
      </c>
      <c r="B695">
        <f>MIN(0.12*Earnings!C696,1800)</f>
        <v>1800</v>
      </c>
      <c r="C695">
        <f>IF([1]Earnings!G695&lt;=21000,0.0075*[1]Earnings!G695,0)</f>
        <v>0</v>
      </c>
      <c r="D695">
        <v>340</v>
      </c>
    </row>
    <row r="696" spans="1:4" x14ac:dyDescent="0.35">
      <c r="A696" t="s">
        <v>726</v>
      </c>
      <c r="B696">
        <f>MIN(0.12*Earnings!C697,1800)</f>
        <v>1800</v>
      </c>
      <c r="C696">
        <f>IF([1]Earnings!G696&lt;=21000,0.0075*[1]Earnings!G696,0)</f>
        <v>0</v>
      </c>
      <c r="D696">
        <v>200</v>
      </c>
    </row>
    <row r="697" spans="1:4" x14ac:dyDescent="0.35">
      <c r="A697" t="s">
        <v>727</v>
      </c>
      <c r="B697">
        <f>MIN(0.12*Earnings!C698,1800)</f>
        <v>1800</v>
      </c>
      <c r="C697">
        <f>IF([1]Earnings!G697&lt;=21000,0.0075*[1]Earnings!G697,0)</f>
        <v>0</v>
      </c>
      <c r="D697">
        <v>240</v>
      </c>
    </row>
    <row r="698" spans="1:4" x14ac:dyDescent="0.35">
      <c r="A698" t="s">
        <v>728</v>
      </c>
      <c r="B698">
        <f>MIN(0.12*Earnings!C699,1800)</f>
        <v>1800</v>
      </c>
      <c r="C698">
        <f>IF([1]Earnings!G698&lt;=21000,0.0075*[1]Earnings!G698,0)</f>
        <v>0</v>
      </c>
      <c r="D698">
        <v>200</v>
      </c>
    </row>
    <row r="699" spans="1:4" x14ac:dyDescent="0.35">
      <c r="A699" t="s">
        <v>729</v>
      </c>
      <c r="B699">
        <f>MIN(0.12*Earnings!C700,1800)</f>
        <v>1800</v>
      </c>
      <c r="C699">
        <f>IF([1]Earnings!G699&lt;=21000,0.0075*[1]Earnings!G699,0)</f>
        <v>0</v>
      </c>
      <c r="D699">
        <v>200</v>
      </c>
    </row>
    <row r="700" spans="1:4" x14ac:dyDescent="0.35">
      <c r="A700" t="s">
        <v>730</v>
      </c>
      <c r="B700">
        <f>MIN(0.12*Earnings!C701,1800)</f>
        <v>1800</v>
      </c>
      <c r="C700">
        <f>IF([1]Earnings!G700&lt;=21000,0.0075*[1]Earnings!G700,0)</f>
        <v>0</v>
      </c>
      <c r="D700">
        <v>340</v>
      </c>
    </row>
    <row r="701" spans="1:4" x14ac:dyDescent="0.35">
      <c r="A701" t="s">
        <v>731</v>
      </c>
      <c r="B701">
        <f>MIN(0.12*Earnings!C702,1800)</f>
        <v>1800</v>
      </c>
      <c r="C701">
        <f>IF([1]Earnings!G701&lt;=21000,0.0075*[1]Earnings!G701,0)</f>
        <v>0</v>
      </c>
      <c r="D701">
        <v>280</v>
      </c>
    </row>
    <row r="702" spans="1:4" x14ac:dyDescent="0.35">
      <c r="A702" t="s">
        <v>732</v>
      </c>
      <c r="B702">
        <f>MIN(0.12*Earnings!C703,1800)</f>
        <v>1800</v>
      </c>
      <c r="C702">
        <f>IF([1]Earnings!G702&lt;=21000,0.0075*[1]Earnings!G702,0)</f>
        <v>0</v>
      </c>
      <c r="D702">
        <v>340</v>
      </c>
    </row>
    <row r="703" spans="1:4" x14ac:dyDescent="0.35">
      <c r="A703" t="s">
        <v>733</v>
      </c>
      <c r="B703">
        <f>MIN(0.12*Earnings!C704,1800)</f>
        <v>1800</v>
      </c>
      <c r="C703">
        <f>IF([1]Earnings!G703&lt;=21000,0.0075*[1]Earnings!G703,0)</f>
        <v>0</v>
      </c>
      <c r="D703">
        <v>340</v>
      </c>
    </row>
    <row r="704" spans="1:4" x14ac:dyDescent="0.35">
      <c r="A704" t="s">
        <v>734</v>
      </c>
      <c r="B704">
        <f>MIN(0.12*Earnings!C705,1800)</f>
        <v>1800</v>
      </c>
      <c r="C704">
        <f>IF([1]Earnings!G704&lt;=21000,0.0075*[1]Earnings!G704,0)</f>
        <v>0</v>
      </c>
      <c r="D704">
        <v>200</v>
      </c>
    </row>
    <row r="705" spans="1:4" x14ac:dyDescent="0.35">
      <c r="A705" t="s">
        <v>735</v>
      </c>
      <c r="B705">
        <f>MIN(0.12*Earnings!C706,1800)</f>
        <v>1800</v>
      </c>
      <c r="C705">
        <f>IF([1]Earnings!G705&lt;=21000,0.0075*[1]Earnings!G705,0)</f>
        <v>0</v>
      </c>
      <c r="D705">
        <v>340</v>
      </c>
    </row>
    <row r="706" spans="1:4" x14ac:dyDescent="0.35">
      <c r="A706" t="s">
        <v>736</v>
      </c>
      <c r="B706">
        <f>MIN(0.12*Earnings!C707,1800)</f>
        <v>1800</v>
      </c>
      <c r="C706">
        <f>IF([1]Earnings!G706&lt;=21000,0.0075*[1]Earnings!G706,0)</f>
        <v>0</v>
      </c>
      <c r="D706">
        <v>280</v>
      </c>
    </row>
    <row r="707" spans="1:4" x14ac:dyDescent="0.35">
      <c r="A707" t="s">
        <v>737</v>
      </c>
      <c r="B707">
        <f>MIN(0.12*Earnings!C708,1800)</f>
        <v>1800</v>
      </c>
      <c r="C707">
        <f>IF([1]Earnings!G707&lt;=21000,0.0075*[1]Earnings!G707,0)</f>
        <v>0</v>
      </c>
      <c r="D707">
        <v>240</v>
      </c>
    </row>
    <row r="708" spans="1:4" x14ac:dyDescent="0.35">
      <c r="A708" t="s">
        <v>738</v>
      </c>
      <c r="B708">
        <f>MIN(0.12*Earnings!C709,1800)</f>
        <v>1800</v>
      </c>
      <c r="C708">
        <f>IF([1]Earnings!G708&lt;=21000,0.0075*[1]Earnings!G708,0)</f>
        <v>0</v>
      </c>
      <c r="D708">
        <v>240</v>
      </c>
    </row>
    <row r="709" spans="1:4" x14ac:dyDescent="0.35">
      <c r="A709" t="s">
        <v>739</v>
      </c>
      <c r="B709">
        <f>MIN(0.12*Earnings!C710,1800)</f>
        <v>1800</v>
      </c>
      <c r="C709">
        <f>IF([1]Earnings!G709&lt;=21000,0.0075*[1]Earnings!G709,0)</f>
        <v>0</v>
      </c>
      <c r="D709">
        <v>280</v>
      </c>
    </row>
    <row r="710" spans="1:4" x14ac:dyDescent="0.35">
      <c r="A710" t="s">
        <v>740</v>
      </c>
      <c r="B710">
        <f>MIN(0.12*Earnings!C711,1800)</f>
        <v>1800</v>
      </c>
      <c r="C710">
        <f>IF([1]Earnings!G710&lt;=21000,0.0075*[1]Earnings!G710,0)</f>
        <v>0</v>
      </c>
      <c r="D710">
        <v>280</v>
      </c>
    </row>
    <row r="711" spans="1:4" x14ac:dyDescent="0.35">
      <c r="A711" t="s">
        <v>741</v>
      </c>
      <c r="B711">
        <f>MIN(0.12*Earnings!C712,1800)</f>
        <v>1800</v>
      </c>
      <c r="C711">
        <f>IF([1]Earnings!G711&lt;=21000,0.0075*[1]Earnings!G711,0)</f>
        <v>0</v>
      </c>
      <c r="D711">
        <v>240</v>
      </c>
    </row>
    <row r="712" spans="1:4" x14ac:dyDescent="0.35">
      <c r="A712" t="s">
        <v>742</v>
      </c>
      <c r="B712">
        <f>MIN(0.12*Earnings!C713,1800)</f>
        <v>1800</v>
      </c>
      <c r="C712">
        <f>IF([1]Earnings!G712&lt;=21000,0.0075*[1]Earnings!G712,0)</f>
        <v>0</v>
      </c>
      <c r="D712">
        <v>240</v>
      </c>
    </row>
    <row r="713" spans="1:4" x14ac:dyDescent="0.35">
      <c r="A713" t="s">
        <v>743</v>
      </c>
      <c r="B713">
        <f>MIN(0.12*Earnings!C714,1800)</f>
        <v>1800</v>
      </c>
      <c r="C713">
        <f>IF([1]Earnings!G713&lt;=21000,0.0075*[1]Earnings!G713,0)</f>
        <v>0</v>
      </c>
      <c r="D713">
        <v>240</v>
      </c>
    </row>
    <row r="714" spans="1:4" x14ac:dyDescent="0.35">
      <c r="A714" t="s">
        <v>744</v>
      </c>
      <c r="B714">
        <f>MIN(0.12*Earnings!C715,1800)</f>
        <v>1800</v>
      </c>
      <c r="C714">
        <f>IF([1]Earnings!G714&lt;=21000,0.0075*[1]Earnings!G714,0)</f>
        <v>0</v>
      </c>
      <c r="D714">
        <v>240</v>
      </c>
    </row>
    <row r="715" spans="1:4" x14ac:dyDescent="0.35">
      <c r="A715" t="s">
        <v>745</v>
      </c>
      <c r="B715">
        <f>MIN(0.12*Earnings!C716,1800)</f>
        <v>1800</v>
      </c>
      <c r="C715">
        <f>IF([1]Earnings!G715&lt;=21000,0.0075*[1]Earnings!G715,0)</f>
        <v>0</v>
      </c>
      <c r="D715">
        <v>240</v>
      </c>
    </row>
    <row r="716" spans="1:4" x14ac:dyDescent="0.35">
      <c r="A716" t="s">
        <v>746</v>
      </c>
      <c r="B716">
        <f>MIN(0.12*Earnings!C717,1800)</f>
        <v>1800</v>
      </c>
      <c r="C716">
        <f>IF([1]Earnings!G716&lt;=21000,0.0075*[1]Earnings!G716,0)</f>
        <v>0</v>
      </c>
      <c r="D716">
        <v>280</v>
      </c>
    </row>
    <row r="717" spans="1:4" x14ac:dyDescent="0.35">
      <c r="A717" t="s">
        <v>747</v>
      </c>
      <c r="B717">
        <f>MIN(0.12*Earnings!C718,1800)</f>
        <v>1800</v>
      </c>
      <c r="C717">
        <f>IF([1]Earnings!G717&lt;=21000,0.0075*[1]Earnings!G717,0)</f>
        <v>0</v>
      </c>
      <c r="D717">
        <v>280</v>
      </c>
    </row>
    <row r="718" spans="1:4" x14ac:dyDescent="0.35">
      <c r="A718" t="s">
        <v>748</v>
      </c>
      <c r="B718">
        <f>MIN(0.12*Earnings!C719,1800)</f>
        <v>1800</v>
      </c>
      <c r="C718">
        <f>IF([1]Earnings!G718&lt;=21000,0.0075*[1]Earnings!G718,0)</f>
        <v>0</v>
      </c>
      <c r="D718">
        <v>340</v>
      </c>
    </row>
    <row r="719" spans="1:4" x14ac:dyDescent="0.35">
      <c r="A719" t="s">
        <v>749</v>
      </c>
      <c r="B719">
        <f>MIN(0.12*Earnings!C720,1800)</f>
        <v>1800</v>
      </c>
      <c r="C719">
        <f>IF([1]Earnings!G719&lt;=21000,0.0075*[1]Earnings!G719,0)</f>
        <v>0</v>
      </c>
      <c r="D719">
        <v>240</v>
      </c>
    </row>
    <row r="720" spans="1:4" x14ac:dyDescent="0.35">
      <c r="A720" t="s">
        <v>750</v>
      </c>
      <c r="B720">
        <f>MIN(0.12*Earnings!C721,1800)</f>
        <v>1800</v>
      </c>
      <c r="C720">
        <f>IF([1]Earnings!G720&lt;=21000,0.0075*[1]Earnings!G720,0)</f>
        <v>0</v>
      </c>
      <c r="D720">
        <v>240</v>
      </c>
    </row>
    <row r="721" spans="1:4" x14ac:dyDescent="0.35">
      <c r="A721" t="s">
        <v>751</v>
      </c>
      <c r="B721">
        <f>MIN(0.12*Earnings!C722,1800)</f>
        <v>1800</v>
      </c>
      <c r="C721">
        <f>IF([1]Earnings!G721&lt;=21000,0.0075*[1]Earnings!G721,0)</f>
        <v>0</v>
      </c>
      <c r="D721">
        <v>240</v>
      </c>
    </row>
    <row r="722" spans="1:4" x14ac:dyDescent="0.35">
      <c r="A722" t="s">
        <v>752</v>
      </c>
      <c r="B722">
        <f>MIN(0.12*Earnings!C723,1800)</f>
        <v>1800</v>
      </c>
      <c r="C722">
        <f>IF([1]Earnings!G722&lt;=21000,0.0075*[1]Earnings!G722,0)</f>
        <v>0</v>
      </c>
      <c r="D722">
        <v>340</v>
      </c>
    </row>
    <row r="723" spans="1:4" x14ac:dyDescent="0.35">
      <c r="A723" t="s">
        <v>753</v>
      </c>
      <c r="B723">
        <f>MIN(0.12*Earnings!C724,1800)</f>
        <v>1800</v>
      </c>
      <c r="C723">
        <f>IF([1]Earnings!G723&lt;=21000,0.0075*[1]Earnings!G723,0)</f>
        <v>0</v>
      </c>
      <c r="D723">
        <v>200</v>
      </c>
    </row>
    <row r="724" spans="1:4" x14ac:dyDescent="0.35">
      <c r="A724" t="s">
        <v>754</v>
      </c>
      <c r="B724">
        <f>MIN(0.12*Earnings!C725,1800)</f>
        <v>1800</v>
      </c>
      <c r="C724">
        <f>IF([1]Earnings!G724&lt;=21000,0.0075*[1]Earnings!G724,0)</f>
        <v>0</v>
      </c>
      <c r="D724">
        <v>280</v>
      </c>
    </row>
    <row r="725" spans="1:4" x14ac:dyDescent="0.35">
      <c r="A725" t="s">
        <v>755</v>
      </c>
      <c r="B725">
        <f>MIN(0.12*Earnings!C726,1800)</f>
        <v>1800</v>
      </c>
      <c r="C725">
        <f>IF([1]Earnings!G725&lt;=21000,0.0075*[1]Earnings!G725,0)</f>
        <v>0</v>
      </c>
      <c r="D725">
        <v>240</v>
      </c>
    </row>
    <row r="726" spans="1:4" x14ac:dyDescent="0.35">
      <c r="A726" t="s">
        <v>756</v>
      </c>
      <c r="B726">
        <f>MIN(0.12*Earnings!C727,1800)</f>
        <v>1800</v>
      </c>
      <c r="C726">
        <f>IF([1]Earnings!G726&lt;=21000,0.0075*[1]Earnings!G726,0)</f>
        <v>0</v>
      </c>
      <c r="D726">
        <v>200</v>
      </c>
    </row>
    <row r="727" spans="1:4" x14ac:dyDescent="0.35">
      <c r="A727" t="s">
        <v>757</v>
      </c>
      <c r="B727">
        <f>MIN(0.12*Earnings!C728,1800)</f>
        <v>1800</v>
      </c>
      <c r="C727">
        <f>IF([1]Earnings!G727&lt;=21000,0.0075*[1]Earnings!G727,0)</f>
        <v>0</v>
      </c>
      <c r="D727">
        <v>340</v>
      </c>
    </row>
    <row r="728" spans="1:4" x14ac:dyDescent="0.35">
      <c r="A728" t="s">
        <v>758</v>
      </c>
      <c r="B728">
        <f>MIN(0.12*Earnings!C729,1800)</f>
        <v>1800</v>
      </c>
      <c r="C728">
        <f>IF([1]Earnings!G728&lt;=21000,0.0075*[1]Earnings!G728,0)</f>
        <v>0</v>
      </c>
      <c r="D728">
        <v>280</v>
      </c>
    </row>
    <row r="729" spans="1:4" x14ac:dyDescent="0.35">
      <c r="A729" t="s">
        <v>759</v>
      </c>
      <c r="B729">
        <f>MIN(0.12*Earnings!C730,1800)</f>
        <v>1800</v>
      </c>
      <c r="C729">
        <f>IF([1]Earnings!G729&lt;=21000,0.0075*[1]Earnings!G729,0)</f>
        <v>0</v>
      </c>
      <c r="D729">
        <v>200</v>
      </c>
    </row>
    <row r="730" spans="1:4" x14ac:dyDescent="0.35">
      <c r="A730" t="s">
        <v>760</v>
      </c>
      <c r="B730">
        <f>MIN(0.12*Earnings!C731,1800)</f>
        <v>1800</v>
      </c>
      <c r="C730">
        <f>IF([1]Earnings!G730&lt;=21000,0.0075*[1]Earnings!G730,0)</f>
        <v>0</v>
      </c>
      <c r="D730">
        <v>200</v>
      </c>
    </row>
    <row r="731" spans="1:4" x14ac:dyDescent="0.35">
      <c r="A731" t="s">
        <v>761</v>
      </c>
      <c r="B731">
        <f>MIN(0.12*Earnings!C732,1800)</f>
        <v>1800</v>
      </c>
      <c r="C731">
        <f>IF([1]Earnings!G731&lt;=21000,0.0075*[1]Earnings!G731,0)</f>
        <v>0</v>
      </c>
      <c r="D731">
        <v>280</v>
      </c>
    </row>
    <row r="732" spans="1:4" x14ac:dyDescent="0.35">
      <c r="A732" t="s">
        <v>762</v>
      </c>
      <c r="B732">
        <f>MIN(0.12*Earnings!C733,1800)</f>
        <v>1800</v>
      </c>
      <c r="C732">
        <f>IF([1]Earnings!G732&lt;=21000,0.0075*[1]Earnings!G732,0)</f>
        <v>0</v>
      </c>
      <c r="D732">
        <v>280</v>
      </c>
    </row>
    <row r="733" spans="1:4" x14ac:dyDescent="0.35">
      <c r="A733" t="s">
        <v>763</v>
      </c>
      <c r="B733">
        <f>MIN(0.12*Earnings!C734,1800)</f>
        <v>1800</v>
      </c>
      <c r="C733">
        <f>IF([1]Earnings!G733&lt;=21000,0.0075*[1]Earnings!G733,0)</f>
        <v>0</v>
      </c>
      <c r="D733">
        <v>200</v>
      </c>
    </row>
    <row r="734" spans="1:4" x14ac:dyDescent="0.35">
      <c r="A734" t="s">
        <v>764</v>
      </c>
      <c r="B734">
        <f>MIN(0.12*Earnings!C735,1800)</f>
        <v>1800</v>
      </c>
      <c r="C734">
        <f>IF([1]Earnings!G734&lt;=21000,0.0075*[1]Earnings!G734,0)</f>
        <v>0</v>
      </c>
      <c r="D734">
        <v>280</v>
      </c>
    </row>
    <row r="735" spans="1:4" x14ac:dyDescent="0.35">
      <c r="A735" t="s">
        <v>765</v>
      </c>
      <c r="B735">
        <f>MIN(0.12*Earnings!C736,1800)</f>
        <v>1800</v>
      </c>
      <c r="C735">
        <f>IF([1]Earnings!G735&lt;=21000,0.0075*[1]Earnings!G735,0)</f>
        <v>0</v>
      </c>
      <c r="D735">
        <v>280</v>
      </c>
    </row>
    <row r="736" spans="1:4" x14ac:dyDescent="0.35">
      <c r="A736" t="s">
        <v>766</v>
      </c>
      <c r="B736">
        <f>MIN(0.12*Earnings!C737,1800)</f>
        <v>1800</v>
      </c>
      <c r="C736">
        <f>IF([1]Earnings!G736&lt;=21000,0.0075*[1]Earnings!G736,0)</f>
        <v>0</v>
      </c>
      <c r="D736">
        <v>280</v>
      </c>
    </row>
    <row r="737" spans="1:4" x14ac:dyDescent="0.35">
      <c r="A737" t="s">
        <v>767</v>
      </c>
      <c r="B737">
        <f>MIN(0.12*Earnings!C738,1800)</f>
        <v>1800</v>
      </c>
      <c r="C737">
        <f>IF([1]Earnings!G737&lt;=21000,0.0075*[1]Earnings!G737,0)</f>
        <v>0</v>
      </c>
      <c r="D737">
        <v>200</v>
      </c>
    </row>
    <row r="738" spans="1:4" x14ac:dyDescent="0.35">
      <c r="A738" t="s">
        <v>768</v>
      </c>
      <c r="B738">
        <f>MIN(0.12*Earnings!C739,1800)</f>
        <v>1800</v>
      </c>
      <c r="C738">
        <f>IF([1]Earnings!G738&lt;=21000,0.0075*[1]Earnings!G738,0)</f>
        <v>0</v>
      </c>
      <c r="D738">
        <v>280</v>
      </c>
    </row>
    <row r="739" spans="1:4" x14ac:dyDescent="0.35">
      <c r="A739" t="s">
        <v>769</v>
      </c>
      <c r="B739">
        <f>MIN(0.12*Earnings!C740,1800)</f>
        <v>1800</v>
      </c>
      <c r="C739">
        <f>IF([1]Earnings!G739&lt;=21000,0.0075*[1]Earnings!G739,0)</f>
        <v>0</v>
      </c>
      <c r="D739">
        <v>280</v>
      </c>
    </row>
    <row r="740" spans="1:4" x14ac:dyDescent="0.35">
      <c r="A740" t="s">
        <v>770</v>
      </c>
      <c r="B740">
        <f>MIN(0.12*Earnings!C741,1800)</f>
        <v>1800</v>
      </c>
      <c r="C740">
        <f>IF([1]Earnings!G740&lt;=21000,0.0075*[1]Earnings!G740,0)</f>
        <v>0</v>
      </c>
      <c r="D740">
        <v>280</v>
      </c>
    </row>
    <row r="741" spans="1:4" x14ac:dyDescent="0.35">
      <c r="A741" t="s">
        <v>771</v>
      </c>
      <c r="B741">
        <f>MIN(0.12*Earnings!C742,1800)</f>
        <v>1800</v>
      </c>
      <c r="C741">
        <f>IF([1]Earnings!G741&lt;=21000,0.0075*[1]Earnings!G741,0)</f>
        <v>0</v>
      </c>
      <c r="D741">
        <v>280</v>
      </c>
    </row>
    <row r="742" spans="1:4" x14ac:dyDescent="0.35">
      <c r="A742" t="s">
        <v>772</v>
      </c>
      <c r="B742">
        <f>MIN(0.12*Earnings!C743,1800)</f>
        <v>1800</v>
      </c>
      <c r="C742">
        <f>IF([1]Earnings!G742&lt;=21000,0.0075*[1]Earnings!G742,0)</f>
        <v>0</v>
      </c>
      <c r="D742">
        <v>280</v>
      </c>
    </row>
    <row r="743" spans="1:4" x14ac:dyDescent="0.35">
      <c r="A743" t="s">
        <v>773</v>
      </c>
      <c r="B743">
        <f>MIN(0.12*Earnings!C744,1800)</f>
        <v>1800</v>
      </c>
      <c r="C743">
        <f>IF([1]Earnings!G743&lt;=21000,0.0075*[1]Earnings!G743,0)</f>
        <v>0</v>
      </c>
      <c r="D743">
        <v>240</v>
      </c>
    </row>
    <row r="744" spans="1:4" x14ac:dyDescent="0.35">
      <c r="A744" t="s">
        <v>774</v>
      </c>
      <c r="B744">
        <f>MIN(0.12*Earnings!C745,1800)</f>
        <v>1800</v>
      </c>
      <c r="C744">
        <f>IF([1]Earnings!G744&lt;=21000,0.0075*[1]Earnings!G744,0)</f>
        <v>0</v>
      </c>
      <c r="D744">
        <v>280</v>
      </c>
    </row>
    <row r="745" spans="1:4" x14ac:dyDescent="0.35">
      <c r="A745" t="s">
        <v>775</v>
      </c>
      <c r="B745">
        <f>MIN(0.12*Earnings!C746,1800)</f>
        <v>1800</v>
      </c>
      <c r="C745">
        <f>IF([1]Earnings!G745&lt;=21000,0.0075*[1]Earnings!G745,0)</f>
        <v>0</v>
      </c>
      <c r="D745">
        <v>280</v>
      </c>
    </row>
    <row r="746" spans="1:4" x14ac:dyDescent="0.35">
      <c r="A746" t="s">
        <v>776</v>
      </c>
      <c r="B746">
        <f>MIN(0.12*Earnings!C747,1800)</f>
        <v>1800</v>
      </c>
      <c r="C746">
        <f>IF([1]Earnings!G746&lt;=21000,0.0075*[1]Earnings!G746,0)</f>
        <v>0</v>
      </c>
      <c r="D746">
        <v>240</v>
      </c>
    </row>
    <row r="747" spans="1:4" x14ac:dyDescent="0.35">
      <c r="A747" t="s">
        <v>777</v>
      </c>
      <c r="B747">
        <f>MIN(0.12*Earnings!C748,1800)</f>
        <v>1800</v>
      </c>
      <c r="C747">
        <f>IF([1]Earnings!G747&lt;=21000,0.0075*[1]Earnings!G747,0)</f>
        <v>0</v>
      </c>
      <c r="D747">
        <v>240</v>
      </c>
    </row>
    <row r="748" spans="1:4" x14ac:dyDescent="0.35">
      <c r="A748" t="s">
        <v>778</v>
      </c>
      <c r="B748">
        <f>MIN(0.12*Earnings!C749,1800)</f>
        <v>1800</v>
      </c>
      <c r="C748">
        <f>IF([1]Earnings!G748&lt;=21000,0.0075*[1]Earnings!G748,0)</f>
        <v>0</v>
      </c>
      <c r="D748">
        <v>200</v>
      </c>
    </row>
    <row r="749" spans="1:4" x14ac:dyDescent="0.35">
      <c r="A749" t="s">
        <v>779</v>
      </c>
      <c r="B749">
        <f>MIN(0.12*Earnings!C750,1800)</f>
        <v>1800</v>
      </c>
      <c r="C749">
        <f>IF([1]Earnings!G749&lt;=21000,0.0075*[1]Earnings!G749,0)</f>
        <v>0</v>
      </c>
      <c r="D749">
        <v>200</v>
      </c>
    </row>
    <row r="750" spans="1:4" x14ac:dyDescent="0.35">
      <c r="A750" t="s">
        <v>780</v>
      </c>
      <c r="B750">
        <f>MIN(0.12*Earnings!C751,1800)</f>
        <v>1800</v>
      </c>
      <c r="C750">
        <f>IF([1]Earnings!G750&lt;=21000,0.0075*[1]Earnings!G750,0)</f>
        <v>0</v>
      </c>
      <c r="D750">
        <v>340</v>
      </c>
    </row>
    <row r="751" spans="1:4" x14ac:dyDescent="0.35">
      <c r="A751" t="s">
        <v>781</v>
      </c>
      <c r="B751">
        <f>MIN(0.12*Earnings!C752,1800)</f>
        <v>1800</v>
      </c>
      <c r="C751">
        <f>IF([1]Earnings!G751&lt;=21000,0.0075*[1]Earnings!G751,0)</f>
        <v>0</v>
      </c>
      <c r="D751">
        <v>280</v>
      </c>
    </row>
    <row r="752" spans="1:4" x14ac:dyDescent="0.35">
      <c r="A752" t="s">
        <v>782</v>
      </c>
      <c r="B752">
        <f>MIN(0.12*Earnings!C753,1800)</f>
        <v>1800</v>
      </c>
      <c r="C752">
        <f>IF([1]Earnings!G752&lt;=21000,0.0075*[1]Earnings!G752,0)</f>
        <v>0</v>
      </c>
      <c r="D752">
        <v>200</v>
      </c>
    </row>
    <row r="753" spans="1:4" x14ac:dyDescent="0.35">
      <c r="A753" t="s">
        <v>783</v>
      </c>
      <c r="B753">
        <f>MIN(0.12*Earnings!C754,1800)</f>
        <v>1800</v>
      </c>
      <c r="C753">
        <f>IF([1]Earnings!G753&lt;=21000,0.0075*[1]Earnings!G753,0)</f>
        <v>0</v>
      </c>
      <c r="D753">
        <v>240</v>
      </c>
    </row>
    <row r="754" spans="1:4" x14ac:dyDescent="0.35">
      <c r="A754" t="s">
        <v>784</v>
      </c>
      <c r="B754">
        <f>MIN(0.12*Earnings!C755,1800)</f>
        <v>1800</v>
      </c>
      <c r="C754">
        <f>IF([1]Earnings!G754&lt;=21000,0.0075*[1]Earnings!G754,0)</f>
        <v>0</v>
      </c>
      <c r="D754">
        <v>280</v>
      </c>
    </row>
    <row r="755" spans="1:4" x14ac:dyDescent="0.35">
      <c r="A755" t="s">
        <v>785</v>
      </c>
      <c r="B755">
        <f>MIN(0.12*Earnings!C756,1800)</f>
        <v>1800</v>
      </c>
      <c r="C755">
        <f>IF([1]Earnings!G755&lt;=21000,0.0075*[1]Earnings!G755,0)</f>
        <v>0</v>
      </c>
      <c r="D755">
        <v>340</v>
      </c>
    </row>
    <row r="756" spans="1:4" x14ac:dyDescent="0.35">
      <c r="A756" t="s">
        <v>786</v>
      </c>
      <c r="B756">
        <f>MIN(0.12*Earnings!C757,1800)</f>
        <v>1800</v>
      </c>
      <c r="C756">
        <f>IF([1]Earnings!G756&lt;=21000,0.0075*[1]Earnings!G756,0)</f>
        <v>0</v>
      </c>
      <c r="D756">
        <v>280</v>
      </c>
    </row>
    <row r="757" spans="1:4" x14ac:dyDescent="0.35">
      <c r="A757" t="s">
        <v>787</v>
      </c>
      <c r="B757">
        <f>MIN(0.12*Earnings!C758,1800)</f>
        <v>1800</v>
      </c>
      <c r="C757">
        <f>IF([1]Earnings!G757&lt;=21000,0.0075*[1]Earnings!G757,0)</f>
        <v>0</v>
      </c>
      <c r="D757">
        <v>240</v>
      </c>
    </row>
    <row r="758" spans="1:4" x14ac:dyDescent="0.35">
      <c r="A758" t="s">
        <v>788</v>
      </c>
      <c r="B758">
        <f>MIN(0.12*Earnings!C759,1800)</f>
        <v>1800</v>
      </c>
      <c r="C758">
        <f>IF([1]Earnings!G758&lt;=21000,0.0075*[1]Earnings!G758,0)</f>
        <v>0</v>
      </c>
      <c r="D758">
        <v>280</v>
      </c>
    </row>
    <row r="759" spans="1:4" x14ac:dyDescent="0.35">
      <c r="A759" t="s">
        <v>789</v>
      </c>
      <c r="B759">
        <f>MIN(0.12*Earnings!C760,1800)</f>
        <v>1800</v>
      </c>
      <c r="C759">
        <f>IF([1]Earnings!G759&lt;=21000,0.0075*[1]Earnings!G759,0)</f>
        <v>0</v>
      </c>
      <c r="D759">
        <v>240</v>
      </c>
    </row>
    <row r="760" spans="1:4" x14ac:dyDescent="0.35">
      <c r="A760" t="s">
        <v>790</v>
      </c>
      <c r="B760">
        <f>MIN(0.12*Earnings!C761,1800)</f>
        <v>1800</v>
      </c>
      <c r="C760">
        <f>IF([1]Earnings!G760&lt;=21000,0.0075*[1]Earnings!G760,0)</f>
        <v>0</v>
      </c>
      <c r="D760">
        <v>240</v>
      </c>
    </row>
    <row r="761" spans="1:4" x14ac:dyDescent="0.35">
      <c r="A761" t="s">
        <v>791</v>
      </c>
      <c r="B761">
        <f>MIN(0.12*Earnings!C762,1800)</f>
        <v>1800</v>
      </c>
      <c r="C761">
        <f>IF([1]Earnings!G761&lt;=21000,0.0075*[1]Earnings!G761,0)</f>
        <v>0</v>
      </c>
      <c r="D761">
        <v>280</v>
      </c>
    </row>
    <row r="762" spans="1:4" x14ac:dyDescent="0.35">
      <c r="A762" t="s">
        <v>792</v>
      </c>
      <c r="B762">
        <f>MIN(0.12*Earnings!C763,1800)</f>
        <v>1800</v>
      </c>
      <c r="C762">
        <f>IF([1]Earnings!G762&lt;=21000,0.0075*[1]Earnings!G762,0)</f>
        <v>0</v>
      </c>
      <c r="D762">
        <v>240</v>
      </c>
    </row>
    <row r="763" spans="1:4" x14ac:dyDescent="0.35">
      <c r="A763" t="s">
        <v>793</v>
      </c>
      <c r="B763">
        <f>MIN(0.12*Earnings!C764,1800)</f>
        <v>1800</v>
      </c>
      <c r="C763">
        <f>IF([1]Earnings!G763&lt;=21000,0.0075*[1]Earnings!G763,0)</f>
        <v>0</v>
      </c>
      <c r="D763">
        <v>340</v>
      </c>
    </row>
    <row r="764" spans="1:4" x14ac:dyDescent="0.35">
      <c r="A764" t="s">
        <v>794</v>
      </c>
      <c r="B764">
        <f>MIN(0.12*Earnings!C765,1800)</f>
        <v>1800</v>
      </c>
      <c r="C764">
        <f>IF([1]Earnings!G764&lt;=21000,0.0075*[1]Earnings!G764,0)</f>
        <v>0</v>
      </c>
      <c r="D764">
        <v>240</v>
      </c>
    </row>
    <row r="765" spans="1:4" x14ac:dyDescent="0.35">
      <c r="A765" t="s">
        <v>795</v>
      </c>
      <c r="B765">
        <f>MIN(0.12*Earnings!C766,1800)</f>
        <v>1800</v>
      </c>
      <c r="C765">
        <f>IF([1]Earnings!G765&lt;=21000,0.0075*[1]Earnings!G765,0)</f>
        <v>0</v>
      </c>
      <c r="D765">
        <v>280</v>
      </c>
    </row>
    <row r="766" spans="1:4" x14ac:dyDescent="0.35">
      <c r="A766" t="s">
        <v>796</v>
      </c>
      <c r="B766">
        <f>MIN(0.12*Earnings!C767,1800)</f>
        <v>1800</v>
      </c>
      <c r="C766">
        <f>IF([1]Earnings!G766&lt;=21000,0.0075*[1]Earnings!G766,0)</f>
        <v>0</v>
      </c>
      <c r="D766">
        <v>200</v>
      </c>
    </row>
    <row r="767" spans="1:4" x14ac:dyDescent="0.35">
      <c r="A767" t="s">
        <v>797</v>
      </c>
      <c r="B767">
        <f>MIN(0.12*Earnings!C768,1800)</f>
        <v>1800</v>
      </c>
      <c r="C767">
        <f>IF([1]Earnings!G767&lt;=21000,0.0075*[1]Earnings!G767,0)</f>
        <v>0</v>
      </c>
      <c r="D767">
        <v>280</v>
      </c>
    </row>
    <row r="768" spans="1:4" x14ac:dyDescent="0.35">
      <c r="A768" t="s">
        <v>798</v>
      </c>
      <c r="B768">
        <f>MIN(0.12*Earnings!C769,1800)</f>
        <v>1800</v>
      </c>
      <c r="C768">
        <f>IF([1]Earnings!G768&lt;=21000,0.0075*[1]Earnings!G768,0)</f>
        <v>0</v>
      </c>
      <c r="D768">
        <v>240</v>
      </c>
    </row>
    <row r="769" spans="1:4" x14ac:dyDescent="0.35">
      <c r="A769" t="s">
        <v>799</v>
      </c>
      <c r="B769">
        <f>MIN(0.12*Earnings!C770,1800)</f>
        <v>1800</v>
      </c>
      <c r="C769">
        <f>IF([1]Earnings!G769&lt;=21000,0.0075*[1]Earnings!G769,0)</f>
        <v>0</v>
      </c>
      <c r="D769">
        <v>200</v>
      </c>
    </row>
    <row r="770" spans="1:4" x14ac:dyDescent="0.35">
      <c r="A770" t="s">
        <v>800</v>
      </c>
      <c r="B770">
        <f>MIN(0.12*Earnings!C771,1800)</f>
        <v>1800</v>
      </c>
      <c r="C770">
        <f>IF([1]Earnings!G770&lt;=21000,0.0075*[1]Earnings!G770,0)</f>
        <v>0</v>
      </c>
      <c r="D770">
        <v>240</v>
      </c>
    </row>
    <row r="771" spans="1:4" x14ac:dyDescent="0.35">
      <c r="A771" t="s">
        <v>801</v>
      </c>
      <c r="B771">
        <f>MIN(0.12*Earnings!C772,1800)</f>
        <v>1800</v>
      </c>
      <c r="C771">
        <f>IF([1]Earnings!G771&lt;=21000,0.0075*[1]Earnings!G771,0)</f>
        <v>0</v>
      </c>
      <c r="D771">
        <v>240</v>
      </c>
    </row>
    <row r="772" spans="1:4" x14ac:dyDescent="0.35">
      <c r="A772" t="s">
        <v>802</v>
      </c>
      <c r="B772">
        <f>MIN(0.12*Earnings!C773,1800)</f>
        <v>1800</v>
      </c>
      <c r="C772">
        <f>IF([1]Earnings!G772&lt;=21000,0.0075*[1]Earnings!G772,0)</f>
        <v>0</v>
      </c>
      <c r="D772">
        <v>340</v>
      </c>
    </row>
    <row r="773" spans="1:4" x14ac:dyDescent="0.35">
      <c r="A773" t="s">
        <v>803</v>
      </c>
      <c r="B773">
        <f>MIN(0.12*Earnings!C774,1800)</f>
        <v>1800</v>
      </c>
      <c r="C773">
        <f>IF([1]Earnings!G773&lt;=21000,0.0075*[1]Earnings!G773,0)</f>
        <v>0</v>
      </c>
      <c r="D773">
        <v>340</v>
      </c>
    </row>
    <row r="774" spans="1:4" x14ac:dyDescent="0.35">
      <c r="A774" t="s">
        <v>804</v>
      </c>
      <c r="B774">
        <f>MIN(0.12*Earnings!C775,1800)</f>
        <v>1800</v>
      </c>
      <c r="C774">
        <f>IF([1]Earnings!G774&lt;=21000,0.0075*[1]Earnings!G774,0)</f>
        <v>0</v>
      </c>
      <c r="D774">
        <v>340</v>
      </c>
    </row>
    <row r="775" spans="1:4" x14ac:dyDescent="0.35">
      <c r="A775" t="s">
        <v>805</v>
      </c>
      <c r="B775">
        <f>MIN(0.12*Earnings!C776,1800)</f>
        <v>1800</v>
      </c>
      <c r="C775">
        <f>IF([1]Earnings!G775&lt;=21000,0.0075*[1]Earnings!G775,0)</f>
        <v>0</v>
      </c>
      <c r="D775">
        <v>340</v>
      </c>
    </row>
    <row r="776" spans="1:4" x14ac:dyDescent="0.35">
      <c r="A776" t="s">
        <v>806</v>
      </c>
      <c r="B776">
        <f>MIN(0.12*Earnings!C777,1800)</f>
        <v>1800</v>
      </c>
      <c r="C776">
        <f>IF([1]Earnings!G776&lt;=21000,0.0075*[1]Earnings!G776,0)</f>
        <v>0</v>
      </c>
      <c r="D776">
        <v>240</v>
      </c>
    </row>
    <row r="777" spans="1:4" x14ac:dyDescent="0.35">
      <c r="A777" t="s">
        <v>807</v>
      </c>
      <c r="B777">
        <f>MIN(0.12*Earnings!C778,1800)</f>
        <v>1800</v>
      </c>
      <c r="C777">
        <f>IF([1]Earnings!G777&lt;=21000,0.0075*[1]Earnings!G777,0)</f>
        <v>0</v>
      </c>
      <c r="D777">
        <v>280</v>
      </c>
    </row>
    <row r="778" spans="1:4" x14ac:dyDescent="0.35">
      <c r="A778" t="s">
        <v>808</v>
      </c>
      <c r="B778">
        <f>MIN(0.12*Earnings!C779,1800)</f>
        <v>1800</v>
      </c>
      <c r="C778">
        <f>IF([1]Earnings!G778&lt;=21000,0.0075*[1]Earnings!G778,0)</f>
        <v>0</v>
      </c>
      <c r="D778">
        <v>280</v>
      </c>
    </row>
    <row r="779" spans="1:4" x14ac:dyDescent="0.35">
      <c r="A779" t="s">
        <v>809</v>
      </c>
      <c r="B779">
        <f>MIN(0.12*Earnings!C780,1800)</f>
        <v>1800</v>
      </c>
      <c r="C779">
        <f>IF([1]Earnings!G779&lt;=21000,0.0075*[1]Earnings!G779,0)</f>
        <v>0</v>
      </c>
      <c r="D779">
        <v>200</v>
      </c>
    </row>
    <row r="780" spans="1:4" x14ac:dyDescent="0.35">
      <c r="A780" t="s">
        <v>810</v>
      </c>
      <c r="B780">
        <f>MIN(0.12*Earnings!C781,1800)</f>
        <v>1800</v>
      </c>
      <c r="C780">
        <f>IF([1]Earnings!G780&lt;=21000,0.0075*[1]Earnings!G780,0)</f>
        <v>0</v>
      </c>
      <c r="D780">
        <v>280</v>
      </c>
    </row>
    <row r="781" spans="1:4" x14ac:dyDescent="0.35">
      <c r="A781" t="s">
        <v>811</v>
      </c>
      <c r="B781">
        <f>MIN(0.12*Earnings!C782,1800)</f>
        <v>1800</v>
      </c>
      <c r="C781">
        <f>IF([1]Earnings!G781&lt;=21000,0.0075*[1]Earnings!G781,0)</f>
        <v>0</v>
      </c>
      <c r="D781">
        <v>280</v>
      </c>
    </row>
    <row r="782" spans="1:4" x14ac:dyDescent="0.35">
      <c r="A782" t="s">
        <v>812</v>
      </c>
      <c r="B782">
        <f>MIN(0.12*Earnings!C783,1800)</f>
        <v>1800</v>
      </c>
      <c r="C782">
        <f>IF([1]Earnings!G782&lt;=21000,0.0075*[1]Earnings!G782,0)</f>
        <v>0</v>
      </c>
      <c r="D782">
        <v>200</v>
      </c>
    </row>
    <row r="783" spans="1:4" x14ac:dyDescent="0.35">
      <c r="A783" t="s">
        <v>813</v>
      </c>
      <c r="B783">
        <f>MIN(0.12*Earnings!C784,1800)</f>
        <v>1800</v>
      </c>
      <c r="C783">
        <f>IF([1]Earnings!G783&lt;=21000,0.0075*[1]Earnings!G783,0)</f>
        <v>0</v>
      </c>
      <c r="D783">
        <v>280</v>
      </c>
    </row>
    <row r="784" spans="1:4" x14ac:dyDescent="0.35">
      <c r="A784" t="s">
        <v>814</v>
      </c>
      <c r="B784">
        <f>MIN(0.12*Earnings!C785,1800)</f>
        <v>1800</v>
      </c>
      <c r="C784">
        <f>IF([1]Earnings!G784&lt;=21000,0.0075*[1]Earnings!G784,0)</f>
        <v>0</v>
      </c>
      <c r="D784">
        <v>280</v>
      </c>
    </row>
    <row r="785" spans="1:4" x14ac:dyDescent="0.35">
      <c r="A785" t="s">
        <v>815</v>
      </c>
      <c r="B785">
        <f>MIN(0.12*Earnings!C786,1800)</f>
        <v>1800</v>
      </c>
      <c r="C785">
        <f>IF([1]Earnings!G785&lt;=21000,0.0075*[1]Earnings!G785,0)</f>
        <v>0</v>
      </c>
      <c r="D785">
        <v>200</v>
      </c>
    </row>
    <row r="786" spans="1:4" x14ac:dyDescent="0.35">
      <c r="A786" t="s">
        <v>816</v>
      </c>
      <c r="B786">
        <f>MIN(0.12*Earnings!C787,1800)</f>
        <v>1800</v>
      </c>
      <c r="C786">
        <f>IF([1]Earnings!G786&lt;=21000,0.0075*[1]Earnings!G786,0)</f>
        <v>0</v>
      </c>
      <c r="D786">
        <v>340</v>
      </c>
    </row>
    <row r="787" spans="1:4" x14ac:dyDescent="0.35">
      <c r="A787" t="s">
        <v>817</v>
      </c>
      <c r="B787">
        <f>MIN(0.12*Earnings!C788,1800)</f>
        <v>1800</v>
      </c>
      <c r="C787">
        <f>IF([1]Earnings!G787&lt;=21000,0.0075*[1]Earnings!G787,0)</f>
        <v>0</v>
      </c>
      <c r="D787">
        <v>240</v>
      </c>
    </row>
    <row r="788" spans="1:4" x14ac:dyDescent="0.35">
      <c r="A788" t="s">
        <v>818</v>
      </c>
      <c r="B788">
        <f>MIN(0.12*Earnings!C789,1800)</f>
        <v>1800</v>
      </c>
      <c r="C788">
        <f>IF([1]Earnings!G788&lt;=21000,0.0075*[1]Earnings!G788,0)</f>
        <v>0</v>
      </c>
      <c r="D788">
        <v>340</v>
      </c>
    </row>
    <row r="789" spans="1:4" x14ac:dyDescent="0.35">
      <c r="A789" t="s">
        <v>819</v>
      </c>
      <c r="B789">
        <f>MIN(0.12*Earnings!C790,1800)</f>
        <v>1800</v>
      </c>
      <c r="C789">
        <f>IF([1]Earnings!G789&lt;=21000,0.0075*[1]Earnings!G789,0)</f>
        <v>0</v>
      </c>
      <c r="D789">
        <v>340</v>
      </c>
    </row>
    <row r="790" spans="1:4" x14ac:dyDescent="0.35">
      <c r="A790" t="s">
        <v>820</v>
      </c>
      <c r="B790">
        <f>MIN(0.12*Earnings!C791,1800)</f>
        <v>1800</v>
      </c>
      <c r="C790">
        <f>IF([1]Earnings!G790&lt;=21000,0.0075*[1]Earnings!G790,0)</f>
        <v>0</v>
      </c>
      <c r="D790">
        <v>240</v>
      </c>
    </row>
    <row r="791" spans="1:4" x14ac:dyDescent="0.35">
      <c r="A791" t="s">
        <v>821</v>
      </c>
      <c r="B791">
        <f>MIN(0.12*Earnings!C792,1800)</f>
        <v>1800</v>
      </c>
      <c r="C791">
        <f>IF([1]Earnings!G791&lt;=21000,0.0075*[1]Earnings!G791,0)</f>
        <v>0</v>
      </c>
      <c r="D791">
        <v>240</v>
      </c>
    </row>
    <row r="792" spans="1:4" x14ac:dyDescent="0.35">
      <c r="A792" t="s">
        <v>822</v>
      </c>
      <c r="B792">
        <f>MIN(0.12*Earnings!C793,1800)</f>
        <v>1800</v>
      </c>
      <c r="C792">
        <f>IF([1]Earnings!G792&lt;=21000,0.0075*[1]Earnings!G792,0)</f>
        <v>0</v>
      </c>
      <c r="D792">
        <v>340</v>
      </c>
    </row>
    <row r="793" spans="1:4" x14ac:dyDescent="0.35">
      <c r="A793" t="s">
        <v>823</v>
      </c>
      <c r="B793">
        <f>MIN(0.12*Earnings!C794,1800)</f>
        <v>1800</v>
      </c>
      <c r="C793">
        <f>IF([1]Earnings!G793&lt;=21000,0.0075*[1]Earnings!G793,0)</f>
        <v>0</v>
      </c>
      <c r="D793">
        <v>280</v>
      </c>
    </row>
    <row r="794" spans="1:4" x14ac:dyDescent="0.35">
      <c r="A794" t="s">
        <v>824</v>
      </c>
      <c r="B794">
        <f>MIN(0.12*Earnings!C795,1800)</f>
        <v>1800</v>
      </c>
      <c r="C794">
        <f>IF([1]Earnings!G794&lt;=21000,0.0075*[1]Earnings!G794,0)</f>
        <v>0</v>
      </c>
      <c r="D794">
        <v>340</v>
      </c>
    </row>
    <row r="795" spans="1:4" x14ac:dyDescent="0.35">
      <c r="A795" t="s">
        <v>825</v>
      </c>
      <c r="B795">
        <f>MIN(0.12*Earnings!C796,1800)</f>
        <v>1800</v>
      </c>
      <c r="C795">
        <f>IF([1]Earnings!G795&lt;=21000,0.0075*[1]Earnings!G795,0)</f>
        <v>0</v>
      </c>
      <c r="D795">
        <v>240</v>
      </c>
    </row>
    <row r="796" spans="1:4" x14ac:dyDescent="0.35">
      <c r="A796" t="s">
        <v>826</v>
      </c>
      <c r="B796">
        <f>MIN(0.12*Earnings!C797,1800)</f>
        <v>1800</v>
      </c>
      <c r="C796">
        <f>IF([1]Earnings!G796&lt;=21000,0.0075*[1]Earnings!G796,0)</f>
        <v>0</v>
      </c>
      <c r="D796">
        <v>240</v>
      </c>
    </row>
    <row r="797" spans="1:4" x14ac:dyDescent="0.35">
      <c r="A797" t="s">
        <v>827</v>
      </c>
      <c r="B797">
        <f>MIN(0.12*Earnings!C798,1800)</f>
        <v>1800</v>
      </c>
      <c r="C797">
        <f>IF([1]Earnings!G797&lt;=21000,0.0075*[1]Earnings!G797,0)</f>
        <v>0</v>
      </c>
      <c r="D797">
        <v>240</v>
      </c>
    </row>
    <row r="798" spans="1:4" x14ac:dyDescent="0.35">
      <c r="A798" t="s">
        <v>828</v>
      </c>
      <c r="B798">
        <f>MIN(0.12*Earnings!C799,1800)</f>
        <v>1800</v>
      </c>
      <c r="C798">
        <f>IF([1]Earnings!G798&lt;=21000,0.0075*[1]Earnings!G798,0)</f>
        <v>0</v>
      </c>
      <c r="D798">
        <v>280</v>
      </c>
    </row>
    <row r="799" spans="1:4" x14ac:dyDescent="0.35">
      <c r="A799" t="s">
        <v>829</v>
      </c>
      <c r="B799">
        <f>MIN(0.12*Earnings!C800,1800)</f>
        <v>1800</v>
      </c>
      <c r="C799">
        <f>IF([1]Earnings!G799&lt;=21000,0.0075*[1]Earnings!G799,0)</f>
        <v>0</v>
      </c>
      <c r="D799">
        <v>340</v>
      </c>
    </row>
    <row r="800" spans="1:4" x14ac:dyDescent="0.35">
      <c r="A800" t="s">
        <v>830</v>
      </c>
      <c r="B800">
        <f>MIN(0.12*Earnings!C801,1800)</f>
        <v>1800</v>
      </c>
      <c r="C800">
        <f>IF([1]Earnings!G800&lt;=21000,0.0075*[1]Earnings!G800,0)</f>
        <v>0</v>
      </c>
      <c r="D800">
        <v>200</v>
      </c>
    </row>
    <row r="801" spans="1:4" x14ac:dyDescent="0.35">
      <c r="A801" t="s">
        <v>831</v>
      </c>
      <c r="B801">
        <f>MIN(0.12*Earnings!C802,1800)</f>
        <v>1800</v>
      </c>
      <c r="C801">
        <f>IF([1]Earnings!G801&lt;=21000,0.0075*[1]Earnings!G801,0)</f>
        <v>0</v>
      </c>
      <c r="D801">
        <v>200</v>
      </c>
    </row>
    <row r="802" spans="1:4" x14ac:dyDescent="0.35">
      <c r="A802" t="s">
        <v>832</v>
      </c>
      <c r="B802">
        <f>MIN(0.12*Earnings!C803,1800)</f>
        <v>1800</v>
      </c>
      <c r="C802">
        <f>IF([1]Earnings!G802&lt;=21000,0.0075*[1]Earnings!G802,0)</f>
        <v>0</v>
      </c>
      <c r="D802">
        <v>340</v>
      </c>
    </row>
    <row r="803" spans="1:4" x14ac:dyDescent="0.35">
      <c r="A803" t="s">
        <v>833</v>
      </c>
      <c r="B803">
        <f>MIN(0.12*Earnings!C804,1800)</f>
        <v>1800</v>
      </c>
      <c r="C803">
        <f>IF([1]Earnings!G803&lt;=21000,0.0075*[1]Earnings!G803,0)</f>
        <v>0</v>
      </c>
      <c r="D803">
        <v>200</v>
      </c>
    </row>
    <row r="804" spans="1:4" x14ac:dyDescent="0.35">
      <c r="A804" t="s">
        <v>834</v>
      </c>
      <c r="B804">
        <f>MIN(0.12*Earnings!C805,1800)</f>
        <v>1800</v>
      </c>
      <c r="C804">
        <f>IF([1]Earnings!G804&lt;=21000,0.0075*[1]Earnings!G804,0)</f>
        <v>0</v>
      </c>
      <c r="D804">
        <v>280</v>
      </c>
    </row>
    <row r="805" spans="1:4" x14ac:dyDescent="0.35">
      <c r="A805" t="s">
        <v>835</v>
      </c>
      <c r="B805">
        <f>MIN(0.12*Earnings!C806,1800)</f>
        <v>1800</v>
      </c>
      <c r="C805">
        <f>IF([1]Earnings!G805&lt;=21000,0.0075*[1]Earnings!G805,0)</f>
        <v>0</v>
      </c>
      <c r="D805">
        <v>280</v>
      </c>
    </row>
    <row r="806" spans="1:4" x14ac:dyDescent="0.35">
      <c r="A806" t="s">
        <v>836</v>
      </c>
      <c r="B806">
        <f>MIN(0.12*Earnings!C807,1800)</f>
        <v>1800</v>
      </c>
      <c r="C806">
        <f>IF([1]Earnings!G806&lt;=21000,0.0075*[1]Earnings!G806,0)</f>
        <v>0</v>
      </c>
      <c r="D806">
        <v>240</v>
      </c>
    </row>
    <row r="807" spans="1:4" x14ac:dyDescent="0.35">
      <c r="A807" t="s">
        <v>837</v>
      </c>
      <c r="B807">
        <f>MIN(0.12*Earnings!C808,1800)</f>
        <v>1800</v>
      </c>
      <c r="C807">
        <f>IF([1]Earnings!G807&lt;=21000,0.0075*[1]Earnings!G807,0)</f>
        <v>0</v>
      </c>
      <c r="D807">
        <v>280</v>
      </c>
    </row>
    <row r="808" spans="1:4" x14ac:dyDescent="0.35">
      <c r="A808" t="s">
        <v>838</v>
      </c>
      <c r="B808">
        <f>MIN(0.12*Earnings!C809,1800)</f>
        <v>1800</v>
      </c>
      <c r="C808">
        <f>IF([1]Earnings!G808&lt;=21000,0.0075*[1]Earnings!G808,0)</f>
        <v>0</v>
      </c>
      <c r="D808">
        <v>340</v>
      </c>
    </row>
    <row r="809" spans="1:4" x14ac:dyDescent="0.35">
      <c r="A809" t="s">
        <v>839</v>
      </c>
      <c r="B809">
        <f>MIN(0.12*Earnings!C810,1800)</f>
        <v>1800</v>
      </c>
      <c r="C809">
        <f>IF([1]Earnings!G809&lt;=21000,0.0075*[1]Earnings!G809,0)</f>
        <v>0</v>
      </c>
      <c r="D809">
        <v>240</v>
      </c>
    </row>
    <row r="810" spans="1:4" x14ac:dyDescent="0.35">
      <c r="A810" t="s">
        <v>840</v>
      </c>
      <c r="B810">
        <f>MIN(0.12*Earnings!C811,1800)</f>
        <v>1800</v>
      </c>
      <c r="C810">
        <f>IF([1]Earnings!G810&lt;=21000,0.0075*[1]Earnings!G810,0)</f>
        <v>0</v>
      </c>
      <c r="D810">
        <v>200</v>
      </c>
    </row>
    <row r="811" spans="1:4" x14ac:dyDescent="0.35">
      <c r="A811" t="s">
        <v>841</v>
      </c>
      <c r="B811">
        <f>MIN(0.12*Earnings!C812,1800)</f>
        <v>1800</v>
      </c>
      <c r="C811">
        <f>IF([1]Earnings!G811&lt;=21000,0.0075*[1]Earnings!G811,0)</f>
        <v>0</v>
      </c>
      <c r="D811">
        <v>340</v>
      </c>
    </row>
    <row r="812" spans="1:4" x14ac:dyDescent="0.35">
      <c r="A812" t="s">
        <v>842</v>
      </c>
      <c r="B812">
        <f>MIN(0.12*Earnings!C813,1800)</f>
        <v>1800</v>
      </c>
      <c r="C812">
        <f>IF([1]Earnings!G812&lt;=21000,0.0075*[1]Earnings!G812,0)</f>
        <v>0</v>
      </c>
      <c r="D812">
        <v>240</v>
      </c>
    </row>
    <row r="813" spans="1:4" x14ac:dyDescent="0.35">
      <c r="A813" t="s">
        <v>843</v>
      </c>
      <c r="B813">
        <f>MIN(0.12*Earnings!C814,1800)</f>
        <v>1800</v>
      </c>
      <c r="C813">
        <f>IF([1]Earnings!G813&lt;=21000,0.0075*[1]Earnings!G813,0)</f>
        <v>0</v>
      </c>
      <c r="D813">
        <v>200</v>
      </c>
    </row>
    <row r="814" spans="1:4" x14ac:dyDescent="0.35">
      <c r="A814" t="s">
        <v>844</v>
      </c>
      <c r="B814">
        <f>MIN(0.12*Earnings!C815,1800)</f>
        <v>1800</v>
      </c>
      <c r="C814">
        <f>IF([1]Earnings!G814&lt;=21000,0.0075*[1]Earnings!G814,0)</f>
        <v>0</v>
      </c>
      <c r="D814">
        <v>200</v>
      </c>
    </row>
    <row r="815" spans="1:4" x14ac:dyDescent="0.35">
      <c r="A815" t="s">
        <v>845</v>
      </c>
      <c r="B815">
        <f>MIN(0.12*Earnings!C816,1800)</f>
        <v>1800</v>
      </c>
      <c r="C815">
        <f>IF([1]Earnings!G815&lt;=21000,0.0075*[1]Earnings!G815,0)</f>
        <v>0</v>
      </c>
      <c r="D815">
        <v>340</v>
      </c>
    </row>
    <row r="816" spans="1:4" x14ac:dyDescent="0.35">
      <c r="A816" t="s">
        <v>846</v>
      </c>
      <c r="B816">
        <f>MIN(0.12*Earnings!C817,1800)</f>
        <v>1800</v>
      </c>
      <c r="C816">
        <f>IF([1]Earnings!G816&lt;=21000,0.0075*[1]Earnings!G816,0)</f>
        <v>0</v>
      </c>
      <c r="D816">
        <v>280</v>
      </c>
    </row>
    <row r="817" spans="1:4" x14ac:dyDescent="0.35">
      <c r="A817" t="s">
        <v>847</v>
      </c>
      <c r="B817">
        <f>MIN(0.12*Earnings!C818,1800)</f>
        <v>1800</v>
      </c>
      <c r="C817">
        <f>IF([1]Earnings!G817&lt;=21000,0.0075*[1]Earnings!G817,0)</f>
        <v>0</v>
      </c>
      <c r="D817">
        <v>240</v>
      </c>
    </row>
    <row r="818" spans="1:4" x14ac:dyDescent="0.35">
      <c r="A818" t="s">
        <v>848</v>
      </c>
      <c r="B818">
        <f>MIN(0.12*Earnings!C819,1800)</f>
        <v>1800</v>
      </c>
      <c r="C818">
        <f>IF([1]Earnings!G818&lt;=21000,0.0075*[1]Earnings!G818,0)</f>
        <v>0</v>
      </c>
      <c r="D818">
        <v>340</v>
      </c>
    </row>
    <row r="819" spans="1:4" x14ac:dyDescent="0.35">
      <c r="A819" t="s">
        <v>849</v>
      </c>
      <c r="B819">
        <f>MIN(0.12*Earnings!C820,1800)</f>
        <v>1800</v>
      </c>
      <c r="C819">
        <f>IF([1]Earnings!G819&lt;=21000,0.0075*[1]Earnings!G819,0)</f>
        <v>0</v>
      </c>
      <c r="D819">
        <v>340</v>
      </c>
    </row>
    <row r="820" spans="1:4" x14ac:dyDescent="0.35">
      <c r="A820" t="s">
        <v>850</v>
      </c>
      <c r="B820">
        <f>MIN(0.12*Earnings!C821,1800)</f>
        <v>1800</v>
      </c>
      <c r="C820">
        <f>IF([1]Earnings!G820&lt;=21000,0.0075*[1]Earnings!G820,0)</f>
        <v>0</v>
      </c>
      <c r="D820">
        <v>240</v>
      </c>
    </row>
    <row r="821" spans="1:4" x14ac:dyDescent="0.35">
      <c r="A821" t="s">
        <v>851</v>
      </c>
      <c r="B821">
        <f>MIN(0.12*Earnings!C822,1800)</f>
        <v>1800</v>
      </c>
      <c r="C821">
        <f>IF([1]Earnings!G821&lt;=21000,0.0075*[1]Earnings!G821,0)</f>
        <v>0</v>
      </c>
      <c r="D821">
        <v>240</v>
      </c>
    </row>
    <row r="822" spans="1:4" x14ac:dyDescent="0.35">
      <c r="A822" t="s">
        <v>852</v>
      </c>
      <c r="B822">
        <f>MIN(0.12*Earnings!C823,1800)</f>
        <v>1800</v>
      </c>
      <c r="C822">
        <f>IF([1]Earnings!G822&lt;=21000,0.0075*[1]Earnings!G822,0)</f>
        <v>0</v>
      </c>
      <c r="D822">
        <v>200</v>
      </c>
    </row>
    <row r="823" spans="1:4" x14ac:dyDescent="0.35">
      <c r="A823" t="s">
        <v>853</v>
      </c>
      <c r="B823">
        <f>MIN(0.12*Earnings!C824,1800)</f>
        <v>1800</v>
      </c>
      <c r="C823">
        <f>IF([1]Earnings!G823&lt;=21000,0.0075*[1]Earnings!G823,0)</f>
        <v>0</v>
      </c>
      <c r="D823">
        <v>340</v>
      </c>
    </row>
    <row r="824" spans="1:4" x14ac:dyDescent="0.35">
      <c r="A824" t="s">
        <v>854</v>
      </c>
      <c r="B824">
        <f>MIN(0.12*Earnings!C825,1800)</f>
        <v>1800</v>
      </c>
      <c r="C824">
        <f>IF([1]Earnings!G824&lt;=21000,0.0075*[1]Earnings!G824,0)</f>
        <v>0</v>
      </c>
      <c r="D824">
        <v>340</v>
      </c>
    </row>
    <row r="825" spans="1:4" x14ac:dyDescent="0.35">
      <c r="A825" t="s">
        <v>855</v>
      </c>
      <c r="B825">
        <f>MIN(0.12*Earnings!C826,1800)</f>
        <v>1800</v>
      </c>
      <c r="C825">
        <f>IF([1]Earnings!G825&lt;=21000,0.0075*[1]Earnings!G825,0)</f>
        <v>0</v>
      </c>
      <c r="D825">
        <v>200</v>
      </c>
    </row>
    <row r="826" spans="1:4" x14ac:dyDescent="0.35">
      <c r="A826" t="s">
        <v>856</v>
      </c>
      <c r="B826">
        <f>MIN(0.12*Earnings!C827,1800)</f>
        <v>1800</v>
      </c>
      <c r="C826">
        <f>IF([1]Earnings!G826&lt;=21000,0.0075*[1]Earnings!G826,0)</f>
        <v>0</v>
      </c>
      <c r="D826">
        <v>280</v>
      </c>
    </row>
    <row r="827" spans="1:4" x14ac:dyDescent="0.35">
      <c r="A827" t="s">
        <v>857</v>
      </c>
      <c r="B827">
        <f>MIN(0.12*Earnings!C828,1800)</f>
        <v>1800</v>
      </c>
      <c r="C827">
        <f>IF([1]Earnings!G827&lt;=21000,0.0075*[1]Earnings!G827,0)</f>
        <v>0</v>
      </c>
      <c r="D827">
        <v>280</v>
      </c>
    </row>
    <row r="828" spans="1:4" x14ac:dyDescent="0.35">
      <c r="A828" t="s">
        <v>858</v>
      </c>
      <c r="B828">
        <f>MIN(0.12*Earnings!C829,1800)</f>
        <v>1800</v>
      </c>
      <c r="C828">
        <f>IF([1]Earnings!G828&lt;=21000,0.0075*[1]Earnings!G828,0)</f>
        <v>0</v>
      </c>
      <c r="D828">
        <v>200</v>
      </c>
    </row>
    <row r="829" spans="1:4" x14ac:dyDescent="0.35">
      <c r="A829" t="s">
        <v>859</v>
      </c>
      <c r="B829">
        <f>MIN(0.12*Earnings!C830,1800)</f>
        <v>1800</v>
      </c>
      <c r="C829">
        <f>IF([1]Earnings!G829&lt;=21000,0.0075*[1]Earnings!G829,0)</f>
        <v>0</v>
      </c>
      <c r="D829">
        <v>240</v>
      </c>
    </row>
    <row r="830" spans="1:4" x14ac:dyDescent="0.35">
      <c r="A830" t="s">
        <v>860</v>
      </c>
      <c r="B830">
        <f>MIN(0.12*Earnings!C831,1800)</f>
        <v>1800</v>
      </c>
      <c r="C830">
        <f>IF([1]Earnings!G830&lt;=21000,0.0075*[1]Earnings!G830,0)</f>
        <v>0</v>
      </c>
      <c r="D830">
        <v>200</v>
      </c>
    </row>
    <row r="831" spans="1:4" x14ac:dyDescent="0.35">
      <c r="A831" t="s">
        <v>861</v>
      </c>
      <c r="B831">
        <f>MIN(0.12*Earnings!C832,1800)</f>
        <v>1800</v>
      </c>
      <c r="C831">
        <f>IF([1]Earnings!G831&lt;=21000,0.0075*[1]Earnings!G831,0)</f>
        <v>0</v>
      </c>
      <c r="D831">
        <v>200</v>
      </c>
    </row>
    <row r="832" spans="1:4" x14ac:dyDescent="0.35">
      <c r="A832" t="s">
        <v>862</v>
      </c>
      <c r="B832">
        <f>MIN(0.12*Earnings!C833,1800)</f>
        <v>1800</v>
      </c>
      <c r="C832">
        <f>IF([1]Earnings!G832&lt;=21000,0.0075*[1]Earnings!G832,0)</f>
        <v>0</v>
      </c>
      <c r="D832">
        <v>240</v>
      </c>
    </row>
    <row r="833" spans="1:4" x14ac:dyDescent="0.35">
      <c r="A833" t="s">
        <v>863</v>
      </c>
      <c r="B833">
        <f>MIN(0.12*Earnings!C834,1800)</f>
        <v>1800</v>
      </c>
      <c r="C833">
        <f>IF([1]Earnings!G833&lt;=21000,0.0075*[1]Earnings!G833,0)</f>
        <v>0</v>
      </c>
      <c r="D833">
        <v>240</v>
      </c>
    </row>
    <row r="834" spans="1:4" x14ac:dyDescent="0.35">
      <c r="A834" t="s">
        <v>864</v>
      </c>
      <c r="B834">
        <f>MIN(0.12*Earnings!C835,1800)</f>
        <v>1800</v>
      </c>
      <c r="C834">
        <f>IF([1]Earnings!G834&lt;=21000,0.0075*[1]Earnings!G834,0)</f>
        <v>0</v>
      </c>
      <c r="D834">
        <v>240</v>
      </c>
    </row>
    <row r="835" spans="1:4" x14ac:dyDescent="0.35">
      <c r="A835" t="s">
        <v>865</v>
      </c>
      <c r="B835">
        <f>MIN(0.12*Earnings!C836,1800)</f>
        <v>1800</v>
      </c>
      <c r="C835">
        <f>IF([1]Earnings!G835&lt;=21000,0.0075*[1]Earnings!G835,0)</f>
        <v>0</v>
      </c>
      <c r="D835">
        <v>240</v>
      </c>
    </row>
    <row r="836" spans="1:4" x14ac:dyDescent="0.35">
      <c r="A836" t="s">
        <v>866</v>
      </c>
      <c r="B836">
        <f>MIN(0.12*Earnings!C837,1800)</f>
        <v>1800</v>
      </c>
      <c r="C836">
        <f>IF([1]Earnings!G836&lt;=21000,0.0075*[1]Earnings!G836,0)</f>
        <v>0</v>
      </c>
      <c r="D836">
        <v>200</v>
      </c>
    </row>
    <row r="837" spans="1:4" x14ac:dyDescent="0.35">
      <c r="A837" t="s">
        <v>867</v>
      </c>
      <c r="B837">
        <f>MIN(0.12*Earnings!C838,1800)</f>
        <v>1800</v>
      </c>
      <c r="C837">
        <f>IF([1]Earnings!G837&lt;=21000,0.0075*[1]Earnings!G837,0)</f>
        <v>0</v>
      </c>
      <c r="D837">
        <v>200</v>
      </c>
    </row>
    <row r="838" spans="1:4" x14ac:dyDescent="0.35">
      <c r="A838" t="s">
        <v>868</v>
      </c>
      <c r="B838">
        <f>MIN(0.12*Earnings!C839,1800)</f>
        <v>1800</v>
      </c>
      <c r="C838">
        <f>IF([1]Earnings!G838&lt;=21000,0.0075*[1]Earnings!G838,0)</f>
        <v>0</v>
      </c>
      <c r="D838">
        <v>340</v>
      </c>
    </row>
    <row r="839" spans="1:4" x14ac:dyDescent="0.35">
      <c r="A839" t="s">
        <v>869</v>
      </c>
      <c r="B839">
        <f>MIN(0.12*Earnings!C840,1800)</f>
        <v>1800</v>
      </c>
      <c r="C839">
        <f>IF([1]Earnings!G839&lt;=21000,0.0075*[1]Earnings!G839,0)</f>
        <v>0</v>
      </c>
      <c r="D839">
        <v>200</v>
      </c>
    </row>
    <row r="840" spans="1:4" x14ac:dyDescent="0.35">
      <c r="A840" t="s">
        <v>870</v>
      </c>
      <c r="B840">
        <f>MIN(0.12*Earnings!C841,1800)</f>
        <v>1800</v>
      </c>
      <c r="C840">
        <f>IF([1]Earnings!G840&lt;=21000,0.0075*[1]Earnings!G840,0)</f>
        <v>0</v>
      </c>
      <c r="D840">
        <v>280</v>
      </c>
    </row>
    <row r="841" spans="1:4" x14ac:dyDescent="0.35">
      <c r="A841" t="s">
        <v>871</v>
      </c>
      <c r="B841">
        <f>MIN(0.12*Earnings!C842,1800)</f>
        <v>1800</v>
      </c>
      <c r="C841">
        <f>IF([1]Earnings!G841&lt;=21000,0.0075*[1]Earnings!G841,0)</f>
        <v>0</v>
      </c>
      <c r="D841">
        <v>200</v>
      </c>
    </row>
    <row r="842" spans="1:4" x14ac:dyDescent="0.35">
      <c r="A842" t="s">
        <v>872</v>
      </c>
      <c r="B842">
        <f>MIN(0.12*Earnings!C843,1800)</f>
        <v>1800</v>
      </c>
      <c r="C842">
        <f>IF([1]Earnings!G842&lt;=21000,0.0075*[1]Earnings!G842,0)</f>
        <v>0</v>
      </c>
      <c r="D842">
        <v>200</v>
      </c>
    </row>
    <row r="843" spans="1:4" x14ac:dyDescent="0.35">
      <c r="A843" t="s">
        <v>873</v>
      </c>
      <c r="B843">
        <f>MIN(0.12*Earnings!C844,1800)</f>
        <v>1800</v>
      </c>
      <c r="C843">
        <f>IF([1]Earnings!G843&lt;=21000,0.0075*[1]Earnings!G843,0)</f>
        <v>0</v>
      </c>
      <c r="D843">
        <v>240</v>
      </c>
    </row>
    <row r="844" spans="1:4" x14ac:dyDescent="0.35">
      <c r="A844" t="s">
        <v>874</v>
      </c>
      <c r="B844">
        <f>MIN(0.12*Earnings!C845,1800)</f>
        <v>1800</v>
      </c>
      <c r="C844">
        <f>IF([1]Earnings!G844&lt;=21000,0.0075*[1]Earnings!G844,0)</f>
        <v>0</v>
      </c>
      <c r="D844">
        <v>240</v>
      </c>
    </row>
    <row r="845" spans="1:4" x14ac:dyDescent="0.35">
      <c r="A845" t="s">
        <v>875</v>
      </c>
      <c r="B845">
        <f>MIN(0.12*Earnings!C846,1800)</f>
        <v>1800</v>
      </c>
      <c r="C845">
        <f>IF([1]Earnings!G845&lt;=21000,0.0075*[1]Earnings!G845,0)</f>
        <v>0</v>
      </c>
      <c r="D845">
        <v>280</v>
      </c>
    </row>
    <row r="846" spans="1:4" x14ac:dyDescent="0.35">
      <c r="A846" t="s">
        <v>876</v>
      </c>
      <c r="B846">
        <f>MIN(0.12*Earnings!C847,1800)</f>
        <v>1800</v>
      </c>
      <c r="C846">
        <f>IF([1]Earnings!G846&lt;=21000,0.0075*[1]Earnings!G846,0)</f>
        <v>0</v>
      </c>
      <c r="D846">
        <v>340</v>
      </c>
    </row>
    <row r="847" spans="1:4" x14ac:dyDescent="0.35">
      <c r="A847" t="s">
        <v>877</v>
      </c>
      <c r="B847">
        <f>MIN(0.12*Earnings!C848,1800)</f>
        <v>1800</v>
      </c>
      <c r="C847">
        <f>IF([1]Earnings!G847&lt;=21000,0.0075*[1]Earnings!G847,0)</f>
        <v>0</v>
      </c>
      <c r="D847">
        <v>340</v>
      </c>
    </row>
    <row r="848" spans="1:4" x14ac:dyDescent="0.35">
      <c r="A848" t="s">
        <v>878</v>
      </c>
      <c r="B848">
        <f>MIN(0.12*Earnings!C849,1800)</f>
        <v>1800</v>
      </c>
      <c r="C848">
        <f>IF([1]Earnings!G848&lt;=21000,0.0075*[1]Earnings!G848,0)</f>
        <v>0</v>
      </c>
      <c r="D848">
        <v>340</v>
      </c>
    </row>
    <row r="849" spans="1:4" x14ac:dyDescent="0.35">
      <c r="A849" t="s">
        <v>879</v>
      </c>
      <c r="B849">
        <f>MIN(0.12*Earnings!C850,1800)</f>
        <v>1800</v>
      </c>
      <c r="C849">
        <f>IF([1]Earnings!G849&lt;=21000,0.0075*[1]Earnings!G849,0)</f>
        <v>0</v>
      </c>
      <c r="D849">
        <v>340</v>
      </c>
    </row>
    <row r="850" spans="1:4" x14ac:dyDescent="0.35">
      <c r="A850" t="s">
        <v>880</v>
      </c>
      <c r="B850">
        <f>MIN(0.12*Earnings!C851,1800)</f>
        <v>1800</v>
      </c>
      <c r="C850">
        <f>IF([1]Earnings!G850&lt;=21000,0.0075*[1]Earnings!G850,0)</f>
        <v>0</v>
      </c>
      <c r="D850">
        <v>240</v>
      </c>
    </row>
    <row r="851" spans="1:4" x14ac:dyDescent="0.35">
      <c r="A851" t="s">
        <v>881</v>
      </c>
      <c r="B851">
        <f>MIN(0.12*Earnings!C852,1800)</f>
        <v>1800</v>
      </c>
      <c r="C851">
        <f>IF([1]Earnings!G851&lt;=21000,0.0075*[1]Earnings!G851,0)</f>
        <v>0</v>
      </c>
      <c r="D851">
        <v>240</v>
      </c>
    </row>
    <row r="852" spans="1:4" x14ac:dyDescent="0.35">
      <c r="A852" t="s">
        <v>882</v>
      </c>
      <c r="B852">
        <f>MIN(0.12*Earnings!C853,1800)</f>
        <v>1800</v>
      </c>
      <c r="C852">
        <f>IF([1]Earnings!G852&lt;=21000,0.0075*[1]Earnings!G852,0)</f>
        <v>0</v>
      </c>
      <c r="D852">
        <v>200</v>
      </c>
    </row>
    <row r="853" spans="1:4" x14ac:dyDescent="0.35">
      <c r="A853" t="s">
        <v>883</v>
      </c>
      <c r="B853">
        <f>MIN(0.12*Earnings!C854,1800)</f>
        <v>1800</v>
      </c>
      <c r="C853">
        <f>IF([1]Earnings!G853&lt;=21000,0.0075*[1]Earnings!G853,0)</f>
        <v>0</v>
      </c>
      <c r="D853">
        <v>240</v>
      </c>
    </row>
    <row r="854" spans="1:4" x14ac:dyDescent="0.35">
      <c r="A854" t="s">
        <v>884</v>
      </c>
      <c r="B854">
        <f>MIN(0.12*Earnings!C855,1800)</f>
        <v>1800</v>
      </c>
      <c r="C854">
        <f>IF([1]Earnings!G854&lt;=21000,0.0075*[1]Earnings!G854,0)</f>
        <v>0</v>
      </c>
      <c r="D854">
        <v>280</v>
      </c>
    </row>
    <row r="855" spans="1:4" x14ac:dyDescent="0.35">
      <c r="A855" t="s">
        <v>885</v>
      </c>
      <c r="B855">
        <f>MIN(0.12*Earnings!C856,1800)</f>
        <v>1800</v>
      </c>
      <c r="C855">
        <f>IF([1]Earnings!G855&lt;=21000,0.0075*[1]Earnings!G855,0)</f>
        <v>0</v>
      </c>
      <c r="D855">
        <v>240</v>
      </c>
    </row>
    <row r="856" spans="1:4" x14ac:dyDescent="0.35">
      <c r="A856" t="s">
        <v>886</v>
      </c>
      <c r="B856">
        <f>MIN(0.12*Earnings!C857,1800)</f>
        <v>1800</v>
      </c>
      <c r="C856">
        <f>IF([1]Earnings!G856&lt;=21000,0.0075*[1]Earnings!G856,0)</f>
        <v>0</v>
      </c>
      <c r="D856">
        <v>280</v>
      </c>
    </row>
    <row r="857" spans="1:4" x14ac:dyDescent="0.35">
      <c r="A857" t="s">
        <v>887</v>
      </c>
      <c r="B857">
        <f>MIN(0.12*Earnings!C858,1800)</f>
        <v>1800</v>
      </c>
      <c r="C857">
        <f>IF([1]Earnings!G857&lt;=21000,0.0075*[1]Earnings!G857,0)</f>
        <v>0</v>
      </c>
      <c r="D857">
        <v>340</v>
      </c>
    </row>
    <row r="858" spans="1:4" x14ac:dyDescent="0.35">
      <c r="A858" t="s">
        <v>888</v>
      </c>
      <c r="B858">
        <f>MIN(0.12*Earnings!C859,1800)</f>
        <v>1800</v>
      </c>
      <c r="C858">
        <f>IF([1]Earnings!G858&lt;=21000,0.0075*[1]Earnings!G858,0)</f>
        <v>0</v>
      </c>
      <c r="D858">
        <v>240</v>
      </c>
    </row>
    <row r="859" spans="1:4" x14ac:dyDescent="0.35">
      <c r="A859" t="s">
        <v>889</v>
      </c>
      <c r="B859">
        <f>MIN(0.12*Earnings!C860,1800)</f>
        <v>1800</v>
      </c>
      <c r="C859">
        <f>IF([1]Earnings!G859&lt;=21000,0.0075*[1]Earnings!G859,0)</f>
        <v>0</v>
      </c>
      <c r="D859">
        <v>280</v>
      </c>
    </row>
    <row r="860" spans="1:4" x14ac:dyDescent="0.35">
      <c r="A860" t="s">
        <v>890</v>
      </c>
      <c r="B860">
        <f>MIN(0.12*Earnings!C861,1800)</f>
        <v>1800</v>
      </c>
      <c r="C860">
        <f>IF([1]Earnings!G860&lt;=21000,0.0075*[1]Earnings!G860,0)</f>
        <v>0</v>
      </c>
      <c r="D860">
        <v>340</v>
      </c>
    </row>
    <row r="861" spans="1:4" x14ac:dyDescent="0.35">
      <c r="A861" t="s">
        <v>891</v>
      </c>
      <c r="B861">
        <f>MIN(0.12*Earnings!C862,1800)</f>
        <v>1800</v>
      </c>
      <c r="C861">
        <f>IF([1]Earnings!G861&lt;=21000,0.0075*[1]Earnings!G861,0)</f>
        <v>0</v>
      </c>
      <c r="D861">
        <v>340</v>
      </c>
    </row>
    <row r="862" spans="1:4" x14ac:dyDescent="0.35">
      <c r="A862" t="s">
        <v>892</v>
      </c>
      <c r="B862">
        <f>MIN(0.12*Earnings!C863,1800)</f>
        <v>1800</v>
      </c>
      <c r="C862">
        <f>IF([1]Earnings!G862&lt;=21000,0.0075*[1]Earnings!G862,0)</f>
        <v>0</v>
      </c>
      <c r="D862">
        <v>340</v>
      </c>
    </row>
    <row r="863" spans="1:4" x14ac:dyDescent="0.35">
      <c r="A863" t="s">
        <v>893</v>
      </c>
      <c r="B863">
        <f>MIN(0.12*Earnings!C864,1800)</f>
        <v>1800</v>
      </c>
      <c r="C863">
        <f>IF([1]Earnings!G863&lt;=21000,0.0075*[1]Earnings!G863,0)</f>
        <v>0</v>
      </c>
      <c r="D863">
        <v>200</v>
      </c>
    </row>
    <row r="864" spans="1:4" x14ac:dyDescent="0.35">
      <c r="A864" t="s">
        <v>894</v>
      </c>
      <c r="B864">
        <f>MIN(0.12*Earnings!C865,1800)</f>
        <v>1800</v>
      </c>
      <c r="C864">
        <f>IF([1]Earnings!G864&lt;=21000,0.0075*[1]Earnings!G864,0)</f>
        <v>0</v>
      </c>
      <c r="D864">
        <v>340</v>
      </c>
    </row>
    <row r="865" spans="1:4" x14ac:dyDescent="0.35">
      <c r="A865" t="s">
        <v>895</v>
      </c>
      <c r="B865">
        <f>MIN(0.12*Earnings!C866,1800)</f>
        <v>1800</v>
      </c>
      <c r="C865">
        <f>IF([1]Earnings!G865&lt;=21000,0.0075*[1]Earnings!G865,0)</f>
        <v>0</v>
      </c>
      <c r="D865">
        <v>280</v>
      </c>
    </row>
    <row r="866" spans="1:4" x14ac:dyDescent="0.35">
      <c r="A866" t="s">
        <v>896</v>
      </c>
      <c r="B866">
        <f>MIN(0.12*Earnings!C867,1800)</f>
        <v>1800</v>
      </c>
      <c r="C866">
        <f>IF([1]Earnings!G866&lt;=21000,0.0075*[1]Earnings!G866,0)</f>
        <v>0</v>
      </c>
      <c r="D866">
        <v>200</v>
      </c>
    </row>
    <row r="867" spans="1:4" x14ac:dyDescent="0.35">
      <c r="A867" t="s">
        <v>897</v>
      </c>
      <c r="B867">
        <f>MIN(0.12*Earnings!C868,1800)</f>
        <v>1800</v>
      </c>
      <c r="C867">
        <f>IF([1]Earnings!G867&lt;=21000,0.0075*[1]Earnings!G867,0)</f>
        <v>0</v>
      </c>
      <c r="D867">
        <v>240</v>
      </c>
    </row>
    <row r="868" spans="1:4" x14ac:dyDescent="0.35">
      <c r="A868" t="s">
        <v>898</v>
      </c>
      <c r="B868">
        <f>MIN(0.12*Earnings!C869,1800)</f>
        <v>1800</v>
      </c>
      <c r="C868">
        <f>IF([1]Earnings!G868&lt;=21000,0.0075*[1]Earnings!G868,0)</f>
        <v>0</v>
      </c>
      <c r="D868">
        <v>340</v>
      </c>
    </row>
    <row r="869" spans="1:4" x14ac:dyDescent="0.35">
      <c r="A869" t="s">
        <v>899</v>
      </c>
      <c r="B869">
        <f>MIN(0.12*Earnings!C870,1800)</f>
        <v>1800</v>
      </c>
      <c r="C869">
        <f>IF([1]Earnings!G869&lt;=21000,0.0075*[1]Earnings!G869,0)</f>
        <v>0</v>
      </c>
      <c r="D869">
        <v>340</v>
      </c>
    </row>
    <row r="870" spans="1:4" x14ac:dyDescent="0.35">
      <c r="A870" t="s">
        <v>900</v>
      </c>
      <c r="B870">
        <f>MIN(0.12*Earnings!C871,1800)</f>
        <v>1800</v>
      </c>
      <c r="C870">
        <f>IF([1]Earnings!G870&lt;=21000,0.0075*[1]Earnings!G870,0)</f>
        <v>0</v>
      </c>
      <c r="D870">
        <v>280</v>
      </c>
    </row>
    <row r="871" spans="1:4" x14ac:dyDescent="0.35">
      <c r="A871" t="s">
        <v>901</v>
      </c>
      <c r="B871">
        <f>MIN(0.12*Earnings!C872,1800)</f>
        <v>1800</v>
      </c>
      <c r="C871">
        <f>IF([1]Earnings!G871&lt;=21000,0.0075*[1]Earnings!G871,0)</f>
        <v>0</v>
      </c>
      <c r="D871">
        <v>280</v>
      </c>
    </row>
    <row r="872" spans="1:4" x14ac:dyDescent="0.35">
      <c r="A872" t="s">
        <v>902</v>
      </c>
      <c r="B872">
        <f>MIN(0.12*Earnings!C873,1800)</f>
        <v>1800</v>
      </c>
      <c r="C872">
        <f>IF([1]Earnings!G872&lt;=21000,0.0075*[1]Earnings!G872,0)</f>
        <v>0</v>
      </c>
      <c r="D872">
        <v>280</v>
      </c>
    </row>
    <row r="873" spans="1:4" x14ac:dyDescent="0.35">
      <c r="A873" t="s">
        <v>903</v>
      </c>
      <c r="B873">
        <f>MIN(0.12*Earnings!C874,1800)</f>
        <v>1800</v>
      </c>
      <c r="C873">
        <f>IF([1]Earnings!G873&lt;=21000,0.0075*[1]Earnings!G873,0)</f>
        <v>0</v>
      </c>
      <c r="D873">
        <v>280</v>
      </c>
    </row>
    <row r="874" spans="1:4" x14ac:dyDescent="0.35">
      <c r="A874" t="s">
        <v>904</v>
      </c>
      <c r="B874">
        <f>MIN(0.12*Earnings!C875,1800)</f>
        <v>1800</v>
      </c>
      <c r="C874">
        <f>IF([1]Earnings!G874&lt;=21000,0.0075*[1]Earnings!G874,0)</f>
        <v>0</v>
      </c>
      <c r="D874">
        <v>240</v>
      </c>
    </row>
    <row r="875" spans="1:4" x14ac:dyDescent="0.35">
      <c r="A875" t="s">
        <v>905</v>
      </c>
      <c r="B875">
        <f>MIN(0.12*Earnings!C876,1800)</f>
        <v>1800</v>
      </c>
      <c r="C875">
        <f>IF([1]Earnings!G875&lt;=21000,0.0075*[1]Earnings!G875,0)</f>
        <v>0</v>
      </c>
      <c r="D875">
        <v>240</v>
      </c>
    </row>
    <row r="876" spans="1:4" x14ac:dyDescent="0.35">
      <c r="A876" t="s">
        <v>906</v>
      </c>
      <c r="B876">
        <f>MIN(0.12*Earnings!C877,1800)</f>
        <v>1800</v>
      </c>
      <c r="C876">
        <f>IF([1]Earnings!G876&lt;=21000,0.0075*[1]Earnings!G876,0)</f>
        <v>0</v>
      </c>
      <c r="D876">
        <v>340</v>
      </c>
    </row>
    <row r="877" spans="1:4" x14ac:dyDescent="0.35">
      <c r="A877" t="s">
        <v>907</v>
      </c>
      <c r="B877">
        <f>MIN(0.12*Earnings!C878,1800)</f>
        <v>1800</v>
      </c>
      <c r="C877">
        <f>IF([1]Earnings!G877&lt;=21000,0.0075*[1]Earnings!G877,0)</f>
        <v>0</v>
      </c>
      <c r="D877">
        <v>200</v>
      </c>
    </row>
    <row r="878" spans="1:4" x14ac:dyDescent="0.35">
      <c r="A878" t="s">
        <v>908</v>
      </c>
      <c r="B878">
        <f>MIN(0.12*Earnings!C879,1800)</f>
        <v>1800</v>
      </c>
      <c r="C878">
        <f>IF([1]Earnings!G878&lt;=21000,0.0075*[1]Earnings!G878,0)</f>
        <v>0</v>
      </c>
      <c r="D878">
        <v>240</v>
      </c>
    </row>
    <row r="879" spans="1:4" x14ac:dyDescent="0.35">
      <c r="A879" t="s">
        <v>909</v>
      </c>
      <c r="B879">
        <f>MIN(0.12*Earnings!C880,1800)</f>
        <v>1800</v>
      </c>
      <c r="C879">
        <f>IF([1]Earnings!G879&lt;=21000,0.0075*[1]Earnings!G879,0)</f>
        <v>0</v>
      </c>
      <c r="D879">
        <v>280</v>
      </c>
    </row>
    <row r="880" spans="1:4" x14ac:dyDescent="0.35">
      <c r="A880" t="s">
        <v>910</v>
      </c>
      <c r="B880">
        <f>MIN(0.12*Earnings!C881,1800)</f>
        <v>1800</v>
      </c>
      <c r="C880">
        <f>IF([1]Earnings!G880&lt;=21000,0.0075*[1]Earnings!G880,0)</f>
        <v>0</v>
      </c>
      <c r="D880">
        <v>200</v>
      </c>
    </row>
    <row r="881" spans="1:4" x14ac:dyDescent="0.35">
      <c r="A881" t="s">
        <v>911</v>
      </c>
      <c r="B881">
        <f>MIN(0.12*Earnings!C882,1800)</f>
        <v>1800</v>
      </c>
      <c r="C881">
        <f>IF([1]Earnings!G881&lt;=21000,0.0075*[1]Earnings!G881,0)</f>
        <v>0</v>
      </c>
      <c r="D881">
        <v>240</v>
      </c>
    </row>
    <row r="882" spans="1:4" x14ac:dyDescent="0.35">
      <c r="A882" t="s">
        <v>912</v>
      </c>
      <c r="B882">
        <f>MIN(0.12*Earnings!C883,1800)</f>
        <v>1800</v>
      </c>
      <c r="C882">
        <f>IF([1]Earnings!G882&lt;=21000,0.0075*[1]Earnings!G882,0)</f>
        <v>0</v>
      </c>
      <c r="D882">
        <v>340</v>
      </c>
    </row>
    <row r="883" spans="1:4" x14ac:dyDescent="0.35">
      <c r="A883" t="s">
        <v>913</v>
      </c>
      <c r="B883">
        <f>MIN(0.12*Earnings!C884,1800)</f>
        <v>1800</v>
      </c>
      <c r="C883">
        <f>IF([1]Earnings!G883&lt;=21000,0.0075*[1]Earnings!G883,0)</f>
        <v>0</v>
      </c>
      <c r="D883">
        <v>240</v>
      </c>
    </row>
    <row r="884" spans="1:4" x14ac:dyDescent="0.35">
      <c r="A884" t="s">
        <v>914</v>
      </c>
      <c r="B884">
        <f>MIN(0.12*Earnings!C885,1800)</f>
        <v>1800</v>
      </c>
      <c r="C884">
        <f>IF([1]Earnings!G884&lt;=21000,0.0075*[1]Earnings!G884,0)</f>
        <v>0</v>
      </c>
      <c r="D884">
        <v>200</v>
      </c>
    </row>
    <row r="885" spans="1:4" x14ac:dyDescent="0.35">
      <c r="A885" t="s">
        <v>915</v>
      </c>
      <c r="B885">
        <f>MIN(0.12*Earnings!C886,1800)</f>
        <v>1800</v>
      </c>
      <c r="C885">
        <f>IF([1]Earnings!G885&lt;=21000,0.0075*[1]Earnings!G885,0)</f>
        <v>0</v>
      </c>
      <c r="D885">
        <v>340</v>
      </c>
    </row>
    <row r="886" spans="1:4" x14ac:dyDescent="0.35">
      <c r="A886" t="s">
        <v>916</v>
      </c>
      <c r="B886">
        <f>MIN(0.12*Earnings!C887,1800)</f>
        <v>1800</v>
      </c>
      <c r="C886">
        <f>IF([1]Earnings!G886&lt;=21000,0.0075*[1]Earnings!G886,0)</f>
        <v>0</v>
      </c>
      <c r="D886">
        <v>240</v>
      </c>
    </row>
    <row r="887" spans="1:4" x14ac:dyDescent="0.35">
      <c r="A887" t="s">
        <v>917</v>
      </c>
      <c r="B887">
        <f>MIN(0.12*Earnings!C888,1800)</f>
        <v>1800</v>
      </c>
      <c r="C887">
        <f>IF([1]Earnings!G887&lt;=21000,0.0075*[1]Earnings!G887,0)</f>
        <v>0</v>
      </c>
      <c r="D887">
        <v>340</v>
      </c>
    </row>
    <row r="888" spans="1:4" x14ac:dyDescent="0.35">
      <c r="A888" t="s">
        <v>918</v>
      </c>
      <c r="B888">
        <f>MIN(0.12*Earnings!C889,1800)</f>
        <v>1800</v>
      </c>
      <c r="C888">
        <f>IF([1]Earnings!G888&lt;=21000,0.0075*[1]Earnings!G888,0)</f>
        <v>0</v>
      </c>
      <c r="D888">
        <v>340</v>
      </c>
    </row>
    <row r="889" spans="1:4" x14ac:dyDescent="0.35">
      <c r="A889" t="s">
        <v>919</v>
      </c>
      <c r="B889">
        <f>MIN(0.12*Earnings!C890,1800)</f>
        <v>1800</v>
      </c>
      <c r="C889">
        <f>IF([1]Earnings!G889&lt;=21000,0.0075*[1]Earnings!G889,0)</f>
        <v>0</v>
      </c>
      <c r="D889">
        <v>240</v>
      </c>
    </row>
    <row r="890" spans="1:4" x14ac:dyDescent="0.35">
      <c r="A890" t="s">
        <v>920</v>
      </c>
      <c r="B890">
        <f>MIN(0.12*Earnings!C891,1800)</f>
        <v>1800</v>
      </c>
      <c r="C890">
        <f>IF([1]Earnings!G890&lt;=21000,0.0075*[1]Earnings!G890,0)</f>
        <v>0</v>
      </c>
      <c r="D890">
        <v>240</v>
      </c>
    </row>
    <row r="891" spans="1:4" x14ac:dyDescent="0.35">
      <c r="A891" t="s">
        <v>921</v>
      </c>
      <c r="B891">
        <f>MIN(0.12*Earnings!C892,1800)</f>
        <v>1800</v>
      </c>
      <c r="C891">
        <f>IF([1]Earnings!G891&lt;=21000,0.0075*[1]Earnings!G891,0)</f>
        <v>0</v>
      </c>
      <c r="D891">
        <v>340</v>
      </c>
    </row>
    <row r="892" spans="1:4" x14ac:dyDescent="0.35">
      <c r="A892" t="s">
        <v>922</v>
      </c>
      <c r="B892">
        <f>MIN(0.12*Earnings!C893,1800)</f>
        <v>1800</v>
      </c>
      <c r="C892">
        <f>IF([1]Earnings!G892&lt;=21000,0.0075*[1]Earnings!G892,0)</f>
        <v>0</v>
      </c>
      <c r="D892">
        <v>200</v>
      </c>
    </row>
    <row r="893" spans="1:4" x14ac:dyDescent="0.35">
      <c r="A893" t="s">
        <v>923</v>
      </c>
      <c r="B893">
        <f>MIN(0.12*Earnings!C894,1800)</f>
        <v>1800</v>
      </c>
      <c r="C893">
        <f>IF([1]Earnings!G893&lt;=21000,0.0075*[1]Earnings!G893,0)</f>
        <v>0</v>
      </c>
      <c r="D893">
        <v>340</v>
      </c>
    </row>
    <row r="894" spans="1:4" x14ac:dyDescent="0.35">
      <c r="A894" t="s">
        <v>924</v>
      </c>
      <c r="B894">
        <f>MIN(0.12*Earnings!C895,1800)</f>
        <v>1800</v>
      </c>
      <c r="C894">
        <f>IF([1]Earnings!G894&lt;=21000,0.0075*[1]Earnings!G894,0)</f>
        <v>0</v>
      </c>
      <c r="D894">
        <v>240</v>
      </c>
    </row>
    <row r="895" spans="1:4" x14ac:dyDescent="0.35">
      <c r="A895" t="s">
        <v>925</v>
      </c>
      <c r="B895">
        <f>MIN(0.12*Earnings!C896,1800)</f>
        <v>1800</v>
      </c>
      <c r="C895">
        <f>IF([1]Earnings!G895&lt;=21000,0.0075*[1]Earnings!G895,0)</f>
        <v>0</v>
      </c>
      <c r="D895">
        <v>200</v>
      </c>
    </row>
    <row r="896" spans="1:4" x14ac:dyDescent="0.35">
      <c r="A896" t="s">
        <v>926</v>
      </c>
      <c r="B896">
        <f>MIN(0.12*Earnings!C897,1800)</f>
        <v>1800</v>
      </c>
      <c r="C896">
        <f>IF([1]Earnings!G896&lt;=21000,0.0075*[1]Earnings!G896,0)</f>
        <v>0</v>
      </c>
      <c r="D896">
        <v>200</v>
      </c>
    </row>
    <row r="897" spans="1:4" x14ac:dyDescent="0.35">
      <c r="A897" t="s">
        <v>927</v>
      </c>
      <c r="B897">
        <f>MIN(0.12*Earnings!C898,1800)</f>
        <v>1800</v>
      </c>
      <c r="C897">
        <f>IF([1]Earnings!G897&lt;=21000,0.0075*[1]Earnings!G897,0)</f>
        <v>0</v>
      </c>
      <c r="D897">
        <v>240</v>
      </c>
    </row>
    <row r="898" spans="1:4" x14ac:dyDescent="0.35">
      <c r="A898" t="s">
        <v>928</v>
      </c>
      <c r="B898">
        <f>MIN(0.12*Earnings!C899,1800)</f>
        <v>1800</v>
      </c>
      <c r="C898">
        <f>IF([1]Earnings!G898&lt;=21000,0.0075*[1]Earnings!G898,0)</f>
        <v>0</v>
      </c>
      <c r="D898">
        <v>200</v>
      </c>
    </row>
    <row r="899" spans="1:4" x14ac:dyDescent="0.35">
      <c r="A899" t="s">
        <v>929</v>
      </c>
      <c r="B899">
        <f>MIN(0.12*Earnings!C900,1800)</f>
        <v>1800</v>
      </c>
      <c r="C899">
        <f>IF([1]Earnings!G899&lt;=21000,0.0075*[1]Earnings!G899,0)</f>
        <v>0</v>
      </c>
      <c r="D899">
        <v>240</v>
      </c>
    </row>
    <row r="900" spans="1:4" x14ac:dyDescent="0.35">
      <c r="A900" t="s">
        <v>930</v>
      </c>
      <c r="B900">
        <f>MIN(0.12*Earnings!C901,1800)</f>
        <v>1800</v>
      </c>
      <c r="C900">
        <f>IF([1]Earnings!G900&lt;=21000,0.0075*[1]Earnings!G900,0)</f>
        <v>0</v>
      </c>
      <c r="D900">
        <v>200</v>
      </c>
    </row>
    <row r="901" spans="1:4" x14ac:dyDescent="0.35">
      <c r="A901" t="s">
        <v>931</v>
      </c>
      <c r="B901">
        <f>MIN(0.12*Earnings!C902,1800)</f>
        <v>0</v>
      </c>
      <c r="C901">
        <f>IF([1]Earnings!G901&lt;=21000,0.0075*[1]Earnings!G901,0)</f>
        <v>0</v>
      </c>
      <c r="D901">
        <v>240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01"/>
  <sheetViews>
    <sheetView workbookViewId="0">
      <selection activeCell="D4" sqref="D4"/>
    </sheetView>
  </sheetViews>
  <sheetFormatPr defaultRowHeight="14.5" x14ac:dyDescent="0.35"/>
  <cols>
    <col min="2" max="3" width="10.81640625" bestFit="1" customWidth="1"/>
    <col min="4" max="4" width="12" bestFit="1" customWidth="1"/>
  </cols>
  <sheetData>
    <row r="1" spans="1:4" x14ac:dyDescent="0.35">
      <c r="A1" t="s">
        <v>0</v>
      </c>
      <c r="B1" t="s">
        <v>946</v>
      </c>
      <c r="C1" t="s">
        <v>947</v>
      </c>
      <c r="D1" t="s">
        <v>948</v>
      </c>
    </row>
    <row r="2" spans="1:4" x14ac:dyDescent="0.35">
      <c r="A2" t="s">
        <v>13</v>
      </c>
      <c r="B2">
        <f>Earnings!B2</f>
        <v>567032</v>
      </c>
      <c r="C2">
        <f t="shared" ref="C2:C65" si="0">IF(B2&lt;=250000,0,IF(B2&lt;=500000,(B2-250000)*0.05,IF(B2&lt;=1000000,12500+(B2-500000)*0.2,112500+(B2-1000000)*0.3)))</f>
        <v>25906.400000000001</v>
      </c>
      <c r="D2">
        <f t="shared" ref="D2:D65" si="1">C2/12</f>
        <v>2158.8666666666668</v>
      </c>
    </row>
    <row r="3" spans="1:4" x14ac:dyDescent="0.35">
      <c r="A3" t="s">
        <v>18</v>
      </c>
      <c r="B3">
        <f>Earnings!B3</f>
        <v>1360780.19</v>
      </c>
      <c r="C3">
        <f t="shared" si="0"/>
        <v>220734.05699999997</v>
      </c>
      <c r="D3">
        <f t="shared" si="1"/>
        <v>18394.504749999996</v>
      </c>
    </row>
    <row r="4" spans="1:4" x14ac:dyDescent="0.35">
      <c r="A4" t="s">
        <v>23</v>
      </c>
      <c r="B4">
        <f>Earnings!B4</f>
        <v>647557</v>
      </c>
      <c r="C4">
        <f t="shared" si="0"/>
        <v>42011.4</v>
      </c>
      <c r="D4">
        <f t="shared" si="1"/>
        <v>3500.9500000000003</v>
      </c>
    </row>
    <row r="5" spans="1:4" x14ac:dyDescent="0.35">
      <c r="A5" t="s">
        <v>25</v>
      </c>
      <c r="B5">
        <f>Earnings!B5</f>
        <v>705914.6</v>
      </c>
      <c r="C5">
        <f t="shared" si="0"/>
        <v>53682.92</v>
      </c>
      <c r="D5">
        <f t="shared" si="1"/>
        <v>4473.5766666666668</v>
      </c>
    </row>
    <row r="6" spans="1:4" x14ac:dyDescent="0.35">
      <c r="A6" t="s">
        <v>28</v>
      </c>
      <c r="B6">
        <f>Earnings!B6</f>
        <v>1000642</v>
      </c>
      <c r="C6">
        <f t="shared" si="0"/>
        <v>112692.6</v>
      </c>
      <c r="D6">
        <f t="shared" si="1"/>
        <v>9391.0500000000011</v>
      </c>
    </row>
    <row r="7" spans="1:4" x14ac:dyDescent="0.35">
      <c r="A7" t="s">
        <v>30</v>
      </c>
      <c r="B7">
        <f>Earnings!B7</f>
        <v>513985.15</v>
      </c>
      <c r="C7">
        <f t="shared" si="0"/>
        <v>15297.030000000004</v>
      </c>
      <c r="D7">
        <f t="shared" si="1"/>
        <v>1274.7525000000003</v>
      </c>
    </row>
    <row r="8" spans="1:4" x14ac:dyDescent="0.35">
      <c r="A8" t="s">
        <v>32</v>
      </c>
      <c r="B8">
        <f>Earnings!B8</f>
        <v>1082752.6200000001</v>
      </c>
      <c r="C8">
        <f t="shared" si="0"/>
        <v>137325.78600000002</v>
      </c>
      <c r="D8">
        <f t="shared" si="1"/>
        <v>11443.815500000002</v>
      </c>
    </row>
    <row r="9" spans="1:4" x14ac:dyDescent="0.35">
      <c r="A9" t="s">
        <v>34</v>
      </c>
      <c r="B9">
        <f>Earnings!B9</f>
        <v>1299435.6000000001</v>
      </c>
      <c r="C9">
        <f t="shared" si="0"/>
        <v>202330.68000000002</v>
      </c>
      <c r="D9">
        <f t="shared" si="1"/>
        <v>16860.890000000003</v>
      </c>
    </row>
    <row r="10" spans="1:4" x14ac:dyDescent="0.35">
      <c r="A10" t="s">
        <v>36</v>
      </c>
      <c r="B10">
        <f>Earnings!B10</f>
        <v>1716833.16</v>
      </c>
      <c r="C10">
        <f t="shared" si="0"/>
        <v>327549.94799999997</v>
      </c>
      <c r="D10">
        <f t="shared" si="1"/>
        <v>27295.828999999998</v>
      </c>
    </row>
    <row r="11" spans="1:4" x14ac:dyDescent="0.35">
      <c r="A11" t="s">
        <v>38</v>
      </c>
      <c r="B11">
        <f>Earnings!B11</f>
        <v>1074130.8</v>
      </c>
      <c r="C11">
        <f t="shared" si="0"/>
        <v>134739.24000000002</v>
      </c>
      <c r="D11">
        <f t="shared" si="1"/>
        <v>11228.270000000002</v>
      </c>
    </row>
    <row r="12" spans="1:4" x14ac:dyDescent="0.35">
      <c r="A12" t="s">
        <v>39</v>
      </c>
      <c r="B12">
        <f>Earnings!B12</f>
        <v>562117.85</v>
      </c>
      <c r="C12">
        <f t="shared" si="0"/>
        <v>24923.569999999996</v>
      </c>
      <c r="D12">
        <f t="shared" si="1"/>
        <v>2076.9641666666662</v>
      </c>
    </row>
    <row r="13" spans="1:4" x14ac:dyDescent="0.35">
      <c r="A13" t="s">
        <v>40</v>
      </c>
      <c r="B13">
        <f>Earnings!B13</f>
        <v>1201323.6000000001</v>
      </c>
      <c r="C13">
        <f t="shared" si="0"/>
        <v>172897.08000000002</v>
      </c>
      <c r="D13">
        <f t="shared" si="1"/>
        <v>14408.090000000002</v>
      </c>
    </row>
    <row r="14" spans="1:4" x14ac:dyDescent="0.35">
      <c r="A14" t="s">
        <v>41</v>
      </c>
      <c r="B14">
        <f>Earnings!B14</f>
        <v>1327744.6000000001</v>
      </c>
      <c r="C14">
        <f t="shared" si="0"/>
        <v>210823.38</v>
      </c>
      <c r="D14">
        <f t="shared" si="1"/>
        <v>17568.615000000002</v>
      </c>
    </row>
    <row r="15" spans="1:4" x14ac:dyDescent="0.35">
      <c r="A15" t="s">
        <v>42</v>
      </c>
      <c r="B15">
        <f>Earnings!B15</f>
        <v>1206367.8500000001</v>
      </c>
      <c r="C15">
        <f t="shared" si="0"/>
        <v>174410.35500000004</v>
      </c>
      <c r="D15">
        <f t="shared" si="1"/>
        <v>14534.196250000003</v>
      </c>
    </row>
    <row r="16" spans="1:4" x14ac:dyDescent="0.35">
      <c r="A16" t="s">
        <v>45</v>
      </c>
      <c r="B16">
        <f>Earnings!B16</f>
        <v>1376698.96</v>
      </c>
      <c r="C16">
        <f t="shared" si="0"/>
        <v>225509.68799999997</v>
      </c>
      <c r="D16">
        <f t="shared" si="1"/>
        <v>18792.473999999998</v>
      </c>
    </row>
    <row r="17" spans="1:4" x14ac:dyDescent="0.35">
      <c r="A17" t="s">
        <v>46</v>
      </c>
      <c r="B17">
        <f>Earnings!B17</f>
        <v>1107413.1000000001</v>
      </c>
      <c r="C17">
        <f t="shared" si="0"/>
        <v>144723.93000000002</v>
      </c>
      <c r="D17">
        <f t="shared" si="1"/>
        <v>12060.327500000001</v>
      </c>
    </row>
    <row r="18" spans="1:4" x14ac:dyDescent="0.35">
      <c r="A18" t="s">
        <v>47</v>
      </c>
      <c r="B18">
        <f>Earnings!B18</f>
        <v>1114448.51</v>
      </c>
      <c r="C18">
        <f t="shared" si="0"/>
        <v>146834.55300000001</v>
      </c>
      <c r="D18">
        <f t="shared" si="1"/>
        <v>12236.212750000001</v>
      </c>
    </row>
    <row r="19" spans="1:4" x14ac:dyDescent="0.35">
      <c r="A19" t="s">
        <v>48</v>
      </c>
      <c r="B19">
        <f>Earnings!B19</f>
        <v>1501371.2</v>
      </c>
      <c r="C19">
        <f t="shared" si="0"/>
        <v>262911.35999999999</v>
      </c>
      <c r="D19">
        <f t="shared" si="1"/>
        <v>21909.279999999999</v>
      </c>
    </row>
    <row r="20" spans="1:4" x14ac:dyDescent="0.35">
      <c r="A20" t="s">
        <v>49</v>
      </c>
      <c r="B20">
        <f>Earnings!B20</f>
        <v>1251818.8</v>
      </c>
      <c r="C20">
        <f t="shared" si="0"/>
        <v>188045.64</v>
      </c>
      <c r="D20">
        <f t="shared" si="1"/>
        <v>15670.470000000001</v>
      </c>
    </row>
    <row r="21" spans="1:4" x14ac:dyDescent="0.35">
      <c r="A21" t="s">
        <v>50</v>
      </c>
      <c r="B21">
        <f>Earnings!B21</f>
        <v>932918.4</v>
      </c>
      <c r="C21">
        <f t="shared" si="0"/>
        <v>99083.680000000008</v>
      </c>
      <c r="D21">
        <f t="shared" si="1"/>
        <v>8256.9733333333334</v>
      </c>
    </row>
    <row r="22" spans="1:4" x14ac:dyDescent="0.35">
      <c r="A22" t="s">
        <v>51</v>
      </c>
      <c r="B22">
        <f>Earnings!B22</f>
        <v>791056</v>
      </c>
      <c r="C22">
        <f t="shared" si="0"/>
        <v>70711.200000000012</v>
      </c>
      <c r="D22">
        <f t="shared" si="1"/>
        <v>5892.6000000000013</v>
      </c>
    </row>
    <row r="23" spans="1:4" x14ac:dyDescent="0.35">
      <c r="A23" t="s">
        <v>52</v>
      </c>
      <c r="B23">
        <f>Earnings!B23</f>
        <v>1222813.2</v>
      </c>
      <c r="C23">
        <f t="shared" si="0"/>
        <v>179343.95999999996</v>
      </c>
      <c r="D23">
        <f t="shared" si="1"/>
        <v>14945.329999999996</v>
      </c>
    </row>
    <row r="24" spans="1:4" x14ac:dyDescent="0.35">
      <c r="A24" t="s">
        <v>53</v>
      </c>
      <c r="B24">
        <f>Earnings!B24</f>
        <v>1096374</v>
      </c>
      <c r="C24">
        <f t="shared" si="0"/>
        <v>141412.20000000001</v>
      </c>
      <c r="D24">
        <f t="shared" si="1"/>
        <v>11784.35</v>
      </c>
    </row>
    <row r="25" spans="1:4" x14ac:dyDescent="0.35">
      <c r="A25" t="s">
        <v>54</v>
      </c>
      <c r="B25">
        <f>Earnings!B25</f>
        <v>1695632.1</v>
      </c>
      <c r="C25">
        <f t="shared" si="0"/>
        <v>321189.63</v>
      </c>
      <c r="D25">
        <f t="shared" si="1"/>
        <v>26765.802500000002</v>
      </c>
    </row>
    <row r="26" spans="1:4" x14ac:dyDescent="0.35">
      <c r="A26" t="s">
        <v>55</v>
      </c>
      <c r="B26">
        <f>Earnings!B26</f>
        <v>960193.5</v>
      </c>
      <c r="C26">
        <f t="shared" si="0"/>
        <v>104538.70000000001</v>
      </c>
      <c r="D26">
        <f t="shared" si="1"/>
        <v>8711.5583333333343</v>
      </c>
    </row>
    <row r="27" spans="1:4" x14ac:dyDescent="0.35">
      <c r="A27" t="s">
        <v>56</v>
      </c>
      <c r="B27">
        <f>Earnings!B27</f>
        <v>888900</v>
      </c>
      <c r="C27">
        <f t="shared" si="0"/>
        <v>90280</v>
      </c>
      <c r="D27">
        <f t="shared" si="1"/>
        <v>7523.333333333333</v>
      </c>
    </row>
    <row r="28" spans="1:4" x14ac:dyDescent="0.35">
      <c r="A28" t="s">
        <v>57</v>
      </c>
      <c r="B28">
        <f>Earnings!B28</f>
        <v>543884.88</v>
      </c>
      <c r="C28">
        <f t="shared" si="0"/>
        <v>21276.976000000002</v>
      </c>
      <c r="D28">
        <f t="shared" si="1"/>
        <v>1773.0813333333335</v>
      </c>
    </row>
    <row r="29" spans="1:4" x14ac:dyDescent="0.35">
      <c r="A29" t="s">
        <v>58</v>
      </c>
      <c r="B29">
        <f>Earnings!B29</f>
        <v>442505.63</v>
      </c>
      <c r="C29">
        <f t="shared" si="0"/>
        <v>9625.281500000001</v>
      </c>
      <c r="D29">
        <f t="shared" si="1"/>
        <v>802.10679166666671</v>
      </c>
    </row>
    <row r="30" spans="1:4" x14ac:dyDescent="0.35">
      <c r="A30" t="s">
        <v>59</v>
      </c>
      <c r="B30">
        <f>Earnings!B30</f>
        <v>1144289.44</v>
      </c>
      <c r="C30">
        <f t="shared" si="0"/>
        <v>155786.83199999999</v>
      </c>
      <c r="D30">
        <f t="shared" si="1"/>
        <v>12982.235999999999</v>
      </c>
    </row>
    <row r="31" spans="1:4" x14ac:dyDescent="0.35">
      <c r="A31" t="s">
        <v>60</v>
      </c>
      <c r="B31">
        <f>Earnings!B31</f>
        <v>525708.15</v>
      </c>
      <c r="C31">
        <f t="shared" si="0"/>
        <v>17641.630000000005</v>
      </c>
      <c r="D31">
        <f t="shared" si="1"/>
        <v>1470.1358333333337</v>
      </c>
    </row>
    <row r="32" spans="1:4" x14ac:dyDescent="0.35">
      <c r="A32" t="s">
        <v>61</v>
      </c>
      <c r="B32">
        <f>Earnings!B32</f>
        <v>1591371.7</v>
      </c>
      <c r="C32">
        <f t="shared" si="0"/>
        <v>289911.51</v>
      </c>
      <c r="D32">
        <f t="shared" si="1"/>
        <v>24159.2925</v>
      </c>
    </row>
    <row r="33" spans="1:4" x14ac:dyDescent="0.35">
      <c r="A33" t="s">
        <v>62</v>
      </c>
      <c r="B33">
        <f>Earnings!B33</f>
        <v>950427.8</v>
      </c>
      <c r="C33">
        <f t="shared" si="0"/>
        <v>102585.56000000001</v>
      </c>
      <c r="D33">
        <f t="shared" si="1"/>
        <v>8548.7966666666671</v>
      </c>
    </row>
    <row r="34" spans="1:4" x14ac:dyDescent="0.35">
      <c r="A34" t="s">
        <v>63</v>
      </c>
      <c r="B34">
        <f>Earnings!B34</f>
        <v>1814461</v>
      </c>
      <c r="C34">
        <f t="shared" si="0"/>
        <v>356838.3</v>
      </c>
      <c r="D34">
        <f t="shared" si="1"/>
        <v>29736.524999999998</v>
      </c>
    </row>
    <row r="35" spans="1:4" x14ac:dyDescent="0.35">
      <c r="A35" t="s">
        <v>64</v>
      </c>
      <c r="B35">
        <f>Earnings!B35</f>
        <v>1365689.22</v>
      </c>
      <c r="C35">
        <f t="shared" si="0"/>
        <v>222206.766</v>
      </c>
      <c r="D35">
        <f t="shared" si="1"/>
        <v>18517.230500000001</v>
      </c>
    </row>
    <row r="36" spans="1:4" x14ac:dyDescent="0.35">
      <c r="A36" t="s">
        <v>65</v>
      </c>
      <c r="B36">
        <f>Earnings!B36</f>
        <v>515663.8</v>
      </c>
      <c r="C36">
        <f t="shared" si="0"/>
        <v>15632.759999999998</v>
      </c>
      <c r="D36">
        <f t="shared" si="1"/>
        <v>1302.7299999999998</v>
      </c>
    </row>
    <row r="37" spans="1:4" x14ac:dyDescent="0.35">
      <c r="A37" t="s">
        <v>66</v>
      </c>
      <c r="B37">
        <f>Earnings!B37</f>
        <v>799907.6</v>
      </c>
      <c r="C37">
        <f t="shared" si="0"/>
        <v>72481.51999999999</v>
      </c>
      <c r="D37">
        <f t="shared" si="1"/>
        <v>6040.1266666666661</v>
      </c>
    </row>
    <row r="38" spans="1:4" x14ac:dyDescent="0.35">
      <c r="A38" t="s">
        <v>67</v>
      </c>
      <c r="B38">
        <f>Earnings!B38</f>
        <v>626435</v>
      </c>
      <c r="C38">
        <f t="shared" si="0"/>
        <v>37787</v>
      </c>
      <c r="D38">
        <f t="shared" si="1"/>
        <v>3148.9166666666665</v>
      </c>
    </row>
    <row r="39" spans="1:4" x14ac:dyDescent="0.35">
      <c r="A39" t="s">
        <v>68</v>
      </c>
      <c r="B39">
        <f>Earnings!B39</f>
        <v>1110788.07</v>
      </c>
      <c r="C39">
        <f t="shared" si="0"/>
        <v>145736.42100000003</v>
      </c>
      <c r="D39">
        <f t="shared" si="1"/>
        <v>12144.701750000002</v>
      </c>
    </row>
    <row r="40" spans="1:4" x14ac:dyDescent="0.35">
      <c r="A40" t="s">
        <v>69</v>
      </c>
      <c r="B40">
        <f>Earnings!B40</f>
        <v>973751.52</v>
      </c>
      <c r="C40">
        <f t="shared" si="0"/>
        <v>107250.304</v>
      </c>
      <c r="D40">
        <f t="shared" si="1"/>
        <v>8937.525333333333</v>
      </c>
    </row>
    <row r="41" spans="1:4" x14ac:dyDescent="0.35">
      <c r="A41" t="s">
        <v>71</v>
      </c>
      <c r="B41">
        <f>Earnings!B41</f>
        <v>770189</v>
      </c>
      <c r="C41">
        <f t="shared" si="0"/>
        <v>66537.8</v>
      </c>
      <c r="D41">
        <f t="shared" si="1"/>
        <v>5544.8166666666666</v>
      </c>
    </row>
    <row r="42" spans="1:4" x14ac:dyDescent="0.35">
      <c r="A42" t="s">
        <v>72</v>
      </c>
      <c r="B42">
        <f>Earnings!B42</f>
        <v>1082222.3999999999</v>
      </c>
      <c r="C42">
        <f t="shared" si="0"/>
        <v>137166.71999999997</v>
      </c>
      <c r="D42">
        <f t="shared" si="1"/>
        <v>11430.559999999998</v>
      </c>
    </row>
    <row r="43" spans="1:4" x14ac:dyDescent="0.35">
      <c r="A43" t="s">
        <v>73</v>
      </c>
      <c r="B43">
        <f>Earnings!B43</f>
        <v>1385738.2</v>
      </c>
      <c r="C43">
        <f t="shared" si="0"/>
        <v>228221.45999999996</v>
      </c>
      <c r="D43">
        <f t="shared" si="1"/>
        <v>19018.454999999998</v>
      </c>
    </row>
    <row r="44" spans="1:4" x14ac:dyDescent="0.35">
      <c r="A44" t="s">
        <v>74</v>
      </c>
      <c r="B44">
        <f>Earnings!B44</f>
        <v>2345224.7999999998</v>
      </c>
      <c r="C44">
        <f t="shared" si="0"/>
        <v>516067.43999999994</v>
      </c>
      <c r="D44">
        <f t="shared" si="1"/>
        <v>43005.619999999995</v>
      </c>
    </row>
    <row r="45" spans="1:4" x14ac:dyDescent="0.35">
      <c r="A45" t="s">
        <v>75</v>
      </c>
      <c r="B45">
        <f>Earnings!B45</f>
        <v>337354</v>
      </c>
      <c r="C45">
        <f t="shared" si="0"/>
        <v>4367.7</v>
      </c>
      <c r="D45">
        <f t="shared" si="1"/>
        <v>363.97499999999997</v>
      </c>
    </row>
    <row r="46" spans="1:4" x14ac:dyDescent="0.35">
      <c r="A46" t="s">
        <v>76</v>
      </c>
      <c r="B46">
        <f>Earnings!B46</f>
        <v>1284168.2</v>
      </c>
      <c r="C46">
        <f t="shared" si="0"/>
        <v>197750.45999999996</v>
      </c>
      <c r="D46">
        <f t="shared" si="1"/>
        <v>16479.204999999998</v>
      </c>
    </row>
    <row r="47" spans="1:4" x14ac:dyDescent="0.35">
      <c r="A47" t="s">
        <v>77</v>
      </c>
      <c r="B47">
        <f>Earnings!B47</f>
        <v>1286822.6000000001</v>
      </c>
      <c r="C47">
        <f t="shared" si="0"/>
        <v>198546.78000000003</v>
      </c>
      <c r="D47">
        <f t="shared" si="1"/>
        <v>16545.565000000002</v>
      </c>
    </row>
    <row r="48" spans="1:4" x14ac:dyDescent="0.35">
      <c r="A48" t="s">
        <v>78</v>
      </c>
      <c r="B48">
        <f>Earnings!B48</f>
        <v>1070229.6000000001</v>
      </c>
      <c r="C48">
        <f t="shared" si="0"/>
        <v>133568.88000000003</v>
      </c>
      <c r="D48">
        <f t="shared" si="1"/>
        <v>11130.740000000003</v>
      </c>
    </row>
    <row r="49" spans="1:4" x14ac:dyDescent="0.35">
      <c r="A49" t="s">
        <v>79</v>
      </c>
      <c r="B49">
        <f>Earnings!B49</f>
        <v>1149449</v>
      </c>
      <c r="C49">
        <f t="shared" si="0"/>
        <v>157334.70000000001</v>
      </c>
      <c r="D49">
        <f t="shared" si="1"/>
        <v>13111.225</v>
      </c>
    </row>
    <row r="50" spans="1:4" x14ac:dyDescent="0.35">
      <c r="A50" t="s">
        <v>80</v>
      </c>
      <c r="B50">
        <f>Earnings!B50</f>
        <v>1199530.8</v>
      </c>
      <c r="C50">
        <f t="shared" si="0"/>
        <v>172359.24000000002</v>
      </c>
      <c r="D50">
        <f t="shared" si="1"/>
        <v>14363.270000000002</v>
      </c>
    </row>
    <row r="51" spans="1:4" x14ac:dyDescent="0.35">
      <c r="A51" t="s">
        <v>81</v>
      </c>
      <c r="B51">
        <f>Earnings!B51</f>
        <v>1532630</v>
      </c>
      <c r="C51">
        <f t="shared" si="0"/>
        <v>272289</v>
      </c>
      <c r="D51">
        <f t="shared" si="1"/>
        <v>22690.75</v>
      </c>
    </row>
    <row r="52" spans="1:4" x14ac:dyDescent="0.35">
      <c r="A52" t="s">
        <v>82</v>
      </c>
      <c r="B52">
        <f>Earnings!B52</f>
        <v>1575213.2</v>
      </c>
      <c r="C52">
        <f t="shared" si="0"/>
        <v>285063.95999999996</v>
      </c>
      <c r="D52">
        <f t="shared" si="1"/>
        <v>23755.329999999998</v>
      </c>
    </row>
    <row r="53" spans="1:4" x14ac:dyDescent="0.35">
      <c r="A53" t="s">
        <v>83</v>
      </c>
      <c r="B53">
        <f>Earnings!B53</f>
        <v>958572</v>
      </c>
      <c r="C53">
        <f t="shared" si="0"/>
        <v>104214.40000000001</v>
      </c>
      <c r="D53">
        <f t="shared" si="1"/>
        <v>8684.5333333333347</v>
      </c>
    </row>
    <row r="54" spans="1:4" x14ac:dyDescent="0.35">
      <c r="A54" t="s">
        <v>84</v>
      </c>
      <c r="B54">
        <f>Earnings!B54</f>
        <v>1368950.5</v>
      </c>
      <c r="C54">
        <f t="shared" si="0"/>
        <v>223185.15</v>
      </c>
      <c r="D54">
        <f t="shared" si="1"/>
        <v>18598.762500000001</v>
      </c>
    </row>
    <row r="55" spans="1:4" x14ac:dyDescent="0.35">
      <c r="A55" t="s">
        <v>85</v>
      </c>
      <c r="B55">
        <f>Earnings!B55</f>
        <v>794158</v>
      </c>
      <c r="C55">
        <f t="shared" si="0"/>
        <v>71331.600000000006</v>
      </c>
      <c r="D55">
        <f t="shared" si="1"/>
        <v>5944.3</v>
      </c>
    </row>
    <row r="56" spans="1:4" x14ac:dyDescent="0.35">
      <c r="A56" t="s">
        <v>86</v>
      </c>
      <c r="B56">
        <f>Earnings!B56</f>
        <v>1214153.2</v>
      </c>
      <c r="C56">
        <f t="shared" si="0"/>
        <v>176745.96</v>
      </c>
      <c r="D56">
        <f t="shared" si="1"/>
        <v>14728.83</v>
      </c>
    </row>
    <row r="57" spans="1:4" x14ac:dyDescent="0.35">
      <c r="A57" t="s">
        <v>87</v>
      </c>
      <c r="B57">
        <f>Earnings!B57</f>
        <v>1033034.75</v>
      </c>
      <c r="C57">
        <f t="shared" si="0"/>
        <v>122410.425</v>
      </c>
      <c r="D57">
        <f t="shared" si="1"/>
        <v>10200.86875</v>
      </c>
    </row>
    <row r="58" spans="1:4" x14ac:dyDescent="0.35">
      <c r="A58" t="s">
        <v>88</v>
      </c>
      <c r="B58">
        <f>Earnings!B58</f>
        <v>920683</v>
      </c>
      <c r="C58">
        <f t="shared" si="0"/>
        <v>96636.6</v>
      </c>
      <c r="D58">
        <f t="shared" si="1"/>
        <v>8053.05</v>
      </c>
    </row>
    <row r="59" spans="1:4" x14ac:dyDescent="0.35">
      <c r="A59" t="s">
        <v>89</v>
      </c>
      <c r="B59">
        <f>Earnings!B59</f>
        <v>711929.05</v>
      </c>
      <c r="C59">
        <f t="shared" si="0"/>
        <v>54885.810000000012</v>
      </c>
      <c r="D59">
        <f t="shared" si="1"/>
        <v>4573.817500000001</v>
      </c>
    </row>
    <row r="60" spans="1:4" x14ac:dyDescent="0.35">
      <c r="A60" t="s">
        <v>90</v>
      </c>
      <c r="B60">
        <f>Earnings!B60</f>
        <v>1244972.3400000001</v>
      </c>
      <c r="C60">
        <f t="shared" si="0"/>
        <v>185991.70200000002</v>
      </c>
      <c r="D60">
        <f t="shared" si="1"/>
        <v>15499.308500000001</v>
      </c>
    </row>
    <row r="61" spans="1:4" x14ac:dyDescent="0.35">
      <c r="A61" t="s">
        <v>91</v>
      </c>
      <c r="B61">
        <f>Earnings!B61</f>
        <v>710107.42</v>
      </c>
      <c r="C61">
        <f t="shared" si="0"/>
        <v>54521.484000000011</v>
      </c>
      <c r="D61">
        <f t="shared" si="1"/>
        <v>4543.4570000000012</v>
      </c>
    </row>
    <row r="62" spans="1:4" x14ac:dyDescent="0.35">
      <c r="A62" t="s">
        <v>92</v>
      </c>
      <c r="B62">
        <f>Earnings!B62</f>
        <v>471655</v>
      </c>
      <c r="C62">
        <f t="shared" si="0"/>
        <v>11082.75</v>
      </c>
      <c r="D62">
        <f t="shared" si="1"/>
        <v>923.5625</v>
      </c>
    </row>
    <row r="63" spans="1:4" x14ac:dyDescent="0.35">
      <c r="A63" t="s">
        <v>93</v>
      </c>
      <c r="B63">
        <f>Earnings!B63</f>
        <v>1626335.97</v>
      </c>
      <c r="C63">
        <f t="shared" si="0"/>
        <v>300400.79099999997</v>
      </c>
      <c r="D63">
        <f t="shared" si="1"/>
        <v>25033.399249999999</v>
      </c>
    </row>
    <row r="64" spans="1:4" x14ac:dyDescent="0.35">
      <c r="A64" t="s">
        <v>94</v>
      </c>
      <c r="B64">
        <f>Earnings!B64</f>
        <v>1031657.16</v>
      </c>
      <c r="C64">
        <f t="shared" si="0"/>
        <v>121997.14800000002</v>
      </c>
      <c r="D64">
        <f t="shared" si="1"/>
        <v>10166.429000000002</v>
      </c>
    </row>
    <row r="65" spans="1:4" x14ac:dyDescent="0.35">
      <c r="A65" t="s">
        <v>95</v>
      </c>
      <c r="B65">
        <f>Earnings!B65</f>
        <v>883013.6</v>
      </c>
      <c r="C65">
        <f t="shared" si="0"/>
        <v>89102.720000000001</v>
      </c>
      <c r="D65">
        <f t="shared" si="1"/>
        <v>7425.2266666666665</v>
      </c>
    </row>
    <row r="66" spans="1:4" x14ac:dyDescent="0.35">
      <c r="A66" t="s">
        <v>96</v>
      </c>
      <c r="B66">
        <f>Earnings!B66</f>
        <v>1710553.6</v>
      </c>
      <c r="C66">
        <f t="shared" ref="C66:C129" si="2">IF(B66&lt;=250000,0,IF(B66&lt;=500000,(B66-250000)*0.05,IF(B66&lt;=1000000,12500+(B66-500000)*0.2,112500+(B66-1000000)*0.3)))</f>
        <v>325666.08</v>
      </c>
      <c r="D66">
        <f t="shared" ref="D66:D129" si="3">C66/12</f>
        <v>27138.84</v>
      </c>
    </row>
    <row r="67" spans="1:4" x14ac:dyDescent="0.35">
      <c r="A67" t="s">
        <v>97</v>
      </c>
      <c r="B67">
        <f>Earnings!B67</f>
        <v>1356937.4</v>
      </c>
      <c r="C67">
        <f t="shared" si="2"/>
        <v>219581.21999999997</v>
      </c>
      <c r="D67">
        <f t="shared" si="3"/>
        <v>18298.434999999998</v>
      </c>
    </row>
    <row r="68" spans="1:4" x14ac:dyDescent="0.35">
      <c r="A68" t="s">
        <v>98</v>
      </c>
      <c r="B68">
        <f>Earnings!B68</f>
        <v>1188686.3999999999</v>
      </c>
      <c r="C68">
        <f t="shared" si="2"/>
        <v>169105.91999999998</v>
      </c>
      <c r="D68">
        <f t="shared" si="3"/>
        <v>14092.159999999998</v>
      </c>
    </row>
    <row r="69" spans="1:4" x14ac:dyDescent="0.35">
      <c r="A69" t="s">
        <v>99</v>
      </c>
      <c r="B69">
        <f>Earnings!B69</f>
        <v>1208410.07</v>
      </c>
      <c r="C69">
        <f t="shared" si="2"/>
        <v>175023.02100000001</v>
      </c>
      <c r="D69">
        <f t="shared" si="3"/>
        <v>14585.251750000001</v>
      </c>
    </row>
    <row r="70" spans="1:4" x14ac:dyDescent="0.35">
      <c r="A70" t="s">
        <v>100</v>
      </c>
      <c r="B70">
        <f>Earnings!B70</f>
        <v>629820.55000000005</v>
      </c>
      <c r="C70">
        <f t="shared" si="2"/>
        <v>38464.110000000015</v>
      </c>
      <c r="D70">
        <f t="shared" si="3"/>
        <v>3205.3425000000011</v>
      </c>
    </row>
    <row r="71" spans="1:4" x14ac:dyDescent="0.35">
      <c r="A71" t="s">
        <v>101</v>
      </c>
      <c r="B71">
        <f>Earnings!B71</f>
        <v>1303967.9099999999</v>
      </c>
      <c r="C71">
        <f t="shared" si="2"/>
        <v>203690.37299999996</v>
      </c>
      <c r="D71">
        <f t="shared" si="3"/>
        <v>16974.197749999996</v>
      </c>
    </row>
    <row r="72" spans="1:4" x14ac:dyDescent="0.35">
      <c r="A72" t="s">
        <v>102</v>
      </c>
      <c r="B72">
        <f>Earnings!B72</f>
        <v>1233943.2</v>
      </c>
      <c r="C72">
        <f t="shared" si="2"/>
        <v>182682.95999999996</v>
      </c>
      <c r="D72">
        <f t="shared" si="3"/>
        <v>15223.579999999996</v>
      </c>
    </row>
    <row r="73" spans="1:4" x14ac:dyDescent="0.35">
      <c r="A73" t="s">
        <v>103</v>
      </c>
      <c r="B73">
        <f>Earnings!B73</f>
        <v>1771338.46</v>
      </c>
      <c r="C73">
        <f t="shared" si="2"/>
        <v>343901.53799999994</v>
      </c>
      <c r="D73">
        <f t="shared" si="3"/>
        <v>28658.461499999994</v>
      </c>
    </row>
    <row r="74" spans="1:4" x14ac:dyDescent="0.35">
      <c r="A74" t="s">
        <v>104</v>
      </c>
      <c r="B74">
        <f>Earnings!B74</f>
        <v>1085115.8400000001</v>
      </c>
      <c r="C74">
        <f t="shared" si="2"/>
        <v>138034.75200000004</v>
      </c>
      <c r="D74">
        <f t="shared" si="3"/>
        <v>11502.896000000002</v>
      </c>
    </row>
    <row r="75" spans="1:4" x14ac:dyDescent="0.35">
      <c r="A75" t="s">
        <v>105</v>
      </c>
      <c r="B75">
        <f>Earnings!B75</f>
        <v>958084.3</v>
      </c>
      <c r="C75">
        <f t="shared" si="2"/>
        <v>104116.86000000002</v>
      </c>
      <c r="D75">
        <f t="shared" si="3"/>
        <v>8676.4050000000007</v>
      </c>
    </row>
    <row r="76" spans="1:4" x14ac:dyDescent="0.35">
      <c r="A76" t="s">
        <v>106</v>
      </c>
      <c r="B76">
        <f>Earnings!B76</f>
        <v>721431.9</v>
      </c>
      <c r="C76">
        <f t="shared" si="2"/>
        <v>56786.380000000005</v>
      </c>
      <c r="D76">
        <f t="shared" si="3"/>
        <v>4732.1983333333337</v>
      </c>
    </row>
    <row r="77" spans="1:4" x14ac:dyDescent="0.35">
      <c r="A77" t="s">
        <v>107</v>
      </c>
      <c r="B77">
        <f>Earnings!B77</f>
        <v>715474.2</v>
      </c>
      <c r="C77">
        <f t="shared" si="2"/>
        <v>55594.84</v>
      </c>
      <c r="D77">
        <f t="shared" si="3"/>
        <v>4632.9033333333327</v>
      </c>
    </row>
    <row r="78" spans="1:4" x14ac:dyDescent="0.35">
      <c r="A78" t="s">
        <v>108</v>
      </c>
      <c r="B78">
        <f>Earnings!B78</f>
        <v>742470.6</v>
      </c>
      <c r="C78">
        <f t="shared" si="2"/>
        <v>60994.119999999995</v>
      </c>
      <c r="D78">
        <f t="shared" si="3"/>
        <v>5082.8433333333332</v>
      </c>
    </row>
    <row r="79" spans="1:4" x14ac:dyDescent="0.35">
      <c r="A79" t="s">
        <v>109</v>
      </c>
      <c r="B79">
        <f>Earnings!B79</f>
        <v>1110955.27</v>
      </c>
      <c r="C79">
        <f t="shared" si="2"/>
        <v>145786.58100000001</v>
      </c>
      <c r="D79">
        <f t="shared" si="3"/>
        <v>12148.88175</v>
      </c>
    </row>
    <row r="80" spans="1:4" x14ac:dyDescent="0.35">
      <c r="A80" t="s">
        <v>110</v>
      </c>
      <c r="B80">
        <f>Earnings!B80</f>
        <v>1284822.6000000001</v>
      </c>
      <c r="C80">
        <f t="shared" si="2"/>
        <v>197946.78000000003</v>
      </c>
      <c r="D80">
        <f t="shared" si="3"/>
        <v>16495.565000000002</v>
      </c>
    </row>
    <row r="81" spans="1:4" x14ac:dyDescent="0.35">
      <c r="A81" t="s">
        <v>111</v>
      </c>
      <c r="B81">
        <f>Earnings!B81</f>
        <v>2019637.4</v>
      </c>
      <c r="C81">
        <f t="shared" si="2"/>
        <v>418391.22</v>
      </c>
      <c r="D81">
        <f t="shared" si="3"/>
        <v>34865.934999999998</v>
      </c>
    </row>
    <row r="82" spans="1:4" x14ac:dyDescent="0.35">
      <c r="A82" t="s">
        <v>112</v>
      </c>
      <c r="B82">
        <f>Earnings!B82</f>
        <v>647852.88</v>
      </c>
      <c r="C82">
        <f t="shared" si="2"/>
        <v>42070.576000000001</v>
      </c>
      <c r="D82">
        <f t="shared" si="3"/>
        <v>3505.8813333333333</v>
      </c>
    </row>
    <row r="83" spans="1:4" x14ac:dyDescent="0.35">
      <c r="A83" t="s">
        <v>113</v>
      </c>
      <c r="B83">
        <f>Earnings!B83</f>
        <v>1025906.14</v>
      </c>
      <c r="C83">
        <f t="shared" si="2"/>
        <v>120271.842</v>
      </c>
      <c r="D83">
        <f t="shared" si="3"/>
        <v>10022.6535</v>
      </c>
    </row>
    <row r="84" spans="1:4" x14ac:dyDescent="0.35">
      <c r="A84" t="s">
        <v>114</v>
      </c>
      <c r="B84">
        <f>Earnings!B84</f>
        <v>700665</v>
      </c>
      <c r="C84">
        <f t="shared" si="2"/>
        <v>52633</v>
      </c>
      <c r="D84">
        <f t="shared" si="3"/>
        <v>4386.083333333333</v>
      </c>
    </row>
    <row r="85" spans="1:4" x14ac:dyDescent="0.35">
      <c r="A85" t="s">
        <v>115</v>
      </c>
      <c r="B85">
        <f>Earnings!B85</f>
        <v>1083828.97</v>
      </c>
      <c r="C85">
        <f t="shared" si="2"/>
        <v>137648.69099999999</v>
      </c>
      <c r="D85">
        <f t="shared" si="3"/>
        <v>11470.724249999999</v>
      </c>
    </row>
    <row r="86" spans="1:4" x14ac:dyDescent="0.35">
      <c r="A86" t="s">
        <v>116</v>
      </c>
      <c r="B86">
        <f>Earnings!B86</f>
        <v>1303954</v>
      </c>
      <c r="C86">
        <f t="shared" si="2"/>
        <v>203686.2</v>
      </c>
      <c r="D86">
        <f t="shared" si="3"/>
        <v>16973.850000000002</v>
      </c>
    </row>
    <row r="87" spans="1:4" x14ac:dyDescent="0.35">
      <c r="A87" t="s">
        <v>117</v>
      </c>
      <c r="B87">
        <f>Earnings!B87</f>
        <v>676120</v>
      </c>
      <c r="C87">
        <f t="shared" si="2"/>
        <v>47724</v>
      </c>
      <c r="D87">
        <f t="shared" si="3"/>
        <v>3977</v>
      </c>
    </row>
    <row r="88" spans="1:4" x14ac:dyDescent="0.35">
      <c r="A88" t="s">
        <v>118</v>
      </c>
      <c r="B88">
        <f>Earnings!B88</f>
        <v>768766</v>
      </c>
      <c r="C88">
        <f t="shared" si="2"/>
        <v>66253.200000000012</v>
      </c>
      <c r="D88">
        <f t="shared" si="3"/>
        <v>5521.1000000000013</v>
      </c>
    </row>
    <row r="89" spans="1:4" x14ac:dyDescent="0.35">
      <c r="A89" t="s">
        <v>119</v>
      </c>
      <c r="B89">
        <f>Earnings!B89</f>
        <v>1857199</v>
      </c>
      <c r="C89">
        <f t="shared" si="2"/>
        <v>369659.69999999995</v>
      </c>
      <c r="D89">
        <f t="shared" si="3"/>
        <v>30804.974999999995</v>
      </c>
    </row>
    <row r="90" spans="1:4" x14ac:dyDescent="0.35">
      <c r="A90" t="s">
        <v>120</v>
      </c>
      <c r="B90">
        <f>Earnings!B90</f>
        <v>1195410</v>
      </c>
      <c r="C90">
        <f t="shared" si="2"/>
        <v>171123</v>
      </c>
      <c r="D90">
        <f t="shared" si="3"/>
        <v>14260.25</v>
      </c>
    </row>
    <row r="91" spans="1:4" x14ac:dyDescent="0.35">
      <c r="A91" t="s">
        <v>121</v>
      </c>
      <c r="B91">
        <f>Earnings!B91</f>
        <v>1133204.8</v>
      </c>
      <c r="C91">
        <f t="shared" si="2"/>
        <v>152461.44</v>
      </c>
      <c r="D91">
        <f t="shared" si="3"/>
        <v>12705.12</v>
      </c>
    </row>
    <row r="92" spans="1:4" x14ac:dyDescent="0.35">
      <c r="A92" t="s">
        <v>122</v>
      </c>
      <c r="B92">
        <f>Earnings!B92</f>
        <v>1872193</v>
      </c>
      <c r="C92">
        <f t="shared" si="2"/>
        <v>374157.9</v>
      </c>
      <c r="D92">
        <f t="shared" si="3"/>
        <v>31179.825000000001</v>
      </c>
    </row>
    <row r="93" spans="1:4" x14ac:dyDescent="0.35">
      <c r="A93" t="s">
        <v>123</v>
      </c>
      <c r="B93">
        <f>Earnings!B93</f>
        <v>931327</v>
      </c>
      <c r="C93">
        <f t="shared" si="2"/>
        <v>98765.400000000009</v>
      </c>
      <c r="D93">
        <f t="shared" si="3"/>
        <v>8230.4500000000007</v>
      </c>
    </row>
    <row r="94" spans="1:4" x14ac:dyDescent="0.35">
      <c r="A94" t="s">
        <v>124</v>
      </c>
      <c r="B94">
        <f>Earnings!B94</f>
        <v>1235861.46</v>
      </c>
      <c r="C94">
        <f t="shared" si="2"/>
        <v>183258.43799999997</v>
      </c>
      <c r="D94">
        <f t="shared" si="3"/>
        <v>15271.536499999997</v>
      </c>
    </row>
    <row r="95" spans="1:4" x14ac:dyDescent="0.35">
      <c r="A95" t="s">
        <v>125</v>
      </c>
      <c r="B95">
        <f>Earnings!B95</f>
        <v>967581.84</v>
      </c>
      <c r="C95">
        <f t="shared" si="2"/>
        <v>106016.368</v>
      </c>
      <c r="D95">
        <f t="shared" si="3"/>
        <v>8834.6973333333335</v>
      </c>
    </row>
    <row r="96" spans="1:4" x14ac:dyDescent="0.35">
      <c r="A96" t="s">
        <v>126</v>
      </c>
      <c r="B96">
        <f>Earnings!B96</f>
        <v>1227622.8</v>
      </c>
      <c r="C96">
        <f t="shared" si="2"/>
        <v>180786.84000000003</v>
      </c>
      <c r="D96">
        <f t="shared" si="3"/>
        <v>15065.570000000002</v>
      </c>
    </row>
    <row r="97" spans="1:4" x14ac:dyDescent="0.35">
      <c r="A97" t="s">
        <v>127</v>
      </c>
      <c r="B97">
        <f>Earnings!B97</f>
        <v>1513661.98</v>
      </c>
      <c r="C97">
        <f t="shared" si="2"/>
        <v>266598.59399999998</v>
      </c>
      <c r="D97">
        <f t="shared" si="3"/>
        <v>22216.549499999997</v>
      </c>
    </row>
    <row r="98" spans="1:4" x14ac:dyDescent="0.35">
      <c r="A98" t="s">
        <v>128</v>
      </c>
      <c r="B98">
        <f>Earnings!B98</f>
        <v>1151940.93</v>
      </c>
      <c r="C98">
        <f t="shared" si="2"/>
        <v>158082.27899999998</v>
      </c>
      <c r="D98">
        <f t="shared" si="3"/>
        <v>13173.523249999998</v>
      </c>
    </row>
    <row r="99" spans="1:4" x14ac:dyDescent="0.35">
      <c r="A99" t="s">
        <v>129</v>
      </c>
      <c r="B99">
        <f>Earnings!B99</f>
        <v>1189503.3600000001</v>
      </c>
      <c r="C99">
        <f t="shared" si="2"/>
        <v>169351.00800000003</v>
      </c>
      <c r="D99">
        <f t="shared" si="3"/>
        <v>14112.584000000003</v>
      </c>
    </row>
    <row r="100" spans="1:4" x14ac:dyDescent="0.35">
      <c r="A100" t="s">
        <v>130</v>
      </c>
      <c r="B100">
        <f>Earnings!B100</f>
        <v>836149.72</v>
      </c>
      <c r="C100">
        <f t="shared" si="2"/>
        <v>79729.944000000003</v>
      </c>
      <c r="D100">
        <f t="shared" si="3"/>
        <v>6644.1620000000003</v>
      </c>
    </row>
    <row r="101" spans="1:4" x14ac:dyDescent="0.35">
      <c r="A101" t="s">
        <v>131</v>
      </c>
      <c r="B101">
        <f>Earnings!B101</f>
        <v>1279836.3899999999</v>
      </c>
      <c r="C101">
        <f t="shared" si="2"/>
        <v>196450.91699999996</v>
      </c>
      <c r="D101">
        <f t="shared" si="3"/>
        <v>16370.909749999997</v>
      </c>
    </row>
    <row r="102" spans="1:4" x14ac:dyDescent="0.35">
      <c r="A102" t="s">
        <v>132</v>
      </c>
      <c r="B102">
        <f>Earnings!B102</f>
        <v>1068048.52</v>
      </c>
      <c r="C102">
        <f t="shared" si="2"/>
        <v>132914.55600000001</v>
      </c>
      <c r="D102">
        <f t="shared" si="3"/>
        <v>11076.213000000002</v>
      </c>
    </row>
    <row r="103" spans="1:4" x14ac:dyDescent="0.35">
      <c r="A103" t="s">
        <v>133</v>
      </c>
      <c r="B103">
        <f>Earnings!B103</f>
        <v>995796.2</v>
      </c>
      <c r="C103">
        <f t="shared" si="2"/>
        <v>111659.23999999999</v>
      </c>
      <c r="D103">
        <f t="shared" si="3"/>
        <v>9304.9366666666665</v>
      </c>
    </row>
    <row r="104" spans="1:4" x14ac:dyDescent="0.35">
      <c r="A104" t="s">
        <v>134</v>
      </c>
      <c r="B104">
        <f>Earnings!B104</f>
        <v>956035.2</v>
      </c>
      <c r="C104">
        <f t="shared" si="2"/>
        <v>103707.04</v>
      </c>
      <c r="D104">
        <f t="shared" si="3"/>
        <v>8642.2533333333322</v>
      </c>
    </row>
    <row r="105" spans="1:4" x14ac:dyDescent="0.35">
      <c r="A105" t="s">
        <v>135</v>
      </c>
      <c r="B105">
        <f>Earnings!B105</f>
        <v>898193.65</v>
      </c>
      <c r="C105">
        <f t="shared" si="2"/>
        <v>92138.73000000001</v>
      </c>
      <c r="D105">
        <f t="shared" si="3"/>
        <v>7678.2275000000009</v>
      </c>
    </row>
    <row r="106" spans="1:4" x14ac:dyDescent="0.35">
      <c r="A106" t="s">
        <v>136</v>
      </c>
      <c r="B106">
        <f>Earnings!B106</f>
        <v>2566955.7999999998</v>
      </c>
      <c r="C106">
        <f t="shared" si="2"/>
        <v>582586.74</v>
      </c>
      <c r="D106">
        <f t="shared" si="3"/>
        <v>48548.894999999997</v>
      </c>
    </row>
    <row r="107" spans="1:4" x14ac:dyDescent="0.35">
      <c r="A107" t="s">
        <v>137</v>
      </c>
      <c r="B107">
        <f>Earnings!B107</f>
        <v>609167</v>
      </c>
      <c r="C107">
        <f t="shared" si="2"/>
        <v>34333.4</v>
      </c>
      <c r="D107">
        <f t="shared" si="3"/>
        <v>2861.1166666666668</v>
      </c>
    </row>
    <row r="108" spans="1:4" x14ac:dyDescent="0.35">
      <c r="A108" t="s">
        <v>138</v>
      </c>
      <c r="B108">
        <f>Earnings!B108</f>
        <v>1126046</v>
      </c>
      <c r="C108">
        <f t="shared" si="2"/>
        <v>150313.79999999999</v>
      </c>
      <c r="D108">
        <f t="shared" si="3"/>
        <v>12526.15</v>
      </c>
    </row>
    <row r="109" spans="1:4" x14ac:dyDescent="0.35">
      <c r="A109" t="s">
        <v>139</v>
      </c>
      <c r="B109">
        <f>Earnings!B109</f>
        <v>965991</v>
      </c>
      <c r="C109">
        <f t="shared" si="2"/>
        <v>105698.20000000001</v>
      </c>
      <c r="D109">
        <f t="shared" si="3"/>
        <v>8808.1833333333343</v>
      </c>
    </row>
    <row r="110" spans="1:4" x14ac:dyDescent="0.35">
      <c r="A110" t="s">
        <v>140</v>
      </c>
      <c r="B110">
        <f>Earnings!B110</f>
        <v>869775.54</v>
      </c>
      <c r="C110">
        <f t="shared" si="2"/>
        <v>86455.108000000007</v>
      </c>
      <c r="D110">
        <f t="shared" si="3"/>
        <v>7204.592333333334</v>
      </c>
    </row>
    <row r="111" spans="1:4" x14ac:dyDescent="0.35">
      <c r="A111" t="s">
        <v>141</v>
      </c>
      <c r="B111">
        <f>Earnings!B111</f>
        <v>1218056.8</v>
      </c>
      <c r="C111">
        <f t="shared" si="2"/>
        <v>177917.04</v>
      </c>
      <c r="D111">
        <f t="shared" si="3"/>
        <v>14826.42</v>
      </c>
    </row>
    <row r="112" spans="1:4" x14ac:dyDescent="0.35">
      <c r="A112" t="s">
        <v>142</v>
      </c>
      <c r="B112">
        <f>Earnings!B112</f>
        <v>1748544.35</v>
      </c>
      <c r="C112">
        <f t="shared" si="2"/>
        <v>337063.30500000005</v>
      </c>
      <c r="D112">
        <f t="shared" si="3"/>
        <v>28088.608750000003</v>
      </c>
    </row>
    <row r="113" spans="1:4" x14ac:dyDescent="0.35">
      <c r="A113" t="s">
        <v>143</v>
      </c>
      <c r="B113">
        <f>Earnings!B113</f>
        <v>1330453.1499999999</v>
      </c>
      <c r="C113">
        <f t="shared" si="2"/>
        <v>211635.94499999995</v>
      </c>
      <c r="D113">
        <f t="shared" si="3"/>
        <v>17636.328749999997</v>
      </c>
    </row>
    <row r="114" spans="1:4" x14ac:dyDescent="0.35">
      <c r="A114" t="s">
        <v>144</v>
      </c>
      <c r="B114">
        <f>Earnings!B114</f>
        <v>882919.55</v>
      </c>
      <c r="C114">
        <f t="shared" si="2"/>
        <v>89083.910000000018</v>
      </c>
      <c r="D114">
        <f t="shared" si="3"/>
        <v>7423.6591666666682</v>
      </c>
    </row>
    <row r="115" spans="1:4" x14ac:dyDescent="0.35">
      <c r="A115" t="s">
        <v>145</v>
      </c>
      <c r="B115">
        <f>Earnings!B115</f>
        <v>572258</v>
      </c>
      <c r="C115">
        <f t="shared" si="2"/>
        <v>26951.599999999999</v>
      </c>
      <c r="D115">
        <f t="shared" si="3"/>
        <v>2245.9666666666667</v>
      </c>
    </row>
    <row r="116" spans="1:4" x14ac:dyDescent="0.35">
      <c r="A116" t="s">
        <v>146</v>
      </c>
      <c r="B116">
        <f>Earnings!B116</f>
        <v>1517201</v>
      </c>
      <c r="C116">
        <f t="shared" si="2"/>
        <v>267660.3</v>
      </c>
      <c r="D116">
        <f t="shared" si="3"/>
        <v>22305.024999999998</v>
      </c>
    </row>
    <row r="117" spans="1:4" x14ac:dyDescent="0.35">
      <c r="A117" t="s">
        <v>147</v>
      </c>
      <c r="B117">
        <f>Earnings!B117</f>
        <v>1194891.6000000001</v>
      </c>
      <c r="C117">
        <f t="shared" si="2"/>
        <v>170967.48000000004</v>
      </c>
      <c r="D117">
        <f t="shared" si="3"/>
        <v>14247.290000000003</v>
      </c>
    </row>
    <row r="118" spans="1:4" x14ac:dyDescent="0.35">
      <c r="A118" t="s">
        <v>148</v>
      </c>
      <c r="B118">
        <f>Earnings!B118</f>
        <v>846346.45</v>
      </c>
      <c r="C118">
        <f t="shared" si="2"/>
        <v>81769.289999999994</v>
      </c>
      <c r="D118">
        <f t="shared" si="3"/>
        <v>6814.1074999999992</v>
      </c>
    </row>
    <row r="119" spans="1:4" x14ac:dyDescent="0.35">
      <c r="A119" t="s">
        <v>149</v>
      </c>
      <c r="B119">
        <f>Earnings!B119</f>
        <v>1780183.81</v>
      </c>
      <c r="C119">
        <f t="shared" si="2"/>
        <v>346555.14300000004</v>
      </c>
      <c r="D119">
        <f t="shared" si="3"/>
        <v>28879.595250000002</v>
      </c>
    </row>
    <row r="120" spans="1:4" x14ac:dyDescent="0.35">
      <c r="A120" t="s">
        <v>150</v>
      </c>
      <c r="B120">
        <f>Earnings!B120</f>
        <v>1145592</v>
      </c>
      <c r="C120">
        <f t="shared" si="2"/>
        <v>156177.60000000001</v>
      </c>
      <c r="D120">
        <f t="shared" si="3"/>
        <v>13014.800000000001</v>
      </c>
    </row>
    <row r="121" spans="1:4" x14ac:dyDescent="0.35">
      <c r="A121" t="s">
        <v>151</v>
      </c>
      <c r="B121">
        <f>Earnings!B121</f>
        <v>1264523</v>
      </c>
      <c r="C121">
        <f t="shared" si="2"/>
        <v>191856.9</v>
      </c>
      <c r="D121">
        <f t="shared" si="3"/>
        <v>15988.074999999999</v>
      </c>
    </row>
    <row r="122" spans="1:4" x14ac:dyDescent="0.35">
      <c r="A122" t="s">
        <v>152</v>
      </c>
      <c r="B122">
        <f>Earnings!B122</f>
        <v>967113.3</v>
      </c>
      <c r="C122">
        <f t="shared" si="2"/>
        <v>105922.66000000002</v>
      </c>
      <c r="D122">
        <f t="shared" si="3"/>
        <v>8826.8883333333342</v>
      </c>
    </row>
    <row r="123" spans="1:4" x14ac:dyDescent="0.35">
      <c r="A123" t="s">
        <v>153</v>
      </c>
      <c r="B123">
        <f>Earnings!B123</f>
        <v>1015893</v>
      </c>
      <c r="C123">
        <f t="shared" si="2"/>
        <v>117267.9</v>
      </c>
      <c r="D123">
        <f t="shared" si="3"/>
        <v>9772.3249999999989</v>
      </c>
    </row>
    <row r="124" spans="1:4" x14ac:dyDescent="0.35">
      <c r="A124" t="s">
        <v>154</v>
      </c>
      <c r="B124">
        <f>Earnings!B124</f>
        <v>1070989.1499999999</v>
      </c>
      <c r="C124">
        <f t="shared" si="2"/>
        <v>133796.74499999997</v>
      </c>
      <c r="D124">
        <f t="shared" si="3"/>
        <v>11149.728749999997</v>
      </c>
    </row>
    <row r="125" spans="1:4" x14ac:dyDescent="0.35">
      <c r="A125" t="s">
        <v>155</v>
      </c>
      <c r="B125">
        <f>Earnings!B125</f>
        <v>867605.55</v>
      </c>
      <c r="C125">
        <f t="shared" si="2"/>
        <v>86021.110000000015</v>
      </c>
      <c r="D125">
        <f t="shared" si="3"/>
        <v>7168.4258333333346</v>
      </c>
    </row>
    <row r="126" spans="1:4" x14ac:dyDescent="0.35">
      <c r="A126" t="s">
        <v>156</v>
      </c>
      <c r="B126">
        <f>Earnings!B126</f>
        <v>896759.15</v>
      </c>
      <c r="C126">
        <f t="shared" si="2"/>
        <v>91851.830000000016</v>
      </c>
      <c r="D126">
        <f t="shared" si="3"/>
        <v>7654.319166666668</v>
      </c>
    </row>
    <row r="127" spans="1:4" x14ac:dyDescent="0.35">
      <c r="A127" t="s">
        <v>157</v>
      </c>
      <c r="B127">
        <f>Earnings!B127</f>
        <v>1097071.2</v>
      </c>
      <c r="C127">
        <f t="shared" si="2"/>
        <v>141621.35999999999</v>
      </c>
      <c r="D127">
        <f t="shared" si="3"/>
        <v>11801.779999999999</v>
      </c>
    </row>
    <row r="128" spans="1:4" x14ac:dyDescent="0.35">
      <c r="A128" t="s">
        <v>158</v>
      </c>
      <c r="B128">
        <f>Earnings!B128</f>
        <v>1514655.8</v>
      </c>
      <c r="C128">
        <f t="shared" si="2"/>
        <v>266896.74</v>
      </c>
      <c r="D128">
        <f t="shared" si="3"/>
        <v>22241.395</v>
      </c>
    </row>
    <row r="129" spans="1:4" x14ac:dyDescent="0.35">
      <c r="A129" t="s">
        <v>159</v>
      </c>
      <c r="B129">
        <f>Earnings!B129</f>
        <v>422562</v>
      </c>
      <c r="C129">
        <f t="shared" si="2"/>
        <v>8628.1</v>
      </c>
      <c r="D129">
        <f t="shared" si="3"/>
        <v>719.00833333333333</v>
      </c>
    </row>
    <row r="130" spans="1:4" x14ac:dyDescent="0.35">
      <c r="A130" t="s">
        <v>160</v>
      </c>
      <c r="B130">
        <f>Earnings!B130</f>
        <v>919590</v>
      </c>
      <c r="C130">
        <f t="shared" ref="C130:C193" si="4">IF(B130&lt;=250000,0,IF(B130&lt;=500000,(B130-250000)*0.05,IF(B130&lt;=1000000,12500+(B130-500000)*0.2,112500+(B130-1000000)*0.3)))</f>
        <v>96418</v>
      </c>
      <c r="D130">
        <f t="shared" ref="D130:D193" si="5">C130/12</f>
        <v>8034.833333333333</v>
      </c>
    </row>
    <row r="131" spans="1:4" x14ac:dyDescent="0.35">
      <c r="A131" t="s">
        <v>161</v>
      </c>
      <c r="B131">
        <f>Earnings!B131</f>
        <v>794809</v>
      </c>
      <c r="C131">
        <f t="shared" si="4"/>
        <v>71461.8</v>
      </c>
      <c r="D131">
        <f t="shared" si="5"/>
        <v>5955.1500000000005</v>
      </c>
    </row>
    <row r="132" spans="1:4" x14ac:dyDescent="0.35">
      <c r="A132" t="s">
        <v>162</v>
      </c>
      <c r="B132">
        <f>Earnings!B132</f>
        <v>1424813.04</v>
      </c>
      <c r="C132">
        <f t="shared" si="4"/>
        <v>239943.91200000001</v>
      </c>
      <c r="D132">
        <f t="shared" si="5"/>
        <v>19995.326000000001</v>
      </c>
    </row>
    <row r="133" spans="1:4" x14ac:dyDescent="0.35">
      <c r="A133" t="s">
        <v>163</v>
      </c>
      <c r="B133">
        <f>Earnings!B133</f>
        <v>1439357.16</v>
      </c>
      <c r="C133">
        <f t="shared" si="4"/>
        <v>244307.14799999996</v>
      </c>
      <c r="D133">
        <f t="shared" si="5"/>
        <v>20358.928999999996</v>
      </c>
    </row>
    <row r="134" spans="1:4" x14ac:dyDescent="0.35">
      <c r="A134" t="s">
        <v>164</v>
      </c>
      <c r="B134">
        <f>Earnings!B134</f>
        <v>724356.57</v>
      </c>
      <c r="C134">
        <f t="shared" si="4"/>
        <v>57371.313999999991</v>
      </c>
      <c r="D134">
        <f t="shared" si="5"/>
        <v>4780.9428333333326</v>
      </c>
    </row>
    <row r="135" spans="1:4" x14ac:dyDescent="0.35">
      <c r="A135" t="s">
        <v>165</v>
      </c>
      <c r="B135">
        <f>Earnings!B135</f>
        <v>855153.9</v>
      </c>
      <c r="C135">
        <f t="shared" si="4"/>
        <v>83530.780000000013</v>
      </c>
      <c r="D135">
        <f t="shared" si="5"/>
        <v>6960.8983333333344</v>
      </c>
    </row>
    <row r="136" spans="1:4" x14ac:dyDescent="0.35">
      <c r="A136" t="s">
        <v>166</v>
      </c>
      <c r="B136">
        <f>Earnings!B136</f>
        <v>1146948.1100000001</v>
      </c>
      <c r="C136">
        <f t="shared" si="4"/>
        <v>156584.43300000002</v>
      </c>
      <c r="D136">
        <f t="shared" si="5"/>
        <v>13048.702750000002</v>
      </c>
    </row>
    <row r="137" spans="1:4" x14ac:dyDescent="0.35">
      <c r="A137" t="s">
        <v>167</v>
      </c>
      <c r="B137">
        <f>Earnings!B137</f>
        <v>840650.4</v>
      </c>
      <c r="C137">
        <f t="shared" si="4"/>
        <v>80630.080000000002</v>
      </c>
      <c r="D137">
        <f t="shared" si="5"/>
        <v>6719.1733333333332</v>
      </c>
    </row>
    <row r="138" spans="1:4" x14ac:dyDescent="0.35">
      <c r="A138" t="s">
        <v>168</v>
      </c>
      <c r="B138">
        <f>Earnings!B138</f>
        <v>479892.12</v>
      </c>
      <c r="C138">
        <f t="shared" si="4"/>
        <v>11494.606</v>
      </c>
      <c r="D138">
        <f t="shared" si="5"/>
        <v>957.88383333333331</v>
      </c>
    </row>
    <row r="139" spans="1:4" x14ac:dyDescent="0.35">
      <c r="A139" t="s">
        <v>169</v>
      </c>
      <c r="B139">
        <f>Earnings!B139</f>
        <v>1380459.5</v>
      </c>
      <c r="C139">
        <f t="shared" si="4"/>
        <v>226637.84999999998</v>
      </c>
      <c r="D139">
        <f t="shared" si="5"/>
        <v>18886.487499999999</v>
      </c>
    </row>
    <row r="140" spans="1:4" x14ac:dyDescent="0.35">
      <c r="A140" t="s">
        <v>170</v>
      </c>
      <c r="B140">
        <f>Earnings!B140</f>
        <v>1735276.7</v>
      </c>
      <c r="C140">
        <f t="shared" si="4"/>
        <v>333083.01</v>
      </c>
      <c r="D140">
        <f t="shared" si="5"/>
        <v>27756.9175</v>
      </c>
    </row>
    <row r="141" spans="1:4" x14ac:dyDescent="0.35">
      <c r="A141" t="s">
        <v>171</v>
      </c>
      <c r="B141">
        <f>Earnings!B141</f>
        <v>1131025.2</v>
      </c>
      <c r="C141">
        <f t="shared" si="4"/>
        <v>151807.56</v>
      </c>
      <c r="D141">
        <f t="shared" si="5"/>
        <v>12650.63</v>
      </c>
    </row>
    <row r="142" spans="1:4" x14ac:dyDescent="0.35">
      <c r="A142" t="s">
        <v>172</v>
      </c>
      <c r="B142">
        <f>Earnings!B142</f>
        <v>489680.35</v>
      </c>
      <c r="C142">
        <f t="shared" si="4"/>
        <v>11984.0175</v>
      </c>
      <c r="D142">
        <f t="shared" si="5"/>
        <v>998.66812500000003</v>
      </c>
    </row>
    <row r="143" spans="1:4" x14ac:dyDescent="0.35">
      <c r="A143" t="s">
        <v>173</v>
      </c>
      <c r="B143">
        <f>Earnings!B143</f>
        <v>598477.19999999995</v>
      </c>
      <c r="C143">
        <f t="shared" si="4"/>
        <v>32195.439999999991</v>
      </c>
      <c r="D143">
        <f t="shared" si="5"/>
        <v>2682.9533333333325</v>
      </c>
    </row>
    <row r="144" spans="1:4" x14ac:dyDescent="0.35">
      <c r="A144" t="s">
        <v>174</v>
      </c>
      <c r="B144">
        <f>Earnings!B144</f>
        <v>760833</v>
      </c>
      <c r="C144">
        <f t="shared" si="4"/>
        <v>64666.600000000006</v>
      </c>
      <c r="D144">
        <f t="shared" si="5"/>
        <v>5388.8833333333341</v>
      </c>
    </row>
    <row r="145" spans="1:4" x14ac:dyDescent="0.35">
      <c r="A145" t="s">
        <v>175</v>
      </c>
      <c r="B145">
        <f>Earnings!B145</f>
        <v>1103379.3</v>
      </c>
      <c r="C145">
        <f t="shared" si="4"/>
        <v>143513.79</v>
      </c>
      <c r="D145">
        <f t="shared" si="5"/>
        <v>11959.4825</v>
      </c>
    </row>
    <row r="146" spans="1:4" x14ac:dyDescent="0.35">
      <c r="A146" t="s">
        <v>176</v>
      </c>
      <c r="B146">
        <f>Earnings!B146</f>
        <v>1184323.77</v>
      </c>
      <c r="C146">
        <f t="shared" si="4"/>
        <v>167797.13099999999</v>
      </c>
      <c r="D146">
        <f t="shared" si="5"/>
        <v>13983.09425</v>
      </c>
    </row>
    <row r="147" spans="1:4" x14ac:dyDescent="0.35">
      <c r="A147" t="s">
        <v>177</v>
      </c>
      <c r="B147">
        <f>Earnings!B147</f>
        <v>1120687.2</v>
      </c>
      <c r="C147">
        <f t="shared" si="4"/>
        <v>148706.15999999997</v>
      </c>
      <c r="D147">
        <f t="shared" si="5"/>
        <v>12392.179999999998</v>
      </c>
    </row>
    <row r="148" spans="1:4" x14ac:dyDescent="0.35">
      <c r="A148" t="s">
        <v>178</v>
      </c>
      <c r="B148">
        <f>Earnings!B148</f>
        <v>846657.1</v>
      </c>
      <c r="C148">
        <f t="shared" si="4"/>
        <v>81831.42</v>
      </c>
      <c r="D148">
        <f t="shared" si="5"/>
        <v>6819.2849999999999</v>
      </c>
    </row>
    <row r="149" spans="1:4" x14ac:dyDescent="0.35">
      <c r="A149" t="s">
        <v>179</v>
      </c>
      <c r="B149">
        <f>Earnings!B149</f>
        <v>592988</v>
      </c>
      <c r="C149">
        <f t="shared" si="4"/>
        <v>31097.600000000002</v>
      </c>
      <c r="D149">
        <f t="shared" si="5"/>
        <v>2591.4666666666667</v>
      </c>
    </row>
    <row r="150" spans="1:4" x14ac:dyDescent="0.35">
      <c r="A150" t="s">
        <v>180</v>
      </c>
      <c r="B150">
        <f>Earnings!B150</f>
        <v>689370.35</v>
      </c>
      <c r="C150">
        <f t="shared" si="4"/>
        <v>50374.07</v>
      </c>
      <c r="D150">
        <f t="shared" si="5"/>
        <v>4197.8391666666666</v>
      </c>
    </row>
    <row r="151" spans="1:4" x14ac:dyDescent="0.35">
      <c r="A151" t="s">
        <v>181</v>
      </c>
      <c r="B151">
        <f>Earnings!B151</f>
        <v>903299.9</v>
      </c>
      <c r="C151">
        <f t="shared" si="4"/>
        <v>93159.98000000001</v>
      </c>
      <c r="D151">
        <f t="shared" si="5"/>
        <v>7763.3316666666678</v>
      </c>
    </row>
    <row r="152" spans="1:4" x14ac:dyDescent="0.35">
      <c r="A152" t="s">
        <v>182</v>
      </c>
      <c r="B152">
        <f>Earnings!B152</f>
        <v>886702.26</v>
      </c>
      <c r="C152">
        <f t="shared" si="4"/>
        <v>89840.452000000005</v>
      </c>
      <c r="D152">
        <f t="shared" si="5"/>
        <v>7486.704333333334</v>
      </c>
    </row>
    <row r="153" spans="1:4" x14ac:dyDescent="0.35">
      <c r="A153" t="s">
        <v>183</v>
      </c>
      <c r="B153">
        <f>Earnings!B153</f>
        <v>1070832</v>
      </c>
      <c r="C153">
        <f t="shared" si="4"/>
        <v>133749.6</v>
      </c>
      <c r="D153">
        <f t="shared" si="5"/>
        <v>11145.800000000001</v>
      </c>
    </row>
    <row r="154" spans="1:4" x14ac:dyDescent="0.35">
      <c r="A154" t="s">
        <v>184</v>
      </c>
      <c r="B154">
        <f>Earnings!B154</f>
        <v>1455816.6</v>
      </c>
      <c r="C154">
        <f t="shared" si="4"/>
        <v>249244.98</v>
      </c>
      <c r="D154">
        <f t="shared" si="5"/>
        <v>20770.415000000001</v>
      </c>
    </row>
    <row r="155" spans="1:4" x14ac:dyDescent="0.35">
      <c r="A155" t="s">
        <v>185</v>
      </c>
      <c r="B155">
        <f>Earnings!B155</f>
        <v>2061431.9</v>
      </c>
      <c r="C155">
        <f t="shared" si="4"/>
        <v>430929.56999999995</v>
      </c>
      <c r="D155">
        <f t="shared" si="5"/>
        <v>35910.797499999993</v>
      </c>
    </row>
    <row r="156" spans="1:4" x14ac:dyDescent="0.35">
      <c r="A156" t="s">
        <v>186</v>
      </c>
      <c r="B156">
        <f>Earnings!B156</f>
        <v>1239369.24</v>
      </c>
      <c r="C156">
        <f t="shared" si="4"/>
        <v>184310.772</v>
      </c>
      <c r="D156">
        <f t="shared" si="5"/>
        <v>15359.231</v>
      </c>
    </row>
    <row r="157" spans="1:4" x14ac:dyDescent="0.35">
      <c r="A157" t="s">
        <v>187</v>
      </c>
      <c r="B157">
        <f>Earnings!B157</f>
        <v>1093220.1000000001</v>
      </c>
      <c r="C157">
        <f t="shared" si="4"/>
        <v>140466.03000000003</v>
      </c>
      <c r="D157">
        <f t="shared" si="5"/>
        <v>11705.502500000002</v>
      </c>
    </row>
    <row r="158" spans="1:4" x14ac:dyDescent="0.35">
      <c r="A158" t="s">
        <v>188</v>
      </c>
      <c r="B158">
        <f>Earnings!B158</f>
        <v>1081896.48</v>
      </c>
      <c r="C158">
        <f t="shared" si="4"/>
        <v>137068.94399999999</v>
      </c>
      <c r="D158">
        <f t="shared" si="5"/>
        <v>11422.411999999998</v>
      </c>
    </row>
    <row r="159" spans="1:4" x14ac:dyDescent="0.35">
      <c r="A159" t="s">
        <v>189</v>
      </c>
      <c r="B159">
        <f>Earnings!B159</f>
        <v>757532.28</v>
      </c>
      <c r="C159">
        <f t="shared" si="4"/>
        <v>64006.456000000006</v>
      </c>
      <c r="D159">
        <f t="shared" si="5"/>
        <v>5333.8713333333335</v>
      </c>
    </row>
    <row r="160" spans="1:4" x14ac:dyDescent="0.35">
      <c r="A160" t="s">
        <v>190</v>
      </c>
      <c r="B160">
        <f>Earnings!B160</f>
        <v>1594550.3</v>
      </c>
      <c r="C160">
        <f t="shared" si="4"/>
        <v>290865.08999999997</v>
      </c>
      <c r="D160">
        <f t="shared" si="5"/>
        <v>24238.757499999996</v>
      </c>
    </row>
    <row r="161" spans="1:4" x14ac:dyDescent="0.35">
      <c r="A161" t="s">
        <v>191</v>
      </c>
      <c r="B161">
        <f>Earnings!B161</f>
        <v>1101326.3</v>
      </c>
      <c r="C161">
        <f t="shared" si="4"/>
        <v>142897.89000000001</v>
      </c>
      <c r="D161">
        <f t="shared" si="5"/>
        <v>11908.157500000001</v>
      </c>
    </row>
    <row r="162" spans="1:4" x14ac:dyDescent="0.35">
      <c r="A162" t="s">
        <v>192</v>
      </c>
      <c r="B162">
        <f>Earnings!B162</f>
        <v>850202</v>
      </c>
      <c r="C162">
        <f t="shared" si="4"/>
        <v>82540.400000000009</v>
      </c>
      <c r="D162">
        <f t="shared" si="5"/>
        <v>6878.3666666666677</v>
      </c>
    </row>
    <row r="163" spans="1:4" x14ac:dyDescent="0.35">
      <c r="A163" t="s">
        <v>193</v>
      </c>
      <c r="B163">
        <f>Earnings!B163</f>
        <v>930921.6</v>
      </c>
      <c r="C163">
        <f t="shared" si="4"/>
        <v>98684.32</v>
      </c>
      <c r="D163">
        <f t="shared" si="5"/>
        <v>8223.6933333333345</v>
      </c>
    </row>
    <row r="164" spans="1:4" x14ac:dyDescent="0.35">
      <c r="A164" t="s">
        <v>194</v>
      </c>
      <c r="B164">
        <f>Earnings!B164</f>
        <v>1295308.28</v>
      </c>
      <c r="C164">
        <f t="shared" si="4"/>
        <v>201092.484</v>
      </c>
      <c r="D164">
        <f t="shared" si="5"/>
        <v>16757.706999999999</v>
      </c>
    </row>
    <row r="165" spans="1:4" x14ac:dyDescent="0.35">
      <c r="A165" t="s">
        <v>195</v>
      </c>
      <c r="B165">
        <f>Earnings!B165</f>
        <v>1380865.8</v>
      </c>
      <c r="C165">
        <f t="shared" si="4"/>
        <v>226759.74</v>
      </c>
      <c r="D165">
        <f t="shared" si="5"/>
        <v>18896.645</v>
      </c>
    </row>
    <row r="166" spans="1:4" x14ac:dyDescent="0.35">
      <c r="A166" t="s">
        <v>196</v>
      </c>
      <c r="B166">
        <f>Earnings!B166</f>
        <v>1459769.6</v>
      </c>
      <c r="C166">
        <f t="shared" si="4"/>
        <v>250430.88000000003</v>
      </c>
      <c r="D166">
        <f t="shared" si="5"/>
        <v>20869.240000000002</v>
      </c>
    </row>
    <row r="167" spans="1:4" x14ac:dyDescent="0.35">
      <c r="A167" t="s">
        <v>197</v>
      </c>
      <c r="B167">
        <f>Earnings!B167</f>
        <v>1249161.6499999999</v>
      </c>
      <c r="C167">
        <f t="shared" si="4"/>
        <v>187248.49499999997</v>
      </c>
      <c r="D167">
        <f t="shared" si="5"/>
        <v>15604.041249999997</v>
      </c>
    </row>
    <row r="168" spans="1:4" x14ac:dyDescent="0.35">
      <c r="A168" t="s">
        <v>198</v>
      </c>
      <c r="B168">
        <f>Earnings!B168</f>
        <v>1050626.8500000001</v>
      </c>
      <c r="C168">
        <f t="shared" si="4"/>
        <v>127688.05500000002</v>
      </c>
      <c r="D168">
        <f t="shared" si="5"/>
        <v>10640.671250000001</v>
      </c>
    </row>
    <row r="169" spans="1:4" x14ac:dyDescent="0.35">
      <c r="A169" t="s">
        <v>199</v>
      </c>
      <c r="B169">
        <f>Earnings!B169</f>
        <v>855191.52</v>
      </c>
      <c r="C169">
        <f t="shared" si="4"/>
        <v>83538.304000000004</v>
      </c>
      <c r="D169">
        <f t="shared" si="5"/>
        <v>6961.5253333333339</v>
      </c>
    </row>
    <row r="170" spans="1:4" x14ac:dyDescent="0.35">
      <c r="A170" t="s">
        <v>200</v>
      </c>
      <c r="B170">
        <f>Earnings!B170</f>
        <v>1027203.6</v>
      </c>
      <c r="C170">
        <f t="shared" si="4"/>
        <v>120661.07999999999</v>
      </c>
      <c r="D170">
        <f t="shared" si="5"/>
        <v>10055.089999999998</v>
      </c>
    </row>
    <row r="171" spans="1:4" x14ac:dyDescent="0.35">
      <c r="A171" t="s">
        <v>201</v>
      </c>
      <c r="B171">
        <f>Earnings!B171</f>
        <v>1604228.71</v>
      </c>
      <c r="C171">
        <f t="shared" si="4"/>
        <v>293768.61300000001</v>
      </c>
      <c r="D171">
        <f t="shared" si="5"/>
        <v>24480.71775</v>
      </c>
    </row>
    <row r="172" spans="1:4" x14ac:dyDescent="0.35">
      <c r="A172" t="s">
        <v>202</v>
      </c>
      <c r="B172">
        <f>Earnings!B172</f>
        <v>1148840</v>
      </c>
      <c r="C172">
        <f t="shared" si="4"/>
        <v>157152</v>
      </c>
      <c r="D172">
        <f t="shared" si="5"/>
        <v>13096</v>
      </c>
    </row>
    <row r="173" spans="1:4" x14ac:dyDescent="0.35">
      <c r="A173" t="s">
        <v>203</v>
      </c>
      <c r="B173">
        <f>Earnings!B173</f>
        <v>1806838.2</v>
      </c>
      <c r="C173">
        <f t="shared" si="4"/>
        <v>354551.45999999996</v>
      </c>
      <c r="D173">
        <f t="shared" si="5"/>
        <v>29545.954999999998</v>
      </c>
    </row>
    <row r="174" spans="1:4" x14ac:dyDescent="0.35">
      <c r="A174" t="s">
        <v>204</v>
      </c>
      <c r="B174">
        <f>Earnings!B174</f>
        <v>1516087.71</v>
      </c>
      <c r="C174">
        <f t="shared" si="4"/>
        <v>267326.31299999997</v>
      </c>
      <c r="D174">
        <f t="shared" si="5"/>
        <v>22277.192749999998</v>
      </c>
    </row>
    <row r="175" spans="1:4" x14ac:dyDescent="0.35">
      <c r="A175" t="s">
        <v>205</v>
      </c>
      <c r="B175">
        <f>Earnings!B175</f>
        <v>1082487.6000000001</v>
      </c>
      <c r="C175">
        <f t="shared" si="4"/>
        <v>137246.28000000003</v>
      </c>
      <c r="D175">
        <f t="shared" si="5"/>
        <v>11437.190000000002</v>
      </c>
    </row>
    <row r="176" spans="1:4" x14ac:dyDescent="0.35">
      <c r="A176" t="s">
        <v>206</v>
      </c>
      <c r="B176">
        <f>Earnings!B176</f>
        <v>776297.25</v>
      </c>
      <c r="C176">
        <f t="shared" si="4"/>
        <v>67759.450000000012</v>
      </c>
      <c r="D176">
        <f t="shared" si="5"/>
        <v>5646.6208333333343</v>
      </c>
    </row>
    <row r="177" spans="1:4" x14ac:dyDescent="0.35">
      <c r="A177" t="s">
        <v>207</v>
      </c>
      <c r="B177">
        <f>Earnings!B177</f>
        <v>703015.2</v>
      </c>
      <c r="C177">
        <f t="shared" si="4"/>
        <v>53103.039999999994</v>
      </c>
      <c r="D177">
        <f t="shared" si="5"/>
        <v>4425.2533333333331</v>
      </c>
    </row>
    <row r="178" spans="1:4" x14ac:dyDescent="0.35">
      <c r="A178" t="s">
        <v>208</v>
      </c>
      <c r="B178">
        <f>Earnings!B178</f>
        <v>1667845.2</v>
      </c>
      <c r="C178">
        <f t="shared" si="4"/>
        <v>312853.55999999994</v>
      </c>
      <c r="D178">
        <f t="shared" si="5"/>
        <v>26071.129999999994</v>
      </c>
    </row>
    <row r="179" spans="1:4" x14ac:dyDescent="0.35">
      <c r="A179" t="s">
        <v>209</v>
      </c>
      <c r="B179">
        <f>Earnings!B179</f>
        <v>1003679.75</v>
      </c>
      <c r="C179">
        <f t="shared" si="4"/>
        <v>113603.925</v>
      </c>
      <c r="D179">
        <f t="shared" si="5"/>
        <v>9466.9937499999996</v>
      </c>
    </row>
    <row r="180" spans="1:4" x14ac:dyDescent="0.35">
      <c r="A180" t="s">
        <v>210</v>
      </c>
      <c r="B180">
        <f>Earnings!B180</f>
        <v>1255773.93</v>
      </c>
      <c r="C180">
        <f t="shared" si="4"/>
        <v>189232.17899999997</v>
      </c>
      <c r="D180">
        <f t="shared" si="5"/>
        <v>15769.348249999997</v>
      </c>
    </row>
    <row r="181" spans="1:4" x14ac:dyDescent="0.35">
      <c r="A181" t="s">
        <v>211</v>
      </c>
      <c r="B181">
        <f>Earnings!B181</f>
        <v>961130.2</v>
      </c>
      <c r="C181">
        <f t="shared" si="4"/>
        <v>104726.04</v>
      </c>
      <c r="D181">
        <f t="shared" si="5"/>
        <v>8727.17</v>
      </c>
    </row>
    <row r="182" spans="1:4" x14ac:dyDescent="0.35">
      <c r="A182" t="s">
        <v>212</v>
      </c>
      <c r="B182">
        <f>Earnings!B182</f>
        <v>1295007.1299999999</v>
      </c>
      <c r="C182">
        <f t="shared" si="4"/>
        <v>201002.13899999997</v>
      </c>
      <c r="D182">
        <f t="shared" si="5"/>
        <v>16750.178249999997</v>
      </c>
    </row>
    <row r="183" spans="1:4" x14ac:dyDescent="0.35">
      <c r="A183" t="s">
        <v>213</v>
      </c>
      <c r="B183">
        <f>Earnings!B183</f>
        <v>676528.8</v>
      </c>
      <c r="C183">
        <f t="shared" si="4"/>
        <v>47805.760000000009</v>
      </c>
      <c r="D183">
        <f t="shared" si="5"/>
        <v>3983.813333333334</v>
      </c>
    </row>
    <row r="184" spans="1:4" x14ac:dyDescent="0.35">
      <c r="A184" t="s">
        <v>214</v>
      </c>
      <c r="B184">
        <f>Earnings!B184</f>
        <v>1523762.19</v>
      </c>
      <c r="C184">
        <f t="shared" si="4"/>
        <v>269628.65700000001</v>
      </c>
      <c r="D184">
        <f t="shared" si="5"/>
        <v>22469.054749999999</v>
      </c>
    </row>
    <row r="185" spans="1:4" x14ac:dyDescent="0.35">
      <c r="A185" t="s">
        <v>215</v>
      </c>
      <c r="B185">
        <f>Earnings!B185</f>
        <v>1127801.43</v>
      </c>
      <c r="C185">
        <f t="shared" si="4"/>
        <v>150840.42899999997</v>
      </c>
      <c r="D185">
        <f t="shared" si="5"/>
        <v>12570.035749999997</v>
      </c>
    </row>
    <row r="186" spans="1:4" x14ac:dyDescent="0.35">
      <c r="A186" t="s">
        <v>216</v>
      </c>
      <c r="B186">
        <f>Earnings!B186</f>
        <v>1306446.3999999999</v>
      </c>
      <c r="C186">
        <f t="shared" si="4"/>
        <v>204433.91999999998</v>
      </c>
      <c r="D186">
        <f t="shared" si="5"/>
        <v>17036.16</v>
      </c>
    </row>
    <row r="187" spans="1:4" x14ac:dyDescent="0.35">
      <c r="A187" t="s">
        <v>217</v>
      </c>
      <c r="B187">
        <f>Earnings!B187</f>
        <v>1199335.48</v>
      </c>
      <c r="C187">
        <f t="shared" si="4"/>
        <v>172300.644</v>
      </c>
      <c r="D187">
        <f t="shared" si="5"/>
        <v>14358.387000000001</v>
      </c>
    </row>
    <row r="188" spans="1:4" x14ac:dyDescent="0.35">
      <c r="A188" t="s">
        <v>218</v>
      </c>
      <c r="B188">
        <f>Earnings!B188</f>
        <v>843131</v>
      </c>
      <c r="C188">
        <f t="shared" si="4"/>
        <v>81126.2</v>
      </c>
      <c r="D188">
        <f t="shared" si="5"/>
        <v>6760.5166666666664</v>
      </c>
    </row>
    <row r="189" spans="1:4" x14ac:dyDescent="0.35">
      <c r="A189" t="s">
        <v>219</v>
      </c>
      <c r="B189">
        <f>Earnings!B189</f>
        <v>754697.1</v>
      </c>
      <c r="C189">
        <f t="shared" si="4"/>
        <v>63439.42</v>
      </c>
      <c r="D189">
        <f t="shared" si="5"/>
        <v>5286.6183333333329</v>
      </c>
    </row>
    <row r="190" spans="1:4" x14ac:dyDescent="0.35">
      <c r="A190" t="s">
        <v>220</v>
      </c>
      <c r="B190">
        <f>Earnings!B190</f>
        <v>1790947.79</v>
      </c>
      <c r="C190">
        <f t="shared" si="4"/>
        <v>349784.337</v>
      </c>
      <c r="D190">
        <f t="shared" si="5"/>
        <v>29148.694749999999</v>
      </c>
    </row>
    <row r="191" spans="1:4" x14ac:dyDescent="0.35">
      <c r="A191" t="s">
        <v>221</v>
      </c>
      <c r="B191">
        <f>Earnings!B191</f>
        <v>605158.55000000005</v>
      </c>
      <c r="C191">
        <f t="shared" si="4"/>
        <v>33531.710000000006</v>
      </c>
      <c r="D191">
        <f t="shared" si="5"/>
        <v>2794.3091666666674</v>
      </c>
    </row>
    <row r="192" spans="1:4" x14ac:dyDescent="0.35">
      <c r="A192" t="s">
        <v>222</v>
      </c>
      <c r="B192">
        <f>Earnings!B192</f>
        <v>748754.85</v>
      </c>
      <c r="C192">
        <f t="shared" si="4"/>
        <v>62250.97</v>
      </c>
      <c r="D192">
        <f t="shared" si="5"/>
        <v>5187.5808333333334</v>
      </c>
    </row>
    <row r="193" spans="1:4" x14ac:dyDescent="0.35">
      <c r="A193" t="s">
        <v>223</v>
      </c>
      <c r="B193">
        <f>Earnings!B193</f>
        <v>550704.55000000005</v>
      </c>
      <c r="C193">
        <f t="shared" si="4"/>
        <v>22640.910000000011</v>
      </c>
      <c r="D193">
        <f t="shared" si="5"/>
        <v>1886.742500000001</v>
      </c>
    </row>
    <row r="194" spans="1:4" x14ac:dyDescent="0.35">
      <c r="A194" t="s">
        <v>224</v>
      </c>
      <c r="B194">
        <f>Earnings!B194</f>
        <v>1353080.82</v>
      </c>
      <c r="C194">
        <f t="shared" ref="C194:C257" si="6">IF(B194&lt;=250000,0,IF(B194&lt;=500000,(B194-250000)*0.05,IF(B194&lt;=1000000,12500+(B194-500000)*0.2,112500+(B194-1000000)*0.3)))</f>
        <v>218424.24600000001</v>
      </c>
      <c r="D194">
        <f t="shared" ref="D194:D257" si="7">C194/12</f>
        <v>18202.020500000002</v>
      </c>
    </row>
    <row r="195" spans="1:4" x14ac:dyDescent="0.35">
      <c r="A195" t="s">
        <v>225</v>
      </c>
      <c r="B195">
        <f>Earnings!B195</f>
        <v>1482799.33</v>
      </c>
      <c r="C195">
        <f t="shared" si="6"/>
        <v>257339.79900000003</v>
      </c>
      <c r="D195">
        <f t="shared" si="7"/>
        <v>21444.983250000001</v>
      </c>
    </row>
    <row r="196" spans="1:4" x14ac:dyDescent="0.35">
      <c r="A196" t="s">
        <v>226</v>
      </c>
      <c r="B196">
        <f>Earnings!B196</f>
        <v>1372440.6</v>
      </c>
      <c r="C196">
        <f t="shared" si="6"/>
        <v>224232.18000000002</v>
      </c>
      <c r="D196">
        <f t="shared" si="7"/>
        <v>18686.015000000003</v>
      </c>
    </row>
    <row r="197" spans="1:4" x14ac:dyDescent="0.35">
      <c r="A197" t="s">
        <v>227</v>
      </c>
      <c r="B197">
        <f>Earnings!B197</f>
        <v>835645.2</v>
      </c>
      <c r="C197">
        <f t="shared" si="6"/>
        <v>79629.039999999994</v>
      </c>
      <c r="D197">
        <f t="shared" si="7"/>
        <v>6635.7533333333331</v>
      </c>
    </row>
    <row r="198" spans="1:4" x14ac:dyDescent="0.35">
      <c r="A198" t="s">
        <v>228</v>
      </c>
      <c r="B198">
        <f>Earnings!B198</f>
        <v>1653568</v>
      </c>
      <c r="C198">
        <f t="shared" si="6"/>
        <v>308570.40000000002</v>
      </c>
      <c r="D198">
        <f t="shared" si="7"/>
        <v>25714.2</v>
      </c>
    </row>
    <row r="199" spans="1:4" x14ac:dyDescent="0.35">
      <c r="A199" t="s">
        <v>229</v>
      </c>
      <c r="B199">
        <f>Earnings!B199</f>
        <v>1253919.6000000001</v>
      </c>
      <c r="C199">
        <f t="shared" si="6"/>
        <v>188675.88</v>
      </c>
      <c r="D199">
        <f t="shared" si="7"/>
        <v>15722.99</v>
      </c>
    </row>
    <row r="200" spans="1:4" x14ac:dyDescent="0.35">
      <c r="A200" t="s">
        <v>230</v>
      </c>
      <c r="B200">
        <f>Earnings!B200</f>
        <v>1663665.9</v>
      </c>
      <c r="C200">
        <f t="shared" si="6"/>
        <v>311599.76999999996</v>
      </c>
      <c r="D200">
        <f t="shared" si="7"/>
        <v>25966.647499999995</v>
      </c>
    </row>
    <row r="201" spans="1:4" x14ac:dyDescent="0.35">
      <c r="A201" t="s">
        <v>231</v>
      </c>
      <c r="B201">
        <f>Earnings!B201</f>
        <v>954547</v>
      </c>
      <c r="C201">
        <f t="shared" si="6"/>
        <v>103409.40000000001</v>
      </c>
      <c r="D201">
        <f t="shared" si="7"/>
        <v>8617.4500000000007</v>
      </c>
    </row>
    <row r="202" spans="1:4" x14ac:dyDescent="0.35">
      <c r="A202" t="s">
        <v>232</v>
      </c>
      <c r="B202">
        <f>Earnings!B202</f>
        <v>1372783.91</v>
      </c>
      <c r="C202">
        <f t="shared" si="6"/>
        <v>224335.17299999995</v>
      </c>
      <c r="D202">
        <f t="shared" si="7"/>
        <v>18694.597749999997</v>
      </c>
    </row>
    <row r="203" spans="1:4" x14ac:dyDescent="0.35">
      <c r="A203" t="s">
        <v>233</v>
      </c>
      <c r="B203">
        <f>Earnings!B203</f>
        <v>767615.96</v>
      </c>
      <c r="C203">
        <f t="shared" si="6"/>
        <v>66023.191999999995</v>
      </c>
      <c r="D203">
        <f t="shared" si="7"/>
        <v>5501.9326666666666</v>
      </c>
    </row>
    <row r="204" spans="1:4" x14ac:dyDescent="0.35">
      <c r="A204" t="s">
        <v>234</v>
      </c>
      <c r="B204">
        <f>Earnings!B204</f>
        <v>1321958.82</v>
      </c>
      <c r="C204">
        <f t="shared" si="6"/>
        <v>209087.64600000001</v>
      </c>
      <c r="D204">
        <f t="shared" si="7"/>
        <v>17423.970499999999</v>
      </c>
    </row>
    <row r="205" spans="1:4" x14ac:dyDescent="0.35">
      <c r="A205" t="s">
        <v>235</v>
      </c>
      <c r="B205">
        <f>Earnings!B205</f>
        <v>1001825.16</v>
      </c>
      <c r="C205">
        <f t="shared" si="6"/>
        <v>113047.54800000001</v>
      </c>
      <c r="D205">
        <f t="shared" si="7"/>
        <v>9420.6290000000008</v>
      </c>
    </row>
    <row r="206" spans="1:4" x14ac:dyDescent="0.35">
      <c r="A206" t="s">
        <v>236</v>
      </c>
      <c r="B206">
        <f>Earnings!B206</f>
        <v>941204.52</v>
      </c>
      <c r="C206">
        <f t="shared" si="6"/>
        <v>100740.90400000001</v>
      </c>
      <c r="D206">
        <f t="shared" si="7"/>
        <v>8395.0753333333341</v>
      </c>
    </row>
    <row r="207" spans="1:4" x14ac:dyDescent="0.35">
      <c r="A207" t="s">
        <v>237</v>
      </c>
      <c r="B207">
        <f>Earnings!B207</f>
        <v>1034555.7</v>
      </c>
      <c r="C207">
        <f t="shared" si="6"/>
        <v>122866.70999999999</v>
      </c>
      <c r="D207">
        <f t="shared" si="7"/>
        <v>10238.8925</v>
      </c>
    </row>
    <row r="208" spans="1:4" x14ac:dyDescent="0.35">
      <c r="A208" t="s">
        <v>238</v>
      </c>
      <c r="B208">
        <f>Earnings!B208</f>
        <v>1333706.71</v>
      </c>
      <c r="C208">
        <f t="shared" si="6"/>
        <v>212612.01299999998</v>
      </c>
      <c r="D208">
        <f t="shared" si="7"/>
        <v>17717.667749999997</v>
      </c>
    </row>
    <row r="209" spans="1:4" x14ac:dyDescent="0.35">
      <c r="A209" t="s">
        <v>239</v>
      </c>
      <c r="B209">
        <f>Earnings!B209</f>
        <v>770535.12</v>
      </c>
      <c r="C209">
        <f t="shared" si="6"/>
        <v>66607.024000000005</v>
      </c>
      <c r="D209">
        <f t="shared" si="7"/>
        <v>5550.5853333333334</v>
      </c>
    </row>
    <row r="210" spans="1:4" x14ac:dyDescent="0.35">
      <c r="A210" t="s">
        <v>240</v>
      </c>
      <c r="B210">
        <f>Earnings!B210</f>
        <v>988073.8</v>
      </c>
      <c r="C210">
        <f t="shared" si="6"/>
        <v>110114.76000000001</v>
      </c>
      <c r="D210">
        <f t="shared" si="7"/>
        <v>9176.2300000000014</v>
      </c>
    </row>
    <row r="211" spans="1:4" x14ac:dyDescent="0.35">
      <c r="A211" t="s">
        <v>241</v>
      </c>
      <c r="B211">
        <f>Earnings!B211</f>
        <v>827722.65</v>
      </c>
      <c r="C211">
        <f t="shared" si="6"/>
        <v>78044.530000000013</v>
      </c>
      <c r="D211">
        <f t="shared" si="7"/>
        <v>6503.7108333333344</v>
      </c>
    </row>
    <row r="212" spans="1:4" x14ac:dyDescent="0.35">
      <c r="A212" t="s">
        <v>242</v>
      </c>
      <c r="B212">
        <f>Earnings!B212</f>
        <v>826429.7</v>
      </c>
      <c r="C212">
        <f t="shared" si="6"/>
        <v>77785.94</v>
      </c>
      <c r="D212">
        <f t="shared" si="7"/>
        <v>6482.1616666666669</v>
      </c>
    </row>
    <row r="213" spans="1:4" x14ac:dyDescent="0.35">
      <c r="A213" t="s">
        <v>243</v>
      </c>
      <c r="B213">
        <f>Earnings!B213</f>
        <v>622893</v>
      </c>
      <c r="C213">
        <f t="shared" si="6"/>
        <v>37078.600000000006</v>
      </c>
      <c r="D213">
        <f t="shared" si="7"/>
        <v>3089.8833333333337</v>
      </c>
    </row>
    <row r="214" spans="1:4" x14ac:dyDescent="0.35">
      <c r="A214" t="s">
        <v>244</v>
      </c>
      <c r="B214">
        <f>Earnings!B214</f>
        <v>1248452.8</v>
      </c>
      <c r="C214">
        <f t="shared" si="6"/>
        <v>187035.84000000003</v>
      </c>
      <c r="D214">
        <f t="shared" si="7"/>
        <v>15586.320000000002</v>
      </c>
    </row>
    <row r="215" spans="1:4" x14ac:dyDescent="0.35">
      <c r="A215" t="s">
        <v>245</v>
      </c>
      <c r="B215">
        <f>Earnings!B215</f>
        <v>1012552.8</v>
      </c>
      <c r="C215">
        <f t="shared" si="6"/>
        <v>116265.84000000001</v>
      </c>
      <c r="D215">
        <f t="shared" si="7"/>
        <v>9688.8200000000015</v>
      </c>
    </row>
    <row r="216" spans="1:4" x14ac:dyDescent="0.35">
      <c r="A216" t="s">
        <v>246</v>
      </c>
      <c r="B216">
        <f>Earnings!B216</f>
        <v>734070</v>
      </c>
      <c r="C216">
        <f t="shared" si="6"/>
        <v>59314</v>
      </c>
      <c r="D216">
        <f t="shared" si="7"/>
        <v>4942.833333333333</v>
      </c>
    </row>
    <row r="217" spans="1:4" x14ac:dyDescent="0.35">
      <c r="A217" t="s">
        <v>247</v>
      </c>
      <c r="B217">
        <f>Earnings!B217</f>
        <v>1106103.81</v>
      </c>
      <c r="C217">
        <f t="shared" si="6"/>
        <v>144331.14300000001</v>
      </c>
      <c r="D217">
        <f t="shared" si="7"/>
        <v>12027.59525</v>
      </c>
    </row>
    <row r="218" spans="1:4" x14ac:dyDescent="0.35">
      <c r="A218" t="s">
        <v>248</v>
      </c>
      <c r="B218">
        <f>Earnings!B218</f>
        <v>1230882.8</v>
      </c>
      <c r="C218">
        <f t="shared" si="6"/>
        <v>181764.84000000003</v>
      </c>
      <c r="D218">
        <f t="shared" si="7"/>
        <v>15147.070000000002</v>
      </c>
    </row>
    <row r="219" spans="1:4" x14ac:dyDescent="0.35">
      <c r="A219" t="s">
        <v>249</v>
      </c>
      <c r="B219">
        <f>Earnings!B219</f>
        <v>1071737.94</v>
      </c>
      <c r="C219">
        <f t="shared" si="6"/>
        <v>134021.38199999998</v>
      </c>
      <c r="D219">
        <f t="shared" si="7"/>
        <v>11168.448499999999</v>
      </c>
    </row>
    <row r="220" spans="1:4" x14ac:dyDescent="0.35">
      <c r="A220" t="s">
        <v>250</v>
      </c>
      <c r="B220">
        <f>Earnings!B220</f>
        <v>688513.26</v>
      </c>
      <c r="C220">
        <f t="shared" si="6"/>
        <v>50202.652000000002</v>
      </c>
      <c r="D220">
        <f t="shared" si="7"/>
        <v>4183.5543333333335</v>
      </c>
    </row>
    <row r="221" spans="1:4" x14ac:dyDescent="0.35">
      <c r="A221" t="s">
        <v>251</v>
      </c>
      <c r="B221">
        <f>Earnings!B221</f>
        <v>766696.6</v>
      </c>
      <c r="C221">
        <f t="shared" si="6"/>
        <v>65839.320000000007</v>
      </c>
      <c r="D221">
        <f t="shared" si="7"/>
        <v>5486.6100000000006</v>
      </c>
    </row>
    <row r="222" spans="1:4" x14ac:dyDescent="0.35">
      <c r="A222" t="s">
        <v>252</v>
      </c>
      <c r="B222">
        <f>Earnings!B222</f>
        <v>2459412.1</v>
      </c>
      <c r="C222">
        <f t="shared" si="6"/>
        <v>550323.63</v>
      </c>
      <c r="D222">
        <f t="shared" si="7"/>
        <v>45860.302499999998</v>
      </c>
    </row>
    <row r="223" spans="1:4" x14ac:dyDescent="0.35">
      <c r="A223" t="s">
        <v>253</v>
      </c>
      <c r="B223">
        <f>Earnings!B223</f>
        <v>1097914.6200000001</v>
      </c>
      <c r="C223">
        <f t="shared" si="6"/>
        <v>141874.38600000003</v>
      </c>
      <c r="D223">
        <f t="shared" si="7"/>
        <v>11822.865500000002</v>
      </c>
    </row>
    <row r="224" spans="1:4" x14ac:dyDescent="0.35">
      <c r="A224" t="s">
        <v>254</v>
      </c>
      <c r="B224">
        <f>Earnings!B224</f>
        <v>892533</v>
      </c>
      <c r="C224">
        <f t="shared" si="6"/>
        <v>91006.6</v>
      </c>
      <c r="D224">
        <f t="shared" si="7"/>
        <v>7583.8833333333341</v>
      </c>
    </row>
    <row r="225" spans="1:4" x14ac:dyDescent="0.35">
      <c r="A225" t="s">
        <v>255</v>
      </c>
      <c r="B225">
        <f>Earnings!B225</f>
        <v>1010532.6</v>
      </c>
      <c r="C225">
        <f t="shared" si="6"/>
        <v>115659.78</v>
      </c>
      <c r="D225">
        <f t="shared" si="7"/>
        <v>9638.3150000000005</v>
      </c>
    </row>
    <row r="226" spans="1:4" x14ac:dyDescent="0.35">
      <c r="A226" t="s">
        <v>256</v>
      </c>
      <c r="B226">
        <f>Earnings!B226</f>
        <v>1548884.4</v>
      </c>
      <c r="C226">
        <f t="shared" si="6"/>
        <v>277165.31999999995</v>
      </c>
      <c r="D226">
        <f t="shared" si="7"/>
        <v>23097.109999999997</v>
      </c>
    </row>
    <row r="227" spans="1:4" x14ac:dyDescent="0.35">
      <c r="A227" t="s">
        <v>257</v>
      </c>
      <c r="B227">
        <f>Earnings!B227</f>
        <v>824082</v>
      </c>
      <c r="C227">
        <f t="shared" si="6"/>
        <v>77316.399999999994</v>
      </c>
      <c r="D227">
        <f t="shared" si="7"/>
        <v>6443.0333333333328</v>
      </c>
    </row>
    <row r="228" spans="1:4" x14ac:dyDescent="0.35">
      <c r="A228" t="s">
        <v>258</v>
      </c>
      <c r="B228">
        <f>Earnings!B228</f>
        <v>888237.84</v>
      </c>
      <c r="C228">
        <f t="shared" si="6"/>
        <v>90147.567999999999</v>
      </c>
      <c r="D228">
        <f t="shared" si="7"/>
        <v>7512.297333333333</v>
      </c>
    </row>
    <row r="229" spans="1:4" x14ac:dyDescent="0.35">
      <c r="A229" t="s">
        <v>259</v>
      </c>
      <c r="B229">
        <f>Earnings!B229</f>
        <v>803263</v>
      </c>
      <c r="C229">
        <f t="shared" si="6"/>
        <v>73152.600000000006</v>
      </c>
      <c r="D229">
        <f t="shared" si="7"/>
        <v>6096.05</v>
      </c>
    </row>
    <row r="230" spans="1:4" x14ac:dyDescent="0.35">
      <c r="A230" t="s">
        <v>260</v>
      </c>
      <c r="B230">
        <f>Earnings!B230</f>
        <v>701427.6</v>
      </c>
      <c r="C230">
        <f t="shared" si="6"/>
        <v>52785.52</v>
      </c>
      <c r="D230">
        <f t="shared" si="7"/>
        <v>4398.7933333333331</v>
      </c>
    </row>
    <row r="231" spans="1:4" x14ac:dyDescent="0.35">
      <c r="A231" t="s">
        <v>261</v>
      </c>
      <c r="B231">
        <f>Earnings!B231</f>
        <v>1064720</v>
      </c>
      <c r="C231">
        <f t="shared" si="6"/>
        <v>131916</v>
      </c>
      <c r="D231">
        <f t="shared" si="7"/>
        <v>10993</v>
      </c>
    </row>
    <row r="232" spans="1:4" x14ac:dyDescent="0.35">
      <c r="A232" t="s">
        <v>262</v>
      </c>
      <c r="B232">
        <f>Earnings!B232</f>
        <v>968958.2</v>
      </c>
      <c r="C232">
        <f t="shared" si="6"/>
        <v>106291.64</v>
      </c>
      <c r="D232">
        <f t="shared" si="7"/>
        <v>8857.6366666666672</v>
      </c>
    </row>
    <row r="233" spans="1:4" x14ac:dyDescent="0.35">
      <c r="A233" t="s">
        <v>263</v>
      </c>
      <c r="B233">
        <f>Earnings!B233</f>
        <v>1090112.8</v>
      </c>
      <c r="C233">
        <f t="shared" si="6"/>
        <v>139533.84000000003</v>
      </c>
      <c r="D233">
        <f t="shared" si="7"/>
        <v>11627.820000000002</v>
      </c>
    </row>
    <row r="234" spans="1:4" x14ac:dyDescent="0.35">
      <c r="A234" t="s">
        <v>264</v>
      </c>
      <c r="B234">
        <f>Earnings!B234</f>
        <v>1682228.8</v>
      </c>
      <c r="C234">
        <f t="shared" si="6"/>
        <v>317168.64000000001</v>
      </c>
      <c r="D234">
        <f t="shared" si="7"/>
        <v>26430.720000000001</v>
      </c>
    </row>
    <row r="235" spans="1:4" x14ac:dyDescent="0.35">
      <c r="A235" t="s">
        <v>265</v>
      </c>
      <c r="B235">
        <f>Earnings!B235</f>
        <v>822924.2</v>
      </c>
      <c r="C235">
        <f t="shared" si="6"/>
        <v>77084.84</v>
      </c>
      <c r="D235">
        <f t="shared" si="7"/>
        <v>6423.7366666666667</v>
      </c>
    </row>
    <row r="236" spans="1:4" x14ac:dyDescent="0.35">
      <c r="A236" t="s">
        <v>266</v>
      </c>
      <c r="B236">
        <f>Earnings!B236</f>
        <v>1328695.2</v>
      </c>
      <c r="C236">
        <f t="shared" si="6"/>
        <v>211108.56</v>
      </c>
      <c r="D236">
        <f t="shared" si="7"/>
        <v>17592.38</v>
      </c>
    </row>
    <row r="237" spans="1:4" x14ac:dyDescent="0.35">
      <c r="A237" t="s">
        <v>267</v>
      </c>
      <c r="B237">
        <f>Earnings!B237</f>
        <v>1093684.2</v>
      </c>
      <c r="C237">
        <f t="shared" si="6"/>
        <v>140605.25999999998</v>
      </c>
      <c r="D237">
        <f t="shared" si="7"/>
        <v>11717.104999999998</v>
      </c>
    </row>
    <row r="238" spans="1:4" x14ac:dyDescent="0.35">
      <c r="A238" t="s">
        <v>268</v>
      </c>
      <c r="B238">
        <f>Earnings!B238</f>
        <v>710252.4</v>
      </c>
      <c r="C238">
        <f t="shared" si="6"/>
        <v>54550.48000000001</v>
      </c>
      <c r="D238">
        <f t="shared" si="7"/>
        <v>4545.8733333333339</v>
      </c>
    </row>
    <row r="239" spans="1:4" x14ac:dyDescent="0.35">
      <c r="A239" t="s">
        <v>269</v>
      </c>
      <c r="B239">
        <f>Earnings!B239</f>
        <v>1593970.42</v>
      </c>
      <c r="C239">
        <f t="shared" si="6"/>
        <v>290691.12599999993</v>
      </c>
      <c r="D239">
        <f t="shared" si="7"/>
        <v>24224.260499999993</v>
      </c>
    </row>
    <row r="240" spans="1:4" x14ac:dyDescent="0.35">
      <c r="A240" t="s">
        <v>270</v>
      </c>
      <c r="B240">
        <f>Earnings!B240</f>
        <v>1005834.92</v>
      </c>
      <c r="C240">
        <f t="shared" si="6"/>
        <v>114250.47600000001</v>
      </c>
      <c r="D240">
        <f t="shared" si="7"/>
        <v>9520.8730000000014</v>
      </c>
    </row>
    <row r="241" spans="1:4" x14ac:dyDescent="0.35">
      <c r="A241" t="s">
        <v>271</v>
      </c>
      <c r="B241">
        <f>Earnings!B241</f>
        <v>663060.1</v>
      </c>
      <c r="C241">
        <f t="shared" si="6"/>
        <v>45112.02</v>
      </c>
      <c r="D241">
        <f t="shared" si="7"/>
        <v>3759.3349999999996</v>
      </c>
    </row>
    <row r="242" spans="1:4" x14ac:dyDescent="0.35">
      <c r="A242" t="s">
        <v>272</v>
      </c>
      <c r="B242">
        <f>Earnings!B242</f>
        <v>958695.92</v>
      </c>
      <c r="C242">
        <f t="shared" si="6"/>
        <v>104239.18400000001</v>
      </c>
      <c r="D242">
        <f t="shared" si="7"/>
        <v>8686.5986666666668</v>
      </c>
    </row>
    <row r="243" spans="1:4" x14ac:dyDescent="0.35">
      <c r="A243" t="s">
        <v>273</v>
      </c>
      <c r="B243">
        <f>Earnings!B243</f>
        <v>1362816.13</v>
      </c>
      <c r="C243">
        <f t="shared" si="6"/>
        <v>221344.83899999998</v>
      </c>
      <c r="D243">
        <f t="shared" si="7"/>
        <v>18445.403249999999</v>
      </c>
    </row>
    <row r="244" spans="1:4" x14ac:dyDescent="0.35">
      <c r="A244" t="s">
        <v>274</v>
      </c>
      <c r="B244">
        <f>Earnings!B244</f>
        <v>789172</v>
      </c>
      <c r="C244">
        <f t="shared" si="6"/>
        <v>70334.399999999994</v>
      </c>
      <c r="D244">
        <f t="shared" si="7"/>
        <v>5861.2</v>
      </c>
    </row>
    <row r="245" spans="1:4" x14ac:dyDescent="0.35">
      <c r="A245" t="s">
        <v>275</v>
      </c>
      <c r="B245">
        <f>Earnings!B245</f>
        <v>1152523.47</v>
      </c>
      <c r="C245">
        <f t="shared" si="6"/>
        <v>158257.041</v>
      </c>
      <c r="D245">
        <f t="shared" si="7"/>
        <v>13188.08675</v>
      </c>
    </row>
    <row r="246" spans="1:4" x14ac:dyDescent="0.35">
      <c r="A246" t="s">
        <v>276</v>
      </c>
      <c r="B246">
        <f>Earnings!B246</f>
        <v>1216674.69</v>
      </c>
      <c r="C246">
        <f t="shared" si="6"/>
        <v>177502.40699999998</v>
      </c>
      <c r="D246">
        <f t="shared" si="7"/>
        <v>14791.867249999998</v>
      </c>
    </row>
    <row r="247" spans="1:4" x14ac:dyDescent="0.35">
      <c r="A247" t="s">
        <v>277</v>
      </c>
      <c r="B247">
        <f>Earnings!B247</f>
        <v>938172.69</v>
      </c>
      <c r="C247">
        <f t="shared" si="6"/>
        <v>100134.538</v>
      </c>
      <c r="D247">
        <f t="shared" si="7"/>
        <v>8344.5448333333334</v>
      </c>
    </row>
    <row r="248" spans="1:4" x14ac:dyDescent="0.35">
      <c r="A248" t="s">
        <v>278</v>
      </c>
      <c r="B248">
        <f>Earnings!B248</f>
        <v>709612.3</v>
      </c>
      <c r="C248">
        <f t="shared" si="6"/>
        <v>54422.460000000014</v>
      </c>
      <c r="D248">
        <f t="shared" si="7"/>
        <v>4535.2050000000008</v>
      </c>
    </row>
    <row r="249" spans="1:4" x14ac:dyDescent="0.35">
      <c r="A249" t="s">
        <v>279</v>
      </c>
      <c r="B249">
        <f>Earnings!B249</f>
        <v>1221766</v>
      </c>
      <c r="C249">
        <f t="shared" si="6"/>
        <v>179029.8</v>
      </c>
      <c r="D249">
        <f t="shared" si="7"/>
        <v>14919.15</v>
      </c>
    </row>
    <row r="250" spans="1:4" x14ac:dyDescent="0.35">
      <c r="A250" t="s">
        <v>280</v>
      </c>
      <c r="B250">
        <f>Earnings!B250</f>
        <v>1089669</v>
      </c>
      <c r="C250">
        <f t="shared" si="6"/>
        <v>139400.70000000001</v>
      </c>
      <c r="D250">
        <f t="shared" si="7"/>
        <v>11616.725</v>
      </c>
    </row>
    <row r="251" spans="1:4" x14ac:dyDescent="0.35">
      <c r="A251" t="s">
        <v>281</v>
      </c>
      <c r="B251">
        <f>Earnings!B251</f>
        <v>1400723.5</v>
      </c>
      <c r="C251">
        <f t="shared" si="6"/>
        <v>232717.05</v>
      </c>
      <c r="D251">
        <f t="shared" si="7"/>
        <v>19393.087499999998</v>
      </c>
    </row>
    <row r="252" spans="1:4" x14ac:dyDescent="0.35">
      <c r="A252" t="s">
        <v>282</v>
      </c>
      <c r="B252">
        <f>Earnings!B252</f>
        <v>1406852</v>
      </c>
      <c r="C252">
        <f t="shared" si="6"/>
        <v>234555.59999999998</v>
      </c>
      <c r="D252">
        <f t="shared" si="7"/>
        <v>19546.3</v>
      </c>
    </row>
    <row r="253" spans="1:4" x14ac:dyDescent="0.35">
      <c r="A253" t="s">
        <v>283</v>
      </c>
      <c r="B253">
        <f>Earnings!B253</f>
        <v>1651095.25</v>
      </c>
      <c r="C253">
        <f t="shared" si="6"/>
        <v>307828.57499999995</v>
      </c>
      <c r="D253">
        <f t="shared" si="7"/>
        <v>25652.381249999995</v>
      </c>
    </row>
    <row r="254" spans="1:4" x14ac:dyDescent="0.35">
      <c r="A254" t="s">
        <v>284</v>
      </c>
      <c r="B254">
        <f>Earnings!B254</f>
        <v>380292</v>
      </c>
      <c r="C254">
        <f t="shared" si="6"/>
        <v>6514.6</v>
      </c>
      <c r="D254">
        <f t="shared" si="7"/>
        <v>542.88333333333333</v>
      </c>
    </row>
    <row r="255" spans="1:4" x14ac:dyDescent="0.35">
      <c r="A255" t="s">
        <v>285</v>
      </c>
      <c r="B255">
        <f>Earnings!B255</f>
        <v>1220433.3999999999</v>
      </c>
      <c r="C255">
        <f t="shared" si="6"/>
        <v>178630.01999999996</v>
      </c>
      <c r="D255">
        <f t="shared" si="7"/>
        <v>14885.834999999997</v>
      </c>
    </row>
    <row r="256" spans="1:4" x14ac:dyDescent="0.35">
      <c r="A256" t="s">
        <v>286</v>
      </c>
      <c r="B256">
        <f>Earnings!B256</f>
        <v>663438</v>
      </c>
      <c r="C256">
        <f t="shared" si="6"/>
        <v>45187.600000000006</v>
      </c>
      <c r="D256">
        <f t="shared" si="7"/>
        <v>3765.6333333333337</v>
      </c>
    </row>
    <row r="257" spans="1:4" x14ac:dyDescent="0.35">
      <c r="A257" t="s">
        <v>287</v>
      </c>
      <c r="B257">
        <f>Earnings!B257</f>
        <v>2105113.7400000002</v>
      </c>
      <c r="C257">
        <f t="shared" si="6"/>
        <v>444034.12200000003</v>
      </c>
      <c r="D257">
        <f t="shared" si="7"/>
        <v>37002.843500000003</v>
      </c>
    </row>
    <row r="258" spans="1:4" x14ac:dyDescent="0.35">
      <c r="A258" t="s">
        <v>288</v>
      </c>
      <c r="B258">
        <f>Earnings!B258</f>
        <v>2569313.19</v>
      </c>
      <c r="C258">
        <f t="shared" ref="C258:C321" si="8">IF(B258&lt;=250000,0,IF(B258&lt;=500000,(B258-250000)*0.05,IF(B258&lt;=1000000,12500+(B258-500000)*0.2,112500+(B258-1000000)*0.3)))</f>
        <v>583293.95699999994</v>
      </c>
      <c r="D258">
        <f t="shared" ref="D258:D321" si="9">C258/12</f>
        <v>48607.829749999997</v>
      </c>
    </row>
    <row r="259" spans="1:4" x14ac:dyDescent="0.35">
      <c r="A259" t="s">
        <v>289</v>
      </c>
      <c r="B259">
        <f>Earnings!B259</f>
        <v>1145685.8400000001</v>
      </c>
      <c r="C259">
        <f t="shared" si="8"/>
        <v>156205.75200000004</v>
      </c>
      <c r="D259">
        <f t="shared" si="9"/>
        <v>13017.146000000002</v>
      </c>
    </row>
    <row r="260" spans="1:4" x14ac:dyDescent="0.35">
      <c r="A260" t="s">
        <v>290</v>
      </c>
      <c r="B260">
        <f>Earnings!B260</f>
        <v>1131340.56</v>
      </c>
      <c r="C260">
        <f t="shared" si="8"/>
        <v>151902.16800000001</v>
      </c>
      <c r="D260">
        <f t="shared" si="9"/>
        <v>12658.514000000001</v>
      </c>
    </row>
    <row r="261" spans="1:4" x14ac:dyDescent="0.35">
      <c r="A261" t="s">
        <v>291</v>
      </c>
      <c r="B261">
        <f>Earnings!B261</f>
        <v>460507</v>
      </c>
      <c r="C261">
        <f t="shared" si="8"/>
        <v>10525.35</v>
      </c>
      <c r="D261">
        <f t="shared" si="9"/>
        <v>877.11250000000007</v>
      </c>
    </row>
    <row r="262" spans="1:4" x14ac:dyDescent="0.35">
      <c r="A262" t="s">
        <v>292</v>
      </c>
      <c r="B262">
        <f>Earnings!B262</f>
        <v>1382398.01</v>
      </c>
      <c r="C262">
        <f t="shared" si="8"/>
        <v>227219.40299999999</v>
      </c>
      <c r="D262">
        <f t="shared" si="9"/>
        <v>18934.950249999998</v>
      </c>
    </row>
    <row r="263" spans="1:4" x14ac:dyDescent="0.35">
      <c r="A263" t="s">
        <v>293</v>
      </c>
      <c r="B263">
        <f>Earnings!B263</f>
        <v>745500</v>
      </c>
      <c r="C263">
        <f t="shared" si="8"/>
        <v>61600</v>
      </c>
      <c r="D263">
        <f t="shared" si="9"/>
        <v>5133.333333333333</v>
      </c>
    </row>
    <row r="264" spans="1:4" x14ac:dyDescent="0.35">
      <c r="A264" t="s">
        <v>294</v>
      </c>
      <c r="B264">
        <f>Earnings!B264</f>
        <v>1277682.6000000001</v>
      </c>
      <c r="C264">
        <f t="shared" si="8"/>
        <v>195804.78000000003</v>
      </c>
      <c r="D264">
        <f t="shared" si="9"/>
        <v>16317.065000000002</v>
      </c>
    </row>
    <row r="265" spans="1:4" x14ac:dyDescent="0.35">
      <c r="A265" t="s">
        <v>295</v>
      </c>
      <c r="B265">
        <f>Earnings!B265</f>
        <v>959149.2</v>
      </c>
      <c r="C265">
        <f t="shared" si="8"/>
        <v>104329.84</v>
      </c>
      <c r="D265">
        <f t="shared" si="9"/>
        <v>8694.1533333333336</v>
      </c>
    </row>
    <row r="266" spans="1:4" x14ac:dyDescent="0.35">
      <c r="A266" t="s">
        <v>296</v>
      </c>
      <c r="B266">
        <f>Earnings!B266</f>
        <v>1380255.5</v>
      </c>
      <c r="C266">
        <f t="shared" si="8"/>
        <v>226576.65</v>
      </c>
      <c r="D266">
        <f t="shared" si="9"/>
        <v>18881.387500000001</v>
      </c>
    </row>
    <row r="267" spans="1:4" x14ac:dyDescent="0.35">
      <c r="A267" t="s">
        <v>297</v>
      </c>
      <c r="B267">
        <f>Earnings!B267</f>
        <v>967687.86</v>
      </c>
      <c r="C267">
        <f t="shared" si="8"/>
        <v>106037.572</v>
      </c>
      <c r="D267">
        <f t="shared" si="9"/>
        <v>8836.4643333333333</v>
      </c>
    </row>
    <row r="268" spans="1:4" x14ac:dyDescent="0.35">
      <c r="A268" t="s">
        <v>298</v>
      </c>
      <c r="B268">
        <f>Earnings!B268</f>
        <v>856415</v>
      </c>
      <c r="C268">
        <f t="shared" si="8"/>
        <v>83783</v>
      </c>
      <c r="D268">
        <f t="shared" si="9"/>
        <v>6981.916666666667</v>
      </c>
    </row>
    <row r="269" spans="1:4" x14ac:dyDescent="0.35">
      <c r="A269" t="s">
        <v>299</v>
      </c>
      <c r="B269">
        <f>Earnings!B269</f>
        <v>531678.14</v>
      </c>
      <c r="C269">
        <f t="shared" si="8"/>
        <v>18835.628000000004</v>
      </c>
      <c r="D269">
        <f t="shared" si="9"/>
        <v>1569.635666666667</v>
      </c>
    </row>
    <row r="270" spans="1:4" x14ac:dyDescent="0.35">
      <c r="A270" t="s">
        <v>300</v>
      </c>
      <c r="B270">
        <f>Earnings!B270</f>
        <v>712408.8</v>
      </c>
      <c r="C270">
        <f t="shared" si="8"/>
        <v>54981.760000000009</v>
      </c>
      <c r="D270">
        <f t="shared" si="9"/>
        <v>4581.8133333333344</v>
      </c>
    </row>
    <row r="271" spans="1:4" x14ac:dyDescent="0.35">
      <c r="A271" t="s">
        <v>301</v>
      </c>
      <c r="B271">
        <f>Earnings!B271</f>
        <v>910080.05</v>
      </c>
      <c r="C271">
        <f t="shared" si="8"/>
        <v>94516.010000000009</v>
      </c>
      <c r="D271">
        <f t="shared" si="9"/>
        <v>7876.3341666666674</v>
      </c>
    </row>
    <row r="272" spans="1:4" x14ac:dyDescent="0.35">
      <c r="A272" t="s">
        <v>302</v>
      </c>
      <c r="B272">
        <f>Earnings!B272</f>
        <v>2422233.52</v>
      </c>
      <c r="C272">
        <f t="shared" si="8"/>
        <v>539170.05599999998</v>
      </c>
      <c r="D272">
        <f t="shared" si="9"/>
        <v>44930.837999999996</v>
      </c>
    </row>
    <row r="273" spans="1:4" x14ac:dyDescent="0.35">
      <c r="A273" t="s">
        <v>303</v>
      </c>
      <c r="B273">
        <f>Earnings!B273</f>
        <v>1300491.6000000001</v>
      </c>
      <c r="C273">
        <f t="shared" si="8"/>
        <v>202647.48000000004</v>
      </c>
      <c r="D273">
        <f t="shared" si="9"/>
        <v>16887.290000000005</v>
      </c>
    </row>
    <row r="274" spans="1:4" x14ac:dyDescent="0.35">
      <c r="A274" t="s">
        <v>304</v>
      </c>
      <c r="B274">
        <f>Earnings!B274</f>
        <v>1249056</v>
      </c>
      <c r="C274">
        <f t="shared" si="8"/>
        <v>187216.8</v>
      </c>
      <c r="D274">
        <f t="shared" si="9"/>
        <v>15601.4</v>
      </c>
    </row>
    <row r="275" spans="1:4" x14ac:dyDescent="0.35">
      <c r="A275" t="s">
        <v>305</v>
      </c>
      <c r="B275">
        <f>Earnings!B275</f>
        <v>867653</v>
      </c>
      <c r="C275">
        <f t="shared" si="8"/>
        <v>86030.6</v>
      </c>
      <c r="D275">
        <f t="shared" si="9"/>
        <v>7169.2166666666672</v>
      </c>
    </row>
    <row r="276" spans="1:4" x14ac:dyDescent="0.35">
      <c r="A276" t="s">
        <v>306</v>
      </c>
      <c r="B276">
        <f>Earnings!B276</f>
        <v>1033049.28</v>
      </c>
      <c r="C276">
        <f t="shared" si="8"/>
        <v>122414.78400000001</v>
      </c>
      <c r="D276">
        <f t="shared" si="9"/>
        <v>10201.232000000002</v>
      </c>
    </row>
    <row r="277" spans="1:4" x14ac:dyDescent="0.35">
      <c r="A277" t="s">
        <v>307</v>
      </c>
      <c r="B277">
        <f>Earnings!B277</f>
        <v>671915</v>
      </c>
      <c r="C277">
        <f t="shared" si="8"/>
        <v>46883</v>
      </c>
      <c r="D277">
        <f t="shared" si="9"/>
        <v>3906.9166666666665</v>
      </c>
    </row>
    <row r="278" spans="1:4" x14ac:dyDescent="0.35">
      <c r="A278" t="s">
        <v>308</v>
      </c>
      <c r="B278">
        <f>Earnings!B278</f>
        <v>778879.35</v>
      </c>
      <c r="C278">
        <f t="shared" si="8"/>
        <v>68275.87</v>
      </c>
      <c r="D278">
        <f t="shared" si="9"/>
        <v>5689.6558333333332</v>
      </c>
    </row>
    <row r="279" spans="1:4" x14ac:dyDescent="0.35">
      <c r="A279" t="s">
        <v>309</v>
      </c>
      <c r="B279">
        <f>Earnings!B279</f>
        <v>931605</v>
      </c>
      <c r="C279">
        <f t="shared" si="8"/>
        <v>98821</v>
      </c>
      <c r="D279">
        <f t="shared" si="9"/>
        <v>8235.0833333333339</v>
      </c>
    </row>
    <row r="280" spans="1:4" x14ac:dyDescent="0.35">
      <c r="A280" t="s">
        <v>310</v>
      </c>
      <c r="B280">
        <f>Earnings!B280</f>
        <v>1601898.55</v>
      </c>
      <c r="C280">
        <f t="shared" si="8"/>
        <v>293069.565</v>
      </c>
      <c r="D280">
        <f t="shared" si="9"/>
        <v>24422.463749999999</v>
      </c>
    </row>
    <row r="281" spans="1:4" x14ac:dyDescent="0.35">
      <c r="A281" t="s">
        <v>311</v>
      </c>
      <c r="B281">
        <f>Earnings!B281</f>
        <v>1438092.6</v>
      </c>
      <c r="C281">
        <f t="shared" si="8"/>
        <v>243927.78000000003</v>
      </c>
      <c r="D281">
        <f t="shared" si="9"/>
        <v>20327.315000000002</v>
      </c>
    </row>
    <row r="282" spans="1:4" x14ac:dyDescent="0.35">
      <c r="A282" t="s">
        <v>312</v>
      </c>
      <c r="B282">
        <f>Earnings!B282</f>
        <v>775870.8</v>
      </c>
      <c r="C282">
        <f t="shared" si="8"/>
        <v>67674.16</v>
      </c>
      <c r="D282">
        <f t="shared" si="9"/>
        <v>5639.5133333333333</v>
      </c>
    </row>
    <row r="283" spans="1:4" x14ac:dyDescent="0.35">
      <c r="A283" t="s">
        <v>313</v>
      </c>
      <c r="B283">
        <f>Earnings!B283</f>
        <v>1487040.7</v>
      </c>
      <c r="C283">
        <f t="shared" si="8"/>
        <v>258612.21</v>
      </c>
      <c r="D283">
        <f t="shared" si="9"/>
        <v>21551.017499999998</v>
      </c>
    </row>
    <row r="284" spans="1:4" x14ac:dyDescent="0.35">
      <c r="A284" t="s">
        <v>314</v>
      </c>
      <c r="B284">
        <f>Earnings!B284</f>
        <v>865989.6</v>
      </c>
      <c r="C284">
        <f t="shared" si="8"/>
        <v>85697.919999999998</v>
      </c>
      <c r="D284">
        <f t="shared" si="9"/>
        <v>7141.4933333333329</v>
      </c>
    </row>
    <row r="285" spans="1:4" x14ac:dyDescent="0.35">
      <c r="A285" t="s">
        <v>315</v>
      </c>
      <c r="B285">
        <f>Earnings!B285</f>
        <v>994345</v>
      </c>
      <c r="C285">
        <f t="shared" si="8"/>
        <v>111369</v>
      </c>
      <c r="D285">
        <f t="shared" si="9"/>
        <v>9280.75</v>
      </c>
    </row>
    <row r="286" spans="1:4" x14ac:dyDescent="0.35">
      <c r="A286" t="s">
        <v>316</v>
      </c>
      <c r="B286">
        <f>Earnings!B286</f>
        <v>1448248.02</v>
      </c>
      <c r="C286">
        <f t="shared" si="8"/>
        <v>246974.40599999999</v>
      </c>
      <c r="D286">
        <f t="shared" si="9"/>
        <v>20581.200499999999</v>
      </c>
    </row>
    <row r="287" spans="1:4" x14ac:dyDescent="0.35">
      <c r="A287" t="s">
        <v>317</v>
      </c>
      <c r="B287">
        <f>Earnings!B287</f>
        <v>1804904.62</v>
      </c>
      <c r="C287">
        <f t="shared" si="8"/>
        <v>353971.38600000006</v>
      </c>
      <c r="D287">
        <f t="shared" si="9"/>
        <v>29497.615500000004</v>
      </c>
    </row>
    <row r="288" spans="1:4" x14ac:dyDescent="0.35">
      <c r="A288" t="s">
        <v>318</v>
      </c>
      <c r="B288">
        <f>Earnings!B288</f>
        <v>780464.52</v>
      </c>
      <c r="C288">
        <f t="shared" si="8"/>
        <v>68592.90400000001</v>
      </c>
      <c r="D288">
        <f t="shared" si="9"/>
        <v>5716.0753333333341</v>
      </c>
    </row>
    <row r="289" spans="1:4" x14ac:dyDescent="0.35">
      <c r="A289" t="s">
        <v>319</v>
      </c>
      <c r="B289">
        <f>Earnings!B289</f>
        <v>643600.80000000005</v>
      </c>
      <c r="C289">
        <f t="shared" si="8"/>
        <v>41220.160000000011</v>
      </c>
      <c r="D289">
        <f t="shared" si="9"/>
        <v>3435.0133333333342</v>
      </c>
    </row>
    <row r="290" spans="1:4" x14ac:dyDescent="0.35">
      <c r="A290" t="s">
        <v>320</v>
      </c>
      <c r="B290">
        <f>Earnings!B290</f>
        <v>1265388.6000000001</v>
      </c>
      <c r="C290">
        <f t="shared" si="8"/>
        <v>192116.58000000002</v>
      </c>
      <c r="D290">
        <f t="shared" si="9"/>
        <v>16009.715000000002</v>
      </c>
    </row>
    <row r="291" spans="1:4" x14ac:dyDescent="0.35">
      <c r="A291" t="s">
        <v>321</v>
      </c>
      <c r="B291">
        <f>Earnings!B291</f>
        <v>841041</v>
      </c>
      <c r="C291">
        <f t="shared" si="8"/>
        <v>80708.2</v>
      </c>
      <c r="D291">
        <f t="shared" si="9"/>
        <v>6725.6833333333334</v>
      </c>
    </row>
    <row r="292" spans="1:4" x14ac:dyDescent="0.35">
      <c r="A292" t="s">
        <v>322</v>
      </c>
      <c r="B292">
        <f>Earnings!B292</f>
        <v>2002608.5</v>
      </c>
      <c r="C292">
        <f t="shared" si="8"/>
        <v>413282.55</v>
      </c>
      <c r="D292">
        <f t="shared" si="9"/>
        <v>34440.212500000001</v>
      </c>
    </row>
    <row r="293" spans="1:4" x14ac:dyDescent="0.35">
      <c r="A293" t="s">
        <v>323</v>
      </c>
      <c r="B293">
        <f>Earnings!B293</f>
        <v>1493359.2</v>
      </c>
      <c r="C293">
        <f t="shared" si="8"/>
        <v>260507.75999999998</v>
      </c>
      <c r="D293">
        <f t="shared" si="9"/>
        <v>21708.98</v>
      </c>
    </row>
    <row r="294" spans="1:4" x14ac:dyDescent="0.35">
      <c r="A294" t="s">
        <v>324</v>
      </c>
      <c r="B294">
        <f>Earnings!B294</f>
        <v>797369.2</v>
      </c>
      <c r="C294">
        <f t="shared" si="8"/>
        <v>71973.84</v>
      </c>
      <c r="D294">
        <f t="shared" si="9"/>
        <v>5997.82</v>
      </c>
    </row>
    <row r="295" spans="1:4" x14ac:dyDescent="0.35">
      <c r="A295" t="s">
        <v>325</v>
      </c>
      <c r="B295">
        <f>Earnings!B295</f>
        <v>1338804.31</v>
      </c>
      <c r="C295">
        <f t="shared" si="8"/>
        <v>214141.29300000001</v>
      </c>
      <c r="D295">
        <f t="shared" si="9"/>
        <v>17845.107749999999</v>
      </c>
    </row>
    <row r="296" spans="1:4" x14ac:dyDescent="0.35">
      <c r="A296" t="s">
        <v>326</v>
      </c>
      <c r="B296">
        <f>Earnings!B296</f>
        <v>1555902.6</v>
      </c>
      <c r="C296">
        <f t="shared" si="8"/>
        <v>279270.78000000003</v>
      </c>
      <c r="D296">
        <f t="shared" si="9"/>
        <v>23272.565000000002</v>
      </c>
    </row>
    <row r="297" spans="1:4" x14ac:dyDescent="0.35">
      <c r="A297" t="s">
        <v>327</v>
      </c>
      <c r="B297">
        <f>Earnings!B297</f>
        <v>934226.2</v>
      </c>
      <c r="C297">
        <f t="shared" si="8"/>
        <v>99345.239999999991</v>
      </c>
      <c r="D297">
        <f t="shared" si="9"/>
        <v>8278.7699999999986</v>
      </c>
    </row>
    <row r="298" spans="1:4" x14ac:dyDescent="0.35">
      <c r="A298" t="s">
        <v>328</v>
      </c>
      <c r="B298">
        <f>Earnings!B298</f>
        <v>1179645.3</v>
      </c>
      <c r="C298">
        <f t="shared" si="8"/>
        <v>166393.59000000003</v>
      </c>
      <c r="D298">
        <f t="shared" si="9"/>
        <v>13866.132500000002</v>
      </c>
    </row>
    <row r="299" spans="1:4" x14ac:dyDescent="0.35">
      <c r="A299" t="s">
        <v>329</v>
      </c>
      <c r="B299">
        <f>Earnings!B299</f>
        <v>834953.39</v>
      </c>
      <c r="C299">
        <f t="shared" si="8"/>
        <v>79490.678</v>
      </c>
      <c r="D299">
        <f t="shared" si="9"/>
        <v>6624.2231666666667</v>
      </c>
    </row>
    <row r="300" spans="1:4" x14ac:dyDescent="0.35">
      <c r="A300" t="s">
        <v>330</v>
      </c>
      <c r="B300">
        <f>Earnings!B300</f>
        <v>1114334.3999999999</v>
      </c>
      <c r="C300">
        <f t="shared" si="8"/>
        <v>146800.31999999998</v>
      </c>
      <c r="D300">
        <f t="shared" si="9"/>
        <v>12233.359999999999</v>
      </c>
    </row>
    <row r="301" spans="1:4" x14ac:dyDescent="0.35">
      <c r="A301" t="s">
        <v>331</v>
      </c>
      <c r="B301">
        <f>Earnings!B301</f>
        <v>1494564</v>
      </c>
      <c r="C301">
        <f t="shared" si="8"/>
        <v>260869.19999999998</v>
      </c>
      <c r="D301">
        <f t="shared" si="9"/>
        <v>21739.1</v>
      </c>
    </row>
    <row r="302" spans="1:4" x14ac:dyDescent="0.35">
      <c r="A302" t="s">
        <v>332</v>
      </c>
      <c r="B302">
        <f>Earnings!B302</f>
        <v>1047614.8</v>
      </c>
      <c r="C302">
        <f t="shared" si="8"/>
        <v>126784.44000000002</v>
      </c>
      <c r="D302">
        <f t="shared" si="9"/>
        <v>10565.37</v>
      </c>
    </row>
    <row r="303" spans="1:4" x14ac:dyDescent="0.35">
      <c r="A303" t="s">
        <v>333</v>
      </c>
      <c r="B303">
        <f>Earnings!B303</f>
        <v>1892283.6</v>
      </c>
      <c r="C303">
        <f t="shared" si="8"/>
        <v>380185.08</v>
      </c>
      <c r="D303">
        <f t="shared" si="9"/>
        <v>31682.09</v>
      </c>
    </row>
    <row r="304" spans="1:4" x14ac:dyDescent="0.35">
      <c r="A304" t="s">
        <v>334</v>
      </c>
      <c r="B304">
        <f>Earnings!B304</f>
        <v>833869.15</v>
      </c>
      <c r="C304">
        <f t="shared" si="8"/>
        <v>79273.83</v>
      </c>
      <c r="D304">
        <f t="shared" si="9"/>
        <v>6606.1525000000001</v>
      </c>
    </row>
    <row r="305" spans="1:4" x14ac:dyDescent="0.35">
      <c r="A305" t="s">
        <v>335</v>
      </c>
      <c r="B305">
        <f>Earnings!B305</f>
        <v>1297860.3600000001</v>
      </c>
      <c r="C305">
        <f t="shared" si="8"/>
        <v>201858.10800000001</v>
      </c>
      <c r="D305">
        <f t="shared" si="9"/>
        <v>16821.509000000002</v>
      </c>
    </row>
    <row r="306" spans="1:4" x14ac:dyDescent="0.35">
      <c r="A306" t="s">
        <v>336</v>
      </c>
      <c r="B306">
        <f>Earnings!B306</f>
        <v>627117.80000000005</v>
      </c>
      <c r="C306">
        <f t="shared" si="8"/>
        <v>37923.560000000012</v>
      </c>
      <c r="D306">
        <f t="shared" si="9"/>
        <v>3160.2966666666675</v>
      </c>
    </row>
    <row r="307" spans="1:4" x14ac:dyDescent="0.35">
      <c r="A307" t="s">
        <v>337</v>
      </c>
      <c r="B307">
        <f>Earnings!B307</f>
        <v>1259038.8</v>
      </c>
      <c r="C307">
        <f t="shared" si="8"/>
        <v>190211.64</v>
      </c>
      <c r="D307">
        <f t="shared" si="9"/>
        <v>15850.970000000001</v>
      </c>
    </row>
    <row r="308" spans="1:4" x14ac:dyDescent="0.35">
      <c r="A308" t="s">
        <v>338</v>
      </c>
      <c r="B308">
        <f>Earnings!B308</f>
        <v>664482</v>
      </c>
      <c r="C308">
        <f t="shared" si="8"/>
        <v>45396.4</v>
      </c>
      <c r="D308">
        <f t="shared" si="9"/>
        <v>3783.0333333333333</v>
      </c>
    </row>
    <row r="309" spans="1:4" x14ac:dyDescent="0.35">
      <c r="A309" t="s">
        <v>339</v>
      </c>
      <c r="B309">
        <f>Earnings!B309</f>
        <v>1239838.73</v>
      </c>
      <c r="C309">
        <f t="shared" si="8"/>
        <v>184451.61900000001</v>
      </c>
      <c r="D309">
        <f t="shared" si="9"/>
        <v>15370.96825</v>
      </c>
    </row>
    <row r="310" spans="1:4" x14ac:dyDescent="0.35">
      <c r="A310" t="s">
        <v>340</v>
      </c>
      <c r="B310">
        <f>Earnings!B310</f>
        <v>1216640.1100000001</v>
      </c>
      <c r="C310">
        <f t="shared" si="8"/>
        <v>177492.03300000002</v>
      </c>
      <c r="D310">
        <f t="shared" si="9"/>
        <v>14791.002750000001</v>
      </c>
    </row>
    <row r="311" spans="1:4" x14ac:dyDescent="0.35">
      <c r="A311" t="s">
        <v>341</v>
      </c>
      <c r="B311">
        <f>Earnings!B311</f>
        <v>958964.58</v>
      </c>
      <c r="C311">
        <f t="shared" si="8"/>
        <v>104292.916</v>
      </c>
      <c r="D311">
        <f t="shared" si="9"/>
        <v>8691.0763333333325</v>
      </c>
    </row>
    <row r="312" spans="1:4" x14ac:dyDescent="0.35">
      <c r="A312" t="s">
        <v>342</v>
      </c>
      <c r="B312">
        <f>Earnings!B312</f>
        <v>1534193.57</v>
      </c>
      <c r="C312">
        <f t="shared" si="8"/>
        <v>272758.071</v>
      </c>
      <c r="D312">
        <f t="shared" si="9"/>
        <v>22729.839250000001</v>
      </c>
    </row>
    <row r="313" spans="1:4" x14ac:dyDescent="0.35">
      <c r="A313" t="s">
        <v>343</v>
      </c>
      <c r="B313">
        <f>Earnings!B313</f>
        <v>735501.78</v>
      </c>
      <c r="C313">
        <f t="shared" si="8"/>
        <v>59600.356000000007</v>
      </c>
      <c r="D313">
        <f t="shared" si="9"/>
        <v>4966.6963333333342</v>
      </c>
    </row>
    <row r="314" spans="1:4" x14ac:dyDescent="0.35">
      <c r="A314" t="s">
        <v>344</v>
      </c>
      <c r="B314">
        <f>Earnings!B314</f>
        <v>1090663.8400000001</v>
      </c>
      <c r="C314">
        <f t="shared" si="8"/>
        <v>139699.15200000003</v>
      </c>
      <c r="D314">
        <f t="shared" si="9"/>
        <v>11641.596000000003</v>
      </c>
    </row>
    <row r="315" spans="1:4" x14ac:dyDescent="0.35">
      <c r="A315" t="s">
        <v>345</v>
      </c>
      <c r="B315">
        <f>Earnings!B315</f>
        <v>1397328.59</v>
      </c>
      <c r="C315">
        <f t="shared" si="8"/>
        <v>231698.57700000002</v>
      </c>
      <c r="D315">
        <f t="shared" si="9"/>
        <v>19308.214750000003</v>
      </c>
    </row>
    <row r="316" spans="1:4" x14ac:dyDescent="0.35">
      <c r="A316" t="s">
        <v>346</v>
      </c>
      <c r="B316">
        <f>Earnings!B316</f>
        <v>1145949.6000000001</v>
      </c>
      <c r="C316">
        <f t="shared" si="8"/>
        <v>156284.88000000003</v>
      </c>
      <c r="D316">
        <f t="shared" si="9"/>
        <v>13023.740000000003</v>
      </c>
    </row>
    <row r="317" spans="1:4" x14ac:dyDescent="0.35">
      <c r="A317" t="s">
        <v>347</v>
      </c>
      <c r="B317">
        <f>Earnings!B317</f>
        <v>870262.89</v>
      </c>
      <c r="C317">
        <f t="shared" si="8"/>
        <v>86552.578000000009</v>
      </c>
      <c r="D317">
        <f t="shared" si="9"/>
        <v>7212.7148333333344</v>
      </c>
    </row>
    <row r="318" spans="1:4" x14ac:dyDescent="0.35">
      <c r="A318" t="s">
        <v>348</v>
      </c>
      <c r="B318">
        <f>Earnings!B318</f>
        <v>1252140.6599999999</v>
      </c>
      <c r="C318">
        <f t="shared" si="8"/>
        <v>188142.19799999997</v>
      </c>
      <c r="D318">
        <f t="shared" si="9"/>
        <v>15678.516499999998</v>
      </c>
    </row>
    <row r="319" spans="1:4" x14ac:dyDescent="0.35">
      <c r="A319" t="s">
        <v>349</v>
      </c>
      <c r="B319">
        <f>Earnings!B319</f>
        <v>1045506.54</v>
      </c>
      <c r="C319">
        <f t="shared" si="8"/>
        <v>126151.96200000001</v>
      </c>
      <c r="D319">
        <f t="shared" si="9"/>
        <v>10512.663500000001</v>
      </c>
    </row>
    <row r="320" spans="1:4" x14ac:dyDescent="0.35">
      <c r="A320" t="s">
        <v>350</v>
      </c>
      <c r="B320">
        <f>Earnings!B320</f>
        <v>1595059</v>
      </c>
      <c r="C320">
        <f t="shared" si="8"/>
        <v>291017.69999999995</v>
      </c>
      <c r="D320">
        <f t="shared" si="9"/>
        <v>24251.474999999995</v>
      </c>
    </row>
    <row r="321" spans="1:4" x14ac:dyDescent="0.35">
      <c r="A321" t="s">
        <v>351</v>
      </c>
      <c r="B321">
        <f>Earnings!B321</f>
        <v>1544480.6</v>
      </c>
      <c r="C321">
        <f t="shared" si="8"/>
        <v>275844.18000000005</v>
      </c>
      <c r="D321">
        <f t="shared" si="9"/>
        <v>22987.015000000003</v>
      </c>
    </row>
    <row r="322" spans="1:4" x14ac:dyDescent="0.35">
      <c r="A322" t="s">
        <v>352</v>
      </c>
      <c r="B322">
        <f>Earnings!B322</f>
        <v>1107499.17</v>
      </c>
      <c r="C322">
        <f t="shared" ref="C322:C385" si="10">IF(B322&lt;=250000,0,IF(B322&lt;=500000,(B322-250000)*0.05,IF(B322&lt;=1000000,12500+(B322-500000)*0.2,112500+(B322-1000000)*0.3)))</f>
        <v>144749.75099999999</v>
      </c>
      <c r="D322">
        <f t="shared" ref="D322:D385" si="11">C322/12</f>
        <v>12062.479249999999</v>
      </c>
    </row>
    <row r="323" spans="1:4" x14ac:dyDescent="0.35">
      <c r="A323" t="s">
        <v>353</v>
      </c>
      <c r="B323">
        <f>Earnings!B323</f>
        <v>761765.1</v>
      </c>
      <c r="C323">
        <f t="shared" si="10"/>
        <v>64853.02</v>
      </c>
      <c r="D323">
        <f t="shared" si="11"/>
        <v>5404.4183333333331</v>
      </c>
    </row>
    <row r="324" spans="1:4" x14ac:dyDescent="0.35">
      <c r="A324" t="s">
        <v>354</v>
      </c>
      <c r="B324">
        <f>Earnings!B324</f>
        <v>1201643</v>
      </c>
      <c r="C324">
        <f t="shared" si="10"/>
        <v>172992.9</v>
      </c>
      <c r="D324">
        <f t="shared" si="11"/>
        <v>14416.074999999999</v>
      </c>
    </row>
    <row r="325" spans="1:4" x14ac:dyDescent="0.35">
      <c r="A325" t="s">
        <v>355</v>
      </c>
      <c r="B325">
        <f>Earnings!B325</f>
        <v>1300785.6000000001</v>
      </c>
      <c r="C325">
        <f t="shared" si="10"/>
        <v>202735.68000000002</v>
      </c>
      <c r="D325">
        <f t="shared" si="11"/>
        <v>16894.640000000003</v>
      </c>
    </row>
    <row r="326" spans="1:4" x14ac:dyDescent="0.35">
      <c r="A326" t="s">
        <v>356</v>
      </c>
      <c r="B326">
        <f>Earnings!B326</f>
        <v>709593</v>
      </c>
      <c r="C326">
        <f t="shared" si="10"/>
        <v>54418.600000000006</v>
      </c>
      <c r="D326">
        <f t="shared" si="11"/>
        <v>4534.8833333333341</v>
      </c>
    </row>
    <row r="327" spans="1:4" x14ac:dyDescent="0.35">
      <c r="A327" t="s">
        <v>357</v>
      </c>
      <c r="B327">
        <f>Earnings!B327</f>
        <v>1171925.7</v>
      </c>
      <c r="C327">
        <f t="shared" si="10"/>
        <v>164077.71</v>
      </c>
      <c r="D327">
        <f t="shared" si="11"/>
        <v>13673.1425</v>
      </c>
    </row>
    <row r="328" spans="1:4" x14ac:dyDescent="0.35">
      <c r="A328" t="s">
        <v>358</v>
      </c>
      <c r="B328">
        <f>Earnings!B328</f>
        <v>1542950</v>
      </c>
      <c r="C328">
        <f t="shared" si="10"/>
        <v>275385</v>
      </c>
      <c r="D328">
        <f t="shared" si="11"/>
        <v>22948.75</v>
      </c>
    </row>
    <row r="329" spans="1:4" x14ac:dyDescent="0.35">
      <c r="A329" t="s">
        <v>359</v>
      </c>
      <c r="B329">
        <f>Earnings!B329</f>
        <v>1049115.97</v>
      </c>
      <c r="C329">
        <f t="shared" si="10"/>
        <v>127234.791</v>
      </c>
      <c r="D329">
        <f t="shared" si="11"/>
        <v>10602.89925</v>
      </c>
    </row>
    <row r="330" spans="1:4" x14ac:dyDescent="0.35">
      <c r="A330" t="s">
        <v>360</v>
      </c>
      <c r="B330">
        <f>Earnings!B330</f>
        <v>1081306.1499999999</v>
      </c>
      <c r="C330">
        <f t="shared" si="10"/>
        <v>136891.84499999997</v>
      </c>
      <c r="D330">
        <f t="shared" si="11"/>
        <v>11407.653749999998</v>
      </c>
    </row>
    <row r="331" spans="1:4" x14ac:dyDescent="0.35">
      <c r="A331" t="s">
        <v>361</v>
      </c>
      <c r="B331">
        <f>Earnings!B331</f>
        <v>1499200.8</v>
      </c>
      <c r="C331">
        <f t="shared" si="10"/>
        <v>262260.24</v>
      </c>
      <c r="D331">
        <f t="shared" si="11"/>
        <v>21855.02</v>
      </c>
    </row>
    <row r="332" spans="1:4" x14ac:dyDescent="0.35">
      <c r="A332" t="s">
        <v>362</v>
      </c>
      <c r="B332">
        <f>Earnings!B332</f>
        <v>651997.92000000004</v>
      </c>
      <c r="C332">
        <f t="shared" si="10"/>
        <v>42899.58400000001</v>
      </c>
      <c r="D332">
        <f t="shared" si="11"/>
        <v>3574.965333333334</v>
      </c>
    </row>
    <row r="333" spans="1:4" x14ac:dyDescent="0.35">
      <c r="A333" t="s">
        <v>363</v>
      </c>
      <c r="B333">
        <f>Earnings!B333</f>
        <v>830557.07</v>
      </c>
      <c r="C333">
        <f t="shared" si="10"/>
        <v>78611.41399999999</v>
      </c>
      <c r="D333">
        <f t="shared" si="11"/>
        <v>6550.9511666666658</v>
      </c>
    </row>
    <row r="334" spans="1:4" x14ac:dyDescent="0.35">
      <c r="A334" t="s">
        <v>364</v>
      </c>
      <c r="B334">
        <f>Earnings!B334</f>
        <v>969910.2</v>
      </c>
      <c r="C334">
        <f t="shared" si="10"/>
        <v>106482.04</v>
      </c>
      <c r="D334">
        <f t="shared" si="11"/>
        <v>8873.5033333333322</v>
      </c>
    </row>
    <row r="335" spans="1:4" x14ac:dyDescent="0.35">
      <c r="A335" t="s">
        <v>365</v>
      </c>
      <c r="B335">
        <f>Earnings!B335</f>
        <v>1524702.8</v>
      </c>
      <c r="C335">
        <f t="shared" si="10"/>
        <v>269910.83999999997</v>
      </c>
      <c r="D335">
        <f t="shared" si="11"/>
        <v>22492.569999999996</v>
      </c>
    </row>
    <row r="336" spans="1:4" x14ac:dyDescent="0.35">
      <c r="A336" t="s">
        <v>366</v>
      </c>
      <c r="B336">
        <f>Earnings!B336</f>
        <v>1535870</v>
      </c>
      <c r="C336">
        <f t="shared" si="10"/>
        <v>273261</v>
      </c>
      <c r="D336">
        <f t="shared" si="11"/>
        <v>22771.75</v>
      </c>
    </row>
    <row r="337" spans="1:4" x14ac:dyDescent="0.35">
      <c r="A337" t="s">
        <v>367</v>
      </c>
      <c r="B337">
        <f>Earnings!B337</f>
        <v>660680.4</v>
      </c>
      <c r="C337">
        <f t="shared" si="10"/>
        <v>44636.08</v>
      </c>
      <c r="D337">
        <f t="shared" si="11"/>
        <v>3719.6733333333336</v>
      </c>
    </row>
    <row r="338" spans="1:4" x14ac:dyDescent="0.35">
      <c r="A338" t="s">
        <v>368</v>
      </c>
      <c r="B338">
        <f>Earnings!B338</f>
        <v>553572.6</v>
      </c>
      <c r="C338">
        <f t="shared" si="10"/>
        <v>23214.519999999997</v>
      </c>
      <c r="D338">
        <f t="shared" si="11"/>
        <v>1934.5433333333331</v>
      </c>
    </row>
    <row r="339" spans="1:4" x14ac:dyDescent="0.35">
      <c r="A339" t="s">
        <v>369</v>
      </c>
      <c r="B339">
        <f>Earnings!B339</f>
        <v>1366390.3</v>
      </c>
      <c r="C339">
        <f t="shared" si="10"/>
        <v>222417.09000000003</v>
      </c>
      <c r="D339">
        <f t="shared" si="11"/>
        <v>18534.757500000003</v>
      </c>
    </row>
    <row r="340" spans="1:4" x14ac:dyDescent="0.35">
      <c r="A340" t="s">
        <v>370</v>
      </c>
      <c r="B340">
        <f>Earnings!B340</f>
        <v>1822729.09</v>
      </c>
      <c r="C340">
        <f t="shared" si="10"/>
        <v>359318.72700000001</v>
      </c>
      <c r="D340">
        <f t="shared" si="11"/>
        <v>29943.22725</v>
      </c>
    </row>
    <row r="341" spans="1:4" x14ac:dyDescent="0.35">
      <c r="A341" t="s">
        <v>371</v>
      </c>
      <c r="B341">
        <f>Earnings!B341</f>
        <v>764528.65</v>
      </c>
      <c r="C341">
        <f t="shared" si="10"/>
        <v>65405.73000000001</v>
      </c>
      <c r="D341">
        <f t="shared" si="11"/>
        <v>5450.4775000000009</v>
      </c>
    </row>
    <row r="342" spans="1:4" x14ac:dyDescent="0.35">
      <c r="A342" t="s">
        <v>372</v>
      </c>
      <c r="B342">
        <f>Earnings!B342</f>
        <v>796367.6</v>
      </c>
      <c r="C342">
        <f t="shared" si="10"/>
        <v>71773.51999999999</v>
      </c>
      <c r="D342">
        <f t="shared" si="11"/>
        <v>5981.1266666666661</v>
      </c>
    </row>
    <row r="343" spans="1:4" x14ac:dyDescent="0.35">
      <c r="A343" t="s">
        <v>373</v>
      </c>
      <c r="B343">
        <f>Earnings!B343</f>
        <v>715951.35</v>
      </c>
      <c r="C343">
        <f t="shared" si="10"/>
        <v>55690.27</v>
      </c>
      <c r="D343">
        <f t="shared" si="11"/>
        <v>4640.8558333333331</v>
      </c>
    </row>
    <row r="344" spans="1:4" x14ac:dyDescent="0.35">
      <c r="A344" t="s">
        <v>374</v>
      </c>
      <c r="B344">
        <f>Earnings!B344</f>
        <v>1135042.3999999999</v>
      </c>
      <c r="C344">
        <f t="shared" si="10"/>
        <v>153012.71999999997</v>
      </c>
      <c r="D344">
        <f t="shared" si="11"/>
        <v>12751.059999999998</v>
      </c>
    </row>
    <row r="345" spans="1:4" x14ac:dyDescent="0.35">
      <c r="A345" t="s">
        <v>375</v>
      </c>
      <c r="B345">
        <f>Earnings!B345</f>
        <v>1357543.16</v>
      </c>
      <c r="C345">
        <f t="shared" si="10"/>
        <v>219762.94799999997</v>
      </c>
      <c r="D345">
        <f t="shared" si="11"/>
        <v>18313.578999999998</v>
      </c>
    </row>
    <row r="346" spans="1:4" x14ac:dyDescent="0.35">
      <c r="A346" t="s">
        <v>376</v>
      </c>
      <c r="B346">
        <f>Earnings!B346</f>
        <v>1664664.48</v>
      </c>
      <c r="C346">
        <f t="shared" si="10"/>
        <v>311899.34399999998</v>
      </c>
      <c r="D346">
        <f t="shared" si="11"/>
        <v>25991.611999999997</v>
      </c>
    </row>
    <row r="347" spans="1:4" x14ac:dyDescent="0.35">
      <c r="A347" t="s">
        <v>377</v>
      </c>
      <c r="B347">
        <f>Earnings!B347</f>
        <v>865684.8</v>
      </c>
      <c r="C347">
        <f t="shared" si="10"/>
        <v>85636.96</v>
      </c>
      <c r="D347">
        <f t="shared" si="11"/>
        <v>7136.4133333333339</v>
      </c>
    </row>
    <row r="348" spans="1:4" x14ac:dyDescent="0.35">
      <c r="A348" t="s">
        <v>378</v>
      </c>
      <c r="B348">
        <f>Earnings!B348</f>
        <v>854397.6</v>
      </c>
      <c r="C348">
        <f t="shared" si="10"/>
        <v>83379.520000000004</v>
      </c>
      <c r="D348">
        <f t="shared" si="11"/>
        <v>6948.293333333334</v>
      </c>
    </row>
    <row r="349" spans="1:4" x14ac:dyDescent="0.35">
      <c r="A349" t="s">
        <v>379</v>
      </c>
      <c r="B349">
        <f>Earnings!B349</f>
        <v>1201700.51</v>
      </c>
      <c r="C349">
        <f t="shared" si="10"/>
        <v>173010.15299999999</v>
      </c>
      <c r="D349">
        <f t="shared" si="11"/>
        <v>14417.51275</v>
      </c>
    </row>
    <row r="350" spans="1:4" x14ac:dyDescent="0.35">
      <c r="A350" t="s">
        <v>380</v>
      </c>
      <c r="B350">
        <f>Earnings!B350</f>
        <v>1064780.71</v>
      </c>
      <c r="C350">
        <f t="shared" si="10"/>
        <v>131934.21299999999</v>
      </c>
      <c r="D350">
        <f t="shared" si="11"/>
        <v>10994.517749999999</v>
      </c>
    </row>
    <row r="351" spans="1:4" x14ac:dyDescent="0.35">
      <c r="A351" t="s">
        <v>381</v>
      </c>
      <c r="B351">
        <f>Earnings!B351</f>
        <v>1369349.76</v>
      </c>
      <c r="C351">
        <f t="shared" si="10"/>
        <v>223304.92800000001</v>
      </c>
      <c r="D351">
        <f t="shared" si="11"/>
        <v>18608.744000000002</v>
      </c>
    </row>
    <row r="352" spans="1:4" x14ac:dyDescent="0.35">
      <c r="A352" t="s">
        <v>382</v>
      </c>
      <c r="B352">
        <f>Earnings!B352</f>
        <v>1216059.6000000001</v>
      </c>
      <c r="C352">
        <f t="shared" si="10"/>
        <v>177317.88000000003</v>
      </c>
      <c r="D352">
        <f t="shared" si="11"/>
        <v>14776.490000000003</v>
      </c>
    </row>
    <row r="353" spans="1:4" x14ac:dyDescent="0.35">
      <c r="A353" t="s">
        <v>383</v>
      </c>
      <c r="B353">
        <f>Earnings!B353</f>
        <v>1333025.3999999999</v>
      </c>
      <c r="C353">
        <f t="shared" si="10"/>
        <v>212407.61999999997</v>
      </c>
      <c r="D353">
        <f t="shared" si="11"/>
        <v>17700.634999999998</v>
      </c>
    </row>
    <row r="354" spans="1:4" x14ac:dyDescent="0.35">
      <c r="A354" t="s">
        <v>384</v>
      </c>
      <c r="B354">
        <f>Earnings!B354</f>
        <v>1952667.43</v>
      </c>
      <c r="C354">
        <f t="shared" si="10"/>
        <v>398300.22899999999</v>
      </c>
      <c r="D354">
        <f t="shared" si="11"/>
        <v>33191.685749999997</v>
      </c>
    </row>
    <row r="355" spans="1:4" x14ac:dyDescent="0.35">
      <c r="A355" t="s">
        <v>385</v>
      </c>
      <c r="B355">
        <f>Earnings!B355</f>
        <v>994730</v>
      </c>
      <c r="C355">
        <f t="shared" si="10"/>
        <v>111446</v>
      </c>
      <c r="D355">
        <f t="shared" si="11"/>
        <v>9287.1666666666661</v>
      </c>
    </row>
    <row r="356" spans="1:4" x14ac:dyDescent="0.35">
      <c r="A356" t="s">
        <v>386</v>
      </c>
      <c r="B356">
        <f>Earnings!B356</f>
        <v>622310.80000000005</v>
      </c>
      <c r="C356">
        <f t="shared" si="10"/>
        <v>36962.160000000011</v>
      </c>
      <c r="D356">
        <f t="shared" si="11"/>
        <v>3080.1800000000007</v>
      </c>
    </row>
    <row r="357" spans="1:4" x14ac:dyDescent="0.35">
      <c r="A357" t="s">
        <v>387</v>
      </c>
      <c r="B357">
        <f>Earnings!B357</f>
        <v>678454.85</v>
      </c>
      <c r="C357">
        <f t="shared" si="10"/>
        <v>48190.969999999994</v>
      </c>
      <c r="D357">
        <f t="shared" si="11"/>
        <v>4015.914166666666</v>
      </c>
    </row>
    <row r="358" spans="1:4" x14ac:dyDescent="0.35">
      <c r="A358" t="s">
        <v>388</v>
      </c>
      <c r="B358">
        <f>Earnings!B358</f>
        <v>655119.43000000005</v>
      </c>
      <c r="C358">
        <f t="shared" si="10"/>
        <v>43523.886000000013</v>
      </c>
      <c r="D358">
        <f t="shared" si="11"/>
        <v>3626.9905000000012</v>
      </c>
    </row>
    <row r="359" spans="1:4" x14ac:dyDescent="0.35">
      <c r="A359" t="s">
        <v>389</v>
      </c>
      <c r="B359">
        <f>Earnings!B359</f>
        <v>1179973.2</v>
      </c>
      <c r="C359">
        <f t="shared" si="10"/>
        <v>166491.96</v>
      </c>
      <c r="D359">
        <f t="shared" si="11"/>
        <v>13874.33</v>
      </c>
    </row>
    <row r="360" spans="1:4" x14ac:dyDescent="0.35">
      <c r="A360" t="s">
        <v>390</v>
      </c>
      <c r="B360">
        <f>Earnings!B360</f>
        <v>1106946.3999999999</v>
      </c>
      <c r="C360">
        <f t="shared" si="10"/>
        <v>144583.91999999998</v>
      </c>
      <c r="D360">
        <f t="shared" si="11"/>
        <v>12048.659999999998</v>
      </c>
    </row>
    <row r="361" spans="1:4" x14ac:dyDescent="0.35">
      <c r="A361" t="s">
        <v>391</v>
      </c>
      <c r="B361">
        <f>Earnings!B361</f>
        <v>1827377.44</v>
      </c>
      <c r="C361">
        <f t="shared" si="10"/>
        <v>360713.23199999996</v>
      </c>
      <c r="D361">
        <f t="shared" si="11"/>
        <v>30059.435999999998</v>
      </c>
    </row>
    <row r="362" spans="1:4" x14ac:dyDescent="0.35">
      <c r="A362" t="s">
        <v>392</v>
      </c>
      <c r="B362">
        <f>Earnings!B362</f>
        <v>598165.6</v>
      </c>
      <c r="C362">
        <f t="shared" si="10"/>
        <v>32133.119999999995</v>
      </c>
      <c r="D362">
        <f t="shared" si="11"/>
        <v>2677.7599999999998</v>
      </c>
    </row>
    <row r="363" spans="1:4" x14ac:dyDescent="0.35">
      <c r="A363" t="s">
        <v>393</v>
      </c>
      <c r="B363">
        <f>Earnings!B363</f>
        <v>1922499.4</v>
      </c>
      <c r="C363">
        <f t="shared" si="10"/>
        <v>389249.81999999995</v>
      </c>
      <c r="D363">
        <f t="shared" si="11"/>
        <v>32437.484999999997</v>
      </c>
    </row>
    <row r="364" spans="1:4" x14ac:dyDescent="0.35">
      <c r="A364" t="s">
        <v>394</v>
      </c>
      <c r="B364">
        <f>Earnings!B364</f>
        <v>1801489.2</v>
      </c>
      <c r="C364">
        <f t="shared" si="10"/>
        <v>352946.76</v>
      </c>
      <c r="D364">
        <f t="shared" si="11"/>
        <v>29412.23</v>
      </c>
    </row>
    <row r="365" spans="1:4" x14ac:dyDescent="0.35">
      <c r="A365" t="s">
        <v>395</v>
      </c>
      <c r="B365">
        <f>Earnings!B365</f>
        <v>1108802</v>
      </c>
      <c r="C365">
        <f t="shared" si="10"/>
        <v>145140.6</v>
      </c>
      <c r="D365">
        <f t="shared" si="11"/>
        <v>12095.050000000001</v>
      </c>
    </row>
    <row r="366" spans="1:4" x14ac:dyDescent="0.35">
      <c r="A366" t="s">
        <v>396</v>
      </c>
      <c r="B366">
        <f>Earnings!B366</f>
        <v>1570343.63</v>
      </c>
      <c r="C366">
        <f t="shared" si="10"/>
        <v>283603.08899999992</v>
      </c>
      <c r="D366">
        <f t="shared" si="11"/>
        <v>23633.590749999992</v>
      </c>
    </row>
    <row r="367" spans="1:4" x14ac:dyDescent="0.35">
      <c r="A367" t="s">
        <v>397</v>
      </c>
      <c r="B367">
        <f>Earnings!B367</f>
        <v>1015502</v>
      </c>
      <c r="C367">
        <f t="shared" si="10"/>
        <v>117150.6</v>
      </c>
      <c r="D367">
        <f t="shared" si="11"/>
        <v>9762.5500000000011</v>
      </c>
    </row>
    <row r="368" spans="1:4" x14ac:dyDescent="0.35">
      <c r="A368" t="s">
        <v>398</v>
      </c>
      <c r="B368">
        <f>Earnings!B368</f>
        <v>1375030.38</v>
      </c>
      <c r="C368">
        <f t="shared" si="10"/>
        <v>225009.11399999994</v>
      </c>
      <c r="D368">
        <f t="shared" si="11"/>
        <v>18750.759499999996</v>
      </c>
    </row>
    <row r="369" spans="1:4" x14ac:dyDescent="0.35">
      <c r="A369" t="s">
        <v>399</v>
      </c>
      <c r="B369">
        <f>Earnings!B369</f>
        <v>491063.93</v>
      </c>
      <c r="C369">
        <f t="shared" si="10"/>
        <v>12053.1965</v>
      </c>
      <c r="D369">
        <f t="shared" si="11"/>
        <v>1004.4330416666667</v>
      </c>
    </row>
    <row r="370" spans="1:4" x14ac:dyDescent="0.35">
      <c r="A370" t="s">
        <v>400</v>
      </c>
      <c r="B370">
        <f>Earnings!B370</f>
        <v>1211666.67</v>
      </c>
      <c r="C370">
        <f t="shared" si="10"/>
        <v>176000.00099999999</v>
      </c>
      <c r="D370">
        <f t="shared" si="11"/>
        <v>14666.666749999999</v>
      </c>
    </row>
    <row r="371" spans="1:4" x14ac:dyDescent="0.35">
      <c r="A371" t="s">
        <v>401</v>
      </c>
      <c r="B371">
        <f>Earnings!B371</f>
        <v>1052585.75</v>
      </c>
      <c r="C371">
        <f t="shared" si="10"/>
        <v>128275.72500000001</v>
      </c>
      <c r="D371">
        <f t="shared" si="11"/>
        <v>10689.643750000001</v>
      </c>
    </row>
    <row r="372" spans="1:4" x14ac:dyDescent="0.35">
      <c r="A372" t="s">
        <v>402</v>
      </c>
      <c r="B372">
        <f>Earnings!B372</f>
        <v>722778</v>
      </c>
      <c r="C372">
        <f t="shared" si="10"/>
        <v>57055.600000000006</v>
      </c>
      <c r="D372">
        <f t="shared" si="11"/>
        <v>4754.6333333333341</v>
      </c>
    </row>
    <row r="373" spans="1:4" x14ac:dyDescent="0.35">
      <c r="A373" t="s">
        <v>403</v>
      </c>
      <c r="B373">
        <f>Earnings!B373</f>
        <v>972039.6</v>
      </c>
      <c r="C373">
        <f t="shared" si="10"/>
        <v>106907.92</v>
      </c>
      <c r="D373">
        <f t="shared" si="11"/>
        <v>8908.9933333333338</v>
      </c>
    </row>
    <row r="374" spans="1:4" x14ac:dyDescent="0.35">
      <c r="A374" t="s">
        <v>404</v>
      </c>
      <c r="B374">
        <f>Earnings!B374</f>
        <v>1184119.1399999999</v>
      </c>
      <c r="C374">
        <f t="shared" si="10"/>
        <v>167735.74199999997</v>
      </c>
      <c r="D374">
        <f t="shared" si="11"/>
        <v>13977.978499999997</v>
      </c>
    </row>
    <row r="375" spans="1:4" x14ac:dyDescent="0.35">
      <c r="A375" t="s">
        <v>405</v>
      </c>
      <c r="B375">
        <f>Earnings!B375</f>
        <v>2496904.67</v>
      </c>
      <c r="C375">
        <f t="shared" si="10"/>
        <v>561571.40099999995</v>
      </c>
      <c r="D375">
        <f t="shared" si="11"/>
        <v>46797.616749999994</v>
      </c>
    </row>
    <row r="376" spans="1:4" x14ac:dyDescent="0.35">
      <c r="A376" t="s">
        <v>406</v>
      </c>
      <c r="B376">
        <f>Earnings!B376</f>
        <v>1025233.16</v>
      </c>
      <c r="C376">
        <f t="shared" si="10"/>
        <v>120069.948</v>
      </c>
      <c r="D376">
        <f t="shared" si="11"/>
        <v>10005.829</v>
      </c>
    </row>
    <row r="377" spans="1:4" x14ac:dyDescent="0.35">
      <c r="A377" t="s">
        <v>407</v>
      </c>
      <c r="B377">
        <f>Earnings!B377</f>
        <v>762522.25</v>
      </c>
      <c r="C377">
        <f t="shared" si="10"/>
        <v>65004.450000000004</v>
      </c>
      <c r="D377">
        <f t="shared" si="11"/>
        <v>5417.0375000000004</v>
      </c>
    </row>
    <row r="378" spans="1:4" x14ac:dyDescent="0.35">
      <c r="A378" t="s">
        <v>408</v>
      </c>
      <c r="B378">
        <f>Earnings!B378</f>
        <v>1066804.3999999999</v>
      </c>
      <c r="C378">
        <f t="shared" si="10"/>
        <v>132541.31999999998</v>
      </c>
      <c r="D378">
        <f t="shared" si="11"/>
        <v>11045.109999999999</v>
      </c>
    </row>
    <row r="379" spans="1:4" x14ac:dyDescent="0.35">
      <c r="A379" t="s">
        <v>409</v>
      </c>
      <c r="B379">
        <f>Earnings!B379</f>
        <v>912055.48</v>
      </c>
      <c r="C379">
        <f t="shared" si="10"/>
        <v>94911.096000000005</v>
      </c>
      <c r="D379">
        <f t="shared" si="11"/>
        <v>7909.2580000000007</v>
      </c>
    </row>
    <row r="380" spans="1:4" x14ac:dyDescent="0.35">
      <c r="A380" t="s">
        <v>410</v>
      </c>
      <c r="B380">
        <f>Earnings!B380</f>
        <v>1383885.43</v>
      </c>
      <c r="C380">
        <f t="shared" si="10"/>
        <v>227665.62899999996</v>
      </c>
      <c r="D380">
        <f t="shared" si="11"/>
        <v>18972.135749999998</v>
      </c>
    </row>
    <row r="381" spans="1:4" x14ac:dyDescent="0.35">
      <c r="A381" t="s">
        <v>411</v>
      </c>
      <c r="B381">
        <f>Earnings!B381</f>
        <v>970550.21</v>
      </c>
      <c r="C381">
        <f t="shared" si="10"/>
        <v>106610.042</v>
      </c>
      <c r="D381">
        <f t="shared" si="11"/>
        <v>8884.1701666666668</v>
      </c>
    </row>
    <row r="382" spans="1:4" x14ac:dyDescent="0.35">
      <c r="A382" t="s">
        <v>412</v>
      </c>
      <c r="B382">
        <f>Earnings!B382</f>
        <v>1406181</v>
      </c>
      <c r="C382">
        <f t="shared" si="10"/>
        <v>234354.3</v>
      </c>
      <c r="D382">
        <f t="shared" si="11"/>
        <v>19529.524999999998</v>
      </c>
    </row>
    <row r="383" spans="1:4" x14ac:dyDescent="0.35">
      <c r="A383" t="s">
        <v>413</v>
      </c>
      <c r="B383">
        <f>Earnings!B383</f>
        <v>594538</v>
      </c>
      <c r="C383">
        <f t="shared" si="10"/>
        <v>31407.600000000002</v>
      </c>
      <c r="D383">
        <f t="shared" si="11"/>
        <v>2617.3000000000002</v>
      </c>
    </row>
    <row r="384" spans="1:4" x14ac:dyDescent="0.35">
      <c r="A384" t="s">
        <v>414</v>
      </c>
      <c r="B384">
        <f>Earnings!B384</f>
        <v>978843</v>
      </c>
      <c r="C384">
        <f t="shared" si="10"/>
        <v>108268.6</v>
      </c>
      <c r="D384">
        <f t="shared" si="11"/>
        <v>9022.3833333333332</v>
      </c>
    </row>
    <row r="385" spans="1:4" x14ac:dyDescent="0.35">
      <c r="A385" t="s">
        <v>415</v>
      </c>
      <c r="B385">
        <f>Earnings!B385</f>
        <v>656415.6</v>
      </c>
      <c r="C385">
        <f t="shared" si="10"/>
        <v>43783.119999999995</v>
      </c>
      <c r="D385">
        <f t="shared" si="11"/>
        <v>3648.5933333333328</v>
      </c>
    </row>
    <row r="386" spans="1:4" x14ac:dyDescent="0.35">
      <c r="A386" t="s">
        <v>416</v>
      </c>
      <c r="B386">
        <f>Earnings!B386</f>
        <v>1633192.97</v>
      </c>
      <c r="C386">
        <f t="shared" ref="C386:C449" si="12">IF(B386&lt;=250000,0,IF(B386&lt;=500000,(B386-250000)*0.05,IF(B386&lt;=1000000,12500+(B386-500000)*0.2,112500+(B386-1000000)*0.3)))</f>
        <v>302457.89099999995</v>
      </c>
      <c r="D386">
        <f t="shared" ref="D386:D449" si="13">C386/12</f>
        <v>25204.824249999994</v>
      </c>
    </row>
    <row r="387" spans="1:4" x14ac:dyDescent="0.35">
      <c r="A387" t="s">
        <v>417</v>
      </c>
      <c r="B387">
        <f>Earnings!B387</f>
        <v>1818091.38</v>
      </c>
      <c r="C387">
        <f t="shared" si="12"/>
        <v>357927.41399999999</v>
      </c>
      <c r="D387">
        <f t="shared" si="13"/>
        <v>29827.284499999998</v>
      </c>
    </row>
    <row r="388" spans="1:4" x14ac:dyDescent="0.35">
      <c r="A388" t="s">
        <v>418</v>
      </c>
      <c r="B388">
        <f>Earnings!B388</f>
        <v>691842.25</v>
      </c>
      <c r="C388">
        <f t="shared" si="12"/>
        <v>50868.450000000004</v>
      </c>
      <c r="D388">
        <f t="shared" si="13"/>
        <v>4239.0375000000004</v>
      </c>
    </row>
    <row r="389" spans="1:4" x14ac:dyDescent="0.35">
      <c r="A389" t="s">
        <v>419</v>
      </c>
      <c r="B389">
        <f>Earnings!B389</f>
        <v>1051656.8400000001</v>
      </c>
      <c r="C389">
        <f t="shared" si="12"/>
        <v>127997.05200000003</v>
      </c>
      <c r="D389">
        <f t="shared" si="13"/>
        <v>10666.421000000002</v>
      </c>
    </row>
    <row r="390" spans="1:4" x14ac:dyDescent="0.35">
      <c r="A390" t="s">
        <v>420</v>
      </c>
      <c r="B390">
        <f>Earnings!B390</f>
        <v>2251396.7000000002</v>
      </c>
      <c r="C390">
        <f t="shared" si="12"/>
        <v>487919.01000000007</v>
      </c>
      <c r="D390">
        <f t="shared" si="13"/>
        <v>40659.917500000003</v>
      </c>
    </row>
    <row r="391" spans="1:4" x14ac:dyDescent="0.35">
      <c r="A391" t="s">
        <v>421</v>
      </c>
      <c r="B391">
        <f>Earnings!B391</f>
        <v>2000438.37</v>
      </c>
      <c r="C391">
        <f t="shared" si="12"/>
        <v>412631.511</v>
      </c>
      <c r="D391">
        <f t="shared" si="13"/>
        <v>34385.95925</v>
      </c>
    </row>
    <row r="392" spans="1:4" x14ac:dyDescent="0.35">
      <c r="A392" t="s">
        <v>422</v>
      </c>
      <c r="B392">
        <f>Earnings!B392</f>
        <v>1251918.3600000001</v>
      </c>
      <c r="C392">
        <f t="shared" si="12"/>
        <v>188075.50800000003</v>
      </c>
      <c r="D392">
        <f t="shared" si="13"/>
        <v>15672.959000000003</v>
      </c>
    </row>
    <row r="393" spans="1:4" x14ac:dyDescent="0.35">
      <c r="A393" t="s">
        <v>423</v>
      </c>
      <c r="B393">
        <f>Earnings!B393</f>
        <v>1031684</v>
      </c>
      <c r="C393">
        <f t="shared" si="12"/>
        <v>122005.2</v>
      </c>
      <c r="D393">
        <f t="shared" si="13"/>
        <v>10167.1</v>
      </c>
    </row>
    <row r="394" spans="1:4" x14ac:dyDescent="0.35">
      <c r="A394" t="s">
        <v>424</v>
      </c>
      <c r="B394">
        <f>Earnings!B394</f>
        <v>1770665</v>
      </c>
      <c r="C394">
        <f t="shared" si="12"/>
        <v>343699.5</v>
      </c>
      <c r="D394">
        <f t="shared" si="13"/>
        <v>28641.625</v>
      </c>
    </row>
    <row r="395" spans="1:4" x14ac:dyDescent="0.35">
      <c r="A395" t="s">
        <v>425</v>
      </c>
      <c r="B395">
        <f>Earnings!B395</f>
        <v>1128300.3700000001</v>
      </c>
      <c r="C395">
        <f t="shared" si="12"/>
        <v>150990.11100000003</v>
      </c>
      <c r="D395">
        <f t="shared" si="13"/>
        <v>12582.509250000003</v>
      </c>
    </row>
    <row r="396" spans="1:4" x14ac:dyDescent="0.35">
      <c r="A396" t="s">
        <v>426</v>
      </c>
      <c r="B396">
        <f>Earnings!B396</f>
        <v>1120342.5</v>
      </c>
      <c r="C396">
        <f t="shared" si="12"/>
        <v>148602.75</v>
      </c>
      <c r="D396">
        <f t="shared" si="13"/>
        <v>12383.5625</v>
      </c>
    </row>
    <row r="397" spans="1:4" x14ac:dyDescent="0.35">
      <c r="A397" t="s">
        <v>427</v>
      </c>
      <c r="B397">
        <f>Earnings!B397</f>
        <v>1620970.65</v>
      </c>
      <c r="C397">
        <f t="shared" si="12"/>
        <v>298791.19499999995</v>
      </c>
      <c r="D397">
        <f t="shared" si="13"/>
        <v>24899.266249999997</v>
      </c>
    </row>
    <row r="398" spans="1:4" x14ac:dyDescent="0.35">
      <c r="A398" t="s">
        <v>428</v>
      </c>
      <c r="B398">
        <f>Earnings!B398</f>
        <v>1760665.2</v>
      </c>
      <c r="C398">
        <f t="shared" si="12"/>
        <v>340699.55999999994</v>
      </c>
      <c r="D398">
        <f t="shared" si="13"/>
        <v>28391.629999999994</v>
      </c>
    </row>
    <row r="399" spans="1:4" x14ac:dyDescent="0.35">
      <c r="A399" t="s">
        <v>429</v>
      </c>
      <c r="B399">
        <f>Earnings!B399</f>
        <v>923094.1</v>
      </c>
      <c r="C399">
        <f t="shared" si="12"/>
        <v>97118.82</v>
      </c>
      <c r="D399">
        <f t="shared" si="13"/>
        <v>8093.2350000000006</v>
      </c>
    </row>
    <row r="400" spans="1:4" x14ac:dyDescent="0.35">
      <c r="A400" t="s">
        <v>430</v>
      </c>
      <c r="B400">
        <f>Earnings!B400</f>
        <v>1427096.65</v>
      </c>
      <c r="C400">
        <f t="shared" si="12"/>
        <v>240628.99499999997</v>
      </c>
      <c r="D400">
        <f t="shared" si="13"/>
        <v>20052.416249999998</v>
      </c>
    </row>
    <row r="401" spans="1:4" x14ac:dyDescent="0.35">
      <c r="A401" t="s">
        <v>431</v>
      </c>
      <c r="B401">
        <f>Earnings!B401</f>
        <v>1622046.24</v>
      </c>
      <c r="C401">
        <f t="shared" si="12"/>
        <v>299113.87199999997</v>
      </c>
      <c r="D401">
        <f t="shared" si="13"/>
        <v>24926.155999999999</v>
      </c>
    </row>
    <row r="402" spans="1:4" x14ac:dyDescent="0.35">
      <c r="A402" t="s">
        <v>432</v>
      </c>
      <c r="B402">
        <f>Earnings!B402</f>
        <v>829644.5</v>
      </c>
      <c r="C402">
        <f t="shared" si="12"/>
        <v>78428.900000000009</v>
      </c>
      <c r="D402">
        <f t="shared" si="13"/>
        <v>6535.7416666666677</v>
      </c>
    </row>
    <row r="403" spans="1:4" x14ac:dyDescent="0.35">
      <c r="A403" t="s">
        <v>433</v>
      </c>
      <c r="B403">
        <f>Earnings!B403</f>
        <v>1263623.69</v>
      </c>
      <c r="C403">
        <f t="shared" si="12"/>
        <v>191587.10699999996</v>
      </c>
      <c r="D403">
        <f t="shared" si="13"/>
        <v>15965.592249999996</v>
      </c>
    </row>
    <row r="404" spans="1:4" x14ac:dyDescent="0.35">
      <c r="A404" t="s">
        <v>434</v>
      </c>
      <c r="B404">
        <f>Earnings!B404</f>
        <v>737430</v>
      </c>
      <c r="C404">
        <f t="shared" si="12"/>
        <v>59986</v>
      </c>
      <c r="D404">
        <f t="shared" si="13"/>
        <v>4998.833333333333</v>
      </c>
    </row>
    <row r="405" spans="1:4" x14ac:dyDescent="0.35">
      <c r="A405" t="s">
        <v>435</v>
      </c>
      <c r="B405">
        <f>Earnings!B405</f>
        <v>1276101.6000000001</v>
      </c>
      <c r="C405">
        <f t="shared" si="12"/>
        <v>195330.48000000004</v>
      </c>
      <c r="D405">
        <f t="shared" si="13"/>
        <v>16277.540000000003</v>
      </c>
    </row>
    <row r="406" spans="1:4" x14ac:dyDescent="0.35">
      <c r="A406" t="s">
        <v>436</v>
      </c>
      <c r="B406">
        <f>Earnings!B406</f>
        <v>759275</v>
      </c>
      <c r="C406">
        <f t="shared" si="12"/>
        <v>64355</v>
      </c>
      <c r="D406">
        <f t="shared" si="13"/>
        <v>5362.916666666667</v>
      </c>
    </row>
    <row r="407" spans="1:4" x14ac:dyDescent="0.35">
      <c r="A407" t="s">
        <v>437</v>
      </c>
      <c r="B407">
        <f>Earnings!B407</f>
        <v>707820.3</v>
      </c>
      <c r="C407">
        <f t="shared" si="12"/>
        <v>54064.060000000012</v>
      </c>
      <c r="D407">
        <f t="shared" si="13"/>
        <v>4505.338333333334</v>
      </c>
    </row>
    <row r="408" spans="1:4" x14ac:dyDescent="0.35">
      <c r="A408" t="s">
        <v>438</v>
      </c>
      <c r="B408">
        <f>Earnings!B408</f>
        <v>1705173.4</v>
      </c>
      <c r="C408">
        <f t="shared" si="12"/>
        <v>324052.01999999996</v>
      </c>
      <c r="D408">
        <f t="shared" si="13"/>
        <v>27004.334999999995</v>
      </c>
    </row>
    <row r="409" spans="1:4" x14ac:dyDescent="0.35">
      <c r="A409" t="s">
        <v>439</v>
      </c>
      <c r="B409">
        <f>Earnings!B409</f>
        <v>1353823.9</v>
      </c>
      <c r="C409">
        <f t="shared" si="12"/>
        <v>218647.16999999998</v>
      </c>
      <c r="D409">
        <f t="shared" si="13"/>
        <v>18220.5975</v>
      </c>
    </row>
    <row r="410" spans="1:4" x14ac:dyDescent="0.35">
      <c r="A410" t="s">
        <v>440</v>
      </c>
      <c r="B410">
        <f>Earnings!B410</f>
        <v>848604</v>
      </c>
      <c r="C410">
        <f t="shared" si="12"/>
        <v>82220.800000000003</v>
      </c>
      <c r="D410">
        <f t="shared" si="13"/>
        <v>6851.7333333333336</v>
      </c>
    </row>
    <row r="411" spans="1:4" x14ac:dyDescent="0.35">
      <c r="A411" t="s">
        <v>441</v>
      </c>
      <c r="B411">
        <f>Earnings!B411</f>
        <v>1169160.06</v>
      </c>
      <c r="C411">
        <f t="shared" si="12"/>
        <v>163248.01800000001</v>
      </c>
      <c r="D411">
        <f t="shared" si="13"/>
        <v>13604.0015</v>
      </c>
    </row>
    <row r="412" spans="1:4" x14ac:dyDescent="0.35">
      <c r="A412" t="s">
        <v>442</v>
      </c>
      <c r="B412">
        <f>Earnings!B412</f>
        <v>862113.98</v>
      </c>
      <c r="C412">
        <f t="shared" si="12"/>
        <v>84922.796000000002</v>
      </c>
      <c r="D412">
        <f t="shared" si="13"/>
        <v>7076.8996666666671</v>
      </c>
    </row>
    <row r="413" spans="1:4" x14ac:dyDescent="0.35">
      <c r="A413" t="s">
        <v>443</v>
      </c>
      <c r="B413">
        <f>Earnings!B413</f>
        <v>1498081.2</v>
      </c>
      <c r="C413">
        <f t="shared" si="12"/>
        <v>261924.36</v>
      </c>
      <c r="D413">
        <f t="shared" si="13"/>
        <v>21827.03</v>
      </c>
    </row>
    <row r="414" spans="1:4" x14ac:dyDescent="0.35">
      <c r="A414" t="s">
        <v>444</v>
      </c>
      <c r="B414">
        <f>Earnings!B414</f>
        <v>1385642.8</v>
      </c>
      <c r="C414">
        <f t="shared" si="12"/>
        <v>228192.84000000003</v>
      </c>
      <c r="D414">
        <f t="shared" si="13"/>
        <v>19016.070000000003</v>
      </c>
    </row>
    <row r="415" spans="1:4" x14ac:dyDescent="0.35">
      <c r="A415" t="s">
        <v>445</v>
      </c>
      <c r="B415">
        <f>Earnings!B415</f>
        <v>1106420.3999999999</v>
      </c>
      <c r="C415">
        <f t="shared" si="12"/>
        <v>144426.11999999997</v>
      </c>
      <c r="D415">
        <f t="shared" si="13"/>
        <v>12035.509999999997</v>
      </c>
    </row>
    <row r="416" spans="1:4" x14ac:dyDescent="0.35">
      <c r="A416" t="s">
        <v>446</v>
      </c>
      <c r="B416">
        <f>Earnings!B416</f>
        <v>1111860.05</v>
      </c>
      <c r="C416">
        <f t="shared" si="12"/>
        <v>146058.01500000001</v>
      </c>
      <c r="D416">
        <f t="shared" si="13"/>
        <v>12171.501250000001</v>
      </c>
    </row>
    <row r="417" spans="1:4" x14ac:dyDescent="0.35">
      <c r="A417" t="s">
        <v>447</v>
      </c>
      <c r="B417">
        <f>Earnings!B417</f>
        <v>1218544.8600000001</v>
      </c>
      <c r="C417">
        <f t="shared" si="12"/>
        <v>178063.45800000004</v>
      </c>
      <c r="D417">
        <f t="shared" si="13"/>
        <v>14838.621500000003</v>
      </c>
    </row>
    <row r="418" spans="1:4" x14ac:dyDescent="0.35">
      <c r="A418" t="s">
        <v>448</v>
      </c>
      <c r="B418">
        <f>Earnings!B418</f>
        <v>1381549.2</v>
      </c>
      <c r="C418">
        <f t="shared" si="12"/>
        <v>226964.75999999998</v>
      </c>
      <c r="D418">
        <f t="shared" si="13"/>
        <v>18913.73</v>
      </c>
    </row>
    <row r="419" spans="1:4" x14ac:dyDescent="0.35">
      <c r="A419" t="s">
        <v>449</v>
      </c>
      <c r="B419">
        <f>Earnings!B419</f>
        <v>788583.6</v>
      </c>
      <c r="C419">
        <f t="shared" si="12"/>
        <v>70216.72</v>
      </c>
      <c r="D419">
        <f t="shared" si="13"/>
        <v>5851.3933333333334</v>
      </c>
    </row>
    <row r="420" spans="1:4" x14ac:dyDescent="0.35">
      <c r="A420" t="s">
        <v>450</v>
      </c>
      <c r="B420">
        <f>Earnings!B420</f>
        <v>1857410.8</v>
      </c>
      <c r="C420">
        <f t="shared" si="12"/>
        <v>369723.24</v>
      </c>
      <c r="D420">
        <f t="shared" si="13"/>
        <v>30810.27</v>
      </c>
    </row>
    <row r="421" spans="1:4" x14ac:dyDescent="0.35">
      <c r="A421" t="s">
        <v>451</v>
      </c>
      <c r="B421">
        <f>Earnings!B421</f>
        <v>998973.64</v>
      </c>
      <c r="C421">
        <f t="shared" si="12"/>
        <v>112294.728</v>
      </c>
      <c r="D421">
        <f t="shared" si="13"/>
        <v>9357.8940000000002</v>
      </c>
    </row>
    <row r="422" spans="1:4" x14ac:dyDescent="0.35">
      <c r="A422" t="s">
        <v>452</v>
      </c>
      <c r="B422">
        <f>Earnings!B422</f>
        <v>848067</v>
      </c>
      <c r="C422">
        <f t="shared" si="12"/>
        <v>82113.400000000009</v>
      </c>
      <c r="D422">
        <f t="shared" si="13"/>
        <v>6842.7833333333338</v>
      </c>
    </row>
    <row r="423" spans="1:4" x14ac:dyDescent="0.35">
      <c r="A423" t="s">
        <v>453</v>
      </c>
      <c r="B423">
        <f>Earnings!B423</f>
        <v>756671.2</v>
      </c>
      <c r="C423">
        <f t="shared" si="12"/>
        <v>63834.239999999991</v>
      </c>
      <c r="D423">
        <f t="shared" si="13"/>
        <v>5319.5199999999995</v>
      </c>
    </row>
    <row r="424" spans="1:4" x14ac:dyDescent="0.35">
      <c r="A424" t="s">
        <v>454</v>
      </c>
      <c r="B424">
        <f>Earnings!B424</f>
        <v>1455676.26</v>
      </c>
      <c r="C424">
        <f t="shared" si="12"/>
        <v>249202.878</v>
      </c>
      <c r="D424">
        <f t="shared" si="13"/>
        <v>20766.906500000001</v>
      </c>
    </row>
    <row r="425" spans="1:4" x14ac:dyDescent="0.35">
      <c r="A425" t="s">
        <v>455</v>
      </c>
      <c r="B425">
        <f>Earnings!B425</f>
        <v>408247.68</v>
      </c>
      <c r="C425">
        <f t="shared" si="12"/>
        <v>7912.384</v>
      </c>
      <c r="D425">
        <f t="shared" si="13"/>
        <v>659.3653333333333</v>
      </c>
    </row>
    <row r="426" spans="1:4" x14ac:dyDescent="0.35">
      <c r="A426" t="s">
        <v>456</v>
      </c>
      <c r="B426">
        <f>Earnings!B426</f>
        <v>2268141.5299999998</v>
      </c>
      <c r="C426">
        <f t="shared" si="12"/>
        <v>492942.45899999992</v>
      </c>
      <c r="D426">
        <f t="shared" si="13"/>
        <v>41078.538249999991</v>
      </c>
    </row>
    <row r="427" spans="1:4" x14ac:dyDescent="0.35">
      <c r="A427" t="s">
        <v>457</v>
      </c>
      <c r="B427">
        <f>Earnings!B427</f>
        <v>778466.1</v>
      </c>
      <c r="C427">
        <f t="shared" si="12"/>
        <v>68193.22</v>
      </c>
      <c r="D427">
        <f t="shared" si="13"/>
        <v>5682.7683333333334</v>
      </c>
    </row>
    <row r="428" spans="1:4" x14ac:dyDescent="0.35">
      <c r="A428" t="s">
        <v>458</v>
      </c>
      <c r="B428">
        <f>Earnings!B428</f>
        <v>1043582.22</v>
      </c>
      <c r="C428">
        <f t="shared" si="12"/>
        <v>125574.666</v>
      </c>
      <c r="D428">
        <f t="shared" si="13"/>
        <v>10464.5555</v>
      </c>
    </row>
    <row r="429" spans="1:4" x14ac:dyDescent="0.35">
      <c r="A429" t="s">
        <v>459</v>
      </c>
      <c r="B429">
        <f>Earnings!B429</f>
        <v>1303352.6000000001</v>
      </c>
      <c r="C429">
        <f t="shared" si="12"/>
        <v>203505.78000000003</v>
      </c>
      <c r="D429">
        <f t="shared" si="13"/>
        <v>16958.815000000002</v>
      </c>
    </row>
    <row r="430" spans="1:4" x14ac:dyDescent="0.35">
      <c r="A430" t="s">
        <v>460</v>
      </c>
      <c r="B430">
        <f>Earnings!B430</f>
        <v>1389781.79</v>
      </c>
      <c r="C430">
        <f t="shared" si="12"/>
        <v>229434.53700000001</v>
      </c>
      <c r="D430">
        <f t="shared" si="13"/>
        <v>19119.544750000001</v>
      </c>
    </row>
    <row r="431" spans="1:4" x14ac:dyDescent="0.35">
      <c r="A431" t="s">
        <v>461</v>
      </c>
      <c r="B431">
        <f>Earnings!B431</f>
        <v>1281163.3500000001</v>
      </c>
      <c r="C431">
        <f t="shared" si="12"/>
        <v>196849.005</v>
      </c>
      <c r="D431">
        <f t="shared" si="13"/>
        <v>16404.083750000002</v>
      </c>
    </row>
    <row r="432" spans="1:4" x14ac:dyDescent="0.35">
      <c r="A432" t="s">
        <v>462</v>
      </c>
      <c r="B432">
        <f>Earnings!B432</f>
        <v>464122.5</v>
      </c>
      <c r="C432">
        <f t="shared" si="12"/>
        <v>10706.125</v>
      </c>
      <c r="D432">
        <f t="shared" si="13"/>
        <v>892.17708333333337</v>
      </c>
    </row>
    <row r="433" spans="1:4" x14ac:dyDescent="0.35">
      <c r="A433" t="s">
        <v>463</v>
      </c>
      <c r="B433">
        <f>Earnings!B433</f>
        <v>1112092.8</v>
      </c>
      <c r="C433">
        <f t="shared" si="12"/>
        <v>146127.84000000003</v>
      </c>
      <c r="D433">
        <f t="shared" si="13"/>
        <v>12177.320000000002</v>
      </c>
    </row>
    <row r="434" spans="1:4" x14ac:dyDescent="0.35">
      <c r="A434" t="s">
        <v>464</v>
      </c>
      <c r="B434">
        <f>Earnings!B434</f>
        <v>1039024.8</v>
      </c>
      <c r="C434">
        <f t="shared" si="12"/>
        <v>124207.44000000002</v>
      </c>
      <c r="D434">
        <f t="shared" si="13"/>
        <v>10350.620000000001</v>
      </c>
    </row>
    <row r="435" spans="1:4" x14ac:dyDescent="0.35">
      <c r="A435" t="s">
        <v>465</v>
      </c>
      <c r="B435">
        <f>Earnings!B435</f>
        <v>895022.55</v>
      </c>
      <c r="C435">
        <f t="shared" si="12"/>
        <v>91504.510000000009</v>
      </c>
      <c r="D435">
        <f t="shared" si="13"/>
        <v>7625.3758333333344</v>
      </c>
    </row>
    <row r="436" spans="1:4" x14ac:dyDescent="0.35">
      <c r="A436" t="s">
        <v>466</v>
      </c>
      <c r="B436">
        <f>Earnings!B436</f>
        <v>1143202.8</v>
      </c>
      <c r="C436">
        <f t="shared" si="12"/>
        <v>155460.84000000003</v>
      </c>
      <c r="D436">
        <f t="shared" si="13"/>
        <v>12955.070000000002</v>
      </c>
    </row>
    <row r="437" spans="1:4" x14ac:dyDescent="0.35">
      <c r="A437" t="s">
        <v>467</v>
      </c>
      <c r="B437">
        <f>Earnings!B437</f>
        <v>1078366.8</v>
      </c>
      <c r="C437">
        <f t="shared" si="12"/>
        <v>136010.04</v>
      </c>
      <c r="D437">
        <f t="shared" si="13"/>
        <v>11334.17</v>
      </c>
    </row>
    <row r="438" spans="1:4" x14ac:dyDescent="0.35">
      <c r="A438" t="s">
        <v>468</v>
      </c>
      <c r="B438">
        <f>Earnings!B438</f>
        <v>535122</v>
      </c>
      <c r="C438">
        <f t="shared" si="12"/>
        <v>19524.400000000001</v>
      </c>
      <c r="D438">
        <f t="shared" si="13"/>
        <v>1627.0333333333335</v>
      </c>
    </row>
    <row r="439" spans="1:4" x14ac:dyDescent="0.35">
      <c r="A439" t="s">
        <v>469</v>
      </c>
      <c r="B439">
        <f>Earnings!B439</f>
        <v>1747058.55</v>
      </c>
      <c r="C439">
        <f t="shared" si="12"/>
        <v>336617.565</v>
      </c>
      <c r="D439">
        <f t="shared" si="13"/>
        <v>28051.463749999999</v>
      </c>
    </row>
    <row r="440" spans="1:4" x14ac:dyDescent="0.35">
      <c r="A440" t="s">
        <v>470</v>
      </c>
      <c r="B440">
        <f>Earnings!B440</f>
        <v>1212093.03</v>
      </c>
      <c r="C440">
        <f t="shared" si="12"/>
        <v>176127.90900000001</v>
      </c>
      <c r="D440">
        <f t="shared" si="13"/>
        <v>14677.325750000002</v>
      </c>
    </row>
    <row r="441" spans="1:4" x14ac:dyDescent="0.35">
      <c r="A441" t="s">
        <v>471</v>
      </c>
      <c r="B441">
        <f>Earnings!B441</f>
        <v>754180.8</v>
      </c>
      <c r="C441">
        <f t="shared" si="12"/>
        <v>63336.160000000011</v>
      </c>
      <c r="D441">
        <f t="shared" si="13"/>
        <v>5278.0133333333342</v>
      </c>
    </row>
    <row r="442" spans="1:4" x14ac:dyDescent="0.35">
      <c r="A442" t="s">
        <v>472</v>
      </c>
      <c r="B442">
        <f>Earnings!B442</f>
        <v>603398.40000000002</v>
      </c>
      <c r="C442">
        <f t="shared" si="12"/>
        <v>33179.680000000008</v>
      </c>
      <c r="D442">
        <f t="shared" si="13"/>
        <v>2764.9733333333338</v>
      </c>
    </row>
    <row r="443" spans="1:4" x14ac:dyDescent="0.35">
      <c r="A443" t="s">
        <v>473</v>
      </c>
      <c r="B443">
        <f>Earnings!B443</f>
        <v>1300004</v>
      </c>
      <c r="C443">
        <f t="shared" si="12"/>
        <v>202501.2</v>
      </c>
      <c r="D443">
        <f t="shared" si="13"/>
        <v>16875.100000000002</v>
      </c>
    </row>
    <row r="444" spans="1:4" x14ac:dyDescent="0.35">
      <c r="A444" t="s">
        <v>474</v>
      </c>
      <c r="B444">
        <f>Earnings!B444</f>
        <v>1886752</v>
      </c>
      <c r="C444">
        <f t="shared" si="12"/>
        <v>378525.6</v>
      </c>
      <c r="D444">
        <f t="shared" si="13"/>
        <v>31543.8</v>
      </c>
    </row>
    <row r="445" spans="1:4" x14ac:dyDescent="0.35">
      <c r="A445" t="s">
        <v>475</v>
      </c>
      <c r="B445">
        <f>Earnings!B445</f>
        <v>1341144.45</v>
      </c>
      <c r="C445">
        <f t="shared" si="12"/>
        <v>214843.33499999996</v>
      </c>
      <c r="D445">
        <f t="shared" si="13"/>
        <v>17903.611249999998</v>
      </c>
    </row>
    <row r="446" spans="1:4" x14ac:dyDescent="0.35">
      <c r="A446" t="s">
        <v>476</v>
      </c>
      <c r="B446">
        <f>Earnings!B446</f>
        <v>1353028.95</v>
      </c>
      <c r="C446">
        <f t="shared" si="12"/>
        <v>218408.685</v>
      </c>
      <c r="D446">
        <f t="shared" si="13"/>
        <v>18200.723750000001</v>
      </c>
    </row>
    <row r="447" spans="1:4" x14ac:dyDescent="0.35">
      <c r="A447" t="s">
        <v>477</v>
      </c>
      <c r="B447">
        <f>Earnings!B447</f>
        <v>1798987.26</v>
      </c>
      <c r="C447">
        <f t="shared" si="12"/>
        <v>352196.17799999996</v>
      </c>
      <c r="D447">
        <f t="shared" si="13"/>
        <v>29349.681499999995</v>
      </c>
    </row>
    <row r="448" spans="1:4" x14ac:dyDescent="0.35">
      <c r="A448" t="s">
        <v>478</v>
      </c>
      <c r="B448">
        <f>Earnings!B448</f>
        <v>1247520.05</v>
      </c>
      <c r="C448">
        <f t="shared" si="12"/>
        <v>186756.01500000001</v>
      </c>
      <c r="D448">
        <f t="shared" si="13"/>
        <v>15563.001250000001</v>
      </c>
    </row>
    <row r="449" spans="1:4" x14ac:dyDescent="0.35">
      <c r="A449" t="s">
        <v>479</v>
      </c>
      <c r="B449">
        <f>Earnings!B449</f>
        <v>2001336.9</v>
      </c>
      <c r="C449">
        <f t="shared" si="12"/>
        <v>412901.06999999995</v>
      </c>
      <c r="D449">
        <f t="shared" si="13"/>
        <v>34408.422499999993</v>
      </c>
    </row>
    <row r="450" spans="1:4" x14ac:dyDescent="0.35">
      <c r="A450" t="s">
        <v>480</v>
      </c>
      <c r="B450">
        <f>Earnings!B450</f>
        <v>1364238.1</v>
      </c>
      <c r="C450">
        <f t="shared" ref="C450:C513" si="14">IF(B450&lt;=250000,0,IF(B450&lt;=500000,(B450-250000)*0.05,IF(B450&lt;=1000000,12500+(B450-500000)*0.2,112500+(B450-1000000)*0.3)))</f>
        <v>221771.43000000002</v>
      </c>
      <c r="D450">
        <f t="shared" ref="D450:D513" si="15">C450/12</f>
        <v>18480.952500000003</v>
      </c>
    </row>
    <row r="451" spans="1:4" x14ac:dyDescent="0.35">
      <c r="A451" t="s">
        <v>481</v>
      </c>
      <c r="B451">
        <f>Earnings!B451</f>
        <v>597699.15</v>
      </c>
      <c r="C451">
        <f t="shared" si="14"/>
        <v>32039.830000000005</v>
      </c>
      <c r="D451">
        <f t="shared" si="15"/>
        <v>2669.9858333333336</v>
      </c>
    </row>
    <row r="452" spans="1:4" x14ac:dyDescent="0.35">
      <c r="A452" t="s">
        <v>482</v>
      </c>
      <c r="B452">
        <f>Earnings!B452</f>
        <v>1249462.8</v>
      </c>
      <c r="C452">
        <f t="shared" si="14"/>
        <v>187338.84000000003</v>
      </c>
      <c r="D452">
        <f t="shared" si="15"/>
        <v>15611.570000000002</v>
      </c>
    </row>
    <row r="453" spans="1:4" x14ac:dyDescent="0.35">
      <c r="A453" t="s">
        <v>483</v>
      </c>
      <c r="B453">
        <f>Earnings!B453</f>
        <v>1524351</v>
      </c>
      <c r="C453">
        <f t="shared" si="14"/>
        <v>269805.3</v>
      </c>
      <c r="D453">
        <f t="shared" si="15"/>
        <v>22483.774999999998</v>
      </c>
    </row>
    <row r="454" spans="1:4" x14ac:dyDescent="0.35">
      <c r="A454" t="s">
        <v>484</v>
      </c>
      <c r="B454">
        <f>Earnings!B454</f>
        <v>977984.15</v>
      </c>
      <c r="C454">
        <f t="shared" si="14"/>
        <v>108096.83000000002</v>
      </c>
      <c r="D454">
        <f t="shared" si="15"/>
        <v>9008.069166666668</v>
      </c>
    </row>
    <row r="455" spans="1:4" x14ac:dyDescent="0.35">
      <c r="A455" t="s">
        <v>485</v>
      </c>
      <c r="B455">
        <f>Earnings!B455</f>
        <v>615320.69999999995</v>
      </c>
      <c r="C455">
        <f t="shared" si="14"/>
        <v>35564.139999999992</v>
      </c>
      <c r="D455">
        <f t="shared" si="15"/>
        <v>2963.6783333333328</v>
      </c>
    </row>
    <row r="456" spans="1:4" x14ac:dyDescent="0.35">
      <c r="A456" t="s">
        <v>486</v>
      </c>
      <c r="B456">
        <f>Earnings!B456</f>
        <v>509597.1</v>
      </c>
      <c r="C456">
        <f t="shared" si="14"/>
        <v>14419.419999999995</v>
      </c>
      <c r="D456">
        <f t="shared" si="15"/>
        <v>1201.6183333333329</v>
      </c>
    </row>
    <row r="457" spans="1:4" x14ac:dyDescent="0.35">
      <c r="A457" t="s">
        <v>487</v>
      </c>
      <c r="B457">
        <f>Earnings!B457</f>
        <v>668114</v>
      </c>
      <c r="C457">
        <f t="shared" si="14"/>
        <v>46122.8</v>
      </c>
      <c r="D457">
        <f t="shared" si="15"/>
        <v>3843.5666666666671</v>
      </c>
    </row>
    <row r="458" spans="1:4" x14ac:dyDescent="0.35">
      <c r="A458" t="s">
        <v>488</v>
      </c>
      <c r="B458">
        <f>Earnings!B458</f>
        <v>1052410.3799999999</v>
      </c>
      <c r="C458">
        <f t="shared" si="14"/>
        <v>128223.11399999997</v>
      </c>
      <c r="D458">
        <f t="shared" si="15"/>
        <v>10685.259499999998</v>
      </c>
    </row>
    <row r="459" spans="1:4" x14ac:dyDescent="0.35">
      <c r="A459" t="s">
        <v>489</v>
      </c>
      <c r="B459">
        <f>Earnings!B459</f>
        <v>637943.6</v>
      </c>
      <c r="C459">
        <f t="shared" si="14"/>
        <v>40088.720000000001</v>
      </c>
      <c r="D459">
        <f t="shared" si="15"/>
        <v>3340.7266666666669</v>
      </c>
    </row>
    <row r="460" spans="1:4" x14ac:dyDescent="0.35">
      <c r="A460" t="s">
        <v>490</v>
      </c>
      <c r="B460">
        <f>Earnings!B460</f>
        <v>614133</v>
      </c>
      <c r="C460">
        <f t="shared" si="14"/>
        <v>35326.600000000006</v>
      </c>
      <c r="D460">
        <f t="shared" si="15"/>
        <v>2943.8833333333337</v>
      </c>
    </row>
    <row r="461" spans="1:4" x14ac:dyDescent="0.35">
      <c r="A461" t="s">
        <v>491</v>
      </c>
      <c r="B461">
        <f>Earnings!B461</f>
        <v>1423071.78</v>
      </c>
      <c r="C461">
        <f t="shared" si="14"/>
        <v>239421.53399999999</v>
      </c>
      <c r="D461">
        <f t="shared" si="15"/>
        <v>19951.7945</v>
      </c>
    </row>
    <row r="462" spans="1:4" x14ac:dyDescent="0.35">
      <c r="A462" t="s">
        <v>492</v>
      </c>
      <c r="B462">
        <f>Earnings!B462</f>
        <v>695230.9</v>
      </c>
      <c r="C462">
        <f t="shared" si="14"/>
        <v>51546.180000000008</v>
      </c>
      <c r="D462">
        <f t="shared" si="15"/>
        <v>4295.5150000000003</v>
      </c>
    </row>
    <row r="463" spans="1:4" x14ac:dyDescent="0.35">
      <c r="A463" t="s">
        <v>493</v>
      </c>
      <c r="B463">
        <f>Earnings!B463</f>
        <v>1186423.08</v>
      </c>
      <c r="C463">
        <f t="shared" si="14"/>
        <v>168426.92400000003</v>
      </c>
      <c r="D463">
        <f t="shared" si="15"/>
        <v>14035.577000000003</v>
      </c>
    </row>
    <row r="464" spans="1:4" x14ac:dyDescent="0.35">
      <c r="A464" t="s">
        <v>494</v>
      </c>
      <c r="B464">
        <f>Earnings!B464</f>
        <v>1582264.14</v>
      </c>
      <c r="C464">
        <f t="shared" si="14"/>
        <v>287179.24199999997</v>
      </c>
      <c r="D464">
        <f t="shared" si="15"/>
        <v>23931.603499999997</v>
      </c>
    </row>
    <row r="465" spans="1:4" x14ac:dyDescent="0.35">
      <c r="A465" t="s">
        <v>495</v>
      </c>
      <c r="B465">
        <f>Earnings!B465</f>
        <v>1524093.26</v>
      </c>
      <c r="C465">
        <f t="shared" si="14"/>
        <v>269727.978</v>
      </c>
      <c r="D465">
        <f t="shared" si="15"/>
        <v>22477.3315</v>
      </c>
    </row>
    <row r="466" spans="1:4" x14ac:dyDescent="0.35">
      <c r="A466" t="s">
        <v>496</v>
      </c>
      <c r="B466">
        <f>Earnings!B466</f>
        <v>951630</v>
      </c>
      <c r="C466">
        <f t="shared" si="14"/>
        <v>102826</v>
      </c>
      <c r="D466">
        <f t="shared" si="15"/>
        <v>8568.8333333333339</v>
      </c>
    </row>
    <row r="467" spans="1:4" x14ac:dyDescent="0.35">
      <c r="A467" t="s">
        <v>497</v>
      </c>
      <c r="B467">
        <f>Earnings!B467</f>
        <v>1098124.95</v>
      </c>
      <c r="C467">
        <f t="shared" si="14"/>
        <v>141937.48499999999</v>
      </c>
      <c r="D467">
        <f t="shared" si="15"/>
        <v>11828.123749999999</v>
      </c>
    </row>
    <row r="468" spans="1:4" x14ac:dyDescent="0.35">
      <c r="A468" t="s">
        <v>498</v>
      </c>
      <c r="B468">
        <f>Earnings!B468</f>
        <v>1536968.04</v>
      </c>
      <c r="C468">
        <f t="shared" si="14"/>
        <v>273590.41200000001</v>
      </c>
      <c r="D468">
        <f t="shared" si="15"/>
        <v>22799.201000000001</v>
      </c>
    </row>
    <row r="469" spans="1:4" x14ac:dyDescent="0.35">
      <c r="A469" t="s">
        <v>499</v>
      </c>
      <c r="B469">
        <f>Earnings!B469</f>
        <v>1878457.5</v>
      </c>
      <c r="C469">
        <f t="shared" si="14"/>
        <v>376037.25</v>
      </c>
      <c r="D469">
        <f t="shared" si="15"/>
        <v>31336.4375</v>
      </c>
    </row>
    <row r="470" spans="1:4" x14ac:dyDescent="0.35">
      <c r="A470" t="s">
        <v>500</v>
      </c>
      <c r="B470">
        <f>Earnings!B470</f>
        <v>927810.66</v>
      </c>
      <c r="C470">
        <f t="shared" si="14"/>
        <v>98062.132000000012</v>
      </c>
      <c r="D470">
        <f t="shared" si="15"/>
        <v>8171.8443333333344</v>
      </c>
    </row>
    <row r="471" spans="1:4" x14ac:dyDescent="0.35">
      <c r="A471" t="s">
        <v>501</v>
      </c>
      <c r="B471">
        <f>Earnings!B471</f>
        <v>1285749.95</v>
      </c>
      <c r="C471">
        <f t="shared" si="14"/>
        <v>198224.98499999999</v>
      </c>
      <c r="D471">
        <f t="shared" si="15"/>
        <v>16518.748749999999</v>
      </c>
    </row>
    <row r="472" spans="1:4" x14ac:dyDescent="0.35">
      <c r="A472" t="s">
        <v>502</v>
      </c>
      <c r="B472">
        <f>Earnings!B472</f>
        <v>388297.3</v>
      </c>
      <c r="C472">
        <f t="shared" si="14"/>
        <v>6914.8649999999998</v>
      </c>
      <c r="D472">
        <f t="shared" si="15"/>
        <v>576.23874999999998</v>
      </c>
    </row>
    <row r="473" spans="1:4" x14ac:dyDescent="0.35">
      <c r="A473" t="s">
        <v>503</v>
      </c>
      <c r="B473">
        <f>Earnings!B473</f>
        <v>1209436.1000000001</v>
      </c>
      <c r="C473">
        <f t="shared" si="14"/>
        <v>175330.83000000002</v>
      </c>
      <c r="D473">
        <f t="shared" si="15"/>
        <v>14610.902500000002</v>
      </c>
    </row>
    <row r="474" spans="1:4" x14ac:dyDescent="0.35">
      <c r="A474" t="s">
        <v>504</v>
      </c>
      <c r="B474">
        <f>Earnings!B474</f>
        <v>1294175</v>
      </c>
      <c r="C474">
        <f t="shared" si="14"/>
        <v>200752.5</v>
      </c>
      <c r="D474">
        <f t="shared" si="15"/>
        <v>16729.375</v>
      </c>
    </row>
    <row r="475" spans="1:4" x14ac:dyDescent="0.35">
      <c r="A475" t="s">
        <v>505</v>
      </c>
      <c r="B475">
        <f>Earnings!B475</f>
        <v>903616</v>
      </c>
      <c r="C475">
        <f t="shared" si="14"/>
        <v>93223.200000000012</v>
      </c>
      <c r="D475">
        <f t="shared" si="15"/>
        <v>7768.6000000000013</v>
      </c>
    </row>
    <row r="476" spans="1:4" x14ac:dyDescent="0.35">
      <c r="A476" t="s">
        <v>506</v>
      </c>
      <c r="B476">
        <f>Earnings!B476</f>
        <v>1652411.95</v>
      </c>
      <c r="C476">
        <f t="shared" si="14"/>
        <v>308223.58499999996</v>
      </c>
      <c r="D476">
        <f t="shared" si="15"/>
        <v>25685.298749999998</v>
      </c>
    </row>
    <row r="477" spans="1:4" x14ac:dyDescent="0.35">
      <c r="A477" t="s">
        <v>507</v>
      </c>
      <c r="B477">
        <f>Earnings!B477</f>
        <v>1332861.6000000001</v>
      </c>
      <c r="C477">
        <f t="shared" si="14"/>
        <v>212358.48000000004</v>
      </c>
      <c r="D477">
        <f t="shared" si="15"/>
        <v>17696.540000000005</v>
      </c>
    </row>
    <row r="478" spans="1:4" x14ac:dyDescent="0.35">
      <c r="A478" t="s">
        <v>508</v>
      </c>
      <c r="B478">
        <f>Earnings!B478</f>
        <v>803234.88</v>
      </c>
      <c r="C478">
        <f t="shared" si="14"/>
        <v>73146.975999999995</v>
      </c>
      <c r="D478">
        <f t="shared" si="15"/>
        <v>6095.5813333333326</v>
      </c>
    </row>
    <row r="479" spans="1:4" x14ac:dyDescent="0.35">
      <c r="A479" t="s">
        <v>509</v>
      </c>
      <c r="B479">
        <f>Earnings!B479</f>
        <v>1692490.93</v>
      </c>
      <c r="C479">
        <f t="shared" si="14"/>
        <v>320247.27899999998</v>
      </c>
      <c r="D479">
        <f t="shared" si="15"/>
        <v>26687.273249999998</v>
      </c>
    </row>
    <row r="480" spans="1:4" x14ac:dyDescent="0.35">
      <c r="A480" t="s">
        <v>510</v>
      </c>
      <c r="B480">
        <f>Earnings!B480</f>
        <v>1397096.12</v>
      </c>
      <c r="C480">
        <f t="shared" si="14"/>
        <v>231628.83600000001</v>
      </c>
      <c r="D480">
        <f t="shared" si="15"/>
        <v>19302.403000000002</v>
      </c>
    </row>
    <row r="481" spans="1:4" x14ac:dyDescent="0.35">
      <c r="A481" t="s">
        <v>511</v>
      </c>
      <c r="B481">
        <f>Earnings!B481</f>
        <v>1609294.8</v>
      </c>
      <c r="C481">
        <f t="shared" si="14"/>
        <v>295288.44</v>
      </c>
      <c r="D481">
        <f t="shared" si="15"/>
        <v>24607.37</v>
      </c>
    </row>
    <row r="482" spans="1:4" x14ac:dyDescent="0.35">
      <c r="A482" t="s">
        <v>512</v>
      </c>
      <c r="B482">
        <f>Earnings!B482</f>
        <v>645641.28</v>
      </c>
      <c r="C482">
        <f t="shared" si="14"/>
        <v>41628.256000000008</v>
      </c>
      <c r="D482">
        <f t="shared" si="15"/>
        <v>3469.021333333334</v>
      </c>
    </row>
    <row r="483" spans="1:4" x14ac:dyDescent="0.35">
      <c r="A483" t="s">
        <v>513</v>
      </c>
      <c r="B483">
        <f>Earnings!B483</f>
        <v>1504634.4</v>
      </c>
      <c r="C483">
        <f t="shared" si="14"/>
        <v>263890.31999999995</v>
      </c>
      <c r="D483">
        <f t="shared" si="15"/>
        <v>21990.859999999997</v>
      </c>
    </row>
    <row r="484" spans="1:4" x14ac:dyDescent="0.35">
      <c r="A484" t="s">
        <v>514</v>
      </c>
      <c r="B484">
        <f>Earnings!B484</f>
        <v>1421196.96</v>
      </c>
      <c r="C484">
        <f t="shared" si="14"/>
        <v>238859.08799999999</v>
      </c>
      <c r="D484">
        <f t="shared" si="15"/>
        <v>19904.923999999999</v>
      </c>
    </row>
    <row r="485" spans="1:4" x14ac:dyDescent="0.35">
      <c r="A485" t="s">
        <v>515</v>
      </c>
      <c r="B485">
        <f>Earnings!B485</f>
        <v>639348.47999999998</v>
      </c>
      <c r="C485">
        <f t="shared" si="14"/>
        <v>40369.695999999996</v>
      </c>
      <c r="D485">
        <f t="shared" si="15"/>
        <v>3364.141333333333</v>
      </c>
    </row>
    <row r="486" spans="1:4" x14ac:dyDescent="0.35">
      <c r="A486" t="s">
        <v>516</v>
      </c>
      <c r="B486">
        <f>Earnings!B486</f>
        <v>1858433.2</v>
      </c>
      <c r="C486">
        <f t="shared" si="14"/>
        <v>370029.95999999996</v>
      </c>
      <c r="D486">
        <f t="shared" si="15"/>
        <v>30835.829999999998</v>
      </c>
    </row>
    <row r="487" spans="1:4" x14ac:dyDescent="0.35">
      <c r="A487" t="s">
        <v>517</v>
      </c>
      <c r="B487">
        <f>Earnings!B487</f>
        <v>1974835.87</v>
      </c>
      <c r="C487">
        <f t="shared" si="14"/>
        <v>404950.761</v>
      </c>
      <c r="D487">
        <f t="shared" si="15"/>
        <v>33745.89675</v>
      </c>
    </row>
    <row r="488" spans="1:4" x14ac:dyDescent="0.35">
      <c r="A488" t="s">
        <v>518</v>
      </c>
      <c r="B488">
        <f>Earnings!B488</f>
        <v>489092.8</v>
      </c>
      <c r="C488">
        <f t="shared" si="14"/>
        <v>11954.64</v>
      </c>
      <c r="D488">
        <f t="shared" si="15"/>
        <v>996.21999999999991</v>
      </c>
    </row>
    <row r="489" spans="1:4" x14ac:dyDescent="0.35">
      <c r="A489" t="s">
        <v>519</v>
      </c>
      <c r="B489">
        <f>Earnings!B489</f>
        <v>1375967.08</v>
      </c>
      <c r="C489">
        <f t="shared" si="14"/>
        <v>225290.12400000001</v>
      </c>
      <c r="D489">
        <f t="shared" si="15"/>
        <v>18774.177</v>
      </c>
    </row>
    <row r="490" spans="1:4" x14ac:dyDescent="0.35">
      <c r="A490" t="s">
        <v>520</v>
      </c>
      <c r="B490">
        <f>Earnings!B490</f>
        <v>978123.13</v>
      </c>
      <c r="C490">
        <f t="shared" si="14"/>
        <v>108124.626</v>
      </c>
      <c r="D490">
        <f t="shared" si="15"/>
        <v>9010.3855000000003</v>
      </c>
    </row>
    <row r="491" spans="1:4" x14ac:dyDescent="0.35">
      <c r="A491" t="s">
        <v>521</v>
      </c>
      <c r="B491">
        <f>Earnings!B491</f>
        <v>1220217.6000000001</v>
      </c>
      <c r="C491">
        <f t="shared" si="14"/>
        <v>178565.28000000003</v>
      </c>
      <c r="D491">
        <f t="shared" si="15"/>
        <v>14880.440000000002</v>
      </c>
    </row>
    <row r="492" spans="1:4" x14ac:dyDescent="0.35">
      <c r="A492" t="s">
        <v>522</v>
      </c>
      <c r="B492">
        <f>Earnings!B492</f>
        <v>1825061.44</v>
      </c>
      <c r="C492">
        <f t="shared" si="14"/>
        <v>360018.43199999997</v>
      </c>
      <c r="D492">
        <f t="shared" si="15"/>
        <v>30001.535999999996</v>
      </c>
    </row>
    <row r="493" spans="1:4" x14ac:dyDescent="0.35">
      <c r="A493" t="s">
        <v>523</v>
      </c>
      <c r="B493">
        <f>Earnings!B493</f>
        <v>887109</v>
      </c>
      <c r="C493">
        <f t="shared" si="14"/>
        <v>89921.8</v>
      </c>
      <c r="D493">
        <f t="shared" si="15"/>
        <v>7493.4833333333336</v>
      </c>
    </row>
    <row r="494" spans="1:4" x14ac:dyDescent="0.35">
      <c r="A494" t="s">
        <v>524</v>
      </c>
      <c r="B494">
        <f>Earnings!B494</f>
        <v>1224516.18</v>
      </c>
      <c r="C494">
        <f t="shared" si="14"/>
        <v>179854.85399999999</v>
      </c>
      <c r="D494">
        <f t="shared" si="15"/>
        <v>14987.904499999999</v>
      </c>
    </row>
    <row r="495" spans="1:4" x14ac:dyDescent="0.35">
      <c r="A495" t="s">
        <v>525</v>
      </c>
      <c r="B495">
        <f>Earnings!B495</f>
        <v>1041362.2</v>
      </c>
      <c r="C495">
        <f t="shared" si="14"/>
        <v>124908.65999999999</v>
      </c>
      <c r="D495">
        <f t="shared" si="15"/>
        <v>10409.054999999998</v>
      </c>
    </row>
    <row r="496" spans="1:4" x14ac:dyDescent="0.35">
      <c r="A496" t="s">
        <v>526</v>
      </c>
      <c r="B496">
        <f>Earnings!B496</f>
        <v>1011147.13</v>
      </c>
      <c r="C496">
        <f t="shared" si="14"/>
        <v>115844.139</v>
      </c>
      <c r="D496">
        <f t="shared" si="15"/>
        <v>9653.678249999999</v>
      </c>
    </row>
    <row r="497" spans="1:4" x14ac:dyDescent="0.35">
      <c r="A497" t="s">
        <v>527</v>
      </c>
      <c r="B497">
        <f>Earnings!B497</f>
        <v>1486982.18</v>
      </c>
      <c r="C497">
        <f t="shared" si="14"/>
        <v>258594.65399999998</v>
      </c>
      <c r="D497">
        <f t="shared" si="15"/>
        <v>21549.554499999998</v>
      </c>
    </row>
    <row r="498" spans="1:4" x14ac:dyDescent="0.35">
      <c r="A498" t="s">
        <v>528</v>
      </c>
      <c r="B498">
        <f>Earnings!B498</f>
        <v>932745</v>
      </c>
      <c r="C498">
        <f t="shared" si="14"/>
        <v>99049</v>
      </c>
      <c r="D498">
        <f t="shared" si="15"/>
        <v>8254.0833333333339</v>
      </c>
    </row>
    <row r="499" spans="1:4" x14ac:dyDescent="0.35">
      <c r="A499" t="s">
        <v>529</v>
      </c>
      <c r="B499">
        <f>Earnings!B499</f>
        <v>1329675.48</v>
      </c>
      <c r="C499">
        <f t="shared" si="14"/>
        <v>211402.64399999997</v>
      </c>
      <c r="D499">
        <f t="shared" si="15"/>
        <v>17616.886999999999</v>
      </c>
    </row>
    <row r="500" spans="1:4" x14ac:dyDescent="0.35">
      <c r="A500" t="s">
        <v>530</v>
      </c>
      <c r="B500">
        <f>Earnings!B500</f>
        <v>969732</v>
      </c>
      <c r="C500">
        <f t="shared" si="14"/>
        <v>106446.40000000001</v>
      </c>
      <c r="D500">
        <f t="shared" si="15"/>
        <v>8870.5333333333347</v>
      </c>
    </row>
    <row r="501" spans="1:4" x14ac:dyDescent="0.35">
      <c r="A501" t="s">
        <v>531</v>
      </c>
      <c r="B501">
        <f>Earnings!B501</f>
        <v>1456361.2</v>
      </c>
      <c r="C501">
        <f t="shared" si="14"/>
        <v>249408.36</v>
      </c>
      <c r="D501">
        <f t="shared" si="15"/>
        <v>20784.03</v>
      </c>
    </row>
    <row r="502" spans="1:4" x14ac:dyDescent="0.35">
      <c r="A502" t="s">
        <v>532</v>
      </c>
      <c r="B502">
        <f>Earnings!B502</f>
        <v>843205.37</v>
      </c>
      <c r="C502">
        <f t="shared" si="14"/>
        <v>81141.074000000008</v>
      </c>
      <c r="D502">
        <f t="shared" si="15"/>
        <v>6761.756166666667</v>
      </c>
    </row>
    <row r="503" spans="1:4" x14ac:dyDescent="0.35">
      <c r="A503" t="s">
        <v>533</v>
      </c>
      <c r="B503">
        <f>Earnings!B503</f>
        <v>562373.21</v>
      </c>
      <c r="C503">
        <f t="shared" si="14"/>
        <v>24974.641999999993</v>
      </c>
      <c r="D503">
        <f t="shared" si="15"/>
        <v>2081.220166666666</v>
      </c>
    </row>
    <row r="504" spans="1:4" x14ac:dyDescent="0.35">
      <c r="A504" t="s">
        <v>534</v>
      </c>
      <c r="B504">
        <f>Earnings!B504</f>
        <v>715766.8</v>
      </c>
      <c r="C504">
        <f t="shared" si="14"/>
        <v>55653.360000000015</v>
      </c>
      <c r="D504">
        <f t="shared" si="15"/>
        <v>4637.7800000000016</v>
      </c>
    </row>
    <row r="505" spans="1:4" x14ac:dyDescent="0.35">
      <c r="A505" t="s">
        <v>535</v>
      </c>
      <c r="B505">
        <f>Earnings!B505</f>
        <v>1438506.34</v>
      </c>
      <c r="C505">
        <f t="shared" si="14"/>
        <v>244051.90200000003</v>
      </c>
      <c r="D505">
        <f t="shared" si="15"/>
        <v>20337.658500000001</v>
      </c>
    </row>
    <row r="506" spans="1:4" x14ac:dyDescent="0.35">
      <c r="A506" t="s">
        <v>536</v>
      </c>
      <c r="B506">
        <f>Earnings!B506</f>
        <v>1630498.9</v>
      </c>
      <c r="C506">
        <f t="shared" si="14"/>
        <v>301649.66999999993</v>
      </c>
      <c r="D506">
        <f t="shared" si="15"/>
        <v>25137.472499999993</v>
      </c>
    </row>
    <row r="507" spans="1:4" x14ac:dyDescent="0.35">
      <c r="A507" t="s">
        <v>537</v>
      </c>
      <c r="B507">
        <f>Earnings!B507</f>
        <v>993857.7</v>
      </c>
      <c r="C507">
        <f t="shared" si="14"/>
        <v>111271.54</v>
      </c>
      <c r="D507">
        <f t="shared" si="15"/>
        <v>9272.6283333333322</v>
      </c>
    </row>
    <row r="508" spans="1:4" x14ac:dyDescent="0.35">
      <c r="A508" t="s">
        <v>538</v>
      </c>
      <c r="B508">
        <f>Earnings!B508</f>
        <v>1471781.8</v>
      </c>
      <c r="C508">
        <f t="shared" si="14"/>
        <v>254034.54</v>
      </c>
      <c r="D508">
        <f t="shared" si="15"/>
        <v>21169.545000000002</v>
      </c>
    </row>
    <row r="509" spans="1:4" x14ac:dyDescent="0.35">
      <c r="A509" t="s">
        <v>539</v>
      </c>
      <c r="B509">
        <f>Earnings!B509</f>
        <v>1031083.45</v>
      </c>
      <c r="C509">
        <f t="shared" si="14"/>
        <v>121825.03499999999</v>
      </c>
      <c r="D509">
        <f t="shared" si="15"/>
        <v>10152.086249999998</v>
      </c>
    </row>
    <row r="510" spans="1:4" x14ac:dyDescent="0.35">
      <c r="A510" t="s">
        <v>540</v>
      </c>
      <c r="B510">
        <f>Earnings!B510</f>
        <v>689578.8</v>
      </c>
      <c r="C510">
        <f t="shared" si="14"/>
        <v>50415.760000000009</v>
      </c>
      <c r="D510">
        <f t="shared" si="15"/>
        <v>4201.3133333333344</v>
      </c>
    </row>
    <row r="511" spans="1:4" x14ac:dyDescent="0.35">
      <c r="A511" t="s">
        <v>541</v>
      </c>
      <c r="B511">
        <f>Earnings!B511</f>
        <v>526858</v>
      </c>
      <c r="C511">
        <f t="shared" si="14"/>
        <v>17871.599999999999</v>
      </c>
      <c r="D511">
        <f t="shared" si="15"/>
        <v>1489.3</v>
      </c>
    </row>
    <row r="512" spans="1:4" x14ac:dyDescent="0.35">
      <c r="A512" t="s">
        <v>542</v>
      </c>
      <c r="B512">
        <f>Earnings!B512</f>
        <v>1308917.1200000001</v>
      </c>
      <c r="C512">
        <f t="shared" si="14"/>
        <v>205175.13600000003</v>
      </c>
      <c r="D512">
        <f t="shared" si="15"/>
        <v>17097.928000000004</v>
      </c>
    </row>
    <row r="513" spans="1:4" x14ac:dyDescent="0.35">
      <c r="A513" t="s">
        <v>543</v>
      </c>
      <c r="B513">
        <f>Earnings!B513</f>
        <v>987467.1</v>
      </c>
      <c r="C513">
        <f t="shared" si="14"/>
        <v>109993.42</v>
      </c>
      <c r="D513">
        <f t="shared" si="15"/>
        <v>9166.1183333333338</v>
      </c>
    </row>
    <row r="514" spans="1:4" x14ac:dyDescent="0.35">
      <c r="A514" t="s">
        <v>544</v>
      </c>
      <c r="B514">
        <f>Earnings!B514</f>
        <v>1566275.45</v>
      </c>
      <c r="C514">
        <f t="shared" ref="C514:C577" si="16">IF(B514&lt;=250000,0,IF(B514&lt;=500000,(B514-250000)*0.05,IF(B514&lt;=1000000,12500+(B514-500000)*0.2,112500+(B514-1000000)*0.3)))</f>
        <v>282382.63500000001</v>
      </c>
      <c r="D514">
        <f t="shared" ref="D514:D577" si="17">C514/12</f>
        <v>23531.88625</v>
      </c>
    </row>
    <row r="515" spans="1:4" x14ac:dyDescent="0.35">
      <c r="A515" t="s">
        <v>545</v>
      </c>
      <c r="B515">
        <f>Earnings!B515</f>
        <v>1379103.41</v>
      </c>
      <c r="C515">
        <f t="shared" si="16"/>
        <v>226231.02299999999</v>
      </c>
      <c r="D515">
        <f t="shared" si="17"/>
        <v>18852.58525</v>
      </c>
    </row>
    <row r="516" spans="1:4" x14ac:dyDescent="0.35">
      <c r="A516" t="s">
        <v>546</v>
      </c>
      <c r="B516">
        <f>Earnings!B516</f>
        <v>1027705</v>
      </c>
      <c r="C516">
        <f t="shared" si="16"/>
        <v>120811.5</v>
      </c>
      <c r="D516">
        <f t="shared" si="17"/>
        <v>10067.625</v>
      </c>
    </row>
    <row r="517" spans="1:4" x14ac:dyDescent="0.35">
      <c r="A517" t="s">
        <v>547</v>
      </c>
      <c r="B517">
        <f>Earnings!B517</f>
        <v>1228149.93</v>
      </c>
      <c r="C517">
        <f t="shared" si="16"/>
        <v>180944.97899999999</v>
      </c>
      <c r="D517">
        <f t="shared" si="17"/>
        <v>15078.748249999999</v>
      </c>
    </row>
    <row r="518" spans="1:4" x14ac:dyDescent="0.35">
      <c r="A518" t="s">
        <v>548</v>
      </c>
      <c r="B518">
        <f>Earnings!B518</f>
        <v>2467019.6</v>
      </c>
      <c r="C518">
        <f t="shared" si="16"/>
        <v>552605.88</v>
      </c>
      <c r="D518">
        <f t="shared" si="17"/>
        <v>46050.49</v>
      </c>
    </row>
    <row r="519" spans="1:4" x14ac:dyDescent="0.35">
      <c r="A519" t="s">
        <v>549</v>
      </c>
      <c r="B519">
        <f>Earnings!B519</f>
        <v>2105543.5</v>
      </c>
      <c r="C519">
        <f t="shared" si="16"/>
        <v>444163.05</v>
      </c>
      <c r="D519">
        <f t="shared" si="17"/>
        <v>37013.587500000001</v>
      </c>
    </row>
    <row r="520" spans="1:4" x14ac:dyDescent="0.35">
      <c r="A520" t="s">
        <v>550</v>
      </c>
      <c r="B520">
        <f>Earnings!B520</f>
        <v>825272.6</v>
      </c>
      <c r="C520">
        <f t="shared" si="16"/>
        <v>77554.51999999999</v>
      </c>
      <c r="D520">
        <f t="shared" si="17"/>
        <v>6462.8766666666661</v>
      </c>
    </row>
    <row r="521" spans="1:4" x14ac:dyDescent="0.35">
      <c r="A521" t="s">
        <v>551</v>
      </c>
      <c r="B521">
        <f>Earnings!B521</f>
        <v>1301317.98</v>
      </c>
      <c r="C521">
        <f t="shared" si="16"/>
        <v>202895.39399999997</v>
      </c>
      <c r="D521">
        <f t="shared" si="17"/>
        <v>16907.949499999999</v>
      </c>
    </row>
    <row r="522" spans="1:4" x14ac:dyDescent="0.35">
      <c r="A522" t="s">
        <v>552</v>
      </c>
      <c r="B522">
        <f>Earnings!B522</f>
        <v>886440.25</v>
      </c>
      <c r="C522">
        <f t="shared" si="16"/>
        <v>89788.05</v>
      </c>
      <c r="D522">
        <f t="shared" si="17"/>
        <v>7482.3375000000005</v>
      </c>
    </row>
    <row r="523" spans="1:4" x14ac:dyDescent="0.35">
      <c r="A523" t="s">
        <v>553</v>
      </c>
      <c r="B523">
        <f>Earnings!B523</f>
        <v>624289</v>
      </c>
      <c r="C523">
        <f t="shared" si="16"/>
        <v>37357.800000000003</v>
      </c>
      <c r="D523">
        <f t="shared" si="17"/>
        <v>3113.15</v>
      </c>
    </row>
    <row r="524" spans="1:4" x14ac:dyDescent="0.35">
      <c r="A524" t="s">
        <v>554</v>
      </c>
      <c r="B524">
        <f>Earnings!B524</f>
        <v>1164838.8</v>
      </c>
      <c r="C524">
        <f t="shared" si="16"/>
        <v>161951.64000000001</v>
      </c>
      <c r="D524">
        <f t="shared" si="17"/>
        <v>13495.970000000001</v>
      </c>
    </row>
    <row r="525" spans="1:4" x14ac:dyDescent="0.35">
      <c r="A525" t="s">
        <v>555</v>
      </c>
      <c r="B525">
        <f>Earnings!B525</f>
        <v>1162171</v>
      </c>
      <c r="C525">
        <f t="shared" si="16"/>
        <v>161151.29999999999</v>
      </c>
      <c r="D525">
        <f t="shared" si="17"/>
        <v>13429.275</v>
      </c>
    </row>
    <row r="526" spans="1:4" x14ac:dyDescent="0.35">
      <c r="A526" t="s">
        <v>556</v>
      </c>
      <c r="B526">
        <f>Earnings!B526</f>
        <v>1283288.69</v>
      </c>
      <c r="C526">
        <f t="shared" si="16"/>
        <v>197486.60699999996</v>
      </c>
      <c r="D526">
        <f t="shared" si="17"/>
        <v>16457.217249999998</v>
      </c>
    </row>
    <row r="527" spans="1:4" x14ac:dyDescent="0.35">
      <c r="A527" t="s">
        <v>557</v>
      </c>
      <c r="B527">
        <f>Earnings!B527</f>
        <v>364757.25</v>
      </c>
      <c r="C527">
        <f t="shared" si="16"/>
        <v>5737.8625000000002</v>
      </c>
      <c r="D527">
        <f t="shared" si="17"/>
        <v>478.15520833333335</v>
      </c>
    </row>
    <row r="528" spans="1:4" x14ac:dyDescent="0.35">
      <c r="A528" t="s">
        <v>558</v>
      </c>
      <c r="B528">
        <f>Earnings!B528</f>
        <v>646165.30000000005</v>
      </c>
      <c r="C528">
        <f t="shared" si="16"/>
        <v>41733.060000000012</v>
      </c>
      <c r="D528">
        <f t="shared" si="17"/>
        <v>3477.755000000001</v>
      </c>
    </row>
    <row r="529" spans="1:4" x14ac:dyDescent="0.35">
      <c r="A529" t="s">
        <v>559</v>
      </c>
      <c r="B529">
        <f>Earnings!B529</f>
        <v>1170799</v>
      </c>
      <c r="C529">
        <f t="shared" si="16"/>
        <v>163739.70000000001</v>
      </c>
      <c r="D529">
        <f t="shared" si="17"/>
        <v>13644.975</v>
      </c>
    </row>
    <row r="530" spans="1:4" x14ac:dyDescent="0.35">
      <c r="A530" t="s">
        <v>560</v>
      </c>
      <c r="B530">
        <f>Earnings!B530</f>
        <v>797600.4</v>
      </c>
      <c r="C530">
        <f t="shared" si="16"/>
        <v>72020.080000000016</v>
      </c>
      <c r="D530">
        <f t="shared" si="17"/>
        <v>6001.673333333335</v>
      </c>
    </row>
    <row r="531" spans="1:4" x14ac:dyDescent="0.35">
      <c r="A531" t="s">
        <v>561</v>
      </c>
      <c r="B531">
        <f>Earnings!B531</f>
        <v>1459344.6</v>
      </c>
      <c r="C531">
        <f t="shared" si="16"/>
        <v>250303.38000000003</v>
      </c>
      <c r="D531">
        <f t="shared" si="17"/>
        <v>20858.615000000002</v>
      </c>
    </row>
    <row r="532" spans="1:4" x14ac:dyDescent="0.35">
      <c r="A532" t="s">
        <v>562</v>
      </c>
      <c r="B532">
        <f>Earnings!B532</f>
        <v>829512.45</v>
      </c>
      <c r="C532">
        <f t="shared" si="16"/>
        <v>78402.489999999991</v>
      </c>
      <c r="D532">
        <f t="shared" si="17"/>
        <v>6533.5408333333326</v>
      </c>
    </row>
    <row r="533" spans="1:4" x14ac:dyDescent="0.35">
      <c r="A533" t="s">
        <v>563</v>
      </c>
      <c r="B533">
        <f>Earnings!B533</f>
        <v>677561</v>
      </c>
      <c r="C533">
        <f t="shared" si="16"/>
        <v>48012.200000000004</v>
      </c>
      <c r="D533">
        <f t="shared" si="17"/>
        <v>4001.0166666666669</v>
      </c>
    </row>
    <row r="534" spans="1:4" x14ac:dyDescent="0.35">
      <c r="A534" t="s">
        <v>564</v>
      </c>
      <c r="B534">
        <f>Earnings!B534</f>
        <v>835841</v>
      </c>
      <c r="C534">
        <f t="shared" si="16"/>
        <v>79668.2</v>
      </c>
      <c r="D534">
        <f t="shared" si="17"/>
        <v>6639.0166666666664</v>
      </c>
    </row>
    <row r="535" spans="1:4" x14ac:dyDescent="0.35">
      <c r="A535" t="s">
        <v>565</v>
      </c>
      <c r="B535">
        <f>Earnings!B535</f>
        <v>1386454.51</v>
      </c>
      <c r="C535">
        <f t="shared" si="16"/>
        <v>228436.353</v>
      </c>
      <c r="D535">
        <f t="shared" si="17"/>
        <v>19036.36275</v>
      </c>
    </row>
    <row r="536" spans="1:4" x14ac:dyDescent="0.35">
      <c r="A536" t="s">
        <v>566</v>
      </c>
      <c r="B536">
        <f>Earnings!B536</f>
        <v>910217.04</v>
      </c>
      <c r="C536">
        <f t="shared" si="16"/>
        <v>94543.40800000001</v>
      </c>
      <c r="D536">
        <f t="shared" si="17"/>
        <v>7878.6173333333345</v>
      </c>
    </row>
    <row r="537" spans="1:4" x14ac:dyDescent="0.35">
      <c r="A537" t="s">
        <v>567</v>
      </c>
      <c r="B537">
        <f>Earnings!B537</f>
        <v>1421145.09</v>
      </c>
      <c r="C537">
        <f t="shared" si="16"/>
        <v>238843.527</v>
      </c>
      <c r="D537">
        <f t="shared" si="17"/>
        <v>19903.627250000001</v>
      </c>
    </row>
    <row r="538" spans="1:4" x14ac:dyDescent="0.35">
      <c r="A538" t="s">
        <v>568</v>
      </c>
      <c r="B538">
        <f>Earnings!B538</f>
        <v>1312646.3999999999</v>
      </c>
      <c r="C538">
        <f t="shared" si="16"/>
        <v>206293.91999999998</v>
      </c>
      <c r="D538">
        <f t="shared" si="17"/>
        <v>17191.16</v>
      </c>
    </row>
    <row r="539" spans="1:4" x14ac:dyDescent="0.35">
      <c r="A539" t="s">
        <v>569</v>
      </c>
      <c r="B539">
        <f>Earnings!B539</f>
        <v>1897223.8</v>
      </c>
      <c r="C539">
        <f t="shared" si="16"/>
        <v>381667.14</v>
      </c>
      <c r="D539">
        <f t="shared" si="17"/>
        <v>31805.595000000001</v>
      </c>
    </row>
    <row r="540" spans="1:4" x14ac:dyDescent="0.35">
      <c r="A540" t="s">
        <v>570</v>
      </c>
      <c r="B540">
        <f>Earnings!B540</f>
        <v>1776067.37</v>
      </c>
      <c r="C540">
        <f t="shared" si="16"/>
        <v>345320.21100000001</v>
      </c>
      <c r="D540">
        <f t="shared" si="17"/>
        <v>28776.684250000002</v>
      </c>
    </row>
    <row r="541" spans="1:4" x14ac:dyDescent="0.35">
      <c r="A541" t="s">
        <v>571</v>
      </c>
      <c r="B541">
        <f>Earnings!B541</f>
        <v>949420.5</v>
      </c>
      <c r="C541">
        <f t="shared" si="16"/>
        <v>102384.1</v>
      </c>
      <c r="D541">
        <f t="shared" si="17"/>
        <v>8532.0083333333332</v>
      </c>
    </row>
    <row r="542" spans="1:4" x14ac:dyDescent="0.35">
      <c r="A542" t="s">
        <v>572</v>
      </c>
      <c r="B542">
        <f>Earnings!B542</f>
        <v>746314.11</v>
      </c>
      <c r="C542">
        <f t="shared" si="16"/>
        <v>61762.822</v>
      </c>
      <c r="D542">
        <f t="shared" si="17"/>
        <v>5146.9018333333333</v>
      </c>
    </row>
    <row r="543" spans="1:4" x14ac:dyDescent="0.35">
      <c r="A543" t="s">
        <v>573</v>
      </c>
      <c r="B543">
        <f>Earnings!B543</f>
        <v>1395211.8</v>
      </c>
      <c r="C543">
        <f t="shared" si="16"/>
        <v>231063.54</v>
      </c>
      <c r="D543">
        <f t="shared" si="17"/>
        <v>19255.295000000002</v>
      </c>
    </row>
    <row r="544" spans="1:4" x14ac:dyDescent="0.35">
      <c r="A544" t="s">
        <v>574</v>
      </c>
      <c r="B544">
        <f>Earnings!B544</f>
        <v>1381603.43</v>
      </c>
      <c r="C544">
        <f t="shared" si="16"/>
        <v>226981.02899999998</v>
      </c>
      <c r="D544">
        <f t="shared" si="17"/>
        <v>18915.085749999998</v>
      </c>
    </row>
    <row r="545" spans="1:4" x14ac:dyDescent="0.35">
      <c r="A545" t="s">
        <v>575</v>
      </c>
      <c r="B545">
        <f>Earnings!B545</f>
        <v>1643336.79</v>
      </c>
      <c r="C545">
        <f t="shared" si="16"/>
        <v>305501.03700000001</v>
      </c>
      <c r="D545">
        <f t="shared" si="17"/>
        <v>25458.419750000001</v>
      </c>
    </row>
    <row r="546" spans="1:4" x14ac:dyDescent="0.35">
      <c r="A546" t="s">
        <v>576</v>
      </c>
      <c r="B546">
        <f>Earnings!B546</f>
        <v>1163687</v>
      </c>
      <c r="C546">
        <f t="shared" si="16"/>
        <v>161606.1</v>
      </c>
      <c r="D546">
        <f t="shared" si="17"/>
        <v>13467.175000000001</v>
      </c>
    </row>
    <row r="547" spans="1:4" x14ac:dyDescent="0.35">
      <c r="A547" t="s">
        <v>577</v>
      </c>
      <c r="B547">
        <f>Earnings!B547</f>
        <v>1238841</v>
      </c>
      <c r="C547">
        <f t="shared" si="16"/>
        <v>184152.3</v>
      </c>
      <c r="D547">
        <f t="shared" si="17"/>
        <v>15346.025</v>
      </c>
    </row>
    <row r="548" spans="1:4" x14ac:dyDescent="0.35">
      <c r="A548" t="s">
        <v>578</v>
      </c>
      <c r="B548">
        <f>Earnings!B548</f>
        <v>1142866</v>
      </c>
      <c r="C548">
        <f t="shared" si="16"/>
        <v>155359.79999999999</v>
      </c>
      <c r="D548">
        <f t="shared" si="17"/>
        <v>12946.65</v>
      </c>
    </row>
    <row r="549" spans="1:4" x14ac:dyDescent="0.35">
      <c r="A549" t="s">
        <v>579</v>
      </c>
      <c r="B549">
        <f>Earnings!B549</f>
        <v>1512032.7</v>
      </c>
      <c r="C549">
        <f t="shared" si="16"/>
        <v>266109.80999999994</v>
      </c>
      <c r="D549">
        <f t="shared" si="17"/>
        <v>22175.817499999994</v>
      </c>
    </row>
    <row r="550" spans="1:4" x14ac:dyDescent="0.35">
      <c r="A550" t="s">
        <v>580</v>
      </c>
      <c r="B550">
        <f>Earnings!B550</f>
        <v>916973.4</v>
      </c>
      <c r="C550">
        <f t="shared" si="16"/>
        <v>95894.680000000008</v>
      </c>
      <c r="D550">
        <f t="shared" si="17"/>
        <v>7991.2233333333343</v>
      </c>
    </row>
    <row r="551" spans="1:4" x14ac:dyDescent="0.35">
      <c r="A551" t="s">
        <v>581</v>
      </c>
      <c r="B551">
        <f>Earnings!B551</f>
        <v>1472186.4</v>
      </c>
      <c r="C551">
        <f t="shared" si="16"/>
        <v>254155.91999999995</v>
      </c>
      <c r="D551">
        <f t="shared" si="17"/>
        <v>21179.659999999996</v>
      </c>
    </row>
    <row r="552" spans="1:4" x14ac:dyDescent="0.35">
      <c r="A552" t="s">
        <v>582</v>
      </c>
      <c r="B552">
        <f>Earnings!B552</f>
        <v>1132839.47</v>
      </c>
      <c r="C552">
        <f t="shared" si="16"/>
        <v>152351.84099999999</v>
      </c>
      <c r="D552">
        <f t="shared" si="17"/>
        <v>12695.986749999998</v>
      </c>
    </row>
    <row r="553" spans="1:4" x14ac:dyDescent="0.35">
      <c r="A553" t="s">
        <v>583</v>
      </c>
      <c r="B553">
        <f>Earnings!B553</f>
        <v>848906</v>
      </c>
      <c r="C553">
        <f t="shared" si="16"/>
        <v>82281.2</v>
      </c>
      <c r="D553">
        <f t="shared" si="17"/>
        <v>6856.7666666666664</v>
      </c>
    </row>
    <row r="554" spans="1:4" x14ac:dyDescent="0.35">
      <c r="A554" t="s">
        <v>584</v>
      </c>
      <c r="B554">
        <f>Earnings!B554</f>
        <v>662109.6</v>
      </c>
      <c r="C554">
        <f t="shared" si="16"/>
        <v>44921.919999999998</v>
      </c>
      <c r="D554">
        <f t="shared" si="17"/>
        <v>3743.4933333333333</v>
      </c>
    </row>
    <row r="555" spans="1:4" x14ac:dyDescent="0.35">
      <c r="A555" t="s">
        <v>585</v>
      </c>
      <c r="B555">
        <f>Earnings!B555</f>
        <v>1127181.6499999999</v>
      </c>
      <c r="C555">
        <f t="shared" si="16"/>
        <v>150654.49499999997</v>
      </c>
      <c r="D555">
        <f t="shared" si="17"/>
        <v>12554.541249999997</v>
      </c>
    </row>
    <row r="556" spans="1:4" x14ac:dyDescent="0.35">
      <c r="A556" t="s">
        <v>586</v>
      </c>
      <c r="B556">
        <f>Earnings!B556</f>
        <v>1026566</v>
      </c>
      <c r="C556">
        <f t="shared" si="16"/>
        <v>120469.8</v>
      </c>
      <c r="D556">
        <f t="shared" si="17"/>
        <v>10039.15</v>
      </c>
    </row>
    <row r="557" spans="1:4" x14ac:dyDescent="0.35">
      <c r="A557" t="s">
        <v>587</v>
      </c>
      <c r="B557">
        <f>Earnings!B557</f>
        <v>716643</v>
      </c>
      <c r="C557">
        <f t="shared" si="16"/>
        <v>55828.600000000006</v>
      </c>
      <c r="D557">
        <f t="shared" si="17"/>
        <v>4652.3833333333341</v>
      </c>
    </row>
    <row r="558" spans="1:4" x14ac:dyDescent="0.35">
      <c r="A558" t="s">
        <v>588</v>
      </c>
      <c r="B558">
        <f>Earnings!B558</f>
        <v>1082664</v>
      </c>
      <c r="C558">
        <f t="shared" si="16"/>
        <v>137299.20000000001</v>
      </c>
      <c r="D558">
        <f t="shared" si="17"/>
        <v>11441.6</v>
      </c>
    </row>
    <row r="559" spans="1:4" x14ac:dyDescent="0.35">
      <c r="A559" t="s">
        <v>589</v>
      </c>
      <c r="B559">
        <f>Earnings!B559</f>
        <v>727216.45</v>
      </c>
      <c r="C559">
        <f t="shared" si="16"/>
        <v>57943.289999999994</v>
      </c>
      <c r="D559">
        <f t="shared" si="17"/>
        <v>4828.6074999999992</v>
      </c>
    </row>
    <row r="560" spans="1:4" x14ac:dyDescent="0.35">
      <c r="A560" t="s">
        <v>590</v>
      </c>
      <c r="B560">
        <f>Earnings!B560</f>
        <v>1260778</v>
      </c>
      <c r="C560">
        <f t="shared" si="16"/>
        <v>190733.4</v>
      </c>
      <c r="D560">
        <f t="shared" si="17"/>
        <v>15894.449999999999</v>
      </c>
    </row>
    <row r="561" spans="1:4" x14ac:dyDescent="0.35">
      <c r="A561" t="s">
        <v>591</v>
      </c>
      <c r="B561">
        <f>Earnings!B561</f>
        <v>1562371.4</v>
      </c>
      <c r="C561">
        <f t="shared" si="16"/>
        <v>281211.41999999993</v>
      </c>
      <c r="D561">
        <f t="shared" si="17"/>
        <v>23434.284999999993</v>
      </c>
    </row>
    <row r="562" spans="1:4" x14ac:dyDescent="0.35">
      <c r="A562" t="s">
        <v>592</v>
      </c>
      <c r="B562">
        <f>Earnings!B562</f>
        <v>1583356.2</v>
      </c>
      <c r="C562">
        <f t="shared" si="16"/>
        <v>287506.86</v>
      </c>
      <c r="D562">
        <f t="shared" si="17"/>
        <v>23958.904999999999</v>
      </c>
    </row>
    <row r="563" spans="1:4" x14ac:dyDescent="0.35">
      <c r="A563" t="s">
        <v>593</v>
      </c>
      <c r="B563">
        <f>Earnings!B563</f>
        <v>1246344.33</v>
      </c>
      <c r="C563">
        <f t="shared" si="16"/>
        <v>186403.299</v>
      </c>
      <c r="D563">
        <f t="shared" si="17"/>
        <v>15533.608249999999</v>
      </c>
    </row>
    <row r="564" spans="1:4" x14ac:dyDescent="0.35">
      <c r="A564" t="s">
        <v>594</v>
      </c>
      <c r="B564">
        <f>Earnings!B564</f>
        <v>678208.2</v>
      </c>
      <c r="C564">
        <f t="shared" si="16"/>
        <v>48141.639999999992</v>
      </c>
      <c r="D564">
        <f t="shared" si="17"/>
        <v>4011.8033333333328</v>
      </c>
    </row>
    <row r="565" spans="1:4" x14ac:dyDescent="0.35">
      <c r="A565" t="s">
        <v>595</v>
      </c>
      <c r="B565">
        <f>Earnings!B565</f>
        <v>973556</v>
      </c>
      <c r="C565">
        <f t="shared" si="16"/>
        <v>107211.20000000001</v>
      </c>
      <c r="D565">
        <f t="shared" si="17"/>
        <v>8934.2666666666682</v>
      </c>
    </row>
    <row r="566" spans="1:4" x14ac:dyDescent="0.35">
      <c r="A566" t="s">
        <v>596</v>
      </c>
      <c r="B566">
        <f>Earnings!B566</f>
        <v>1140953.04</v>
      </c>
      <c r="C566">
        <f t="shared" si="16"/>
        <v>154785.91200000001</v>
      </c>
      <c r="D566">
        <f t="shared" si="17"/>
        <v>12898.826000000001</v>
      </c>
    </row>
    <row r="567" spans="1:4" x14ac:dyDescent="0.35">
      <c r="A567" t="s">
        <v>597</v>
      </c>
      <c r="B567">
        <f>Earnings!B567</f>
        <v>1252600.8</v>
      </c>
      <c r="C567">
        <f t="shared" si="16"/>
        <v>188280.24</v>
      </c>
      <c r="D567">
        <f t="shared" si="17"/>
        <v>15690.019999999999</v>
      </c>
    </row>
    <row r="568" spans="1:4" x14ac:dyDescent="0.35">
      <c r="A568" t="s">
        <v>598</v>
      </c>
      <c r="B568">
        <f>Earnings!B568</f>
        <v>1105375.6000000001</v>
      </c>
      <c r="C568">
        <f t="shared" si="16"/>
        <v>144112.68000000002</v>
      </c>
      <c r="D568">
        <f t="shared" si="17"/>
        <v>12009.390000000001</v>
      </c>
    </row>
    <row r="569" spans="1:4" x14ac:dyDescent="0.35">
      <c r="A569" t="s">
        <v>599</v>
      </c>
      <c r="B569">
        <f>Earnings!B569</f>
        <v>1460302.8</v>
      </c>
      <c r="C569">
        <f t="shared" si="16"/>
        <v>250590.84</v>
      </c>
      <c r="D569">
        <f t="shared" si="17"/>
        <v>20882.57</v>
      </c>
    </row>
    <row r="570" spans="1:4" x14ac:dyDescent="0.35">
      <c r="A570" t="s">
        <v>600</v>
      </c>
      <c r="B570">
        <f>Earnings!B570</f>
        <v>2179300.38</v>
      </c>
      <c r="C570">
        <f t="shared" si="16"/>
        <v>466290.11399999994</v>
      </c>
      <c r="D570">
        <f t="shared" si="17"/>
        <v>38857.509499999993</v>
      </c>
    </row>
    <row r="571" spans="1:4" x14ac:dyDescent="0.35">
      <c r="A571" t="s">
        <v>601</v>
      </c>
      <c r="B571">
        <f>Earnings!B571</f>
        <v>1885892.12</v>
      </c>
      <c r="C571">
        <f t="shared" si="16"/>
        <v>378267.636</v>
      </c>
      <c r="D571">
        <f t="shared" si="17"/>
        <v>31522.303</v>
      </c>
    </row>
    <row r="572" spans="1:4" x14ac:dyDescent="0.35">
      <c r="A572" t="s">
        <v>602</v>
      </c>
      <c r="B572">
        <f>Earnings!B572</f>
        <v>805047.48</v>
      </c>
      <c r="C572">
        <f t="shared" si="16"/>
        <v>73509.495999999999</v>
      </c>
      <c r="D572">
        <f t="shared" si="17"/>
        <v>6125.7913333333336</v>
      </c>
    </row>
    <row r="573" spans="1:4" x14ac:dyDescent="0.35">
      <c r="A573" t="s">
        <v>603</v>
      </c>
      <c r="B573">
        <f>Earnings!B573</f>
        <v>899459.4</v>
      </c>
      <c r="C573">
        <f t="shared" si="16"/>
        <v>92391.88</v>
      </c>
      <c r="D573">
        <f t="shared" si="17"/>
        <v>7699.3233333333337</v>
      </c>
    </row>
    <row r="574" spans="1:4" x14ac:dyDescent="0.35">
      <c r="A574" t="s">
        <v>604</v>
      </c>
      <c r="B574">
        <f>Earnings!B574</f>
        <v>765736.1</v>
      </c>
      <c r="C574">
        <f t="shared" si="16"/>
        <v>65647.22</v>
      </c>
      <c r="D574">
        <f t="shared" si="17"/>
        <v>5470.6016666666665</v>
      </c>
    </row>
    <row r="575" spans="1:4" x14ac:dyDescent="0.35">
      <c r="A575" t="s">
        <v>605</v>
      </c>
      <c r="B575">
        <f>Earnings!B575</f>
        <v>874332</v>
      </c>
      <c r="C575">
        <f t="shared" si="16"/>
        <v>87366.400000000009</v>
      </c>
      <c r="D575">
        <f t="shared" si="17"/>
        <v>7280.5333333333338</v>
      </c>
    </row>
    <row r="576" spans="1:4" x14ac:dyDescent="0.35">
      <c r="A576" t="s">
        <v>606</v>
      </c>
      <c r="B576">
        <f>Earnings!B576</f>
        <v>1163517.6000000001</v>
      </c>
      <c r="C576">
        <f t="shared" si="16"/>
        <v>161555.28000000003</v>
      </c>
      <c r="D576">
        <f t="shared" si="17"/>
        <v>13462.940000000002</v>
      </c>
    </row>
    <row r="577" spans="1:4" x14ac:dyDescent="0.35">
      <c r="A577" t="s">
        <v>607</v>
      </c>
      <c r="B577">
        <f>Earnings!B577</f>
        <v>1788835.37</v>
      </c>
      <c r="C577">
        <f t="shared" si="16"/>
        <v>349150.61100000003</v>
      </c>
      <c r="D577">
        <f t="shared" si="17"/>
        <v>29095.884250000003</v>
      </c>
    </row>
    <row r="578" spans="1:4" x14ac:dyDescent="0.35">
      <c r="A578" t="s">
        <v>608</v>
      </c>
      <c r="B578">
        <f>Earnings!B578</f>
        <v>872123.8</v>
      </c>
      <c r="C578">
        <f t="shared" ref="C578:C641" si="18">IF(B578&lt;=250000,0,IF(B578&lt;=500000,(B578-250000)*0.05,IF(B578&lt;=1000000,12500+(B578-500000)*0.2,112500+(B578-1000000)*0.3)))</f>
        <v>86924.760000000009</v>
      </c>
      <c r="D578">
        <f t="shared" ref="D578:D641" si="19">C578/12</f>
        <v>7243.7300000000005</v>
      </c>
    </row>
    <row r="579" spans="1:4" x14ac:dyDescent="0.35">
      <c r="A579" t="s">
        <v>609</v>
      </c>
      <c r="B579">
        <f>Earnings!B579</f>
        <v>879603.48</v>
      </c>
      <c r="C579">
        <f t="shared" si="18"/>
        <v>88420.695999999996</v>
      </c>
      <c r="D579">
        <f t="shared" si="19"/>
        <v>7368.391333333333</v>
      </c>
    </row>
    <row r="580" spans="1:4" x14ac:dyDescent="0.35">
      <c r="A580" t="s">
        <v>610</v>
      </c>
      <c r="B580">
        <f>Earnings!B580</f>
        <v>619608.05000000005</v>
      </c>
      <c r="C580">
        <f t="shared" si="18"/>
        <v>36421.610000000015</v>
      </c>
      <c r="D580">
        <f t="shared" si="19"/>
        <v>3035.1341666666681</v>
      </c>
    </row>
    <row r="581" spans="1:4" x14ac:dyDescent="0.35">
      <c r="A581" t="s">
        <v>611</v>
      </c>
      <c r="B581">
        <f>Earnings!B581</f>
        <v>937014</v>
      </c>
      <c r="C581">
        <f t="shared" si="18"/>
        <v>99902.8</v>
      </c>
      <c r="D581">
        <f t="shared" si="19"/>
        <v>8325.2333333333336</v>
      </c>
    </row>
    <row r="582" spans="1:4" x14ac:dyDescent="0.35">
      <c r="A582" t="s">
        <v>612</v>
      </c>
      <c r="B582">
        <f>Earnings!B582</f>
        <v>1982787.18</v>
      </c>
      <c r="C582">
        <f t="shared" si="18"/>
        <v>407336.15399999998</v>
      </c>
      <c r="D582">
        <f t="shared" si="19"/>
        <v>33944.679499999998</v>
      </c>
    </row>
    <row r="583" spans="1:4" x14ac:dyDescent="0.35">
      <c r="A583" t="s">
        <v>613</v>
      </c>
      <c r="B583">
        <f>Earnings!B583</f>
        <v>779317</v>
      </c>
      <c r="C583">
        <f t="shared" si="18"/>
        <v>68363.399999999994</v>
      </c>
      <c r="D583">
        <f t="shared" si="19"/>
        <v>5696.95</v>
      </c>
    </row>
    <row r="584" spans="1:4" x14ac:dyDescent="0.35">
      <c r="A584" t="s">
        <v>614</v>
      </c>
      <c r="B584">
        <f>Earnings!B584</f>
        <v>1570927.5</v>
      </c>
      <c r="C584">
        <f t="shared" si="18"/>
        <v>283778.25</v>
      </c>
      <c r="D584">
        <f t="shared" si="19"/>
        <v>23648.1875</v>
      </c>
    </row>
    <row r="585" spans="1:4" x14ac:dyDescent="0.35">
      <c r="A585" t="s">
        <v>615</v>
      </c>
      <c r="B585">
        <f>Earnings!B585</f>
        <v>1196813.6000000001</v>
      </c>
      <c r="C585">
        <f t="shared" si="18"/>
        <v>171544.08000000002</v>
      </c>
      <c r="D585">
        <f t="shared" si="19"/>
        <v>14295.340000000002</v>
      </c>
    </row>
    <row r="586" spans="1:4" x14ac:dyDescent="0.35">
      <c r="A586" t="s">
        <v>616</v>
      </c>
      <c r="B586">
        <f>Earnings!B586</f>
        <v>1097278</v>
      </c>
      <c r="C586">
        <f t="shared" si="18"/>
        <v>141683.4</v>
      </c>
      <c r="D586">
        <f t="shared" si="19"/>
        <v>11806.949999999999</v>
      </c>
    </row>
    <row r="587" spans="1:4" x14ac:dyDescent="0.35">
      <c r="A587" t="s">
        <v>617</v>
      </c>
      <c r="B587">
        <f>Earnings!B587</f>
        <v>1329658.3999999999</v>
      </c>
      <c r="C587">
        <f t="shared" si="18"/>
        <v>211397.51999999996</v>
      </c>
      <c r="D587">
        <f t="shared" si="19"/>
        <v>17616.459999999995</v>
      </c>
    </row>
    <row r="588" spans="1:4" x14ac:dyDescent="0.35">
      <c r="A588" t="s">
        <v>618</v>
      </c>
      <c r="B588">
        <f>Earnings!B588</f>
        <v>655514.25</v>
      </c>
      <c r="C588">
        <f t="shared" si="18"/>
        <v>43602.850000000006</v>
      </c>
      <c r="D588">
        <f t="shared" si="19"/>
        <v>3633.5708333333337</v>
      </c>
    </row>
    <row r="589" spans="1:4" x14ac:dyDescent="0.35">
      <c r="A589" t="s">
        <v>619</v>
      </c>
      <c r="B589">
        <f>Earnings!B589</f>
        <v>495180</v>
      </c>
      <c r="C589">
        <f t="shared" si="18"/>
        <v>12259</v>
      </c>
      <c r="D589">
        <f t="shared" si="19"/>
        <v>1021.5833333333334</v>
      </c>
    </row>
    <row r="590" spans="1:4" x14ac:dyDescent="0.35">
      <c r="A590" t="s">
        <v>620</v>
      </c>
      <c r="B590">
        <f>Earnings!B590</f>
        <v>1945314.33</v>
      </c>
      <c r="C590">
        <f t="shared" si="18"/>
        <v>396094.299</v>
      </c>
      <c r="D590">
        <f t="shared" si="19"/>
        <v>33007.858249999997</v>
      </c>
    </row>
    <row r="591" spans="1:4" x14ac:dyDescent="0.35">
      <c r="A591" t="s">
        <v>621</v>
      </c>
      <c r="B591">
        <f>Earnings!B591</f>
        <v>684811.2</v>
      </c>
      <c r="C591">
        <f t="shared" si="18"/>
        <v>49462.239999999991</v>
      </c>
      <c r="D591">
        <f t="shared" si="19"/>
        <v>4121.8533333333326</v>
      </c>
    </row>
    <row r="592" spans="1:4" x14ac:dyDescent="0.35">
      <c r="A592" t="s">
        <v>622</v>
      </c>
      <c r="B592">
        <f>Earnings!B592</f>
        <v>1053575</v>
      </c>
      <c r="C592">
        <f t="shared" si="18"/>
        <v>128572.5</v>
      </c>
      <c r="D592">
        <f t="shared" si="19"/>
        <v>10714.375</v>
      </c>
    </row>
    <row r="593" spans="1:4" x14ac:dyDescent="0.35">
      <c r="A593" t="s">
        <v>623</v>
      </c>
      <c r="B593">
        <f>Earnings!B593</f>
        <v>1664780.6</v>
      </c>
      <c r="C593">
        <f t="shared" si="18"/>
        <v>311934.18000000005</v>
      </c>
      <c r="D593">
        <f t="shared" si="19"/>
        <v>25994.515000000003</v>
      </c>
    </row>
    <row r="594" spans="1:4" x14ac:dyDescent="0.35">
      <c r="A594" t="s">
        <v>624</v>
      </c>
      <c r="B594">
        <f>Earnings!B594</f>
        <v>1767502.17</v>
      </c>
      <c r="C594">
        <f t="shared" si="18"/>
        <v>342750.65099999995</v>
      </c>
      <c r="D594">
        <f t="shared" si="19"/>
        <v>28562.554249999997</v>
      </c>
    </row>
    <row r="595" spans="1:4" x14ac:dyDescent="0.35">
      <c r="A595" t="s">
        <v>625</v>
      </c>
      <c r="B595">
        <f>Earnings!B595</f>
        <v>1012884.39</v>
      </c>
      <c r="C595">
        <f t="shared" si="18"/>
        <v>116365.31700000001</v>
      </c>
      <c r="D595">
        <f t="shared" si="19"/>
        <v>9697.1097500000014</v>
      </c>
    </row>
    <row r="596" spans="1:4" x14ac:dyDescent="0.35">
      <c r="A596" t="s">
        <v>626</v>
      </c>
      <c r="B596">
        <f>Earnings!B596</f>
        <v>726648.16</v>
      </c>
      <c r="C596">
        <f t="shared" si="18"/>
        <v>57829.632000000012</v>
      </c>
      <c r="D596">
        <f t="shared" si="19"/>
        <v>4819.1360000000013</v>
      </c>
    </row>
    <row r="597" spans="1:4" x14ac:dyDescent="0.35">
      <c r="A597" t="s">
        <v>627</v>
      </c>
      <c r="B597">
        <f>Earnings!B597</f>
        <v>983834.82</v>
      </c>
      <c r="C597">
        <f t="shared" si="18"/>
        <v>109266.96399999999</v>
      </c>
      <c r="D597">
        <f t="shared" si="19"/>
        <v>9105.5803333333333</v>
      </c>
    </row>
    <row r="598" spans="1:4" x14ac:dyDescent="0.35">
      <c r="A598" t="s">
        <v>628</v>
      </c>
      <c r="B598">
        <f>Earnings!B598</f>
        <v>1274137.3400000001</v>
      </c>
      <c r="C598">
        <f t="shared" si="18"/>
        <v>194741.20200000002</v>
      </c>
      <c r="D598">
        <f t="shared" si="19"/>
        <v>16228.433500000001</v>
      </c>
    </row>
    <row r="599" spans="1:4" x14ac:dyDescent="0.35">
      <c r="A599" t="s">
        <v>629</v>
      </c>
      <c r="B599">
        <f>Earnings!B599</f>
        <v>522542.75</v>
      </c>
      <c r="C599">
        <f t="shared" si="18"/>
        <v>17008.55</v>
      </c>
      <c r="D599">
        <f t="shared" si="19"/>
        <v>1417.3791666666666</v>
      </c>
    </row>
    <row r="600" spans="1:4" x14ac:dyDescent="0.35">
      <c r="A600" t="s">
        <v>630</v>
      </c>
      <c r="B600">
        <f>Earnings!B600</f>
        <v>1317790.6000000001</v>
      </c>
      <c r="C600">
        <f t="shared" si="18"/>
        <v>207837.18000000002</v>
      </c>
      <c r="D600">
        <f t="shared" si="19"/>
        <v>17319.765000000003</v>
      </c>
    </row>
    <row r="601" spans="1:4" x14ac:dyDescent="0.35">
      <c r="A601" t="s">
        <v>631</v>
      </c>
      <c r="B601">
        <f>Earnings!B601</f>
        <v>808558.87</v>
      </c>
      <c r="C601">
        <f t="shared" si="18"/>
        <v>74211.774000000005</v>
      </c>
      <c r="D601">
        <f t="shared" si="19"/>
        <v>6184.3145000000004</v>
      </c>
    </row>
    <row r="602" spans="1:4" x14ac:dyDescent="0.35">
      <c r="A602" t="s">
        <v>632</v>
      </c>
      <c r="B602">
        <f>Earnings!B602</f>
        <v>662849</v>
      </c>
      <c r="C602">
        <f t="shared" si="18"/>
        <v>45069.8</v>
      </c>
      <c r="D602">
        <f t="shared" si="19"/>
        <v>3755.8166666666671</v>
      </c>
    </row>
    <row r="603" spans="1:4" x14ac:dyDescent="0.35">
      <c r="A603" t="s">
        <v>633</v>
      </c>
      <c r="B603">
        <f>Earnings!B603</f>
        <v>1324364.6000000001</v>
      </c>
      <c r="C603">
        <f t="shared" si="18"/>
        <v>209809.38</v>
      </c>
      <c r="D603">
        <f t="shared" si="19"/>
        <v>17484.115000000002</v>
      </c>
    </row>
    <row r="604" spans="1:4" x14ac:dyDescent="0.35">
      <c r="A604" t="s">
        <v>634</v>
      </c>
      <c r="B604">
        <f>Earnings!B604</f>
        <v>1081909.02</v>
      </c>
      <c r="C604">
        <f t="shared" si="18"/>
        <v>137072.70600000001</v>
      </c>
      <c r="D604">
        <f t="shared" si="19"/>
        <v>11422.7255</v>
      </c>
    </row>
    <row r="605" spans="1:4" x14ac:dyDescent="0.35">
      <c r="A605" t="s">
        <v>635</v>
      </c>
      <c r="B605">
        <f>Earnings!B605</f>
        <v>985067.16</v>
      </c>
      <c r="C605">
        <f t="shared" si="18"/>
        <v>109513.43200000002</v>
      </c>
      <c r="D605">
        <f t="shared" si="19"/>
        <v>9126.119333333334</v>
      </c>
    </row>
    <row r="606" spans="1:4" x14ac:dyDescent="0.35">
      <c r="A606" t="s">
        <v>636</v>
      </c>
      <c r="B606">
        <f>Earnings!B606</f>
        <v>2234158.7000000002</v>
      </c>
      <c r="C606">
        <f t="shared" si="18"/>
        <v>482747.61000000004</v>
      </c>
      <c r="D606">
        <f t="shared" si="19"/>
        <v>40228.967500000006</v>
      </c>
    </row>
    <row r="607" spans="1:4" x14ac:dyDescent="0.35">
      <c r="A607" t="s">
        <v>637</v>
      </c>
      <c r="B607">
        <f>Earnings!B607</f>
        <v>1280519.82</v>
      </c>
      <c r="C607">
        <f t="shared" si="18"/>
        <v>196655.946</v>
      </c>
      <c r="D607">
        <f t="shared" si="19"/>
        <v>16387.995500000001</v>
      </c>
    </row>
    <row r="608" spans="1:4" x14ac:dyDescent="0.35">
      <c r="A608" t="s">
        <v>638</v>
      </c>
      <c r="B608">
        <f>Earnings!B608</f>
        <v>1348082.4</v>
      </c>
      <c r="C608">
        <f t="shared" si="18"/>
        <v>216924.71999999997</v>
      </c>
      <c r="D608">
        <f t="shared" si="19"/>
        <v>18077.059999999998</v>
      </c>
    </row>
    <row r="609" spans="1:4" x14ac:dyDescent="0.35">
      <c r="A609" t="s">
        <v>639</v>
      </c>
      <c r="B609">
        <f>Earnings!B609</f>
        <v>954265.2</v>
      </c>
      <c r="C609">
        <f t="shared" si="18"/>
        <v>103353.04</v>
      </c>
      <c r="D609">
        <f t="shared" si="19"/>
        <v>8612.7533333333322</v>
      </c>
    </row>
    <row r="610" spans="1:4" x14ac:dyDescent="0.35">
      <c r="A610" t="s">
        <v>640</v>
      </c>
      <c r="B610">
        <f>Earnings!B610</f>
        <v>921273.9</v>
      </c>
      <c r="C610">
        <f t="shared" si="18"/>
        <v>96754.780000000013</v>
      </c>
      <c r="D610">
        <f t="shared" si="19"/>
        <v>8062.8983333333344</v>
      </c>
    </row>
    <row r="611" spans="1:4" x14ac:dyDescent="0.35">
      <c r="A611" t="s">
        <v>641</v>
      </c>
      <c r="B611">
        <f>Earnings!B611</f>
        <v>1033220</v>
      </c>
      <c r="C611">
        <f t="shared" si="18"/>
        <v>122466</v>
      </c>
      <c r="D611">
        <f t="shared" si="19"/>
        <v>10205.5</v>
      </c>
    </row>
    <row r="612" spans="1:4" x14ac:dyDescent="0.35">
      <c r="A612" t="s">
        <v>642</v>
      </c>
      <c r="B612">
        <f>Earnings!B612</f>
        <v>581996.03</v>
      </c>
      <c r="C612">
        <f t="shared" si="18"/>
        <v>28899.206000000006</v>
      </c>
      <c r="D612">
        <f t="shared" si="19"/>
        <v>2408.267166666667</v>
      </c>
    </row>
    <row r="613" spans="1:4" x14ac:dyDescent="0.35">
      <c r="A613" t="s">
        <v>643</v>
      </c>
      <c r="B613">
        <f>Earnings!B613</f>
        <v>1812308.8</v>
      </c>
      <c r="C613">
        <f t="shared" si="18"/>
        <v>356192.64</v>
      </c>
      <c r="D613">
        <f t="shared" si="19"/>
        <v>29682.720000000001</v>
      </c>
    </row>
    <row r="614" spans="1:4" x14ac:dyDescent="0.35">
      <c r="A614" t="s">
        <v>644</v>
      </c>
      <c r="B614">
        <f>Earnings!B614</f>
        <v>987479.78</v>
      </c>
      <c r="C614">
        <f t="shared" si="18"/>
        <v>109995.95600000001</v>
      </c>
      <c r="D614">
        <f t="shared" si="19"/>
        <v>9166.3296666666665</v>
      </c>
    </row>
    <row r="615" spans="1:4" x14ac:dyDescent="0.35">
      <c r="A615" t="s">
        <v>645</v>
      </c>
      <c r="B615">
        <f>Earnings!B615</f>
        <v>1030888.7</v>
      </c>
      <c r="C615">
        <f t="shared" si="18"/>
        <v>121766.60999999999</v>
      </c>
      <c r="D615">
        <f t="shared" si="19"/>
        <v>10147.217499999999</v>
      </c>
    </row>
    <row r="616" spans="1:4" x14ac:dyDescent="0.35">
      <c r="A616" t="s">
        <v>646</v>
      </c>
      <c r="B616">
        <f>Earnings!B616</f>
        <v>570929.1</v>
      </c>
      <c r="C616">
        <f t="shared" si="18"/>
        <v>26685.819999999996</v>
      </c>
      <c r="D616">
        <f t="shared" si="19"/>
        <v>2223.8183333333332</v>
      </c>
    </row>
    <row r="617" spans="1:4" x14ac:dyDescent="0.35">
      <c r="A617" t="s">
        <v>647</v>
      </c>
      <c r="B617">
        <f>Earnings!B617</f>
        <v>1239959</v>
      </c>
      <c r="C617">
        <f t="shared" si="18"/>
        <v>184487.7</v>
      </c>
      <c r="D617">
        <f t="shared" si="19"/>
        <v>15373.975</v>
      </c>
    </row>
    <row r="618" spans="1:4" x14ac:dyDescent="0.35">
      <c r="A618" t="s">
        <v>648</v>
      </c>
      <c r="B618">
        <f>Earnings!B618</f>
        <v>604903.94999999995</v>
      </c>
      <c r="C618">
        <f t="shared" si="18"/>
        <v>33480.789999999994</v>
      </c>
      <c r="D618">
        <f t="shared" si="19"/>
        <v>2790.0658333333326</v>
      </c>
    </row>
    <row r="619" spans="1:4" x14ac:dyDescent="0.35">
      <c r="A619" t="s">
        <v>649</v>
      </c>
      <c r="B619">
        <f>Earnings!B619</f>
        <v>831699</v>
      </c>
      <c r="C619">
        <f t="shared" si="18"/>
        <v>78839.8</v>
      </c>
      <c r="D619">
        <f t="shared" si="19"/>
        <v>6569.9833333333336</v>
      </c>
    </row>
    <row r="620" spans="1:4" x14ac:dyDescent="0.35">
      <c r="A620" t="s">
        <v>650</v>
      </c>
      <c r="B620">
        <f>Earnings!B620</f>
        <v>604985.46</v>
      </c>
      <c r="C620">
        <f t="shared" si="18"/>
        <v>33497.09199999999</v>
      </c>
      <c r="D620">
        <f t="shared" si="19"/>
        <v>2791.4243333333325</v>
      </c>
    </row>
    <row r="621" spans="1:4" x14ac:dyDescent="0.35">
      <c r="A621" t="s">
        <v>651</v>
      </c>
      <c r="B621">
        <f>Earnings!B621</f>
        <v>1699920.1</v>
      </c>
      <c r="C621">
        <f t="shared" si="18"/>
        <v>322476.03000000003</v>
      </c>
      <c r="D621">
        <f t="shared" si="19"/>
        <v>26873.002500000002</v>
      </c>
    </row>
    <row r="622" spans="1:4" x14ac:dyDescent="0.35">
      <c r="A622" t="s">
        <v>652</v>
      </c>
      <c r="B622">
        <f>Earnings!B622</f>
        <v>1047263.28</v>
      </c>
      <c r="C622">
        <f t="shared" si="18"/>
        <v>126678.98400000001</v>
      </c>
      <c r="D622">
        <f t="shared" si="19"/>
        <v>10556.582</v>
      </c>
    </row>
    <row r="623" spans="1:4" x14ac:dyDescent="0.35">
      <c r="A623" t="s">
        <v>653</v>
      </c>
      <c r="B623">
        <f>Earnings!B623</f>
        <v>1060831</v>
      </c>
      <c r="C623">
        <f t="shared" si="18"/>
        <v>130749.3</v>
      </c>
      <c r="D623">
        <f t="shared" si="19"/>
        <v>10895.775</v>
      </c>
    </row>
    <row r="624" spans="1:4" x14ac:dyDescent="0.35">
      <c r="A624" t="s">
        <v>654</v>
      </c>
      <c r="B624">
        <f>Earnings!B624</f>
        <v>920319.06</v>
      </c>
      <c r="C624">
        <f t="shared" si="18"/>
        <v>96563.81200000002</v>
      </c>
      <c r="D624">
        <f t="shared" si="19"/>
        <v>8046.9843333333347</v>
      </c>
    </row>
    <row r="625" spans="1:4" x14ac:dyDescent="0.35">
      <c r="A625" t="s">
        <v>655</v>
      </c>
      <c r="B625">
        <f>Earnings!B625</f>
        <v>1452181.2</v>
      </c>
      <c r="C625">
        <f t="shared" si="18"/>
        <v>248154.36</v>
      </c>
      <c r="D625">
        <f t="shared" si="19"/>
        <v>20679.53</v>
      </c>
    </row>
    <row r="626" spans="1:4" x14ac:dyDescent="0.35">
      <c r="A626" t="s">
        <v>656</v>
      </c>
      <c r="B626">
        <f>Earnings!B626</f>
        <v>1771289.5</v>
      </c>
      <c r="C626">
        <f t="shared" si="18"/>
        <v>343886.85</v>
      </c>
      <c r="D626">
        <f t="shared" si="19"/>
        <v>28657.237499999999</v>
      </c>
    </row>
    <row r="627" spans="1:4" x14ac:dyDescent="0.35">
      <c r="A627" t="s">
        <v>657</v>
      </c>
      <c r="B627">
        <f>Earnings!B627</f>
        <v>1362643.2</v>
      </c>
      <c r="C627">
        <f t="shared" si="18"/>
        <v>221292.95999999996</v>
      </c>
      <c r="D627">
        <f t="shared" si="19"/>
        <v>18441.079999999998</v>
      </c>
    </row>
    <row r="628" spans="1:4" x14ac:dyDescent="0.35">
      <c r="A628" t="s">
        <v>658</v>
      </c>
      <c r="B628">
        <f>Earnings!B628</f>
        <v>1355052</v>
      </c>
      <c r="C628">
        <f t="shared" si="18"/>
        <v>219015.59999999998</v>
      </c>
      <c r="D628">
        <f t="shared" si="19"/>
        <v>18251.3</v>
      </c>
    </row>
    <row r="629" spans="1:4" x14ac:dyDescent="0.35">
      <c r="A629" t="s">
        <v>659</v>
      </c>
      <c r="B629">
        <f>Earnings!B629</f>
        <v>1441341</v>
      </c>
      <c r="C629">
        <f t="shared" si="18"/>
        <v>244902.3</v>
      </c>
      <c r="D629">
        <f t="shared" si="19"/>
        <v>20408.524999999998</v>
      </c>
    </row>
    <row r="630" spans="1:4" x14ac:dyDescent="0.35">
      <c r="A630" t="s">
        <v>660</v>
      </c>
      <c r="B630">
        <f>Earnings!B630</f>
        <v>1334599.1399999999</v>
      </c>
      <c r="C630">
        <f t="shared" si="18"/>
        <v>212879.74199999997</v>
      </c>
      <c r="D630">
        <f t="shared" si="19"/>
        <v>17739.978499999997</v>
      </c>
    </row>
    <row r="631" spans="1:4" x14ac:dyDescent="0.35">
      <c r="A631" t="s">
        <v>661</v>
      </c>
      <c r="B631">
        <f>Earnings!B631</f>
        <v>1371584.2</v>
      </c>
      <c r="C631">
        <f t="shared" si="18"/>
        <v>223975.25999999998</v>
      </c>
      <c r="D631">
        <f t="shared" si="19"/>
        <v>18664.605</v>
      </c>
    </row>
    <row r="632" spans="1:4" x14ac:dyDescent="0.35">
      <c r="A632" t="s">
        <v>662</v>
      </c>
      <c r="B632">
        <f>Earnings!B632</f>
        <v>1239585.6000000001</v>
      </c>
      <c r="C632">
        <f t="shared" si="18"/>
        <v>184375.68000000002</v>
      </c>
      <c r="D632">
        <f t="shared" si="19"/>
        <v>15364.640000000001</v>
      </c>
    </row>
    <row r="633" spans="1:4" x14ac:dyDescent="0.35">
      <c r="A633" t="s">
        <v>663</v>
      </c>
      <c r="B633">
        <f>Earnings!B633</f>
        <v>382412.05</v>
      </c>
      <c r="C633">
        <f t="shared" si="18"/>
        <v>6620.6025</v>
      </c>
      <c r="D633">
        <f t="shared" si="19"/>
        <v>551.71687499999996</v>
      </c>
    </row>
    <row r="634" spans="1:4" x14ac:dyDescent="0.35">
      <c r="A634" t="s">
        <v>664</v>
      </c>
      <c r="B634">
        <f>Earnings!B634</f>
        <v>843729.39</v>
      </c>
      <c r="C634">
        <f t="shared" si="18"/>
        <v>81245.878000000012</v>
      </c>
      <c r="D634">
        <f t="shared" si="19"/>
        <v>6770.489833333334</v>
      </c>
    </row>
    <row r="635" spans="1:4" x14ac:dyDescent="0.35">
      <c r="A635" t="s">
        <v>665</v>
      </c>
      <c r="B635">
        <f>Earnings!B635</f>
        <v>1841166.3</v>
      </c>
      <c r="C635">
        <f t="shared" si="18"/>
        <v>364849.89</v>
      </c>
      <c r="D635">
        <f t="shared" si="19"/>
        <v>30404.157500000001</v>
      </c>
    </row>
    <row r="636" spans="1:4" x14ac:dyDescent="0.35">
      <c r="A636" t="s">
        <v>666</v>
      </c>
      <c r="B636">
        <f>Earnings!B636</f>
        <v>803781</v>
      </c>
      <c r="C636">
        <f t="shared" si="18"/>
        <v>73256.200000000012</v>
      </c>
      <c r="D636">
        <f t="shared" si="19"/>
        <v>6104.6833333333343</v>
      </c>
    </row>
    <row r="637" spans="1:4" x14ac:dyDescent="0.35">
      <c r="A637" t="s">
        <v>667</v>
      </c>
      <c r="B637">
        <f>Earnings!B637</f>
        <v>990416.51</v>
      </c>
      <c r="C637">
        <f t="shared" si="18"/>
        <v>110583.30200000001</v>
      </c>
      <c r="D637">
        <f t="shared" si="19"/>
        <v>9215.2751666666682</v>
      </c>
    </row>
    <row r="638" spans="1:4" x14ac:dyDescent="0.35">
      <c r="A638" t="s">
        <v>668</v>
      </c>
      <c r="B638">
        <f>Earnings!B638</f>
        <v>859751.71</v>
      </c>
      <c r="C638">
        <f t="shared" si="18"/>
        <v>84450.34199999999</v>
      </c>
      <c r="D638">
        <f t="shared" si="19"/>
        <v>7037.5284999999994</v>
      </c>
    </row>
    <row r="639" spans="1:4" x14ac:dyDescent="0.35">
      <c r="A639" t="s">
        <v>669</v>
      </c>
      <c r="B639">
        <f>Earnings!B639</f>
        <v>1093358.42</v>
      </c>
      <c r="C639">
        <f t="shared" si="18"/>
        <v>140507.52599999998</v>
      </c>
      <c r="D639">
        <f t="shared" si="19"/>
        <v>11708.960499999999</v>
      </c>
    </row>
    <row r="640" spans="1:4" x14ac:dyDescent="0.35">
      <c r="A640" t="s">
        <v>670</v>
      </c>
      <c r="B640">
        <f>Earnings!B640</f>
        <v>872686.15</v>
      </c>
      <c r="C640">
        <f t="shared" si="18"/>
        <v>87037.23000000001</v>
      </c>
      <c r="D640">
        <f t="shared" si="19"/>
        <v>7253.1025000000009</v>
      </c>
    </row>
    <row r="641" spans="1:4" x14ac:dyDescent="0.35">
      <c r="A641" t="s">
        <v>671</v>
      </c>
      <c r="B641">
        <f>Earnings!B641</f>
        <v>635865.4</v>
      </c>
      <c r="C641">
        <f t="shared" si="18"/>
        <v>39673.08</v>
      </c>
      <c r="D641">
        <f t="shared" si="19"/>
        <v>3306.09</v>
      </c>
    </row>
    <row r="642" spans="1:4" x14ac:dyDescent="0.35">
      <c r="A642" t="s">
        <v>672</v>
      </c>
      <c r="B642">
        <f>Earnings!B642</f>
        <v>2001058.1</v>
      </c>
      <c r="C642">
        <f t="shared" ref="C642:C705" si="20">IF(B642&lt;=250000,0,IF(B642&lt;=500000,(B642-250000)*0.05,IF(B642&lt;=1000000,12500+(B642-500000)*0.2,112500+(B642-1000000)*0.3)))</f>
        <v>412817.43</v>
      </c>
      <c r="D642">
        <f t="shared" ref="D642:D705" si="21">C642/12</f>
        <v>34401.452499999999</v>
      </c>
    </row>
    <row r="643" spans="1:4" x14ac:dyDescent="0.35">
      <c r="A643" t="s">
        <v>673</v>
      </c>
      <c r="B643">
        <f>Earnings!B643</f>
        <v>1640702.82</v>
      </c>
      <c r="C643">
        <f t="shared" si="20"/>
        <v>304710.84600000002</v>
      </c>
      <c r="D643">
        <f t="shared" si="21"/>
        <v>25392.570500000002</v>
      </c>
    </row>
    <row r="644" spans="1:4" x14ac:dyDescent="0.35">
      <c r="A644" t="s">
        <v>674</v>
      </c>
      <c r="B644">
        <f>Earnings!B644</f>
        <v>1074106.8600000001</v>
      </c>
      <c r="C644">
        <f t="shared" si="20"/>
        <v>134732.05800000002</v>
      </c>
      <c r="D644">
        <f t="shared" si="21"/>
        <v>11227.671500000002</v>
      </c>
    </row>
    <row r="645" spans="1:4" x14ac:dyDescent="0.35">
      <c r="A645" t="s">
        <v>675</v>
      </c>
      <c r="B645">
        <f>Earnings!B645</f>
        <v>716699</v>
      </c>
      <c r="C645">
        <f t="shared" si="20"/>
        <v>55839.8</v>
      </c>
      <c r="D645">
        <f t="shared" si="21"/>
        <v>4653.3166666666666</v>
      </c>
    </row>
    <row r="646" spans="1:4" x14ac:dyDescent="0.35">
      <c r="A646" t="s">
        <v>676</v>
      </c>
      <c r="B646">
        <f>Earnings!B646</f>
        <v>1145935</v>
      </c>
      <c r="C646">
        <f t="shared" si="20"/>
        <v>156280.5</v>
      </c>
      <c r="D646">
        <f t="shared" si="21"/>
        <v>13023.375</v>
      </c>
    </row>
    <row r="647" spans="1:4" x14ac:dyDescent="0.35">
      <c r="A647" t="s">
        <v>677</v>
      </c>
      <c r="B647">
        <f>Earnings!B647</f>
        <v>958465.45</v>
      </c>
      <c r="C647">
        <f t="shared" si="20"/>
        <v>104193.09</v>
      </c>
      <c r="D647">
        <f t="shared" si="21"/>
        <v>8682.7574999999997</v>
      </c>
    </row>
    <row r="648" spans="1:4" x14ac:dyDescent="0.35">
      <c r="A648" t="s">
        <v>678</v>
      </c>
      <c r="B648">
        <f>Earnings!B648</f>
        <v>1760490.2</v>
      </c>
      <c r="C648">
        <f t="shared" si="20"/>
        <v>340647.05999999994</v>
      </c>
      <c r="D648">
        <f t="shared" si="21"/>
        <v>28387.254999999994</v>
      </c>
    </row>
    <row r="649" spans="1:4" x14ac:dyDescent="0.35">
      <c r="A649" t="s">
        <v>679</v>
      </c>
      <c r="B649">
        <f>Earnings!B649</f>
        <v>1954369.2</v>
      </c>
      <c r="C649">
        <f t="shared" si="20"/>
        <v>398810.75999999995</v>
      </c>
      <c r="D649">
        <f t="shared" si="21"/>
        <v>33234.229999999996</v>
      </c>
    </row>
    <row r="650" spans="1:4" x14ac:dyDescent="0.35">
      <c r="A650" t="s">
        <v>680</v>
      </c>
      <c r="B650">
        <f>Earnings!B650</f>
        <v>1516963</v>
      </c>
      <c r="C650">
        <f t="shared" si="20"/>
        <v>267588.90000000002</v>
      </c>
      <c r="D650">
        <f t="shared" si="21"/>
        <v>22299.075000000001</v>
      </c>
    </row>
    <row r="651" spans="1:4" x14ac:dyDescent="0.35">
      <c r="A651" t="s">
        <v>681</v>
      </c>
      <c r="B651">
        <f>Earnings!B651</f>
        <v>1416496.55</v>
      </c>
      <c r="C651">
        <f t="shared" si="20"/>
        <v>237448.96500000003</v>
      </c>
      <c r="D651">
        <f t="shared" si="21"/>
        <v>19787.413750000003</v>
      </c>
    </row>
    <row r="652" spans="1:4" x14ac:dyDescent="0.35">
      <c r="A652" t="s">
        <v>682</v>
      </c>
      <c r="B652">
        <f>Earnings!B652</f>
        <v>1918378.8</v>
      </c>
      <c r="C652">
        <f t="shared" si="20"/>
        <v>388013.64</v>
      </c>
      <c r="D652">
        <f t="shared" si="21"/>
        <v>32334.47</v>
      </c>
    </row>
    <row r="653" spans="1:4" x14ac:dyDescent="0.35">
      <c r="A653" t="s">
        <v>683</v>
      </c>
      <c r="B653">
        <f>Earnings!B653</f>
        <v>2187632.17</v>
      </c>
      <c r="C653">
        <f t="shared" si="20"/>
        <v>468789.65099999995</v>
      </c>
      <c r="D653">
        <f t="shared" si="21"/>
        <v>39065.804249999994</v>
      </c>
    </row>
    <row r="654" spans="1:4" x14ac:dyDescent="0.35">
      <c r="A654" t="s">
        <v>684</v>
      </c>
      <c r="B654">
        <f>Earnings!B654</f>
        <v>1412426.3</v>
      </c>
      <c r="C654">
        <f t="shared" si="20"/>
        <v>236227.89</v>
      </c>
      <c r="D654">
        <f t="shared" si="21"/>
        <v>19685.657500000001</v>
      </c>
    </row>
    <row r="655" spans="1:4" x14ac:dyDescent="0.35">
      <c r="A655" t="s">
        <v>685</v>
      </c>
      <c r="B655">
        <f>Earnings!B655</f>
        <v>1121564.21</v>
      </c>
      <c r="C655">
        <f t="shared" si="20"/>
        <v>148969.26299999998</v>
      </c>
      <c r="D655">
        <f t="shared" si="21"/>
        <v>12414.105249999999</v>
      </c>
    </row>
    <row r="656" spans="1:4" x14ac:dyDescent="0.35">
      <c r="A656" t="s">
        <v>686</v>
      </c>
      <c r="B656">
        <f>Earnings!B656</f>
        <v>1601214.93</v>
      </c>
      <c r="C656">
        <f t="shared" si="20"/>
        <v>292864.47899999993</v>
      </c>
      <c r="D656">
        <f t="shared" si="21"/>
        <v>24405.373249999993</v>
      </c>
    </row>
    <row r="657" spans="1:4" x14ac:dyDescent="0.35">
      <c r="A657" t="s">
        <v>687</v>
      </c>
      <c r="B657">
        <f>Earnings!B657</f>
        <v>1363472.6</v>
      </c>
      <c r="C657">
        <f t="shared" si="20"/>
        <v>221541.78000000003</v>
      </c>
      <c r="D657">
        <f t="shared" si="21"/>
        <v>18461.815000000002</v>
      </c>
    </row>
    <row r="658" spans="1:4" x14ac:dyDescent="0.35">
      <c r="A658" t="s">
        <v>688</v>
      </c>
      <c r="B658">
        <f>Earnings!B658</f>
        <v>1183896.8400000001</v>
      </c>
      <c r="C658">
        <f t="shared" si="20"/>
        <v>167669.05200000003</v>
      </c>
      <c r="D658">
        <f t="shared" si="21"/>
        <v>13972.421000000002</v>
      </c>
    </row>
    <row r="659" spans="1:4" x14ac:dyDescent="0.35">
      <c r="A659" t="s">
        <v>689</v>
      </c>
      <c r="B659">
        <f>Earnings!B659</f>
        <v>812634.75</v>
      </c>
      <c r="C659">
        <f t="shared" si="20"/>
        <v>75026.950000000012</v>
      </c>
      <c r="D659">
        <f t="shared" si="21"/>
        <v>6252.2458333333343</v>
      </c>
    </row>
    <row r="660" spans="1:4" x14ac:dyDescent="0.35">
      <c r="A660" t="s">
        <v>690</v>
      </c>
      <c r="B660">
        <f>Earnings!B660</f>
        <v>1654858.8</v>
      </c>
      <c r="C660">
        <f t="shared" si="20"/>
        <v>308957.64</v>
      </c>
      <c r="D660">
        <f t="shared" si="21"/>
        <v>25746.47</v>
      </c>
    </row>
    <row r="661" spans="1:4" x14ac:dyDescent="0.35">
      <c r="A661" t="s">
        <v>691</v>
      </c>
      <c r="B661">
        <f>Earnings!B661</f>
        <v>586591.75</v>
      </c>
      <c r="C661">
        <f t="shared" si="20"/>
        <v>29818.350000000002</v>
      </c>
      <c r="D661">
        <f t="shared" si="21"/>
        <v>2484.8625000000002</v>
      </c>
    </row>
    <row r="662" spans="1:4" x14ac:dyDescent="0.35">
      <c r="A662" t="s">
        <v>692</v>
      </c>
      <c r="B662">
        <f>Earnings!B662</f>
        <v>1417176.18</v>
      </c>
      <c r="C662">
        <f t="shared" si="20"/>
        <v>237652.85399999999</v>
      </c>
      <c r="D662">
        <f t="shared" si="21"/>
        <v>19804.404500000001</v>
      </c>
    </row>
    <row r="663" spans="1:4" x14ac:dyDescent="0.35">
      <c r="A663" t="s">
        <v>693</v>
      </c>
      <c r="B663">
        <f>Earnings!B663</f>
        <v>1222184</v>
      </c>
      <c r="C663">
        <f t="shared" si="20"/>
        <v>179155.20000000001</v>
      </c>
      <c r="D663">
        <f t="shared" si="21"/>
        <v>14929.6</v>
      </c>
    </row>
    <row r="664" spans="1:4" x14ac:dyDescent="0.35">
      <c r="A664" t="s">
        <v>694</v>
      </c>
      <c r="B664">
        <f>Earnings!B664</f>
        <v>698940.65</v>
      </c>
      <c r="C664">
        <f t="shared" si="20"/>
        <v>52288.130000000005</v>
      </c>
      <c r="D664">
        <f t="shared" si="21"/>
        <v>4357.3441666666668</v>
      </c>
    </row>
    <row r="665" spans="1:4" x14ac:dyDescent="0.35">
      <c r="A665" t="s">
        <v>695</v>
      </c>
      <c r="B665">
        <f>Earnings!B665</f>
        <v>1013360.4</v>
      </c>
      <c r="C665">
        <f t="shared" si="20"/>
        <v>116508.12000000001</v>
      </c>
      <c r="D665">
        <f t="shared" si="21"/>
        <v>9709.01</v>
      </c>
    </row>
    <row r="666" spans="1:4" x14ac:dyDescent="0.35">
      <c r="A666" t="s">
        <v>696</v>
      </c>
      <c r="B666">
        <f>Earnings!B666</f>
        <v>581104.46</v>
      </c>
      <c r="C666">
        <f t="shared" si="20"/>
        <v>28720.891999999993</v>
      </c>
      <c r="D666">
        <f t="shared" si="21"/>
        <v>2393.407666666666</v>
      </c>
    </row>
    <row r="667" spans="1:4" x14ac:dyDescent="0.35">
      <c r="A667" t="s">
        <v>697</v>
      </c>
      <c r="B667">
        <f>Earnings!B667</f>
        <v>893698.8</v>
      </c>
      <c r="C667">
        <f t="shared" si="20"/>
        <v>91239.760000000009</v>
      </c>
      <c r="D667">
        <f t="shared" si="21"/>
        <v>7603.3133333333344</v>
      </c>
    </row>
    <row r="668" spans="1:4" x14ac:dyDescent="0.35">
      <c r="A668" t="s">
        <v>698</v>
      </c>
      <c r="B668">
        <f>Earnings!B668</f>
        <v>1270182.3</v>
      </c>
      <c r="C668">
        <f t="shared" si="20"/>
        <v>193554.69</v>
      </c>
      <c r="D668">
        <f t="shared" si="21"/>
        <v>16129.557500000001</v>
      </c>
    </row>
    <row r="669" spans="1:4" x14ac:dyDescent="0.35">
      <c r="A669" t="s">
        <v>699</v>
      </c>
      <c r="B669">
        <f>Earnings!B669</f>
        <v>837045</v>
      </c>
      <c r="C669">
        <f t="shared" si="20"/>
        <v>79909</v>
      </c>
      <c r="D669">
        <f t="shared" si="21"/>
        <v>6659.083333333333</v>
      </c>
    </row>
    <row r="670" spans="1:4" x14ac:dyDescent="0.35">
      <c r="A670" t="s">
        <v>700</v>
      </c>
      <c r="B670">
        <f>Earnings!B670</f>
        <v>1336237.3999999999</v>
      </c>
      <c r="C670">
        <f t="shared" si="20"/>
        <v>213371.21999999997</v>
      </c>
      <c r="D670">
        <f t="shared" si="21"/>
        <v>17780.934999999998</v>
      </c>
    </row>
    <row r="671" spans="1:4" x14ac:dyDescent="0.35">
      <c r="A671" t="s">
        <v>701</v>
      </c>
      <c r="B671">
        <f>Earnings!B671</f>
        <v>1015049.35</v>
      </c>
      <c r="C671">
        <f t="shared" si="20"/>
        <v>117014.80499999999</v>
      </c>
      <c r="D671">
        <f t="shared" si="21"/>
        <v>9751.2337499999994</v>
      </c>
    </row>
    <row r="672" spans="1:4" x14ac:dyDescent="0.35">
      <c r="A672" t="s">
        <v>702</v>
      </c>
      <c r="B672">
        <f>Earnings!B672</f>
        <v>741420</v>
      </c>
      <c r="C672">
        <f t="shared" si="20"/>
        <v>60784</v>
      </c>
      <c r="D672">
        <f t="shared" si="21"/>
        <v>5065.333333333333</v>
      </c>
    </row>
    <row r="673" spans="1:4" x14ac:dyDescent="0.35">
      <c r="A673" t="s">
        <v>703</v>
      </c>
      <c r="B673">
        <f>Earnings!B673</f>
        <v>771504.12</v>
      </c>
      <c r="C673">
        <f t="shared" si="20"/>
        <v>66800.823999999993</v>
      </c>
      <c r="D673">
        <f t="shared" si="21"/>
        <v>5566.7353333333331</v>
      </c>
    </row>
    <row r="674" spans="1:4" x14ac:dyDescent="0.35">
      <c r="A674" t="s">
        <v>704</v>
      </c>
      <c r="B674">
        <f>Earnings!B674</f>
        <v>1555702.04</v>
      </c>
      <c r="C674">
        <f t="shared" si="20"/>
        <v>279210.61199999996</v>
      </c>
      <c r="D674">
        <f t="shared" si="21"/>
        <v>23267.550999999996</v>
      </c>
    </row>
    <row r="675" spans="1:4" x14ac:dyDescent="0.35">
      <c r="A675" t="s">
        <v>705</v>
      </c>
      <c r="B675">
        <f>Earnings!B675</f>
        <v>654546.19999999995</v>
      </c>
      <c r="C675">
        <f t="shared" si="20"/>
        <v>43409.239999999991</v>
      </c>
      <c r="D675">
        <f t="shared" si="21"/>
        <v>3617.436666666666</v>
      </c>
    </row>
    <row r="676" spans="1:4" x14ac:dyDescent="0.35">
      <c r="A676" t="s">
        <v>706</v>
      </c>
      <c r="B676">
        <f>Earnings!B676</f>
        <v>795789.4</v>
      </c>
      <c r="C676">
        <f t="shared" si="20"/>
        <v>71657.88</v>
      </c>
      <c r="D676">
        <f t="shared" si="21"/>
        <v>5971.4900000000007</v>
      </c>
    </row>
    <row r="677" spans="1:4" x14ac:dyDescent="0.35">
      <c r="A677" t="s">
        <v>707</v>
      </c>
      <c r="B677">
        <f>Earnings!B677</f>
        <v>1117394.3999999999</v>
      </c>
      <c r="C677">
        <f t="shared" si="20"/>
        <v>147718.31999999998</v>
      </c>
      <c r="D677">
        <f t="shared" si="21"/>
        <v>12309.859999999999</v>
      </c>
    </row>
    <row r="678" spans="1:4" x14ac:dyDescent="0.35">
      <c r="A678" t="s">
        <v>708</v>
      </c>
      <c r="B678">
        <f>Earnings!B678</f>
        <v>601992</v>
      </c>
      <c r="C678">
        <f t="shared" si="20"/>
        <v>32898.400000000001</v>
      </c>
      <c r="D678">
        <f t="shared" si="21"/>
        <v>2741.5333333333333</v>
      </c>
    </row>
    <row r="679" spans="1:4" x14ac:dyDescent="0.35">
      <c r="A679" t="s">
        <v>709</v>
      </c>
      <c r="B679">
        <f>Earnings!B679</f>
        <v>843695.76</v>
      </c>
      <c r="C679">
        <f t="shared" si="20"/>
        <v>81239.152000000002</v>
      </c>
      <c r="D679">
        <f t="shared" si="21"/>
        <v>6769.9293333333335</v>
      </c>
    </row>
    <row r="680" spans="1:4" x14ac:dyDescent="0.35">
      <c r="A680" t="s">
        <v>710</v>
      </c>
      <c r="B680">
        <f>Earnings!B680</f>
        <v>599333</v>
      </c>
      <c r="C680">
        <f t="shared" si="20"/>
        <v>32366.600000000002</v>
      </c>
      <c r="D680">
        <f t="shared" si="21"/>
        <v>2697.2166666666667</v>
      </c>
    </row>
    <row r="681" spans="1:4" x14ac:dyDescent="0.35">
      <c r="A681" t="s">
        <v>711</v>
      </c>
      <c r="B681">
        <f>Earnings!B681</f>
        <v>965190.3</v>
      </c>
      <c r="C681">
        <f t="shared" si="20"/>
        <v>105538.06000000001</v>
      </c>
      <c r="D681">
        <f t="shared" si="21"/>
        <v>8794.838333333335</v>
      </c>
    </row>
    <row r="682" spans="1:4" x14ac:dyDescent="0.35">
      <c r="A682" t="s">
        <v>712</v>
      </c>
      <c r="B682">
        <f>Earnings!B682</f>
        <v>908514</v>
      </c>
      <c r="C682">
        <f t="shared" si="20"/>
        <v>94202.8</v>
      </c>
      <c r="D682">
        <f t="shared" si="21"/>
        <v>7850.2333333333336</v>
      </c>
    </row>
    <row r="683" spans="1:4" x14ac:dyDescent="0.35">
      <c r="A683" t="s">
        <v>713</v>
      </c>
      <c r="B683">
        <f>Earnings!B683</f>
        <v>1095262.98</v>
      </c>
      <c r="C683">
        <f t="shared" si="20"/>
        <v>141078.894</v>
      </c>
      <c r="D683">
        <f t="shared" si="21"/>
        <v>11756.574500000001</v>
      </c>
    </row>
    <row r="684" spans="1:4" x14ac:dyDescent="0.35">
      <c r="A684" t="s">
        <v>714</v>
      </c>
      <c r="B684">
        <f>Earnings!B684</f>
        <v>704144.75</v>
      </c>
      <c r="C684">
        <f t="shared" si="20"/>
        <v>53328.950000000004</v>
      </c>
      <c r="D684">
        <f t="shared" si="21"/>
        <v>4444.0791666666673</v>
      </c>
    </row>
    <row r="685" spans="1:4" x14ac:dyDescent="0.35">
      <c r="A685" t="s">
        <v>715</v>
      </c>
      <c r="B685">
        <f>Earnings!B685</f>
        <v>827365</v>
      </c>
      <c r="C685">
        <f t="shared" si="20"/>
        <v>77973</v>
      </c>
      <c r="D685">
        <f t="shared" si="21"/>
        <v>6497.75</v>
      </c>
    </row>
    <row r="686" spans="1:4" x14ac:dyDescent="0.35">
      <c r="A686" t="s">
        <v>716</v>
      </c>
      <c r="B686">
        <f>Earnings!B686</f>
        <v>1758883.58</v>
      </c>
      <c r="C686">
        <f t="shared" si="20"/>
        <v>340165.07400000002</v>
      </c>
      <c r="D686">
        <f t="shared" si="21"/>
        <v>28347.089500000002</v>
      </c>
    </row>
    <row r="687" spans="1:4" x14ac:dyDescent="0.35">
      <c r="A687" t="s">
        <v>717</v>
      </c>
      <c r="B687">
        <f>Earnings!B687</f>
        <v>975245.11</v>
      </c>
      <c r="C687">
        <f t="shared" si="20"/>
        <v>107549.022</v>
      </c>
      <c r="D687">
        <f t="shared" si="21"/>
        <v>8962.4184999999998</v>
      </c>
    </row>
    <row r="688" spans="1:4" x14ac:dyDescent="0.35">
      <c r="A688" t="s">
        <v>718</v>
      </c>
      <c r="B688">
        <f>Earnings!B688</f>
        <v>1060915.8</v>
      </c>
      <c r="C688">
        <f t="shared" si="20"/>
        <v>130774.74000000002</v>
      </c>
      <c r="D688">
        <f t="shared" si="21"/>
        <v>10897.895000000002</v>
      </c>
    </row>
    <row r="689" spans="1:4" x14ac:dyDescent="0.35">
      <c r="A689" t="s">
        <v>719</v>
      </c>
      <c r="B689">
        <f>Earnings!B689</f>
        <v>912067.2</v>
      </c>
      <c r="C689">
        <f t="shared" si="20"/>
        <v>94913.44</v>
      </c>
      <c r="D689">
        <f t="shared" si="21"/>
        <v>7909.4533333333338</v>
      </c>
    </row>
    <row r="690" spans="1:4" x14ac:dyDescent="0.35">
      <c r="A690" t="s">
        <v>720</v>
      </c>
      <c r="B690">
        <f>Earnings!B690</f>
        <v>716997.02</v>
      </c>
      <c r="C690">
        <f t="shared" si="20"/>
        <v>55899.40400000001</v>
      </c>
      <c r="D690">
        <f t="shared" si="21"/>
        <v>4658.2836666666672</v>
      </c>
    </row>
    <row r="691" spans="1:4" x14ac:dyDescent="0.35">
      <c r="A691" t="s">
        <v>721</v>
      </c>
      <c r="B691">
        <f>Earnings!B691</f>
        <v>1114601.18</v>
      </c>
      <c r="C691">
        <f t="shared" si="20"/>
        <v>146880.35399999999</v>
      </c>
      <c r="D691">
        <f t="shared" si="21"/>
        <v>12240.029499999999</v>
      </c>
    </row>
    <row r="692" spans="1:4" x14ac:dyDescent="0.35">
      <c r="A692" t="s">
        <v>722</v>
      </c>
      <c r="B692">
        <f>Earnings!B692</f>
        <v>548281.86</v>
      </c>
      <c r="C692">
        <f t="shared" si="20"/>
        <v>22156.371999999996</v>
      </c>
      <c r="D692">
        <f t="shared" si="21"/>
        <v>1846.364333333333</v>
      </c>
    </row>
    <row r="693" spans="1:4" x14ac:dyDescent="0.35">
      <c r="A693" t="s">
        <v>723</v>
      </c>
      <c r="B693">
        <f>Earnings!B693</f>
        <v>974455.47</v>
      </c>
      <c r="C693">
        <f t="shared" si="20"/>
        <v>107391.094</v>
      </c>
      <c r="D693">
        <f t="shared" si="21"/>
        <v>8949.2578333333331</v>
      </c>
    </row>
    <row r="694" spans="1:4" x14ac:dyDescent="0.35">
      <c r="A694" t="s">
        <v>724</v>
      </c>
      <c r="B694">
        <f>Earnings!B694</f>
        <v>709280.8</v>
      </c>
      <c r="C694">
        <f t="shared" si="20"/>
        <v>54356.160000000011</v>
      </c>
      <c r="D694">
        <f t="shared" si="21"/>
        <v>4529.6800000000012</v>
      </c>
    </row>
    <row r="695" spans="1:4" x14ac:dyDescent="0.35">
      <c r="A695" t="s">
        <v>725</v>
      </c>
      <c r="B695">
        <f>Earnings!B695</f>
        <v>1906298.4</v>
      </c>
      <c r="C695">
        <f t="shared" si="20"/>
        <v>384389.51999999996</v>
      </c>
      <c r="D695">
        <f t="shared" si="21"/>
        <v>32032.459999999995</v>
      </c>
    </row>
    <row r="696" spans="1:4" x14ac:dyDescent="0.35">
      <c r="A696" t="s">
        <v>726</v>
      </c>
      <c r="B696">
        <f>Earnings!B696</f>
        <v>1104937</v>
      </c>
      <c r="C696">
        <f t="shared" si="20"/>
        <v>143981.1</v>
      </c>
      <c r="D696">
        <f t="shared" si="21"/>
        <v>11998.425000000001</v>
      </c>
    </row>
    <row r="697" spans="1:4" x14ac:dyDescent="0.35">
      <c r="A697" t="s">
        <v>727</v>
      </c>
      <c r="B697">
        <f>Earnings!B697</f>
        <v>777481.2</v>
      </c>
      <c r="C697">
        <f t="shared" si="20"/>
        <v>67996.239999999991</v>
      </c>
      <c r="D697">
        <f t="shared" si="21"/>
        <v>5666.3533333333326</v>
      </c>
    </row>
    <row r="698" spans="1:4" x14ac:dyDescent="0.35">
      <c r="A698" t="s">
        <v>728</v>
      </c>
      <c r="B698">
        <f>Earnings!B698</f>
        <v>816584</v>
      </c>
      <c r="C698">
        <f t="shared" si="20"/>
        <v>75816.800000000003</v>
      </c>
      <c r="D698">
        <f t="shared" si="21"/>
        <v>6318.0666666666666</v>
      </c>
    </row>
    <row r="699" spans="1:4" x14ac:dyDescent="0.35">
      <c r="A699" t="s">
        <v>729</v>
      </c>
      <c r="B699">
        <f>Earnings!B699</f>
        <v>564900.4</v>
      </c>
      <c r="C699">
        <f t="shared" si="20"/>
        <v>25480.080000000005</v>
      </c>
      <c r="D699">
        <f t="shared" si="21"/>
        <v>2123.3400000000006</v>
      </c>
    </row>
    <row r="700" spans="1:4" x14ac:dyDescent="0.35">
      <c r="A700" t="s">
        <v>730</v>
      </c>
      <c r="B700">
        <f>Earnings!B700</f>
        <v>1550327.32</v>
      </c>
      <c r="C700">
        <f t="shared" si="20"/>
        <v>277598.196</v>
      </c>
      <c r="D700">
        <f t="shared" si="21"/>
        <v>23133.183000000001</v>
      </c>
    </row>
    <row r="701" spans="1:4" x14ac:dyDescent="0.35">
      <c r="A701" t="s">
        <v>731</v>
      </c>
      <c r="B701">
        <f>Earnings!B701</f>
        <v>1165438.3999999999</v>
      </c>
      <c r="C701">
        <f t="shared" si="20"/>
        <v>162131.51999999996</v>
      </c>
      <c r="D701">
        <f t="shared" si="21"/>
        <v>13510.959999999997</v>
      </c>
    </row>
    <row r="702" spans="1:4" x14ac:dyDescent="0.35">
      <c r="A702" t="s">
        <v>732</v>
      </c>
      <c r="B702">
        <f>Earnings!B702</f>
        <v>1204689.7</v>
      </c>
      <c r="C702">
        <f t="shared" si="20"/>
        <v>173906.90999999997</v>
      </c>
      <c r="D702">
        <f t="shared" si="21"/>
        <v>14492.242499999998</v>
      </c>
    </row>
    <row r="703" spans="1:4" x14ac:dyDescent="0.35">
      <c r="A703" t="s">
        <v>733</v>
      </c>
      <c r="B703">
        <f>Earnings!B703</f>
        <v>1566514.47</v>
      </c>
      <c r="C703">
        <f t="shared" si="20"/>
        <v>282454.34100000001</v>
      </c>
      <c r="D703">
        <f t="shared" si="21"/>
        <v>23537.86175</v>
      </c>
    </row>
    <row r="704" spans="1:4" x14ac:dyDescent="0.35">
      <c r="A704" t="s">
        <v>734</v>
      </c>
      <c r="B704">
        <f>Earnings!B704</f>
        <v>1064080.75</v>
      </c>
      <c r="C704">
        <f t="shared" si="20"/>
        <v>131724.22500000001</v>
      </c>
      <c r="D704">
        <f t="shared" si="21"/>
        <v>10977.018750000001</v>
      </c>
    </row>
    <row r="705" spans="1:4" x14ac:dyDescent="0.35">
      <c r="A705" t="s">
        <v>735</v>
      </c>
      <c r="B705">
        <f>Earnings!B705</f>
        <v>1061060.1000000001</v>
      </c>
      <c r="C705">
        <f t="shared" si="20"/>
        <v>130818.03000000003</v>
      </c>
      <c r="D705">
        <f t="shared" si="21"/>
        <v>10901.502500000002</v>
      </c>
    </row>
    <row r="706" spans="1:4" x14ac:dyDescent="0.35">
      <c r="A706" t="s">
        <v>736</v>
      </c>
      <c r="B706">
        <f>Earnings!B706</f>
        <v>734183.8</v>
      </c>
      <c r="C706">
        <f t="shared" ref="C706:C769" si="22">IF(B706&lt;=250000,0,IF(B706&lt;=500000,(B706-250000)*0.05,IF(B706&lt;=1000000,12500+(B706-500000)*0.2,112500+(B706-1000000)*0.3)))</f>
        <v>59336.760000000009</v>
      </c>
      <c r="D706">
        <f t="shared" ref="D706:D769" si="23">C706/12</f>
        <v>4944.7300000000005</v>
      </c>
    </row>
    <row r="707" spans="1:4" x14ac:dyDescent="0.35">
      <c r="A707" t="s">
        <v>737</v>
      </c>
      <c r="B707">
        <f>Earnings!B707</f>
        <v>1037680.8</v>
      </c>
      <c r="C707">
        <f t="shared" si="22"/>
        <v>123804.24000000002</v>
      </c>
      <c r="D707">
        <f t="shared" si="23"/>
        <v>10317.020000000002</v>
      </c>
    </row>
    <row r="708" spans="1:4" x14ac:dyDescent="0.35">
      <c r="A708" t="s">
        <v>738</v>
      </c>
      <c r="B708">
        <f>Earnings!B708</f>
        <v>640678.80000000005</v>
      </c>
      <c r="C708">
        <f t="shared" si="22"/>
        <v>40635.760000000009</v>
      </c>
      <c r="D708">
        <f t="shared" si="23"/>
        <v>3386.313333333334</v>
      </c>
    </row>
    <row r="709" spans="1:4" x14ac:dyDescent="0.35">
      <c r="A709" t="s">
        <v>739</v>
      </c>
      <c r="B709">
        <f>Earnings!B709</f>
        <v>853087.2</v>
      </c>
      <c r="C709">
        <f t="shared" si="22"/>
        <v>83117.439999999988</v>
      </c>
      <c r="D709">
        <f t="shared" si="23"/>
        <v>6926.453333333332</v>
      </c>
    </row>
    <row r="710" spans="1:4" x14ac:dyDescent="0.35">
      <c r="A710" t="s">
        <v>740</v>
      </c>
      <c r="B710">
        <f>Earnings!B710</f>
        <v>1970424.4</v>
      </c>
      <c r="C710">
        <f t="shared" si="22"/>
        <v>403627.31999999995</v>
      </c>
      <c r="D710">
        <f t="shared" si="23"/>
        <v>33635.609999999993</v>
      </c>
    </row>
    <row r="711" spans="1:4" x14ac:dyDescent="0.35">
      <c r="A711" t="s">
        <v>741</v>
      </c>
      <c r="B711">
        <f>Earnings!B711</f>
        <v>914761.2</v>
      </c>
      <c r="C711">
        <f t="shared" si="22"/>
        <v>95452.239999999991</v>
      </c>
      <c r="D711">
        <f t="shared" si="23"/>
        <v>7954.3533333333326</v>
      </c>
    </row>
    <row r="712" spans="1:4" x14ac:dyDescent="0.35">
      <c r="A712" t="s">
        <v>742</v>
      </c>
      <c r="B712">
        <f>Earnings!B712</f>
        <v>1170237.6000000001</v>
      </c>
      <c r="C712">
        <f t="shared" si="22"/>
        <v>163571.28000000003</v>
      </c>
      <c r="D712">
        <f t="shared" si="23"/>
        <v>13630.940000000002</v>
      </c>
    </row>
    <row r="713" spans="1:4" x14ac:dyDescent="0.35">
      <c r="A713" t="s">
        <v>743</v>
      </c>
      <c r="B713">
        <f>Earnings!B713</f>
        <v>1129442.3999999999</v>
      </c>
      <c r="C713">
        <f t="shared" si="22"/>
        <v>151332.71999999997</v>
      </c>
      <c r="D713">
        <f t="shared" si="23"/>
        <v>12611.059999999998</v>
      </c>
    </row>
    <row r="714" spans="1:4" x14ac:dyDescent="0.35">
      <c r="A714" t="s">
        <v>744</v>
      </c>
      <c r="B714">
        <f>Earnings!B714</f>
        <v>884412</v>
      </c>
      <c r="C714">
        <f t="shared" si="22"/>
        <v>89382.400000000009</v>
      </c>
      <c r="D714">
        <f t="shared" si="23"/>
        <v>7448.5333333333338</v>
      </c>
    </row>
    <row r="715" spans="1:4" x14ac:dyDescent="0.35">
      <c r="A715" t="s">
        <v>745</v>
      </c>
      <c r="B715">
        <f>Earnings!B715</f>
        <v>827842.8</v>
      </c>
      <c r="C715">
        <f t="shared" si="22"/>
        <v>78068.560000000012</v>
      </c>
      <c r="D715">
        <f t="shared" si="23"/>
        <v>6505.713333333334</v>
      </c>
    </row>
    <row r="716" spans="1:4" x14ac:dyDescent="0.35">
      <c r="A716" t="s">
        <v>746</v>
      </c>
      <c r="B716">
        <f>Earnings!B716</f>
        <v>929601.4</v>
      </c>
      <c r="C716">
        <f t="shared" si="22"/>
        <v>98420.280000000013</v>
      </c>
      <c r="D716">
        <f t="shared" si="23"/>
        <v>8201.69</v>
      </c>
    </row>
    <row r="717" spans="1:4" x14ac:dyDescent="0.35">
      <c r="A717" t="s">
        <v>747</v>
      </c>
      <c r="B717">
        <f>Earnings!B717</f>
        <v>1303921.3600000001</v>
      </c>
      <c r="C717">
        <f t="shared" si="22"/>
        <v>203676.40800000002</v>
      </c>
      <c r="D717">
        <f t="shared" si="23"/>
        <v>16973.034000000003</v>
      </c>
    </row>
    <row r="718" spans="1:4" x14ac:dyDescent="0.35">
      <c r="A718" t="s">
        <v>748</v>
      </c>
      <c r="B718">
        <f>Earnings!B718</f>
        <v>1697050.07</v>
      </c>
      <c r="C718">
        <f t="shared" si="22"/>
        <v>321615.02100000001</v>
      </c>
      <c r="D718">
        <f t="shared" si="23"/>
        <v>26801.251749999999</v>
      </c>
    </row>
    <row r="719" spans="1:4" x14ac:dyDescent="0.35">
      <c r="A719" t="s">
        <v>749</v>
      </c>
      <c r="B719">
        <f>Earnings!B719</f>
        <v>1083664.8</v>
      </c>
      <c r="C719">
        <f t="shared" si="22"/>
        <v>137599.44</v>
      </c>
      <c r="D719">
        <f t="shared" si="23"/>
        <v>11466.62</v>
      </c>
    </row>
    <row r="720" spans="1:4" x14ac:dyDescent="0.35">
      <c r="A720" t="s">
        <v>750</v>
      </c>
      <c r="B720">
        <f>Earnings!B720</f>
        <v>888073.2</v>
      </c>
      <c r="C720">
        <f t="shared" si="22"/>
        <v>90114.64</v>
      </c>
      <c r="D720">
        <f t="shared" si="23"/>
        <v>7509.5533333333333</v>
      </c>
    </row>
    <row r="721" spans="1:4" x14ac:dyDescent="0.35">
      <c r="A721" t="s">
        <v>751</v>
      </c>
      <c r="B721">
        <f>Earnings!B721</f>
        <v>1172176.8</v>
      </c>
      <c r="C721">
        <f t="shared" si="22"/>
        <v>164153.04</v>
      </c>
      <c r="D721">
        <f t="shared" si="23"/>
        <v>13679.42</v>
      </c>
    </row>
    <row r="722" spans="1:4" x14ac:dyDescent="0.35">
      <c r="A722" t="s">
        <v>752</v>
      </c>
      <c r="B722">
        <f>Earnings!B722</f>
        <v>2218132.7999999998</v>
      </c>
      <c r="C722">
        <f t="shared" si="22"/>
        <v>477939.83999999991</v>
      </c>
      <c r="D722">
        <f t="shared" si="23"/>
        <v>39828.319999999992</v>
      </c>
    </row>
    <row r="723" spans="1:4" x14ac:dyDescent="0.35">
      <c r="A723" t="s">
        <v>753</v>
      </c>
      <c r="B723">
        <f>Earnings!B723</f>
        <v>554965</v>
      </c>
      <c r="C723">
        <f t="shared" si="22"/>
        <v>23493</v>
      </c>
      <c r="D723">
        <f t="shared" si="23"/>
        <v>1957.75</v>
      </c>
    </row>
    <row r="724" spans="1:4" x14ac:dyDescent="0.35">
      <c r="A724" t="s">
        <v>754</v>
      </c>
      <c r="B724">
        <f>Earnings!B724</f>
        <v>1375180.8</v>
      </c>
      <c r="C724">
        <f t="shared" si="22"/>
        <v>225054.24</v>
      </c>
      <c r="D724">
        <f t="shared" si="23"/>
        <v>18754.52</v>
      </c>
    </row>
    <row r="725" spans="1:4" x14ac:dyDescent="0.35">
      <c r="A725" t="s">
        <v>755</v>
      </c>
      <c r="B725">
        <f>Earnings!B725</f>
        <v>1330329.6000000001</v>
      </c>
      <c r="C725">
        <f t="shared" si="22"/>
        <v>211598.88</v>
      </c>
      <c r="D725">
        <f t="shared" si="23"/>
        <v>17633.240000000002</v>
      </c>
    </row>
    <row r="726" spans="1:4" x14ac:dyDescent="0.35">
      <c r="A726" t="s">
        <v>756</v>
      </c>
      <c r="B726">
        <f>Earnings!B726</f>
        <v>777481.9</v>
      </c>
      <c r="C726">
        <f t="shared" si="22"/>
        <v>67996.38</v>
      </c>
      <c r="D726">
        <f t="shared" si="23"/>
        <v>5666.3650000000007</v>
      </c>
    </row>
    <row r="727" spans="1:4" x14ac:dyDescent="0.35">
      <c r="A727" t="s">
        <v>757</v>
      </c>
      <c r="B727">
        <f>Earnings!B727</f>
        <v>2058655.03</v>
      </c>
      <c r="C727">
        <f t="shared" si="22"/>
        <v>430096.50900000002</v>
      </c>
      <c r="D727">
        <f t="shared" si="23"/>
        <v>35841.375749999999</v>
      </c>
    </row>
    <row r="728" spans="1:4" x14ac:dyDescent="0.35">
      <c r="A728" t="s">
        <v>758</v>
      </c>
      <c r="B728">
        <f>Earnings!B728</f>
        <v>1592697.4</v>
      </c>
      <c r="C728">
        <f t="shared" si="22"/>
        <v>290309.21999999997</v>
      </c>
      <c r="D728">
        <f t="shared" si="23"/>
        <v>24192.434999999998</v>
      </c>
    </row>
    <row r="729" spans="1:4" x14ac:dyDescent="0.35">
      <c r="A729" t="s">
        <v>759</v>
      </c>
      <c r="B729">
        <f>Earnings!B729</f>
        <v>1115480.5</v>
      </c>
      <c r="C729">
        <f t="shared" si="22"/>
        <v>147144.15</v>
      </c>
      <c r="D729">
        <f t="shared" si="23"/>
        <v>12262.012499999999</v>
      </c>
    </row>
    <row r="730" spans="1:4" x14ac:dyDescent="0.35">
      <c r="A730" t="s">
        <v>760</v>
      </c>
      <c r="B730">
        <f>Earnings!B730</f>
        <v>1025472.75</v>
      </c>
      <c r="C730">
        <f t="shared" si="22"/>
        <v>120141.825</v>
      </c>
      <c r="D730">
        <f t="shared" si="23"/>
        <v>10011.81875</v>
      </c>
    </row>
    <row r="731" spans="1:4" x14ac:dyDescent="0.35">
      <c r="A731" t="s">
        <v>761</v>
      </c>
      <c r="B731">
        <f>Earnings!B731</f>
        <v>673918</v>
      </c>
      <c r="C731">
        <f t="shared" si="22"/>
        <v>47283.6</v>
      </c>
      <c r="D731">
        <f t="shared" si="23"/>
        <v>3940.2999999999997</v>
      </c>
    </row>
    <row r="732" spans="1:4" x14ac:dyDescent="0.35">
      <c r="A732" t="s">
        <v>762</v>
      </c>
      <c r="B732">
        <f>Earnings!B732</f>
        <v>1260924</v>
      </c>
      <c r="C732">
        <f t="shared" si="22"/>
        <v>190777.2</v>
      </c>
      <c r="D732">
        <f t="shared" si="23"/>
        <v>15898.1</v>
      </c>
    </row>
    <row r="733" spans="1:4" x14ac:dyDescent="0.35">
      <c r="A733" t="s">
        <v>763</v>
      </c>
      <c r="B733">
        <f>Earnings!B733</f>
        <v>589076</v>
      </c>
      <c r="C733">
        <f t="shared" si="22"/>
        <v>30315.200000000001</v>
      </c>
      <c r="D733">
        <f t="shared" si="23"/>
        <v>2526.2666666666669</v>
      </c>
    </row>
    <row r="734" spans="1:4" x14ac:dyDescent="0.35">
      <c r="A734" t="s">
        <v>764</v>
      </c>
      <c r="B734">
        <f>Earnings!B734</f>
        <v>625150.4</v>
      </c>
      <c r="C734">
        <f t="shared" si="22"/>
        <v>37530.080000000002</v>
      </c>
      <c r="D734">
        <f t="shared" si="23"/>
        <v>3127.5066666666667</v>
      </c>
    </row>
    <row r="735" spans="1:4" x14ac:dyDescent="0.35">
      <c r="A735" t="s">
        <v>765</v>
      </c>
      <c r="B735">
        <f>Earnings!B735</f>
        <v>1139880.49</v>
      </c>
      <c r="C735">
        <f t="shared" si="22"/>
        <v>154464.147</v>
      </c>
      <c r="D735">
        <f t="shared" si="23"/>
        <v>12872.01225</v>
      </c>
    </row>
    <row r="736" spans="1:4" x14ac:dyDescent="0.35">
      <c r="A736" t="s">
        <v>766</v>
      </c>
      <c r="B736">
        <f>Earnings!B736</f>
        <v>1461052.6</v>
      </c>
      <c r="C736">
        <f t="shared" si="22"/>
        <v>250815.78000000003</v>
      </c>
      <c r="D736">
        <f t="shared" si="23"/>
        <v>20901.315000000002</v>
      </c>
    </row>
    <row r="737" spans="1:4" x14ac:dyDescent="0.35">
      <c r="A737" t="s">
        <v>767</v>
      </c>
      <c r="B737">
        <f>Earnings!B737</f>
        <v>334489</v>
      </c>
      <c r="C737">
        <f t="shared" si="22"/>
        <v>4224.45</v>
      </c>
      <c r="D737">
        <f t="shared" si="23"/>
        <v>352.03749999999997</v>
      </c>
    </row>
    <row r="738" spans="1:4" x14ac:dyDescent="0.35">
      <c r="A738" t="s">
        <v>768</v>
      </c>
      <c r="B738">
        <f>Earnings!B738</f>
        <v>1698384.8</v>
      </c>
      <c r="C738">
        <f t="shared" si="22"/>
        <v>322015.44</v>
      </c>
      <c r="D738">
        <f t="shared" si="23"/>
        <v>26834.62</v>
      </c>
    </row>
    <row r="739" spans="1:4" x14ac:dyDescent="0.35">
      <c r="A739" t="s">
        <v>769</v>
      </c>
      <c r="B739">
        <f>Earnings!B739</f>
        <v>1878009.21</v>
      </c>
      <c r="C739">
        <f t="shared" si="22"/>
        <v>375902.76299999998</v>
      </c>
      <c r="D739">
        <f t="shared" si="23"/>
        <v>31325.230249999997</v>
      </c>
    </row>
    <row r="740" spans="1:4" x14ac:dyDescent="0.35">
      <c r="A740" t="s">
        <v>770</v>
      </c>
      <c r="B740">
        <f>Earnings!B740</f>
        <v>1342737.2</v>
      </c>
      <c r="C740">
        <f t="shared" si="22"/>
        <v>215321.15999999997</v>
      </c>
      <c r="D740">
        <f t="shared" si="23"/>
        <v>17943.429999999997</v>
      </c>
    </row>
    <row r="741" spans="1:4" x14ac:dyDescent="0.35">
      <c r="A741" t="s">
        <v>771</v>
      </c>
      <c r="B741">
        <f>Earnings!B741</f>
        <v>1101604</v>
      </c>
      <c r="C741">
        <f t="shared" si="22"/>
        <v>142981.20000000001</v>
      </c>
      <c r="D741">
        <f t="shared" si="23"/>
        <v>11915.1</v>
      </c>
    </row>
    <row r="742" spans="1:4" x14ac:dyDescent="0.35">
      <c r="A742" t="s">
        <v>772</v>
      </c>
      <c r="B742">
        <f>Earnings!B742</f>
        <v>1363216.75</v>
      </c>
      <c r="C742">
        <f t="shared" si="22"/>
        <v>221465.02499999999</v>
      </c>
      <c r="D742">
        <f t="shared" si="23"/>
        <v>18455.418750000001</v>
      </c>
    </row>
    <row r="743" spans="1:4" x14ac:dyDescent="0.35">
      <c r="A743" t="s">
        <v>773</v>
      </c>
      <c r="B743">
        <f>Earnings!B743</f>
        <v>993328.8</v>
      </c>
      <c r="C743">
        <f t="shared" si="22"/>
        <v>111165.76000000001</v>
      </c>
      <c r="D743">
        <f t="shared" si="23"/>
        <v>9263.8133333333335</v>
      </c>
    </row>
    <row r="744" spans="1:4" x14ac:dyDescent="0.35">
      <c r="A744" t="s">
        <v>774</v>
      </c>
      <c r="B744">
        <f>Earnings!B744</f>
        <v>1687139.58</v>
      </c>
      <c r="C744">
        <f t="shared" si="22"/>
        <v>318641.87400000001</v>
      </c>
      <c r="D744">
        <f t="shared" si="23"/>
        <v>26553.4895</v>
      </c>
    </row>
    <row r="745" spans="1:4" x14ac:dyDescent="0.35">
      <c r="A745" t="s">
        <v>775</v>
      </c>
      <c r="B745">
        <f>Earnings!B745</f>
        <v>1440977.86</v>
      </c>
      <c r="C745">
        <f t="shared" si="22"/>
        <v>244793.35800000004</v>
      </c>
      <c r="D745">
        <f t="shared" si="23"/>
        <v>20399.446500000002</v>
      </c>
    </row>
    <row r="746" spans="1:4" x14ac:dyDescent="0.35">
      <c r="A746" t="s">
        <v>776</v>
      </c>
      <c r="B746">
        <f>Earnings!B746</f>
        <v>654740.4</v>
      </c>
      <c r="C746">
        <f t="shared" si="22"/>
        <v>43448.08</v>
      </c>
      <c r="D746">
        <f t="shared" si="23"/>
        <v>3620.6733333333336</v>
      </c>
    </row>
    <row r="747" spans="1:4" x14ac:dyDescent="0.35">
      <c r="A747" t="s">
        <v>777</v>
      </c>
      <c r="B747">
        <f>Earnings!B747</f>
        <v>1555548</v>
      </c>
      <c r="C747">
        <f t="shared" si="22"/>
        <v>279164.40000000002</v>
      </c>
      <c r="D747">
        <f t="shared" si="23"/>
        <v>23263.7</v>
      </c>
    </row>
    <row r="748" spans="1:4" x14ac:dyDescent="0.35">
      <c r="A748" t="s">
        <v>778</v>
      </c>
      <c r="B748">
        <f>Earnings!B748</f>
        <v>1224985.1000000001</v>
      </c>
      <c r="C748">
        <f t="shared" si="22"/>
        <v>179995.53000000003</v>
      </c>
      <c r="D748">
        <f t="shared" si="23"/>
        <v>14999.627500000002</v>
      </c>
    </row>
    <row r="749" spans="1:4" x14ac:dyDescent="0.35">
      <c r="A749" t="s">
        <v>779</v>
      </c>
      <c r="B749">
        <f>Earnings!B749</f>
        <v>975174.05</v>
      </c>
      <c r="C749">
        <f t="shared" si="22"/>
        <v>107534.81000000001</v>
      </c>
      <c r="D749">
        <f t="shared" si="23"/>
        <v>8961.2341666666671</v>
      </c>
    </row>
    <row r="750" spans="1:4" x14ac:dyDescent="0.35">
      <c r="A750" t="s">
        <v>780</v>
      </c>
      <c r="B750">
        <f>Earnings!B750</f>
        <v>927576.1</v>
      </c>
      <c r="C750">
        <f t="shared" si="22"/>
        <v>98015.22</v>
      </c>
      <c r="D750">
        <f t="shared" si="23"/>
        <v>8167.9350000000004</v>
      </c>
    </row>
    <row r="751" spans="1:4" x14ac:dyDescent="0.35">
      <c r="A751" t="s">
        <v>781</v>
      </c>
      <c r="B751">
        <f>Earnings!B751</f>
        <v>1538639.76</v>
      </c>
      <c r="C751">
        <f t="shared" si="22"/>
        <v>274091.92799999996</v>
      </c>
      <c r="D751">
        <f t="shared" si="23"/>
        <v>22840.993999999995</v>
      </c>
    </row>
    <row r="752" spans="1:4" x14ac:dyDescent="0.35">
      <c r="A752" t="s">
        <v>782</v>
      </c>
      <c r="B752">
        <f>Earnings!B752</f>
        <v>604893.5</v>
      </c>
      <c r="C752">
        <f t="shared" si="22"/>
        <v>33478.699999999997</v>
      </c>
      <c r="D752">
        <f t="shared" si="23"/>
        <v>2789.8916666666664</v>
      </c>
    </row>
    <row r="753" spans="1:4" x14ac:dyDescent="0.35">
      <c r="A753" t="s">
        <v>783</v>
      </c>
      <c r="B753">
        <f>Earnings!B753</f>
        <v>572482.80000000005</v>
      </c>
      <c r="C753">
        <f t="shared" si="22"/>
        <v>26996.560000000012</v>
      </c>
      <c r="D753">
        <f t="shared" si="23"/>
        <v>2249.7133333333345</v>
      </c>
    </row>
    <row r="754" spans="1:4" x14ac:dyDescent="0.35">
      <c r="A754" t="s">
        <v>784</v>
      </c>
      <c r="B754">
        <f>Earnings!B754</f>
        <v>1068681.6000000001</v>
      </c>
      <c r="C754">
        <f t="shared" si="22"/>
        <v>133104.48000000004</v>
      </c>
      <c r="D754">
        <f t="shared" si="23"/>
        <v>11092.040000000003</v>
      </c>
    </row>
    <row r="755" spans="1:4" x14ac:dyDescent="0.35">
      <c r="A755" t="s">
        <v>785</v>
      </c>
      <c r="B755">
        <f>Earnings!B755</f>
        <v>1984612.13</v>
      </c>
      <c r="C755">
        <f t="shared" si="22"/>
        <v>407883.63899999997</v>
      </c>
      <c r="D755">
        <f t="shared" si="23"/>
        <v>33990.303249999997</v>
      </c>
    </row>
    <row r="756" spans="1:4" x14ac:dyDescent="0.35">
      <c r="A756" t="s">
        <v>786</v>
      </c>
      <c r="B756">
        <f>Earnings!B756</f>
        <v>1468206.95</v>
      </c>
      <c r="C756">
        <f t="shared" si="22"/>
        <v>252962.08499999999</v>
      </c>
      <c r="D756">
        <f t="shared" si="23"/>
        <v>21080.173749999998</v>
      </c>
    </row>
    <row r="757" spans="1:4" x14ac:dyDescent="0.35">
      <c r="A757" t="s">
        <v>787</v>
      </c>
      <c r="B757">
        <f>Earnings!B757</f>
        <v>678277.2</v>
      </c>
      <c r="C757">
        <f t="shared" si="22"/>
        <v>48155.439999999995</v>
      </c>
      <c r="D757">
        <f t="shared" si="23"/>
        <v>4012.9533333333329</v>
      </c>
    </row>
    <row r="758" spans="1:4" x14ac:dyDescent="0.35">
      <c r="A758" t="s">
        <v>788</v>
      </c>
      <c r="B758">
        <f>Earnings!B758</f>
        <v>1513944.6</v>
      </c>
      <c r="C758">
        <f t="shared" si="22"/>
        <v>266683.38</v>
      </c>
      <c r="D758">
        <f t="shared" si="23"/>
        <v>22223.615000000002</v>
      </c>
    </row>
    <row r="759" spans="1:4" x14ac:dyDescent="0.35">
      <c r="A759" t="s">
        <v>789</v>
      </c>
      <c r="B759">
        <f>Earnings!B759</f>
        <v>955397.52</v>
      </c>
      <c r="C759">
        <f t="shared" si="22"/>
        <v>103579.50400000002</v>
      </c>
      <c r="D759">
        <f t="shared" si="23"/>
        <v>8631.6253333333352</v>
      </c>
    </row>
    <row r="760" spans="1:4" x14ac:dyDescent="0.35">
      <c r="A760" t="s">
        <v>790</v>
      </c>
      <c r="B760">
        <f>Earnings!B760</f>
        <v>1045663.2</v>
      </c>
      <c r="C760">
        <f t="shared" si="22"/>
        <v>126198.95999999999</v>
      </c>
      <c r="D760">
        <f t="shared" si="23"/>
        <v>10516.58</v>
      </c>
    </row>
    <row r="761" spans="1:4" x14ac:dyDescent="0.35">
      <c r="A761" t="s">
        <v>791</v>
      </c>
      <c r="B761">
        <f>Earnings!B761</f>
        <v>938682.08</v>
      </c>
      <c r="C761">
        <f t="shared" si="22"/>
        <v>100236.416</v>
      </c>
      <c r="D761">
        <f t="shared" si="23"/>
        <v>8353.0346666666665</v>
      </c>
    </row>
    <row r="762" spans="1:4" x14ac:dyDescent="0.35">
      <c r="A762" t="s">
        <v>792</v>
      </c>
      <c r="B762">
        <f>Earnings!B762</f>
        <v>1099740.8999999999</v>
      </c>
      <c r="C762">
        <f t="shared" si="22"/>
        <v>142422.26999999996</v>
      </c>
      <c r="D762">
        <f t="shared" si="23"/>
        <v>11868.522499999997</v>
      </c>
    </row>
    <row r="763" spans="1:4" x14ac:dyDescent="0.35">
      <c r="A763" t="s">
        <v>793</v>
      </c>
      <c r="B763">
        <f>Earnings!B763</f>
        <v>1682556.3</v>
      </c>
      <c r="C763">
        <f t="shared" si="22"/>
        <v>317266.89</v>
      </c>
      <c r="D763">
        <f t="shared" si="23"/>
        <v>26438.907500000001</v>
      </c>
    </row>
    <row r="764" spans="1:4" x14ac:dyDescent="0.35">
      <c r="A764" t="s">
        <v>794</v>
      </c>
      <c r="B764">
        <f>Earnings!B764</f>
        <v>851002.02</v>
      </c>
      <c r="C764">
        <f t="shared" si="22"/>
        <v>82700.40400000001</v>
      </c>
      <c r="D764">
        <f t="shared" si="23"/>
        <v>6891.7003333333341</v>
      </c>
    </row>
    <row r="765" spans="1:4" x14ac:dyDescent="0.35">
      <c r="A765" t="s">
        <v>795</v>
      </c>
      <c r="B765">
        <f>Earnings!B765</f>
        <v>1209367.67</v>
      </c>
      <c r="C765">
        <f t="shared" si="22"/>
        <v>175310.30099999998</v>
      </c>
      <c r="D765">
        <f t="shared" si="23"/>
        <v>14609.191749999998</v>
      </c>
    </row>
    <row r="766" spans="1:4" x14ac:dyDescent="0.35">
      <c r="A766" t="s">
        <v>796</v>
      </c>
      <c r="B766">
        <f>Earnings!B766</f>
        <v>774461.85</v>
      </c>
      <c r="C766">
        <f t="shared" si="22"/>
        <v>67392.37</v>
      </c>
      <c r="D766">
        <f t="shared" si="23"/>
        <v>5616.0308333333332</v>
      </c>
    </row>
    <row r="767" spans="1:4" x14ac:dyDescent="0.35">
      <c r="A767" t="s">
        <v>797</v>
      </c>
      <c r="B767">
        <f>Earnings!B767</f>
        <v>1073910.6000000001</v>
      </c>
      <c r="C767">
        <f t="shared" si="22"/>
        <v>134673.18000000002</v>
      </c>
      <c r="D767">
        <f t="shared" si="23"/>
        <v>11222.765000000001</v>
      </c>
    </row>
    <row r="768" spans="1:4" x14ac:dyDescent="0.35">
      <c r="A768" t="s">
        <v>798</v>
      </c>
      <c r="B768">
        <f>Earnings!B768</f>
        <v>940527.6</v>
      </c>
      <c r="C768">
        <f t="shared" si="22"/>
        <v>100605.52</v>
      </c>
      <c r="D768">
        <f t="shared" si="23"/>
        <v>8383.7933333333331</v>
      </c>
    </row>
    <row r="769" spans="1:4" x14ac:dyDescent="0.35">
      <c r="A769" t="s">
        <v>799</v>
      </c>
      <c r="B769">
        <f>Earnings!B769</f>
        <v>584626</v>
      </c>
      <c r="C769">
        <f t="shared" si="22"/>
        <v>29425.200000000001</v>
      </c>
      <c r="D769">
        <f t="shared" si="23"/>
        <v>2452.1</v>
      </c>
    </row>
    <row r="770" spans="1:4" x14ac:dyDescent="0.35">
      <c r="A770" t="s">
        <v>800</v>
      </c>
      <c r="B770">
        <f>Earnings!B770</f>
        <v>1176446.94</v>
      </c>
      <c r="C770">
        <f t="shared" ref="C770:C833" si="24">IF(B770&lt;=250000,0,IF(B770&lt;=500000,(B770-250000)*0.05,IF(B770&lt;=1000000,12500+(B770-500000)*0.2,112500+(B770-1000000)*0.3)))</f>
        <v>165434.08199999999</v>
      </c>
      <c r="D770">
        <f t="shared" ref="D770:D833" si="25">C770/12</f>
        <v>13786.173499999999</v>
      </c>
    </row>
    <row r="771" spans="1:4" x14ac:dyDescent="0.35">
      <c r="A771" t="s">
        <v>801</v>
      </c>
      <c r="B771">
        <f>Earnings!B771</f>
        <v>515138.4</v>
      </c>
      <c r="C771">
        <f t="shared" si="24"/>
        <v>15527.680000000004</v>
      </c>
      <c r="D771">
        <f t="shared" si="25"/>
        <v>1293.9733333333336</v>
      </c>
    </row>
    <row r="772" spans="1:4" x14ac:dyDescent="0.35">
      <c r="A772" t="s">
        <v>802</v>
      </c>
      <c r="B772">
        <f>Earnings!B772</f>
        <v>1453231.91</v>
      </c>
      <c r="C772">
        <f t="shared" si="24"/>
        <v>248469.57299999997</v>
      </c>
      <c r="D772">
        <f t="shared" si="25"/>
        <v>20705.797749999998</v>
      </c>
    </row>
    <row r="773" spans="1:4" x14ac:dyDescent="0.35">
      <c r="A773" t="s">
        <v>803</v>
      </c>
      <c r="B773">
        <f>Earnings!B773</f>
        <v>1417084.3</v>
      </c>
      <c r="C773">
        <f t="shared" si="24"/>
        <v>237625.29</v>
      </c>
      <c r="D773">
        <f t="shared" si="25"/>
        <v>19802.107500000002</v>
      </c>
    </row>
    <row r="774" spans="1:4" x14ac:dyDescent="0.35">
      <c r="A774" t="s">
        <v>804</v>
      </c>
      <c r="B774">
        <f>Earnings!B774</f>
        <v>1394195.58</v>
      </c>
      <c r="C774">
        <f t="shared" si="24"/>
        <v>230758.674</v>
      </c>
      <c r="D774">
        <f t="shared" si="25"/>
        <v>19229.889500000001</v>
      </c>
    </row>
    <row r="775" spans="1:4" x14ac:dyDescent="0.35">
      <c r="A775" t="s">
        <v>805</v>
      </c>
      <c r="B775">
        <f>Earnings!B775</f>
        <v>1947339.55</v>
      </c>
      <c r="C775">
        <f t="shared" si="24"/>
        <v>396701.86499999999</v>
      </c>
      <c r="D775">
        <f t="shared" si="25"/>
        <v>33058.488749999997</v>
      </c>
    </row>
    <row r="776" spans="1:4" x14ac:dyDescent="0.35">
      <c r="A776" t="s">
        <v>806</v>
      </c>
      <c r="B776">
        <f>Earnings!B776</f>
        <v>752421.6</v>
      </c>
      <c r="C776">
        <f t="shared" si="24"/>
        <v>62984.32</v>
      </c>
      <c r="D776">
        <f t="shared" si="25"/>
        <v>5248.6933333333336</v>
      </c>
    </row>
    <row r="777" spans="1:4" x14ac:dyDescent="0.35">
      <c r="A777" t="s">
        <v>807</v>
      </c>
      <c r="B777">
        <f>Earnings!B777</f>
        <v>1248723.7</v>
      </c>
      <c r="C777">
        <f t="shared" si="24"/>
        <v>187117.11</v>
      </c>
      <c r="D777">
        <f t="shared" si="25"/>
        <v>15593.092499999999</v>
      </c>
    </row>
    <row r="778" spans="1:4" x14ac:dyDescent="0.35">
      <c r="A778" t="s">
        <v>808</v>
      </c>
      <c r="B778">
        <f>Earnings!B778</f>
        <v>1910581.4</v>
      </c>
      <c r="C778">
        <f t="shared" si="24"/>
        <v>385674.42</v>
      </c>
      <c r="D778">
        <f t="shared" si="25"/>
        <v>32139.535</v>
      </c>
    </row>
    <row r="779" spans="1:4" x14ac:dyDescent="0.35">
      <c r="A779" t="s">
        <v>809</v>
      </c>
      <c r="B779">
        <f>Earnings!B779</f>
        <v>495312</v>
      </c>
      <c r="C779">
        <f t="shared" si="24"/>
        <v>12265.6</v>
      </c>
      <c r="D779">
        <f t="shared" si="25"/>
        <v>1022.1333333333333</v>
      </c>
    </row>
    <row r="780" spans="1:4" x14ac:dyDescent="0.35">
      <c r="A780" t="s">
        <v>810</v>
      </c>
      <c r="B780">
        <f>Earnings!B780</f>
        <v>1110012.68</v>
      </c>
      <c r="C780">
        <f t="shared" si="24"/>
        <v>145503.80399999997</v>
      </c>
      <c r="D780">
        <f t="shared" si="25"/>
        <v>12125.316999999997</v>
      </c>
    </row>
    <row r="781" spans="1:4" x14ac:dyDescent="0.35">
      <c r="A781" t="s">
        <v>811</v>
      </c>
      <c r="B781">
        <f>Earnings!B781</f>
        <v>609431.19999999995</v>
      </c>
      <c r="C781">
        <f t="shared" si="24"/>
        <v>34386.239999999991</v>
      </c>
      <c r="D781">
        <f t="shared" si="25"/>
        <v>2865.5199999999991</v>
      </c>
    </row>
    <row r="782" spans="1:4" x14ac:dyDescent="0.35">
      <c r="A782" t="s">
        <v>812</v>
      </c>
      <c r="B782">
        <f>Earnings!B782</f>
        <v>955554</v>
      </c>
      <c r="C782">
        <f t="shared" si="24"/>
        <v>103610.8</v>
      </c>
      <c r="D782">
        <f t="shared" si="25"/>
        <v>8634.2333333333336</v>
      </c>
    </row>
    <row r="783" spans="1:4" x14ac:dyDescent="0.35">
      <c r="A783" t="s">
        <v>813</v>
      </c>
      <c r="B783">
        <f>Earnings!B783</f>
        <v>1423084.04</v>
      </c>
      <c r="C783">
        <f t="shared" si="24"/>
        <v>239425.212</v>
      </c>
      <c r="D783">
        <f t="shared" si="25"/>
        <v>19952.100999999999</v>
      </c>
    </row>
    <row r="784" spans="1:4" x14ac:dyDescent="0.35">
      <c r="A784" t="s">
        <v>814</v>
      </c>
      <c r="B784">
        <f>Earnings!B784</f>
        <v>994301</v>
      </c>
      <c r="C784">
        <f t="shared" si="24"/>
        <v>111360.20000000001</v>
      </c>
      <c r="D784">
        <f t="shared" si="25"/>
        <v>9280.0166666666682</v>
      </c>
    </row>
    <row r="785" spans="1:4" x14ac:dyDescent="0.35">
      <c r="A785" t="s">
        <v>815</v>
      </c>
      <c r="B785">
        <f>Earnings!B785</f>
        <v>834232</v>
      </c>
      <c r="C785">
        <f t="shared" si="24"/>
        <v>79346.400000000009</v>
      </c>
      <c r="D785">
        <f t="shared" si="25"/>
        <v>6612.2000000000007</v>
      </c>
    </row>
    <row r="786" spans="1:4" x14ac:dyDescent="0.35">
      <c r="A786" t="s">
        <v>816</v>
      </c>
      <c r="B786">
        <f>Earnings!B786</f>
        <v>1053990.99</v>
      </c>
      <c r="C786">
        <f t="shared" si="24"/>
        <v>128697.29699999999</v>
      </c>
      <c r="D786">
        <f t="shared" si="25"/>
        <v>10724.774749999999</v>
      </c>
    </row>
    <row r="787" spans="1:4" x14ac:dyDescent="0.35">
      <c r="A787" t="s">
        <v>817</v>
      </c>
      <c r="B787">
        <f>Earnings!B787</f>
        <v>1179964.98</v>
      </c>
      <c r="C787">
        <f t="shared" si="24"/>
        <v>166489.49400000001</v>
      </c>
      <c r="D787">
        <f t="shared" si="25"/>
        <v>13874.1245</v>
      </c>
    </row>
    <row r="788" spans="1:4" x14ac:dyDescent="0.35">
      <c r="A788" t="s">
        <v>818</v>
      </c>
      <c r="B788">
        <f>Earnings!B788</f>
        <v>923442.46</v>
      </c>
      <c r="C788">
        <f t="shared" si="24"/>
        <v>97188.491999999998</v>
      </c>
      <c r="D788">
        <f t="shared" si="25"/>
        <v>8099.0410000000002</v>
      </c>
    </row>
    <row r="789" spans="1:4" x14ac:dyDescent="0.35">
      <c r="A789" t="s">
        <v>819</v>
      </c>
      <c r="B789">
        <f>Earnings!B789</f>
        <v>1899684.12</v>
      </c>
      <c r="C789">
        <f t="shared" si="24"/>
        <v>382405.23600000003</v>
      </c>
      <c r="D789">
        <f t="shared" si="25"/>
        <v>31867.103000000003</v>
      </c>
    </row>
    <row r="790" spans="1:4" x14ac:dyDescent="0.35">
      <c r="A790" t="s">
        <v>820</v>
      </c>
      <c r="B790">
        <f>Earnings!B790</f>
        <v>568326.48</v>
      </c>
      <c r="C790">
        <f t="shared" si="24"/>
        <v>26165.295999999995</v>
      </c>
      <c r="D790">
        <f t="shared" si="25"/>
        <v>2180.4413333333328</v>
      </c>
    </row>
    <row r="791" spans="1:4" x14ac:dyDescent="0.35">
      <c r="A791" t="s">
        <v>821</v>
      </c>
      <c r="B791">
        <f>Earnings!B791</f>
        <v>910337.88</v>
      </c>
      <c r="C791">
        <f t="shared" si="24"/>
        <v>94567.576000000001</v>
      </c>
      <c r="D791">
        <f t="shared" si="25"/>
        <v>7880.6313333333337</v>
      </c>
    </row>
    <row r="792" spans="1:4" x14ac:dyDescent="0.35">
      <c r="A792" t="s">
        <v>822</v>
      </c>
      <c r="B792">
        <f>Earnings!B792</f>
        <v>1379088.88</v>
      </c>
      <c r="C792">
        <f t="shared" si="24"/>
        <v>226226.66399999996</v>
      </c>
      <c r="D792">
        <f t="shared" si="25"/>
        <v>18852.221999999998</v>
      </c>
    </row>
    <row r="793" spans="1:4" x14ac:dyDescent="0.35">
      <c r="A793" t="s">
        <v>823</v>
      </c>
      <c r="B793">
        <f>Earnings!B793</f>
        <v>2028512.01</v>
      </c>
      <c r="C793">
        <f t="shared" si="24"/>
        <v>421053.603</v>
      </c>
      <c r="D793">
        <f t="shared" si="25"/>
        <v>35087.80025</v>
      </c>
    </row>
    <row r="794" spans="1:4" x14ac:dyDescent="0.35">
      <c r="A794" t="s">
        <v>824</v>
      </c>
      <c r="B794">
        <f>Earnings!B794</f>
        <v>1187052.46</v>
      </c>
      <c r="C794">
        <f t="shared" si="24"/>
        <v>168615.73799999998</v>
      </c>
      <c r="D794">
        <f t="shared" si="25"/>
        <v>14051.311499999998</v>
      </c>
    </row>
    <row r="795" spans="1:4" x14ac:dyDescent="0.35">
      <c r="A795" t="s">
        <v>825</v>
      </c>
      <c r="B795">
        <f>Earnings!B795</f>
        <v>707926.32</v>
      </c>
      <c r="C795">
        <f t="shared" si="24"/>
        <v>54085.263999999996</v>
      </c>
      <c r="D795">
        <f t="shared" si="25"/>
        <v>4507.105333333333</v>
      </c>
    </row>
    <row r="796" spans="1:4" x14ac:dyDescent="0.35">
      <c r="A796" t="s">
        <v>826</v>
      </c>
      <c r="B796">
        <f>Earnings!B796</f>
        <v>1004606.76</v>
      </c>
      <c r="C796">
        <f t="shared" si="24"/>
        <v>113882.02800000001</v>
      </c>
      <c r="D796">
        <f t="shared" si="25"/>
        <v>9490.1689999999999</v>
      </c>
    </row>
    <row r="797" spans="1:4" x14ac:dyDescent="0.35">
      <c r="A797" t="s">
        <v>827</v>
      </c>
      <c r="B797">
        <f>Earnings!B797</f>
        <v>622026.18000000005</v>
      </c>
      <c r="C797">
        <f t="shared" si="24"/>
        <v>36905.236000000012</v>
      </c>
      <c r="D797">
        <f t="shared" si="25"/>
        <v>3075.4363333333345</v>
      </c>
    </row>
    <row r="798" spans="1:4" x14ac:dyDescent="0.35">
      <c r="A798" t="s">
        <v>828</v>
      </c>
      <c r="B798">
        <f>Earnings!B798</f>
        <v>1476791.4</v>
      </c>
      <c r="C798">
        <f t="shared" si="24"/>
        <v>255537.41999999995</v>
      </c>
      <c r="D798">
        <f t="shared" si="25"/>
        <v>21294.784999999996</v>
      </c>
    </row>
    <row r="799" spans="1:4" x14ac:dyDescent="0.35">
      <c r="A799" t="s">
        <v>829</v>
      </c>
      <c r="B799">
        <f>Earnings!B799</f>
        <v>1556540.23</v>
      </c>
      <c r="C799">
        <f t="shared" si="24"/>
        <v>279462.06900000002</v>
      </c>
      <c r="D799">
        <f t="shared" si="25"/>
        <v>23288.50575</v>
      </c>
    </row>
    <row r="800" spans="1:4" x14ac:dyDescent="0.35">
      <c r="A800" t="s">
        <v>830</v>
      </c>
      <c r="B800">
        <f>Earnings!B800</f>
        <v>989494</v>
      </c>
      <c r="C800">
        <f t="shared" si="24"/>
        <v>110398.8</v>
      </c>
      <c r="D800">
        <f t="shared" si="25"/>
        <v>9199.9</v>
      </c>
    </row>
    <row r="801" spans="1:4" x14ac:dyDescent="0.35">
      <c r="A801" t="s">
        <v>831</v>
      </c>
      <c r="B801">
        <f>Earnings!B801</f>
        <v>1161378</v>
      </c>
      <c r="C801">
        <f t="shared" si="24"/>
        <v>160913.4</v>
      </c>
      <c r="D801">
        <f t="shared" si="25"/>
        <v>13409.449999999999</v>
      </c>
    </row>
    <row r="802" spans="1:4" x14ac:dyDescent="0.35">
      <c r="A802" t="s">
        <v>832</v>
      </c>
      <c r="B802">
        <f>Earnings!B802</f>
        <v>1095701.5900000001</v>
      </c>
      <c r="C802">
        <f t="shared" si="24"/>
        <v>141210.47700000001</v>
      </c>
      <c r="D802">
        <f t="shared" si="25"/>
        <v>11767.539750000002</v>
      </c>
    </row>
    <row r="803" spans="1:4" x14ac:dyDescent="0.35">
      <c r="A803" t="s">
        <v>833</v>
      </c>
      <c r="B803">
        <f>Earnings!B803</f>
        <v>1029309</v>
      </c>
      <c r="C803">
        <f t="shared" si="24"/>
        <v>121292.7</v>
      </c>
      <c r="D803">
        <f t="shared" si="25"/>
        <v>10107.725</v>
      </c>
    </row>
    <row r="804" spans="1:4" x14ac:dyDescent="0.35">
      <c r="A804" t="s">
        <v>834</v>
      </c>
      <c r="B804">
        <f>Earnings!B804</f>
        <v>1150734.6200000001</v>
      </c>
      <c r="C804">
        <f t="shared" si="24"/>
        <v>157720.38600000003</v>
      </c>
      <c r="D804">
        <f t="shared" si="25"/>
        <v>13143.365500000002</v>
      </c>
    </row>
    <row r="805" spans="1:4" x14ac:dyDescent="0.35">
      <c r="A805" t="s">
        <v>835</v>
      </c>
      <c r="B805">
        <f>Earnings!B805</f>
        <v>900460.54</v>
      </c>
      <c r="C805">
        <f t="shared" si="24"/>
        <v>92592.108000000007</v>
      </c>
      <c r="D805">
        <f t="shared" si="25"/>
        <v>7716.0090000000009</v>
      </c>
    </row>
    <row r="806" spans="1:4" x14ac:dyDescent="0.35">
      <c r="A806" t="s">
        <v>836</v>
      </c>
      <c r="B806">
        <f>Earnings!B806</f>
        <v>591240.48</v>
      </c>
      <c r="C806">
        <f t="shared" si="24"/>
        <v>30748.095999999998</v>
      </c>
      <c r="D806">
        <f t="shared" si="25"/>
        <v>2562.3413333333333</v>
      </c>
    </row>
    <row r="807" spans="1:4" x14ac:dyDescent="0.35">
      <c r="A807" t="s">
        <v>837</v>
      </c>
      <c r="B807">
        <f>Earnings!B807</f>
        <v>1310875.93</v>
      </c>
      <c r="C807">
        <f t="shared" si="24"/>
        <v>205762.77899999998</v>
      </c>
      <c r="D807">
        <f t="shared" si="25"/>
        <v>17146.898249999998</v>
      </c>
    </row>
    <row r="808" spans="1:4" x14ac:dyDescent="0.35">
      <c r="A808" t="s">
        <v>838</v>
      </c>
      <c r="B808">
        <f>Earnings!B808</f>
        <v>1051053.3</v>
      </c>
      <c r="C808">
        <f t="shared" si="24"/>
        <v>127815.99000000002</v>
      </c>
      <c r="D808">
        <f t="shared" si="25"/>
        <v>10651.332500000002</v>
      </c>
    </row>
    <row r="809" spans="1:4" x14ac:dyDescent="0.35">
      <c r="A809" t="s">
        <v>839</v>
      </c>
      <c r="B809">
        <f>Earnings!B809</f>
        <v>686304</v>
      </c>
      <c r="C809">
        <f t="shared" si="24"/>
        <v>49760.800000000003</v>
      </c>
      <c r="D809">
        <f t="shared" si="25"/>
        <v>4146.7333333333336</v>
      </c>
    </row>
    <row r="810" spans="1:4" x14ac:dyDescent="0.35">
      <c r="A810" t="s">
        <v>840</v>
      </c>
      <c r="B810">
        <f>Earnings!B810</f>
        <v>725871</v>
      </c>
      <c r="C810">
        <f t="shared" si="24"/>
        <v>57674.200000000004</v>
      </c>
      <c r="D810">
        <f t="shared" si="25"/>
        <v>4806.1833333333334</v>
      </c>
    </row>
    <row r="811" spans="1:4" x14ac:dyDescent="0.35">
      <c r="A811" t="s">
        <v>841</v>
      </c>
      <c r="B811">
        <f>Earnings!B811</f>
        <v>1089700</v>
      </c>
      <c r="C811">
        <f t="shared" si="24"/>
        <v>139410</v>
      </c>
      <c r="D811">
        <f t="shared" si="25"/>
        <v>11617.5</v>
      </c>
    </row>
    <row r="812" spans="1:4" x14ac:dyDescent="0.35">
      <c r="A812" t="s">
        <v>842</v>
      </c>
      <c r="B812">
        <f>Earnings!B812</f>
        <v>994164</v>
      </c>
      <c r="C812">
        <f t="shared" si="24"/>
        <v>111332.8</v>
      </c>
      <c r="D812">
        <f t="shared" si="25"/>
        <v>9277.7333333333336</v>
      </c>
    </row>
    <row r="813" spans="1:4" x14ac:dyDescent="0.35">
      <c r="A813" t="s">
        <v>843</v>
      </c>
      <c r="B813">
        <f>Earnings!B813</f>
        <v>1206549.3999999999</v>
      </c>
      <c r="C813">
        <f t="shared" si="24"/>
        <v>174464.81999999998</v>
      </c>
      <c r="D813">
        <f t="shared" si="25"/>
        <v>14538.734999999999</v>
      </c>
    </row>
    <row r="814" spans="1:4" x14ac:dyDescent="0.35">
      <c r="A814" t="s">
        <v>844</v>
      </c>
      <c r="B814">
        <f>Earnings!B814</f>
        <v>653492</v>
      </c>
      <c r="C814">
        <f t="shared" si="24"/>
        <v>43198.400000000001</v>
      </c>
      <c r="D814">
        <f t="shared" si="25"/>
        <v>3599.8666666666668</v>
      </c>
    </row>
    <row r="815" spans="1:4" x14ac:dyDescent="0.35">
      <c r="A815" t="s">
        <v>845</v>
      </c>
      <c r="B815">
        <f>Earnings!B815</f>
        <v>1906828.89</v>
      </c>
      <c r="C815">
        <f t="shared" si="24"/>
        <v>384548.66699999996</v>
      </c>
      <c r="D815">
        <f t="shared" si="25"/>
        <v>32045.722249999995</v>
      </c>
    </row>
    <row r="816" spans="1:4" x14ac:dyDescent="0.35">
      <c r="A816" t="s">
        <v>846</v>
      </c>
      <c r="B816">
        <f>Earnings!B816</f>
        <v>664510.56000000006</v>
      </c>
      <c r="C816">
        <f t="shared" si="24"/>
        <v>45402.112000000016</v>
      </c>
      <c r="D816">
        <f t="shared" si="25"/>
        <v>3783.5093333333348</v>
      </c>
    </row>
    <row r="817" spans="1:4" x14ac:dyDescent="0.35">
      <c r="A817" t="s">
        <v>847</v>
      </c>
      <c r="B817">
        <f>Earnings!B817</f>
        <v>913231.2</v>
      </c>
      <c r="C817">
        <f t="shared" si="24"/>
        <v>95146.239999999991</v>
      </c>
      <c r="D817">
        <f t="shared" si="25"/>
        <v>7928.8533333333326</v>
      </c>
    </row>
    <row r="818" spans="1:4" x14ac:dyDescent="0.35">
      <c r="A818" t="s">
        <v>848</v>
      </c>
      <c r="B818">
        <f>Earnings!B818</f>
        <v>2476442.7000000002</v>
      </c>
      <c r="C818">
        <f t="shared" si="24"/>
        <v>555432.81000000006</v>
      </c>
      <c r="D818">
        <f t="shared" si="25"/>
        <v>46286.067500000005</v>
      </c>
    </row>
    <row r="819" spans="1:4" x14ac:dyDescent="0.35">
      <c r="A819" t="s">
        <v>849</v>
      </c>
      <c r="B819">
        <f>Earnings!B819</f>
        <v>1230271.3</v>
      </c>
      <c r="C819">
        <f t="shared" si="24"/>
        <v>181581.39</v>
      </c>
      <c r="D819">
        <f t="shared" si="25"/>
        <v>15131.782500000001</v>
      </c>
    </row>
    <row r="820" spans="1:4" x14ac:dyDescent="0.35">
      <c r="A820" t="s">
        <v>850</v>
      </c>
      <c r="B820">
        <f>Earnings!B820</f>
        <v>1227445.2</v>
      </c>
      <c r="C820">
        <f t="shared" si="24"/>
        <v>180733.56</v>
      </c>
      <c r="D820">
        <f t="shared" si="25"/>
        <v>15061.13</v>
      </c>
    </row>
    <row r="821" spans="1:4" x14ac:dyDescent="0.35">
      <c r="A821" t="s">
        <v>851</v>
      </c>
      <c r="B821">
        <f>Earnings!B821</f>
        <v>1013128.26</v>
      </c>
      <c r="C821">
        <f t="shared" si="24"/>
        <v>116438.478</v>
      </c>
      <c r="D821">
        <f t="shared" si="25"/>
        <v>9703.2065000000002</v>
      </c>
    </row>
    <row r="822" spans="1:4" x14ac:dyDescent="0.35">
      <c r="A822" t="s">
        <v>852</v>
      </c>
      <c r="B822">
        <f>Earnings!B822</f>
        <v>920617</v>
      </c>
      <c r="C822">
        <f t="shared" si="24"/>
        <v>96623.400000000009</v>
      </c>
      <c r="D822">
        <f t="shared" si="25"/>
        <v>8051.9500000000007</v>
      </c>
    </row>
    <row r="823" spans="1:4" x14ac:dyDescent="0.35">
      <c r="A823" t="s">
        <v>853</v>
      </c>
      <c r="B823">
        <f>Earnings!B823</f>
        <v>1622117.9</v>
      </c>
      <c r="C823">
        <f t="shared" si="24"/>
        <v>299135.37</v>
      </c>
      <c r="D823">
        <f t="shared" si="25"/>
        <v>24927.947499999998</v>
      </c>
    </row>
    <row r="824" spans="1:4" x14ac:dyDescent="0.35">
      <c r="A824" t="s">
        <v>854</v>
      </c>
      <c r="B824">
        <f>Earnings!B824</f>
        <v>1287970.57</v>
      </c>
      <c r="C824">
        <f t="shared" si="24"/>
        <v>198891.17100000003</v>
      </c>
      <c r="D824">
        <f t="shared" si="25"/>
        <v>16574.264250000004</v>
      </c>
    </row>
    <row r="825" spans="1:4" x14ac:dyDescent="0.35">
      <c r="A825" t="s">
        <v>855</v>
      </c>
      <c r="B825">
        <f>Earnings!B825</f>
        <v>821480.2</v>
      </c>
      <c r="C825">
        <f t="shared" si="24"/>
        <v>76796.039999999994</v>
      </c>
      <c r="D825">
        <f t="shared" si="25"/>
        <v>6399.6699999999992</v>
      </c>
    </row>
    <row r="826" spans="1:4" x14ac:dyDescent="0.35">
      <c r="A826" t="s">
        <v>856</v>
      </c>
      <c r="B826">
        <f>Earnings!B826</f>
        <v>2006717.3</v>
      </c>
      <c r="C826">
        <f t="shared" si="24"/>
        <v>414515.19</v>
      </c>
      <c r="D826">
        <f t="shared" si="25"/>
        <v>34542.932500000003</v>
      </c>
    </row>
    <row r="827" spans="1:4" x14ac:dyDescent="0.35">
      <c r="A827" t="s">
        <v>857</v>
      </c>
      <c r="B827">
        <f>Earnings!B827</f>
        <v>1277878.6299999999</v>
      </c>
      <c r="C827">
        <f t="shared" si="24"/>
        <v>195863.58899999998</v>
      </c>
      <c r="D827">
        <f t="shared" si="25"/>
        <v>16321.965749999998</v>
      </c>
    </row>
    <row r="828" spans="1:4" x14ac:dyDescent="0.35">
      <c r="A828" t="s">
        <v>858</v>
      </c>
      <c r="B828">
        <f>Earnings!B828</f>
        <v>1276970</v>
      </c>
      <c r="C828">
        <f t="shared" si="24"/>
        <v>195591</v>
      </c>
      <c r="D828">
        <f t="shared" si="25"/>
        <v>16299.25</v>
      </c>
    </row>
    <row r="829" spans="1:4" x14ac:dyDescent="0.35">
      <c r="A829" t="s">
        <v>859</v>
      </c>
      <c r="B829">
        <f>Earnings!B829</f>
        <v>1039741.56</v>
      </c>
      <c r="C829">
        <f t="shared" si="24"/>
        <v>124422.46800000002</v>
      </c>
      <c r="D829">
        <f t="shared" si="25"/>
        <v>10368.539000000002</v>
      </c>
    </row>
    <row r="830" spans="1:4" x14ac:dyDescent="0.35">
      <c r="A830" t="s">
        <v>860</v>
      </c>
      <c r="B830">
        <f>Earnings!B830</f>
        <v>949506.95</v>
      </c>
      <c r="C830">
        <f t="shared" si="24"/>
        <v>102401.39</v>
      </c>
      <c r="D830">
        <f t="shared" si="25"/>
        <v>8533.4491666666672</v>
      </c>
    </row>
    <row r="831" spans="1:4" x14ac:dyDescent="0.35">
      <c r="A831" t="s">
        <v>861</v>
      </c>
      <c r="B831">
        <f>Earnings!B831</f>
        <v>648913.65</v>
      </c>
      <c r="C831">
        <f t="shared" si="24"/>
        <v>42282.73000000001</v>
      </c>
      <c r="D831">
        <f t="shared" si="25"/>
        <v>3523.5608333333344</v>
      </c>
    </row>
    <row r="832" spans="1:4" x14ac:dyDescent="0.35">
      <c r="A832" t="s">
        <v>862</v>
      </c>
      <c r="B832">
        <f>Earnings!B832</f>
        <v>933455.94</v>
      </c>
      <c r="C832">
        <f t="shared" si="24"/>
        <v>99191.187999999995</v>
      </c>
      <c r="D832">
        <f t="shared" si="25"/>
        <v>8265.9323333333323</v>
      </c>
    </row>
    <row r="833" spans="1:4" x14ac:dyDescent="0.35">
      <c r="A833" t="s">
        <v>863</v>
      </c>
      <c r="B833">
        <f>Earnings!B833</f>
        <v>864151.92</v>
      </c>
      <c r="C833">
        <f t="shared" si="24"/>
        <v>85330.384000000005</v>
      </c>
      <c r="D833">
        <f t="shared" si="25"/>
        <v>7110.8653333333341</v>
      </c>
    </row>
    <row r="834" spans="1:4" x14ac:dyDescent="0.35">
      <c r="A834" t="s">
        <v>864</v>
      </c>
      <c r="B834">
        <f>Earnings!B834</f>
        <v>1353013.2</v>
      </c>
      <c r="C834">
        <f t="shared" ref="C834:C897" si="26">IF(B834&lt;=250000,0,IF(B834&lt;=500000,(B834-250000)*0.05,IF(B834&lt;=1000000,12500+(B834-500000)*0.2,112500+(B834-1000000)*0.3)))</f>
        <v>218403.95999999996</v>
      </c>
      <c r="D834">
        <f t="shared" ref="D834:D897" si="27">C834/12</f>
        <v>18200.329999999998</v>
      </c>
    </row>
    <row r="835" spans="1:4" x14ac:dyDescent="0.35">
      <c r="A835" t="s">
        <v>865</v>
      </c>
      <c r="B835">
        <f>Earnings!B835</f>
        <v>863336.82</v>
      </c>
      <c r="C835">
        <f t="shared" si="26"/>
        <v>85167.363999999987</v>
      </c>
      <c r="D835">
        <f t="shared" si="27"/>
        <v>7097.2803333333322</v>
      </c>
    </row>
    <row r="836" spans="1:4" x14ac:dyDescent="0.35">
      <c r="A836" t="s">
        <v>866</v>
      </c>
      <c r="B836">
        <f>Earnings!B836</f>
        <v>1251574</v>
      </c>
      <c r="C836">
        <f t="shared" si="26"/>
        <v>187972.2</v>
      </c>
      <c r="D836">
        <f t="shared" si="27"/>
        <v>15664.35</v>
      </c>
    </row>
    <row r="837" spans="1:4" x14ac:dyDescent="0.35">
      <c r="A837" t="s">
        <v>867</v>
      </c>
      <c r="B837">
        <f>Earnings!B837</f>
        <v>724659.05</v>
      </c>
      <c r="C837">
        <f t="shared" si="26"/>
        <v>57431.810000000012</v>
      </c>
      <c r="D837">
        <f t="shared" si="27"/>
        <v>4785.984166666668</v>
      </c>
    </row>
    <row r="838" spans="1:4" x14ac:dyDescent="0.35">
      <c r="A838" t="s">
        <v>868</v>
      </c>
      <c r="B838">
        <f>Earnings!B838</f>
        <v>1088185.3</v>
      </c>
      <c r="C838">
        <f t="shared" si="26"/>
        <v>138955.59000000003</v>
      </c>
      <c r="D838">
        <f t="shared" si="27"/>
        <v>11579.632500000002</v>
      </c>
    </row>
    <row r="839" spans="1:4" x14ac:dyDescent="0.35">
      <c r="A839" t="s">
        <v>869</v>
      </c>
      <c r="B839">
        <f>Earnings!B839</f>
        <v>901454</v>
      </c>
      <c r="C839">
        <f t="shared" si="26"/>
        <v>92790.8</v>
      </c>
      <c r="D839">
        <f t="shared" si="27"/>
        <v>7732.5666666666666</v>
      </c>
    </row>
    <row r="840" spans="1:4" x14ac:dyDescent="0.35">
      <c r="A840" t="s">
        <v>870</v>
      </c>
      <c r="B840">
        <f>Earnings!B840</f>
        <v>1519863.8</v>
      </c>
      <c r="C840">
        <f t="shared" si="26"/>
        <v>268459.14</v>
      </c>
      <c r="D840">
        <f t="shared" si="27"/>
        <v>22371.595000000001</v>
      </c>
    </row>
    <row r="841" spans="1:4" x14ac:dyDescent="0.35">
      <c r="A841" t="s">
        <v>871</v>
      </c>
      <c r="B841">
        <f>Earnings!B841</f>
        <v>743674</v>
      </c>
      <c r="C841">
        <f t="shared" si="26"/>
        <v>61234.8</v>
      </c>
      <c r="D841">
        <f t="shared" si="27"/>
        <v>5102.9000000000005</v>
      </c>
    </row>
    <row r="842" spans="1:4" x14ac:dyDescent="0.35">
      <c r="A842" t="s">
        <v>872</v>
      </c>
      <c r="B842">
        <f>Earnings!B842</f>
        <v>992754.75</v>
      </c>
      <c r="C842">
        <f t="shared" si="26"/>
        <v>111050.95000000001</v>
      </c>
      <c r="D842">
        <f t="shared" si="27"/>
        <v>9254.2458333333343</v>
      </c>
    </row>
    <row r="843" spans="1:4" x14ac:dyDescent="0.35">
      <c r="A843" t="s">
        <v>873</v>
      </c>
      <c r="B843">
        <f>Earnings!B843</f>
        <v>1267087.2</v>
      </c>
      <c r="C843">
        <f t="shared" si="26"/>
        <v>192626.15999999997</v>
      </c>
      <c r="D843">
        <f t="shared" si="27"/>
        <v>16052.179999999998</v>
      </c>
    </row>
    <row r="844" spans="1:4" x14ac:dyDescent="0.35">
      <c r="A844" t="s">
        <v>874</v>
      </c>
      <c r="B844">
        <f>Earnings!B844</f>
        <v>809083.2</v>
      </c>
      <c r="C844">
        <f t="shared" si="26"/>
        <v>74316.639999999985</v>
      </c>
      <c r="D844">
        <f t="shared" si="27"/>
        <v>6193.0533333333324</v>
      </c>
    </row>
    <row r="845" spans="1:4" x14ac:dyDescent="0.35">
      <c r="A845" t="s">
        <v>875</v>
      </c>
      <c r="B845">
        <f>Earnings!B845</f>
        <v>702552.55</v>
      </c>
      <c r="C845">
        <f t="shared" si="26"/>
        <v>53010.510000000009</v>
      </c>
      <c r="D845">
        <f t="shared" si="27"/>
        <v>4417.5425000000005</v>
      </c>
    </row>
    <row r="846" spans="1:4" x14ac:dyDescent="0.35">
      <c r="A846" t="s">
        <v>876</v>
      </c>
      <c r="B846">
        <f>Earnings!B846</f>
        <v>1042992.84</v>
      </c>
      <c r="C846">
        <f t="shared" si="26"/>
        <v>125397.85199999998</v>
      </c>
      <c r="D846">
        <f t="shared" si="27"/>
        <v>10449.820999999998</v>
      </c>
    </row>
    <row r="847" spans="1:4" x14ac:dyDescent="0.35">
      <c r="A847" t="s">
        <v>877</v>
      </c>
      <c r="B847">
        <f>Earnings!B847</f>
        <v>1579740.3</v>
      </c>
      <c r="C847">
        <f t="shared" si="26"/>
        <v>286422.08999999997</v>
      </c>
      <c r="D847">
        <f t="shared" si="27"/>
        <v>23868.507499999996</v>
      </c>
    </row>
    <row r="848" spans="1:4" x14ac:dyDescent="0.35">
      <c r="A848" t="s">
        <v>878</v>
      </c>
      <c r="B848">
        <f>Earnings!B848</f>
        <v>1252414.73</v>
      </c>
      <c r="C848">
        <f t="shared" si="26"/>
        <v>188224.41899999999</v>
      </c>
      <c r="D848">
        <f t="shared" si="27"/>
        <v>15685.36825</v>
      </c>
    </row>
    <row r="849" spans="1:4" x14ac:dyDescent="0.35">
      <c r="A849" t="s">
        <v>879</v>
      </c>
      <c r="B849">
        <f>Earnings!B849</f>
        <v>890133.09</v>
      </c>
      <c r="C849">
        <f t="shared" si="26"/>
        <v>90526.618000000002</v>
      </c>
      <c r="D849">
        <f t="shared" si="27"/>
        <v>7543.8848333333335</v>
      </c>
    </row>
    <row r="850" spans="1:4" x14ac:dyDescent="0.35">
      <c r="A850" t="s">
        <v>880</v>
      </c>
      <c r="B850">
        <f>Earnings!B850</f>
        <v>1048045.32</v>
      </c>
      <c r="C850">
        <f t="shared" si="26"/>
        <v>126913.59599999999</v>
      </c>
      <c r="D850">
        <f t="shared" si="27"/>
        <v>10576.133</v>
      </c>
    </row>
    <row r="851" spans="1:4" x14ac:dyDescent="0.35">
      <c r="A851" t="s">
        <v>881</v>
      </c>
      <c r="B851">
        <f>Earnings!B851</f>
        <v>1362247.56</v>
      </c>
      <c r="C851">
        <f t="shared" si="26"/>
        <v>221174.26800000001</v>
      </c>
      <c r="D851">
        <f t="shared" si="27"/>
        <v>18431.189000000002</v>
      </c>
    </row>
    <row r="852" spans="1:4" x14ac:dyDescent="0.35">
      <c r="A852" t="s">
        <v>882</v>
      </c>
      <c r="B852">
        <f>Earnings!B852</f>
        <v>659326</v>
      </c>
      <c r="C852">
        <f t="shared" si="26"/>
        <v>44365.2</v>
      </c>
      <c r="D852">
        <f t="shared" si="27"/>
        <v>3697.1</v>
      </c>
    </row>
    <row r="853" spans="1:4" x14ac:dyDescent="0.35">
      <c r="A853" t="s">
        <v>883</v>
      </c>
      <c r="B853">
        <f>Earnings!B853</f>
        <v>1397077.98</v>
      </c>
      <c r="C853">
        <f t="shared" si="26"/>
        <v>231623.39399999997</v>
      </c>
      <c r="D853">
        <f t="shared" si="27"/>
        <v>19301.949499999999</v>
      </c>
    </row>
    <row r="854" spans="1:4" x14ac:dyDescent="0.35">
      <c r="A854" t="s">
        <v>884</v>
      </c>
      <c r="B854">
        <f>Earnings!B854</f>
        <v>1285698.3999999999</v>
      </c>
      <c r="C854">
        <f t="shared" si="26"/>
        <v>198209.51999999996</v>
      </c>
      <c r="D854">
        <f t="shared" si="27"/>
        <v>16517.459999999995</v>
      </c>
    </row>
    <row r="855" spans="1:4" x14ac:dyDescent="0.35">
      <c r="A855" t="s">
        <v>885</v>
      </c>
      <c r="B855">
        <f>Earnings!B855</f>
        <v>1383305.64</v>
      </c>
      <c r="C855">
        <f t="shared" si="26"/>
        <v>227491.69199999998</v>
      </c>
      <c r="D855">
        <f t="shared" si="27"/>
        <v>18957.641</v>
      </c>
    </row>
    <row r="856" spans="1:4" x14ac:dyDescent="0.35">
      <c r="A856" t="s">
        <v>886</v>
      </c>
      <c r="B856">
        <f>Earnings!B856</f>
        <v>1456783.58</v>
      </c>
      <c r="C856">
        <f t="shared" si="26"/>
        <v>249535.07400000002</v>
      </c>
      <c r="D856">
        <f t="shared" si="27"/>
        <v>20794.589500000002</v>
      </c>
    </row>
    <row r="857" spans="1:4" x14ac:dyDescent="0.35">
      <c r="A857" t="s">
        <v>887</v>
      </c>
      <c r="B857">
        <f>Earnings!B857</f>
        <v>2179387.59</v>
      </c>
      <c r="C857">
        <f t="shared" si="26"/>
        <v>466316.27699999994</v>
      </c>
      <c r="D857">
        <f t="shared" si="27"/>
        <v>38859.689749999998</v>
      </c>
    </row>
    <row r="858" spans="1:4" x14ac:dyDescent="0.35">
      <c r="A858" t="s">
        <v>888</v>
      </c>
      <c r="B858">
        <f>Earnings!B858</f>
        <v>917516.4</v>
      </c>
      <c r="C858">
        <f t="shared" si="26"/>
        <v>96003.280000000013</v>
      </c>
      <c r="D858">
        <f t="shared" si="27"/>
        <v>8000.2733333333344</v>
      </c>
    </row>
    <row r="859" spans="1:4" x14ac:dyDescent="0.35">
      <c r="A859" t="s">
        <v>889</v>
      </c>
      <c r="B859">
        <f>Earnings!B859</f>
        <v>1032866.8</v>
      </c>
      <c r="C859">
        <f t="shared" si="26"/>
        <v>122360.04000000001</v>
      </c>
      <c r="D859">
        <f t="shared" si="27"/>
        <v>10196.67</v>
      </c>
    </row>
    <row r="860" spans="1:4" x14ac:dyDescent="0.35">
      <c r="A860" t="s">
        <v>890</v>
      </c>
      <c r="B860">
        <f>Earnings!B860</f>
        <v>974791.39</v>
      </c>
      <c r="C860">
        <f t="shared" si="26"/>
        <v>107458.27800000001</v>
      </c>
      <c r="D860">
        <f t="shared" si="27"/>
        <v>8954.8564999999999</v>
      </c>
    </row>
    <row r="861" spans="1:4" x14ac:dyDescent="0.35">
      <c r="A861" t="s">
        <v>891</v>
      </c>
      <c r="B861">
        <f>Earnings!B861</f>
        <v>1255621.7</v>
      </c>
      <c r="C861">
        <f t="shared" si="26"/>
        <v>189186.50999999998</v>
      </c>
      <c r="D861">
        <f t="shared" si="27"/>
        <v>15765.542499999998</v>
      </c>
    </row>
    <row r="862" spans="1:4" x14ac:dyDescent="0.35">
      <c r="A862" t="s">
        <v>892</v>
      </c>
      <c r="B862">
        <f>Earnings!B862</f>
        <v>1424894.1</v>
      </c>
      <c r="C862">
        <f t="shared" si="26"/>
        <v>239968.23000000004</v>
      </c>
      <c r="D862">
        <f t="shared" si="27"/>
        <v>19997.352500000005</v>
      </c>
    </row>
    <row r="863" spans="1:4" x14ac:dyDescent="0.35">
      <c r="A863" t="s">
        <v>893</v>
      </c>
      <c r="B863">
        <f>Earnings!B863</f>
        <v>1181089.3999999999</v>
      </c>
      <c r="C863">
        <f t="shared" si="26"/>
        <v>166826.81999999998</v>
      </c>
      <c r="D863">
        <f t="shared" si="27"/>
        <v>13902.234999999999</v>
      </c>
    </row>
    <row r="864" spans="1:4" x14ac:dyDescent="0.35">
      <c r="A864" t="s">
        <v>894</v>
      </c>
      <c r="B864">
        <f>Earnings!B864</f>
        <v>2006358.7</v>
      </c>
      <c r="C864">
        <f t="shared" si="26"/>
        <v>414407.61</v>
      </c>
      <c r="D864">
        <f t="shared" si="27"/>
        <v>34533.967499999999</v>
      </c>
    </row>
    <row r="865" spans="1:4" x14ac:dyDescent="0.35">
      <c r="A865" t="s">
        <v>895</v>
      </c>
      <c r="B865">
        <f>Earnings!B865</f>
        <v>1107951.18</v>
      </c>
      <c r="C865">
        <f t="shared" si="26"/>
        <v>144885.35399999999</v>
      </c>
      <c r="D865">
        <f t="shared" si="27"/>
        <v>12073.779499999999</v>
      </c>
    </row>
    <row r="866" spans="1:4" x14ac:dyDescent="0.35">
      <c r="A866" t="s">
        <v>896</v>
      </c>
      <c r="B866">
        <f>Earnings!B866</f>
        <v>1404433</v>
      </c>
      <c r="C866">
        <f t="shared" si="26"/>
        <v>233829.9</v>
      </c>
      <c r="D866">
        <f t="shared" si="27"/>
        <v>19485.825000000001</v>
      </c>
    </row>
    <row r="867" spans="1:4" x14ac:dyDescent="0.35">
      <c r="A867" t="s">
        <v>897</v>
      </c>
      <c r="B867">
        <f>Earnings!B867</f>
        <v>1031392.8</v>
      </c>
      <c r="C867">
        <f t="shared" si="26"/>
        <v>121917.84000000001</v>
      </c>
      <c r="D867">
        <f t="shared" si="27"/>
        <v>10159.820000000002</v>
      </c>
    </row>
    <row r="868" spans="1:4" x14ac:dyDescent="0.35">
      <c r="A868" t="s">
        <v>898</v>
      </c>
      <c r="B868">
        <f>Earnings!B868</f>
        <v>1439959.5</v>
      </c>
      <c r="C868">
        <f t="shared" si="26"/>
        <v>244487.85</v>
      </c>
      <c r="D868">
        <f t="shared" si="27"/>
        <v>20373.987499999999</v>
      </c>
    </row>
    <row r="869" spans="1:4" x14ac:dyDescent="0.35">
      <c r="A869" t="s">
        <v>899</v>
      </c>
      <c r="B869">
        <f>Earnings!B869</f>
        <v>1633178.1</v>
      </c>
      <c r="C869">
        <f t="shared" si="26"/>
        <v>302453.43000000005</v>
      </c>
      <c r="D869">
        <f t="shared" si="27"/>
        <v>25204.452500000003</v>
      </c>
    </row>
    <row r="870" spans="1:4" x14ac:dyDescent="0.35">
      <c r="A870" t="s">
        <v>900</v>
      </c>
      <c r="B870">
        <f>Earnings!B870</f>
        <v>1483577.2</v>
      </c>
      <c r="C870">
        <f t="shared" si="26"/>
        <v>257573.15999999997</v>
      </c>
      <c r="D870">
        <f t="shared" si="27"/>
        <v>21464.429999999997</v>
      </c>
    </row>
    <row r="871" spans="1:4" x14ac:dyDescent="0.35">
      <c r="A871" t="s">
        <v>901</v>
      </c>
      <c r="B871">
        <f>Earnings!B871</f>
        <v>1110257.3999999999</v>
      </c>
      <c r="C871">
        <f t="shared" si="26"/>
        <v>145577.21999999997</v>
      </c>
      <c r="D871">
        <f t="shared" si="27"/>
        <v>12131.434999999998</v>
      </c>
    </row>
    <row r="872" spans="1:4" x14ac:dyDescent="0.35">
      <c r="A872" t="s">
        <v>902</v>
      </c>
      <c r="B872">
        <f>Earnings!B872</f>
        <v>1433019</v>
      </c>
      <c r="C872">
        <f t="shared" si="26"/>
        <v>242405.7</v>
      </c>
      <c r="D872">
        <f t="shared" si="27"/>
        <v>20200.475000000002</v>
      </c>
    </row>
    <row r="873" spans="1:4" x14ac:dyDescent="0.35">
      <c r="A873" t="s">
        <v>903</v>
      </c>
      <c r="B873">
        <f>Earnings!B873</f>
        <v>1154351.8</v>
      </c>
      <c r="C873">
        <f t="shared" si="26"/>
        <v>158805.54</v>
      </c>
      <c r="D873">
        <f t="shared" si="27"/>
        <v>13233.795</v>
      </c>
    </row>
    <row r="874" spans="1:4" x14ac:dyDescent="0.35">
      <c r="A874" t="s">
        <v>904</v>
      </c>
      <c r="B874">
        <f>Earnings!B874</f>
        <v>835109.28</v>
      </c>
      <c r="C874">
        <f t="shared" si="26"/>
        <v>79521.856000000014</v>
      </c>
      <c r="D874">
        <f t="shared" si="27"/>
        <v>6626.8213333333342</v>
      </c>
    </row>
    <row r="875" spans="1:4" x14ac:dyDescent="0.35">
      <c r="A875" t="s">
        <v>905</v>
      </c>
      <c r="B875">
        <f>Earnings!B875</f>
        <v>905652.48</v>
      </c>
      <c r="C875">
        <f t="shared" si="26"/>
        <v>93630.495999999999</v>
      </c>
      <c r="D875">
        <f t="shared" si="27"/>
        <v>7802.5413333333336</v>
      </c>
    </row>
    <row r="876" spans="1:4" x14ac:dyDescent="0.35">
      <c r="A876" t="s">
        <v>906</v>
      </c>
      <c r="B876">
        <f>Earnings!B876</f>
        <v>1621432.54</v>
      </c>
      <c r="C876">
        <f t="shared" si="26"/>
        <v>298929.76199999999</v>
      </c>
      <c r="D876">
        <f t="shared" si="27"/>
        <v>24910.8135</v>
      </c>
    </row>
    <row r="877" spans="1:4" x14ac:dyDescent="0.35">
      <c r="A877" t="s">
        <v>907</v>
      </c>
      <c r="B877">
        <f>Earnings!B877</f>
        <v>886370.9</v>
      </c>
      <c r="C877">
        <f t="shared" si="26"/>
        <v>89774.180000000008</v>
      </c>
      <c r="D877">
        <f t="shared" si="27"/>
        <v>7481.1816666666673</v>
      </c>
    </row>
    <row r="878" spans="1:4" x14ac:dyDescent="0.35">
      <c r="A878" t="s">
        <v>908</v>
      </c>
      <c r="B878">
        <f>Earnings!B878</f>
        <v>1483020</v>
      </c>
      <c r="C878">
        <f t="shared" si="26"/>
        <v>257406</v>
      </c>
      <c r="D878">
        <f t="shared" si="27"/>
        <v>21450.5</v>
      </c>
    </row>
    <row r="879" spans="1:4" x14ac:dyDescent="0.35">
      <c r="A879" t="s">
        <v>909</v>
      </c>
      <c r="B879">
        <f>Earnings!B879</f>
        <v>1424026.8</v>
      </c>
      <c r="C879">
        <f t="shared" si="26"/>
        <v>239708.04</v>
      </c>
      <c r="D879">
        <f t="shared" si="27"/>
        <v>19975.670000000002</v>
      </c>
    </row>
    <row r="880" spans="1:4" x14ac:dyDescent="0.35">
      <c r="A880" t="s">
        <v>910</v>
      </c>
      <c r="B880">
        <f>Earnings!B880</f>
        <v>898179</v>
      </c>
      <c r="C880">
        <f t="shared" si="26"/>
        <v>92135.8</v>
      </c>
      <c r="D880">
        <f t="shared" si="27"/>
        <v>7677.9833333333336</v>
      </c>
    </row>
    <row r="881" spans="1:4" x14ac:dyDescent="0.35">
      <c r="A881" t="s">
        <v>911</v>
      </c>
      <c r="B881">
        <f>Earnings!B881</f>
        <v>780218.28</v>
      </c>
      <c r="C881">
        <f t="shared" si="26"/>
        <v>68543.656000000017</v>
      </c>
      <c r="D881">
        <f t="shared" si="27"/>
        <v>5711.9713333333348</v>
      </c>
    </row>
    <row r="882" spans="1:4" x14ac:dyDescent="0.35">
      <c r="A882" t="s">
        <v>912</v>
      </c>
      <c r="B882">
        <f>Earnings!B882</f>
        <v>958777.9</v>
      </c>
      <c r="C882">
        <f t="shared" si="26"/>
        <v>104255.58000000002</v>
      </c>
      <c r="D882">
        <f t="shared" si="27"/>
        <v>8687.965000000002</v>
      </c>
    </row>
    <row r="883" spans="1:4" x14ac:dyDescent="0.35">
      <c r="A883" t="s">
        <v>913</v>
      </c>
      <c r="B883">
        <f>Earnings!B883</f>
        <v>1338185.58</v>
      </c>
      <c r="C883">
        <f t="shared" si="26"/>
        <v>213955.674</v>
      </c>
      <c r="D883">
        <f t="shared" si="27"/>
        <v>17829.639500000001</v>
      </c>
    </row>
    <row r="884" spans="1:4" x14ac:dyDescent="0.35">
      <c r="A884" t="s">
        <v>914</v>
      </c>
      <c r="B884">
        <f>Earnings!B884</f>
        <v>667092.85</v>
      </c>
      <c r="C884">
        <f t="shared" si="26"/>
        <v>45918.57</v>
      </c>
      <c r="D884">
        <f t="shared" si="27"/>
        <v>3826.5475000000001</v>
      </c>
    </row>
    <row r="885" spans="1:4" x14ac:dyDescent="0.35">
      <c r="A885" t="s">
        <v>915</v>
      </c>
      <c r="B885">
        <f>Earnings!B885</f>
        <v>2200691.0499999998</v>
      </c>
      <c r="C885">
        <f t="shared" si="26"/>
        <v>472707.31499999994</v>
      </c>
      <c r="D885">
        <f t="shared" si="27"/>
        <v>39392.276249999995</v>
      </c>
    </row>
    <row r="886" spans="1:4" x14ac:dyDescent="0.35">
      <c r="A886" t="s">
        <v>916</v>
      </c>
      <c r="B886">
        <f>Earnings!B886</f>
        <v>1063985.94</v>
      </c>
      <c r="C886">
        <f t="shared" si="26"/>
        <v>131695.78199999998</v>
      </c>
      <c r="D886">
        <f t="shared" si="27"/>
        <v>10974.648499999998</v>
      </c>
    </row>
    <row r="887" spans="1:4" x14ac:dyDescent="0.35">
      <c r="A887" t="s">
        <v>917</v>
      </c>
      <c r="B887">
        <f>Earnings!B887</f>
        <v>1050965.5</v>
      </c>
      <c r="C887">
        <f t="shared" si="26"/>
        <v>127789.65</v>
      </c>
      <c r="D887">
        <f t="shared" si="27"/>
        <v>10649.137499999999</v>
      </c>
    </row>
    <row r="888" spans="1:4" x14ac:dyDescent="0.35">
      <c r="A888" t="s">
        <v>918</v>
      </c>
      <c r="B888">
        <f>Earnings!B888</f>
        <v>1439565.78</v>
      </c>
      <c r="C888">
        <f t="shared" si="26"/>
        <v>244369.734</v>
      </c>
      <c r="D888">
        <f t="shared" si="27"/>
        <v>20364.144499999999</v>
      </c>
    </row>
    <row r="889" spans="1:4" x14ac:dyDescent="0.35">
      <c r="A889" t="s">
        <v>919</v>
      </c>
      <c r="B889">
        <f>Earnings!B889</f>
        <v>676444.08</v>
      </c>
      <c r="C889">
        <f t="shared" si="26"/>
        <v>47788.815999999992</v>
      </c>
      <c r="D889">
        <f t="shared" si="27"/>
        <v>3982.4013333333328</v>
      </c>
    </row>
    <row r="890" spans="1:4" x14ac:dyDescent="0.35">
      <c r="A890" t="s">
        <v>920</v>
      </c>
      <c r="B890">
        <f>Earnings!B890</f>
        <v>631977.24</v>
      </c>
      <c r="C890">
        <f t="shared" si="26"/>
        <v>38895.448000000004</v>
      </c>
      <c r="D890">
        <f t="shared" si="27"/>
        <v>3241.2873333333337</v>
      </c>
    </row>
    <row r="891" spans="1:4" x14ac:dyDescent="0.35">
      <c r="A891" t="s">
        <v>921</v>
      </c>
      <c r="B891">
        <f>Earnings!B891</f>
        <v>1463803.7</v>
      </c>
      <c r="C891">
        <f t="shared" si="26"/>
        <v>251641.11</v>
      </c>
      <c r="D891">
        <f t="shared" si="27"/>
        <v>20970.092499999999</v>
      </c>
    </row>
    <row r="892" spans="1:4" x14ac:dyDescent="0.35">
      <c r="A892" t="s">
        <v>922</v>
      </c>
      <c r="B892">
        <f>Earnings!B892</f>
        <v>779968</v>
      </c>
      <c r="C892">
        <f t="shared" si="26"/>
        <v>68493.600000000006</v>
      </c>
      <c r="D892">
        <f t="shared" si="27"/>
        <v>5707.8</v>
      </c>
    </row>
    <row r="893" spans="1:4" x14ac:dyDescent="0.35">
      <c r="A893" t="s">
        <v>923</v>
      </c>
      <c r="B893">
        <f>Earnings!B893</f>
        <v>1171446.71</v>
      </c>
      <c r="C893">
        <f t="shared" si="26"/>
        <v>163934.01299999998</v>
      </c>
      <c r="D893">
        <f t="shared" si="27"/>
        <v>13661.167749999999</v>
      </c>
    </row>
    <row r="894" spans="1:4" x14ac:dyDescent="0.35">
      <c r="A894" t="s">
        <v>924</v>
      </c>
      <c r="B894">
        <f>Earnings!B894</f>
        <v>1041907.2</v>
      </c>
      <c r="C894">
        <f t="shared" si="26"/>
        <v>125072.15999999999</v>
      </c>
      <c r="D894">
        <f t="shared" si="27"/>
        <v>10422.679999999998</v>
      </c>
    </row>
    <row r="895" spans="1:4" x14ac:dyDescent="0.35">
      <c r="A895" t="s">
        <v>925</v>
      </c>
      <c r="B895">
        <f>Earnings!B895</f>
        <v>1191332</v>
      </c>
      <c r="C895">
        <f t="shared" si="26"/>
        <v>169899.6</v>
      </c>
      <c r="D895">
        <f t="shared" si="27"/>
        <v>14158.300000000001</v>
      </c>
    </row>
    <row r="896" spans="1:4" x14ac:dyDescent="0.35">
      <c r="A896" t="s">
        <v>926</v>
      </c>
      <c r="B896">
        <f>Earnings!B896</f>
        <v>540642</v>
      </c>
      <c r="C896">
        <f t="shared" si="26"/>
        <v>20628.400000000001</v>
      </c>
      <c r="D896">
        <f t="shared" si="27"/>
        <v>1719.0333333333335</v>
      </c>
    </row>
    <row r="897" spans="1:4" x14ac:dyDescent="0.35">
      <c r="A897" t="s">
        <v>927</v>
      </c>
      <c r="B897">
        <f>Earnings!B897</f>
        <v>928445.64</v>
      </c>
      <c r="C897">
        <f t="shared" si="26"/>
        <v>98189.128000000012</v>
      </c>
      <c r="D897">
        <f t="shared" si="27"/>
        <v>8182.427333333334</v>
      </c>
    </row>
    <row r="898" spans="1:4" x14ac:dyDescent="0.35">
      <c r="A898" t="s">
        <v>928</v>
      </c>
      <c r="B898">
        <f>Earnings!B898</f>
        <v>520401.45</v>
      </c>
      <c r="C898">
        <f t="shared" ref="C898:C901" si="28">IF(B898&lt;=250000,0,IF(B898&lt;=500000,(B898-250000)*0.05,IF(B898&lt;=1000000,12500+(B898-500000)*0.2,112500+(B898-1000000)*0.3)))</f>
        <v>16580.29</v>
      </c>
      <c r="D898">
        <f t="shared" ref="D898:D901" si="29">C898/12</f>
        <v>1381.6908333333333</v>
      </c>
    </row>
    <row r="899" spans="1:4" x14ac:dyDescent="0.35">
      <c r="A899" t="s">
        <v>929</v>
      </c>
      <c r="B899">
        <f>Earnings!B899</f>
        <v>957102</v>
      </c>
      <c r="C899">
        <f t="shared" si="28"/>
        <v>103920.40000000001</v>
      </c>
      <c r="D899">
        <f t="shared" si="29"/>
        <v>8660.0333333333347</v>
      </c>
    </row>
    <row r="900" spans="1:4" x14ac:dyDescent="0.35">
      <c r="A900" t="s">
        <v>930</v>
      </c>
      <c r="B900">
        <f>Earnings!B900</f>
        <v>542079.5</v>
      </c>
      <c r="C900">
        <f t="shared" si="28"/>
        <v>20915.900000000001</v>
      </c>
      <c r="D900">
        <f t="shared" si="29"/>
        <v>1742.9916666666668</v>
      </c>
    </row>
    <row r="901" spans="1:4" x14ac:dyDescent="0.35">
      <c r="A901" t="s">
        <v>931</v>
      </c>
      <c r="B901">
        <f>Earnings!B901</f>
        <v>1104441.1200000001</v>
      </c>
      <c r="C901">
        <f t="shared" si="28"/>
        <v>143832.33600000004</v>
      </c>
      <c r="D901">
        <f t="shared" si="29"/>
        <v>11986.028000000004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01"/>
  <sheetViews>
    <sheetView topLeftCell="A887" workbookViewId="0">
      <selection activeCell="C901" sqref="C901"/>
    </sheetView>
  </sheetViews>
  <sheetFormatPr defaultRowHeight="14.5" x14ac:dyDescent="0.35"/>
  <cols>
    <col min="2" max="2" width="14.6328125" bestFit="1" customWidth="1"/>
    <col min="3" max="3" width="11.81640625" bestFit="1" customWidth="1"/>
  </cols>
  <sheetData>
    <row r="1" spans="1:4" x14ac:dyDescent="0.35">
      <c r="A1" t="s">
        <v>0</v>
      </c>
      <c r="B1" t="s">
        <v>988</v>
      </c>
      <c r="C1" t="s">
        <v>989</v>
      </c>
      <c r="D1" t="s">
        <v>990</v>
      </c>
    </row>
    <row r="2" spans="1:4" x14ac:dyDescent="0.35">
      <c r="A2" t="s">
        <v>13</v>
      </c>
      <c r="B2">
        <v>0</v>
      </c>
      <c r="C2">
        <f>Earnings!C2/160</f>
        <v>1417.58</v>
      </c>
      <c r="D2">
        <f t="shared" ref="D2:D65" si="0">B2*C2*2</f>
        <v>0</v>
      </c>
    </row>
    <row r="3" spans="1:4" x14ac:dyDescent="0.35">
      <c r="A3" t="s">
        <v>18</v>
      </c>
      <c r="B3">
        <v>42</v>
      </c>
      <c r="C3">
        <f>Earnings!C3/160</f>
        <v>3401.9504999999999</v>
      </c>
      <c r="D3">
        <f t="shared" si="0"/>
        <v>285763.842</v>
      </c>
    </row>
    <row r="4" spans="1:4" x14ac:dyDescent="0.35">
      <c r="A4" t="s">
        <v>23</v>
      </c>
      <c r="B4">
        <v>6</v>
      </c>
      <c r="C4">
        <f>Earnings!C4/160</f>
        <v>1618.8924999999999</v>
      </c>
      <c r="D4">
        <f t="shared" si="0"/>
        <v>19426.71</v>
      </c>
    </row>
    <row r="5" spans="1:4" x14ac:dyDescent="0.35">
      <c r="A5" t="s">
        <v>25</v>
      </c>
      <c r="B5">
        <v>0</v>
      </c>
      <c r="C5">
        <f>Earnings!C5/160</f>
        <v>1764.7865000000002</v>
      </c>
      <c r="D5">
        <f t="shared" si="0"/>
        <v>0</v>
      </c>
    </row>
    <row r="6" spans="1:4" x14ac:dyDescent="0.35">
      <c r="A6" t="s">
        <v>28</v>
      </c>
      <c r="B6">
        <v>11</v>
      </c>
      <c r="C6">
        <f>Earnings!C6/160</f>
        <v>2501.605</v>
      </c>
      <c r="D6">
        <f t="shared" si="0"/>
        <v>55035.31</v>
      </c>
    </row>
    <row r="7" spans="1:4" x14ac:dyDescent="0.35">
      <c r="A7" t="s">
        <v>30</v>
      </c>
      <c r="B7">
        <v>0</v>
      </c>
      <c r="C7">
        <f>Earnings!C7/160</f>
        <v>1284.9628749999999</v>
      </c>
      <c r="D7">
        <f t="shared" si="0"/>
        <v>0</v>
      </c>
    </row>
    <row r="8" spans="1:4" x14ac:dyDescent="0.35">
      <c r="A8" t="s">
        <v>32</v>
      </c>
      <c r="B8">
        <v>0</v>
      </c>
      <c r="C8">
        <f>Earnings!C8/160</f>
        <v>2706.8815624999997</v>
      </c>
      <c r="D8">
        <f t="shared" si="0"/>
        <v>0</v>
      </c>
    </row>
    <row r="9" spans="1:4" x14ac:dyDescent="0.35">
      <c r="A9" t="s">
        <v>34</v>
      </c>
      <c r="B9">
        <v>21.6</v>
      </c>
      <c r="C9">
        <f>Earnings!C9/160</f>
        <v>3248.5889999999999</v>
      </c>
      <c r="D9">
        <f t="shared" si="0"/>
        <v>140339.0448</v>
      </c>
    </row>
    <row r="10" spans="1:4" x14ac:dyDescent="0.35">
      <c r="A10" t="s">
        <v>36</v>
      </c>
      <c r="B10">
        <v>0</v>
      </c>
      <c r="C10">
        <f>Earnings!C10/160</f>
        <v>4292.0828750000001</v>
      </c>
      <c r="D10">
        <f t="shared" si="0"/>
        <v>0</v>
      </c>
    </row>
    <row r="11" spans="1:4" x14ac:dyDescent="0.35">
      <c r="A11" t="s">
        <v>38</v>
      </c>
      <c r="B11">
        <v>32.4</v>
      </c>
      <c r="C11">
        <f>Earnings!C11/160</f>
        <v>2685.3270000000002</v>
      </c>
      <c r="D11">
        <f t="shared" si="0"/>
        <v>174009.18960000001</v>
      </c>
    </row>
    <row r="12" spans="1:4" x14ac:dyDescent="0.35">
      <c r="A12" t="s">
        <v>39</v>
      </c>
      <c r="B12">
        <v>0</v>
      </c>
      <c r="C12">
        <f>Earnings!C12/160</f>
        <v>1405.294625</v>
      </c>
      <c r="D12">
        <f t="shared" si="0"/>
        <v>0</v>
      </c>
    </row>
    <row r="13" spans="1:4" x14ac:dyDescent="0.35">
      <c r="A13" t="s">
        <v>40</v>
      </c>
      <c r="B13">
        <v>14.4</v>
      </c>
      <c r="C13">
        <f>Earnings!C13/160</f>
        <v>3003.3090000000002</v>
      </c>
      <c r="D13">
        <f t="shared" si="0"/>
        <v>86495.299200000009</v>
      </c>
    </row>
    <row r="14" spans="1:4" x14ac:dyDescent="0.35">
      <c r="A14" t="s">
        <v>41</v>
      </c>
      <c r="B14">
        <v>0</v>
      </c>
      <c r="C14">
        <f>Earnings!C14/160</f>
        <v>3319.3615</v>
      </c>
      <c r="D14">
        <f t="shared" si="0"/>
        <v>0</v>
      </c>
    </row>
    <row r="15" spans="1:4" x14ac:dyDescent="0.35">
      <c r="A15" t="s">
        <v>42</v>
      </c>
      <c r="B15">
        <v>0</v>
      </c>
      <c r="C15">
        <f>Earnings!C15/160</f>
        <v>3015.919625</v>
      </c>
      <c r="D15">
        <f t="shared" si="0"/>
        <v>0</v>
      </c>
    </row>
    <row r="16" spans="1:4" x14ac:dyDescent="0.35">
      <c r="A16" t="s">
        <v>45</v>
      </c>
      <c r="B16">
        <v>0</v>
      </c>
      <c r="C16">
        <f>Earnings!C16/160</f>
        <v>3441.7473749999999</v>
      </c>
      <c r="D16">
        <f t="shared" si="0"/>
        <v>0</v>
      </c>
    </row>
    <row r="17" spans="1:4" x14ac:dyDescent="0.35">
      <c r="A17" t="s">
        <v>46</v>
      </c>
      <c r="B17">
        <v>28</v>
      </c>
      <c r="C17">
        <f>Earnings!C17/160</f>
        <v>2768.5327499999999</v>
      </c>
      <c r="D17">
        <f t="shared" si="0"/>
        <v>155037.834</v>
      </c>
    </row>
    <row r="18" spans="1:4" x14ac:dyDescent="0.35">
      <c r="A18" t="s">
        <v>47</v>
      </c>
      <c r="B18">
        <v>40.799999999999997</v>
      </c>
      <c r="C18">
        <f>Earnings!C18/160</f>
        <v>2786.1213124999999</v>
      </c>
      <c r="D18">
        <f t="shared" si="0"/>
        <v>227347.49909999999</v>
      </c>
    </row>
    <row r="19" spans="1:4" x14ac:dyDescent="0.35">
      <c r="A19" t="s">
        <v>48</v>
      </c>
      <c r="B19">
        <v>14</v>
      </c>
      <c r="C19">
        <f>Earnings!C19/160</f>
        <v>3753.4279999999999</v>
      </c>
      <c r="D19">
        <f t="shared" si="0"/>
        <v>105095.984</v>
      </c>
    </row>
    <row r="20" spans="1:4" x14ac:dyDescent="0.35">
      <c r="A20" t="s">
        <v>49</v>
      </c>
      <c r="B20">
        <v>0</v>
      </c>
      <c r="C20">
        <f>Earnings!C20/160</f>
        <v>3129.547</v>
      </c>
      <c r="D20">
        <f t="shared" si="0"/>
        <v>0</v>
      </c>
    </row>
    <row r="21" spans="1:4" x14ac:dyDescent="0.35">
      <c r="A21" t="s">
        <v>50</v>
      </c>
      <c r="B21">
        <v>36</v>
      </c>
      <c r="C21">
        <f>Earnings!C21/160</f>
        <v>2332.2959999999998</v>
      </c>
      <c r="D21">
        <f t="shared" si="0"/>
        <v>167925.31199999998</v>
      </c>
    </row>
    <row r="22" spans="1:4" x14ac:dyDescent="0.35">
      <c r="A22" t="s">
        <v>51</v>
      </c>
      <c r="B22">
        <v>0</v>
      </c>
      <c r="C22">
        <f>Earnings!C22/160</f>
        <v>1977.64</v>
      </c>
      <c r="D22">
        <f t="shared" si="0"/>
        <v>0</v>
      </c>
    </row>
    <row r="23" spans="1:4" x14ac:dyDescent="0.35">
      <c r="A23" t="s">
        <v>52</v>
      </c>
      <c r="B23">
        <v>0</v>
      </c>
      <c r="C23">
        <f>Earnings!C23/160</f>
        <v>3057.0330000000004</v>
      </c>
      <c r="D23">
        <f t="shared" si="0"/>
        <v>0</v>
      </c>
    </row>
    <row r="24" spans="1:4" x14ac:dyDescent="0.35">
      <c r="A24" t="s">
        <v>53</v>
      </c>
      <c r="B24">
        <v>18</v>
      </c>
      <c r="C24">
        <f>Earnings!C24/160</f>
        <v>2740.9349999999999</v>
      </c>
      <c r="D24">
        <f t="shared" si="0"/>
        <v>98673.66</v>
      </c>
    </row>
    <row r="25" spans="1:4" x14ac:dyDescent="0.35">
      <c r="A25" t="s">
        <v>54</v>
      </c>
      <c r="B25">
        <v>0</v>
      </c>
      <c r="C25">
        <f>Earnings!C25/160</f>
        <v>4239.08025</v>
      </c>
      <c r="D25">
        <f t="shared" si="0"/>
        <v>0</v>
      </c>
    </row>
    <row r="26" spans="1:4" x14ac:dyDescent="0.35">
      <c r="A26" t="s">
        <v>55</v>
      </c>
      <c r="B26">
        <v>5</v>
      </c>
      <c r="C26">
        <f>Earnings!C26/160</f>
        <v>2400.4837500000003</v>
      </c>
      <c r="D26">
        <f t="shared" si="0"/>
        <v>24004.837500000001</v>
      </c>
    </row>
    <row r="27" spans="1:4" x14ac:dyDescent="0.35">
      <c r="A27" t="s">
        <v>56</v>
      </c>
      <c r="B27">
        <v>0</v>
      </c>
      <c r="C27">
        <f>Earnings!C27/160</f>
        <v>2222.25</v>
      </c>
      <c r="D27">
        <f t="shared" si="0"/>
        <v>0</v>
      </c>
    </row>
    <row r="28" spans="1:4" x14ac:dyDescent="0.35">
      <c r="A28" t="s">
        <v>57</v>
      </c>
      <c r="B28">
        <v>0</v>
      </c>
      <c r="C28">
        <f>Earnings!C28/160</f>
        <v>1359.7121875</v>
      </c>
      <c r="D28">
        <f t="shared" si="0"/>
        <v>0</v>
      </c>
    </row>
    <row r="29" spans="1:4" x14ac:dyDescent="0.35">
      <c r="A29" t="s">
        <v>58</v>
      </c>
      <c r="B29">
        <v>0</v>
      </c>
      <c r="C29">
        <f>Earnings!C29/160</f>
        <v>1106.2640624999999</v>
      </c>
      <c r="D29">
        <f t="shared" si="0"/>
        <v>0</v>
      </c>
    </row>
    <row r="30" spans="1:4" x14ac:dyDescent="0.35">
      <c r="A30" t="s">
        <v>59</v>
      </c>
      <c r="B30">
        <v>0</v>
      </c>
      <c r="C30">
        <f>Earnings!C30/160</f>
        <v>2860.7236250000001</v>
      </c>
      <c r="D30">
        <f t="shared" si="0"/>
        <v>0</v>
      </c>
    </row>
    <row r="31" spans="1:4" x14ac:dyDescent="0.35">
      <c r="A31" t="s">
        <v>60</v>
      </c>
      <c r="B31">
        <v>0</v>
      </c>
      <c r="C31">
        <f>Earnings!C31/160</f>
        <v>1314.2703750000001</v>
      </c>
      <c r="D31">
        <f t="shared" si="0"/>
        <v>0</v>
      </c>
    </row>
    <row r="32" spans="1:4" x14ac:dyDescent="0.35">
      <c r="A32" t="s">
        <v>61</v>
      </c>
      <c r="B32">
        <v>15.3</v>
      </c>
      <c r="C32">
        <f>Earnings!C32/160</f>
        <v>3978.4292500000001</v>
      </c>
      <c r="D32">
        <f t="shared" si="0"/>
        <v>121739.93505000001</v>
      </c>
    </row>
    <row r="33" spans="1:4" x14ac:dyDescent="0.35">
      <c r="A33" t="s">
        <v>62</v>
      </c>
      <c r="B33">
        <v>0</v>
      </c>
      <c r="C33">
        <f>Earnings!C33/160</f>
        <v>2376.0695000000001</v>
      </c>
      <c r="D33">
        <f t="shared" si="0"/>
        <v>0</v>
      </c>
    </row>
    <row r="34" spans="1:4" x14ac:dyDescent="0.35">
      <c r="A34" t="s">
        <v>63</v>
      </c>
      <c r="B34">
        <v>22.1</v>
      </c>
      <c r="C34">
        <f>Earnings!C34/160</f>
        <v>4536.1525000000001</v>
      </c>
      <c r="D34">
        <f t="shared" si="0"/>
        <v>200497.94050000003</v>
      </c>
    </row>
    <row r="35" spans="1:4" x14ac:dyDescent="0.35">
      <c r="A35" t="s">
        <v>64</v>
      </c>
      <c r="B35">
        <v>20.399999999999999</v>
      </c>
      <c r="C35">
        <f>Earnings!C35/160</f>
        <v>3414.2230624999997</v>
      </c>
      <c r="D35">
        <f t="shared" si="0"/>
        <v>139300.30094999998</v>
      </c>
    </row>
    <row r="36" spans="1:4" x14ac:dyDescent="0.35">
      <c r="A36" t="s">
        <v>65</v>
      </c>
      <c r="B36">
        <v>0</v>
      </c>
      <c r="C36">
        <f>Earnings!C36/160</f>
        <v>1289.1595</v>
      </c>
      <c r="D36">
        <f t="shared" si="0"/>
        <v>0</v>
      </c>
    </row>
    <row r="37" spans="1:4" x14ac:dyDescent="0.35">
      <c r="A37" t="s">
        <v>66</v>
      </c>
      <c r="B37">
        <v>6</v>
      </c>
      <c r="C37">
        <f>Earnings!C37/160</f>
        <v>1999.7689999999998</v>
      </c>
      <c r="D37">
        <f t="shared" si="0"/>
        <v>23997.227999999996</v>
      </c>
    </row>
    <row r="38" spans="1:4" x14ac:dyDescent="0.35">
      <c r="A38" t="s">
        <v>67</v>
      </c>
      <c r="B38">
        <v>13</v>
      </c>
      <c r="C38">
        <f>Earnings!C38/160</f>
        <v>1566.0875000000001</v>
      </c>
      <c r="D38">
        <f t="shared" si="0"/>
        <v>40718.275000000001</v>
      </c>
    </row>
    <row r="39" spans="1:4" x14ac:dyDescent="0.35">
      <c r="A39" t="s">
        <v>68</v>
      </c>
      <c r="B39">
        <v>7</v>
      </c>
      <c r="C39">
        <f>Earnings!C39/160</f>
        <v>2776.9701875000001</v>
      </c>
      <c r="D39">
        <f t="shared" si="0"/>
        <v>38877.582625000003</v>
      </c>
    </row>
    <row r="40" spans="1:4" x14ac:dyDescent="0.35">
      <c r="A40" t="s">
        <v>69</v>
      </c>
      <c r="B40">
        <v>0</v>
      </c>
      <c r="C40">
        <f>Earnings!C40/160</f>
        <v>2434.3788125000001</v>
      </c>
      <c r="D40">
        <f t="shared" si="0"/>
        <v>0</v>
      </c>
    </row>
    <row r="41" spans="1:4" x14ac:dyDescent="0.35">
      <c r="A41" t="s">
        <v>71</v>
      </c>
      <c r="B41">
        <v>23.8</v>
      </c>
      <c r="C41">
        <f>Earnings!C41/160</f>
        <v>1925.4724999999999</v>
      </c>
      <c r="D41">
        <f t="shared" si="0"/>
        <v>91652.490999999995</v>
      </c>
    </row>
    <row r="42" spans="1:4" x14ac:dyDescent="0.35">
      <c r="A42" t="s">
        <v>72</v>
      </c>
      <c r="B42">
        <v>6</v>
      </c>
      <c r="C42">
        <f>Earnings!C42/160</f>
        <v>2705.556</v>
      </c>
      <c r="D42">
        <f t="shared" si="0"/>
        <v>32466.671999999999</v>
      </c>
    </row>
    <row r="43" spans="1:4" x14ac:dyDescent="0.35">
      <c r="A43" t="s">
        <v>73</v>
      </c>
      <c r="B43">
        <v>0</v>
      </c>
      <c r="C43">
        <f>Earnings!C43/160</f>
        <v>3464.3455000000004</v>
      </c>
      <c r="D43">
        <f t="shared" si="0"/>
        <v>0</v>
      </c>
    </row>
    <row r="44" spans="1:4" x14ac:dyDescent="0.35">
      <c r="A44" t="s">
        <v>74</v>
      </c>
      <c r="B44">
        <v>51</v>
      </c>
      <c r="C44">
        <f>Earnings!C44/160</f>
        <v>5863.0619999999999</v>
      </c>
      <c r="D44">
        <f t="shared" si="0"/>
        <v>598032.32400000002</v>
      </c>
    </row>
    <row r="45" spans="1:4" x14ac:dyDescent="0.35">
      <c r="A45" t="s">
        <v>75</v>
      </c>
      <c r="B45">
        <v>0</v>
      </c>
      <c r="C45">
        <f>Earnings!C45/160</f>
        <v>843.38499999999999</v>
      </c>
      <c r="D45">
        <f t="shared" si="0"/>
        <v>0</v>
      </c>
    </row>
    <row r="46" spans="1:4" x14ac:dyDescent="0.35">
      <c r="A46" t="s">
        <v>76</v>
      </c>
      <c r="B46">
        <v>39.200000000000003</v>
      </c>
      <c r="C46">
        <f>Earnings!C46/160</f>
        <v>3210.4205000000002</v>
      </c>
      <c r="D46">
        <f t="shared" si="0"/>
        <v>251696.96720000004</v>
      </c>
    </row>
    <row r="47" spans="1:4" x14ac:dyDescent="0.35">
      <c r="A47" t="s">
        <v>77</v>
      </c>
      <c r="B47">
        <v>0</v>
      </c>
      <c r="C47">
        <f>Earnings!C47/160</f>
        <v>3217.0564999999997</v>
      </c>
      <c r="D47">
        <f t="shared" si="0"/>
        <v>0</v>
      </c>
    </row>
    <row r="48" spans="1:4" x14ac:dyDescent="0.35">
      <c r="A48" t="s">
        <v>78</v>
      </c>
      <c r="B48">
        <v>36</v>
      </c>
      <c r="C48">
        <f>Earnings!C48/160</f>
        <v>2675.5740000000001</v>
      </c>
      <c r="D48">
        <f t="shared" si="0"/>
        <v>192641.32800000001</v>
      </c>
    </row>
    <row r="49" spans="1:4" x14ac:dyDescent="0.35">
      <c r="A49" t="s">
        <v>79</v>
      </c>
      <c r="B49">
        <v>28</v>
      </c>
      <c r="C49">
        <f>Earnings!C49/160</f>
        <v>2873.6224999999999</v>
      </c>
      <c r="D49">
        <f t="shared" si="0"/>
        <v>160922.85999999999</v>
      </c>
    </row>
    <row r="50" spans="1:4" x14ac:dyDescent="0.35">
      <c r="A50" t="s">
        <v>80</v>
      </c>
      <c r="B50">
        <v>25</v>
      </c>
      <c r="C50">
        <f>Earnings!C50/160</f>
        <v>2998.8270000000002</v>
      </c>
      <c r="D50">
        <f t="shared" si="0"/>
        <v>149941.35</v>
      </c>
    </row>
    <row r="51" spans="1:4" x14ac:dyDescent="0.35">
      <c r="A51" t="s">
        <v>81</v>
      </c>
      <c r="B51">
        <v>0</v>
      </c>
      <c r="C51">
        <f>Earnings!C51/160</f>
        <v>3831.5749999999998</v>
      </c>
      <c r="D51">
        <f t="shared" si="0"/>
        <v>0</v>
      </c>
    </row>
    <row r="52" spans="1:4" x14ac:dyDescent="0.35">
      <c r="A52" t="s">
        <v>82</v>
      </c>
      <c r="B52">
        <v>0</v>
      </c>
      <c r="C52">
        <f>Earnings!C52/160</f>
        <v>3938.0330000000004</v>
      </c>
      <c r="D52">
        <f t="shared" si="0"/>
        <v>0</v>
      </c>
    </row>
    <row r="53" spans="1:4" x14ac:dyDescent="0.35">
      <c r="A53" t="s">
        <v>83</v>
      </c>
      <c r="B53">
        <v>30</v>
      </c>
      <c r="C53">
        <f>Earnings!C53/160</f>
        <v>2396.4299999999998</v>
      </c>
      <c r="D53">
        <f t="shared" si="0"/>
        <v>143785.79999999999</v>
      </c>
    </row>
    <row r="54" spans="1:4" x14ac:dyDescent="0.35">
      <c r="A54" t="s">
        <v>84</v>
      </c>
      <c r="B54">
        <v>25.5</v>
      </c>
      <c r="C54">
        <f>Earnings!C54/160</f>
        <v>3422.3762499999998</v>
      </c>
      <c r="D54">
        <f t="shared" si="0"/>
        <v>174541.18875</v>
      </c>
    </row>
    <row r="55" spans="1:4" x14ac:dyDescent="0.35">
      <c r="A55" t="s">
        <v>85</v>
      </c>
      <c r="B55">
        <v>28</v>
      </c>
      <c r="C55">
        <f>Earnings!C55/160</f>
        <v>1985.395</v>
      </c>
      <c r="D55">
        <f t="shared" si="0"/>
        <v>111182.12</v>
      </c>
    </row>
    <row r="56" spans="1:4" x14ac:dyDescent="0.35">
      <c r="A56" t="s">
        <v>86</v>
      </c>
      <c r="B56">
        <v>22</v>
      </c>
      <c r="C56">
        <f>Earnings!C56/160</f>
        <v>3035.3830000000003</v>
      </c>
      <c r="D56">
        <f t="shared" si="0"/>
        <v>133556.85200000001</v>
      </c>
    </row>
    <row r="57" spans="1:4" x14ac:dyDescent="0.35">
      <c r="A57" t="s">
        <v>87</v>
      </c>
      <c r="B57">
        <v>0</v>
      </c>
      <c r="C57">
        <f>Earnings!C57/160</f>
        <v>2582.586875</v>
      </c>
      <c r="D57">
        <f t="shared" si="0"/>
        <v>0</v>
      </c>
    </row>
    <row r="58" spans="1:4" x14ac:dyDescent="0.35">
      <c r="A58" t="s">
        <v>88</v>
      </c>
      <c r="B58">
        <v>0</v>
      </c>
      <c r="C58">
        <f>Earnings!C58/160</f>
        <v>2301.7075</v>
      </c>
      <c r="D58">
        <f t="shared" si="0"/>
        <v>0</v>
      </c>
    </row>
    <row r="59" spans="1:4" x14ac:dyDescent="0.35">
      <c r="A59" t="s">
        <v>89</v>
      </c>
      <c r="B59">
        <v>0</v>
      </c>
      <c r="C59">
        <f>Earnings!C59/160</f>
        <v>1779.822625</v>
      </c>
      <c r="D59">
        <f t="shared" si="0"/>
        <v>0</v>
      </c>
    </row>
    <row r="60" spans="1:4" x14ac:dyDescent="0.35">
      <c r="A60" t="s">
        <v>90</v>
      </c>
      <c r="B60">
        <v>0</v>
      </c>
      <c r="C60">
        <f>Earnings!C60/160</f>
        <v>3112.430875</v>
      </c>
      <c r="D60">
        <f t="shared" si="0"/>
        <v>0</v>
      </c>
    </row>
    <row r="61" spans="1:4" x14ac:dyDescent="0.35">
      <c r="A61" t="s">
        <v>91</v>
      </c>
      <c r="B61">
        <v>0</v>
      </c>
      <c r="C61">
        <f>Earnings!C61/160</f>
        <v>1775.2685624999999</v>
      </c>
      <c r="D61">
        <f t="shared" si="0"/>
        <v>0</v>
      </c>
    </row>
    <row r="62" spans="1:4" x14ac:dyDescent="0.35">
      <c r="A62" t="s">
        <v>92</v>
      </c>
      <c r="B62">
        <v>30</v>
      </c>
      <c r="C62">
        <f>Earnings!C62/160</f>
        <v>1179.1375</v>
      </c>
      <c r="D62">
        <f t="shared" si="0"/>
        <v>70748.25</v>
      </c>
    </row>
    <row r="63" spans="1:4" x14ac:dyDescent="0.35">
      <c r="A63" t="s">
        <v>93</v>
      </c>
      <c r="B63">
        <v>40.6</v>
      </c>
      <c r="C63">
        <f>Earnings!C63/160</f>
        <v>4065.8399374999999</v>
      </c>
      <c r="D63">
        <f t="shared" si="0"/>
        <v>330146.20292499999</v>
      </c>
    </row>
    <row r="64" spans="1:4" x14ac:dyDescent="0.35">
      <c r="A64" t="s">
        <v>94</v>
      </c>
      <c r="B64">
        <v>0</v>
      </c>
      <c r="C64">
        <f>Earnings!C64/160</f>
        <v>2579.142875</v>
      </c>
      <c r="D64">
        <f t="shared" si="0"/>
        <v>0</v>
      </c>
    </row>
    <row r="65" spans="1:4" x14ac:dyDescent="0.35">
      <c r="A65" t="s">
        <v>95</v>
      </c>
      <c r="B65">
        <v>0</v>
      </c>
      <c r="C65">
        <f>Earnings!C65/160</f>
        <v>2207.5340000000001</v>
      </c>
      <c r="D65">
        <f t="shared" si="0"/>
        <v>0</v>
      </c>
    </row>
    <row r="66" spans="1:4" x14ac:dyDescent="0.35">
      <c r="A66" t="s">
        <v>96</v>
      </c>
      <c r="B66">
        <v>0</v>
      </c>
      <c r="C66">
        <f>Earnings!C66/160</f>
        <v>4276.384</v>
      </c>
      <c r="D66">
        <f t="shared" ref="D66:D129" si="1">B66*C66*2</f>
        <v>0</v>
      </c>
    </row>
    <row r="67" spans="1:4" x14ac:dyDescent="0.35">
      <c r="A67" t="s">
        <v>97</v>
      </c>
      <c r="B67">
        <v>0</v>
      </c>
      <c r="C67">
        <f>Earnings!C67/160</f>
        <v>3392.3434999999999</v>
      </c>
      <c r="D67">
        <f t="shared" si="1"/>
        <v>0</v>
      </c>
    </row>
    <row r="68" spans="1:4" x14ac:dyDescent="0.35">
      <c r="A68" t="s">
        <v>98</v>
      </c>
      <c r="B68">
        <v>32.4</v>
      </c>
      <c r="C68">
        <f>Earnings!C68/160</f>
        <v>2971.7159999999999</v>
      </c>
      <c r="D68">
        <f t="shared" si="1"/>
        <v>192567.19679999998</v>
      </c>
    </row>
    <row r="69" spans="1:4" x14ac:dyDescent="0.35">
      <c r="A69" t="s">
        <v>99</v>
      </c>
      <c r="B69">
        <v>26.6</v>
      </c>
      <c r="C69">
        <f>Earnings!C69/160</f>
        <v>3021.0251875000004</v>
      </c>
      <c r="D69">
        <f t="shared" si="1"/>
        <v>160718.53997500002</v>
      </c>
    </row>
    <row r="70" spans="1:4" x14ac:dyDescent="0.35">
      <c r="A70" t="s">
        <v>100</v>
      </c>
      <c r="B70">
        <v>0</v>
      </c>
      <c r="C70">
        <f>Earnings!C70/160</f>
        <v>1574.551375</v>
      </c>
      <c r="D70">
        <f t="shared" si="1"/>
        <v>0</v>
      </c>
    </row>
    <row r="71" spans="1:4" x14ac:dyDescent="0.35">
      <c r="A71" t="s">
        <v>101</v>
      </c>
      <c r="B71">
        <v>36.4</v>
      </c>
      <c r="C71">
        <f>Earnings!C71/160</f>
        <v>3259.91975</v>
      </c>
      <c r="D71">
        <f t="shared" si="1"/>
        <v>237322.15779999999</v>
      </c>
    </row>
    <row r="72" spans="1:4" x14ac:dyDescent="0.35">
      <c r="A72" t="s">
        <v>102</v>
      </c>
      <c r="B72">
        <v>19.600000000000001</v>
      </c>
      <c r="C72">
        <f>Earnings!C72/160</f>
        <v>3084.8580000000002</v>
      </c>
      <c r="D72">
        <f t="shared" si="1"/>
        <v>120926.43360000002</v>
      </c>
    </row>
    <row r="73" spans="1:4" x14ac:dyDescent="0.35">
      <c r="A73" t="s">
        <v>103</v>
      </c>
      <c r="B73">
        <v>0</v>
      </c>
      <c r="C73">
        <f>Earnings!C73/160</f>
        <v>4428.346125</v>
      </c>
      <c r="D73">
        <f t="shared" si="1"/>
        <v>0</v>
      </c>
    </row>
    <row r="74" spans="1:4" x14ac:dyDescent="0.35">
      <c r="A74" t="s">
        <v>104</v>
      </c>
      <c r="B74">
        <v>0</v>
      </c>
      <c r="C74">
        <f>Earnings!C74/160</f>
        <v>2712.7896250000003</v>
      </c>
      <c r="D74">
        <f t="shared" si="1"/>
        <v>0</v>
      </c>
    </row>
    <row r="75" spans="1:4" x14ac:dyDescent="0.35">
      <c r="A75" t="s">
        <v>105</v>
      </c>
      <c r="B75">
        <v>0</v>
      </c>
      <c r="C75">
        <f>Earnings!C75/160</f>
        <v>2395.2107499999997</v>
      </c>
      <c r="D75">
        <f t="shared" si="1"/>
        <v>0</v>
      </c>
    </row>
    <row r="76" spans="1:4" x14ac:dyDescent="0.35">
      <c r="A76" t="s">
        <v>106</v>
      </c>
      <c r="B76">
        <v>21.6</v>
      </c>
      <c r="C76">
        <f>Earnings!C76/160</f>
        <v>1803.5797500000001</v>
      </c>
      <c r="D76">
        <f t="shared" si="1"/>
        <v>77914.645200000014</v>
      </c>
    </row>
    <row r="77" spans="1:4" x14ac:dyDescent="0.35">
      <c r="A77" t="s">
        <v>107</v>
      </c>
      <c r="B77">
        <v>33.6</v>
      </c>
      <c r="C77">
        <f>Earnings!C77/160</f>
        <v>1788.6855</v>
      </c>
      <c r="D77">
        <f t="shared" si="1"/>
        <v>120199.66560000001</v>
      </c>
    </row>
    <row r="78" spans="1:4" x14ac:dyDescent="0.35">
      <c r="A78" t="s">
        <v>108</v>
      </c>
      <c r="B78">
        <v>9.6</v>
      </c>
      <c r="C78">
        <f>Earnings!C78/160</f>
        <v>1856.1765</v>
      </c>
      <c r="D78">
        <f t="shared" si="1"/>
        <v>35638.588799999998</v>
      </c>
    </row>
    <row r="79" spans="1:4" x14ac:dyDescent="0.35">
      <c r="A79" t="s">
        <v>109</v>
      </c>
      <c r="B79">
        <v>0</v>
      </c>
      <c r="C79">
        <f>Earnings!C79/160</f>
        <v>2777.3881874999997</v>
      </c>
      <c r="D79">
        <f t="shared" si="1"/>
        <v>0</v>
      </c>
    </row>
    <row r="80" spans="1:4" x14ac:dyDescent="0.35">
      <c r="A80" t="s">
        <v>110</v>
      </c>
      <c r="B80">
        <v>51</v>
      </c>
      <c r="C80">
        <f>Earnings!C80/160</f>
        <v>3212.0564999999997</v>
      </c>
      <c r="D80">
        <f t="shared" si="1"/>
        <v>327629.76299999998</v>
      </c>
    </row>
    <row r="81" spans="1:4" x14ac:dyDescent="0.35">
      <c r="A81" t="s">
        <v>111</v>
      </c>
      <c r="B81">
        <v>25.5</v>
      </c>
      <c r="C81">
        <f>Earnings!C81/160</f>
        <v>5049.0934999999999</v>
      </c>
      <c r="D81">
        <f t="shared" si="1"/>
        <v>257503.76850000001</v>
      </c>
    </row>
    <row r="82" spans="1:4" x14ac:dyDescent="0.35">
      <c r="A82" t="s">
        <v>112</v>
      </c>
      <c r="B82">
        <v>6</v>
      </c>
      <c r="C82">
        <f>Earnings!C82/160</f>
        <v>1619.6321874999999</v>
      </c>
      <c r="D82">
        <f t="shared" si="1"/>
        <v>19435.58625</v>
      </c>
    </row>
    <row r="83" spans="1:4" x14ac:dyDescent="0.35">
      <c r="A83" t="s">
        <v>113</v>
      </c>
      <c r="B83">
        <v>0</v>
      </c>
      <c r="C83">
        <f>Earnings!C83/160</f>
        <v>2564.7653749999999</v>
      </c>
      <c r="D83">
        <f t="shared" si="1"/>
        <v>0</v>
      </c>
    </row>
    <row r="84" spans="1:4" x14ac:dyDescent="0.35">
      <c r="A84" t="s">
        <v>114</v>
      </c>
      <c r="B84">
        <v>0</v>
      </c>
      <c r="C84">
        <f>Earnings!C84/160</f>
        <v>1751.6624999999999</v>
      </c>
      <c r="D84">
        <f t="shared" si="1"/>
        <v>0</v>
      </c>
    </row>
    <row r="85" spans="1:4" x14ac:dyDescent="0.35">
      <c r="A85" t="s">
        <v>115</v>
      </c>
      <c r="B85">
        <v>18.2</v>
      </c>
      <c r="C85">
        <f>Earnings!C85/160</f>
        <v>2709.5724375</v>
      </c>
      <c r="D85">
        <f t="shared" si="1"/>
        <v>98628.436724999992</v>
      </c>
    </row>
    <row r="86" spans="1:4" x14ac:dyDescent="0.35">
      <c r="A86" t="s">
        <v>116</v>
      </c>
      <c r="B86">
        <v>6</v>
      </c>
      <c r="C86">
        <f>Earnings!C86/160</f>
        <v>3259.8849999999998</v>
      </c>
      <c r="D86">
        <f t="shared" si="1"/>
        <v>39118.619999999995</v>
      </c>
    </row>
    <row r="87" spans="1:4" x14ac:dyDescent="0.35">
      <c r="A87" t="s">
        <v>117</v>
      </c>
      <c r="B87">
        <v>0</v>
      </c>
      <c r="C87">
        <f>Earnings!C87/160</f>
        <v>1690.3</v>
      </c>
      <c r="D87">
        <f t="shared" si="1"/>
        <v>0</v>
      </c>
    </row>
    <row r="88" spans="1:4" x14ac:dyDescent="0.35">
      <c r="A88" t="s">
        <v>118</v>
      </c>
      <c r="B88">
        <v>28</v>
      </c>
      <c r="C88">
        <f>Earnings!C88/160</f>
        <v>1921.9150000000002</v>
      </c>
      <c r="D88">
        <f t="shared" si="1"/>
        <v>107627.24</v>
      </c>
    </row>
    <row r="89" spans="1:4" x14ac:dyDescent="0.35">
      <c r="A89" t="s">
        <v>119</v>
      </c>
      <c r="B89">
        <v>0</v>
      </c>
      <c r="C89">
        <f>Earnings!C89/160</f>
        <v>4642.9974999999995</v>
      </c>
      <c r="D89">
        <f t="shared" si="1"/>
        <v>0</v>
      </c>
    </row>
    <row r="90" spans="1:4" x14ac:dyDescent="0.35">
      <c r="A90" t="s">
        <v>120</v>
      </c>
      <c r="B90">
        <v>0</v>
      </c>
      <c r="C90">
        <f>Earnings!C90/160</f>
        <v>2988.5250000000001</v>
      </c>
      <c r="D90">
        <f t="shared" si="1"/>
        <v>0</v>
      </c>
    </row>
    <row r="91" spans="1:4" x14ac:dyDescent="0.35">
      <c r="A91" t="s">
        <v>121</v>
      </c>
      <c r="B91">
        <v>11.2</v>
      </c>
      <c r="C91">
        <f>Earnings!C91/160</f>
        <v>2833.0119999999997</v>
      </c>
      <c r="D91">
        <f t="shared" si="1"/>
        <v>63459.468799999988</v>
      </c>
    </row>
    <row r="92" spans="1:4" x14ac:dyDescent="0.35">
      <c r="A92" t="s">
        <v>122</v>
      </c>
      <c r="B92">
        <v>30.6</v>
      </c>
      <c r="C92">
        <f>Earnings!C92/160</f>
        <v>4680.4825000000001</v>
      </c>
      <c r="D92">
        <f t="shared" si="1"/>
        <v>286445.52900000004</v>
      </c>
    </row>
    <row r="93" spans="1:4" x14ac:dyDescent="0.35">
      <c r="A93" t="s">
        <v>123</v>
      </c>
      <c r="B93">
        <v>0</v>
      </c>
      <c r="C93">
        <f>Earnings!C93/160</f>
        <v>2328.3175000000001</v>
      </c>
      <c r="D93">
        <f t="shared" si="1"/>
        <v>0</v>
      </c>
    </row>
    <row r="94" spans="1:4" x14ac:dyDescent="0.35">
      <c r="A94" t="s">
        <v>124</v>
      </c>
      <c r="B94">
        <v>7.2</v>
      </c>
      <c r="C94">
        <f>Earnings!C94/160</f>
        <v>3089.6536249999999</v>
      </c>
      <c r="D94">
        <f t="shared" si="1"/>
        <v>44491.012199999997</v>
      </c>
    </row>
    <row r="95" spans="1:4" x14ac:dyDescent="0.35">
      <c r="A95" t="s">
        <v>125</v>
      </c>
      <c r="B95">
        <v>14.4</v>
      </c>
      <c r="C95">
        <f>Earnings!C95/160</f>
        <v>2418.9546249999999</v>
      </c>
      <c r="D95">
        <f t="shared" si="1"/>
        <v>69665.893199999991</v>
      </c>
    </row>
    <row r="96" spans="1:4" x14ac:dyDescent="0.35">
      <c r="A96" t="s">
        <v>126</v>
      </c>
      <c r="B96">
        <v>0</v>
      </c>
      <c r="C96">
        <f>Earnings!C96/160</f>
        <v>3069.0569999999998</v>
      </c>
      <c r="D96">
        <f t="shared" si="1"/>
        <v>0</v>
      </c>
    </row>
    <row r="97" spans="1:4" x14ac:dyDescent="0.35">
      <c r="A97" t="s">
        <v>127</v>
      </c>
      <c r="B97">
        <v>18.7</v>
      </c>
      <c r="C97">
        <f>Earnings!C97/160</f>
        <v>3784.1549375000004</v>
      </c>
      <c r="D97">
        <f t="shared" si="1"/>
        <v>141527.39466250001</v>
      </c>
    </row>
    <row r="98" spans="1:4" x14ac:dyDescent="0.35">
      <c r="A98" t="s">
        <v>128</v>
      </c>
      <c r="B98">
        <v>23.8</v>
      </c>
      <c r="C98">
        <f>Earnings!C98/160</f>
        <v>2879.8523125000002</v>
      </c>
      <c r="D98">
        <f t="shared" si="1"/>
        <v>137080.97007500002</v>
      </c>
    </row>
    <row r="99" spans="1:4" x14ac:dyDescent="0.35">
      <c r="A99" t="s">
        <v>129</v>
      </c>
      <c r="B99">
        <v>26.4</v>
      </c>
      <c r="C99">
        <f>Earnings!C99/160</f>
        <v>2973.7583750000003</v>
      </c>
      <c r="D99">
        <f t="shared" si="1"/>
        <v>157014.44220000002</v>
      </c>
    </row>
    <row r="100" spans="1:4" x14ac:dyDescent="0.35">
      <c r="A100" t="s">
        <v>130</v>
      </c>
      <c r="B100">
        <v>0</v>
      </c>
      <c r="C100">
        <f>Earnings!C100/160</f>
        <v>2090.3743125000001</v>
      </c>
      <c r="D100">
        <f t="shared" si="1"/>
        <v>0</v>
      </c>
    </row>
    <row r="101" spans="1:4" x14ac:dyDescent="0.35">
      <c r="A101" t="s">
        <v>131</v>
      </c>
      <c r="B101">
        <v>37.799999999999997</v>
      </c>
      <c r="C101">
        <f>Earnings!C101/160</f>
        <v>3199.5909999999999</v>
      </c>
      <c r="D101">
        <f t="shared" si="1"/>
        <v>241889.07959999997</v>
      </c>
    </row>
    <row r="102" spans="1:4" x14ac:dyDescent="0.35">
      <c r="A102" t="s">
        <v>132</v>
      </c>
      <c r="B102">
        <v>0</v>
      </c>
      <c r="C102">
        <f>Earnings!C102/160</f>
        <v>2670.1213124999999</v>
      </c>
      <c r="D102">
        <f t="shared" si="1"/>
        <v>0</v>
      </c>
    </row>
    <row r="103" spans="1:4" x14ac:dyDescent="0.35">
      <c r="A103" t="s">
        <v>133</v>
      </c>
      <c r="B103">
        <v>21</v>
      </c>
      <c r="C103">
        <f>Earnings!C103/160</f>
        <v>2489.4904999999999</v>
      </c>
      <c r="D103">
        <f t="shared" si="1"/>
        <v>104558.601</v>
      </c>
    </row>
    <row r="104" spans="1:4" x14ac:dyDescent="0.35">
      <c r="A104" t="s">
        <v>134</v>
      </c>
      <c r="B104">
        <v>0</v>
      </c>
      <c r="C104">
        <f>Earnings!C104/160</f>
        <v>2390.0880000000002</v>
      </c>
      <c r="D104">
        <f t="shared" si="1"/>
        <v>0</v>
      </c>
    </row>
    <row r="105" spans="1:4" x14ac:dyDescent="0.35">
      <c r="A105" t="s">
        <v>135</v>
      </c>
      <c r="B105">
        <v>0</v>
      </c>
      <c r="C105">
        <f>Earnings!C105/160</f>
        <v>2245.4841249999999</v>
      </c>
      <c r="D105">
        <f t="shared" si="1"/>
        <v>0</v>
      </c>
    </row>
    <row r="106" spans="1:4" x14ac:dyDescent="0.35">
      <c r="A106" t="s">
        <v>136</v>
      </c>
      <c r="B106">
        <v>32.299999999999997</v>
      </c>
      <c r="C106">
        <f>Earnings!C106/160</f>
        <v>6417.3894999999993</v>
      </c>
      <c r="D106">
        <f t="shared" si="1"/>
        <v>414563.36169999989</v>
      </c>
    </row>
    <row r="107" spans="1:4" x14ac:dyDescent="0.35">
      <c r="A107" t="s">
        <v>137</v>
      </c>
      <c r="B107">
        <v>0</v>
      </c>
      <c r="C107">
        <f>Earnings!C107/160</f>
        <v>1522.9175</v>
      </c>
      <c r="D107">
        <f t="shared" si="1"/>
        <v>0</v>
      </c>
    </row>
    <row r="108" spans="1:4" x14ac:dyDescent="0.35">
      <c r="A108" t="s">
        <v>138</v>
      </c>
      <c r="B108">
        <v>28</v>
      </c>
      <c r="C108">
        <f>Earnings!C108/160</f>
        <v>2815.1150000000002</v>
      </c>
      <c r="D108">
        <f t="shared" si="1"/>
        <v>157646.44</v>
      </c>
    </row>
    <row r="109" spans="1:4" x14ac:dyDescent="0.35">
      <c r="A109" t="s">
        <v>139</v>
      </c>
      <c r="B109">
        <v>30.6</v>
      </c>
      <c r="C109">
        <f>Earnings!C109/160</f>
        <v>2414.9775</v>
      </c>
      <c r="D109">
        <f t="shared" si="1"/>
        <v>147796.62299999999</v>
      </c>
    </row>
    <row r="110" spans="1:4" x14ac:dyDescent="0.35">
      <c r="A110" t="s">
        <v>140</v>
      </c>
      <c r="B110">
        <v>10.8</v>
      </c>
      <c r="C110">
        <f>Earnings!C110/160</f>
        <v>2174.4388749999998</v>
      </c>
      <c r="D110">
        <f t="shared" si="1"/>
        <v>46967.879699999998</v>
      </c>
    </row>
    <row r="111" spans="1:4" x14ac:dyDescent="0.35">
      <c r="A111" t="s">
        <v>141</v>
      </c>
      <c r="B111">
        <v>47.6</v>
      </c>
      <c r="C111">
        <f>Earnings!C111/160</f>
        <v>3045.1419999999998</v>
      </c>
      <c r="D111">
        <f t="shared" si="1"/>
        <v>289897.5184</v>
      </c>
    </row>
    <row r="112" spans="1:4" x14ac:dyDescent="0.35">
      <c r="A112" t="s">
        <v>142</v>
      </c>
      <c r="B112">
        <v>20.399999999999999</v>
      </c>
      <c r="C112">
        <f>Earnings!C112/160</f>
        <v>4371.3608750000003</v>
      </c>
      <c r="D112">
        <f t="shared" si="1"/>
        <v>178351.52369999999</v>
      </c>
    </row>
    <row r="113" spans="1:4" x14ac:dyDescent="0.35">
      <c r="A113" t="s">
        <v>143</v>
      </c>
      <c r="B113">
        <v>51</v>
      </c>
      <c r="C113">
        <f>Earnings!C113/160</f>
        <v>3326.1328750000002</v>
      </c>
      <c r="D113">
        <f t="shared" si="1"/>
        <v>339265.55325</v>
      </c>
    </row>
    <row r="114" spans="1:4" x14ac:dyDescent="0.35">
      <c r="A114" t="s">
        <v>144</v>
      </c>
      <c r="B114">
        <v>30</v>
      </c>
      <c r="C114">
        <f>Earnings!C114/160</f>
        <v>2207.298875</v>
      </c>
      <c r="D114">
        <f t="shared" si="1"/>
        <v>132437.9325</v>
      </c>
    </row>
    <row r="115" spans="1:4" x14ac:dyDescent="0.35">
      <c r="A115" t="s">
        <v>145</v>
      </c>
      <c r="B115">
        <v>11</v>
      </c>
      <c r="C115">
        <f>Earnings!C115/160</f>
        <v>1430.645</v>
      </c>
      <c r="D115">
        <f t="shared" si="1"/>
        <v>31474.19</v>
      </c>
    </row>
    <row r="116" spans="1:4" x14ac:dyDescent="0.35">
      <c r="A116" t="s">
        <v>146</v>
      </c>
      <c r="B116">
        <v>0</v>
      </c>
      <c r="C116">
        <f>Earnings!C116/160</f>
        <v>3793.0025000000001</v>
      </c>
      <c r="D116">
        <f t="shared" si="1"/>
        <v>0</v>
      </c>
    </row>
    <row r="117" spans="1:4" x14ac:dyDescent="0.35">
      <c r="A117" t="s">
        <v>147</v>
      </c>
      <c r="B117">
        <v>9.6</v>
      </c>
      <c r="C117">
        <f>Earnings!C117/160</f>
        <v>2987.2290000000003</v>
      </c>
      <c r="D117">
        <f t="shared" si="1"/>
        <v>57354.796800000004</v>
      </c>
    </row>
    <row r="118" spans="1:4" x14ac:dyDescent="0.35">
      <c r="A118" t="s">
        <v>148</v>
      </c>
      <c r="B118">
        <v>13</v>
      </c>
      <c r="C118">
        <f>Earnings!C118/160</f>
        <v>2115.866125</v>
      </c>
      <c r="D118">
        <f t="shared" si="1"/>
        <v>55012.519249999998</v>
      </c>
    </row>
    <row r="119" spans="1:4" x14ac:dyDescent="0.35">
      <c r="A119" t="s">
        <v>149</v>
      </c>
      <c r="B119">
        <v>13.6</v>
      </c>
      <c r="C119">
        <f>Earnings!C119/160</f>
        <v>4450.4595625000002</v>
      </c>
      <c r="D119">
        <f t="shared" si="1"/>
        <v>121052.5001</v>
      </c>
    </row>
    <row r="120" spans="1:4" x14ac:dyDescent="0.35">
      <c r="A120" t="s">
        <v>150</v>
      </c>
      <c r="B120">
        <v>0</v>
      </c>
      <c r="C120">
        <f>Earnings!C120/160</f>
        <v>2863.98</v>
      </c>
      <c r="D120">
        <f t="shared" si="1"/>
        <v>0</v>
      </c>
    </row>
    <row r="121" spans="1:4" x14ac:dyDescent="0.35">
      <c r="A121" t="s">
        <v>151</v>
      </c>
      <c r="B121">
        <v>0</v>
      </c>
      <c r="C121">
        <f>Earnings!C121/160</f>
        <v>3161.3074999999999</v>
      </c>
      <c r="D121">
        <f t="shared" si="1"/>
        <v>0</v>
      </c>
    </row>
    <row r="122" spans="1:4" x14ac:dyDescent="0.35">
      <c r="A122" t="s">
        <v>152</v>
      </c>
      <c r="B122">
        <v>36</v>
      </c>
      <c r="C122">
        <f>Earnings!C122/160</f>
        <v>2417.78325</v>
      </c>
      <c r="D122">
        <f t="shared" si="1"/>
        <v>174080.394</v>
      </c>
    </row>
    <row r="123" spans="1:4" x14ac:dyDescent="0.35">
      <c r="A123" t="s">
        <v>153</v>
      </c>
      <c r="B123">
        <v>0</v>
      </c>
      <c r="C123">
        <f>Earnings!C123/160</f>
        <v>2539.7325000000001</v>
      </c>
      <c r="D123">
        <f t="shared" si="1"/>
        <v>0</v>
      </c>
    </row>
    <row r="124" spans="1:4" x14ac:dyDescent="0.35">
      <c r="A124" t="s">
        <v>154</v>
      </c>
      <c r="B124">
        <v>12.6</v>
      </c>
      <c r="C124">
        <f>Earnings!C124/160</f>
        <v>2677.4728749999999</v>
      </c>
      <c r="D124">
        <f t="shared" si="1"/>
        <v>67472.316449999998</v>
      </c>
    </row>
    <row r="125" spans="1:4" x14ac:dyDescent="0.35">
      <c r="A125" t="s">
        <v>155</v>
      </c>
      <c r="B125">
        <v>29</v>
      </c>
      <c r="C125">
        <f>Earnings!C125/160</f>
        <v>2169.0138749999996</v>
      </c>
      <c r="D125">
        <f t="shared" si="1"/>
        <v>125802.80474999998</v>
      </c>
    </row>
    <row r="126" spans="1:4" x14ac:dyDescent="0.35">
      <c r="A126" t="s">
        <v>156</v>
      </c>
      <c r="B126">
        <v>37.799999999999997</v>
      </c>
      <c r="C126">
        <f>Earnings!C126/160</f>
        <v>2241.8978749999997</v>
      </c>
      <c r="D126">
        <f t="shared" si="1"/>
        <v>169487.47934999995</v>
      </c>
    </row>
    <row r="127" spans="1:4" x14ac:dyDescent="0.35">
      <c r="A127" t="s">
        <v>157</v>
      </c>
      <c r="B127">
        <v>31.2</v>
      </c>
      <c r="C127">
        <f>Earnings!C127/160</f>
        <v>2742.6779999999999</v>
      </c>
      <c r="D127">
        <f t="shared" si="1"/>
        <v>171143.1072</v>
      </c>
    </row>
    <row r="128" spans="1:4" x14ac:dyDescent="0.35">
      <c r="A128" t="s">
        <v>158</v>
      </c>
      <c r="B128">
        <v>17</v>
      </c>
      <c r="C128">
        <f>Earnings!C128/160</f>
        <v>3786.6394999999998</v>
      </c>
      <c r="D128">
        <f t="shared" si="1"/>
        <v>128745.74299999999</v>
      </c>
    </row>
    <row r="129" spans="1:4" x14ac:dyDescent="0.35">
      <c r="A129" t="s">
        <v>159</v>
      </c>
      <c r="B129">
        <v>0</v>
      </c>
      <c r="C129">
        <f>Earnings!C129/160</f>
        <v>1056.405</v>
      </c>
      <c r="D129">
        <f t="shared" si="1"/>
        <v>0</v>
      </c>
    </row>
    <row r="130" spans="1:4" x14ac:dyDescent="0.35">
      <c r="A130" t="s">
        <v>160</v>
      </c>
      <c r="B130">
        <v>8.4</v>
      </c>
      <c r="C130">
        <f>Earnings!C130/160</f>
        <v>2298.9749999999999</v>
      </c>
      <c r="D130">
        <f t="shared" ref="D130:D193" si="2">B130*C130*2</f>
        <v>38622.78</v>
      </c>
    </row>
    <row r="131" spans="1:4" x14ac:dyDescent="0.35">
      <c r="A131" t="s">
        <v>161</v>
      </c>
      <c r="B131">
        <v>0</v>
      </c>
      <c r="C131">
        <f>Earnings!C131/160</f>
        <v>1987.0224999999998</v>
      </c>
      <c r="D131">
        <f t="shared" si="2"/>
        <v>0</v>
      </c>
    </row>
    <row r="132" spans="1:4" x14ac:dyDescent="0.35">
      <c r="A132" t="s">
        <v>162</v>
      </c>
      <c r="B132">
        <v>21</v>
      </c>
      <c r="C132">
        <f>Earnings!C132/160</f>
        <v>3562.0326249999998</v>
      </c>
      <c r="D132">
        <f t="shared" si="2"/>
        <v>149605.37024999998</v>
      </c>
    </row>
    <row r="133" spans="1:4" x14ac:dyDescent="0.35">
      <c r="A133" t="s">
        <v>163</v>
      </c>
      <c r="B133">
        <v>32.4</v>
      </c>
      <c r="C133">
        <f>Earnings!C133/160</f>
        <v>3598.392875</v>
      </c>
      <c r="D133">
        <f t="shared" si="2"/>
        <v>233175.85829999999</v>
      </c>
    </row>
    <row r="134" spans="1:4" x14ac:dyDescent="0.35">
      <c r="A134" t="s">
        <v>164</v>
      </c>
      <c r="B134">
        <v>11.9</v>
      </c>
      <c r="C134">
        <f>Earnings!C134/160</f>
        <v>1810.8914374999999</v>
      </c>
      <c r="D134">
        <f t="shared" si="2"/>
        <v>43099.216212500003</v>
      </c>
    </row>
    <row r="135" spans="1:4" x14ac:dyDescent="0.35">
      <c r="A135" t="s">
        <v>165</v>
      </c>
      <c r="B135">
        <v>29</v>
      </c>
      <c r="C135">
        <f>Earnings!C135/160</f>
        <v>2137.8847500000002</v>
      </c>
      <c r="D135">
        <f t="shared" si="2"/>
        <v>123997.31550000001</v>
      </c>
    </row>
    <row r="136" spans="1:4" x14ac:dyDescent="0.35">
      <c r="A136" t="s">
        <v>166</v>
      </c>
      <c r="B136">
        <v>39.200000000000003</v>
      </c>
      <c r="C136">
        <f>Earnings!C136/160</f>
        <v>2867.3702499999999</v>
      </c>
      <c r="D136">
        <f t="shared" si="2"/>
        <v>224801.82760000002</v>
      </c>
    </row>
    <row r="137" spans="1:4" x14ac:dyDescent="0.35">
      <c r="A137" t="s">
        <v>167</v>
      </c>
      <c r="B137">
        <v>0</v>
      </c>
      <c r="C137">
        <f>Earnings!C137/160</f>
        <v>2101.6259999999997</v>
      </c>
      <c r="D137">
        <f t="shared" si="2"/>
        <v>0</v>
      </c>
    </row>
    <row r="138" spans="1:4" x14ac:dyDescent="0.35">
      <c r="A138" t="s">
        <v>168</v>
      </c>
      <c r="B138">
        <v>0</v>
      </c>
      <c r="C138">
        <f>Earnings!C138/160</f>
        <v>1199.7303125000001</v>
      </c>
      <c r="D138">
        <f t="shared" si="2"/>
        <v>0</v>
      </c>
    </row>
    <row r="139" spans="1:4" x14ac:dyDescent="0.35">
      <c r="A139" t="s">
        <v>169</v>
      </c>
      <c r="B139">
        <v>40.799999999999997</v>
      </c>
      <c r="C139">
        <f>Earnings!C139/160</f>
        <v>3451.1487500000003</v>
      </c>
      <c r="D139">
        <f t="shared" si="2"/>
        <v>281613.73800000001</v>
      </c>
    </row>
    <row r="140" spans="1:4" x14ac:dyDescent="0.35">
      <c r="A140" t="s">
        <v>170</v>
      </c>
      <c r="B140">
        <v>0</v>
      </c>
      <c r="C140">
        <f>Earnings!C140/160</f>
        <v>4338.19175</v>
      </c>
      <c r="D140">
        <f t="shared" si="2"/>
        <v>0</v>
      </c>
    </row>
    <row r="141" spans="1:4" x14ac:dyDescent="0.35">
      <c r="A141" t="s">
        <v>171</v>
      </c>
      <c r="B141">
        <v>0</v>
      </c>
      <c r="C141">
        <f>Earnings!C141/160</f>
        <v>2827.5630000000001</v>
      </c>
      <c r="D141">
        <f t="shared" si="2"/>
        <v>0</v>
      </c>
    </row>
    <row r="142" spans="1:4" x14ac:dyDescent="0.35">
      <c r="A142" t="s">
        <v>172</v>
      </c>
      <c r="B142">
        <v>0</v>
      </c>
      <c r="C142">
        <f>Earnings!C142/160</f>
        <v>1224.200875</v>
      </c>
      <c r="D142">
        <f t="shared" si="2"/>
        <v>0</v>
      </c>
    </row>
    <row r="143" spans="1:4" x14ac:dyDescent="0.35">
      <c r="A143" t="s">
        <v>173</v>
      </c>
      <c r="B143">
        <v>12</v>
      </c>
      <c r="C143">
        <f>Earnings!C143/160</f>
        <v>1496.193</v>
      </c>
      <c r="D143">
        <f t="shared" si="2"/>
        <v>35908.631999999998</v>
      </c>
    </row>
    <row r="144" spans="1:4" x14ac:dyDescent="0.35">
      <c r="A144" t="s">
        <v>174</v>
      </c>
      <c r="B144">
        <v>0</v>
      </c>
      <c r="C144">
        <f>Earnings!C144/160</f>
        <v>1902.0825</v>
      </c>
      <c r="D144">
        <f t="shared" si="2"/>
        <v>0</v>
      </c>
    </row>
    <row r="145" spans="1:4" x14ac:dyDescent="0.35">
      <c r="A145" t="s">
        <v>175</v>
      </c>
      <c r="B145">
        <v>0</v>
      </c>
      <c r="C145">
        <f>Earnings!C145/160</f>
        <v>2758.4482499999999</v>
      </c>
      <c r="D145">
        <f t="shared" si="2"/>
        <v>0</v>
      </c>
    </row>
    <row r="146" spans="1:4" x14ac:dyDescent="0.35">
      <c r="A146" t="s">
        <v>176</v>
      </c>
      <c r="B146">
        <v>0</v>
      </c>
      <c r="C146">
        <f>Earnings!C146/160</f>
        <v>2960.8094375000001</v>
      </c>
      <c r="D146">
        <f t="shared" si="2"/>
        <v>0</v>
      </c>
    </row>
    <row r="147" spans="1:4" x14ac:dyDescent="0.35">
      <c r="A147" t="s">
        <v>177</v>
      </c>
      <c r="B147">
        <v>25.2</v>
      </c>
      <c r="C147">
        <f>Earnings!C147/160</f>
        <v>2801.7179999999998</v>
      </c>
      <c r="D147">
        <f t="shared" si="2"/>
        <v>141206.58719999998</v>
      </c>
    </row>
    <row r="148" spans="1:4" x14ac:dyDescent="0.35">
      <c r="A148" t="s">
        <v>178</v>
      </c>
      <c r="B148">
        <v>0</v>
      </c>
      <c r="C148">
        <f>Earnings!C148/160</f>
        <v>2116.64275</v>
      </c>
      <c r="D148">
        <f t="shared" si="2"/>
        <v>0</v>
      </c>
    </row>
    <row r="149" spans="1:4" x14ac:dyDescent="0.35">
      <c r="A149" t="s">
        <v>179</v>
      </c>
      <c r="B149">
        <v>0</v>
      </c>
      <c r="C149">
        <f>Earnings!C149/160</f>
        <v>1482.47</v>
      </c>
      <c r="D149">
        <f t="shared" si="2"/>
        <v>0</v>
      </c>
    </row>
    <row r="150" spans="1:4" x14ac:dyDescent="0.35">
      <c r="A150" t="s">
        <v>180</v>
      </c>
      <c r="B150">
        <v>0</v>
      </c>
      <c r="C150">
        <f>Earnings!C150/160</f>
        <v>1723.4258750000001</v>
      </c>
      <c r="D150">
        <f t="shared" si="2"/>
        <v>0</v>
      </c>
    </row>
    <row r="151" spans="1:4" x14ac:dyDescent="0.35">
      <c r="A151" t="s">
        <v>181</v>
      </c>
      <c r="B151">
        <v>0</v>
      </c>
      <c r="C151">
        <f>Earnings!C151/160</f>
        <v>2258.2497499999999</v>
      </c>
      <c r="D151">
        <f t="shared" si="2"/>
        <v>0</v>
      </c>
    </row>
    <row r="152" spans="1:4" x14ac:dyDescent="0.35">
      <c r="A152" t="s">
        <v>182</v>
      </c>
      <c r="B152">
        <v>0</v>
      </c>
      <c r="C152">
        <f>Earnings!C152/160</f>
        <v>2216.7556250000002</v>
      </c>
      <c r="D152">
        <f t="shared" si="2"/>
        <v>0</v>
      </c>
    </row>
    <row r="153" spans="1:4" x14ac:dyDescent="0.35">
      <c r="A153" t="s">
        <v>183</v>
      </c>
      <c r="B153">
        <v>18</v>
      </c>
      <c r="C153">
        <f>Earnings!C153/160</f>
        <v>2677.08</v>
      </c>
      <c r="D153">
        <f t="shared" si="2"/>
        <v>96374.88</v>
      </c>
    </row>
    <row r="154" spans="1:4" x14ac:dyDescent="0.35">
      <c r="A154" t="s">
        <v>184</v>
      </c>
      <c r="B154">
        <v>39.200000000000003</v>
      </c>
      <c r="C154">
        <f>Earnings!C154/160</f>
        <v>3639.5415000000003</v>
      </c>
      <c r="D154">
        <f t="shared" si="2"/>
        <v>285340.05360000004</v>
      </c>
    </row>
    <row r="155" spans="1:4" x14ac:dyDescent="0.35">
      <c r="A155" t="s">
        <v>185</v>
      </c>
      <c r="B155">
        <v>40.799999999999997</v>
      </c>
      <c r="C155">
        <f>Earnings!C155/160</f>
        <v>5153.5797499999999</v>
      </c>
      <c r="D155">
        <f t="shared" si="2"/>
        <v>420532.10759999999</v>
      </c>
    </row>
    <row r="156" spans="1:4" x14ac:dyDescent="0.35">
      <c r="A156" t="s">
        <v>186</v>
      </c>
      <c r="B156">
        <v>26.4</v>
      </c>
      <c r="C156">
        <f>Earnings!C156/160</f>
        <v>3098.4231250000003</v>
      </c>
      <c r="D156">
        <f t="shared" si="2"/>
        <v>163596.74100000001</v>
      </c>
    </row>
    <row r="157" spans="1:4" x14ac:dyDescent="0.35">
      <c r="A157" t="s">
        <v>187</v>
      </c>
      <c r="B157">
        <v>25.2</v>
      </c>
      <c r="C157">
        <f>Earnings!C157/160</f>
        <v>2733.0502499999998</v>
      </c>
      <c r="D157">
        <f t="shared" si="2"/>
        <v>137745.73259999999</v>
      </c>
    </row>
    <row r="158" spans="1:4" x14ac:dyDescent="0.35">
      <c r="A158" t="s">
        <v>188</v>
      </c>
      <c r="B158">
        <v>25.2</v>
      </c>
      <c r="C158">
        <f>Earnings!C158/160</f>
        <v>2704.7411875000003</v>
      </c>
      <c r="D158">
        <f t="shared" si="2"/>
        <v>136318.95585</v>
      </c>
    </row>
    <row r="159" spans="1:4" x14ac:dyDescent="0.35">
      <c r="A159" t="s">
        <v>189</v>
      </c>
      <c r="B159">
        <v>32.4</v>
      </c>
      <c r="C159">
        <f>Earnings!C159/160</f>
        <v>1893.8306874999998</v>
      </c>
      <c r="D159">
        <f t="shared" si="2"/>
        <v>122720.22854999999</v>
      </c>
    </row>
    <row r="160" spans="1:4" x14ac:dyDescent="0.35">
      <c r="A160" t="s">
        <v>190</v>
      </c>
      <c r="B160">
        <v>0</v>
      </c>
      <c r="C160">
        <f>Earnings!C160/160</f>
        <v>3986.3757500000002</v>
      </c>
      <c r="D160">
        <f t="shared" si="2"/>
        <v>0</v>
      </c>
    </row>
    <row r="161" spans="1:4" x14ac:dyDescent="0.35">
      <c r="A161" t="s">
        <v>191</v>
      </c>
      <c r="B161">
        <v>0</v>
      </c>
      <c r="C161">
        <f>Earnings!C161/160</f>
        <v>2753.3157500000002</v>
      </c>
      <c r="D161">
        <f t="shared" si="2"/>
        <v>0</v>
      </c>
    </row>
    <row r="162" spans="1:4" x14ac:dyDescent="0.35">
      <c r="A162" t="s">
        <v>192</v>
      </c>
      <c r="B162">
        <v>0</v>
      </c>
      <c r="C162">
        <f>Earnings!C162/160</f>
        <v>2125.5050000000001</v>
      </c>
      <c r="D162">
        <f t="shared" si="2"/>
        <v>0</v>
      </c>
    </row>
    <row r="163" spans="1:4" x14ac:dyDescent="0.35">
      <c r="A163" t="s">
        <v>193</v>
      </c>
      <c r="B163">
        <v>30.8</v>
      </c>
      <c r="C163">
        <f>Earnings!C163/160</f>
        <v>2327.3040000000001</v>
      </c>
      <c r="D163">
        <f t="shared" si="2"/>
        <v>143361.9264</v>
      </c>
    </row>
    <row r="164" spans="1:4" x14ac:dyDescent="0.35">
      <c r="A164" t="s">
        <v>194</v>
      </c>
      <c r="B164">
        <v>0</v>
      </c>
      <c r="C164">
        <f>Earnings!C164/160</f>
        <v>3238.2706874999999</v>
      </c>
      <c r="D164">
        <f t="shared" si="2"/>
        <v>0</v>
      </c>
    </row>
    <row r="165" spans="1:4" x14ac:dyDescent="0.35">
      <c r="A165" t="s">
        <v>195</v>
      </c>
      <c r="B165">
        <v>0</v>
      </c>
      <c r="C165">
        <f>Earnings!C165/160</f>
        <v>3452.1644999999999</v>
      </c>
      <c r="D165">
        <f t="shared" si="2"/>
        <v>0</v>
      </c>
    </row>
    <row r="166" spans="1:4" x14ac:dyDescent="0.35">
      <c r="A166" t="s">
        <v>196</v>
      </c>
      <c r="B166">
        <v>0</v>
      </c>
      <c r="C166">
        <f>Earnings!C166/160</f>
        <v>3649.424</v>
      </c>
      <c r="D166">
        <f t="shared" si="2"/>
        <v>0</v>
      </c>
    </row>
    <row r="167" spans="1:4" x14ac:dyDescent="0.35">
      <c r="A167" t="s">
        <v>197</v>
      </c>
      <c r="B167">
        <v>0</v>
      </c>
      <c r="C167">
        <f>Earnings!C167/160</f>
        <v>3122.904125</v>
      </c>
      <c r="D167">
        <f t="shared" si="2"/>
        <v>0</v>
      </c>
    </row>
    <row r="168" spans="1:4" x14ac:dyDescent="0.35">
      <c r="A168" t="s">
        <v>198</v>
      </c>
      <c r="B168">
        <v>0</v>
      </c>
      <c r="C168">
        <f>Earnings!C168/160</f>
        <v>2626.567125</v>
      </c>
      <c r="D168">
        <f t="shared" si="2"/>
        <v>0</v>
      </c>
    </row>
    <row r="169" spans="1:4" x14ac:dyDescent="0.35">
      <c r="A169" t="s">
        <v>199</v>
      </c>
      <c r="B169">
        <v>9.6</v>
      </c>
      <c r="C169">
        <f>Earnings!C169/160</f>
        <v>2137.9788125</v>
      </c>
      <c r="D169">
        <f t="shared" si="2"/>
        <v>41049.193200000002</v>
      </c>
    </row>
    <row r="170" spans="1:4" x14ac:dyDescent="0.35">
      <c r="A170" t="s">
        <v>200</v>
      </c>
      <c r="B170">
        <v>9.6</v>
      </c>
      <c r="C170">
        <f>Earnings!C170/160</f>
        <v>2568.009</v>
      </c>
      <c r="D170">
        <f t="shared" si="2"/>
        <v>49305.772799999999</v>
      </c>
    </row>
    <row r="171" spans="1:4" x14ac:dyDescent="0.35">
      <c r="A171" t="s">
        <v>201</v>
      </c>
      <c r="B171">
        <v>9.8000000000000007</v>
      </c>
      <c r="C171">
        <f>Earnings!C171/160</f>
        <v>4010.5717500000001</v>
      </c>
      <c r="D171">
        <f t="shared" si="2"/>
        <v>78607.206300000005</v>
      </c>
    </row>
    <row r="172" spans="1:4" x14ac:dyDescent="0.35">
      <c r="A172" t="s">
        <v>202</v>
      </c>
      <c r="B172">
        <v>0</v>
      </c>
      <c r="C172">
        <f>Earnings!C172/160</f>
        <v>2872.1</v>
      </c>
      <c r="D172">
        <f t="shared" si="2"/>
        <v>0</v>
      </c>
    </row>
    <row r="173" spans="1:4" x14ac:dyDescent="0.35">
      <c r="A173" t="s">
        <v>203</v>
      </c>
      <c r="B173">
        <v>0</v>
      </c>
      <c r="C173">
        <f>Earnings!C173/160</f>
        <v>4517.0955000000004</v>
      </c>
      <c r="D173">
        <f t="shared" si="2"/>
        <v>0</v>
      </c>
    </row>
    <row r="174" spans="1:4" x14ac:dyDescent="0.35">
      <c r="A174" t="s">
        <v>204</v>
      </c>
      <c r="B174">
        <v>22.1</v>
      </c>
      <c r="C174">
        <f>Earnings!C174/160</f>
        <v>3790.2192499999996</v>
      </c>
      <c r="D174">
        <f t="shared" si="2"/>
        <v>167527.69084999998</v>
      </c>
    </row>
    <row r="175" spans="1:4" x14ac:dyDescent="0.35">
      <c r="A175" t="s">
        <v>205</v>
      </c>
      <c r="B175">
        <v>0</v>
      </c>
      <c r="C175">
        <f>Earnings!C175/160</f>
        <v>2706.2190000000001</v>
      </c>
      <c r="D175">
        <f t="shared" si="2"/>
        <v>0</v>
      </c>
    </row>
    <row r="176" spans="1:4" x14ac:dyDescent="0.35">
      <c r="A176" t="s">
        <v>206</v>
      </c>
      <c r="B176">
        <v>7</v>
      </c>
      <c r="C176">
        <f>Earnings!C176/160</f>
        <v>1940.7431250000002</v>
      </c>
      <c r="D176">
        <f t="shared" si="2"/>
        <v>27170.403750000001</v>
      </c>
    </row>
    <row r="177" spans="1:4" x14ac:dyDescent="0.35">
      <c r="A177" t="s">
        <v>207</v>
      </c>
      <c r="B177">
        <v>0</v>
      </c>
      <c r="C177">
        <f>Earnings!C177/160</f>
        <v>1757.538</v>
      </c>
      <c r="D177">
        <f t="shared" si="2"/>
        <v>0</v>
      </c>
    </row>
    <row r="178" spans="1:4" x14ac:dyDescent="0.35">
      <c r="A178" t="s">
        <v>208</v>
      </c>
      <c r="B178">
        <v>19.600000000000001</v>
      </c>
      <c r="C178">
        <f>Earnings!C178/160</f>
        <v>4169.6129999999994</v>
      </c>
      <c r="D178">
        <f t="shared" si="2"/>
        <v>163448.8296</v>
      </c>
    </row>
    <row r="179" spans="1:4" x14ac:dyDescent="0.35">
      <c r="A179" t="s">
        <v>209</v>
      </c>
      <c r="B179">
        <v>19</v>
      </c>
      <c r="C179">
        <f>Earnings!C179/160</f>
        <v>2509.1993750000001</v>
      </c>
      <c r="D179">
        <f t="shared" si="2"/>
        <v>95349.576250000013</v>
      </c>
    </row>
    <row r="180" spans="1:4" x14ac:dyDescent="0.35">
      <c r="A180" t="s">
        <v>210</v>
      </c>
      <c r="B180">
        <v>18.7</v>
      </c>
      <c r="C180">
        <f>Earnings!C180/160</f>
        <v>3139.4348125000001</v>
      </c>
      <c r="D180">
        <f t="shared" si="2"/>
        <v>117414.8619875</v>
      </c>
    </row>
    <row r="181" spans="1:4" x14ac:dyDescent="0.35">
      <c r="A181" t="s">
        <v>211</v>
      </c>
      <c r="B181">
        <v>0</v>
      </c>
      <c r="C181">
        <f>Earnings!C181/160</f>
        <v>2402.8254999999999</v>
      </c>
      <c r="D181">
        <f t="shared" si="2"/>
        <v>0</v>
      </c>
    </row>
    <row r="182" spans="1:4" x14ac:dyDescent="0.35">
      <c r="A182" t="s">
        <v>212</v>
      </c>
      <c r="B182">
        <v>44.2</v>
      </c>
      <c r="C182">
        <f>Earnings!C182/160</f>
        <v>3237.5178124999998</v>
      </c>
      <c r="D182">
        <f t="shared" si="2"/>
        <v>286196.57462500001</v>
      </c>
    </row>
    <row r="183" spans="1:4" x14ac:dyDescent="0.35">
      <c r="A183" t="s">
        <v>213</v>
      </c>
      <c r="B183">
        <v>33.6</v>
      </c>
      <c r="C183">
        <f>Earnings!C183/160</f>
        <v>1691.3220000000001</v>
      </c>
      <c r="D183">
        <f t="shared" si="2"/>
        <v>113656.83840000001</v>
      </c>
    </row>
    <row r="184" spans="1:4" x14ac:dyDescent="0.35">
      <c r="A184" t="s">
        <v>214</v>
      </c>
      <c r="B184">
        <v>0</v>
      </c>
      <c r="C184">
        <f>Earnings!C184/160</f>
        <v>3809.4054999999998</v>
      </c>
      <c r="D184">
        <f t="shared" si="2"/>
        <v>0</v>
      </c>
    </row>
    <row r="185" spans="1:4" x14ac:dyDescent="0.35">
      <c r="A185" t="s">
        <v>215</v>
      </c>
      <c r="B185">
        <v>0</v>
      </c>
      <c r="C185">
        <f>Earnings!C185/160</f>
        <v>2819.5035625</v>
      </c>
      <c r="D185">
        <f t="shared" si="2"/>
        <v>0</v>
      </c>
    </row>
    <row r="186" spans="1:4" x14ac:dyDescent="0.35">
      <c r="A186" t="s">
        <v>216</v>
      </c>
      <c r="B186">
        <v>15.4</v>
      </c>
      <c r="C186">
        <f>Earnings!C186/160</f>
        <v>3266.116</v>
      </c>
      <c r="D186">
        <f t="shared" si="2"/>
        <v>100596.3728</v>
      </c>
    </row>
    <row r="187" spans="1:4" x14ac:dyDescent="0.35">
      <c r="A187" t="s">
        <v>217</v>
      </c>
      <c r="B187">
        <v>33.6</v>
      </c>
      <c r="C187">
        <f>Earnings!C187/160</f>
        <v>2998.3386875000001</v>
      </c>
      <c r="D187">
        <f t="shared" si="2"/>
        <v>201488.35980000001</v>
      </c>
    </row>
    <row r="188" spans="1:4" x14ac:dyDescent="0.35">
      <c r="A188" t="s">
        <v>218</v>
      </c>
      <c r="B188">
        <v>0</v>
      </c>
      <c r="C188">
        <f>Earnings!C188/160</f>
        <v>2107.8275000000003</v>
      </c>
      <c r="D188">
        <f t="shared" si="2"/>
        <v>0</v>
      </c>
    </row>
    <row r="189" spans="1:4" x14ac:dyDescent="0.35">
      <c r="A189" t="s">
        <v>219</v>
      </c>
      <c r="B189">
        <v>10.8</v>
      </c>
      <c r="C189">
        <f>Earnings!C189/160</f>
        <v>1886.7427500000001</v>
      </c>
      <c r="D189">
        <f t="shared" si="2"/>
        <v>40753.643400000008</v>
      </c>
    </row>
    <row r="190" spans="1:4" x14ac:dyDescent="0.35">
      <c r="A190" t="s">
        <v>220</v>
      </c>
      <c r="B190">
        <v>0</v>
      </c>
      <c r="C190">
        <f>Earnings!C190/160</f>
        <v>4477.3694999999998</v>
      </c>
      <c r="D190">
        <f t="shared" si="2"/>
        <v>0</v>
      </c>
    </row>
    <row r="191" spans="1:4" x14ac:dyDescent="0.35">
      <c r="A191" t="s">
        <v>221</v>
      </c>
      <c r="B191">
        <v>6</v>
      </c>
      <c r="C191">
        <f>Earnings!C191/160</f>
        <v>1512.896375</v>
      </c>
      <c r="D191">
        <f t="shared" si="2"/>
        <v>18154.7565</v>
      </c>
    </row>
    <row r="192" spans="1:4" x14ac:dyDescent="0.35">
      <c r="A192" t="s">
        <v>222</v>
      </c>
      <c r="B192">
        <v>27</v>
      </c>
      <c r="C192">
        <f>Earnings!C192/160</f>
        <v>1871.887125</v>
      </c>
      <c r="D192">
        <f t="shared" si="2"/>
        <v>101081.90475</v>
      </c>
    </row>
    <row r="193" spans="1:4" x14ac:dyDescent="0.35">
      <c r="A193" t="s">
        <v>223</v>
      </c>
      <c r="B193">
        <v>0</v>
      </c>
      <c r="C193">
        <f>Earnings!C193/160</f>
        <v>1376.761375</v>
      </c>
      <c r="D193">
        <f t="shared" si="2"/>
        <v>0</v>
      </c>
    </row>
    <row r="194" spans="1:4" x14ac:dyDescent="0.35">
      <c r="A194" t="s">
        <v>224</v>
      </c>
      <c r="B194">
        <v>0</v>
      </c>
      <c r="C194">
        <f>Earnings!C194/160</f>
        <v>3382.7020624999996</v>
      </c>
      <c r="D194">
        <f t="shared" ref="D194:D257" si="3">B194*C194*2</f>
        <v>0</v>
      </c>
    </row>
    <row r="195" spans="1:4" x14ac:dyDescent="0.35">
      <c r="A195" t="s">
        <v>225</v>
      </c>
      <c r="B195">
        <v>0</v>
      </c>
      <c r="C195">
        <f>Earnings!C195/160</f>
        <v>3706.9983124999999</v>
      </c>
      <c r="D195">
        <f t="shared" si="3"/>
        <v>0</v>
      </c>
    </row>
    <row r="196" spans="1:4" x14ac:dyDescent="0.35">
      <c r="A196" t="s">
        <v>226</v>
      </c>
      <c r="B196">
        <v>42.5</v>
      </c>
      <c r="C196">
        <f>Earnings!C196/160</f>
        <v>3431.1014999999998</v>
      </c>
      <c r="D196">
        <f t="shared" si="3"/>
        <v>291643.6275</v>
      </c>
    </row>
    <row r="197" spans="1:4" x14ac:dyDescent="0.35">
      <c r="A197" t="s">
        <v>227</v>
      </c>
      <c r="B197">
        <v>0</v>
      </c>
      <c r="C197">
        <f>Earnings!C197/160</f>
        <v>2089.1130000000003</v>
      </c>
      <c r="D197">
        <f t="shared" si="3"/>
        <v>0</v>
      </c>
    </row>
    <row r="198" spans="1:4" x14ac:dyDescent="0.35">
      <c r="A198" t="s">
        <v>228</v>
      </c>
      <c r="B198">
        <v>33.6</v>
      </c>
      <c r="C198">
        <f>Earnings!C198/160</f>
        <v>4133.92</v>
      </c>
      <c r="D198">
        <f t="shared" si="3"/>
        <v>277799.424</v>
      </c>
    </row>
    <row r="199" spans="1:4" x14ac:dyDescent="0.35">
      <c r="A199" t="s">
        <v>229</v>
      </c>
      <c r="B199">
        <v>0</v>
      </c>
      <c r="C199">
        <f>Earnings!C199/160</f>
        <v>3134.799</v>
      </c>
      <c r="D199">
        <f t="shared" si="3"/>
        <v>0</v>
      </c>
    </row>
    <row r="200" spans="1:4" x14ac:dyDescent="0.35">
      <c r="A200" t="s">
        <v>230</v>
      </c>
      <c r="B200">
        <v>0</v>
      </c>
      <c r="C200">
        <f>Earnings!C200/160</f>
        <v>4159.1647499999999</v>
      </c>
      <c r="D200">
        <f t="shared" si="3"/>
        <v>0</v>
      </c>
    </row>
    <row r="201" spans="1:4" x14ac:dyDescent="0.35">
      <c r="A201" t="s">
        <v>231</v>
      </c>
      <c r="B201">
        <v>26</v>
      </c>
      <c r="C201">
        <f>Earnings!C201/160</f>
        <v>2386.3674999999998</v>
      </c>
      <c r="D201">
        <f t="shared" si="3"/>
        <v>124091.10999999999</v>
      </c>
    </row>
    <row r="202" spans="1:4" x14ac:dyDescent="0.35">
      <c r="A202" t="s">
        <v>232</v>
      </c>
      <c r="B202">
        <v>0</v>
      </c>
      <c r="C202">
        <f>Earnings!C202/160</f>
        <v>3431.9598124999998</v>
      </c>
      <c r="D202">
        <f t="shared" si="3"/>
        <v>0</v>
      </c>
    </row>
    <row r="203" spans="1:4" x14ac:dyDescent="0.35">
      <c r="A203" t="s">
        <v>233</v>
      </c>
      <c r="B203">
        <v>39.1</v>
      </c>
      <c r="C203">
        <f>Earnings!C203/160</f>
        <v>1919.0398749999999</v>
      </c>
      <c r="D203">
        <f t="shared" si="3"/>
        <v>150068.918225</v>
      </c>
    </row>
    <row r="204" spans="1:4" x14ac:dyDescent="0.35">
      <c r="A204" t="s">
        <v>234</v>
      </c>
      <c r="B204">
        <v>0</v>
      </c>
      <c r="C204">
        <f>Earnings!C204/160</f>
        <v>3304.8970625000002</v>
      </c>
      <c r="D204">
        <f t="shared" si="3"/>
        <v>0</v>
      </c>
    </row>
    <row r="205" spans="1:4" x14ac:dyDescent="0.35">
      <c r="A205" t="s">
        <v>235</v>
      </c>
      <c r="B205">
        <v>28.8</v>
      </c>
      <c r="C205">
        <f>Earnings!C205/160</f>
        <v>2504.5628750000001</v>
      </c>
      <c r="D205">
        <f t="shared" si="3"/>
        <v>144262.8216</v>
      </c>
    </row>
    <row r="206" spans="1:4" x14ac:dyDescent="0.35">
      <c r="A206" t="s">
        <v>236</v>
      </c>
      <c r="B206">
        <v>0</v>
      </c>
      <c r="C206">
        <f>Earnings!C206/160</f>
        <v>2353.0113124999998</v>
      </c>
      <c r="D206">
        <f t="shared" si="3"/>
        <v>0</v>
      </c>
    </row>
    <row r="207" spans="1:4" x14ac:dyDescent="0.35">
      <c r="A207" t="s">
        <v>237</v>
      </c>
      <c r="B207">
        <v>0</v>
      </c>
      <c r="C207">
        <f>Earnings!C207/160</f>
        <v>2586.3892500000002</v>
      </c>
      <c r="D207">
        <f t="shared" si="3"/>
        <v>0</v>
      </c>
    </row>
    <row r="208" spans="1:4" x14ac:dyDescent="0.35">
      <c r="A208" t="s">
        <v>238</v>
      </c>
      <c r="B208">
        <v>0</v>
      </c>
      <c r="C208">
        <f>Earnings!C208/160</f>
        <v>3334.2667500000002</v>
      </c>
      <c r="D208">
        <f t="shared" si="3"/>
        <v>0</v>
      </c>
    </row>
    <row r="209" spans="1:4" x14ac:dyDescent="0.35">
      <c r="A209" t="s">
        <v>239</v>
      </c>
      <c r="B209">
        <v>28.8</v>
      </c>
      <c r="C209">
        <f>Earnings!C209/160</f>
        <v>1926.3378124999999</v>
      </c>
      <c r="D209">
        <f t="shared" si="3"/>
        <v>110957.058</v>
      </c>
    </row>
    <row r="210" spans="1:4" x14ac:dyDescent="0.35">
      <c r="A210" t="s">
        <v>240</v>
      </c>
      <c r="B210">
        <v>0</v>
      </c>
      <c r="C210">
        <f>Earnings!C210/160</f>
        <v>2470.1845000000003</v>
      </c>
      <c r="D210">
        <f t="shared" si="3"/>
        <v>0</v>
      </c>
    </row>
    <row r="211" spans="1:4" x14ac:dyDescent="0.35">
      <c r="A211" t="s">
        <v>241</v>
      </c>
      <c r="B211">
        <v>0</v>
      </c>
      <c r="C211">
        <f>Earnings!C211/160</f>
        <v>2069.3066250000002</v>
      </c>
      <c r="D211">
        <f t="shared" si="3"/>
        <v>0</v>
      </c>
    </row>
    <row r="212" spans="1:4" x14ac:dyDescent="0.35">
      <c r="A212" t="s">
        <v>242</v>
      </c>
      <c r="B212">
        <v>23</v>
      </c>
      <c r="C212">
        <f>Earnings!C212/160</f>
        <v>2066.0742500000001</v>
      </c>
      <c r="D212">
        <f t="shared" si="3"/>
        <v>95039.415500000003</v>
      </c>
    </row>
    <row r="213" spans="1:4" x14ac:dyDescent="0.35">
      <c r="A213" t="s">
        <v>243</v>
      </c>
      <c r="B213">
        <v>24</v>
      </c>
      <c r="C213">
        <f>Earnings!C213/160</f>
        <v>1557.2325000000001</v>
      </c>
      <c r="D213">
        <f t="shared" si="3"/>
        <v>74747.16</v>
      </c>
    </row>
    <row r="214" spans="1:4" x14ac:dyDescent="0.35">
      <c r="A214" t="s">
        <v>244</v>
      </c>
      <c r="B214">
        <v>0</v>
      </c>
      <c r="C214">
        <f>Earnings!C214/160</f>
        <v>3121.1320000000001</v>
      </c>
      <c r="D214">
        <f t="shared" si="3"/>
        <v>0</v>
      </c>
    </row>
    <row r="215" spans="1:4" x14ac:dyDescent="0.35">
      <c r="A215" t="s">
        <v>245</v>
      </c>
      <c r="B215">
        <v>0</v>
      </c>
      <c r="C215">
        <f>Earnings!C215/160</f>
        <v>2531.3820000000001</v>
      </c>
      <c r="D215">
        <f t="shared" si="3"/>
        <v>0</v>
      </c>
    </row>
    <row r="216" spans="1:4" x14ac:dyDescent="0.35">
      <c r="A216" t="s">
        <v>246</v>
      </c>
      <c r="B216">
        <v>17</v>
      </c>
      <c r="C216">
        <f>Earnings!C216/160</f>
        <v>1835.175</v>
      </c>
      <c r="D216">
        <f t="shared" si="3"/>
        <v>62395.95</v>
      </c>
    </row>
    <row r="217" spans="1:4" x14ac:dyDescent="0.35">
      <c r="A217" t="s">
        <v>247</v>
      </c>
      <c r="B217">
        <v>0</v>
      </c>
      <c r="C217">
        <f>Earnings!C217/160</f>
        <v>2765.2595000000001</v>
      </c>
      <c r="D217">
        <f t="shared" si="3"/>
        <v>0</v>
      </c>
    </row>
    <row r="218" spans="1:4" x14ac:dyDescent="0.35">
      <c r="A218" t="s">
        <v>248</v>
      </c>
      <c r="B218">
        <v>0</v>
      </c>
      <c r="C218">
        <f>Earnings!C218/160</f>
        <v>3077.2069999999999</v>
      </c>
      <c r="D218">
        <f t="shared" si="3"/>
        <v>0</v>
      </c>
    </row>
    <row r="219" spans="1:4" x14ac:dyDescent="0.35">
      <c r="A219" t="s">
        <v>249</v>
      </c>
      <c r="B219">
        <v>0</v>
      </c>
      <c r="C219">
        <f>Earnings!C219/160</f>
        <v>2679.3448749999998</v>
      </c>
      <c r="D219">
        <f t="shared" si="3"/>
        <v>0</v>
      </c>
    </row>
    <row r="220" spans="1:4" x14ac:dyDescent="0.35">
      <c r="A220" t="s">
        <v>250</v>
      </c>
      <c r="B220">
        <v>0</v>
      </c>
      <c r="C220">
        <f>Earnings!C220/160</f>
        <v>1721.2831249999999</v>
      </c>
      <c r="D220">
        <f t="shared" si="3"/>
        <v>0</v>
      </c>
    </row>
    <row r="221" spans="1:4" x14ac:dyDescent="0.35">
      <c r="A221" t="s">
        <v>251</v>
      </c>
      <c r="B221">
        <v>0</v>
      </c>
      <c r="C221">
        <f>Earnings!C221/160</f>
        <v>1916.7415000000001</v>
      </c>
      <c r="D221">
        <f t="shared" si="3"/>
        <v>0</v>
      </c>
    </row>
    <row r="222" spans="1:4" x14ac:dyDescent="0.35">
      <c r="A222" t="s">
        <v>252</v>
      </c>
      <c r="B222">
        <v>0</v>
      </c>
      <c r="C222">
        <f>Earnings!C222/160</f>
        <v>6148.5302499999998</v>
      </c>
      <c r="D222">
        <f t="shared" si="3"/>
        <v>0</v>
      </c>
    </row>
    <row r="223" spans="1:4" x14ac:dyDescent="0.35">
      <c r="A223" t="s">
        <v>253</v>
      </c>
      <c r="B223">
        <v>0</v>
      </c>
      <c r="C223">
        <f>Earnings!C223/160</f>
        <v>2744.7865624999999</v>
      </c>
      <c r="D223">
        <f t="shared" si="3"/>
        <v>0</v>
      </c>
    </row>
    <row r="224" spans="1:4" x14ac:dyDescent="0.35">
      <c r="A224" t="s">
        <v>254</v>
      </c>
      <c r="B224">
        <v>18</v>
      </c>
      <c r="C224">
        <f>Earnings!C224/160</f>
        <v>2231.3325</v>
      </c>
      <c r="D224">
        <f t="shared" si="3"/>
        <v>80327.97</v>
      </c>
    </row>
    <row r="225" spans="1:4" x14ac:dyDescent="0.35">
      <c r="A225" t="s">
        <v>255</v>
      </c>
      <c r="B225">
        <v>11.2</v>
      </c>
      <c r="C225">
        <f>Earnings!C225/160</f>
        <v>2526.3314999999998</v>
      </c>
      <c r="D225">
        <f t="shared" si="3"/>
        <v>56589.825599999989</v>
      </c>
    </row>
    <row r="226" spans="1:4" x14ac:dyDescent="0.35">
      <c r="A226" t="s">
        <v>256</v>
      </c>
      <c r="B226">
        <v>0</v>
      </c>
      <c r="C226">
        <f>Earnings!C226/160</f>
        <v>3872.2110000000002</v>
      </c>
      <c r="D226">
        <f t="shared" si="3"/>
        <v>0</v>
      </c>
    </row>
    <row r="227" spans="1:4" x14ac:dyDescent="0.35">
      <c r="A227" t="s">
        <v>257</v>
      </c>
      <c r="B227">
        <v>28</v>
      </c>
      <c r="C227">
        <f>Earnings!C227/160</f>
        <v>2060.2049999999999</v>
      </c>
      <c r="D227">
        <f t="shared" si="3"/>
        <v>115371.48</v>
      </c>
    </row>
    <row r="228" spans="1:4" x14ac:dyDescent="0.35">
      <c r="A228" t="s">
        <v>258</v>
      </c>
      <c r="B228">
        <v>16.8</v>
      </c>
      <c r="C228">
        <f>Earnings!C228/160</f>
        <v>2220.5946250000002</v>
      </c>
      <c r="D228">
        <f t="shared" si="3"/>
        <v>74611.979400000011</v>
      </c>
    </row>
    <row r="229" spans="1:4" x14ac:dyDescent="0.35">
      <c r="A229" t="s">
        <v>259</v>
      </c>
      <c r="B229">
        <v>17</v>
      </c>
      <c r="C229">
        <f>Earnings!C229/160</f>
        <v>2008.1575</v>
      </c>
      <c r="D229">
        <f t="shared" si="3"/>
        <v>68277.354999999996</v>
      </c>
    </row>
    <row r="230" spans="1:4" x14ac:dyDescent="0.35">
      <c r="A230" t="s">
        <v>260</v>
      </c>
      <c r="B230">
        <v>16.8</v>
      </c>
      <c r="C230">
        <f>Earnings!C230/160</f>
        <v>1753.569</v>
      </c>
      <c r="D230">
        <f t="shared" si="3"/>
        <v>58919.918400000002</v>
      </c>
    </row>
    <row r="231" spans="1:4" x14ac:dyDescent="0.35">
      <c r="A231" t="s">
        <v>261</v>
      </c>
      <c r="B231">
        <v>0</v>
      </c>
      <c r="C231">
        <f>Earnings!C231/160</f>
        <v>2661.8</v>
      </c>
      <c r="D231">
        <f t="shared" si="3"/>
        <v>0</v>
      </c>
    </row>
    <row r="232" spans="1:4" x14ac:dyDescent="0.35">
      <c r="A232" t="s">
        <v>262</v>
      </c>
      <c r="B232">
        <v>36.4</v>
      </c>
      <c r="C232">
        <f>Earnings!C232/160</f>
        <v>2422.3955000000001</v>
      </c>
      <c r="D232">
        <f t="shared" si="3"/>
        <v>176350.39240000001</v>
      </c>
    </row>
    <row r="233" spans="1:4" x14ac:dyDescent="0.35">
      <c r="A233" t="s">
        <v>263</v>
      </c>
      <c r="B233">
        <v>7</v>
      </c>
      <c r="C233">
        <f>Earnings!C233/160</f>
        <v>2725.2820000000002</v>
      </c>
      <c r="D233">
        <f t="shared" si="3"/>
        <v>38153.948000000004</v>
      </c>
    </row>
    <row r="234" spans="1:4" x14ac:dyDescent="0.35">
      <c r="A234" t="s">
        <v>264</v>
      </c>
      <c r="B234">
        <v>32.200000000000003</v>
      </c>
      <c r="C234">
        <f>Earnings!C234/160</f>
        <v>4205.5720000000001</v>
      </c>
      <c r="D234">
        <f t="shared" si="3"/>
        <v>270838.83680000005</v>
      </c>
    </row>
    <row r="235" spans="1:4" x14ac:dyDescent="0.35">
      <c r="A235" t="s">
        <v>265</v>
      </c>
      <c r="B235">
        <v>0</v>
      </c>
      <c r="C235">
        <f>Earnings!C235/160</f>
        <v>2057.3105</v>
      </c>
      <c r="D235">
        <f t="shared" si="3"/>
        <v>0</v>
      </c>
    </row>
    <row r="236" spans="1:4" x14ac:dyDescent="0.35">
      <c r="A236" t="s">
        <v>266</v>
      </c>
      <c r="B236">
        <v>9.8000000000000007</v>
      </c>
      <c r="C236">
        <f>Earnings!C236/160</f>
        <v>3321.7379999999998</v>
      </c>
      <c r="D236">
        <f t="shared" si="3"/>
        <v>65106.0648</v>
      </c>
    </row>
    <row r="237" spans="1:4" x14ac:dyDescent="0.35">
      <c r="A237" t="s">
        <v>267</v>
      </c>
      <c r="B237">
        <v>18.2</v>
      </c>
      <c r="C237">
        <f>Earnings!C237/160</f>
        <v>2734.2105000000001</v>
      </c>
      <c r="D237">
        <f t="shared" si="3"/>
        <v>99525.262199999997</v>
      </c>
    </row>
    <row r="238" spans="1:4" x14ac:dyDescent="0.35">
      <c r="A238" t="s">
        <v>268</v>
      </c>
      <c r="B238">
        <v>0</v>
      </c>
      <c r="C238">
        <f>Earnings!C238/160</f>
        <v>1775.6310000000001</v>
      </c>
      <c r="D238">
        <f t="shared" si="3"/>
        <v>0</v>
      </c>
    </row>
    <row r="239" spans="1:4" x14ac:dyDescent="0.35">
      <c r="A239" t="s">
        <v>269</v>
      </c>
      <c r="B239">
        <v>0</v>
      </c>
      <c r="C239">
        <f>Earnings!C239/160</f>
        <v>3984.9260625000002</v>
      </c>
      <c r="D239">
        <f t="shared" si="3"/>
        <v>0</v>
      </c>
    </row>
    <row r="240" spans="1:4" x14ac:dyDescent="0.35">
      <c r="A240" t="s">
        <v>270</v>
      </c>
      <c r="B240">
        <v>0</v>
      </c>
      <c r="C240">
        <f>Earnings!C240/160</f>
        <v>2514.5873124999998</v>
      </c>
      <c r="D240">
        <f t="shared" si="3"/>
        <v>0</v>
      </c>
    </row>
    <row r="241" spans="1:4" x14ac:dyDescent="0.35">
      <c r="A241" t="s">
        <v>271</v>
      </c>
      <c r="B241">
        <v>0</v>
      </c>
      <c r="C241">
        <f>Earnings!C241/160</f>
        <v>1657.6502499999999</v>
      </c>
      <c r="D241">
        <f t="shared" si="3"/>
        <v>0</v>
      </c>
    </row>
    <row r="242" spans="1:4" x14ac:dyDescent="0.35">
      <c r="A242" t="s">
        <v>272</v>
      </c>
      <c r="B242">
        <v>0</v>
      </c>
      <c r="C242">
        <f>Earnings!C242/160</f>
        <v>2396.7398125</v>
      </c>
      <c r="D242">
        <f t="shared" si="3"/>
        <v>0</v>
      </c>
    </row>
    <row r="243" spans="1:4" x14ac:dyDescent="0.35">
      <c r="A243" t="s">
        <v>273</v>
      </c>
      <c r="B243">
        <v>11.9</v>
      </c>
      <c r="C243">
        <f>Earnings!C243/160</f>
        <v>3407.0403124999998</v>
      </c>
      <c r="D243">
        <f t="shared" si="3"/>
        <v>81087.559437499993</v>
      </c>
    </row>
    <row r="244" spans="1:4" x14ac:dyDescent="0.35">
      <c r="A244" t="s">
        <v>274</v>
      </c>
      <c r="B244">
        <v>0</v>
      </c>
      <c r="C244">
        <f>Earnings!C244/160</f>
        <v>1972.9299999999998</v>
      </c>
      <c r="D244">
        <f t="shared" si="3"/>
        <v>0</v>
      </c>
    </row>
    <row r="245" spans="1:4" x14ac:dyDescent="0.35">
      <c r="A245" t="s">
        <v>275</v>
      </c>
      <c r="B245">
        <v>0</v>
      </c>
      <c r="C245">
        <f>Earnings!C245/160</f>
        <v>2881.3086874999999</v>
      </c>
      <c r="D245">
        <f t="shared" si="3"/>
        <v>0</v>
      </c>
    </row>
    <row r="246" spans="1:4" x14ac:dyDescent="0.35">
      <c r="A246" t="s">
        <v>276</v>
      </c>
      <c r="B246">
        <v>15.4</v>
      </c>
      <c r="C246">
        <f>Earnings!C246/160</f>
        <v>3041.6867499999998</v>
      </c>
      <c r="D246">
        <f t="shared" si="3"/>
        <v>93683.9519</v>
      </c>
    </row>
    <row r="247" spans="1:4" x14ac:dyDescent="0.35">
      <c r="A247" t="s">
        <v>277</v>
      </c>
      <c r="B247">
        <v>26.6</v>
      </c>
      <c r="C247">
        <f>Earnings!C247/160</f>
        <v>2345.4317500000002</v>
      </c>
      <c r="D247">
        <f t="shared" si="3"/>
        <v>124776.96910000002</v>
      </c>
    </row>
    <row r="248" spans="1:4" x14ac:dyDescent="0.35">
      <c r="A248" t="s">
        <v>278</v>
      </c>
      <c r="B248">
        <v>0</v>
      </c>
      <c r="C248">
        <f>Earnings!C248/160</f>
        <v>1774.0307499999999</v>
      </c>
      <c r="D248">
        <f t="shared" si="3"/>
        <v>0</v>
      </c>
    </row>
    <row r="249" spans="1:4" x14ac:dyDescent="0.35">
      <c r="A249" t="s">
        <v>279</v>
      </c>
      <c r="B249">
        <v>21</v>
      </c>
      <c r="C249">
        <f>Earnings!C249/160</f>
        <v>3054.415</v>
      </c>
      <c r="D249">
        <f t="shared" si="3"/>
        <v>128285.43</v>
      </c>
    </row>
    <row r="250" spans="1:4" x14ac:dyDescent="0.35">
      <c r="A250" t="s">
        <v>280</v>
      </c>
      <c r="B250">
        <v>16</v>
      </c>
      <c r="C250">
        <f>Earnings!C250/160</f>
        <v>2724.1724999999997</v>
      </c>
      <c r="D250">
        <f t="shared" si="3"/>
        <v>87173.51999999999</v>
      </c>
    </row>
    <row r="251" spans="1:4" x14ac:dyDescent="0.35">
      <c r="A251" t="s">
        <v>281</v>
      </c>
      <c r="B251">
        <v>25.5</v>
      </c>
      <c r="C251">
        <f>Earnings!C251/160</f>
        <v>3501.8087500000001</v>
      </c>
      <c r="D251">
        <f t="shared" si="3"/>
        <v>178592.24625</v>
      </c>
    </row>
    <row r="252" spans="1:4" x14ac:dyDescent="0.35">
      <c r="A252" t="s">
        <v>282</v>
      </c>
      <c r="B252">
        <v>0</v>
      </c>
      <c r="C252">
        <f>Earnings!C252/160</f>
        <v>3517.13</v>
      </c>
      <c r="D252">
        <f t="shared" si="3"/>
        <v>0</v>
      </c>
    </row>
    <row r="253" spans="1:4" x14ac:dyDescent="0.35">
      <c r="A253" t="s">
        <v>283</v>
      </c>
      <c r="B253">
        <v>37.4</v>
      </c>
      <c r="C253">
        <f>Earnings!C253/160</f>
        <v>4127.7381249999999</v>
      </c>
      <c r="D253">
        <f t="shared" si="3"/>
        <v>308754.81174999999</v>
      </c>
    </row>
    <row r="254" spans="1:4" x14ac:dyDescent="0.35">
      <c r="A254" t="s">
        <v>284</v>
      </c>
      <c r="B254">
        <v>0</v>
      </c>
      <c r="C254">
        <f>Earnings!C254/160</f>
        <v>950.7299999999999</v>
      </c>
      <c r="D254">
        <f t="shared" si="3"/>
        <v>0</v>
      </c>
    </row>
    <row r="255" spans="1:4" x14ac:dyDescent="0.35">
      <c r="A255" t="s">
        <v>285</v>
      </c>
      <c r="B255">
        <v>0</v>
      </c>
      <c r="C255">
        <f>Earnings!C255/160</f>
        <v>3051.0834999999997</v>
      </c>
      <c r="D255">
        <f t="shared" si="3"/>
        <v>0</v>
      </c>
    </row>
    <row r="256" spans="1:4" x14ac:dyDescent="0.35">
      <c r="A256" t="s">
        <v>286</v>
      </c>
      <c r="B256">
        <v>26.4</v>
      </c>
      <c r="C256">
        <f>Earnings!C256/160</f>
        <v>1658.595</v>
      </c>
      <c r="D256">
        <f t="shared" si="3"/>
        <v>87573.815999999992</v>
      </c>
    </row>
    <row r="257" spans="1:4" x14ac:dyDescent="0.35">
      <c r="A257" t="s">
        <v>287</v>
      </c>
      <c r="B257">
        <v>34</v>
      </c>
      <c r="C257">
        <f>Earnings!C257/160</f>
        <v>5262.7843750000002</v>
      </c>
      <c r="D257">
        <f t="shared" si="3"/>
        <v>357869.33750000002</v>
      </c>
    </row>
    <row r="258" spans="1:4" x14ac:dyDescent="0.35">
      <c r="A258" t="s">
        <v>288</v>
      </c>
      <c r="B258">
        <v>0</v>
      </c>
      <c r="C258">
        <f>Earnings!C258/160</f>
        <v>6423.2830000000004</v>
      </c>
      <c r="D258">
        <f t="shared" ref="D258:D321" si="4">B258*C258*2</f>
        <v>0</v>
      </c>
    </row>
    <row r="259" spans="1:4" x14ac:dyDescent="0.35">
      <c r="A259" t="s">
        <v>289</v>
      </c>
      <c r="B259">
        <v>0</v>
      </c>
      <c r="C259">
        <f>Earnings!C259/160</f>
        <v>2864.2146250000001</v>
      </c>
      <c r="D259">
        <f t="shared" si="4"/>
        <v>0</v>
      </c>
    </row>
    <row r="260" spans="1:4" x14ac:dyDescent="0.35">
      <c r="A260" t="s">
        <v>290</v>
      </c>
      <c r="B260">
        <v>0</v>
      </c>
      <c r="C260">
        <f>Earnings!C260/160</f>
        <v>2828.3513749999997</v>
      </c>
      <c r="D260">
        <f t="shared" si="4"/>
        <v>0</v>
      </c>
    </row>
    <row r="261" spans="1:4" x14ac:dyDescent="0.35">
      <c r="A261" t="s">
        <v>291</v>
      </c>
      <c r="B261">
        <v>0</v>
      </c>
      <c r="C261">
        <f>Earnings!C261/160</f>
        <v>1151.2674999999999</v>
      </c>
      <c r="D261">
        <f t="shared" si="4"/>
        <v>0</v>
      </c>
    </row>
    <row r="262" spans="1:4" x14ac:dyDescent="0.35">
      <c r="A262" t="s">
        <v>292</v>
      </c>
      <c r="B262">
        <v>0</v>
      </c>
      <c r="C262">
        <f>Earnings!C262/160</f>
        <v>3455.9949999999999</v>
      </c>
      <c r="D262">
        <f t="shared" si="4"/>
        <v>0</v>
      </c>
    </row>
    <row r="263" spans="1:4" x14ac:dyDescent="0.35">
      <c r="A263" t="s">
        <v>293</v>
      </c>
      <c r="B263">
        <v>0</v>
      </c>
      <c r="C263">
        <f>Earnings!C263/160</f>
        <v>1863.75</v>
      </c>
      <c r="D263">
        <f t="shared" si="4"/>
        <v>0</v>
      </c>
    </row>
    <row r="264" spans="1:4" x14ac:dyDescent="0.35">
      <c r="A264" t="s">
        <v>294</v>
      </c>
      <c r="B264">
        <v>34</v>
      </c>
      <c r="C264">
        <f>Earnings!C264/160</f>
        <v>3194.2064999999998</v>
      </c>
      <c r="D264">
        <f t="shared" si="4"/>
        <v>217206.04199999999</v>
      </c>
    </row>
    <row r="265" spans="1:4" x14ac:dyDescent="0.35">
      <c r="A265" t="s">
        <v>295</v>
      </c>
      <c r="B265">
        <v>18</v>
      </c>
      <c r="C265">
        <f>Earnings!C265/160</f>
        <v>2397.873</v>
      </c>
      <c r="D265">
        <f t="shared" si="4"/>
        <v>86323.428</v>
      </c>
    </row>
    <row r="266" spans="1:4" x14ac:dyDescent="0.35">
      <c r="A266" t="s">
        <v>296</v>
      </c>
      <c r="B266">
        <v>0</v>
      </c>
      <c r="C266">
        <f>Earnings!C266/160</f>
        <v>3450.6387499999996</v>
      </c>
      <c r="D266">
        <f t="shared" si="4"/>
        <v>0</v>
      </c>
    </row>
    <row r="267" spans="1:4" x14ac:dyDescent="0.35">
      <c r="A267" t="s">
        <v>297</v>
      </c>
      <c r="B267">
        <v>0</v>
      </c>
      <c r="C267">
        <f>Earnings!C267/160</f>
        <v>2419.2196250000002</v>
      </c>
      <c r="D267">
        <f t="shared" si="4"/>
        <v>0</v>
      </c>
    </row>
    <row r="268" spans="1:4" x14ac:dyDescent="0.35">
      <c r="A268" t="s">
        <v>298</v>
      </c>
      <c r="B268">
        <v>0</v>
      </c>
      <c r="C268">
        <f>Earnings!C268/160</f>
        <v>2141.0374999999999</v>
      </c>
      <c r="D268">
        <f t="shared" si="4"/>
        <v>0</v>
      </c>
    </row>
    <row r="269" spans="1:4" x14ac:dyDescent="0.35">
      <c r="A269" t="s">
        <v>299</v>
      </c>
      <c r="B269">
        <v>7</v>
      </c>
      <c r="C269">
        <f>Earnings!C269/160</f>
        <v>1329.195375</v>
      </c>
      <c r="D269">
        <f t="shared" si="4"/>
        <v>18608.735250000002</v>
      </c>
    </row>
    <row r="270" spans="1:4" x14ac:dyDescent="0.35">
      <c r="A270" t="s">
        <v>300</v>
      </c>
      <c r="B270">
        <v>0</v>
      </c>
      <c r="C270">
        <f>Earnings!C270/160</f>
        <v>1781.0220000000002</v>
      </c>
      <c r="D270">
        <f t="shared" si="4"/>
        <v>0</v>
      </c>
    </row>
    <row r="271" spans="1:4" x14ac:dyDescent="0.35">
      <c r="A271" t="s">
        <v>301</v>
      </c>
      <c r="B271">
        <v>16</v>
      </c>
      <c r="C271">
        <f>Earnings!C271/160</f>
        <v>2275.2001250000003</v>
      </c>
      <c r="D271">
        <f t="shared" si="4"/>
        <v>72806.40400000001</v>
      </c>
    </row>
    <row r="272" spans="1:4" x14ac:dyDescent="0.35">
      <c r="A272" t="s">
        <v>302</v>
      </c>
      <c r="B272">
        <v>0</v>
      </c>
      <c r="C272">
        <f>Earnings!C272/160</f>
        <v>6055.5838125</v>
      </c>
      <c r="D272">
        <f t="shared" si="4"/>
        <v>0</v>
      </c>
    </row>
    <row r="273" spans="1:4" x14ac:dyDescent="0.35">
      <c r="A273" t="s">
        <v>303</v>
      </c>
      <c r="B273">
        <v>0</v>
      </c>
      <c r="C273">
        <f>Earnings!C273/160</f>
        <v>3251.2290000000003</v>
      </c>
      <c r="D273">
        <f t="shared" si="4"/>
        <v>0</v>
      </c>
    </row>
    <row r="274" spans="1:4" x14ac:dyDescent="0.35">
      <c r="A274" t="s">
        <v>304</v>
      </c>
      <c r="B274">
        <v>24</v>
      </c>
      <c r="C274">
        <f>Earnings!C274/160</f>
        <v>3122.6400000000003</v>
      </c>
      <c r="D274">
        <f t="shared" si="4"/>
        <v>149886.72000000003</v>
      </c>
    </row>
    <row r="275" spans="1:4" x14ac:dyDescent="0.35">
      <c r="A275" t="s">
        <v>305</v>
      </c>
      <c r="B275">
        <v>0</v>
      </c>
      <c r="C275">
        <f>Earnings!C275/160</f>
        <v>2169.1325000000002</v>
      </c>
      <c r="D275">
        <f t="shared" si="4"/>
        <v>0</v>
      </c>
    </row>
    <row r="276" spans="1:4" x14ac:dyDescent="0.35">
      <c r="A276" t="s">
        <v>306</v>
      </c>
      <c r="B276">
        <v>15.3</v>
      </c>
      <c r="C276">
        <f>Earnings!C276/160</f>
        <v>2582.6231875000003</v>
      </c>
      <c r="D276">
        <f t="shared" si="4"/>
        <v>79028.269537500018</v>
      </c>
    </row>
    <row r="277" spans="1:4" x14ac:dyDescent="0.35">
      <c r="A277" t="s">
        <v>307</v>
      </c>
      <c r="B277">
        <v>0</v>
      </c>
      <c r="C277">
        <f>Earnings!C277/160</f>
        <v>1679.7874999999999</v>
      </c>
      <c r="D277">
        <f t="shared" si="4"/>
        <v>0</v>
      </c>
    </row>
    <row r="278" spans="1:4" x14ac:dyDescent="0.35">
      <c r="A278" t="s">
        <v>308</v>
      </c>
      <c r="B278">
        <v>0</v>
      </c>
      <c r="C278">
        <f>Earnings!C278/160</f>
        <v>1947.1983749999999</v>
      </c>
      <c r="D278">
        <f t="shared" si="4"/>
        <v>0</v>
      </c>
    </row>
    <row r="279" spans="1:4" x14ac:dyDescent="0.35">
      <c r="A279" t="s">
        <v>309</v>
      </c>
      <c r="B279">
        <v>26</v>
      </c>
      <c r="C279">
        <f>Earnings!C279/160</f>
        <v>2329.0124999999998</v>
      </c>
      <c r="D279">
        <f t="shared" si="4"/>
        <v>121108.65</v>
      </c>
    </row>
    <row r="280" spans="1:4" x14ac:dyDescent="0.35">
      <c r="A280" t="s">
        <v>310</v>
      </c>
      <c r="B280">
        <v>0</v>
      </c>
      <c r="C280">
        <f>Earnings!C280/160</f>
        <v>4004.7463750000002</v>
      </c>
      <c r="D280">
        <f t="shared" si="4"/>
        <v>0</v>
      </c>
    </row>
    <row r="281" spans="1:4" x14ac:dyDescent="0.35">
      <c r="A281" t="s">
        <v>311</v>
      </c>
      <c r="B281">
        <v>0</v>
      </c>
      <c r="C281">
        <f>Earnings!C281/160</f>
        <v>3595.2315000000003</v>
      </c>
      <c r="D281">
        <f t="shared" si="4"/>
        <v>0</v>
      </c>
    </row>
    <row r="282" spans="1:4" x14ac:dyDescent="0.35">
      <c r="A282" t="s">
        <v>312</v>
      </c>
      <c r="B282">
        <v>0</v>
      </c>
      <c r="C282">
        <f>Earnings!C282/160</f>
        <v>1939.6770000000001</v>
      </c>
      <c r="D282">
        <f t="shared" si="4"/>
        <v>0</v>
      </c>
    </row>
    <row r="283" spans="1:4" x14ac:dyDescent="0.35">
      <c r="A283" t="s">
        <v>313</v>
      </c>
      <c r="B283">
        <v>0</v>
      </c>
      <c r="C283">
        <f>Earnings!C283/160</f>
        <v>3717.6017500000003</v>
      </c>
      <c r="D283">
        <f t="shared" si="4"/>
        <v>0</v>
      </c>
    </row>
    <row r="284" spans="1:4" x14ac:dyDescent="0.35">
      <c r="A284" t="s">
        <v>314</v>
      </c>
      <c r="B284">
        <v>0</v>
      </c>
      <c r="C284">
        <f>Earnings!C284/160</f>
        <v>2164.9740000000002</v>
      </c>
      <c r="D284">
        <f t="shared" si="4"/>
        <v>0</v>
      </c>
    </row>
    <row r="285" spans="1:4" x14ac:dyDescent="0.35">
      <c r="A285" t="s">
        <v>315</v>
      </c>
      <c r="B285">
        <v>0</v>
      </c>
      <c r="C285">
        <f>Earnings!C285/160</f>
        <v>2485.8625000000002</v>
      </c>
      <c r="D285">
        <f t="shared" si="4"/>
        <v>0</v>
      </c>
    </row>
    <row r="286" spans="1:4" x14ac:dyDescent="0.35">
      <c r="A286" t="s">
        <v>316</v>
      </c>
      <c r="B286">
        <v>0</v>
      </c>
      <c r="C286">
        <f>Earnings!C286/160</f>
        <v>3620.6200624999997</v>
      </c>
      <c r="D286">
        <f t="shared" si="4"/>
        <v>0</v>
      </c>
    </row>
    <row r="287" spans="1:4" x14ac:dyDescent="0.35">
      <c r="A287" t="s">
        <v>317</v>
      </c>
      <c r="B287">
        <v>15.3</v>
      </c>
      <c r="C287">
        <f>Earnings!C287/160</f>
        <v>4512.2615624999999</v>
      </c>
      <c r="D287">
        <f t="shared" si="4"/>
        <v>138075.2038125</v>
      </c>
    </row>
    <row r="288" spans="1:4" x14ac:dyDescent="0.35">
      <c r="A288" t="s">
        <v>318</v>
      </c>
      <c r="B288">
        <v>15.6</v>
      </c>
      <c r="C288">
        <f>Earnings!C288/160</f>
        <v>1951.1613124999999</v>
      </c>
      <c r="D288">
        <f t="shared" si="4"/>
        <v>60876.232949999998</v>
      </c>
    </row>
    <row r="289" spans="1:4" x14ac:dyDescent="0.35">
      <c r="A289" t="s">
        <v>319</v>
      </c>
      <c r="B289">
        <v>33.6</v>
      </c>
      <c r="C289">
        <f>Earnings!C289/160</f>
        <v>1609.002</v>
      </c>
      <c r="D289">
        <f t="shared" si="4"/>
        <v>108124.9344</v>
      </c>
    </row>
    <row r="290" spans="1:4" x14ac:dyDescent="0.35">
      <c r="A290" t="s">
        <v>320</v>
      </c>
      <c r="B290">
        <v>0</v>
      </c>
      <c r="C290">
        <f>Earnings!C290/160</f>
        <v>3163.4715000000001</v>
      </c>
      <c r="D290">
        <f t="shared" si="4"/>
        <v>0</v>
      </c>
    </row>
    <row r="291" spans="1:4" x14ac:dyDescent="0.35">
      <c r="A291" t="s">
        <v>321</v>
      </c>
      <c r="B291">
        <v>0</v>
      </c>
      <c r="C291">
        <f>Earnings!C291/160</f>
        <v>2102.6025</v>
      </c>
      <c r="D291">
        <f t="shared" si="4"/>
        <v>0</v>
      </c>
    </row>
    <row r="292" spans="1:4" x14ac:dyDescent="0.35">
      <c r="A292" t="s">
        <v>322</v>
      </c>
      <c r="B292">
        <v>0</v>
      </c>
      <c r="C292">
        <f>Earnings!C292/160</f>
        <v>5006.5212499999998</v>
      </c>
      <c r="D292">
        <f t="shared" si="4"/>
        <v>0</v>
      </c>
    </row>
    <row r="293" spans="1:4" x14ac:dyDescent="0.35">
      <c r="A293" t="s">
        <v>323</v>
      </c>
      <c r="B293">
        <v>0</v>
      </c>
      <c r="C293">
        <f>Earnings!C293/160</f>
        <v>3733.3980000000001</v>
      </c>
      <c r="D293">
        <f t="shared" si="4"/>
        <v>0</v>
      </c>
    </row>
    <row r="294" spans="1:4" x14ac:dyDescent="0.35">
      <c r="A294" t="s">
        <v>324</v>
      </c>
      <c r="B294">
        <v>0</v>
      </c>
      <c r="C294">
        <f>Earnings!C294/160</f>
        <v>1993.423</v>
      </c>
      <c r="D294">
        <f t="shared" si="4"/>
        <v>0</v>
      </c>
    </row>
    <row r="295" spans="1:4" x14ac:dyDescent="0.35">
      <c r="A295" t="s">
        <v>325</v>
      </c>
      <c r="B295">
        <v>27.2</v>
      </c>
      <c r="C295">
        <f>Earnings!C295/160</f>
        <v>3347.0108124999997</v>
      </c>
      <c r="D295">
        <f t="shared" si="4"/>
        <v>182077.38819999999</v>
      </c>
    </row>
    <row r="296" spans="1:4" x14ac:dyDescent="0.35">
      <c r="A296" t="s">
        <v>326</v>
      </c>
      <c r="B296">
        <v>0</v>
      </c>
      <c r="C296">
        <f>Earnings!C296/160</f>
        <v>3889.7565000000004</v>
      </c>
      <c r="D296">
        <f t="shared" si="4"/>
        <v>0</v>
      </c>
    </row>
    <row r="297" spans="1:4" x14ac:dyDescent="0.35">
      <c r="A297" t="s">
        <v>327</v>
      </c>
      <c r="B297">
        <v>0</v>
      </c>
      <c r="C297">
        <f>Earnings!C297/160</f>
        <v>2335.5654999999997</v>
      </c>
      <c r="D297">
        <f t="shared" si="4"/>
        <v>0</v>
      </c>
    </row>
    <row r="298" spans="1:4" x14ac:dyDescent="0.35">
      <c r="A298" t="s">
        <v>328</v>
      </c>
      <c r="B298">
        <v>47.6</v>
      </c>
      <c r="C298">
        <f>Earnings!C298/160</f>
        <v>2949.1132499999999</v>
      </c>
      <c r="D298">
        <f t="shared" si="4"/>
        <v>280755.58140000002</v>
      </c>
    </row>
    <row r="299" spans="1:4" x14ac:dyDescent="0.35">
      <c r="A299" t="s">
        <v>329</v>
      </c>
      <c r="B299">
        <v>0</v>
      </c>
      <c r="C299">
        <f>Earnings!C299/160</f>
        <v>2087.3834374999997</v>
      </c>
      <c r="D299">
        <f t="shared" si="4"/>
        <v>0</v>
      </c>
    </row>
    <row r="300" spans="1:4" x14ac:dyDescent="0.35">
      <c r="A300" t="s">
        <v>330</v>
      </c>
      <c r="B300">
        <v>22.8</v>
      </c>
      <c r="C300">
        <f>Earnings!C300/160</f>
        <v>2785.8360000000002</v>
      </c>
      <c r="D300">
        <f t="shared" si="4"/>
        <v>127034.12160000001</v>
      </c>
    </row>
    <row r="301" spans="1:4" x14ac:dyDescent="0.35">
      <c r="A301" t="s">
        <v>331</v>
      </c>
      <c r="B301">
        <v>0</v>
      </c>
      <c r="C301">
        <f>Earnings!C301/160</f>
        <v>3736.41</v>
      </c>
      <c r="D301">
        <f t="shared" si="4"/>
        <v>0</v>
      </c>
    </row>
    <row r="302" spans="1:4" x14ac:dyDescent="0.35">
      <c r="A302" t="s">
        <v>332</v>
      </c>
      <c r="B302">
        <v>0</v>
      </c>
      <c r="C302">
        <f>Earnings!C302/160</f>
        <v>2619.0369999999998</v>
      </c>
      <c r="D302">
        <f t="shared" si="4"/>
        <v>0</v>
      </c>
    </row>
    <row r="303" spans="1:4" x14ac:dyDescent="0.35">
      <c r="A303" t="s">
        <v>333</v>
      </c>
      <c r="B303">
        <v>18.7</v>
      </c>
      <c r="C303">
        <f>Earnings!C303/160</f>
        <v>4730.7089999999998</v>
      </c>
      <c r="D303">
        <f t="shared" si="4"/>
        <v>176928.51659999997</v>
      </c>
    </row>
    <row r="304" spans="1:4" x14ac:dyDescent="0.35">
      <c r="A304" t="s">
        <v>334</v>
      </c>
      <c r="B304">
        <v>0</v>
      </c>
      <c r="C304">
        <f>Earnings!C304/160</f>
        <v>2084.6728749999997</v>
      </c>
      <c r="D304">
        <f t="shared" si="4"/>
        <v>0</v>
      </c>
    </row>
    <row r="305" spans="1:4" x14ac:dyDescent="0.35">
      <c r="A305" t="s">
        <v>335</v>
      </c>
      <c r="B305">
        <v>13.2</v>
      </c>
      <c r="C305">
        <f>Earnings!C305/160</f>
        <v>3244.6508750000003</v>
      </c>
      <c r="D305">
        <f t="shared" si="4"/>
        <v>85658.783100000001</v>
      </c>
    </row>
    <row r="306" spans="1:4" x14ac:dyDescent="0.35">
      <c r="A306" t="s">
        <v>336</v>
      </c>
      <c r="B306">
        <v>0</v>
      </c>
      <c r="C306">
        <f>Earnings!C306/160</f>
        <v>1567.7945</v>
      </c>
      <c r="D306">
        <f t="shared" si="4"/>
        <v>0</v>
      </c>
    </row>
    <row r="307" spans="1:4" x14ac:dyDescent="0.35">
      <c r="A307" t="s">
        <v>337</v>
      </c>
      <c r="B307">
        <v>0</v>
      </c>
      <c r="C307">
        <f>Earnings!C307/160</f>
        <v>3147.5970000000002</v>
      </c>
      <c r="D307">
        <f t="shared" si="4"/>
        <v>0</v>
      </c>
    </row>
    <row r="308" spans="1:4" x14ac:dyDescent="0.35">
      <c r="A308" t="s">
        <v>338</v>
      </c>
      <c r="B308">
        <v>0</v>
      </c>
      <c r="C308">
        <f>Earnings!C308/160</f>
        <v>1661.2049999999999</v>
      </c>
      <c r="D308">
        <f t="shared" si="4"/>
        <v>0</v>
      </c>
    </row>
    <row r="309" spans="1:4" x14ac:dyDescent="0.35">
      <c r="A309" t="s">
        <v>339</v>
      </c>
      <c r="B309">
        <v>0</v>
      </c>
      <c r="C309">
        <f>Earnings!C309/160</f>
        <v>3099.5968124999999</v>
      </c>
      <c r="D309">
        <f t="shared" si="4"/>
        <v>0</v>
      </c>
    </row>
    <row r="310" spans="1:4" x14ac:dyDescent="0.35">
      <c r="A310" t="s">
        <v>340</v>
      </c>
      <c r="B310">
        <v>0</v>
      </c>
      <c r="C310">
        <f>Earnings!C310/160</f>
        <v>3041.60025</v>
      </c>
      <c r="D310">
        <f t="shared" si="4"/>
        <v>0</v>
      </c>
    </row>
    <row r="311" spans="1:4" x14ac:dyDescent="0.35">
      <c r="A311" t="s">
        <v>341</v>
      </c>
      <c r="B311">
        <v>36</v>
      </c>
      <c r="C311">
        <f>Earnings!C311/160</f>
        <v>2397.4114374999999</v>
      </c>
      <c r="D311">
        <f t="shared" si="4"/>
        <v>172613.62349999999</v>
      </c>
    </row>
    <row r="312" spans="1:4" x14ac:dyDescent="0.35">
      <c r="A312" t="s">
        <v>342</v>
      </c>
      <c r="B312">
        <v>0</v>
      </c>
      <c r="C312">
        <f>Earnings!C312/160</f>
        <v>3835.4839375000001</v>
      </c>
      <c r="D312">
        <f t="shared" si="4"/>
        <v>0</v>
      </c>
    </row>
    <row r="313" spans="1:4" x14ac:dyDescent="0.35">
      <c r="A313" t="s">
        <v>343</v>
      </c>
      <c r="B313">
        <v>13.2</v>
      </c>
      <c r="C313">
        <f>Earnings!C313/160</f>
        <v>1838.7544375000002</v>
      </c>
      <c r="D313">
        <f t="shared" si="4"/>
        <v>48543.117150000005</v>
      </c>
    </row>
    <row r="314" spans="1:4" x14ac:dyDescent="0.35">
      <c r="A314" t="s">
        <v>344</v>
      </c>
      <c r="B314">
        <v>0</v>
      </c>
      <c r="C314">
        <f>Earnings!C314/160</f>
        <v>2726.6596249999998</v>
      </c>
      <c r="D314">
        <f t="shared" si="4"/>
        <v>0</v>
      </c>
    </row>
    <row r="315" spans="1:4" x14ac:dyDescent="0.35">
      <c r="A315" t="s">
        <v>345</v>
      </c>
      <c r="B315">
        <v>0</v>
      </c>
      <c r="C315">
        <f>Earnings!C315/160</f>
        <v>3493.3214999999996</v>
      </c>
      <c r="D315">
        <f t="shared" si="4"/>
        <v>0</v>
      </c>
    </row>
    <row r="316" spans="1:4" x14ac:dyDescent="0.35">
      <c r="A316" t="s">
        <v>346</v>
      </c>
      <c r="B316">
        <v>28.9</v>
      </c>
      <c r="C316">
        <f>Earnings!C316/160</f>
        <v>2864.8740000000003</v>
      </c>
      <c r="D316">
        <f t="shared" si="4"/>
        <v>165589.71720000001</v>
      </c>
    </row>
    <row r="317" spans="1:4" x14ac:dyDescent="0.35">
      <c r="A317" t="s">
        <v>347</v>
      </c>
      <c r="B317">
        <v>0</v>
      </c>
      <c r="C317">
        <f>Earnings!C317/160</f>
        <v>2175.6572499999997</v>
      </c>
      <c r="D317">
        <f t="shared" si="4"/>
        <v>0</v>
      </c>
    </row>
    <row r="318" spans="1:4" x14ac:dyDescent="0.35">
      <c r="A318" t="s">
        <v>348</v>
      </c>
      <c r="B318">
        <v>15.6</v>
      </c>
      <c r="C318">
        <f>Earnings!C318/160</f>
        <v>3130.3516250000002</v>
      </c>
      <c r="D318">
        <f t="shared" si="4"/>
        <v>97666.970700000005</v>
      </c>
    </row>
    <row r="319" spans="1:4" x14ac:dyDescent="0.35">
      <c r="A319" t="s">
        <v>349</v>
      </c>
      <c r="B319">
        <v>30</v>
      </c>
      <c r="C319">
        <f>Earnings!C319/160</f>
        <v>2613.7663750000002</v>
      </c>
      <c r="D319">
        <f t="shared" si="4"/>
        <v>156825.98250000001</v>
      </c>
    </row>
    <row r="320" spans="1:4" x14ac:dyDescent="0.35">
      <c r="A320" t="s">
        <v>350</v>
      </c>
      <c r="B320">
        <v>0</v>
      </c>
      <c r="C320">
        <f>Earnings!C320/160</f>
        <v>3987.6475</v>
      </c>
      <c r="D320">
        <f t="shared" si="4"/>
        <v>0</v>
      </c>
    </row>
    <row r="321" spans="1:4" x14ac:dyDescent="0.35">
      <c r="A321" t="s">
        <v>351</v>
      </c>
      <c r="B321">
        <v>11.9</v>
      </c>
      <c r="C321">
        <f>Earnings!C321/160</f>
        <v>3861.2015000000001</v>
      </c>
      <c r="D321">
        <f t="shared" si="4"/>
        <v>91896.595700000005</v>
      </c>
    </row>
    <row r="322" spans="1:4" x14ac:dyDescent="0.35">
      <c r="A322" t="s">
        <v>352</v>
      </c>
      <c r="B322">
        <v>32.299999999999997</v>
      </c>
      <c r="C322">
        <f>Earnings!C322/160</f>
        <v>2768.7479374999998</v>
      </c>
      <c r="D322">
        <f t="shared" ref="D322:D385" si="5">B322*C322*2</f>
        <v>178861.11676249997</v>
      </c>
    </row>
    <row r="323" spans="1:4" x14ac:dyDescent="0.35">
      <c r="A323" t="s">
        <v>353</v>
      </c>
      <c r="B323">
        <v>0</v>
      </c>
      <c r="C323">
        <f>Earnings!C323/160</f>
        <v>1904.41275</v>
      </c>
      <c r="D323">
        <f t="shared" si="5"/>
        <v>0</v>
      </c>
    </row>
    <row r="324" spans="1:4" x14ac:dyDescent="0.35">
      <c r="A324" t="s">
        <v>354</v>
      </c>
      <c r="B324">
        <v>0</v>
      </c>
      <c r="C324">
        <f>Earnings!C324/160</f>
        <v>3004.1075000000001</v>
      </c>
      <c r="D324">
        <f t="shared" si="5"/>
        <v>0</v>
      </c>
    </row>
    <row r="325" spans="1:4" x14ac:dyDescent="0.35">
      <c r="A325" t="s">
        <v>355</v>
      </c>
      <c r="B325">
        <v>0</v>
      </c>
      <c r="C325">
        <f>Earnings!C325/160</f>
        <v>3251.9639999999999</v>
      </c>
      <c r="D325">
        <f t="shared" si="5"/>
        <v>0</v>
      </c>
    </row>
    <row r="326" spans="1:4" x14ac:dyDescent="0.35">
      <c r="A326" t="s">
        <v>356</v>
      </c>
      <c r="B326">
        <v>0</v>
      </c>
      <c r="C326">
        <f>Earnings!C326/160</f>
        <v>1773.9825000000001</v>
      </c>
      <c r="D326">
        <f t="shared" si="5"/>
        <v>0</v>
      </c>
    </row>
    <row r="327" spans="1:4" x14ac:dyDescent="0.35">
      <c r="A327" t="s">
        <v>357</v>
      </c>
      <c r="B327">
        <v>0</v>
      </c>
      <c r="C327">
        <f>Earnings!C327/160</f>
        <v>2929.8142500000004</v>
      </c>
      <c r="D327">
        <f t="shared" si="5"/>
        <v>0</v>
      </c>
    </row>
    <row r="328" spans="1:4" x14ac:dyDescent="0.35">
      <c r="A328" t="s">
        <v>358</v>
      </c>
      <c r="B328">
        <v>34</v>
      </c>
      <c r="C328">
        <f>Earnings!C328/160</f>
        <v>3857.375</v>
      </c>
      <c r="D328">
        <f t="shared" si="5"/>
        <v>262301.5</v>
      </c>
    </row>
    <row r="329" spans="1:4" x14ac:dyDescent="0.35">
      <c r="A329" t="s">
        <v>359</v>
      </c>
      <c r="B329">
        <v>0</v>
      </c>
      <c r="C329">
        <f>Earnings!C329/160</f>
        <v>2622.7899375000002</v>
      </c>
      <c r="D329">
        <f t="shared" si="5"/>
        <v>0</v>
      </c>
    </row>
    <row r="330" spans="1:4" x14ac:dyDescent="0.35">
      <c r="A330" t="s">
        <v>360</v>
      </c>
      <c r="B330">
        <v>8</v>
      </c>
      <c r="C330">
        <f>Earnings!C330/160</f>
        <v>2703.2653749999999</v>
      </c>
      <c r="D330">
        <f t="shared" si="5"/>
        <v>43252.245999999999</v>
      </c>
    </row>
    <row r="331" spans="1:4" x14ac:dyDescent="0.35">
      <c r="A331" t="s">
        <v>361</v>
      </c>
      <c r="B331">
        <v>0</v>
      </c>
      <c r="C331">
        <f>Earnings!C331/160</f>
        <v>3748.0019999999995</v>
      </c>
      <c r="D331">
        <f t="shared" si="5"/>
        <v>0</v>
      </c>
    </row>
    <row r="332" spans="1:4" x14ac:dyDescent="0.35">
      <c r="A332" t="s">
        <v>362</v>
      </c>
      <c r="B332">
        <v>39.200000000000003</v>
      </c>
      <c r="C332">
        <f>Earnings!C332/160</f>
        <v>1629.9948125000001</v>
      </c>
      <c r="D332">
        <f t="shared" si="5"/>
        <v>127791.59330000002</v>
      </c>
    </row>
    <row r="333" spans="1:4" x14ac:dyDescent="0.35">
      <c r="A333" t="s">
        <v>363</v>
      </c>
      <c r="B333">
        <v>0</v>
      </c>
      <c r="C333">
        <f>Earnings!C333/160</f>
        <v>2076.3926875000002</v>
      </c>
      <c r="D333">
        <f t="shared" si="5"/>
        <v>0</v>
      </c>
    </row>
    <row r="334" spans="1:4" x14ac:dyDescent="0.35">
      <c r="A334" t="s">
        <v>364</v>
      </c>
      <c r="B334">
        <v>0</v>
      </c>
      <c r="C334">
        <f>Earnings!C334/160</f>
        <v>2424.7755000000002</v>
      </c>
      <c r="D334">
        <f t="shared" si="5"/>
        <v>0</v>
      </c>
    </row>
    <row r="335" spans="1:4" x14ac:dyDescent="0.35">
      <c r="A335" t="s">
        <v>365</v>
      </c>
      <c r="B335">
        <v>0</v>
      </c>
      <c r="C335">
        <f>Earnings!C335/160</f>
        <v>3811.7570000000001</v>
      </c>
      <c r="D335">
        <f t="shared" si="5"/>
        <v>0</v>
      </c>
    </row>
    <row r="336" spans="1:4" x14ac:dyDescent="0.35">
      <c r="A336" t="s">
        <v>366</v>
      </c>
      <c r="B336">
        <v>21</v>
      </c>
      <c r="C336">
        <f>Earnings!C336/160</f>
        <v>3839.6750000000002</v>
      </c>
      <c r="D336">
        <f t="shared" si="5"/>
        <v>161266.35</v>
      </c>
    </row>
    <row r="337" spans="1:4" x14ac:dyDescent="0.35">
      <c r="A337" t="s">
        <v>367</v>
      </c>
      <c r="B337">
        <v>0</v>
      </c>
      <c r="C337">
        <f>Earnings!C337/160</f>
        <v>1651.7009999999998</v>
      </c>
      <c r="D337">
        <f t="shared" si="5"/>
        <v>0</v>
      </c>
    </row>
    <row r="338" spans="1:4" x14ac:dyDescent="0.35">
      <c r="A338" t="s">
        <v>368</v>
      </c>
      <c r="B338">
        <v>36</v>
      </c>
      <c r="C338">
        <f>Earnings!C338/160</f>
        <v>1383.9315000000001</v>
      </c>
      <c r="D338">
        <f t="shared" si="5"/>
        <v>99643.068000000014</v>
      </c>
    </row>
    <row r="339" spans="1:4" x14ac:dyDescent="0.35">
      <c r="A339" t="s">
        <v>369</v>
      </c>
      <c r="B339">
        <v>0</v>
      </c>
      <c r="C339">
        <f>Earnings!C339/160</f>
        <v>3415.9757500000001</v>
      </c>
      <c r="D339">
        <f t="shared" si="5"/>
        <v>0</v>
      </c>
    </row>
    <row r="340" spans="1:4" x14ac:dyDescent="0.35">
      <c r="A340" t="s">
        <v>370</v>
      </c>
      <c r="B340">
        <v>22.4</v>
      </c>
      <c r="C340">
        <f>Earnings!C340/160</f>
        <v>4556.8227500000003</v>
      </c>
      <c r="D340">
        <f t="shared" si="5"/>
        <v>204145.65919999999</v>
      </c>
    </row>
    <row r="341" spans="1:4" x14ac:dyDescent="0.35">
      <c r="A341" t="s">
        <v>371</v>
      </c>
      <c r="B341">
        <v>26</v>
      </c>
      <c r="C341">
        <f>Earnings!C341/160</f>
        <v>1911.321625</v>
      </c>
      <c r="D341">
        <f t="shared" si="5"/>
        <v>99388.724499999997</v>
      </c>
    </row>
    <row r="342" spans="1:4" x14ac:dyDescent="0.35">
      <c r="A342" t="s">
        <v>372</v>
      </c>
      <c r="B342">
        <v>0</v>
      </c>
      <c r="C342">
        <f>Earnings!C342/160</f>
        <v>1990.9189999999999</v>
      </c>
      <c r="D342">
        <f t="shared" si="5"/>
        <v>0</v>
      </c>
    </row>
    <row r="343" spans="1:4" x14ac:dyDescent="0.35">
      <c r="A343" t="s">
        <v>373</v>
      </c>
      <c r="B343">
        <v>0</v>
      </c>
      <c r="C343">
        <f>Earnings!C343/160</f>
        <v>1789.8783749999998</v>
      </c>
      <c r="D343">
        <f t="shared" si="5"/>
        <v>0</v>
      </c>
    </row>
    <row r="344" spans="1:4" x14ac:dyDescent="0.35">
      <c r="A344" t="s">
        <v>374</v>
      </c>
      <c r="B344">
        <v>0</v>
      </c>
      <c r="C344">
        <f>Earnings!C344/160</f>
        <v>2837.6060000000002</v>
      </c>
      <c r="D344">
        <f t="shared" si="5"/>
        <v>0</v>
      </c>
    </row>
    <row r="345" spans="1:4" x14ac:dyDescent="0.35">
      <c r="A345" t="s">
        <v>375</v>
      </c>
      <c r="B345">
        <v>40.799999999999997</v>
      </c>
      <c r="C345">
        <f>Earnings!C345/160</f>
        <v>3393.8578750000001</v>
      </c>
      <c r="D345">
        <f t="shared" si="5"/>
        <v>276938.8026</v>
      </c>
    </row>
    <row r="346" spans="1:4" x14ac:dyDescent="0.35">
      <c r="A346" t="s">
        <v>376</v>
      </c>
      <c r="B346">
        <v>0</v>
      </c>
      <c r="C346">
        <f>Earnings!C346/160</f>
        <v>4161.6611874999999</v>
      </c>
      <c r="D346">
        <f t="shared" si="5"/>
        <v>0</v>
      </c>
    </row>
    <row r="347" spans="1:4" x14ac:dyDescent="0.35">
      <c r="A347" t="s">
        <v>377</v>
      </c>
      <c r="B347">
        <v>33.6</v>
      </c>
      <c r="C347">
        <f>Earnings!C347/160</f>
        <v>2164.212</v>
      </c>
      <c r="D347">
        <f t="shared" si="5"/>
        <v>145435.04639999999</v>
      </c>
    </row>
    <row r="348" spans="1:4" x14ac:dyDescent="0.35">
      <c r="A348" t="s">
        <v>378</v>
      </c>
      <c r="B348">
        <v>28</v>
      </c>
      <c r="C348">
        <f>Earnings!C348/160</f>
        <v>2135.9939999999997</v>
      </c>
      <c r="D348">
        <f t="shared" si="5"/>
        <v>119615.66399999999</v>
      </c>
    </row>
    <row r="349" spans="1:4" x14ac:dyDescent="0.35">
      <c r="A349" t="s">
        <v>379</v>
      </c>
      <c r="B349">
        <v>8.5</v>
      </c>
      <c r="C349">
        <f>Earnings!C349/160</f>
        <v>3004.2512500000003</v>
      </c>
      <c r="D349">
        <f t="shared" si="5"/>
        <v>51072.271250000005</v>
      </c>
    </row>
    <row r="350" spans="1:4" x14ac:dyDescent="0.35">
      <c r="A350" t="s">
        <v>380</v>
      </c>
      <c r="B350">
        <v>0</v>
      </c>
      <c r="C350">
        <f>Earnings!C350/160</f>
        <v>2661.9517500000002</v>
      </c>
      <c r="D350">
        <f t="shared" si="5"/>
        <v>0</v>
      </c>
    </row>
    <row r="351" spans="1:4" x14ac:dyDescent="0.35">
      <c r="A351" t="s">
        <v>381</v>
      </c>
      <c r="B351">
        <v>0</v>
      </c>
      <c r="C351">
        <f>Earnings!C351/160</f>
        <v>3423.3743750000003</v>
      </c>
      <c r="D351">
        <f t="shared" si="5"/>
        <v>0</v>
      </c>
    </row>
    <row r="352" spans="1:4" x14ac:dyDescent="0.35">
      <c r="A352" t="s">
        <v>382</v>
      </c>
      <c r="B352">
        <v>0</v>
      </c>
      <c r="C352">
        <f>Earnings!C352/160</f>
        <v>3040.1490000000003</v>
      </c>
      <c r="D352">
        <f t="shared" si="5"/>
        <v>0</v>
      </c>
    </row>
    <row r="353" spans="1:4" x14ac:dyDescent="0.35">
      <c r="A353" t="s">
        <v>383</v>
      </c>
      <c r="B353">
        <v>12.6</v>
      </c>
      <c r="C353">
        <f>Earnings!C353/160</f>
        <v>3332.5635000000002</v>
      </c>
      <c r="D353">
        <f t="shared" si="5"/>
        <v>83980.600200000001</v>
      </c>
    </row>
    <row r="354" spans="1:4" x14ac:dyDescent="0.35">
      <c r="A354" t="s">
        <v>384</v>
      </c>
      <c r="B354">
        <v>0</v>
      </c>
      <c r="C354">
        <f>Earnings!C354/160</f>
        <v>4881.6685625</v>
      </c>
      <c r="D354">
        <f t="shared" si="5"/>
        <v>0</v>
      </c>
    </row>
    <row r="355" spans="1:4" x14ac:dyDescent="0.35">
      <c r="A355" t="s">
        <v>385</v>
      </c>
      <c r="B355">
        <v>0</v>
      </c>
      <c r="C355">
        <f>Earnings!C355/160</f>
        <v>2486.8249999999998</v>
      </c>
      <c r="D355">
        <f t="shared" si="5"/>
        <v>0</v>
      </c>
    </row>
    <row r="356" spans="1:4" x14ac:dyDescent="0.35">
      <c r="A356" t="s">
        <v>386</v>
      </c>
      <c r="B356">
        <v>0</v>
      </c>
      <c r="C356">
        <f>Earnings!C356/160</f>
        <v>1555.777</v>
      </c>
      <c r="D356">
        <f t="shared" si="5"/>
        <v>0</v>
      </c>
    </row>
    <row r="357" spans="1:4" x14ac:dyDescent="0.35">
      <c r="A357" t="s">
        <v>387</v>
      </c>
      <c r="B357">
        <v>0</v>
      </c>
      <c r="C357">
        <f>Earnings!C357/160</f>
        <v>1696.137125</v>
      </c>
      <c r="D357">
        <f t="shared" si="5"/>
        <v>0</v>
      </c>
    </row>
    <row r="358" spans="1:4" x14ac:dyDescent="0.35">
      <c r="A358" t="s">
        <v>388</v>
      </c>
      <c r="B358">
        <v>7</v>
      </c>
      <c r="C358">
        <f>Earnings!C358/160</f>
        <v>1637.7985624999999</v>
      </c>
      <c r="D358">
        <f t="shared" si="5"/>
        <v>22929.179874999998</v>
      </c>
    </row>
    <row r="359" spans="1:4" x14ac:dyDescent="0.35">
      <c r="A359" t="s">
        <v>389</v>
      </c>
      <c r="B359">
        <v>0</v>
      </c>
      <c r="C359">
        <f>Earnings!C359/160</f>
        <v>2949.933</v>
      </c>
      <c r="D359">
        <f t="shared" si="5"/>
        <v>0</v>
      </c>
    </row>
    <row r="360" spans="1:4" x14ac:dyDescent="0.35">
      <c r="A360" t="s">
        <v>390</v>
      </c>
      <c r="B360">
        <v>0</v>
      </c>
      <c r="C360">
        <f>Earnings!C360/160</f>
        <v>2767.366</v>
      </c>
      <c r="D360">
        <f t="shared" si="5"/>
        <v>0</v>
      </c>
    </row>
    <row r="361" spans="1:4" x14ac:dyDescent="0.35">
      <c r="A361" t="s">
        <v>391</v>
      </c>
      <c r="B361">
        <v>0</v>
      </c>
      <c r="C361">
        <f>Earnings!C361/160</f>
        <v>4568.4436249999999</v>
      </c>
      <c r="D361">
        <f t="shared" si="5"/>
        <v>0</v>
      </c>
    </row>
    <row r="362" spans="1:4" x14ac:dyDescent="0.35">
      <c r="A362" t="s">
        <v>392</v>
      </c>
      <c r="B362">
        <v>10</v>
      </c>
      <c r="C362">
        <f>Earnings!C362/160</f>
        <v>1495.414</v>
      </c>
      <c r="D362">
        <f t="shared" si="5"/>
        <v>29908.28</v>
      </c>
    </row>
    <row r="363" spans="1:4" x14ac:dyDescent="0.35">
      <c r="A363" t="s">
        <v>393</v>
      </c>
      <c r="B363">
        <v>0</v>
      </c>
      <c r="C363">
        <f>Earnings!C363/160</f>
        <v>4806.2484999999997</v>
      </c>
      <c r="D363">
        <f t="shared" si="5"/>
        <v>0</v>
      </c>
    </row>
    <row r="364" spans="1:4" x14ac:dyDescent="0.35">
      <c r="A364" t="s">
        <v>394</v>
      </c>
      <c r="B364">
        <v>27.6</v>
      </c>
      <c r="C364">
        <f>Earnings!C364/160</f>
        <v>4503.723</v>
      </c>
      <c r="D364">
        <f t="shared" si="5"/>
        <v>248605.50960000002</v>
      </c>
    </row>
    <row r="365" spans="1:4" x14ac:dyDescent="0.35">
      <c r="A365" t="s">
        <v>395</v>
      </c>
      <c r="B365">
        <v>0</v>
      </c>
      <c r="C365">
        <f>Earnings!C365/160</f>
        <v>2772.0050000000001</v>
      </c>
      <c r="D365">
        <f t="shared" si="5"/>
        <v>0</v>
      </c>
    </row>
    <row r="366" spans="1:4" x14ac:dyDescent="0.35">
      <c r="A366" t="s">
        <v>396</v>
      </c>
      <c r="B366">
        <v>0</v>
      </c>
      <c r="C366">
        <f>Earnings!C366/160</f>
        <v>3925.8590624999997</v>
      </c>
      <c r="D366">
        <f t="shared" si="5"/>
        <v>0</v>
      </c>
    </row>
    <row r="367" spans="1:4" x14ac:dyDescent="0.35">
      <c r="A367" t="s">
        <v>397</v>
      </c>
      <c r="B367">
        <v>0</v>
      </c>
      <c r="C367">
        <f>Earnings!C367/160</f>
        <v>2538.7550000000001</v>
      </c>
      <c r="D367">
        <f t="shared" si="5"/>
        <v>0</v>
      </c>
    </row>
    <row r="368" spans="1:4" x14ac:dyDescent="0.35">
      <c r="A368" t="s">
        <v>398</v>
      </c>
      <c r="B368">
        <v>49.3</v>
      </c>
      <c r="C368">
        <f>Earnings!C368/160</f>
        <v>3437.5759375000002</v>
      </c>
      <c r="D368">
        <f t="shared" si="5"/>
        <v>338944.98743749998</v>
      </c>
    </row>
    <row r="369" spans="1:4" x14ac:dyDescent="0.35">
      <c r="A369" t="s">
        <v>399</v>
      </c>
      <c r="B369">
        <v>0</v>
      </c>
      <c r="C369">
        <f>Earnings!C369/160</f>
        <v>1227.6598125</v>
      </c>
      <c r="D369">
        <f t="shared" si="5"/>
        <v>0</v>
      </c>
    </row>
    <row r="370" spans="1:4" x14ac:dyDescent="0.35">
      <c r="A370" t="s">
        <v>400</v>
      </c>
      <c r="B370">
        <v>0</v>
      </c>
      <c r="C370">
        <f>Earnings!C370/160</f>
        <v>3029.1666875000001</v>
      </c>
      <c r="D370">
        <f t="shared" si="5"/>
        <v>0</v>
      </c>
    </row>
    <row r="371" spans="1:4" x14ac:dyDescent="0.35">
      <c r="A371" t="s">
        <v>401</v>
      </c>
      <c r="B371">
        <v>0</v>
      </c>
      <c r="C371">
        <f>Earnings!C371/160</f>
        <v>2631.464375</v>
      </c>
      <c r="D371">
        <f t="shared" si="5"/>
        <v>0</v>
      </c>
    </row>
    <row r="372" spans="1:4" x14ac:dyDescent="0.35">
      <c r="A372" t="s">
        <v>402</v>
      </c>
      <c r="B372">
        <v>0</v>
      </c>
      <c r="C372">
        <f>Earnings!C372/160</f>
        <v>1806.9450000000002</v>
      </c>
      <c r="D372">
        <f t="shared" si="5"/>
        <v>0</v>
      </c>
    </row>
    <row r="373" spans="1:4" x14ac:dyDescent="0.35">
      <c r="A373" t="s">
        <v>403</v>
      </c>
      <c r="B373">
        <v>0</v>
      </c>
      <c r="C373">
        <f>Earnings!C373/160</f>
        <v>2430.0990000000002</v>
      </c>
      <c r="D373">
        <f t="shared" si="5"/>
        <v>0</v>
      </c>
    </row>
    <row r="374" spans="1:4" x14ac:dyDescent="0.35">
      <c r="A374" t="s">
        <v>404</v>
      </c>
      <c r="B374">
        <v>31.2</v>
      </c>
      <c r="C374">
        <f>Earnings!C374/160</f>
        <v>2960.2978749999997</v>
      </c>
      <c r="D374">
        <f t="shared" si="5"/>
        <v>184722.58739999999</v>
      </c>
    </row>
    <row r="375" spans="1:4" x14ac:dyDescent="0.35">
      <c r="A375" t="s">
        <v>405</v>
      </c>
      <c r="B375">
        <v>0</v>
      </c>
      <c r="C375">
        <f>Earnings!C375/160</f>
        <v>6242.2616875000003</v>
      </c>
      <c r="D375">
        <f t="shared" si="5"/>
        <v>0</v>
      </c>
    </row>
    <row r="376" spans="1:4" x14ac:dyDescent="0.35">
      <c r="A376" t="s">
        <v>406</v>
      </c>
      <c r="B376">
        <v>40.6</v>
      </c>
      <c r="C376">
        <f>Earnings!C376/160</f>
        <v>2563.0828750000001</v>
      </c>
      <c r="D376">
        <f t="shared" si="5"/>
        <v>208122.32945000002</v>
      </c>
    </row>
    <row r="377" spans="1:4" x14ac:dyDescent="0.35">
      <c r="A377" t="s">
        <v>407</v>
      </c>
      <c r="B377">
        <v>25</v>
      </c>
      <c r="C377">
        <f>Earnings!C377/160</f>
        <v>1906.3056250000002</v>
      </c>
      <c r="D377">
        <f t="shared" si="5"/>
        <v>95315.281250000015</v>
      </c>
    </row>
    <row r="378" spans="1:4" x14ac:dyDescent="0.35">
      <c r="A378" t="s">
        <v>408</v>
      </c>
      <c r="B378">
        <v>10.199999999999999</v>
      </c>
      <c r="C378">
        <f>Earnings!C378/160</f>
        <v>2667.011</v>
      </c>
      <c r="D378">
        <f t="shared" si="5"/>
        <v>54407.024399999995</v>
      </c>
    </row>
    <row r="379" spans="1:4" x14ac:dyDescent="0.35">
      <c r="A379" t="s">
        <v>409</v>
      </c>
      <c r="B379">
        <v>19.600000000000001</v>
      </c>
      <c r="C379">
        <f>Earnings!C379/160</f>
        <v>2280.1386874999998</v>
      </c>
      <c r="D379">
        <f t="shared" si="5"/>
        <v>89381.436549999999</v>
      </c>
    </row>
    <row r="380" spans="1:4" x14ac:dyDescent="0.35">
      <c r="A380" t="s">
        <v>410</v>
      </c>
      <c r="B380">
        <v>0</v>
      </c>
      <c r="C380">
        <f>Earnings!C380/160</f>
        <v>3459.7135625000001</v>
      </c>
      <c r="D380">
        <f t="shared" si="5"/>
        <v>0</v>
      </c>
    </row>
    <row r="381" spans="1:4" x14ac:dyDescent="0.35">
      <c r="A381" t="s">
        <v>411</v>
      </c>
      <c r="B381">
        <v>8.4</v>
      </c>
      <c r="C381">
        <f>Earnings!C381/160</f>
        <v>2426.3755000000001</v>
      </c>
      <c r="D381">
        <f t="shared" si="5"/>
        <v>40763.108400000005</v>
      </c>
    </row>
    <row r="382" spans="1:4" x14ac:dyDescent="0.35">
      <c r="A382" t="s">
        <v>412</v>
      </c>
      <c r="B382">
        <v>0</v>
      </c>
      <c r="C382">
        <f>Earnings!C382/160</f>
        <v>3515.4525000000003</v>
      </c>
      <c r="D382">
        <f t="shared" si="5"/>
        <v>0</v>
      </c>
    </row>
    <row r="383" spans="1:4" x14ac:dyDescent="0.35">
      <c r="A383" t="s">
        <v>413</v>
      </c>
      <c r="B383">
        <v>0</v>
      </c>
      <c r="C383">
        <f>Earnings!C383/160</f>
        <v>1486.345</v>
      </c>
      <c r="D383">
        <f t="shared" si="5"/>
        <v>0</v>
      </c>
    </row>
    <row r="384" spans="1:4" x14ac:dyDescent="0.35">
      <c r="A384" t="s">
        <v>414</v>
      </c>
      <c r="B384">
        <v>22</v>
      </c>
      <c r="C384">
        <f>Earnings!C384/160</f>
        <v>2447.1075000000001</v>
      </c>
      <c r="D384">
        <f t="shared" si="5"/>
        <v>107672.73000000001</v>
      </c>
    </row>
    <row r="385" spans="1:4" x14ac:dyDescent="0.35">
      <c r="A385" t="s">
        <v>415</v>
      </c>
      <c r="B385">
        <v>0</v>
      </c>
      <c r="C385">
        <f>Earnings!C385/160</f>
        <v>1641.039</v>
      </c>
      <c r="D385">
        <f t="shared" si="5"/>
        <v>0</v>
      </c>
    </row>
    <row r="386" spans="1:4" x14ac:dyDescent="0.35">
      <c r="A386" t="s">
        <v>416</v>
      </c>
      <c r="B386">
        <v>32.299999999999997</v>
      </c>
      <c r="C386">
        <f>Earnings!C386/160</f>
        <v>4082.9824374999998</v>
      </c>
      <c r="D386">
        <f t="shared" ref="D386:D449" si="6">B386*C386*2</f>
        <v>263760.66546249995</v>
      </c>
    </row>
    <row r="387" spans="1:4" x14ac:dyDescent="0.35">
      <c r="A387" t="s">
        <v>417</v>
      </c>
      <c r="B387">
        <v>14</v>
      </c>
      <c r="C387">
        <f>Earnings!C387/160</f>
        <v>4545.2284374999999</v>
      </c>
      <c r="D387">
        <f t="shared" si="6"/>
        <v>127266.39624999999</v>
      </c>
    </row>
    <row r="388" spans="1:4" x14ac:dyDescent="0.35">
      <c r="A388" t="s">
        <v>418</v>
      </c>
      <c r="B388">
        <v>7</v>
      </c>
      <c r="C388">
        <f>Earnings!C388/160</f>
        <v>1729.6056250000001</v>
      </c>
      <c r="D388">
        <f t="shared" si="6"/>
        <v>24214.478750000002</v>
      </c>
    </row>
    <row r="389" spans="1:4" x14ac:dyDescent="0.35">
      <c r="A389" t="s">
        <v>419</v>
      </c>
      <c r="B389">
        <v>0</v>
      </c>
      <c r="C389">
        <f>Earnings!C389/160</f>
        <v>2629.1421249999999</v>
      </c>
      <c r="D389">
        <f t="shared" si="6"/>
        <v>0</v>
      </c>
    </row>
    <row r="390" spans="1:4" x14ac:dyDescent="0.35">
      <c r="A390" t="s">
        <v>420</v>
      </c>
      <c r="B390">
        <v>45.9</v>
      </c>
      <c r="C390">
        <f>Earnings!C390/160</f>
        <v>5628.4917500000001</v>
      </c>
      <c r="D390">
        <f t="shared" si="6"/>
        <v>516695.54265000002</v>
      </c>
    </row>
    <row r="391" spans="1:4" x14ac:dyDescent="0.35">
      <c r="A391" t="s">
        <v>421</v>
      </c>
      <c r="B391">
        <v>40.6</v>
      </c>
      <c r="C391">
        <f>Earnings!C391/160</f>
        <v>5001.0959375000002</v>
      </c>
      <c r="D391">
        <f t="shared" si="6"/>
        <v>406088.99012500001</v>
      </c>
    </row>
    <row r="392" spans="1:4" x14ac:dyDescent="0.35">
      <c r="A392" t="s">
        <v>422</v>
      </c>
      <c r="B392">
        <v>0</v>
      </c>
      <c r="C392">
        <f>Earnings!C392/160</f>
        <v>3129.7958750000003</v>
      </c>
      <c r="D392">
        <f t="shared" si="6"/>
        <v>0</v>
      </c>
    </row>
    <row r="393" spans="1:4" x14ac:dyDescent="0.35">
      <c r="A393" t="s">
        <v>423</v>
      </c>
      <c r="B393">
        <v>17</v>
      </c>
      <c r="C393">
        <f>Earnings!C393/160</f>
        <v>2579.21</v>
      </c>
      <c r="D393">
        <f t="shared" si="6"/>
        <v>87693.14</v>
      </c>
    </row>
    <row r="394" spans="1:4" x14ac:dyDescent="0.35">
      <c r="A394" t="s">
        <v>424</v>
      </c>
      <c r="B394">
        <v>0</v>
      </c>
      <c r="C394">
        <f>Earnings!C394/160</f>
        <v>4426.6625000000004</v>
      </c>
      <c r="D394">
        <f t="shared" si="6"/>
        <v>0</v>
      </c>
    </row>
    <row r="395" spans="1:4" x14ac:dyDescent="0.35">
      <c r="A395" t="s">
        <v>425</v>
      </c>
      <c r="B395">
        <v>11.9</v>
      </c>
      <c r="C395">
        <f>Earnings!C395/160</f>
        <v>2820.7509375</v>
      </c>
      <c r="D395">
        <f t="shared" si="6"/>
        <v>67133.872312499996</v>
      </c>
    </row>
    <row r="396" spans="1:4" x14ac:dyDescent="0.35">
      <c r="A396" t="s">
        <v>426</v>
      </c>
      <c r="B396">
        <v>0</v>
      </c>
      <c r="C396">
        <f>Earnings!C396/160</f>
        <v>2800.8562499999998</v>
      </c>
      <c r="D396">
        <f t="shared" si="6"/>
        <v>0</v>
      </c>
    </row>
    <row r="397" spans="1:4" x14ac:dyDescent="0.35">
      <c r="A397" t="s">
        <v>427</v>
      </c>
      <c r="B397">
        <v>47.6</v>
      </c>
      <c r="C397">
        <f>Earnings!C397/160</f>
        <v>4052.4266250000001</v>
      </c>
      <c r="D397">
        <f t="shared" si="6"/>
        <v>385791.0147</v>
      </c>
    </row>
    <row r="398" spans="1:4" x14ac:dyDescent="0.35">
      <c r="A398" t="s">
        <v>428</v>
      </c>
      <c r="B398">
        <v>0</v>
      </c>
      <c r="C398">
        <f>Earnings!C398/160</f>
        <v>4401.6629999999996</v>
      </c>
      <c r="D398">
        <f t="shared" si="6"/>
        <v>0</v>
      </c>
    </row>
    <row r="399" spans="1:4" x14ac:dyDescent="0.35">
      <c r="A399" t="s">
        <v>429</v>
      </c>
      <c r="B399">
        <v>22</v>
      </c>
      <c r="C399">
        <f>Earnings!C399/160</f>
        <v>2307.7352500000002</v>
      </c>
      <c r="D399">
        <f t="shared" si="6"/>
        <v>101540.35100000001</v>
      </c>
    </row>
    <row r="400" spans="1:4" x14ac:dyDescent="0.35">
      <c r="A400" t="s">
        <v>430</v>
      </c>
      <c r="B400">
        <v>17</v>
      </c>
      <c r="C400">
        <f>Earnings!C400/160</f>
        <v>3567.7416250000001</v>
      </c>
      <c r="D400">
        <f t="shared" si="6"/>
        <v>121303.21525000001</v>
      </c>
    </row>
    <row r="401" spans="1:4" x14ac:dyDescent="0.35">
      <c r="A401" t="s">
        <v>431</v>
      </c>
      <c r="B401">
        <v>25.5</v>
      </c>
      <c r="C401">
        <f>Earnings!C401/160</f>
        <v>4055.1156249999999</v>
      </c>
      <c r="D401">
        <f t="shared" si="6"/>
        <v>206810.89687500001</v>
      </c>
    </row>
    <row r="402" spans="1:4" x14ac:dyDescent="0.35">
      <c r="A402" t="s">
        <v>432</v>
      </c>
      <c r="B402">
        <v>0</v>
      </c>
      <c r="C402">
        <f>Earnings!C402/160</f>
        <v>2074.1112499999999</v>
      </c>
      <c r="D402">
        <f t="shared" si="6"/>
        <v>0</v>
      </c>
    </row>
    <row r="403" spans="1:4" x14ac:dyDescent="0.35">
      <c r="A403" t="s">
        <v>433</v>
      </c>
      <c r="B403">
        <v>18.2</v>
      </c>
      <c r="C403">
        <f>Earnings!C403/160</f>
        <v>3159.0592499999998</v>
      </c>
      <c r="D403">
        <f t="shared" si="6"/>
        <v>114989.75669999998</v>
      </c>
    </row>
    <row r="404" spans="1:4" x14ac:dyDescent="0.35">
      <c r="A404" t="s">
        <v>434</v>
      </c>
      <c r="B404">
        <v>6</v>
      </c>
      <c r="C404">
        <f>Earnings!C404/160</f>
        <v>1843.575</v>
      </c>
      <c r="D404">
        <f t="shared" si="6"/>
        <v>22122.9</v>
      </c>
    </row>
    <row r="405" spans="1:4" x14ac:dyDescent="0.35">
      <c r="A405" t="s">
        <v>435</v>
      </c>
      <c r="B405">
        <v>0</v>
      </c>
      <c r="C405">
        <f>Earnings!C405/160</f>
        <v>3190.2539999999999</v>
      </c>
      <c r="D405">
        <f t="shared" si="6"/>
        <v>0</v>
      </c>
    </row>
    <row r="406" spans="1:4" x14ac:dyDescent="0.35">
      <c r="A406" t="s">
        <v>436</v>
      </c>
      <c r="B406">
        <v>20</v>
      </c>
      <c r="C406">
        <f>Earnings!C406/160</f>
        <v>1898.1875</v>
      </c>
      <c r="D406">
        <f t="shared" si="6"/>
        <v>75927.5</v>
      </c>
    </row>
    <row r="407" spans="1:4" x14ac:dyDescent="0.35">
      <c r="A407" t="s">
        <v>437</v>
      </c>
      <c r="B407">
        <v>22</v>
      </c>
      <c r="C407">
        <f>Earnings!C407/160</f>
        <v>1769.5507499999999</v>
      </c>
      <c r="D407">
        <f t="shared" si="6"/>
        <v>77860.232999999993</v>
      </c>
    </row>
    <row r="408" spans="1:4" x14ac:dyDescent="0.35">
      <c r="A408" t="s">
        <v>438</v>
      </c>
      <c r="B408">
        <v>7</v>
      </c>
      <c r="C408">
        <f>Earnings!C408/160</f>
        <v>4262.9335000000001</v>
      </c>
      <c r="D408">
        <f t="shared" si="6"/>
        <v>59681.069000000003</v>
      </c>
    </row>
    <row r="409" spans="1:4" x14ac:dyDescent="0.35">
      <c r="A409" t="s">
        <v>439</v>
      </c>
      <c r="B409">
        <v>17</v>
      </c>
      <c r="C409">
        <f>Earnings!C409/160</f>
        <v>3384.5597500000003</v>
      </c>
      <c r="D409">
        <f t="shared" si="6"/>
        <v>115075.03150000001</v>
      </c>
    </row>
    <row r="410" spans="1:4" x14ac:dyDescent="0.35">
      <c r="A410" t="s">
        <v>440</v>
      </c>
      <c r="B410">
        <v>0</v>
      </c>
      <c r="C410">
        <f>Earnings!C410/160</f>
        <v>2121.5099999999998</v>
      </c>
      <c r="D410">
        <f t="shared" si="6"/>
        <v>0</v>
      </c>
    </row>
    <row r="411" spans="1:4" x14ac:dyDescent="0.35">
      <c r="A411" t="s">
        <v>441</v>
      </c>
      <c r="B411">
        <v>0</v>
      </c>
      <c r="C411">
        <f>Earnings!C411/160</f>
        <v>2922.9001250000001</v>
      </c>
      <c r="D411">
        <f t="shared" si="6"/>
        <v>0</v>
      </c>
    </row>
    <row r="412" spans="1:4" x14ac:dyDescent="0.35">
      <c r="A412" t="s">
        <v>442</v>
      </c>
      <c r="B412">
        <v>0</v>
      </c>
      <c r="C412">
        <f>Earnings!C412/160</f>
        <v>2155.2849375000001</v>
      </c>
      <c r="D412">
        <f t="shared" si="6"/>
        <v>0</v>
      </c>
    </row>
    <row r="413" spans="1:4" x14ac:dyDescent="0.35">
      <c r="A413" t="s">
        <v>443</v>
      </c>
      <c r="B413">
        <v>0</v>
      </c>
      <c r="C413">
        <f>Earnings!C413/160</f>
        <v>3745.203</v>
      </c>
      <c r="D413">
        <f t="shared" si="6"/>
        <v>0</v>
      </c>
    </row>
    <row r="414" spans="1:4" x14ac:dyDescent="0.35">
      <c r="A414" t="s">
        <v>444</v>
      </c>
      <c r="B414">
        <v>39.1</v>
      </c>
      <c r="C414">
        <f>Earnings!C414/160</f>
        <v>3464.107</v>
      </c>
      <c r="D414">
        <f t="shared" si="6"/>
        <v>270893.16740000003</v>
      </c>
    </row>
    <row r="415" spans="1:4" x14ac:dyDescent="0.35">
      <c r="A415" t="s">
        <v>445</v>
      </c>
      <c r="B415">
        <v>0</v>
      </c>
      <c r="C415">
        <f>Earnings!C415/160</f>
        <v>2766.0509999999999</v>
      </c>
      <c r="D415">
        <f t="shared" si="6"/>
        <v>0</v>
      </c>
    </row>
    <row r="416" spans="1:4" x14ac:dyDescent="0.35">
      <c r="A416" t="s">
        <v>446</v>
      </c>
      <c r="B416">
        <v>35</v>
      </c>
      <c r="C416">
        <f>Earnings!C416/160</f>
        <v>2779.6501250000001</v>
      </c>
      <c r="D416">
        <f t="shared" si="6"/>
        <v>194575.50875000001</v>
      </c>
    </row>
    <row r="417" spans="1:4" x14ac:dyDescent="0.35">
      <c r="A417" t="s">
        <v>447</v>
      </c>
      <c r="B417">
        <v>31.2</v>
      </c>
      <c r="C417">
        <f>Earnings!C417/160</f>
        <v>3046.3621250000001</v>
      </c>
      <c r="D417">
        <f t="shared" si="6"/>
        <v>190092.99660000001</v>
      </c>
    </row>
    <row r="418" spans="1:4" x14ac:dyDescent="0.35">
      <c r="A418" t="s">
        <v>448</v>
      </c>
      <c r="B418">
        <v>0</v>
      </c>
      <c r="C418">
        <f>Earnings!C418/160</f>
        <v>3453.8730000000005</v>
      </c>
      <c r="D418">
        <f t="shared" si="6"/>
        <v>0</v>
      </c>
    </row>
    <row r="419" spans="1:4" x14ac:dyDescent="0.35">
      <c r="A419" t="s">
        <v>449</v>
      </c>
      <c r="B419">
        <v>0</v>
      </c>
      <c r="C419">
        <f>Earnings!C419/160</f>
        <v>1971.4590000000001</v>
      </c>
      <c r="D419">
        <f t="shared" si="6"/>
        <v>0</v>
      </c>
    </row>
    <row r="420" spans="1:4" x14ac:dyDescent="0.35">
      <c r="A420" t="s">
        <v>450</v>
      </c>
      <c r="B420">
        <v>21</v>
      </c>
      <c r="C420">
        <f>Earnings!C420/160</f>
        <v>4643.527</v>
      </c>
      <c r="D420">
        <f t="shared" si="6"/>
        <v>195028.13399999999</v>
      </c>
    </row>
    <row r="421" spans="1:4" x14ac:dyDescent="0.35">
      <c r="A421" t="s">
        <v>451</v>
      </c>
      <c r="B421">
        <v>25.2</v>
      </c>
      <c r="C421">
        <f>Earnings!C421/160</f>
        <v>2497.4341250000002</v>
      </c>
      <c r="D421">
        <f t="shared" si="6"/>
        <v>125870.6799</v>
      </c>
    </row>
    <row r="422" spans="1:4" x14ac:dyDescent="0.35">
      <c r="A422" t="s">
        <v>452</v>
      </c>
      <c r="B422">
        <v>24</v>
      </c>
      <c r="C422">
        <f>Earnings!C422/160</f>
        <v>2120.1675</v>
      </c>
      <c r="D422">
        <f t="shared" si="6"/>
        <v>101768.04000000001</v>
      </c>
    </row>
    <row r="423" spans="1:4" x14ac:dyDescent="0.35">
      <c r="A423" t="s">
        <v>453</v>
      </c>
      <c r="B423">
        <v>8</v>
      </c>
      <c r="C423">
        <f>Earnings!C423/160</f>
        <v>1891.6779999999999</v>
      </c>
      <c r="D423">
        <f t="shared" si="6"/>
        <v>30266.847999999998</v>
      </c>
    </row>
    <row r="424" spans="1:4" x14ac:dyDescent="0.35">
      <c r="A424" t="s">
        <v>454</v>
      </c>
      <c r="B424">
        <v>0</v>
      </c>
      <c r="C424">
        <f>Earnings!C424/160</f>
        <v>3639.1906250000002</v>
      </c>
      <c r="D424">
        <f t="shared" si="6"/>
        <v>0</v>
      </c>
    </row>
    <row r="425" spans="1:4" x14ac:dyDescent="0.35">
      <c r="A425" t="s">
        <v>455</v>
      </c>
      <c r="B425">
        <v>0</v>
      </c>
      <c r="C425">
        <f>Earnings!C425/160</f>
        <v>1020.6191875000001</v>
      </c>
      <c r="D425">
        <f t="shared" si="6"/>
        <v>0</v>
      </c>
    </row>
    <row r="426" spans="1:4" x14ac:dyDescent="0.35">
      <c r="A426" t="s">
        <v>456</v>
      </c>
      <c r="B426">
        <v>0</v>
      </c>
      <c r="C426">
        <f>Earnings!C426/160</f>
        <v>5670.3538124999995</v>
      </c>
      <c r="D426">
        <f t="shared" si="6"/>
        <v>0</v>
      </c>
    </row>
    <row r="427" spans="1:4" x14ac:dyDescent="0.35">
      <c r="A427" t="s">
        <v>457</v>
      </c>
      <c r="B427">
        <v>30</v>
      </c>
      <c r="C427">
        <f>Earnings!C427/160</f>
        <v>1946.16525</v>
      </c>
      <c r="D427">
        <f t="shared" si="6"/>
        <v>116769.91500000001</v>
      </c>
    </row>
    <row r="428" spans="1:4" x14ac:dyDescent="0.35">
      <c r="A428" t="s">
        <v>458</v>
      </c>
      <c r="B428">
        <v>0</v>
      </c>
      <c r="C428">
        <f>Earnings!C428/160</f>
        <v>2608.9555625000003</v>
      </c>
      <c r="D428">
        <f t="shared" si="6"/>
        <v>0</v>
      </c>
    </row>
    <row r="429" spans="1:4" x14ac:dyDescent="0.35">
      <c r="A429" t="s">
        <v>459</v>
      </c>
      <c r="B429">
        <v>39.1</v>
      </c>
      <c r="C429">
        <f>Earnings!C429/160</f>
        <v>3258.3815</v>
      </c>
      <c r="D429">
        <f t="shared" si="6"/>
        <v>254805.4333</v>
      </c>
    </row>
    <row r="430" spans="1:4" x14ac:dyDescent="0.35">
      <c r="A430" t="s">
        <v>460</v>
      </c>
      <c r="B430">
        <v>0</v>
      </c>
      <c r="C430">
        <f>Earnings!C430/160</f>
        <v>3474.4544999999998</v>
      </c>
      <c r="D430">
        <f t="shared" si="6"/>
        <v>0</v>
      </c>
    </row>
    <row r="431" spans="1:4" x14ac:dyDescent="0.35">
      <c r="A431" t="s">
        <v>461</v>
      </c>
      <c r="B431">
        <v>0</v>
      </c>
      <c r="C431">
        <f>Earnings!C431/160</f>
        <v>3202.908375</v>
      </c>
      <c r="D431">
        <f t="shared" si="6"/>
        <v>0</v>
      </c>
    </row>
    <row r="432" spans="1:4" x14ac:dyDescent="0.35">
      <c r="A432" t="s">
        <v>462</v>
      </c>
      <c r="B432">
        <v>0</v>
      </c>
      <c r="C432">
        <f>Earnings!C432/160</f>
        <v>1160.3062500000001</v>
      </c>
      <c r="D432">
        <f t="shared" si="6"/>
        <v>0</v>
      </c>
    </row>
    <row r="433" spans="1:4" x14ac:dyDescent="0.35">
      <c r="A433" t="s">
        <v>463</v>
      </c>
      <c r="B433">
        <v>0</v>
      </c>
      <c r="C433">
        <f>Earnings!C433/160</f>
        <v>2780.232</v>
      </c>
      <c r="D433">
        <f t="shared" si="6"/>
        <v>0</v>
      </c>
    </row>
    <row r="434" spans="1:4" x14ac:dyDescent="0.35">
      <c r="A434" t="s">
        <v>464</v>
      </c>
      <c r="B434">
        <v>0</v>
      </c>
      <c r="C434">
        <f>Earnings!C434/160</f>
        <v>2597.5619999999999</v>
      </c>
      <c r="D434">
        <f t="shared" si="6"/>
        <v>0</v>
      </c>
    </row>
    <row r="435" spans="1:4" x14ac:dyDescent="0.35">
      <c r="A435" t="s">
        <v>465</v>
      </c>
      <c r="B435">
        <v>0</v>
      </c>
      <c r="C435">
        <f>Earnings!C435/160</f>
        <v>2237.5563750000001</v>
      </c>
      <c r="D435">
        <f t="shared" si="6"/>
        <v>0</v>
      </c>
    </row>
    <row r="436" spans="1:4" x14ac:dyDescent="0.35">
      <c r="A436" t="s">
        <v>466</v>
      </c>
      <c r="B436">
        <v>0</v>
      </c>
      <c r="C436">
        <f>Earnings!C436/160</f>
        <v>2858.0070000000001</v>
      </c>
      <c r="D436">
        <f t="shared" si="6"/>
        <v>0</v>
      </c>
    </row>
    <row r="437" spans="1:4" x14ac:dyDescent="0.35">
      <c r="A437" t="s">
        <v>467</v>
      </c>
      <c r="B437">
        <v>0</v>
      </c>
      <c r="C437">
        <f>Earnings!C437/160</f>
        <v>2695.9169999999999</v>
      </c>
      <c r="D437">
        <f t="shared" si="6"/>
        <v>0</v>
      </c>
    </row>
    <row r="438" spans="1:4" x14ac:dyDescent="0.35">
      <c r="A438" t="s">
        <v>468</v>
      </c>
      <c r="B438">
        <v>0</v>
      </c>
      <c r="C438">
        <f>Earnings!C438/160</f>
        <v>1337.8049999999998</v>
      </c>
      <c r="D438">
        <f t="shared" si="6"/>
        <v>0</v>
      </c>
    </row>
    <row r="439" spans="1:4" x14ac:dyDescent="0.35">
      <c r="A439" t="s">
        <v>469</v>
      </c>
      <c r="B439">
        <v>0</v>
      </c>
      <c r="C439">
        <f>Earnings!C439/160</f>
        <v>4367.6463750000003</v>
      </c>
      <c r="D439">
        <f t="shared" si="6"/>
        <v>0</v>
      </c>
    </row>
    <row r="440" spans="1:4" x14ac:dyDescent="0.35">
      <c r="A440" t="s">
        <v>470</v>
      </c>
      <c r="B440">
        <v>42.5</v>
      </c>
      <c r="C440">
        <f>Earnings!C440/160</f>
        <v>3030.2325625000003</v>
      </c>
      <c r="D440">
        <f t="shared" si="6"/>
        <v>257569.76781250004</v>
      </c>
    </row>
    <row r="441" spans="1:4" x14ac:dyDescent="0.35">
      <c r="A441" t="s">
        <v>471</v>
      </c>
      <c r="B441">
        <v>0</v>
      </c>
      <c r="C441">
        <f>Earnings!C441/160</f>
        <v>1885.452</v>
      </c>
      <c r="D441">
        <f t="shared" si="6"/>
        <v>0</v>
      </c>
    </row>
    <row r="442" spans="1:4" x14ac:dyDescent="0.35">
      <c r="A442" t="s">
        <v>472</v>
      </c>
      <c r="B442">
        <v>0</v>
      </c>
      <c r="C442">
        <f>Earnings!C442/160</f>
        <v>1508.4959999999999</v>
      </c>
      <c r="D442">
        <f t="shared" si="6"/>
        <v>0</v>
      </c>
    </row>
    <row r="443" spans="1:4" x14ac:dyDescent="0.35">
      <c r="A443" t="s">
        <v>473</v>
      </c>
      <c r="B443">
        <v>0</v>
      </c>
      <c r="C443">
        <f>Earnings!C443/160</f>
        <v>3250.0099999999998</v>
      </c>
      <c r="D443">
        <f t="shared" si="6"/>
        <v>0</v>
      </c>
    </row>
    <row r="444" spans="1:4" x14ac:dyDescent="0.35">
      <c r="A444" t="s">
        <v>474</v>
      </c>
      <c r="B444">
        <v>0</v>
      </c>
      <c r="C444">
        <f>Earnings!C444/160</f>
        <v>4716.88</v>
      </c>
      <c r="D444">
        <f t="shared" si="6"/>
        <v>0</v>
      </c>
    </row>
    <row r="445" spans="1:4" x14ac:dyDescent="0.35">
      <c r="A445" t="s">
        <v>475</v>
      </c>
      <c r="B445">
        <v>0</v>
      </c>
      <c r="C445">
        <f>Earnings!C445/160</f>
        <v>3352.8611250000004</v>
      </c>
      <c r="D445">
        <f t="shared" si="6"/>
        <v>0</v>
      </c>
    </row>
    <row r="446" spans="1:4" x14ac:dyDescent="0.35">
      <c r="A446" t="s">
        <v>476</v>
      </c>
      <c r="B446">
        <v>0</v>
      </c>
      <c r="C446">
        <f>Earnings!C446/160</f>
        <v>3382.5723749999997</v>
      </c>
      <c r="D446">
        <f t="shared" si="6"/>
        <v>0</v>
      </c>
    </row>
    <row r="447" spans="1:4" x14ac:dyDescent="0.35">
      <c r="A447" t="s">
        <v>477</v>
      </c>
      <c r="B447">
        <v>15.4</v>
      </c>
      <c r="C447">
        <f>Earnings!C447/160</f>
        <v>4497.4681250000003</v>
      </c>
      <c r="D447">
        <f t="shared" si="6"/>
        <v>138522.01825000002</v>
      </c>
    </row>
    <row r="448" spans="1:4" x14ac:dyDescent="0.35">
      <c r="A448" t="s">
        <v>478</v>
      </c>
      <c r="B448">
        <v>0</v>
      </c>
      <c r="C448">
        <f>Earnings!C448/160</f>
        <v>3118.8001250000002</v>
      </c>
      <c r="D448">
        <f t="shared" si="6"/>
        <v>0</v>
      </c>
    </row>
    <row r="449" spans="1:4" x14ac:dyDescent="0.35">
      <c r="A449" t="s">
        <v>479</v>
      </c>
      <c r="B449">
        <v>0</v>
      </c>
      <c r="C449">
        <f>Earnings!C449/160</f>
        <v>5003.3422499999997</v>
      </c>
      <c r="D449">
        <f t="shared" si="6"/>
        <v>0</v>
      </c>
    </row>
    <row r="450" spans="1:4" x14ac:dyDescent="0.35">
      <c r="A450" t="s">
        <v>480</v>
      </c>
      <c r="B450">
        <v>51</v>
      </c>
      <c r="C450">
        <f>Earnings!C450/160</f>
        <v>3410.5952499999999</v>
      </c>
      <c r="D450">
        <f t="shared" ref="D450:D513" si="7">B450*C450*2</f>
        <v>347880.71549999999</v>
      </c>
    </row>
    <row r="451" spans="1:4" x14ac:dyDescent="0.35">
      <c r="A451" t="s">
        <v>481</v>
      </c>
      <c r="B451">
        <v>0</v>
      </c>
      <c r="C451">
        <f>Earnings!C451/160</f>
        <v>1494.247875</v>
      </c>
      <c r="D451">
        <f t="shared" si="7"/>
        <v>0</v>
      </c>
    </row>
    <row r="452" spans="1:4" x14ac:dyDescent="0.35">
      <c r="A452" t="s">
        <v>482</v>
      </c>
      <c r="B452">
        <v>16.8</v>
      </c>
      <c r="C452">
        <f>Earnings!C452/160</f>
        <v>3123.6570000000002</v>
      </c>
      <c r="D452">
        <f t="shared" si="7"/>
        <v>104954.87520000001</v>
      </c>
    </row>
    <row r="453" spans="1:4" x14ac:dyDescent="0.35">
      <c r="A453" t="s">
        <v>483</v>
      </c>
      <c r="B453">
        <v>0</v>
      </c>
      <c r="C453">
        <f>Earnings!C453/160</f>
        <v>3810.8775000000001</v>
      </c>
      <c r="D453">
        <f t="shared" si="7"/>
        <v>0</v>
      </c>
    </row>
    <row r="454" spans="1:4" x14ac:dyDescent="0.35">
      <c r="A454" t="s">
        <v>484</v>
      </c>
      <c r="B454">
        <v>30</v>
      </c>
      <c r="C454">
        <f>Earnings!C454/160</f>
        <v>2444.9603749999997</v>
      </c>
      <c r="D454">
        <f t="shared" si="7"/>
        <v>146697.62249999997</v>
      </c>
    </row>
    <row r="455" spans="1:4" x14ac:dyDescent="0.35">
      <c r="A455" t="s">
        <v>485</v>
      </c>
      <c r="B455">
        <v>22</v>
      </c>
      <c r="C455">
        <f>Earnings!C455/160</f>
        <v>1538.3017500000001</v>
      </c>
      <c r="D455">
        <f t="shared" si="7"/>
        <v>67685.277000000002</v>
      </c>
    </row>
    <row r="456" spans="1:4" x14ac:dyDescent="0.35">
      <c r="A456" t="s">
        <v>486</v>
      </c>
      <c r="B456">
        <v>8.5</v>
      </c>
      <c r="C456">
        <f>Earnings!C456/160</f>
        <v>1273.9927499999999</v>
      </c>
      <c r="D456">
        <f t="shared" si="7"/>
        <v>21657.876749999999</v>
      </c>
    </row>
    <row r="457" spans="1:4" x14ac:dyDescent="0.35">
      <c r="A457" t="s">
        <v>487</v>
      </c>
      <c r="B457">
        <v>25</v>
      </c>
      <c r="C457">
        <f>Earnings!C457/160</f>
        <v>1670.2849999999999</v>
      </c>
      <c r="D457">
        <f t="shared" si="7"/>
        <v>83514.25</v>
      </c>
    </row>
    <row r="458" spans="1:4" x14ac:dyDescent="0.35">
      <c r="A458" t="s">
        <v>488</v>
      </c>
      <c r="B458">
        <v>10.8</v>
      </c>
      <c r="C458">
        <f>Earnings!C458/160</f>
        <v>2631.0259375000001</v>
      </c>
      <c r="D458">
        <f t="shared" si="7"/>
        <v>56830.160250000008</v>
      </c>
    </row>
    <row r="459" spans="1:4" x14ac:dyDescent="0.35">
      <c r="A459" t="s">
        <v>489</v>
      </c>
      <c r="B459">
        <v>18.2</v>
      </c>
      <c r="C459">
        <f>Earnings!C459/160</f>
        <v>1594.8589999999999</v>
      </c>
      <c r="D459">
        <f t="shared" si="7"/>
        <v>58052.867599999998</v>
      </c>
    </row>
    <row r="460" spans="1:4" x14ac:dyDescent="0.35">
      <c r="A460" t="s">
        <v>490</v>
      </c>
      <c r="B460">
        <v>0</v>
      </c>
      <c r="C460">
        <f>Earnings!C460/160</f>
        <v>1535.3325</v>
      </c>
      <c r="D460">
        <f t="shared" si="7"/>
        <v>0</v>
      </c>
    </row>
    <row r="461" spans="1:4" x14ac:dyDescent="0.35">
      <c r="A461" t="s">
        <v>491</v>
      </c>
      <c r="B461">
        <v>42.5</v>
      </c>
      <c r="C461">
        <f>Earnings!C461/160</f>
        <v>3557.6794374999999</v>
      </c>
      <c r="D461">
        <f t="shared" si="7"/>
        <v>302402.75218750001</v>
      </c>
    </row>
    <row r="462" spans="1:4" x14ac:dyDescent="0.35">
      <c r="A462" t="s">
        <v>492</v>
      </c>
      <c r="B462">
        <v>32.200000000000003</v>
      </c>
      <c r="C462">
        <f>Earnings!C462/160</f>
        <v>1738.0772499999998</v>
      </c>
      <c r="D462">
        <f t="shared" si="7"/>
        <v>111932.1749</v>
      </c>
    </row>
    <row r="463" spans="1:4" x14ac:dyDescent="0.35">
      <c r="A463" t="s">
        <v>493</v>
      </c>
      <c r="B463">
        <v>24</v>
      </c>
      <c r="C463">
        <f>Earnings!C463/160</f>
        <v>2966.0576874999997</v>
      </c>
      <c r="D463">
        <f t="shared" si="7"/>
        <v>142370.76899999997</v>
      </c>
    </row>
    <row r="464" spans="1:4" x14ac:dyDescent="0.35">
      <c r="A464" t="s">
        <v>494</v>
      </c>
      <c r="B464">
        <v>27.6</v>
      </c>
      <c r="C464">
        <f>Earnings!C464/160</f>
        <v>3955.6603750000004</v>
      </c>
      <c r="D464">
        <f t="shared" si="7"/>
        <v>218352.45270000002</v>
      </c>
    </row>
    <row r="465" spans="1:4" x14ac:dyDescent="0.35">
      <c r="A465" t="s">
        <v>495</v>
      </c>
      <c r="B465">
        <v>0</v>
      </c>
      <c r="C465">
        <f>Earnings!C465/160</f>
        <v>3810.2331875000004</v>
      </c>
      <c r="D465">
        <f t="shared" si="7"/>
        <v>0</v>
      </c>
    </row>
    <row r="466" spans="1:4" x14ac:dyDescent="0.35">
      <c r="A466" t="s">
        <v>496</v>
      </c>
      <c r="B466">
        <v>0</v>
      </c>
      <c r="C466">
        <f>Earnings!C466/160</f>
        <v>2379.0749999999998</v>
      </c>
      <c r="D466">
        <f t="shared" si="7"/>
        <v>0</v>
      </c>
    </row>
    <row r="467" spans="1:4" x14ac:dyDescent="0.35">
      <c r="A467" t="s">
        <v>497</v>
      </c>
      <c r="B467">
        <v>5</v>
      </c>
      <c r="C467">
        <f>Earnings!C467/160</f>
        <v>2745.312375</v>
      </c>
      <c r="D467">
        <f t="shared" si="7"/>
        <v>27453.123749999999</v>
      </c>
    </row>
    <row r="468" spans="1:4" x14ac:dyDescent="0.35">
      <c r="A468" t="s">
        <v>498</v>
      </c>
      <c r="B468">
        <v>8.5</v>
      </c>
      <c r="C468">
        <f>Earnings!C468/160</f>
        <v>3842.4201249999996</v>
      </c>
      <c r="D468">
        <f t="shared" si="7"/>
        <v>65321.142124999991</v>
      </c>
    </row>
    <row r="469" spans="1:4" x14ac:dyDescent="0.35">
      <c r="A469" t="s">
        <v>499</v>
      </c>
      <c r="B469">
        <v>0</v>
      </c>
      <c r="C469">
        <f>Earnings!C469/160</f>
        <v>4696.1437500000002</v>
      </c>
      <c r="D469">
        <f t="shared" si="7"/>
        <v>0</v>
      </c>
    </row>
    <row r="470" spans="1:4" x14ac:dyDescent="0.35">
      <c r="A470" t="s">
        <v>500</v>
      </c>
      <c r="B470">
        <v>0</v>
      </c>
      <c r="C470">
        <f>Earnings!C470/160</f>
        <v>2319.526625</v>
      </c>
      <c r="D470">
        <f t="shared" si="7"/>
        <v>0</v>
      </c>
    </row>
    <row r="471" spans="1:4" x14ac:dyDescent="0.35">
      <c r="A471" t="s">
        <v>501</v>
      </c>
      <c r="B471">
        <v>28.9</v>
      </c>
      <c r="C471">
        <f>Earnings!C471/160</f>
        <v>3214.374875</v>
      </c>
      <c r="D471">
        <f t="shared" si="7"/>
        <v>185790.86777499999</v>
      </c>
    </row>
    <row r="472" spans="1:4" x14ac:dyDescent="0.35">
      <c r="A472" t="s">
        <v>502</v>
      </c>
      <c r="B472">
        <v>0</v>
      </c>
      <c r="C472">
        <f>Earnings!C472/160</f>
        <v>970.7432500000001</v>
      </c>
      <c r="D472">
        <f t="shared" si="7"/>
        <v>0</v>
      </c>
    </row>
    <row r="473" spans="1:4" x14ac:dyDescent="0.35">
      <c r="A473" t="s">
        <v>503</v>
      </c>
      <c r="B473">
        <v>0</v>
      </c>
      <c r="C473">
        <f>Earnings!C473/160</f>
        <v>3023.5902500000002</v>
      </c>
      <c r="D473">
        <f t="shared" si="7"/>
        <v>0</v>
      </c>
    </row>
    <row r="474" spans="1:4" x14ac:dyDescent="0.35">
      <c r="A474" t="s">
        <v>504</v>
      </c>
      <c r="B474">
        <v>10</v>
      </c>
      <c r="C474">
        <f>Earnings!C474/160</f>
        <v>3235.4375</v>
      </c>
      <c r="D474">
        <f t="shared" si="7"/>
        <v>64708.75</v>
      </c>
    </row>
    <row r="475" spans="1:4" x14ac:dyDescent="0.35">
      <c r="A475" t="s">
        <v>505</v>
      </c>
      <c r="B475">
        <v>19</v>
      </c>
      <c r="C475">
        <f>Earnings!C475/160</f>
        <v>2259.04</v>
      </c>
      <c r="D475">
        <f t="shared" si="7"/>
        <v>85843.520000000004</v>
      </c>
    </row>
    <row r="476" spans="1:4" x14ac:dyDescent="0.35">
      <c r="A476" t="s">
        <v>506</v>
      </c>
      <c r="B476">
        <v>8.4</v>
      </c>
      <c r="C476">
        <f>Earnings!C476/160</f>
        <v>4131.0298750000002</v>
      </c>
      <c r="D476">
        <f t="shared" si="7"/>
        <v>69401.301900000006</v>
      </c>
    </row>
    <row r="477" spans="1:4" x14ac:dyDescent="0.35">
      <c r="A477" t="s">
        <v>507</v>
      </c>
      <c r="B477">
        <v>0</v>
      </c>
      <c r="C477">
        <f>Earnings!C477/160</f>
        <v>3332.154</v>
      </c>
      <c r="D477">
        <f t="shared" si="7"/>
        <v>0</v>
      </c>
    </row>
    <row r="478" spans="1:4" x14ac:dyDescent="0.35">
      <c r="A478" t="s">
        <v>508</v>
      </c>
      <c r="B478">
        <v>0</v>
      </c>
      <c r="C478">
        <f>Earnings!C478/160</f>
        <v>2008.0871875</v>
      </c>
      <c r="D478">
        <f t="shared" si="7"/>
        <v>0</v>
      </c>
    </row>
    <row r="479" spans="1:4" x14ac:dyDescent="0.35">
      <c r="A479" t="s">
        <v>509</v>
      </c>
      <c r="B479">
        <v>0</v>
      </c>
      <c r="C479">
        <f>Earnings!C479/160</f>
        <v>4231.2273125000002</v>
      </c>
      <c r="D479">
        <f t="shared" si="7"/>
        <v>0</v>
      </c>
    </row>
    <row r="480" spans="1:4" x14ac:dyDescent="0.35">
      <c r="A480" t="s">
        <v>510</v>
      </c>
      <c r="B480">
        <v>0</v>
      </c>
      <c r="C480">
        <f>Earnings!C480/160</f>
        <v>3492.7403124999996</v>
      </c>
      <c r="D480">
        <f t="shared" si="7"/>
        <v>0</v>
      </c>
    </row>
    <row r="481" spans="1:4" x14ac:dyDescent="0.35">
      <c r="A481" t="s">
        <v>511</v>
      </c>
      <c r="B481">
        <v>44.2</v>
      </c>
      <c r="C481">
        <f>Earnings!C481/160</f>
        <v>4023.2370000000001</v>
      </c>
      <c r="D481">
        <f t="shared" si="7"/>
        <v>355654.1508</v>
      </c>
    </row>
    <row r="482" spans="1:4" x14ac:dyDescent="0.35">
      <c r="A482" t="s">
        <v>512</v>
      </c>
      <c r="B482">
        <v>0</v>
      </c>
      <c r="C482">
        <f>Earnings!C482/160</f>
        <v>1614.1031875000001</v>
      </c>
      <c r="D482">
        <f t="shared" si="7"/>
        <v>0</v>
      </c>
    </row>
    <row r="483" spans="1:4" x14ac:dyDescent="0.35">
      <c r="A483" t="s">
        <v>513</v>
      </c>
      <c r="B483">
        <v>9.6</v>
      </c>
      <c r="C483">
        <f>Earnings!C483/160</f>
        <v>3761.5860000000002</v>
      </c>
      <c r="D483">
        <f t="shared" si="7"/>
        <v>72222.451199999996</v>
      </c>
    </row>
    <row r="484" spans="1:4" x14ac:dyDescent="0.35">
      <c r="A484" t="s">
        <v>514</v>
      </c>
      <c r="B484">
        <v>0</v>
      </c>
      <c r="C484">
        <f>Earnings!C484/160</f>
        <v>3552.9923750000003</v>
      </c>
      <c r="D484">
        <f t="shared" si="7"/>
        <v>0</v>
      </c>
    </row>
    <row r="485" spans="1:4" x14ac:dyDescent="0.35">
      <c r="A485" t="s">
        <v>515</v>
      </c>
      <c r="B485">
        <v>21.6</v>
      </c>
      <c r="C485">
        <f>Earnings!C485/160</f>
        <v>1598.3711875000001</v>
      </c>
      <c r="D485">
        <f t="shared" si="7"/>
        <v>69049.635300000009</v>
      </c>
    </row>
    <row r="486" spans="1:4" x14ac:dyDescent="0.35">
      <c r="A486" t="s">
        <v>516</v>
      </c>
      <c r="B486">
        <v>20.399999999999999</v>
      </c>
      <c r="C486">
        <f>Earnings!C486/160</f>
        <v>4646.0830000000005</v>
      </c>
      <c r="D486">
        <f t="shared" si="7"/>
        <v>189560.18640000001</v>
      </c>
    </row>
    <row r="487" spans="1:4" x14ac:dyDescent="0.35">
      <c r="A487" t="s">
        <v>517</v>
      </c>
      <c r="B487">
        <v>42</v>
      </c>
      <c r="C487">
        <f>Earnings!C487/160</f>
        <v>4937.0896874999999</v>
      </c>
      <c r="D487">
        <f t="shared" si="7"/>
        <v>414715.53375</v>
      </c>
    </row>
    <row r="488" spans="1:4" x14ac:dyDescent="0.35">
      <c r="A488" t="s">
        <v>518</v>
      </c>
      <c r="B488">
        <v>33.6</v>
      </c>
      <c r="C488">
        <f>Earnings!C488/160</f>
        <v>1222.732</v>
      </c>
      <c r="D488">
        <f t="shared" si="7"/>
        <v>82167.590400000001</v>
      </c>
    </row>
    <row r="489" spans="1:4" x14ac:dyDescent="0.35">
      <c r="A489" t="s">
        <v>519</v>
      </c>
      <c r="B489">
        <v>47.6</v>
      </c>
      <c r="C489">
        <f>Earnings!C489/160</f>
        <v>3439.9176874999998</v>
      </c>
      <c r="D489">
        <f t="shared" si="7"/>
        <v>327480.16385000001</v>
      </c>
    </row>
    <row r="490" spans="1:4" x14ac:dyDescent="0.35">
      <c r="A490" t="s">
        <v>520</v>
      </c>
      <c r="B490">
        <v>10.199999999999999</v>
      </c>
      <c r="C490">
        <f>Earnings!C490/160</f>
        <v>2445.3078125000002</v>
      </c>
      <c r="D490">
        <f t="shared" si="7"/>
        <v>49884.279374999998</v>
      </c>
    </row>
    <row r="491" spans="1:4" x14ac:dyDescent="0.35">
      <c r="A491" t="s">
        <v>521</v>
      </c>
      <c r="B491">
        <v>0</v>
      </c>
      <c r="C491">
        <f>Earnings!C491/160</f>
        <v>3050.5439999999999</v>
      </c>
      <c r="D491">
        <f t="shared" si="7"/>
        <v>0</v>
      </c>
    </row>
    <row r="492" spans="1:4" x14ac:dyDescent="0.35">
      <c r="A492" t="s">
        <v>522</v>
      </c>
      <c r="B492">
        <v>23.8</v>
      </c>
      <c r="C492">
        <f>Earnings!C492/160</f>
        <v>4562.6535624999997</v>
      </c>
      <c r="D492">
        <f t="shared" si="7"/>
        <v>217182.30957499999</v>
      </c>
    </row>
    <row r="493" spans="1:4" x14ac:dyDescent="0.35">
      <c r="A493" t="s">
        <v>523</v>
      </c>
      <c r="B493">
        <v>12</v>
      </c>
      <c r="C493">
        <f>Earnings!C493/160</f>
        <v>2217.7725</v>
      </c>
      <c r="D493">
        <f t="shared" si="7"/>
        <v>53226.54</v>
      </c>
    </row>
    <row r="494" spans="1:4" x14ac:dyDescent="0.35">
      <c r="A494" t="s">
        <v>524</v>
      </c>
      <c r="B494">
        <v>28.8</v>
      </c>
      <c r="C494">
        <f>Earnings!C494/160</f>
        <v>3061.2904374999998</v>
      </c>
      <c r="D494">
        <f t="shared" si="7"/>
        <v>176330.32920000001</v>
      </c>
    </row>
    <row r="495" spans="1:4" x14ac:dyDescent="0.35">
      <c r="A495" t="s">
        <v>525</v>
      </c>
      <c r="B495">
        <v>0</v>
      </c>
      <c r="C495">
        <f>Earnings!C495/160</f>
        <v>2603.4054999999998</v>
      </c>
      <c r="D495">
        <f t="shared" si="7"/>
        <v>0</v>
      </c>
    </row>
    <row r="496" spans="1:4" x14ac:dyDescent="0.35">
      <c r="A496" t="s">
        <v>526</v>
      </c>
      <c r="B496">
        <v>0</v>
      </c>
      <c r="C496">
        <f>Earnings!C496/160</f>
        <v>2527.8678124999997</v>
      </c>
      <c r="D496">
        <f t="shared" si="7"/>
        <v>0</v>
      </c>
    </row>
    <row r="497" spans="1:4" x14ac:dyDescent="0.35">
      <c r="A497" t="s">
        <v>527</v>
      </c>
      <c r="B497">
        <v>0</v>
      </c>
      <c r="C497">
        <f>Earnings!C497/160</f>
        <v>3717.4554374999998</v>
      </c>
      <c r="D497">
        <f t="shared" si="7"/>
        <v>0</v>
      </c>
    </row>
    <row r="498" spans="1:4" x14ac:dyDescent="0.35">
      <c r="A498" t="s">
        <v>528</v>
      </c>
      <c r="B498">
        <v>29</v>
      </c>
      <c r="C498">
        <f>Earnings!C498/160</f>
        <v>2331.8625000000002</v>
      </c>
      <c r="D498">
        <f t="shared" si="7"/>
        <v>135248.02500000002</v>
      </c>
    </row>
    <row r="499" spans="1:4" x14ac:dyDescent="0.35">
      <c r="A499" t="s">
        <v>529</v>
      </c>
      <c r="B499">
        <v>0</v>
      </c>
      <c r="C499">
        <f>Earnings!C499/160</f>
        <v>3324.1886874999996</v>
      </c>
      <c r="D499">
        <f t="shared" si="7"/>
        <v>0</v>
      </c>
    </row>
    <row r="500" spans="1:4" x14ac:dyDescent="0.35">
      <c r="A500" t="s">
        <v>530</v>
      </c>
      <c r="B500">
        <v>11</v>
      </c>
      <c r="C500">
        <f>Earnings!C500/160</f>
        <v>2424.33</v>
      </c>
      <c r="D500">
        <f t="shared" si="7"/>
        <v>53335.259999999995</v>
      </c>
    </row>
    <row r="501" spans="1:4" x14ac:dyDescent="0.35">
      <c r="A501" t="s">
        <v>531</v>
      </c>
      <c r="B501">
        <v>0</v>
      </c>
      <c r="C501">
        <f>Earnings!C501/160</f>
        <v>3640.9029999999998</v>
      </c>
      <c r="D501">
        <f t="shared" si="7"/>
        <v>0</v>
      </c>
    </row>
    <row r="502" spans="1:4" x14ac:dyDescent="0.35">
      <c r="A502" t="s">
        <v>532</v>
      </c>
      <c r="B502">
        <v>11.2</v>
      </c>
      <c r="C502">
        <f>Earnings!C502/160</f>
        <v>2108.0134375000002</v>
      </c>
      <c r="D502">
        <f t="shared" si="7"/>
        <v>47219.501000000004</v>
      </c>
    </row>
    <row r="503" spans="1:4" x14ac:dyDescent="0.35">
      <c r="A503" t="s">
        <v>533</v>
      </c>
      <c r="B503">
        <v>25.2</v>
      </c>
      <c r="C503">
        <f>Earnings!C503/160</f>
        <v>1405.933</v>
      </c>
      <c r="D503">
        <f t="shared" si="7"/>
        <v>70859.023199999996</v>
      </c>
    </row>
    <row r="504" spans="1:4" x14ac:dyDescent="0.35">
      <c r="A504" t="s">
        <v>534</v>
      </c>
      <c r="B504">
        <v>12.6</v>
      </c>
      <c r="C504">
        <f>Earnings!C504/160</f>
        <v>1789.4169999999999</v>
      </c>
      <c r="D504">
        <f t="shared" si="7"/>
        <v>45093.308399999994</v>
      </c>
    </row>
    <row r="505" spans="1:4" x14ac:dyDescent="0.35">
      <c r="A505" t="s">
        <v>535</v>
      </c>
      <c r="B505">
        <v>0</v>
      </c>
      <c r="C505">
        <f>Earnings!C505/160</f>
        <v>3596.2658750000001</v>
      </c>
      <c r="D505">
        <f t="shared" si="7"/>
        <v>0</v>
      </c>
    </row>
    <row r="506" spans="1:4" x14ac:dyDescent="0.35">
      <c r="A506" t="s">
        <v>536</v>
      </c>
      <c r="B506">
        <v>49.3</v>
      </c>
      <c r="C506">
        <f>Earnings!C506/160</f>
        <v>4076.2472500000003</v>
      </c>
      <c r="D506">
        <f t="shared" si="7"/>
        <v>401917.97885000001</v>
      </c>
    </row>
    <row r="507" spans="1:4" x14ac:dyDescent="0.35">
      <c r="A507" t="s">
        <v>537</v>
      </c>
      <c r="B507">
        <v>0</v>
      </c>
      <c r="C507">
        <f>Earnings!C507/160</f>
        <v>2484.6442500000003</v>
      </c>
      <c r="D507">
        <f t="shared" si="7"/>
        <v>0</v>
      </c>
    </row>
    <row r="508" spans="1:4" x14ac:dyDescent="0.35">
      <c r="A508" t="s">
        <v>538</v>
      </c>
      <c r="B508">
        <v>13.6</v>
      </c>
      <c r="C508">
        <f>Earnings!C508/160</f>
        <v>3679.4544999999998</v>
      </c>
      <c r="D508">
        <f t="shared" si="7"/>
        <v>100081.16239999999</v>
      </c>
    </row>
    <row r="509" spans="1:4" x14ac:dyDescent="0.35">
      <c r="A509" t="s">
        <v>539</v>
      </c>
      <c r="B509">
        <v>21</v>
      </c>
      <c r="C509">
        <f>Earnings!C509/160</f>
        <v>2577.7086250000002</v>
      </c>
      <c r="D509">
        <f t="shared" si="7"/>
        <v>108263.76225000001</v>
      </c>
    </row>
    <row r="510" spans="1:4" x14ac:dyDescent="0.35">
      <c r="A510" t="s">
        <v>540</v>
      </c>
      <c r="B510">
        <v>0</v>
      </c>
      <c r="C510">
        <f>Earnings!C510/160</f>
        <v>1723.9470000000001</v>
      </c>
      <c r="D510">
        <f t="shared" si="7"/>
        <v>0</v>
      </c>
    </row>
    <row r="511" spans="1:4" x14ac:dyDescent="0.35">
      <c r="A511" t="s">
        <v>541</v>
      </c>
      <c r="B511">
        <v>15</v>
      </c>
      <c r="C511">
        <f>Earnings!C511/160</f>
        <v>1317.145</v>
      </c>
      <c r="D511">
        <f t="shared" si="7"/>
        <v>39514.35</v>
      </c>
    </row>
    <row r="512" spans="1:4" x14ac:dyDescent="0.35">
      <c r="A512" t="s">
        <v>542</v>
      </c>
      <c r="B512">
        <v>0</v>
      </c>
      <c r="C512">
        <f>Earnings!C512/160</f>
        <v>3272.2928124999999</v>
      </c>
      <c r="D512">
        <f t="shared" si="7"/>
        <v>0</v>
      </c>
    </row>
    <row r="513" spans="1:4" x14ac:dyDescent="0.35">
      <c r="A513" t="s">
        <v>543</v>
      </c>
      <c r="B513">
        <v>27.2</v>
      </c>
      <c r="C513">
        <f>Earnings!C513/160</f>
        <v>2468.6677500000001</v>
      </c>
      <c r="D513">
        <f t="shared" si="7"/>
        <v>134295.52559999999</v>
      </c>
    </row>
    <row r="514" spans="1:4" x14ac:dyDescent="0.35">
      <c r="A514" t="s">
        <v>544</v>
      </c>
      <c r="B514">
        <v>0</v>
      </c>
      <c r="C514">
        <f>Earnings!C514/160</f>
        <v>3915.6886250000002</v>
      </c>
      <c r="D514">
        <f t="shared" ref="D514:D577" si="8">B514*C514*2</f>
        <v>0</v>
      </c>
    </row>
    <row r="515" spans="1:4" x14ac:dyDescent="0.35">
      <c r="A515" t="s">
        <v>545</v>
      </c>
      <c r="B515">
        <v>51</v>
      </c>
      <c r="C515">
        <f>Earnings!C515/160</f>
        <v>3447.7584999999999</v>
      </c>
      <c r="D515">
        <f t="shared" si="8"/>
        <v>351671.36699999997</v>
      </c>
    </row>
    <row r="516" spans="1:4" x14ac:dyDescent="0.35">
      <c r="A516" t="s">
        <v>546</v>
      </c>
      <c r="B516">
        <v>7</v>
      </c>
      <c r="C516">
        <f>Earnings!C516/160</f>
        <v>2569.2624999999998</v>
      </c>
      <c r="D516">
        <f t="shared" si="8"/>
        <v>35969.674999999996</v>
      </c>
    </row>
    <row r="517" spans="1:4" x14ac:dyDescent="0.35">
      <c r="A517" t="s">
        <v>547</v>
      </c>
      <c r="B517">
        <v>0</v>
      </c>
      <c r="C517">
        <f>Earnings!C517/160</f>
        <v>3070.3748124999997</v>
      </c>
      <c r="D517">
        <f t="shared" si="8"/>
        <v>0</v>
      </c>
    </row>
    <row r="518" spans="1:4" x14ac:dyDescent="0.35">
      <c r="A518" t="s">
        <v>548</v>
      </c>
      <c r="B518">
        <v>0</v>
      </c>
      <c r="C518">
        <f>Earnings!C518/160</f>
        <v>6167.549</v>
      </c>
      <c r="D518">
        <f t="shared" si="8"/>
        <v>0</v>
      </c>
    </row>
    <row r="519" spans="1:4" x14ac:dyDescent="0.35">
      <c r="A519" t="s">
        <v>549</v>
      </c>
      <c r="B519">
        <v>0</v>
      </c>
      <c r="C519">
        <f>Earnings!C519/160</f>
        <v>5263.8587500000003</v>
      </c>
      <c r="D519">
        <f t="shared" si="8"/>
        <v>0</v>
      </c>
    </row>
    <row r="520" spans="1:4" x14ac:dyDescent="0.35">
      <c r="A520" t="s">
        <v>550</v>
      </c>
      <c r="B520">
        <v>0</v>
      </c>
      <c r="C520">
        <f>Earnings!C520/160</f>
        <v>2063.1814999999997</v>
      </c>
      <c r="D520">
        <f t="shared" si="8"/>
        <v>0</v>
      </c>
    </row>
    <row r="521" spans="1:4" x14ac:dyDescent="0.35">
      <c r="A521" t="s">
        <v>551</v>
      </c>
      <c r="B521">
        <v>0</v>
      </c>
      <c r="C521">
        <f>Earnings!C521/160</f>
        <v>3253.2949374999998</v>
      </c>
      <c r="D521">
        <f t="shared" si="8"/>
        <v>0</v>
      </c>
    </row>
    <row r="522" spans="1:4" x14ac:dyDescent="0.35">
      <c r="A522" t="s">
        <v>552</v>
      </c>
      <c r="B522">
        <v>17</v>
      </c>
      <c r="C522">
        <f>Earnings!C522/160</f>
        <v>2216.100625</v>
      </c>
      <c r="D522">
        <f t="shared" si="8"/>
        <v>75347.421249999999</v>
      </c>
    </row>
    <row r="523" spans="1:4" x14ac:dyDescent="0.35">
      <c r="A523" t="s">
        <v>553</v>
      </c>
      <c r="B523">
        <v>0</v>
      </c>
      <c r="C523">
        <f>Earnings!C523/160</f>
        <v>1560.7225000000001</v>
      </c>
      <c r="D523">
        <f t="shared" si="8"/>
        <v>0</v>
      </c>
    </row>
    <row r="524" spans="1:4" x14ac:dyDescent="0.35">
      <c r="A524" t="s">
        <v>554</v>
      </c>
      <c r="B524">
        <v>0</v>
      </c>
      <c r="C524">
        <f>Earnings!C524/160</f>
        <v>2912.0970000000002</v>
      </c>
      <c r="D524">
        <f t="shared" si="8"/>
        <v>0</v>
      </c>
    </row>
    <row r="525" spans="1:4" x14ac:dyDescent="0.35">
      <c r="A525" t="s">
        <v>555</v>
      </c>
      <c r="B525">
        <v>0</v>
      </c>
      <c r="C525">
        <f>Earnings!C525/160</f>
        <v>2905.4275000000002</v>
      </c>
      <c r="D525">
        <f t="shared" si="8"/>
        <v>0</v>
      </c>
    </row>
    <row r="526" spans="1:4" x14ac:dyDescent="0.35">
      <c r="A526" t="s">
        <v>556</v>
      </c>
      <c r="B526">
        <v>0</v>
      </c>
      <c r="C526">
        <f>Earnings!C526/160</f>
        <v>3208.2217499999997</v>
      </c>
      <c r="D526">
        <f t="shared" si="8"/>
        <v>0</v>
      </c>
    </row>
    <row r="527" spans="1:4" x14ac:dyDescent="0.35">
      <c r="A527" t="s">
        <v>557</v>
      </c>
      <c r="B527">
        <v>0</v>
      </c>
      <c r="C527">
        <f>Earnings!C527/160</f>
        <v>911.89312499999994</v>
      </c>
      <c r="D527">
        <f t="shared" si="8"/>
        <v>0</v>
      </c>
    </row>
    <row r="528" spans="1:4" x14ac:dyDescent="0.35">
      <c r="A528" t="s">
        <v>558</v>
      </c>
      <c r="B528">
        <v>0</v>
      </c>
      <c r="C528">
        <f>Earnings!C528/160</f>
        <v>1615.4132500000001</v>
      </c>
      <c r="D528">
        <f t="shared" si="8"/>
        <v>0</v>
      </c>
    </row>
    <row r="529" spans="1:4" x14ac:dyDescent="0.35">
      <c r="A529" t="s">
        <v>559</v>
      </c>
      <c r="B529">
        <v>5</v>
      </c>
      <c r="C529">
        <f>Earnings!C529/160</f>
        <v>2926.9974999999999</v>
      </c>
      <c r="D529">
        <f t="shared" si="8"/>
        <v>29269.974999999999</v>
      </c>
    </row>
    <row r="530" spans="1:4" x14ac:dyDescent="0.35">
      <c r="A530" t="s">
        <v>560</v>
      </c>
      <c r="B530">
        <v>22.8</v>
      </c>
      <c r="C530">
        <f>Earnings!C530/160</f>
        <v>1994.0009999999997</v>
      </c>
      <c r="D530">
        <f t="shared" si="8"/>
        <v>90926.445599999992</v>
      </c>
    </row>
    <row r="531" spans="1:4" x14ac:dyDescent="0.35">
      <c r="A531" t="s">
        <v>561</v>
      </c>
      <c r="B531">
        <v>0</v>
      </c>
      <c r="C531">
        <f>Earnings!C531/160</f>
        <v>3648.3615</v>
      </c>
      <c r="D531">
        <f t="shared" si="8"/>
        <v>0</v>
      </c>
    </row>
    <row r="532" spans="1:4" x14ac:dyDescent="0.35">
      <c r="A532" t="s">
        <v>562</v>
      </c>
      <c r="B532">
        <v>15</v>
      </c>
      <c r="C532">
        <f>Earnings!C532/160</f>
        <v>2073.781125</v>
      </c>
      <c r="D532">
        <f t="shared" si="8"/>
        <v>62213.433749999997</v>
      </c>
    </row>
    <row r="533" spans="1:4" x14ac:dyDescent="0.35">
      <c r="A533" t="s">
        <v>563</v>
      </c>
      <c r="B533">
        <v>28</v>
      </c>
      <c r="C533">
        <f>Earnings!C533/160</f>
        <v>1693.9025000000001</v>
      </c>
      <c r="D533">
        <f t="shared" si="8"/>
        <v>94858.540000000008</v>
      </c>
    </row>
    <row r="534" spans="1:4" x14ac:dyDescent="0.35">
      <c r="A534" t="s">
        <v>564</v>
      </c>
      <c r="B534">
        <v>25</v>
      </c>
      <c r="C534">
        <f>Earnings!C534/160</f>
        <v>2089.6025</v>
      </c>
      <c r="D534">
        <f t="shared" si="8"/>
        <v>104480.125</v>
      </c>
    </row>
    <row r="535" spans="1:4" x14ac:dyDescent="0.35">
      <c r="A535" t="s">
        <v>565</v>
      </c>
      <c r="B535">
        <v>0</v>
      </c>
      <c r="C535">
        <f>Earnings!C535/160</f>
        <v>3466.1362500000005</v>
      </c>
      <c r="D535">
        <f t="shared" si="8"/>
        <v>0</v>
      </c>
    </row>
    <row r="536" spans="1:4" x14ac:dyDescent="0.35">
      <c r="A536" t="s">
        <v>566</v>
      </c>
      <c r="B536">
        <v>36</v>
      </c>
      <c r="C536">
        <f>Earnings!C536/160</f>
        <v>2275.542625</v>
      </c>
      <c r="D536">
        <f t="shared" si="8"/>
        <v>163839.06900000002</v>
      </c>
    </row>
    <row r="537" spans="1:4" x14ac:dyDescent="0.35">
      <c r="A537" t="s">
        <v>567</v>
      </c>
      <c r="B537">
        <v>47.6</v>
      </c>
      <c r="C537">
        <f>Earnings!C537/160</f>
        <v>3552.8627500000002</v>
      </c>
      <c r="D537">
        <f t="shared" si="8"/>
        <v>338232.53380000003</v>
      </c>
    </row>
    <row r="538" spans="1:4" x14ac:dyDescent="0.35">
      <c r="A538" t="s">
        <v>568</v>
      </c>
      <c r="B538">
        <v>18</v>
      </c>
      <c r="C538">
        <f>Earnings!C538/160</f>
        <v>3281.6160000000004</v>
      </c>
      <c r="D538">
        <f t="shared" si="8"/>
        <v>118138.17600000002</v>
      </c>
    </row>
    <row r="539" spans="1:4" x14ac:dyDescent="0.35">
      <c r="A539" t="s">
        <v>569</v>
      </c>
      <c r="B539">
        <v>0</v>
      </c>
      <c r="C539">
        <f>Earnings!C539/160</f>
        <v>4743.0595000000003</v>
      </c>
      <c r="D539">
        <f t="shared" si="8"/>
        <v>0</v>
      </c>
    </row>
    <row r="540" spans="1:4" x14ac:dyDescent="0.35">
      <c r="A540" t="s">
        <v>570</v>
      </c>
      <c r="B540">
        <v>14</v>
      </c>
      <c r="C540">
        <f>Earnings!C540/160</f>
        <v>4440.1684374999995</v>
      </c>
      <c r="D540">
        <f t="shared" si="8"/>
        <v>124324.71624999998</v>
      </c>
    </row>
    <row r="541" spans="1:4" x14ac:dyDescent="0.35">
      <c r="A541" t="s">
        <v>571</v>
      </c>
      <c r="B541">
        <v>34.799999999999997</v>
      </c>
      <c r="C541">
        <f>Earnings!C541/160</f>
        <v>2373.55125</v>
      </c>
      <c r="D541">
        <f t="shared" si="8"/>
        <v>165199.16699999999</v>
      </c>
    </row>
    <row r="542" spans="1:4" x14ac:dyDescent="0.35">
      <c r="A542" t="s">
        <v>572</v>
      </c>
      <c r="B542">
        <v>0</v>
      </c>
      <c r="C542">
        <f>Earnings!C542/160</f>
        <v>1865.7852500000001</v>
      </c>
      <c r="D542">
        <f t="shared" si="8"/>
        <v>0</v>
      </c>
    </row>
    <row r="543" spans="1:4" x14ac:dyDescent="0.35">
      <c r="A543" t="s">
        <v>573</v>
      </c>
      <c r="B543">
        <v>13</v>
      </c>
      <c r="C543">
        <f>Earnings!C543/160</f>
        <v>3488.0294999999996</v>
      </c>
      <c r="D543">
        <f t="shared" si="8"/>
        <v>90688.766999999993</v>
      </c>
    </row>
    <row r="544" spans="1:4" x14ac:dyDescent="0.35">
      <c r="A544" t="s">
        <v>574</v>
      </c>
      <c r="B544">
        <v>0</v>
      </c>
      <c r="C544">
        <f>Earnings!C544/160</f>
        <v>3454.0085625000002</v>
      </c>
      <c r="D544">
        <f t="shared" si="8"/>
        <v>0</v>
      </c>
    </row>
    <row r="545" spans="1:4" x14ac:dyDescent="0.35">
      <c r="A545" t="s">
        <v>575</v>
      </c>
      <c r="B545">
        <v>0</v>
      </c>
      <c r="C545">
        <f>Earnings!C545/160</f>
        <v>4108.3419999999996</v>
      </c>
      <c r="D545">
        <f t="shared" si="8"/>
        <v>0</v>
      </c>
    </row>
    <row r="546" spans="1:4" x14ac:dyDescent="0.35">
      <c r="A546" t="s">
        <v>576</v>
      </c>
      <c r="B546">
        <v>11.2</v>
      </c>
      <c r="C546">
        <f>Earnings!C546/160</f>
        <v>2909.2174999999997</v>
      </c>
      <c r="D546">
        <f t="shared" si="8"/>
        <v>65166.471999999987</v>
      </c>
    </row>
    <row r="547" spans="1:4" x14ac:dyDescent="0.35">
      <c r="A547" t="s">
        <v>577</v>
      </c>
      <c r="B547">
        <v>0</v>
      </c>
      <c r="C547">
        <f>Earnings!C547/160</f>
        <v>3097.1025</v>
      </c>
      <c r="D547">
        <f t="shared" si="8"/>
        <v>0</v>
      </c>
    </row>
    <row r="548" spans="1:4" x14ac:dyDescent="0.35">
      <c r="A548" t="s">
        <v>578</v>
      </c>
      <c r="B548">
        <v>15</v>
      </c>
      <c r="C548">
        <f>Earnings!C548/160</f>
        <v>2857.165</v>
      </c>
      <c r="D548">
        <f t="shared" si="8"/>
        <v>85714.95</v>
      </c>
    </row>
    <row r="549" spans="1:4" x14ac:dyDescent="0.35">
      <c r="A549" t="s">
        <v>579</v>
      </c>
      <c r="B549">
        <v>22.1</v>
      </c>
      <c r="C549">
        <f>Earnings!C549/160</f>
        <v>3780.0817499999998</v>
      </c>
      <c r="D549">
        <f t="shared" si="8"/>
        <v>167079.61335</v>
      </c>
    </row>
    <row r="550" spans="1:4" x14ac:dyDescent="0.35">
      <c r="A550" t="s">
        <v>580</v>
      </c>
      <c r="B550">
        <v>0</v>
      </c>
      <c r="C550">
        <f>Earnings!C550/160</f>
        <v>2292.4335000000001</v>
      </c>
      <c r="D550">
        <f t="shared" si="8"/>
        <v>0</v>
      </c>
    </row>
    <row r="551" spans="1:4" x14ac:dyDescent="0.35">
      <c r="A551" t="s">
        <v>581</v>
      </c>
      <c r="B551">
        <v>0</v>
      </c>
      <c r="C551">
        <f>Earnings!C551/160</f>
        <v>3680.4660000000003</v>
      </c>
      <c r="D551">
        <f t="shared" si="8"/>
        <v>0</v>
      </c>
    </row>
    <row r="552" spans="1:4" x14ac:dyDescent="0.35">
      <c r="A552" t="s">
        <v>582</v>
      </c>
      <c r="B552">
        <v>0</v>
      </c>
      <c r="C552">
        <f>Earnings!C552/160</f>
        <v>2832.0986874999999</v>
      </c>
      <c r="D552">
        <f t="shared" si="8"/>
        <v>0</v>
      </c>
    </row>
    <row r="553" spans="1:4" x14ac:dyDescent="0.35">
      <c r="A553" t="s">
        <v>583</v>
      </c>
      <c r="B553">
        <v>0</v>
      </c>
      <c r="C553">
        <f>Earnings!C553/160</f>
        <v>2122.2650000000003</v>
      </c>
      <c r="D553">
        <f t="shared" si="8"/>
        <v>0</v>
      </c>
    </row>
    <row r="554" spans="1:4" x14ac:dyDescent="0.35">
      <c r="A554" t="s">
        <v>584</v>
      </c>
      <c r="B554">
        <v>12</v>
      </c>
      <c r="C554">
        <f>Earnings!C554/160</f>
        <v>1655.2740000000001</v>
      </c>
      <c r="D554">
        <f t="shared" si="8"/>
        <v>39726.576000000001</v>
      </c>
    </row>
    <row r="555" spans="1:4" x14ac:dyDescent="0.35">
      <c r="A555" t="s">
        <v>585</v>
      </c>
      <c r="B555">
        <v>0</v>
      </c>
      <c r="C555">
        <f>Earnings!C555/160</f>
        <v>2817.9541249999997</v>
      </c>
      <c r="D555">
        <f t="shared" si="8"/>
        <v>0</v>
      </c>
    </row>
    <row r="556" spans="1:4" x14ac:dyDescent="0.35">
      <c r="A556" t="s">
        <v>586</v>
      </c>
      <c r="B556">
        <v>26</v>
      </c>
      <c r="C556">
        <f>Earnings!C556/160</f>
        <v>2566.415</v>
      </c>
      <c r="D556">
        <f t="shared" si="8"/>
        <v>133453.57999999999</v>
      </c>
    </row>
    <row r="557" spans="1:4" x14ac:dyDescent="0.35">
      <c r="A557" t="s">
        <v>587</v>
      </c>
      <c r="B557">
        <v>0</v>
      </c>
      <c r="C557">
        <f>Earnings!C557/160</f>
        <v>1791.6075000000001</v>
      </c>
      <c r="D557">
        <f t="shared" si="8"/>
        <v>0</v>
      </c>
    </row>
    <row r="558" spans="1:4" x14ac:dyDescent="0.35">
      <c r="A558" t="s">
        <v>588</v>
      </c>
      <c r="B558">
        <v>0</v>
      </c>
      <c r="C558">
        <f>Earnings!C558/160</f>
        <v>2706.66</v>
      </c>
      <c r="D558">
        <f t="shared" si="8"/>
        <v>0</v>
      </c>
    </row>
    <row r="559" spans="1:4" x14ac:dyDescent="0.35">
      <c r="A559" t="s">
        <v>589</v>
      </c>
      <c r="B559">
        <v>0</v>
      </c>
      <c r="C559">
        <f>Earnings!C559/160</f>
        <v>1818.0411250000002</v>
      </c>
      <c r="D559">
        <f t="shared" si="8"/>
        <v>0</v>
      </c>
    </row>
    <row r="560" spans="1:4" x14ac:dyDescent="0.35">
      <c r="A560" t="s">
        <v>590</v>
      </c>
      <c r="B560">
        <v>0</v>
      </c>
      <c r="C560">
        <f>Earnings!C560/160</f>
        <v>3151.9450000000002</v>
      </c>
      <c r="D560">
        <f t="shared" si="8"/>
        <v>0</v>
      </c>
    </row>
    <row r="561" spans="1:4" x14ac:dyDescent="0.35">
      <c r="A561" t="s">
        <v>591</v>
      </c>
      <c r="B561">
        <v>0</v>
      </c>
      <c r="C561">
        <f>Earnings!C561/160</f>
        <v>3905.9285000000004</v>
      </c>
      <c r="D561">
        <f t="shared" si="8"/>
        <v>0</v>
      </c>
    </row>
    <row r="562" spans="1:4" x14ac:dyDescent="0.35">
      <c r="A562" t="s">
        <v>592</v>
      </c>
      <c r="B562">
        <v>32.299999999999997</v>
      </c>
      <c r="C562">
        <f>Earnings!C562/160</f>
        <v>3958.3905</v>
      </c>
      <c r="D562">
        <f t="shared" si="8"/>
        <v>255712.02629999997</v>
      </c>
    </row>
    <row r="563" spans="1:4" x14ac:dyDescent="0.35">
      <c r="A563" t="s">
        <v>593</v>
      </c>
      <c r="B563">
        <v>0</v>
      </c>
      <c r="C563">
        <f>Earnings!C563/160</f>
        <v>3115.8608125000001</v>
      </c>
      <c r="D563">
        <f t="shared" si="8"/>
        <v>0</v>
      </c>
    </row>
    <row r="564" spans="1:4" x14ac:dyDescent="0.35">
      <c r="A564" t="s">
        <v>594</v>
      </c>
      <c r="B564">
        <v>0</v>
      </c>
      <c r="C564">
        <f>Earnings!C564/160</f>
        <v>1695.5205000000001</v>
      </c>
      <c r="D564">
        <f t="shared" si="8"/>
        <v>0</v>
      </c>
    </row>
    <row r="565" spans="1:4" x14ac:dyDescent="0.35">
      <c r="A565" t="s">
        <v>595</v>
      </c>
      <c r="B565">
        <v>0</v>
      </c>
      <c r="C565">
        <f>Earnings!C565/160</f>
        <v>2433.8900000000003</v>
      </c>
      <c r="D565">
        <f t="shared" si="8"/>
        <v>0</v>
      </c>
    </row>
    <row r="566" spans="1:4" x14ac:dyDescent="0.35">
      <c r="A566" t="s">
        <v>596</v>
      </c>
      <c r="B566">
        <v>9.6</v>
      </c>
      <c r="C566">
        <f>Earnings!C566/160</f>
        <v>2852.3826249999997</v>
      </c>
      <c r="D566">
        <f t="shared" si="8"/>
        <v>54765.746399999996</v>
      </c>
    </row>
    <row r="567" spans="1:4" x14ac:dyDescent="0.35">
      <c r="A567" t="s">
        <v>597</v>
      </c>
      <c r="B567">
        <v>0</v>
      </c>
      <c r="C567">
        <f>Earnings!C567/160</f>
        <v>3131.502</v>
      </c>
      <c r="D567">
        <f t="shared" si="8"/>
        <v>0</v>
      </c>
    </row>
    <row r="568" spans="1:4" x14ac:dyDescent="0.35">
      <c r="A568" t="s">
        <v>598</v>
      </c>
      <c r="B568">
        <v>30.8</v>
      </c>
      <c r="C568">
        <f>Earnings!C568/160</f>
        <v>2763.4389999999999</v>
      </c>
      <c r="D568">
        <f t="shared" si="8"/>
        <v>170227.84239999999</v>
      </c>
    </row>
    <row r="569" spans="1:4" x14ac:dyDescent="0.35">
      <c r="A569" t="s">
        <v>599</v>
      </c>
      <c r="B569">
        <v>16.8</v>
      </c>
      <c r="C569">
        <f>Earnings!C569/160</f>
        <v>3650.7570000000001</v>
      </c>
      <c r="D569">
        <f t="shared" si="8"/>
        <v>122665.43520000001</v>
      </c>
    </row>
    <row r="570" spans="1:4" x14ac:dyDescent="0.35">
      <c r="A570" t="s">
        <v>600</v>
      </c>
      <c r="B570">
        <v>13.6</v>
      </c>
      <c r="C570">
        <f>Earnings!C570/160</f>
        <v>5448.2509375</v>
      </c>
      <c r="D570">
        <f t="shared" si="8"/>
        <v>148192.42549999998</v>
      </c>
    </row>
    <row r="571" spans="1:4" x14ac:dyDescent="0.35">
      <c r="A571" t="s">
        <v>601</v>
      </c>
      <c r="B571">
        <v>39.200000000000003</v>
      </c>
      <c r="C571">
        <f>Earnings!C571/160</f>
        <v>4714.7303124999999</v>
      </c>
      <c r="D571">
        <f t="shared" si="8"/>
        <v>369634.85649999999</v>
      </c>
    </row>
    <row r="572" spans="1:4" x14ac:dyDescent="0.35">
      <c r="A572" t="s">
        <v>602</v>
      </c>
      <c r="B572">
        <v>33.6</v>
      </c>
      <c r="C572">
        <f>Earnings!C572/160</f>
        <v>2012.6186874999999</v>
      </c>
      <c r="D572">
        <f t="shared" si="8"/>
        <v>135247.97579999999</v>
      </c>
    </row>
    <row r="573" spans="1:4" x14ac:dyDescent="0.35">
      <c r="A573" t="s">
        <v>603</v>
      </c>
      <c r="B573">
        <v>25.2</v>
      </c>
      <c r="C573">
        <f>Earnings!C573/160</f>
        <v>2248.6485000000002</v>
      </c>
      <c r="D573">
        <f t="shared" si="8"/>
        <v>113331.88440000001</v>
      </c>
    </row>
    <row r="574" spans="1:4" x14ac:dyDescent="0.35">
      <c r="A574" t="s">
        <v>604</v>
      </c>
      <c r="B574">
        <v>49.3</v>
      </c>
      <c r="C574">
        <f>Earnings!C574/160</f>
        <v>1914.34025</v>
      </c>
      <c r="D574">
        <f t="shared" si="8"/>
        <v>188753.94864999998</v>
      </c>
    </row>
    <row r="575" spans="1:4" x14ac:dyDescent="0.35">
      <c r="A575" t="s">
        <v>605</v>
      </c>
      <c r="B575">
        <v>29</v>
      </c>
      <c r="C575">
        <f>Earnings!C575/160</f>
        <v>2185.83</v>
      </c>
      <c r="D575">
        <f t="shared" si="8"/>
        <v>126778.14</v>
      </c>
    </row>
    <row r="576" spans="1:4" x14ac:dyDescent="0.35">
      <c r="A576" t="s">
        <v>606</v>
      </c>
      <c r="B576">
        <v>8.4</v>
      </c>
      <c r="C576">
        <f>Earnings!C576/160</f>
        <v>2908.7939999999999</v>
      </c>
      <c r="D576">
        <f t="shared" si="8"/>
        <v>48867.739199999996</v>
      </c>
    </row>
    <row r="577" spans="1:4" x14ac:dyDescent="0.35">
      <c r="A577" t="s">
        <v>607</v>
      </c>
      <c r="B577">
        <v>0</v>
      </c>
      <c r="C577">
        <f>Earnings!C577/160</f>
        <v>4472.0884375000005</v>
      </c>
      <c r="D577">
        <f t="shared" si="8"/>
        <v>0</v>
      </c>
    </row>
    <row r="578" spans="1:4" x14ac:dyDescent="0.35">
      <c r="A578" t="s">
        <v>608</v>
      </c>
      <c r="B578">
        <v>44.2</v>
      </c>
      <c r="C578">
        <f>Earnings!C578/160</f>
        <v>2180.3095000000003</v>
      </c>
      <c r="D578">
        <f t="shared" ref="D578:D641" si="9">B578*C578*2</f>
        <v>192739.35980000003</v>
      </c>
    </row>
    <row r="579" spans="1:4" x14ac:dyDescent="0.35">
      <c r="A579" t="s">
        <v>609</v>
      </c>
      <c r="B579">
        <v>25.2</v>
      </c>
      <c r="C579">
        <f>Earnings!C579/160</f>
        <v>2199.0086875000002</v>
      </c>
      <c r="D579">
        <f t="shared" si="9"/>
        <v>110830.03785000001</v>
      </c>
    </row>
    <row r="580" spans="1:4" x14ac:dyDescent="0.35">
      <c r="A580" t="s">
        <v>610</v>
      </c>
      <c r="B580">
        <v>0</v>
      </c>
      <c r="C580">
        <f>Earnings!C580/160</f>
        <v>1549.020125</v>
      </c>
      <c r="D580">
        <f t="shared" si="9"/>
        <v>0</v>
      </c>
    </row>
    <row r="581" spans="1:4" x14ac:dyDescent="0.35">
      <c r="A581" t="s">
        <v>611</v>
      </c>
      <c r="B581">
        <v>26</v>
      </c>
      <c r="C581">
        <f>Earnings!C581/160</f>
        <v>2342.5349999999999</v>
      </c>
      <c r="D581">
        <f t="shared" si="9"/>
        <v>121811.81999999999</v>
      </c>
    </row>
    <row r="582" spans="1:4" x14ac:dyDescent="0.35">
      <c r="A582" t="s">
        <v>612</v>
      </c>
      <c r="B582">
        <v>22.1</v>
      </c>
      <c r="C582">
        <f>Earnings!C582/160</f>
        <v>4956.9679374999996</v>
      </c>
      <c r="D582">
        <f t="shared" si="9"/>
        <v>219097.98283749999</v>
      </c>
    </row>
    <row r="583" spans="1:4" x14ac:dyDescent="0.35">
      <c r="A583" t="s">
        <v>613</v>
      </c>
      <c r="B583">
        <v>6</v>
      </c>
      <c r="C583">
        <f>Earnings!C583/160</f>
        <v>1948.2925</v>
      </c>
      <c r="D583">
        <f t="shared" si="9"/>
        <v>23379.510000000002</v>
      </c>
    </row>
    <row r="584" spans="1:4" x14ac:dyDescent="0.35">
      <c r="A584" t="s">
        <v>614</v>
      </c>
      <c r="B584">
        <v>0</v>
      </c>
      <c r="C584">
        <f>Earnings!C584/160</f>
        <v>3927.3187499999999</v>
      </c>
      <c r="D584">
        <f t="shared" si="9"/>
        <v>0</v>
      </c>
    </row>
    <row r="585" spans="1:4" x14ac:dyDescent="0.35">
      <c r="A585" t="s">
        <v>615</v>
      </c>
      <c r="B585">
        <v>0</v>
      </c>
      <c r="C585">
        <f>Earnings!C585/160</f>
        <v>2992.0340000000001</v>
      </c>
      <c r="D585">
        <f t="shared" si="9"/>
        <v>0</v>
      </c>
    </row>
    <row r="586" spans="1:4" x14ac:dyDescent="0.35">
      <c r="A586" t="s">
        <v>616</v>
      </c>
      <c r="B586">
        <v>0</v>
      </c>
      <c r="C586">
        <f>Earnings!C586/160</f>
        <v>2743.1950000000002</v>
      </c>
      <c r="D586">
        <f t="shared" si="9"/>
        <v>0</v>
      </c>
    </row>
    <row r="587" spans="1:4" x14ac:dyDescent="0.35">
      <c r="A587" t="s">
        <v>617</v>
      </c>
      <c r="B587">
        <v>0</v>
      </c>
      <c r="C587">
        <f>Earnings!C587/160</f>
        <v>3324.1459999999997</v>
      </c>
      <c r="D587">
        <f t="shared" si="9"/>
        <v>0</v>
      </c>
    </row>
    <row r="588" spans="1:4" x14ac:dyDescent="0.35">
      <c r="A588" t="s">
        <v>618</v>
      </c>
      <c r="B588">
        <v>5</v>
      </c>
      <c r="C588">
        <f>Earnings!C588/160</f>
        <v>1638.785625</v>
      </c>
      <c r="D588">
        <f t="shared" si="9"/>
        <v>16387.856250000001</v>
      </c>
    </row>
    <row r="589" spans="1:4" x14ac:dyDescent="0.35">
      <c r="A589" t="s">
        <v>619</v>
      </c>
      <c r="B589">
        <v>13</v>
      </c>
      <c r="C589">
        <f>Earnings!C589/160</f>
        <v>1237.95</v>
      </c>
      <c r="D589">
        <f t="shared" si="9"/>
        <v>32186.7</v>
      </c>
    </row>
    <row r="590" spans="1:4" x14ac:dyDescent="0.35">
      <c r="A590" t="s">
        <v>620</v>
      </c>
      <c r="B590">
        <v>18.7</v>
      </c>
      <c r="C590">
        <f>Earnings!C590/160</f>
        <v>4863.2858125000002</v>
      </c>
      <c r="D590">
        <f t="shared" si="9"/>
        <v>181886.88938750001</v>
      </c>
    </row>
    <row r="591" spans="1:4" x14ac:dyDescent="0.35">
      <c r="A591" t="s">
        <v>621</v>
      </c>
      <c r="B591">
        <v>20.399999999999999</v>
      </c>
      <c r="C591">
        <f>Earnings!C591/160</f>
        <v>1712.0279999999998</v>
      </c>
      <c r="D591">
        <f t="shared" si="9"/>
        <v>69850.742399999988</v>
      </c>
    </row>
    <row r="592" spans="1:4" x14ac:dyDescent="0.35">
      <c r="A592" t="s">
        <v>622</v>
      </c>
      <c r="B592">
        <v>27.2</v>
      </c>
      <c r="C592">
        <f>Earnings!C592/160</f>
        <v>2633.9375</v>
      </c>
      <c r="D592">
        <f t="shared" si="9"/>
        <v>143286.19999999998</v>
      </c>
    </row>
    <row r="593" spans="1:4" x14ac:dyDescent="0.35">
      <c r="A593" t="s">
        <v>623</v>
      </c>
      <c r="B593">
        <v>0</v>
      </c>
      <c r="C593">
        <f>Earnings!C593/160</f>
        <v>4161.9515000000001</v>
      </c>
      <c r="D593">
        <f t="shared" si="9"/>
        <v>0</v>
      </c>
    </row>
    <row r="594" spans="1:4" x14ac:dyDescent="0.35">
      <c r="A594" t="s">
        <v>624</v>
      </c>
      <c r="B594">
        <v>42</v>
      </c>
      <c r="C594">
        <f>Earnings!C594/160</f>
        <v>4418.7554375</v>
      </c>
      <c r="D594">
        <f t="shared" si="9"/>
        <v>371175.45675000001</v>
      </c>
    </row>
    <row r="595" spans="1:4" x14ac:dyDescent="0.35">
      <c r="A595" t="s">
        <v>625</v>
      </c>
      <c r="B595">
        <v>0</v>
      </c>
      <c r="C595">
        <f>Earnings!C595/160</f>
        <v>2532.2110000000002</v>
      </c>
      <c r="D595">
        <f t="shared" si="9"/>
        <v>0</v>
      </c>
    </row>
    <row r="596" spans="1:4" x14ac:dyDescent="0.35">
      <c r="A596" t="s">
        <v>626</v>
      </c>
      <c r="B596">
        <v>35</v>
      </c>
      <c r="C596">
        <f>Earnings!C596/160</f>
        <v>1816.620375</v>
      </c>
      <c r="D596">
        <f t="shared" si="9"/>
        <v>127163.42625</v>
      </c>
    </row>
    <row r="597" spans="1:4" x14ac:dyDescent="0.35">
      <c r="A597" t="s">
        <v>627</v>
      </c>
      <c r="B597">
        <v>27.6</v>
      </c>
      <c r="C597">
        <f>Earnings!C597/160</f>
        <v>2459.5870624999998</v>
      </c>
      <c r="D597">
        <f t="shared" si="9"/>
        <v>135769.20585</v>
      </c>
    </row>
    <row r="598" spans="1:4" x14ac:dyDescent="0.35">
      <c r="A598" t="s">
        <v>628</v>
      </c>
      <c r="B598">
        <v>28</v>
      </c>
      <c r="C598">
        <f>Earnings!C598/160</f>
        <v>3185.3433749999999</v>
      </c>
      <c r="D598">
        <f t="shared" si="9"/>
        <v>178379.22899999999</v>
      </c>
    </row>
    <row r="599" spans="1:4" x14ac:dyDescent="0.35">
      <c r="A599" t="s">
        <v>629</v>
      </c>
      <c r="B599">
        <v>5</v>
      </c>
      <c r="C599">
        <f>Earnings!C599/160</f>
        <v>1306.3568749999999</v>
      </c>
      <c r="D599">
        <f t="shared" si="9"/>
        <v>13063.568749999999</v>
      </c>
    </row>
    <row r="600" spans="1:4" x14ac:dyDescent="0.35">
      <c r="A600" t="s">
        <v>630</v>
      </c>
      <c r="B600">
        <v>0</v>
      </c>
      <c r="C600">
        <f>Earnings!C600/160</f>
        <v>3294.4764999999998</v>
      </c>
      <c r="D600">
        <f t="shared" si="9"/>
        <v>0</v>
      </c>
    </row>
    <row r="601" spans="1:4" x14ac:dyDescent="0.35">
      <c r="A601" t="s">
        <v>631</v>
      </c>
      <c r="B601">
        <v>0</v>
      </c>
      <c r="C601">
        <f>Earnings!C601/160</f>
        <v>2021.3971875</v>
      </c>
      <c r="D601">
        <f t="shared" si="9"/>
        <v>0</v>
      </c>
    </row>
    <row r="602" spans="1:4" x14ac:dyDescent="0.35">
      <c r="A602" t="s">
        <v>632</v>
      </c>
      <c r="B602">
        <v>15</v>
      </c>
      <c r="C602">
        <f>Earnings!C602/160</f>
        <v>1657.1224999999999</v>
      </c>
      <c r="D602">
        <f t="shared" si="9"/>
        <v>49713.674999999996</v>
      </c>
    </row>
    <row r="603" spans="1:4" x14ac:dyDescent="0.35">
      <c r="A603" t="s">
        <v>633</v>
      </c>
      <c r="B603">
        <v>25.5</v>
      </c>
      <c r="C603">
        <f>Earnings!C603/160</f>
        <v>3310.9114999999997</v>
      </c>
      <c r="D603">
        <f t="shared" si="9"/>
        <v>168856.4865</v>
      </c>
    </row>
    <row r="604" spans="1:4" x14ac:dyDescent="0.35">
      <c r="A604" t="s">
        <v>634</v>
      </c>
      <c r="B604">
        <v>0</v>
      </c>
      <c r="C604">
        <f>Earnings!C604/160</f>
        <v>2704.7725624999998</v>
      </c>
      <c r="D604">
        <f t="shared" si="9"/>
        <v>0</v>
      </c>
    </row>
    <row r="605" spans="1:4" x14ac:dyDescent="0.35">
      <c r="A605" t="s">
        <v>635</v>
      </c>
      <c r="B605">
        <v>31.2</v>
      </c>
      <c r="C605">
        <f>Earnings!C605/160</f>
        <v>2462.6678750000001</v>
      </c>
      <c r="D605">
        <f t="shared" si="9"/>
        <v>153670.4754</v>
      </c>
    </row>
    <row r="606" spans="1:4" x14ac:dyDescent="0.35">
      <c r="A606" t="s">
        <v>636</v>
      </c>
      <c r="B606">
        <v>0</v>
      </c>
      <c r="C606">
        <f>Earnings!C606/160</f>
        <v>5585.3967499999999</v>
      </c>
      <c r="D606">
        <f t="shared" si="9"/>
        <v>0</v>
      </c>
    </row>
    <row r="607" spans="1:4" x14ac:dyDescent="0.35">
      <c r="A607" t="s">
        <v>637</v>
      </c>
      <c r="B607">
        <v>26.4</v>
      </c>
      <c r="C607">
        <f>Earnings!C607/160</f>
        <v>3201.2995624999999</v>
      </c>
      <c r="D607">
        <f t="shared" si="9"/>
        <v>169028.61689999999</v>
      </c>
    </row>
    <row r="608" spans="1:4" x14ac:dyDescent="0.35">
      <c r="A608" t="s">
        <v>638</v>
      </c>
      <c r="B608">
        <v>18.2</v>
      </c>
      <c r="C608">
        <f>Earnings!C608/160</f>
        <v>3370.2059999999997</v>
      </c>
      <c r="D608">
        <f t="shared" si="9"/>
        <v>122675.49839999998</v>
      </c>
    </row>
    <row r="609" spans="1:4" x14ac:dyDescent="0.35">
      <c r="A609" t="s">
        <v>639</v>
      </c>
      <c r="B609">
        <v>15.4</v>
      </c>
      <c r="C609">
        <f>Earnings!C609/160</f>
        <v>2385.663</v>
      </c>
      <c r="D609">
        <f t="shared" si="9"/>
        <v>73478.420400000003</v>
      </c>
    </row>
    <row r="610" spans="1:4" x14ac:dyDescent="0.35">
      <c r="A610" t="s">
        <v>640</v>
      </c>
      <c r="B610">
        <v>12</v>
      </c>
      <c r="C610">
        <f>Earnings!C610/160</f>
        <v>2303.1847499999999</v>
      </c>
      <c r="D610">
        <f t="shared" si="9"/>
        <v>55276.433999999994</v>
      </c>
    </row>
    <row r="611" spans="1:4" x14ac:dyDescent="0.35">
      <c r="A611" t="s">
        <v>641</v>
      </c>
      <c r="B611">
        <v>0</v>
      </c>
      <c r="C611">
        <f>Earnings!C611/160</f>
        <v>2583.0500000000002</v>
      </c>
      <c r="D611">
        <f t="shared" si="9"/>
        <v>0</v>
      </c>
    </row>
    <row r="612" spans="1:4" x14ac:dyDescent="0.35">
      <c r="A612" t="s">
        <v>642</v>
      </c>
      <c r="B612">
        <v>0</v>
      </c>
      <c r="C612">
        <f>Earnings!C612/160</f>
        <v>1454.9900625</v>
      </c>
      <c r="D612">
        <f t="shared" si="9"/>
        <v>0</v>
      </c>
    </row>
    <row r="613" spans="1:4" x14ac:dyDescent="0.35">
      <c r="A613" t="s">
        <v>643</v>
      </c>
      <c r="B613">
        <v>0</v>
      </c>
      <c r="C613">
        <f>Earnings!C613/160</f>
        <v>4530.7719999999999</v>
      </c>
      <c r="D613">
        <f t="shared" si="9"/>
        <v>0</v>
      </c>
    </row>
    <row r="614" spans="1:4" x14ac:dyDescent="0.35">
      <c r="A614" t="s">
        <v>644</v>
      </c>
      <c r="B614">
        <v>16.8</v>
      </c>
      <c r="C614">
        <f>Earnings!C614/160</f>
        <v>2468.6994374999999</v>
      </c>
      <c r="D614">
        <f t="shared" si="9"/>
        <v>82948.301099999997</v>
      </c>
    </row>
    <row r="615" spans="1:4" x14ac:dyDescent="0.35">
      <c r="A615" t="s">
        <v>645</v>
      </c>
      <c r="B615">
        <v>0</v>
      </c>
      <c r="C615">
        <f>Earnings!C615/160</f>
        <v>2577.2217499999997</v>
      </c>
      <c r="D615">
        <f t="shared" si="9"/>
        <v>0</v>
      </c>
    </row>
    <row r="616" spans="1:4" x14ac:dyDescent="0.35">
      <c r="A616" t="s">
        <v>646</v>
      </c>
      <c r="B616">
        <v>0</v>
      </c>
      <c r="C616">
        <f>Earnings!C616/160</f>
        <v>1427.32275</v>
      </c>
      <c r="D616">
        <f t="shared" si="9"/>
        <v>0</v>
      </c>
    </row>
    <row r="617" spans="1:4" x14ac:dyDescent="0.35">
      <c r="A617" t="s">
        <v>647</v>
      </c>
      <c r="B617">
        <v>7</v>
      </c>
      <c r="C617">
        <f>Earnings!C617/160</f>
        <v>3099.8975</v>
      </c>
      <c r="D617">
        <f t="shared" si="9"/>
        <v>43398.565000000002</v>
      </c>
    </row>
    <row r="618" spans="1:4" x14ac:dyDescent="0.35">
      <c r="A618" t="s">
        <v>648</v>
      </c>
      <c r="B618">
        <v>13</v>
      </c>
      <c r="C618">
        <f>Earnings!C618/160</f>
        <v>1512.259875</v>
      </c>
      <c r="D618">
        <f t="shared" si="9"/>
        <v>39318.75675</v>
      </c>
    </row>
    <row r="619" spans="1:4" x14ac:dyDescent="0.35">
      <c r="A619" t="s">
        <v>649</v>
      </c>
      <c r="B619">
        <v>24</v>
      </c>
      <c r="C619">
        <f>Earnings!C619/160</f>
        <v>2079.2474999999999</v>
      </c>
      <c r="D619">
        <f t="shared" si="9"/>
        <v>99803.88</v>
      </c>
    </row>
    <row r="620" spans="1:4" x14ac:dyDescent="0.35">
      <c r="A620" t="s">
        <v>650</v>
      </c>
      <c r="B620">
        <v>0</v>
      </c>
      <c r="C620">
        <f>Earnings!C620/160</f>
        <v>1512.4636249999999</v>
      </c>
      <c r="D620">
        <f t="shared" si="9"/>
        <v>0</v>
      </c>
    </row>
    <row r="621" spans="1:4" x14ac:dyDescent="0.35">
      <c r="A621" t="s">
        <v>651</v>
      </c>
      <c r="B621">
        <v>34</v>
      </c>
      <c r="C621">
        <f>Earnings!C621/160</f>
        <v>4249.8002500000002</v>
      </c>
      <c r="D621">
        <f t="shared" si="9"/>
        <v>288986.41700000002</v>
      </c>
    </row>
    <row r="622" spans="1:4" x14ac:dyDescent="0.35">
      <c r="A622" t="s">
        <v>652</v>
      </c>
      <c r="B622">
        <v>27.6</v>
      </c>
      <c r="C622">
        <f>Earnings!C622/160</f>
        <v>2618.1581875000002</v>
      </c>
      <c r="D622">
        <f t="shared" si="9"/>
        <v>144522.33195000002</v>
      </c>
    </row>
    <row r="623" spans="1:4" x14ac:dyDescent="0.35">
      <c r="A623" t="s">
        <v>653</v>
      </c>
      <c r="B623">
        <v>0</v>
      </c>
      <c r="C623">
        <f>Earnings!C623/160</f>
        <v>2652.0775000000003</v>
      </c>
      <c r="D623">
        <f t="shared" si="9"/>
        <v>0</v>
      </c>
    </row>
    <row r="624" spans="1:4" x14ac:dyDescent="0.35">
      <c r="A624" t="s">
        <v>654</v>
      </c>
      <c r="B624">
        <v>37.4</v>
      </c>
      <c r="C624">
        <f>Earnings!C624/160</f>
        <v>2300.7976250000002</v>
      </c>
      <c r="D624">
        <f t="shared" si="9"/>
        <v>172099.66235</v>
      </c>
    </row>
    <row r="625" spans="1:4" x14ac:dyDescent="0.35">
      <c r="A625" t="s">
        <v>655</v>
      </c>
      <c r="B625">
        <v>0</v>
      </c>
      <c r="C625">
        <f>Earnings!C625/160</f>
        <v>3630.453</v>
      </c>
      <c r="D625">
        <f t="shared" si="9"/>
        <v>0</v>
      </c>
    </row>
    <row r="626" spans="1:4" x14ac:dyDescent="0.35">
      <c r="A626" t="s">
        <v>656</v>
      </c>
      <c r="B626">
        <v>47.6</v>
      </c>
      <c r="C626">
        <f>Earnings!C626/160</f>
        <v>4428.2237500000001</v>
      </c>
      <c r="D626">
        <f t="shared" si="9"/>
        <v>421566.90100000001</v>
      </c>
    </row>
    <row r="627" spans="1:4" x14ac:dyDescent="0.35">
      <c r="A627" t="s">
        <v>657</v>
      </c>
      <c r="B627">
        <v>0</v>
      </c>
      <c r="C627">
        <f>Earnings!C627/160</f>
        <v>3406.6080000000002</v>
      </c>
      <c r="D627">
        <f t="shared" si="9"/>
        <v>0</v>
      </c>
    </row>
    <row r="628" spans="1:4" x14ac:dyDescent="0.35">
      <c r="A628" t="s">
        <v>658</v>
      </c>
      <c r="B628">
        <v>28</v>
      </c>
      <c r="C628">
        <f>Earnings!C628/160</f>
        <v>3387.63</v>
      </c>
      <c r="D628">
        <f t="shared" si="9"/>
        <v>189707.28</v>
      </c>
    </row>
    <row r="629" spans="1:4" x14ac:dyDescent="0.35">
      <c r="A629" t="s">
        <v>659</v>
      </c>
      <c r="B629">
        <v>0</v>
      </c>
      <c r="C629">
        <f>Earnings!C629/160</f>
        <v>3603.3525</v>
      </c>
      <c r="D629">
        <f t="shared" si="9"/>
        <v>0</v>
      </c>
    </row>
    <row r="630" spans="1:4" x14ac:dyDescent="0.35">
      <c r="A630" t="s">
        <v>660</v>
      </c>
      <c r="B630">
        <v>42</v>
      </c>
      <c r="C630">
        <f>Earnings!C630/160</f>
        <v>3336.497875</v>
      </c>
      <c r="D630">
        <f t="shared" si="9"/>
        <v>280265.82150000002</v>
      </c>
    </row>
    <row r="631" spans="1:4" x14ac:dyDescent="0.35">
      <c r="A631" t="s">
        <v>661</v>
      </c>
      <c r="B631">
        <v>21</v>
      </c>
      <c r="C631">
        <f>Earnings!C631/160</f>
        <v>3428.9605000000001</v>
      </c>
      <c r="D631">
        <f t="shared" si="9"/>
        <v>144016.34100000001</v>
      </c>
    </row>
    <row r="632" spans="1:4" x14ac:dyDescent="0.35">
      <c r="A632" t="s">
        <v>662</v>
      </c>
      <c r="B632">
        <v>0</v>
      </c>
      <c r="C632">
        <f>Earnings!C632/160</f>
        <v>3098.9639999999999</v>
      </c>
      <c r="D632">
        <f t="shared" si="9"/>
        <v>0</v>
      </c>
    </row>
    <row r="633" spans="1:4" x14ac:dyDescent="0.35">
      <c r="A633" t="s">
        <v>663</v>
      </c>
      <c r="B633">
        <v>15</v>
      </c>
      <c r="C633">
        <f>Earnings!C633/160</f>
        <v>956.030125</v>
      </c>
      <c r="D633">
        <f t="shared" si="9"/>
        <v>28680.903750000001</v>
      </c>
    </row>
    <row r="634" spans="1:4" x14ac:dyDescent="0.35">
      <c r="A634" t="s">
        <v>664</v>
      </c>
      <c r="B634">
        <v>0</v>
      </c>
      <c r="C634">
        <f>Earnings!C634/160</f>
        <v>2109.3235</v>
      </c>
      <c r="D634">
        <f t="shared" si="9"/>
        <v>0</v>
      </c>
    </row>
    <row r="635" spans="1:4" x14ac:dyDescent="0.35">
      <c r="A635" t="s">
        <v>665</v>
      </c>
      <c r="B635">
        <v>0</v>
      </c>
      <c r="C635">
        <f>Earnings!C635/160</f>
        <v>4602.9157500000001</v>
      </c>
      <c r="D635">
        <f t="shared" si="9"/>
        <v>0</v>
      </c>
    </row>
    <row r="636" spans="1:4" x14ac:dyDescent="0.35">
      <c r="A636" t="s">
        <v>666</v>
      </c>
      <c r="B636">
        <v>25</v>
      </c>
      <c r="C636">
        <f>Earnings!C636/160</f>
        <v>2009.4525000000001</v>
      </c>
      <c r="D636">
        <f t="shared" si="9"/>
        <v>100472.625</v>
      </c>
    </row>
    <row r="637" spans="1:4" x14ac:dyDescent="0.35">
      <c r="A637" t="s">
        <v>667</v>
      </c>
      <c r="B637">
        <v>0</v>
      </c>
      <c r="C637">
        <f>Earnings!C637/160</f>
        <v>2476.0413125</v>
      </c>
      <c r="D637">
        <f t="shared" si="9"/>
        <v>0</v>
      </c>
    </row>
    <row r="638" spans="1:4" x14ac:dyDescent="0.35">
      <c r="A638" t="s">
        <v>668</v>
      </c>
      <c r="B638">
        <v>42.5</v>
      </c>
      <c r="C638">
        <f>Earnings!C638/160</f>
        <v>2149.37925</v>
      </c>
      <c r="D638">
        <f t="shared" si="9"/>
        <v>182697.23624999999</v>
      </c>
    </row>
    <row r="639" spans="1:4" x14ac:dyDescent="0.35">
      <c r="A639" t="s">
        <v>669</v>
      </c>
      <c r="B639">
        <v>15.4</v>
      </c>
      <c r="C639">
        <f>Earnings!C639/160</f>
        <v>2733.3960625</v>
      </c>
      <c r="D639">
        <f t="shared" si="9"/>
        <v>84188.598725000003</v>
      </c>
    </row>
    <row r="640" spans="1:4" x14ac:dyDescent="0.35">
      <c r="A640" t="s">
        <v>670</v>
      </c>
      <c r="B640">
        <v>0</v>
      </c>
      <c r="C640">
        <f>Earnings!C640/160</f>
        <v>2181.7153750000002</v>
      </c>
      <c r="D640">
        <f t="shared" si="9"/>
        <v>0</v>
      </c>
    </row>
    <row r="641" spans="1:4" x14ac:dyDescent="0.35">
      <c r="A641" t="s">
        <v>671</v>
      </c>
      <c r="B641">
        <v>22</v>
      </c>
      <c r="C641">
        <f>Earnings!C641/160</f>
        <v>1589.6635000000001</v>
      </c>
      <c r="D641">
        <f t="shared" si="9"/>
        <v>69945.194000000003</v>
      </c>
    </row>
    <row r="642" spans="1:4" x14ac:dyDescent="0.35">
      <c r="A642" t="s">
        <v>672</v>
      </c>
      <c r="B642">
        <v>20.399999999999999</v>
      </c>
      <c r="C642">
        <f>Earnings!C642/160</f>
        <v>5002.6452499999996</v>
      </c>
      <c r="D642">
        <f t="shared" ref="D642:D705" si="10">B642*C642*2</f>
        <v>204107.92619999996</v>
      </c>
    </row>
    <row r="643" spans="1:4" x14ac:dyDescent="0.35">
      <c r="A643" t="s">
        <v>673</v>
      </c>
      <c r="B643">
        <v>0</v>
      </c>
      <c r="C643">
        <f>Earnings!C643/160</f>
        <v>4101.7570624999998</v>
      </c>
      <c r="D643">
        <f t="shared" si="10"/>
        <v>0</v>
      </c>
    </row>
    <row r="644" spans="1:4" x14ac:dyDescent="0.35">
      <c r="A644" t="s">
        <v>674</v>
      </c>
      <c r="B644">
        <v>0</v>
      </c>
      <c r="C644">
        <f>Earnings!C644/160</f>
        <v>2685.2671249999999</v>
      </c>
      <c r="D644">
        <f t="shared" si="10"/>
        <v>0</v>
      </c>
    </row>
    <row r="645" spans="1:4" x14ac:dyDescent="0.35">
      <c r="A645" t="s">
        <v>675</v>
      </c>
      <c r="B645">
        <v>0</v>
      </c>
      <c r="C645">
        <f>Earnings!C645/160</f>
        <v>1791.7474999999999</v>
      </c>
      <c r="D645">
        <f t="shared" si="10"/>
        <v>0</v>
      </c>
    </row>
    <row r="646" spans="1:4" x14ac:dyDescent="0.35">
      <c r="A646" t="s">
        <v>676</v>
      </c>
      <c r="B646">
        <v>0</v>
      </c>
      <c r="C646">
        <f>Earnings!C646/160</f>
        <v>2864.8375000000001</v>
      </c>
      <c r="D646">
        <f t="shared" si="10"/>
        <v>0</v>
      </c>
    </row>
    <row r="647" spans="1:4" x14ac:dyDescent="0.35">
      <c r="A647" t="s">
        <v>677</v>
      </c>
      <c r="B647">
        <v>0</v>
      </c>
      <c r="C647">
        <f>Earnings!C647/160</f>
        <v>2396.1636250000001</v>
      </c>
      <c r="D647">
        <f t="shared" si="10"/>
        <v>0</v>
      </c>
    </row>
    <row r="648" spans="1:4" x14ac:dyDescent="0.35">
      <c r="A648" t="s">
        <v>678</v>
      </c>
      <c r="B648">
        <v>0</v>
      </c>
      <c r="C648">
        <f>Earnings!C648/160</f>
        <v>4401.2254999999996</v>
      </c>
      <c r="D648">
        <f t="shared" si="10"/>
        <v>0</v>
      </c>
    </row>
    <row r="649" spans="1:4" x14ac:dyDescent="0.35">
      <c r="A649" t="s">
        <v>679</v>
      </c>
      <c r="B649">
        <v>30.8</v>
      </c>
      <c r="C649">
        <f>Earnings!C649/160</f>
        <v>4885.9230000000007</v>
      </c>
      <c r="D649">
        <f t="shared" si="10"/>
        <v>300972.85680000007</v>
      </c>
    </row>
    <row r="650" spans="1:4" x14ac:dyDescent="0.35">
      <c r="A650" t="s">
        <v>680</v>
      </c>
      <c r="B650">
        <v>40.6</v>
      </c>
      <c r="C650">
        <f>Earnings!C650/160</f>
        <v>3792.4074999999998</v>
      </c>
      <c r="D650">
        <f t="shared" si="10"/>
        <v>307943.489</v>
      </c>
    </row>
    <row r="651" spans="1:4" x14ac:dyDescent="0.35">
      <c r="A651" t="s">
        <v>681</v>
      </c>
      <c r="B651">
        <v>0</v>
      </c>
      <c r="C651">
        <f>Earnings!C651/160</f>
        <v>3541.2413750000001</v>
      </c>
      <c r="D651">
        <f t="shared" si="10"/>
        <v>0</v>
      </c>
    </row>
    <row r="652" spans="1:4" x14ac:dyDescent="0.35">
      <c r="A652" t="s">
        <v>682</v>
      </c>
      <c r="B652">
        <v>10.8</v>
      </c>
      <c r="C652">
        <f>Earnings!C652/160</f>
        <v>4795.9470000000001</v>
      </c>
      <c r="D652">
        <f t="shared" si="10"/>
        <v>103592.45520000001</v>
      </c>
    </row>
    <row r="653" spans="1:4" x14ac:dyDescent="0.35">
      <c r="A653" t="s">
        <v>683</v>
      </c>
      <c r="B653">
        <v>0</v>
      </c>
      <c r="C653">
        <f>Earnings!C653/160</f>
        <v>5469.0804374999998</v>
      </c>
      <c r="D653">
        <f t="shared" si="10"/>
        <v>0</v>
      </c>
    </row>
    <row r="654" spans="1:4" x14ac:dyDescent="0.35">
      <c r="A654" t="s">
        <v>684</v>
      </c>
      <c r="B654">
        <v>13.6</v>
      </c>
      <c r="C654">
        <f>Earnings!C654/160</f>
        <v>3531.0657500000002</v>
      </c>
      <c r="D654">
        <f t="shared" si="10"/>
        <v>96044.988400000002</v>
      </c>
    </row>
    <row r="655" spans="1:4" x14ac:dyDescent="0.35">
      <c r="A655" t="s">
        <v>685</v>
      </c>
      <c r="B655">
        <v>8.5</v>
      </c>
      <c r="C655">
        <f>Earnings!C655/160</f>
        <v>2803.9105</v>
      </c>
      <c r="D655">
        <f t="shared" si="10"/>
        <v>47666.478499999997</v>
      </c>
    </row>
    <row r="656" spans="1:4" x14ac:dyDescent="0.35">
      <c r="A656" t="s">
        <v>686</v>
      </c>
      <c r="B656">
        <v>0</v>
      </c>
      <c r="C656">
        <f>Earnings!C656/160</f>
        <v>4003.0373124999996</v>
      </c>
      <c r="D656">
        <f t="shared" si="10"/>
        <v>0</v>
      </c>
    </row>
    <row r="657" spans="1:4" x14ac:dyDescent="0.35">
      <c r="A657" t="s">
        <v>687</v>
      </c>
      <c r="B657">
        <v>15.4</v>
      </c>
      <c r="C657">
        <f>Earnings!C657/160</f>
        <v>3408.6815000000001</v>
      </c>
      <c r="D657">
        <f t="shared" si="10"/>
        <v>104987.39020000001</v>
      </c>
    </row>
    <row r="658" spans="1:4" x14ac:dyDescent="0.35">
      <c r="A658" t="s">
        <v>688</v>
      </c>
      <c r="B658">
        <v>20.399999999999999</v>
      </c>
      <c r="C658">
        <f>Earnings!C658/160</f>
        <v>2959.7421249999998</v>
      </c>
      <c r="D658">
        <f t="shared" si="10"/>
        <v>120757.47869999998</v>
      </c>
    </row>
    <row r="659" spans="1:4" x14ac:dyDescent="0.35">
      <c r="A659" t="s">
        <v>689</v>
      </c>
      <c r="B659">
        <v>0</v>
      </c>
      <c r="C659">
        <f>Earnings!C659/160</f>
        <v>2031.5868750000002</v>
      </c>
      <c r="D659">
        <f t="shared" si="10"/>
        <v>0</v>
      </c>
    </row>
    <row r="660" spans="1:4" x14ac:dyDescent="0.35">
      <c r="A660" t="s">
        <v>690</v>
      </c>
      <c r="B660">
        <v>28.8</v>
      </c>
      <c r="C660">
        <f>Earnings!C660/160</f>
        <v>4137.1469999999999</v>
      </c>
      <c r="D660">
        <f t="shared" si="10"/>
        <v>238299.6672</v>
      </c>
    </row>
    <row r="661" spans="1:4" x14ac:dyDescent="0.35">
      <c r="A661" t="s">
        <v>691</v>
      </c>
      <c r="B661">
        <v>0</v>
      </c>
      <c r="C661">
        <f>Earnings!C661/160</f>
        <v>1466.4793750000001</v>
      </c>
      <c r="D661">
        <f t="shared" si="10"/>
        <v>0</v>
      </c>
    </row>
    <row r="662" spans="1:4" x14ac:dyDescent="0.35">
      <c r="A662" t="s">
        <v>692</v>
      </c>
      <c r="B662">
        <v>0</v>
      </c>
      <c r="C662">
        <f>Earnings!C662/160</f>
        <v>3542.9404374999999</v>
      </c>
      <c r="D662">
        <f t="shared" si="10"/>
        <v>0</v>
      </c>
    </row>
    <row r="663" spans="1:4" x14ac:dyDescent="0.35">
      <c r="A663" t="s">
        <v>693</v>
      </c>
      <c r="B663">
        <v>0</v>
      </c>
      <c r="C663">
        <f>Earnings!C663/160</f>
        <v>3055.46</v>
      </c>
      <c r="D663">
        <f t="shared" si="10"/>
        <v>0</v>
      </c>
    </row>
    <row r="664" spans="1:4" x14ac:dyDescent="0.35">
      <c r="A664" t="s">
        <v>694</v>
      </c>
      <c r="B664">
        <v>0</v>
      </c>
      <c r="C664">
        <f>Earnings!C664/160</f>
        <v>1747.351625</v>
      </c>
      <c r="D664">
        <f t="shared" si="10"/>
        <v>0</v>
      </c>
    </row>
    <row r="665" spans="1:4" x14ac:dyDescent="0.35">
      <c r="A665" t="s">
        <v>695</v>
      </c>
      <c r="B665">
        <v>19.2</v>
      </c>
      <c r="C665">
        <f>Earnings!C665/160</f>
        <v>2533.4009999999998</v>
      </c>
      <c r="D665">
        <f t="shared" si="10"/>
        <v>97282.598399999988</v>
      </c>
    </row>
    <row r="666" spans="1:4" x14ac:dyDescent="0.35">
      <c r="A666" t="s">
        <v>696</v>
      </c>
      <c r="B666">
        <v>0</v>
      </c>
      <c r="C666">
        <f>Earnings!C666/160</f>
        <v>1452.761125</v>
      </c>
      <c r="D666">
        <f t="shared" si="10"/>
        <v>0</v>
      </c>
    </row>
    <row r="667" spans="1:4" x14ac:dyDescent="0.35">
      <c r="A667" t="s">
        <v>697</v>
      </c>
      <c r="B667">
        <v>7.2</v>
      </c>
      <c r="C667">
        <f>Earnings!C667/160</f>
        <v>2234.2470000000003</v>
      </c>
      <c r="D667">
        <f t="shared" si="10"/>
        <v>32173.156800000004</v>
      </c>
    </row>
    <row r="668" spans="1:4" x14ac:dyDescent="0.35">
      <c r="A668" t="s">
        <v>698</v>
      </c>
      <c r="B668">
        <v>8</v>
      </c>
      <c r="C668">
        <f>Earnings!C668/160</f>
        <v>3175.4557500000001</v>
      </c>
      <c r="D668">
        <f t="shared" si="10"/>
        <v>50807.292000000001</v>
      </c>
    </row>
    <row r="669" spans="1:4" x14ac:dyDescent="0.35">
      <c r="A669" t="s">
        <v>699</v>
      </c>
      <c r="B669">
        <v>13.2</v>
      </c>
      <c r="C669">
        <f>Earnings!C669/160</f>
        <v>2092.6125000000002</v>
      </c>
      <c r="D669">
        <f t="shared" si="10"/>
        <v>55244.97</v>
      </c>
    </row>
    <row r="670" spans="1:4" x14ac:dyDescent="0.35">
      <c r="A670" t="s">
        <v>700</v>
      </c>
      <c r="B670">
        <v>39.1</v>
      </c>
      <c r="C670">
        <f>Earnings!C670/160</f>
        <v>3340.5934999999999</v>
      </c>
      <c r="D670">
        <f t="shared" si="10"/>
        <v>261234.4117</v>
      </c>
    </row>
    <row r="671" spans="1:4" x14ac:dyDescent="0.35">
      <c r="A671" t="s">
        <v>701</v>
      </c>
      <c r="B671">
        <v>0</v>
      </c>
      <c r="C671">
        <f>Earnings!C671/160</f>
        <v>2537.6233750000001</v>
      </c>
      <c r="D671">
        <f t="shared" si="10"/>
        <v>0</v>
      </c>
    </row>
    <row r="672" spans="1:4" x14ac:dyDescent="0.35">
      <c r="A672" t="s">
        <v>702</v>
      </c>
      <c r="B672">
        <v>0</v>
      </c>
      <c r="C672">
        <f>Earnings!C672/160</f>
        <v>1853.55</v>
      </c>
      <c r="D672">
        <f t="shared" si="10"/>
        <v>0</v>
      </c>
    </row>
    <row r="673" spans="1:4" x14ac:dyDescent="0.35">
      <c r="A673" t="s">
        <v>703</v>
      </c>
      <c r="B673">
        <v>0</v>
      </c>
      <c r="C673">
        <f>Earnings!C673/160</f>
        <v>1928.7603125000001</v>
      </c>
      <c r="D673">
        <f t="shared" si="10"/>
        <v>0</v>
      </c>
    </row>
    <row r="674" spans="1:4" x14ac:dyDescent="0.35">
      <c r="A674" t="s">
        <v>704</v>
      </c>
      <c r="B674">
        <v>11.9</v>
      </c>
      <c r="C674">
        <f>Earnings!C674/160</f>
        <v>3889.2551249999997</v>
      </c>
      <c r="D674">
        <f t="shared" si="10"/>
        <v>92564.271974999996</v>
      </c>
    </row>
    <row r="675" spans="1:4" x14ac:dyDescent="0.35">
      <c r="A675" t="s">
        <v>705</v>
      </c>
      <c r="B675">
        <v>0</v>
      </c>
      <c r="C675">
        <f>Earnings!C675/160</f>
        <v>1636.3655000000001</v>
      </c>
      <c r="D675">
        <f t="shared" si="10"/>
        <v>0</v>
      </c>
    </row>
    <row r="676" spans="1:4" x14ac:dyDescent="0.35">
      <c r="A676" t="s">
        <v>706</v>
      </c>
      <c r="B676">
        <v>11.2</v>
      </c>
      <c r="C676">
        <f>Earnings!C676/160</f>
        <v>1989.4735000000001</v>
      </c>
      <c r="D676">
        <f t="shared" si="10"/>
        <v>44564.206399999995</v>
      </c>
    </row>
    <row r="677" spans="1:4" x14ac:dyDescent="0.35">
      <c r="A677" t="s">
        <v>707</v>
      </c>
      <c r="B677">
        <v>9.6</v>
      </c>
      <c r="C677">
        <f>Earnings!C677/160</f>
        <v>2793.4859999999999</v>
      </c>
      <c r="D677">
        <f t="shared" si="10"/>
        <v>53634.931199999999</v>
      </c>
    </row>
    <row r="678" spans="1:4" x14ac:dyDescent="0.35">
      <c r="A678" t="s">
        <v>708</v>
      </c>
      <c r="B678">
        <v>27</v>
      </c>
      <c r="C678">
        <f>Earnings!C678/160</f>
        <v>1504.98</v>
      </c>
      <c r="D678">
        <f t="shared" si="10"/>
        <v>81268.92</v>
      </c>
    </row>
    <row r="679" spans="1:4" x14ac:dyDescent="0.35">
      <c r="A679" t="s">
        <v>709</v>
      </c>
      <c r="B679">
        <v>28.8</v>
      </c>
      <c r="C679">
        <f>Earnings!C679/160</f>
        <v>2109.2393750000001</v>
      </c>
      <c r="D679">
        <f t="shared" si="10"/>
        <v>121492.18800000001</v>
      </c>
    </row>
    <row r="680" spans="1:4" x14ac:dyDescent="0.35">
      <c r="A680" t="s">
        <v>710</v>
      </c>
      <c r="B680">
        <v>25</v>
      </c>
      <c r="C680">
        <f>Earnings!C680/160</f>
        <v>1498.3325</v>
      </c>
      <c r="D680">
        <f t="shared" si="10"/>
        <v>74916.625</v>
      </c>
    </row>
    <row r="681" spans="1:4" x14ac:dyDescent="0.35">
      <c r="A681" t="s">
        <v>711</v>
      </c>
      <c r="B681">
        <v>37.4</v>
      </c>
      <c r="C681">
        <f>Earnings!C681/160</f>
        <v>2412.9757500000001</v>
      </c>
      <c r="D681">
        <f t="shared" si="10"/>
        <v>180490.58609999999</v>
      </c>
    </row>
    <row r="682" spans="1:4" x14ac:dyDescent="0.35">
      <c r="A682" t="s">
        <v>712</v>
      </c>
      <c r="B682">
        <v>0</v>
      </c>
      <c r="C682">
        <f>Earnings!C682/160</f>
        <v>2271.2849999999999</v>
      </c>
      <c r="D682">
        <f t="shared" si="10"/>
        <v>0</v>
      </c>
    </row>
    <row r="683" spans="1:4" x14ac:dyDescent="0.35">
      <c r="A683" t="s">
        <v>713</v>
      </c>
      <c r="B683">
        <v>0</v>
      </c>
      <c r="C683">
        <f>Earnings!C683/160</f>
        <v>2738.1574375</v>
      </c>
      <c r="D683">
        <f t="shared" si="10"/>
        <v>0</v>
      </c>
    </row>
    <row r="684" spans="1:4" x14ac:dyDescent="0.35">
      <c r="A684" t="s">
        <v>714</v>
      </c>
      <c r="B684">
        <v>0</v>
      </c>
      <c r="C684">
        <f>Earnings!C684/160</f>
        <v>1760.3618750000001</v>
      </c>
      <c r="D684">
        <f t="shared" si="10"/>
        <v>0</v>
      </c>
    </row>
    <row r="685" spans="1:4" x14ac:dyDescent="0.35">
      <c r="A685" t="s">
        <v>715</v>
      </c>
      <c r="B685">
        <v>0</v>
      </c>
      <c r="C685">
        <f>Earnings!C685/160</f>
        <v>2068.4124999999999</v>
      </c>
      <c r="D685">
        <f t="shared" si="10"/>
        <v>0</v>
      </c>
    </row>
    <row r="686" spans="1:4" x14ac:dyDescent="0.35">
      <c r="A686" t="s">
        <v>716</v>
      </c>
      <c r="B686">
        <v>17</v>
      </c>
      <c r="C686">
        <f>Earnings!C686/160</f>
        <v>4397.2089375000005</v>
      </c>
      <c r="D686">
        <f t="shared" si="10"/>
        <v>149505.10387500003</v>
      </c>
    </row>
    <row r="687" spans="1:4" x14ac:dyDescent="0.35">
      <c r="A687" t="s">
        <v>717</v>
      </c>
      <c r="B687">
        <v>0</v>
      </c>
      <c r="C687">
        <f>Earnings!C687/160</f>
        <v>2438.1127499999998</v>
      </c>
      <c r="D687">
        <f t="shared" si="10"/>
        <v>0</v>
      </c>
    </row>
    <row r="688" spans="1:4" x14ac:dyDescent="0.35">
      <c r="A688" t="s">
        <v>718</v>
      </c>
      <c r="B688">
        <v>0</v>
      </c>
      <c r="C688">
        <f>Earnings!C688/160</f>
        <v>2652.2894999999999</v>
      </c>
      <c r="D688">
        <f t="shared" si="10"/>
        <v>0</v>
      </c>
    </row>
    <row r="689" spans="1:4" x14ac:dyDescent="0.35">
      <c r="A689" t="s">
        <v>719</v>
      </c>
      <c r="B689">
        <v>0</v>
      </c>
      <c r="C689">
        <f>Earnings!C689/160</f>
        <v>2280.1680000000001</v>
      </c>
      <c r="D689">
        <f t="shared" si="10"/>
        <v>0</v>
      </c>
    </row>
    <row r="690" spans="1:4" x14ac:dyDescent="0.35">
      <c r="A690" t="s">
        <v>720</v>
      </c>
      <c r="B690">
        <v>0</v>
      </c>
      <c r="C690">
        <f>Earnings!C690/160</f>
        <v>1792.4925625000001</v>
      </c>
      <c r="D690">
        <f t="shared" si="10"/>
        <v>0</v>
      </c>
    </row>
    <row r="691" spans="1:4" x14ac:dyDescent="0.35">
      <c r="A691" t="s">
        <v>721</v>
      </c>
      <c r="B691">
        <v>0</v>
      </c>
      <c r="C691">
        <f>Earnings!C691/160</f>
        <v>2786.5029374999999</v>
      </c>
      <c r="D691">
        <f t="shared" si="10"/>
        <v>0</v>
      </c>
    </row>
    <row r="692" spans="1:4" x14ac:dyDescent="0.35">
      <c r="A692" t="s">
        <v>722</v>
      </c>
      <c r="B692">
        <v>0</v>
      </c>
      <c r="C692">
        <f>Earnings!C692/160</f>
        <v>1370.7046249999999</v>
      </c>
      <c r="D692">
        <f t="shared" si="10"/>
        <v>0</v>
      </c>
    </row>
    <row r="693" spans="1:4" x14ac:dyDescent="0.35">
      <c r="A693" t="s">
        <v>723</v>
      </c>
      <c r="B693">
        <v>0</v>
      </c>
      <c r="C693">
        <f>Earnings!C693/160</f>
        <v>2436.1386874999998</v>
      </c>
      <c r="D693">
        <f t="shared" si="10"/>
        <v>0</v>
      </c>
    </row>
    <row r="694" spans="1:4" x14ac:dyDescent="0.35">
      <c r="A694" t="s">
        <v>724</v>
      </c>
      <c r="B694">
        <v>0</v>
      </c>
      <c r="C694">
        <f>Earnings!C694/160</f>
        <v>1773.202</v>
      </c>
      <c r="D694">
        <f t="shared" si="10"/>
        <v>0</v>
      </c>
    </row>
    <row r="695" spans="1:4" x14ac:dyDescent="0.35">
      <c r="A695" t="s">
        <v>725</v>
      </c>
      <c r="B695">
        <v>44.2</v>
      </c>
      <c r="C695">
        <f>Earnings!C695/160</f>
        <v>4765.7460000000001</v>
      </c>
      <c r="D695">
        <f t="shared" si="10"/>
        <v>421291.94640000002</v>
      </c>
    </row>
    <row r="696" spans="1:4" x14ac:dyDescent="0.35">
      <c r="A696" t="s">
        <v>726</v>
      </c>
      <c r="B696">
        <v>0</v>
      </c>
      <c r="C696">
        <f>Earnings!C696/160</f>
        <v>2762.3424999999997</v>
      </c>
      <c r="D696">
        <f t="shared" si="10"/>
        <v>0</v>
      </c>
    </row>
    <row r="697" spans="1:4" x14ac:dyDescent="0.35">
      <c r="A697" t="s">
        <v>727</v>
      </c>
      <c r="B697">
        <v>13.2</v>
      </c>
      <c r="C697">
        <f>Earnings!C697/160</f>
        <v>1943.703</v>
      </c>
      <c r="D697">
        <f t="shared" si="10"/>
        <v>51313.759199999993</v>
      </c>
    </row>
    <row r="698" spans="1:4" x14ac:dyDescent="0.35">
      <c r="A698" t="s">
        <v>728</v>
      </c>
      <c r="B698">
        <v>28</v>
      </c>
      <c r="C698">
        <f>Earnings!C698/160</f>
        <v>2041.4599999999998</v>
      </c>
      <c r="D698">
        <f t="shared" si="10"/>
        <v>114321.76</v>
      </c>
    </row>
    <row r="699" spans="1:4" x14ac:dyDescent="0.35">
      <c r="A699" t="s">
        <v>729</v>
      </c>
      <c r="B699">
        <v>19</v>
      </c>
      <c r="C699">
        <f>Earnings!C699/160</f>
        <v>1412.251</v>
      </c>
      <c r="D699">
        <f t="shared" si="10"/>
        <v>53665.538</v>
      </c>
    </row>
    <row r="700" spans="1:4" x14ac:dyDescent="0.35">
      <c r="A700" t="s">
        <v>730</v>
      </c>
      <c r="B700">
        <v>0</v>
      </c>
      <c r="C700">
        <f>Earnings!C700/160</f>
        <v>3875.8183125000005</v>
      </c>
      <c r="D700">
        <f t="shared" si="10"/>
        <v>0</v>
      </c>
    </row>
    <row r="701" spans="1:4" x14ac:dyDescent="0.35">
      <c r="A701" t="s">
        <v>731</v>
      </c>
      <c r="B701">
        <v>36.4</v>
      </c>
      <c r="C701">
        <f>Earnings!C701/160</f>
        <v>2913.596</v>
      </c>
      <c r="D701">
        <f t="shared" si="10"/>
        <v>212109.78879999998</v>
      </c>
    </row>
    <row r="702" spans="1:4" x14ac:dyDescent="0.35">
      <c r="A702" t="s">
        <v>732</v>
      </c>
      <c r="B702">
        <v>37.4</v>
      </c>
      <c r="C702">
        <f>Earnings!C702/160</f>
        <v>3011.7242500000002</v>
      </c>
      <c r="D702">
        <f t="shared" si="10"/>
        <v>225276.97390000001</v>
      </c>
    </row>
    <row r="703" spans="1:4" x14ac:dyDescent="0.35">
      <c r="A703" t="s">
        <v>733</v>
      </c>
      <c r="B703">
        <v>0</v>
      </c>
      <c r="C703">
        <f>Earnings!C703/160</f>
        <v>3916.2861875000003</v>
      </c>
      <c r="D703">
        <f t="shared" si="10"/>
        <v>0</v>
      </c>
    </row>
    <row r="704" spans="1:4" x14ac:dyDescent="0.35">
      <c r="A704" t="s">
        <v>734</v>
      </c>
      <c r="B704">
        <v>10</v>
      </c>
      <c r="C704">
        <f>Earnings!C704/160</f>
        <v>2660.2018749999997</v>
      </c>
      <c r="D704">
        <f t="shared" si="10"/>
        <v>53204.037499999991</v>
      </c>
    </row>
    <row r="705" spans="1:4" x14ac:dyDescent="0.35">
      <c r="A705" t="s">
        <v>735</v>
      </c>
      <c r="B705">
        <v>49.3</v>
      </c>
      <c r="C705">
        <f>Earnings!C705/160</f>
        <v>2652.6502499999997</v>
      </c>
      <c r="D705">
        <f t="shared" si="10"/>
        <v>261551.31464999996</v>
      </c>
    </row>
    <row r="706" spans="1:4" x14ac:dyDescent="0.35">
      <c r="A706" t="s">
        <v>736</v>
      </c>
      <c r="B706">
        <v>0</v>
      </c>
      <c r="C706">
        <f>Earnings!C706/160</f>
        <v>1835.4595000000002</v>
      </c>
      <c r="D706">
        <f t="shared" ref="D706:D769" si="11">B706*C706*2</f>
        <v>0</v>
      </c>
    </row>
    <row r="707" spans="1:4" x14ac:dyDescent="0.35">
      <c r="A707" t="s">
        <v>737</v>
      </c>
      <c r="B707">
        <v>36</v>
      </c>
      <c r="C707">
        <f>Earnings!C707/160</f>
        <v>2594.2020000000002</v>
      </c>
      <c r="D707">
        <f t="shared" si="11"/>
        <v>186782.54400000002</v>
      </c>
    </row>
    <row r="708" spans="1:4" x14ac:dyDescent="0.35">
      <c r="A708" t="s">
        <v>738</v>
      </c>
      <c r="B708">
        <v>21.6</v>
      </c>
      <c r="C708">
        <f>Earnings!C708/160</f>
        <v>1601.6969999999999</v>
      </c>
      <c r="D708">
        <f t="shared" si="11"/>
        <v>69193.310400000002</v>
      </c>
    </row>
    <row r="709" spans="1:4" x14ac:dyDescent="0.35">
      <c r="A709" t="s">
        <v>739</v>
      </c>
      <c r="B709">
        <v>23.8</v>
      </c>
      <c r="C709">
        <f>Earnings!C709/160</f>
        <v>2132.7179999999998</v>
      </c>
      <c r="D709">
        <f t="shared" si="11"/>
        <v>101517.3768</v>
      </c>
    </row>
    <row r="710" spans="1:4" x14ac:dyDescent="0.35">
      <c r="A710" t="s">
        <v>740</v>
      </c>
      <c r="B710">
        <v>8.4</v>
      </c>
      <c r="C710">
        <f>Earnings!C710/160</f>
        <v>4926.0609999999997</v>
      </c>
      <c r="D710">
        <f t="shared" si="11"/>
        <v>82757.824800000002</v>
      </c>
    </row>
    <row r="711" spans="1:4" x14ac:dyDescent="0.35">
      <c r="A711" t="s">
        <v>741</v>
      </c>
      <c r="B711">
        <v>0</v>
      </c>
      <c r="C711">
        <f>Earnings!C711/160</f>
        <v>2286.9029999999998</v>
      </c>
      <c r="D711">
        <f t="shared" si="11"/>
        <v>0</v>
      </c>
    </row>
    <row r="712" spans="1:4" x14ac:dyDescent="0.35">
      <c r="A712" t="s">
        <v>742</v>
      </c>
      <c r="B712">
        <v>0</v>
      </c>
      <c r="C712">
        <f>Earnings!C712/160</f>
        <v>2925.5940000000001</v>
      </c>
      <c r="D712">
        <f t="shared" si="11"/>
        <v>0</v>
      </c>
    </row>
    <row r="713" spans="1:4" x14ac:dyDescent="0.35">
      <c r="A713" t="s">
        <v>743</v>
      </c>
      <c r="B713">
        <v>0</v>
      </c>
      <c r="C713">
        <f>Earnings!C713/160</f>
        <v>2823.6060000000002</v>
      </c>
      <c r="D713">
        <f t="shared" si="11"/>
        <v>0</v>
      </c>
    </row>
    <row r="714" spans="1:4" x14ac:dyDescent="0.35">
      <c r="A714" t="s">
        <v>744</v>
      </c>
      <c r="B714">
        <v>0</v>
      </c>
      <c r="C714">
        <f>Earnings!C714/160</f>
        <v>2211.0299999999997</v>
      </c>
      <c r="D714">
        <f t="shared" si="11"/>
        <v>0</v>
      </c>
    </row>
    <row r="715" spans="1:4" x14ac:dyDescent="0.35">
      <c r="A715" t="s">
        <v>745</v>
      </c>
      <c r="B715">
        <v>30</v>
      </c>
      <c r="C715">
        <f>Earnings!C715/160</f>
        <v>2069.607</v>
      </c>
      <c r="D715">
        <f t="shared" si="11"/>
        <v>124176.42</v>
      </c>
    </row>
    <row r="716" spans="1:4" x14ac:dyDescent="0.35">
      <c r="A716" t="s">
        <v>746</v>
      </c>
      <c r="B716">
        <v>21</v>
      </c>
      <c r="C716">
        <f>Earnings!C716/160</f>
        <v>2324.0034999999998</v>
      </c>
      <c r="D716">
        <f t="shared" si="11"/>
        <v>97608.146999999997</v>
      </c>
    </row>
    <row r="717" spans="1:4" x14ac:dyDescent="0.35">
      <c r="A717" t="s">
        <v>747</v>
      </c>
      <c r="B717">
        <v>14</v>
      </c>
      <c r="C717">
        <f>Earnings!C717/160</f>
        <v>3259.803375</v>
      </c>
      <c r="D717">
        <f t="shared" si="11"/>
        <v>91274.494500000001</v>
      </c>
    </row>
    <row r="718" spans="1:4" x14ac:dyDescent="0.35">
      <c r="A718" t="s">
        <v>748</v>
      </c>
      <c r="B718">
        <v>0</v>
      </c>
      <c r="C718">
        <f>Earnings!C718/160</f>
        <v>4242.6251874999998</v>
      </c>
      <c r="D718">
        <f t="shared" si="11"/>
        <v>0</v>
      </c>
    </row>
    <row r="719" spans="1:4" x14ac:dyDescent="0.35">
      <c r="A719" t="s">
        <v>749</v>
      </c>
      <c r="B719">
        <v>0</v>
      </c>
      <c r="C719">
        <f>Earnings!C719/160</f>
        <v>2709.1619999999998</v>
      </c>
      <c r="D719">
        <f t="shared" si="11"/>
        <v>0</v>
      </c>
    </row>
    <row r="720" spans="1:4" x14ac:dyDescent="0.35">
      <c r="A720" t="s">
        <v>750</v>
      </c>
      <c r="B720">
        <v>0</v>
      </c>
      <c r="C720">
        <f>Earnings!C720/160</f>
        <v>2220.183</v>
      </c>
      <c r="D720">
        <f t="shared" si="11"/>
        <v>0</v>
      </c>
    </row>
    <row r="721" spans="1:4" x14ac:dyDescent="0.35">
      <c r="A721" t="s">
        <v>751</v>
      </c>
      <c r="B721">
        <v>18</v>
      </c>
      <c r="C721">
        <f>Earnings!C721/160</f>
        <v>2930.442</v>
      </c>
      <c r="D721">
        <f t="shared" si="11"/>
        <v>105495.912</v>
      </c>
    </row>
    <row r="722" spans="1:4" x14ac:dyDescent="0.35">
      <c r="A722" t="s">
        <v>752</v>
      </c>
      <c r="B722">
        <v>0</v>
      </c>
      <c r="C722">
        <f>Earnings!C722/160</f>
        <v>5545.3320000000003</v>
      </c>
      <c r="D722">
        <f t="shared" si="11"/>
        <v>0</v>
      </c>
    </row>
    <row r="723" spans="1:4" x14ac:dyDescent="0.35">
      <c r="A723" t="s">
        <v>753</v>
      </c>
      <c r="B723">
        <v>0</v>
      </c>
      <c r="C723">
        <f>Earnings!C723/160</f>
        <v>1387.4124999999999</v>
      </c>
      <c r="D723">
        <f t="shared" si="11"/>
        <v>0</v>
      </c>
    </row>
    <row r="724" spans="1:4" x14ac:dyDescent="0.35">
      <c r="A724" t="s">
        <v>754</v>
      </c>
      <c r="B724">
        <v>0</v>
      </c>
      <c r="C724">
        <f>Earnings!C724/160</f>
        <v>3437.9519999999998</v>
      </c>
      <c r="D724">
        <f t="shared" si="11"/>
        <v>0</v>
      </c>
    </row>
    <row r="725" spans="1:4" x14ac:dyDescent="0.35">
      <c r="A725" t="s">
        <v>755</v>
      </c>
      <c r="B725">
        <v>0</v>
      </c>
      <c r="C725">
        <f>Earnings!C725/160</f>
        <v>3325.8239999999996</v>
      </c>
      <c r="D725">
        <f t="shared" si="11"/>
        <v>0</v>
      </c>
    </row>
    <row r="726" spans="1:4" x14ac:dyDescent="0.35">
      <c r="A726" t="s">
        <v>756</v>
      </c>
      <c r="B726">
        <v>0</v>
      </c>
      <c r="C726">
        <f>Earnings!C726/160</f>
        <v>1943.7047500000001</v>
      </c>
      <c r="D726">
        <f t="shared" si="11"/>
        <v>0</v>
      </c>
    </row>
    <row r="727" spans="1:4" x14ac:dyDescent="0.35">
      <c r="A727" t="s">
        <v>757</v>
      </c>
      <c r="B727">
        <v>0</v>
      </c>
      <c r="C727">
        <f>Earnings!C727/160</f>
        <v>5146.6375625000001</v>
      </c>
      <c r="D727">
        <f t="shared" si="11"/>
        <v>0</v>
      </c>
    </row>
    <row r="728" spans="1:4" x14ac:dyDescent="0.35">
      <c r="A728" t="s">
        <v>758</v>
      </c>
      <c r="B728">
        <v>12.6</v>
      </c>
      <c r="C728">
        <f>Earnings!C728/160</f>
        <v>3981.7434999999996</v>
      </c>
      <c r="D728">
        <f t="shared" si="11"/>
        <v>100339.93619999998</v>
      </c>
    </row>
    <row r="729" spans="1:4" x14ac:dyDescent="0.35">
      <c r="A729" t="s">
        <v>759</v>
      </c>
      <c r="B729">
        <v>0</v>
      </c>
      <c r="C729">
        <f>Earnings!C729/160</f>
        <v>2788.7012500000001</v>
      </c>
      <c r="D729">
        <f t="shared" si="11"/>
        <v>0</v>
      </c>
    </row>
    <row r="730" spans="1:4" x14ac:dyDescent="0.35">
      <c r="A730" t="s">
        <v>760</v>
      </c>
      <c r="B730">
        <v>15</v>
      </c>
      <c r="C730">
        <f>Earnings!C730/160</f>
        <v>2563.6818749999998</v>
      </c>
      <c r="D730">
        <f t="shared" si="11"/>
        <v>76910.456249999988</v>
      </c>
    </row>
    <row r="731" spans="1:4" x14ac:dyDescent="0.35">
      <c r="A731" t="s">
        <v>761</v>
      </c>
      <c r="B731">
        <v>39.200000000000003</v>
      </c>
      <c r="C731">
        <f>Earnings!C731/160</f>
        <v>1684.7950000000001</v>
      </c>
      <c r="D731">
        <f t="shared" si="11"/>
        <v>132087.92800000001</v>
      </c>
    </row>
    <row r="732" spans="1:4" x14ac:dyDescent="0.35">
      <c r="A732" t="s">
        <v>762</v>
      </c>
      <c r="B732">
        <v>0</v>
      </c>
      <c r="C732">
        <f>Earnings!C732/160</f>
        <v>3152.31</v>
      </c>
      <c r="D732">
        <f t="shared" si="11"/>
        <v>0</v>
      </c>
    </row>
    <row r="733" spans="1:4" x14ac:dyDescent="0.35">
      <c r="A733" t="s">
        <v>763</v>
      </c>
      <c r="B733">
        <v>0</v>
      </c>
      <c r="C733">
        <f>Earnings!C733/160</f>
        <v>1472.69</v>
      </c>
      <c r="D733">
        <f t="shared" si="11"/>
        <v>0</v>
      </c>
    </row>
    <row r="734" spans="1:4" x14ac:dyDescent="0.35">
      <c r="A734" t="s">
        <v>764</v>
      </c>
      <c r="B734">
        <v>0</v>
      </c>
      <c r="C734">
        <f>Earnings!C734/160</f>
        <v>1562.876</v>
      </c>
      <c r="D734">
        <f t="shared" si="11"/>
        <v>0</v>
      </c>
    </row>
    <row r="735" spans="1:4" x14ac:dyDescent="0.35">
      <c r="A735" t="s">
        <v>765</v>
      </c>
      <c r="B735">
        <v>0</v>
      </c>
      <c r="C735">
        <f>Earnings!C735/160</f>
        <v>2849.7012500000001</v>
      </c>
      <c r="D735">
        <f t="shared" si="11"/>
        <v>0</v>
      </c>
    </row>
    <row r="736" spans="1:4" x14ac:dyDescent="0.35">
      <c r="A736" t="s">
        <v>766</v>
      </c>
      <c r="B736">
        <v>0</v>
      </c>
      <c r="C736">
        <f>Earnings!C736/160</f>
        <v>3652.6315000000004</v>
      </c>
      <c r="D736">
        <f t="shared" si="11"/>
        <v>0</v>
      </c>
    </row>
    <row r="737" spans="1:4" x14ac:dyDescent="0.35">
      <c r="A737" t="s">
        <v>767</v>
      </c>
      <c r="B737">
        <v>0</v>
      </c>
      <c r="C737">
        <f>Earnings!C737/160</f>
        <v>836.22250000000008</v>
      </c>
      <c r="D737">
        <f t="shared" si="11"/>
        <v>0</v>
      </c>
    </row>
    <row r="738" spans="1:4" x14ac:dyDescent="0.35">
      <c r="A738" t="s">
        <v>768</v>
      </c>
      <c r="B738">
        <v>8.4</v>
      </c>
      <c r="C738">
        <f>Earnings!C738/160</f>
        <v>4245.9620000000004</v>
      </c>
      <c r="D738">
        <f t="shared" si="11"/>
        <v>71332.161600000007</v>
      </c>
    </row>
    <row r="739" spans="1:4" x14ac:dyDescent="0.35">
      <c r="A739" t="s">
        <v>769</v>
      </c>
      <c r="B739">
        <v>0</v>
      </c>
      <c r="C739">
        <f>Earnings!C739/160</f>
        <v>4695.0230000000001</v>
      </c>
      <c r="D739">
        <f t="shared" si="11"/>
        <v>0</v>
      </c>
    </row>
    <row r="740" spans="1:4" x14ac:dyDescent="0.35">
      <c r="A740" t="s">
        <v>770</v>
      </c>
      <c r="B740">
        <v>0</v>
      </c>
      <c r="C740">
        <f>Earnings!C740/160</f>
        <v>3356.8429999999998</v>
      </c>
      <c r="D740">
        <f t="shared" si="11"/>
        <v>0</v>
      </c>
    </row>
    <row r="741" spans="1:4" x14ac:dyDescent="0.35">
      <c r="A741" t="s">
        <v>771</v>
      </c>
      <c r="B741">
        <v>0</v>
      </c>
      <c r="C741">
        <f>Earnings!C741/160</f>
        <v>2754.0099999999998</v>
      </c>
      <c r="D741">
        <f t="shared" si="11"/>
        <v>0</v>
      </c>
    </row>
    <row r="742" spans="1:4" x14ac:dyDescent="0.35">
      <c r="A742" t="s">
        <v>772</v>
      </c>
      <c r="B742">
        <v>12.6</v>
      </c>
      <c r="C742">
        <f>Earnings!C742/160</f>
        <v>3408.0418749999999</v>
      </c>
      <c r="D742">
        <f t="shared" si="11"/>
        <v>85882.655249999996</v>
      </c>
    </row>
    <row r="743" spans="1:4" x14ac:dyDescent="0.35">
      <c r="A743" t="s">
        <v>773</v>
      </c>
      <c r="B743">
        <v>0</v>
      </c>
      <c r="C743">
        <f>Earnings!C743/160</f>
        <v>2483.3220000000001</v>
      </c>
      <c r="D743">
        <f t="shared" si="11"/>
        <v>0</v>
      </c>
    </row>
    <row r="744" spans="1:4" x14ac:dyDescent="0.35">
      <c r="A744" t="s">
        <v>774</v>
      </c>
      <c r="B744">
        <v>22.4</v>
      </c>
      <c r="C744">
        <f>Earnings!C744/160</f>
        <v>4217.8489374999999</v>
      </c>
      <c r="D744">
        <f t="shared" si="11"/>
        <v>188959.63239999997</v>
      </c>
    </row>
    <row r="745" spans="1:4" x14ac:dyDescent="0.35">
      <c r="A745" t="s">
        <v>775</v>
      </c>
      <c r="B745">
        <v>7</v>
      </c>
      <c r="C745">
        <f>Earnings!C745/160</f>
        <v>3602.4446250000001</v>
      </c>
      <c r="D745">
        <f t="shared" si="11"/>
        <v>50434.224750000001</v>
      </c>
    </row>
    <row r="746" spans="1:4" x14ac:dyDescent="0.35">
      <c r="A746" t="s">
        <v>776</v>
      </c>
      <c r="B746">
        <v>30</v>
      </c>
      <c r="C746">
        <f>Earnings!C746/160</f>
        <v>1636.8510000000001</v>
      </c>
      <c r="D746">
        <f t="shared" si="11"/>
        <v>98211.060000000012</v>
      </c>
    </row>
    <row r="747" spans="1:4" x14ac:dyDescent="0.35">
      <c r="A747" t="s">
        <v>777</v>
      </c>
      <c r="B747">
        <v>0</v>
      </c>
      <c r="C747">
        <f>Earnings!C747/160</f>
        <v>3888.87</v>
      </c>
      <c r="D747">
        <f t="shared" si="11"/>
        <v>0</v>
      </c>
    </row>
    <row r="748" spans="1:4" x14ac:dyDescent="0.35">
      <c r="A748" t="s">
        <v>778</v>
      </c>
      <c r="B748">
        <v>0</v>
      </c>
      <c r="C748">
        <f>Earnings!C748/160</f>
        <v>3062.4627499999997</v>
      </c>
      <c r="D748">
        <f t="shared" si="11"/>
        <v>0</v>
      </c>
    </row>
    <row r="749" spans="1:4" x14ac:dyDescent="0.35">
      <c r="A749" t="s">
        <v>779</v>
      </c>
      <c r="B749">
        <v>25</v>
      </c>
      <c r="C749">
        <f>Earnings!C749/160</f>
        <v>2437.935125</v>
      </c>
      <c r="D749">
        <f t="shared" si="11"/>
        <v>121896.75625000001</v>
      </c>
    </row>
    <row r="750" spans="1:4" x14ac:dyDescent="0.35">
      <c r="A750" t="s">
        <v>780</v>
      </c>
      <c r="B750">
        <v>17</v>
      </c>
      <c r="C750">
        <f>Earnings!C750/160</f>
        <v>2318.9402500000001</v>
      </c>
      <c r="D750">
        <f t="shared" si="11"/>
        <v>78843.968500000003</v>
      </c>
    </row>
    <row r="751" spans="1:4" x14ac:dyDescent="0.35">
      <c r="A751" t="s">
        <v>781</v>
      </c>
      <c r="B751">
        <v>11.2</v>
      </c>
      <c r="C751">
        <f>Earnings!C751/160</f>
        <v>3846.5993750000002</v>
      </c>
      <c r="D751">
        <f t="shared" si="11"/>
        <v>86163.826000000001</v>
      </c>
    </row>
    <row r="752" spans="1:4" x14ac:dyDescent="0.35">
      <c r="A752" t="s">
        <v>782</v>
      </c>
      <c r="B752">
        <v>21</v>
      </c>
      <c r="C752">
        <f>Earnings!C752/160</f>
        <v>1512.2337499999999</v>
      </c>
      <c r="D752">
        <f t="shared" si="11"/>
        <v>63513.817499999997</v>
      </c>
    </row>
    <row r="753" spans="1:4" x14ac:dyDescent="0.35">
      <c r="A753" t="s">
        <v>783</v>
      </c>
      <c r="B753">
        <v>9.6</v>
      </c>
      <c r="C753">
        <f>Earnings!C753/160</f>
        <v>1431.2069999999999</v>
      </c>
      <c r="D753">
        <f t="shared" si="11"/>
        <v>27479.174399999996</v>
      </c>
    </row>
    <row r="754" spans="1:4" x14ac:dyDescent="0.35">
      <c r="A754" t="s">
        <v>784</v>
      </c>
      <c r="B754">
        <v>0</v>
      </c>
      <c r="C754">
        <f>Earnings!C754/160</f>
        <v>2671.7040000000002</v>
      </c>
      <c r="D754">
        <f t="shared" si="11"/>
        <v>0</v>
      </c>
    </row>
    <row r="755" spans="1:4" x14ac:dyDescent="0.35">
      <c r="A755" t="s">
        <v>785</v>
      </c>
      <c r="B755">
        <v>0</v>
      </c>
      <c r="C755">
        <f>Earnings!C755/160</f>
        <v>4961.5303125</v>
      </c>
      <c r="D755">
        <f t="shared" si="11"/>
        <v>0</v>
      </c>
    </row>
    <row r="756" spans="1:4" x14ac:dyDescent="0.35">
      <c r="A756" t="s">
        <v>786</v>
      </c>
      <c r="B756">
        <v>0</v>
      </c>
      <c r="C756">
        <f>Earnings!C756/160</f>
        <v>3670.5173750000004</v>
      </c>
      <c r="D756">
        <f t="shared" si="11"/>
        <v>0</v>
      </c>
    </row>
    <row r="757" spans="1:4" x14ac:dyDescent="0.35">
      <c r="A757" t="s">
        <v>787</v>
      </c>
      <c r="B757">
        <v>0</v>
      </c>
      <c r="C757">
        <f>Earnings!C757/160</f>
        <v>1695.693</v>
      </c>
      <c r="D757">
        <f t="shared" si="11"/>
        <v>0</v>
      </c>
    </row>
    <row r="758" spans="1:4" x14ac:dyDescent="0.35">
      <c r="A758" t="s">
        <v>788</v>
      </c>
      <c r="B758">
        <v>39.200000000000003</v>
      </c>
      <c r="C758">
        <f>Earnings!C758/160</f>
        <v>3784.8615</v>
      </c>
      <c r="D758">
        <f t="shared" si="11"/>
        <v>296733.14160000003</v>
      </c>
    </row>
    <row r="759" spans="1:4" x14ac:dyDescent="0.35">
      <c r="A759" t="s">
        <v>789</v>
      </c>
      <c r="B759">
        <v>0</v>
      </c>
      <c r="C759">
        <f>Earnings!C759/160</f>
        <v>2388.4938124999999</v>
      </c>
      <c r="D759">
        <f t="shared" si="11"/>
        <v>0</v>
      </c>
    </row>
    <row r="760" spans="1:4" x14ac:dyDescent="0.35">
      <c r="A760" t="s">
        <v>790</v>
      </c>
      <c r="B760">
        <v>12</v>
      </c>
      <c r="C760">
        <f>Earnings!C760/160</f>
        <v>2614.1580000000004</v>
      </c>
      <c r="D760">
        <f t="shared" si="11"/>
        <v>62739.792000000009</v>
      </c>
    </row>
    <row r="761" spans="1:4" x14ac:dyDescent="0.35">
      <c r="A761" t="s">
        <v>791</v>
      </c>
      <c r="B761">
        <v>0</v>
      </c>
      <c r="C761">
        <f>Earnings!C761/160</f>
        <v>2346.7051875000002</v>
      </c>
      <c r="D761">
        <f t="shared" si="11"/>
        <v>0</v>
      </c>
    </row>
    <row r="762" spans="1:4" x14ac:dyDescent="0.35">
      <c r="A762" t="s">
        <v>792</v>
      </c>
      <c r="B762">
        <v>27.6</v>
      </c>
      <c r="C762">
        <f>Earnings!C762/160</f>
        <v>2749.3522499999999</v>
      </c>
      <c r="D762">
        <f t="shared" si="11"/>
        <v>151764.24420000002</v>
      </c>
    </row>
    <row r="763" spans="1:4" x14ac:dyDescent="0.35">
      <c r="A763" t="s">
        <v>793</v>
      </c>
      <c r="B763">
        <v>0</v>
      </c>
      <c r="C763">
        <f>Earnings!C763/160</f>
        <v>4206.3907500000005</v>
      </c>
      <c r="D763">
        <f t="shared" si="11"/>
        <v>0</v>
      </c>
    </row>
    <row r="764" spans="1:4" x14ac:dyDescent="0.35">
      <c r="A764" t="s">
        <v>794</v>
      </c>
      <c r="B764">
        <v>8.4</v>
      </c>
      <c r="C764">
        <f>Earnings!C764/160</f>
        <v>2127.5050624999999</v>
      </c>
      <c r="D764">
        <f t="shared" si="11"/>
        <v>35742.085050000002</v>
      </c>
    </row>
    <row r="765" spans="1:4" x14ac:dyDescent="0.35">
      <c r="A765" t="s">
        <v>795</v>
      </c>
      <c r="B765">
        <v>0</v>
      </c>
      <c r="C765">
        <f>Earnings!C765/160</f>
        <v>3023.4191875000001</v>
      </c>
      <c r="D765">
        <f t="shared" si="11"/>
        <v>0</v>
      </c>
    </row>
    <row r="766" spans="1:4" x14ac:dyDescent="0.35">
      <c r="A766" t="s">
        <v>796</v>
      </c>
      <c r="B766">
        <v>0</v>
      </c>
      <c r="C766">
        <f>Earnings!C766/160</f>
        <v>1936.1546249999999</v>
      </c>
      <c r="D766">
        <f t="shared" si="11"/>
        <v>0</v>
      </c>
    </row>
    <row r="767" spans="1:4" x14ac:dyDescent="0.35">
      <c r="A767" t="s">
        <v>797</v>
      </c>
      <c r="B767">
        <v>30.8</v>
      </c>
      <c r="C767">
        <f>Earnings!C767/160</f>
        <v>2684.7764999999999</v>
      </c>
      <c r="D767">
        <f t="shared" si="11"/>
        <v>165382.23240000001</v>
      </c>
    </row>
    <row r="768" spans="1:4" x14ac:dyDescent="0.35">
      <c r="A768" t="s">
        <v>798</v>
      </c>
      <c r="B768">
        <v>0</v>
      </c>
      <c r="C768">
        <f>Earnings!C768/160</f>
        <v>2351.319</v>
      </c>
      <c r="D768">
        <f t="shared" si="11"/>
        <v>0</v>
      </c>
    </row>
    <row r="769" spans="1:4" x14ac:dyDescent="0.35">
      <c r="A769" t="s">
        <v>799</v>
      </c>
      <c r="B769">
        <v>0</v>
      </c>
      <c r="C769">
        <f>Earnings!C769/160</f>
        <v>1461.5650000000001</v>
      </c>
      <c r="D769">
        <f t="shared" si="11"/>
        <v>0</v>
      </c>
    </row>
    <row r="770" spans="1:4" x14ac:dyDescent="0.35">
      <c r="A770" t="s">
        <v>800</v>
      </c>
      <c r="B770">
        <v>21.6</v>
      </c>
      <c r="C770">
        <f>Earnings!C770/160</f>
        <v>2941.1173750000003</v>
      </c>
      <c r="D770">
        <f t="shared" ref="D770:D833" si="12">B770*C770*2</f>
        <v>127056.27060000002</v>
      </c>
    </row>
    <row r="771" spans="1:4" x14ac:dyDescent="0.35">
      <c r="A771" t="s">
        <v>801</v>
      </c>
      <c r="B771">
        <v>0</v>
      </c>
      <c r="C771">
        <f>Earnings!C771/160</f>
        <v>1287.846</v>
      </c>
      <c r="D771">
        <f t="shared" si="12"/>
        <v>0</v>
      </c>
    </row>
    <row r="772" spans="1:4" x14ac:dyDescent="0.35">
      <c r="A772" t="s">
        <v>802</v>
      </c>
      <c r="B772">
        <v>10.199999999999999</v>
      </c>
      <c r="C772">
        <f>Earnings!C772/160</f>
        <v>3633.0797499999999</v>
      </c>
      <c r="D772">
        <f t="shared" si="12"/>
        <v>74114.826899999985</v>
      </c>
    </row>
    <row r="773" spans="1:4" x14ac:dyDescent="0.35">
      <c r="A773" t="s">
        <v>803</v>
      </c>
      <c r="B773">
        <v>0</v>
      </c>
      <c r="C773">
        <f>Earnings!C773/160</f>
        <v>3542.7107499999997</v>
      </c>
      <c r="D773">
        <f t="shared" si="12"/>
        <v>0</v>
      </c>
    </row>
    <row r="774" spans="1:4" x14ac:dyDescent="0.35">
      <c r="A774" t="s">
        <v>804</v>
      </c>
      <c r="B774">
        <v>0</v>
      </c>
      <c r="C774">
        <f>Earnings!C774/160</f>
        <v>3485.4889374999998</v>
      </c>
      <c r="D774">
        <f t="shared" si="12"/>
        <v>0</v>
      </c>
    </row>
    <row r="775" spans="1:4" x14ac:dyDescent="0.35">
      <c r="A775" t="s">
        <v>805</v>
      </c>
      <c r="B775">
        <v>0</v>
      </c>
      <c r="C775">
        <f>Earnings!C775/160</f>
        <v>4868.3488749999997</v>
      </c>
      <c r="D775">
        <f t="shared" si="12"/>
        <v>0</v>
      </c>
    </row>
    <row r="776" spans="1:4" x14ac:dyDescent="0.35">
      <c r="A776" t="s">
        <v>806</v>
      </c>
      <c r="B776">
        <v>27.6</v>
      </c>
      <c r="C776">
        <f>Earnings!C776/160</f>
        <v>1881.0540000000001</v>
      </c>
      <c r="D776">
        <f t="shared" si="12"/>
        <v>103834.18080000002</v>
      </c>
    </row>
    <row r="777" spans="1:4" x14ac:dyDescent="0.35">
      <c r="A777" t="s">
        <v>807</v>
      </c>
      <c r="B777">
        <v>42</v>
      </c>
      <c r="C777">
        <f>Earnings!C777/160</f>
        <v>3121.8092499999998</v>
      </c>
      <c r="D777">
        <f t="shared" si="12"/>
        <v>262231.97699999996</v>
      </c>
    </row>
    <row r="778" spans="1:4" x14ac:dyDescent="0.35">
      <c r="A778" t="s">
        <v>808</v>
      </c>
      <c r="B778">
        <v>14</v>
      </c>
      <c r="C778">
        <f>Earnings!C778/160</f>
        <v>4776.4535000000005</v>
      </c>
      <c r="D778">
        <f t="shared" si="12"/>
        <v>133740.698</v>
      </c>
    </row>
    <row r="779" spans="1:4" x14ac:dyDescent="0.35">
      <c r="A779" t="s">
        <v>809</v>
      </c>
      <c r="B779">
        <v>20</v>
      </c>
      <c r="C779">
        <f>Earnings!C779/160</f>
        <v>1238.28</v>
      </c>
      <c r="D779">
        <f t="shared" si="12"/>
        <v>49531.199999999997</v>
      </c>
    </row>
    <row r="780" spans="1:4" x14ac:dyDescent="0.35">
      <c r="A780" t="s">
        <v>810</v>
      </c>
      <c r="B780">
        <v>18.2</v>
      </c>
      <c r="C780">
        <f>Earnings!C780/160</f>
        <v>2775.0316874999999</v>
      </c>
      <c r="D780">
        <f t="shared" si="12"/>
        <v>101011.153425</v>
      </c>
    </row>
    <row r="781" spans="1:4" x14ac:dyDescent="0.35">
      <c r="A781" t="s">
        <v>811</v>
      </c>
      <c r="B781">
        <v>0</v>
      </c>
      <c r="C781">
        <f>Earnings!C781/160</f>
        <v>1523.578</v>
      </c>
      <c r="D781">
        <f t="shared" si="12"/>
        <v>0</v>
      </c>
    </row>
    <row r="782" spans="1:4" x14ac:dyDescent="0.35">
      <c r="A782" t="s">
        <v>812</v>
      </c>
      <c r="B782">
        <v>0</v>
      </c>
      <c r="C782">
        <f>Earnings!C782/160</f>
        <v>2388.8849999999998</v>
      </c>
      <c r="D782">
        <f t="shared" si="12"/>
        <v>0</v>
      </c>
    </row>
    <row r="783" spans="1:4" x14ac:dyDescent="0.35">
      <c r="A783" t="s">
        <v>813</v>
      </c>
      <c r="B783">
        <v>0</v>
      </c>
      <c r="C783">
        <f>Earnings!C783/160</f>
        <v>3557.7101250000001</v>
      </c>
      <c r="D783">
        <f t="shared" si="12"/>
        <v>0</v>
      </c>
    </row>
    <row r="784" spans="1:4" x14ac:dyDescent="0.35">
      <c r="A784" t="s">
        <v>814</v>
      </c>
      <c r="B784">
        <v>11.2</v>
      </c>
      <c r="C784">
        <f>Earnings!C784/160</f>
        <v>2485.7525000000001</v>
      </c>
      <c r="D784">
        <f t="shared" si="12"/>
        <v>55680.856</v>
      </c>
    </row>
    <row r="785" spans="1:4" x14ac:dyDescent="0.35">
      <c r="A785" t="s">
        <v>815</v>
      </c>
      <c r="B785">
        <v>0</v>
      </c>
      <c r="C785">
        <f>Earnings!C785/160</f>
        <v>2085.58</v>
      </c>
      <c r="D785">
        <f t="shared" si="12"/>
        <v>0</v>
      </c>
    </row>
    <row r="786" spans="1:4" x14ac:dyDescent="0.35">
      <c r="A786" t="s">
        <v>816</v>
      </c>
      <c r="B786">
        <v>13.6</v>
      </c>
      <c r="C786">
        <f>Earnings!C786/160</f>
        <v>2634.9775</v>
      </c>
      <c r="D786">
        <f t="shared" si="12"/>
        <v>71671.387999999992</v>
      </c>
    </row>
    <row r="787" spans="1:4" x14ac:dyDescent="0.35">
      <c r="A787" t="s">
        <v>817</v>
      </c>
      <c r="B787">
        <v>36</v>
      </c>
      <c r="C787">
        <f>Earnings!C787/160</f>
        <v>2949.9124375000001</v>
      </c>
      <c r="D787">
        <f t="shared" si="12"/>
        <v>212393.6955</v>
      </c>
    </row>
    <row r="788" spans="1:4" x14ac:dyDescent="0.35">
      <c r="A788" t="s">
        <v>818</v>
      </c>
      <c r="B788">
        <v>40.799999999999997</v>
      </c>
      <c r="C788">
        <f>Earnings!C788/160</f>
        <v>2308.6061875</v>
      </c>
      <c r="D788">
        <f t="shared" si="12"/>
        <v>188382.26489999998</v>
      </c>
    </row>
    <row r="789" spans="1:4" x14ac:dyDescent="0.35">
      <c r="A789" t="s">
        <v>819</v>
      </c>
      <c r="B789">
        <v>0</v>
      </c>
      <c r="C789">
        <f>Earnings!C789/160</f>
        <v>4749.2103125000003</v>
      </c>
      <c r="D789">
        <f t="shared" si="12"/>
        <v>0</v>
      </c>
    </row>
    <row r="790" spans="1:4" x14ac:dyDescent="0.35">
      <c r="A790" t="s">
        <v>820</v>
      </c>
      <c r="B790">
        <v>12</v>
      </c>
      <c r="C790">
        <f>Earnings!C790/160</f>
        <v>1420.8161875000001</v>
      </c>
      <c r="D790">
        <f t="shared" si="12"/>
        <v>34099.588499999998</v>
      </c>
    </row>
    <row r="791" spans="1:4" x14ac:dyDescent="0.35">
      <c r="A791" t="s">
        <v>821</v>
      </c>
      <c r="B791">
        <v>8.4</v>
      </c>
      <c r="C791">
        <f>Earnings!C791/160</f>
        <v>2275.8446875</v>
      </c>
      <c r="D791">
        <f t="shared" si="12"/>
        <v>38234.190750000002</v>
      </c>
    </row>
    <row r="792" spans="1:4" x14ac:dyDescent="0.35">
      <c r="A792" t="s">
        <v>822</v>
      </c>
      <c r="B792">
        <v>0</v>
      </c>
      <c r="C792">
        <f>Earnings!C792/160</f>
        <v>3447.7221875000005</v>
      </c>
      <c r="D792">
        <f t="shared" si="12"/>
        <v>0</v>
      </c>
    </row>
    <row r="793" spans="1:4" x14ac:dyDescent="0.35">
      <c r="A793" t="s">
        <v>823</v>
      </c>
      <c r="B793">
        <v>22.4</v>
      </c>
      <c r="C793">
        <f>Earnings!C793/160</f>
        <v>5071.2800000000007</v>
      </c>
      <c r="D793">
        <f t="shared" si="12"/>
        <v>227193.34400000001</v>
      </c>
    </row>
    <row r="794" spans="1:4" x14ac:dyDescent="0.35">
      <c r="A794" t="s">
        <v>824</v>
      </c>
      <c r="B794">
        <v>0</v>
      </c>
      <c r="C794">
        <f>Earnings!C794/160</f>
        <v>2967.6311249999999</v>
      </c>
      <c r="D794">
        <f t="shared" si="12"/>
        <v>0</v>
      </c>
    </row>
    <row r="795" spans="1:4" x14ac:dyDescent="0.35">
      <c r="A795" t="s">
        <v>825</v>
      </c>
      <c r="B795">
        <v>33.6</v>
      </c>
      <c r="C795">
        <f>Earnings!C795/160</f>
        <v>1769.8158125000002</v>
      </c>
      <c r="D795">
        <f t="shared" si="12"/>
        <v>118931.62260000002</v>
      </c>
    </row>
    <row r="796" spans="1:4" x14ac:dyDescent="0.35">
      <c r="A796" t="s">
        <v>826</v>
      </c>
      <c r="B796">
        <v>0</v>
      </c>
      <c r="C796">
        <f>Earnings!C796/160</f>
        <v>2511.5168750000003</v>
      </c>
      <c r="D796">
        <f t="shared" si="12"/>
        <v>0</v>
      </c>
    </row>
    <row r="797" spans="1:4" x14ac:dyDescent="0.35">
      <c r="A797" t="s">
        <v>827</v>
      </c>
      <c r="B797">
        <v>7.2</v>
      </c>
      <c r="C797">
        <f>Earnings!C797/160</f>
        <v>1555.0654374999999</v>
      </c>
      <c r="D797">
        <f t="shared" si="12"/>
        <v>22392.942299999999</v>
      </c>
    </row>
    <row r="798" spans="1:4" x14ac:dyDescent="0.35">
      <c r="A798" t="s">
        <v>828</v>
      </c>
      <c r="B798">
        <v>0</v>
      </c>
      <c r="C798">
        <f>Earnings!C798/160</f>
        <v>3691.9785000000002</v>
      </c>
      <c r="D798">
        <f t="shared" si="12"/>
        <v>0</v>
      </c>
    </row>
    <row r="799" spans="1:4" x14ac:dyDescent="0.35">
      <c r="A799" t="s">
        <v>829</v>
      </c>
      <c r="B799">
        <v>20.399999999999999</v>
      </c>
      <c r="C799">
        <f>Earnings!C799/160</f>
        <v>3891.3505624999998</v>
      </c>
      <c r="D799">
        <f t="shared" si="12"/>
        <v>158767.10294999997</v>
      </c>
    </row>
    <row r="800" spans="1:4" x14ac:dyDescent="0.35">
      <c r="A800" t="s">
        <v>830</v>
      </c>
      <c r="B800">
        <v>14</v>
      </c>
      <c r="C800">
        <f>Earnings!C800/160</f>
        <v>2473.7349999999997</v>
      </c>
      <c r="D800">
        <f t="shared" si="12"/>
        <v>69264.579999999987</v>
      </c>
    </row>
    <row r="801" spans="1:4" x14ac:dyDescent="0.35">
      <c r="A801" t="s">
        <v>831</v>
      </c>
      <c r="B801">
        <v>0</v>
      </c>
      <c r="C801">
        <f>Earnings!C801/160</f>
        <v>2903.4450000000002</v>
      </c>
      <c r="D801">
        <f t="shared" si="12"/>
        <v>0</v>
      </c>
    </row>
    <row r="802" spans="1:4" x14ac:dyDescent="0.35">
      <c r="A802" t="s">
        <v>832</v>
      </c>
      <c r="B802">
        <v>0</v>
      </c>
      <c r="C802">
        <f>Earnings!C802/160</f>
        <v>2739.2539999999999</v>
      </c>
      <c r="D802">
        <f t="shared" si="12"/>
        <v>0</v>
      </c>
    </row>
    <row r="803" spans="1:4" x14ac:dyDescent="0.35">
      <c r="A803" t="s">
        <v>833</v>
      </c>
      <c r="B803">
        <v>0</v>
      </c>
      <c r="C803">
        <f>Earnings!C803/160</f>
        <v>2573.2725</v>
      </c>
      <c r="D803">
        <f t="shared" si="12"/>
        <v>0</v>
      </c>
    </row>
    <row r="804" spans="1:4" x14ac:dyDescent="0.35">
      <c r="A804" t="s">
        <v>834</v>
      </c>
      <c r="B804">
        <v>0</v>
      </c>
      <c r="C804">
        <f>Earnings!C804/160</f>
        <v>2876.8365624999997</v>
      </c>
      <c r="D804">
        <f t="shared" si="12"/>
        <v>0</v>
      </c>
    </row>
    <row r="805" spans="1:4" x14ac:dyDescent="0.35">
      <c r="A805" t="s">
        <v>835</v>
      </c>
      <c r="B805">
        <v>0</v>
      </c>
      <c r="C805">
        <f>Earnings!C805/160</f>
        <v>2251.1513749999999</v>
      </c>
      <c r="D805">
        <f t="shared" si="12"/>
        <v>0</v>
      </c>
    </row>
    <row r="806" spans="1:4" x14ac:dyDescent="0.35">
      <c r="A806" t="s">
        <v>836</v>
      </c>
      <c r="B806">
        <v>36</v>
      </c>
      <c r="C806">
        <f>Earnings!C806/160</f>
        <v>1478.1011874999999</v>
      </c>
      <c r="D806">
        <f t="shared" si="12"/>
        <v>106423.2855</v>
      </c>
    </row>
    <row r="807" spans="1:4" x14ac:dyDescent="0.35">
      <c r="A807" t="s">
        <v>837</v>
      </c>
      <c r="B807">
        <v>7</v>
      </c>
      <c r="C807">
        <f>Earnings!C807/160</f>
        <v>3277.1898124999998</v>
      </c>
      <c r="D807">
        <f t="shared" si="12"/>
        <v>45880.657374999995</v>
      </c>
    </row>
    <row r="808" spans="1:4" x14ac:dyDescent="0.35">
      <c r="A808" t="s">
        <v>838</v>
      </c>
      <c r="B808">
        <v>0</v>
      </c>
      <c r="C808">
        <f>Earnings!C808/160</f>
        <v>2627.6332499999999</v>
      </c>
      <c r="D808">
        <f t="shared" si="12"/>
        <v>0</v>
      </c>
    </row>
    <row r="809" spans="1:4" x14ac:dyDescent="0.35">
      <c r="A809" t="s">
        <v>839</v>
      </c>
      <c r="B809">
        <v>25.2</v>
      </c>
      <c r="C809">
        <f>Earnings!C809/160</f>
        <v>1715.7599999999998</v>
      </c>
      <c r="D809">
        <f t="shared" si="12"/>
        <v>86474.303999999989</v>
      </c>
    </row>
    <row r="810" spans="1:4" x14ac:dyDescent="0.35">
      <c r="A810" t="s">
        <v>840</v>
      </c>
      <c r="B810">
        <v>15</v>
      </c>
      <c r="C810">
        <f>Earnings!C810/160</f>
        <v>1814.6775000000002</v>
      </c>
      <c r="D810">
        <f t="shared" si="12"/>
        <v>54440.325000000004</v>
      </c>
    </row>
    <row r="811" spans="1:4" x14ac:dyDescent="0.35">
      <c r="A811" t="s">
        <v>841</v>
      </c>
      <c r="B811">
        <v>45.9</v>
      </c>
      <c r="C811">
        <f>Earnings!C811/160</f>
        <v>2724.25</v>
      </c>
      <c r="D811">
        <f t="shared" si="12"/>
        <v>250086.15</v>
      </c>
    </row>
    <row r="812" spans="1:4" x14ac:dyDescent="0.35">
      <c r="A812" t="s">
        <v>842</v>
      </c>
      <c r="B812">
        <v>21.6</v>
      </c>
      <c r="C812">
        <f>Earnings!C812/160</f>
        <v>2485.41</v>
      </c>
      <c r="D812">
        <f t="shared" si="12"/>
        <v>107369.712</v>
      </c>
    </row>
    <row r="813" spans="1:4" x14ac:dyDescent="0.35">
      <c r="A813" t="s">
        <v>843</v>
      </c>
      <c r="B813">
        <v>0</v>
      </c>
      <c r="C813">
        <f>Earnings!C813/160</f>
        <v>3016.3735000000001</v>
      </c>
      <c r="D813">
        <f t="shared" si="12"/>
        <v>0</v>
      </c>
    </row>
    <row r="814" spans="1:4" x14ac:dyDescent="0.35">
      <c r="A814" t="s">
        <v>844</v>
      </c>
      <c r="B814">
        <v>15</v>
      </c>
      <c r="C814">
        <f>Earnings!C814/160</f>
        <v>1633.73</v>
      </c>
      <c r="D814">
        <f t="shared" si="12"/>
        <v>49011.9</v>
      </c>
    </row>
    <row r="815" spans="1:4" x14ac:dyDescent="0.35">
      <c r="A815" t="s">
        <v>845</v>
      </c>
      <c r="B815">
        <v>0</v>
      </c>
      <c r="C815">
        <f>Earnings!C815/160</f>
        <v>4767.0721874999999</v>
      </c>
      <c r="D815">
        <f t="shared" si="12"/>
        <v>0</v>
      </c>
    </row>
    <row r="816" spans="1:4" x14ac:dyDescent="0.35">
      <c r="A816" t="s">
        <v>846</v>
      </c>
      <c r="B816">
        <v>22.4</v>
      </c>
      <c r="C816">
        <f>Earnings!C816/160</f>
        <v>1661.2763749999999</v>
      </c>
      <c r="D816">
        <f t="shared" si="12"/>
        <v>74425.181599999996</v>
      </c>
    </row>
    <row r="817" spans="1:4" x14ac:dyDescent="0.35">
      <c r="A817" t="s">
        <v>847</v>
      </c>
      <c r="B817">
        <v>20.399999999999999</v>
      </c>
      <c r="C817">
        <f>Earnings!C817/160</f>
        <v>2283.078</v>
      </c>
      <c r="D817">
        <f t="shared" si="12"/>
        <v>93149.582399999999</v>
      </c>
    </row>
    <row r="818" spans="1:4" x14ac:dyDescent="0.35">
      <c r="A818" t="s">
        <v>848</v>
      </c>
      <c r="B818">
        <v>35.700000000000003</v>
      </c>
      <c r="C818">
        <f>Earnings!C818/160</f>
        <v>6191.1067499999999</v>
      </c>
      <c r="D818">
        <f t="shared" si="12"/>
        <v>442045.02195000002</v>
      </c>
    </row>
    <row r="819" spans="1:4" x14ac:dyDescent="0.35">
      <c r="A819" t="s">
        <v>849</v>
      </c>
      <c r="B819">
        <v>0</v>
      </c>
      <c r="C819">
        <f>Earnings!C819/160</f>
        <v>3075.6782499999999</v>
      </c>
      <c r="D819">
        <f t="shared" si="12"/>
        <v>0</v>
      </c>
    </row>
    <row r="820" spans="1:4" x14ac:dyDescent="0.35">
      <c r="A820" t="s">
        <v>850</v>
      </c>
      <c r="B820">
        <v>33.6</v>
      </c>
      <c r="C820">
        <f>Earnings!C820/160</f>
        <v>3068.6130000000003</v>
      </c>
      <c r="D820">
        <f t="shared" si="12"/>
        <v>206210.79360000003</v>
      </c>
    </row>
    <row r="821" spans="1:4" x14ac:dyDescent="0.35">
      <c r="A821" t="s">
        <v>851</v>
      </c>
      <c r="B821">
        <v>0</v>
      </c>
      <c r="C821">
        <f>Earnings!C821/160</f>
        <v>2532.8206249999998</v>
      </c>
      <c r="D821">
        <f t="shared" si="12"/>
        <v>0</v>
      </c>
    </row>
    <row r="822" spans="1:4" x14ac:dyDescent="0.35">
      <c r="A822" t="s">
        <v>852</v>
      </c>
      <c r="B822">
        <v>0</v>
      </c>
      <c r="C822">
        <f>Earnings!C822/160</f>
        <v>2301.5425</v>
      </c>
      <c r="D822">
        <f t="shared" si="12"/>
        <v>0</v>
      </c>
    </row>
    <row r="823" spans="1:4" x14ac:dyDescent="0.35">
      <c r="A823" t="s">
        <v>853</v>
      </c>
      <c r="B823">
        <v>0</v>
      </c>
      <c r="C823">
        <f>Earnings!C823/160</f>
        <v>4055.29475</v>
      </c>
      <c r="D823">
        <f t="shared" si="12"/>
        <v>0</v>
      </c>
    </row>
    <row r="824" spans="1:4" x14ac:dyDescent="0.35">
      <c r="A824" t="s">
        <v>854</v>
      </c>
      <c r="B824">
        <v>10.199999999999999</v>
      </c>
      <c r="C824">
        <f>Earnings!C824/160</f>
        <v>3219.9264374999998</v>
      </c>
      <c r="D824">
        <f t="shared" si="12"/>
        <v>65686.499324999997</v>
      </c>
    </row>
    <row r="825" spans="1:4" x14ac:dyDescent="0.35">
      <c r="A825" t="s">
        <v>855</v>
      </c>
      <c r="B825">
        <v>0</v>
      </c>
      <c r="C825">
        <f>Earnings!C825/160</f>
        <v>2053.7004999999999</v>
      </c>
      <c r="D825">
        <f t="shared" si="12"/>
        <v>0</v>
      </c>
    </row>
    <row r="826" spans="1:4" x14ac:dyDescent="0.35">
      <c r="A826" t="s">
        <v>856</v>
      </c>
      <c r="B826">
        <v>22.4</v>
      </c>
      <c r="C826">
        <f>Earnings!C826/160</f>
        <v>5016.7932500000006</v>
      </c>
      <c r="D826">
        <f t="shared" si="12"/>
        <v>224752.33760000003</v>
      </c>
    </row>
    <row r="827" spans="1:4" x14ac:dyDescent="0.35">
      <c r="A827" t="s">
        <v>857</v>
      </c>
      <c r="B827">
        <v>0</v>
      </c>
      <c r="C827">
        <f>Earnings!C827/160</f>
        <v>3194.6965625000003</v>
      </c>
      <c r="D827">
        <f t="shared" si="12"/>
        <v>0</v>
      </c>
    </row>
    <row r="828" spans="1:4" x14ac:dyDescent="0.35">
      <c r="A828" t="s">
        <v>858</v>
      </c>
      <c r="B828">
        <v>25</v>
      </c>
      <c r="C828">
        <f>Earnings!C828/160</f>
        <v>3192.4250000000002</v>
      </c>
      <c r="D828">
        <f t="shared" si="12"/>
        <v>159621.25</v>
      </c>
    </row>
    <row r="829" spans="1:4" x14ac:dyDescent="0.35">
      <c r="A829" t="s">
        <v>859</v>
      </c>
      <c r="B829">
        <v>0</v>
      </c>
      <c r="C829">
        <f>Earnings!C829/160</f>
        <v>2599.3538749999998</v>
      </c>
      <c r="D829">
        <f t="shared" si="12"/>
        <v>0</v>
      </c>
    </row>
    <row r="830" spans="1:4" x14ac:dyDescent="0.35">
      <c r="A830" t="s">
        <v>860</v>
      </c>
      <c r="B830">
        <v>0</v>
      </c>
      <c r="C830">
        <f>Earnings!C830/160</f>
        <v>2373.7673750000004</v>
      </c>
      <c r="D830">
        <f t="shared" si="12"/>
        <v>0</v>
      </c>
    </row>
    <row r="831" spans="1:4" x14ac:dyDescent="0.35">
      <c r="A831" t="s">
        <v>861</v>
      </c>
      <c r="B831">
        <v>20</v>
      </c>
      <c r="C831">
        <f>Earnings!C831/160</f>
        <v>1622.2841249999999</v>
      </c>
      <c r="D831">
        <f t="shared" si="12"/>
        <v>64891.364999999998</v>
      </c>
    </row>
    <row r="832" spans="1:4" x14ac:dyDescent="0.35">
      <c r="A832" t="s">
        <v>862</v>
      </c>
      <c r="B832">
        <v>7.2</v>
      </c>
      <c r="C832">
        <f>Earnings!C832/160</f>
        <v>2333.6398749999998</v>
      </c>
      <c r="D832">
        <f t="shared" si="12"/>
        <v>33604.414199999999</v>
      </c>
    </row>
    <row r="833" spans="1:4" x14ac:dyDescent="0.35">
      <c r="A833" t="s">
        <v>863</v>
      </c>
      <c r="B833">
        <v>0</v>
      </c>
      <c r="C833">
        <f>Earnings!C833/160</f>
        <v>2160.3798125000003</v>
      </c>
      <c r="D833">
        <f t="shared" si="12"/>
        <v>0</v>
      </c>
    </row>
    <row r="834" spans="1:4" x14ac:dyDescent="0.35">
      <c r="A834" t="s">
        <v>864</v>
      </c>
      <c r="B834">
        <v>7.2</v>
      </c>
      <c r="C834">
        <f>Earnings!C834/160</f>
        <v>3382.5330000000004</v>
      </c>
      <c r="D834">
        <f t="shared" ref="D834:D897" si="13">B834*C834*2</f>
        <v>48708.475200000008</v>
      </c>
    </row>
    <row r="835" spans="1:4" x14ac:dyDescent="0.35">
      <c r="A835" t="s">
        <v>865</v>
      </c>
      <c r="B835">
        <v>0</v>
      </c>
      <c r="C835">
        <f>Earnings!C835/160</f>
        <v>2158.3420624999999</v>
      </c>
      <c r="D835">
        <f t="shared" si="13"/>
        <v>0</v>
      </c>
    </row>
    <row r="836" spans="1:4" x14ac:dyDescent="0.35">
      <c r="A836" t="s">
        <v>866</v>
      </c>
      <c r="B836">
        <v>0</v>
      </c>
      <c r="C836">
        <f>Earnings!C836/160</f>
        <v>3128.9349999999999</v>
      </c>
      <c r="D836">
        <f t="shared" si="13"/>
        <v>0</v>
      </c>
    </row>
    <row r="837" spans="1:4" x14ac:dyDescent="0.35">
      <c r="A837" t="s">
        <v>867</v>
      </c>
      <c r="B837">
        <v>20</v>
      </c>
      <c r="C837">
        <f>Earnings!C837/160</f>
        <v>1811.6476250000001</v>
      </c>
      <c r="D837">
        <f t="shared" si="13"/>
        <v>72465.904999999999</v>
      </c>
    </row>
    <row r="838" spans="1:4" x14ac:dyDescent="0.35">
      <c r="A838" t="s">
        <v>868</v>
      </c>
      <c r="B838">
        <v>0</v>
      </c>
      <c r="C838">
        <f>Earnings!C838/160</f>
        <v>2720.4632499999998</v>
      </c>
      <c r="D838">
        <f t="shared" si="13"/>
        <v>0</v>
      </c>
    </row>
    <row r="839" spans="1:4" x14ac:dyDescent="0.35">
      <c r="A839" t="s">
        <v>869</v>
      </c>
      <c r="B839">
        <v>9</v>
      </c>
      <c r="C839">
        <f>Earnings!C839/160</f>
        <v>2253.6349999999998</v>
      </c>
      <c r="D839">
        <f t="shared" si="13"/>
        <v>40565.429999999993</v>
      </c>
    </row>
    <row r="840" spans="1:4" x14ac:dyDescent="0.35">
      <c r="A840" t="s">
        <v>870</v>
      </c>
      <c r="B840">
        <v>40.6</v>
      </c>
      <c r="C840">
        <f>Earnings!C840/160</f>
        <v>3799.6595000000002</v>
      </c>
      <c r="D840">
        <f t="shared" si="13"/>
        <v>308532.35140000004</v>
      </c>
    </row>
    <row r="841" spans="1:4" x14ac:dyDescent="0.35">
      <c r="A841" t="s">
        <v>871</v>
      </c>
      <c r="B841">
        <v>7</v>
      </c>
      <c r="C841">
        <f>Earnings!C841/160</f>
        <v>1859.1849999999999</v>
      </c>
      <c r="D841">
        <f t="shared" si="13"/>
        <v>26028.59</v>
      </c>
    </row>
    <row r="842" spans="1:4" x14ac:dyDescent="0.35">
      <c r="A842" t="s">
        <v>872</v>
      </c>
      <c r="B842">
        <v>7</v>
      </c>
      <c r="C842">
        <f>Earnings!C842/160</f>
        <v>2481.8868750000001</v>
      </c>
      <c r="D842">
        <f t="shared" si="13"/>
        <v>34746.416250000002</v>
      </c>
    </row>
    <row r="843" spans="1:4" x14ac:dyDescent="0.35">
      <c r="A843" t="s">
        <v>873</v>
      </c>
      <c r="B843">
        <v>0</v>
      </c>
      <c r="C843">
        <f>Earnings!C843/160</f>
        <v>3167.7179999999998</v>
      </c>
      <c r="D843">
        <f t="shared" si="13"/>
        <v>0</v>
      </c>
    </row>
    <row r="844" spans="1:4" x14ac:dyDescent="0.35">
      <c r="A844" t="s">
        <v>874</v>
      </c>
      <c r="B844">
        <v>32.4</v>
      </c>
      <c r="C844">
        <f>Earnings!C844/160</f>
        <v>2022.7080000000001</v>
      </c>
      <c r="D844">
        <f t="shared" si="13"/>
        <v>131071.47839999999</v>
      </c>
    </row>
    <row r="845" spans="1:4" x14ac:dyDescent="0.35">
      <c r="A845" t="s">
        <v>875</v>
      </c>
      <c r="B845">
        <v>0</v>
      </c>
      <c r="C845">
        <f>Earnings!C845/160</f>
        <v>1756.3813750000002</v>
      </c>
      <c r="D845">
        <f t="shared" si="13"/>
        <v>0</v>
      </c>
    </row>
    <row r="846" spans="1:4" x14ac:dyDescent="0.35">
      <c r="A846" t="s">
        <v>876</v>
      </c>
      <c r="B846">
        <v>0</v>
      </c>
      <c r="C846">
        <f>Earnings!C846/160</f>
        <v>2607.482125</v>
      </c>
      <c r="D846">
        <f t="shared" si="13"/>
        <v>0</v>
      </c>
    </row>
    <row r="847" spans="1:4" x14ac:dyDescent="0.35">
      <c r="A847" t="s">
        <v>877</v>
      </c>
      <c r="B847">
        <v>0</v>
      </c>
      <c r="C847">
        <f>Earnings!C847/160</f>
        <v>3949.3507500000001</v>
      </c>
      <c r="D847">
        <f t="shared" si="13"/>
        <v>0</v>
      </c>
    </row>
    <row r="848" spans="1:4" x14ac:dyDescent="0.35">
      <c r="A848" t="s">
        <v>878</v>
      </c>
      <c r="B848">
        <v>17</v>
      </c>
      <c r="C848">
        <f>Earnings!C848/160</f>
        <v>3131.0368125</v>
      </c>
      <c r="D848">
        <f t="shared" si="13"/>
        <v>106455.251625</v>
      </c>
    </row>
    <row r="849" spans="1:4" x14ac:dyDescent="0.35">
      <c r="A849" t="s">
        <v>879</v>
      </c>
      <c r="B849">
        <v>39.1</v>
      </c>
      <c r="C849">
        <f>Earnings!C849/160</f>
        <v>2225.33275</v>
      </c>
      <c r="D849">
        <f t="shared" si="13"/>
        <v>174021.02105000001</v>
      </c>
    </row>
    <row r="850" spans="1:4" x14ac:dyDescent="0.35">
      <c r="A850" t="s">
        <v>880</v>
      </c>
      <c r="B850">
        <v>0</v>
      </c>
      <c r="C850">
        <f>Earnings!C850/160</f>
        <v>2620.1133125000001</v>
      </c>
      <c r="D850">
        <f t="shared" si="13"/>
        <v>0</v>
      </c>
    </row>
    <row r="851" spans="1:4" x14ac:dyDescent="0.35">
      <c r="A851" t="s">
        <v>881</v>
      </c>
      <c r="B851">
        <v>0</v>
      </c>
      <c r="C851">
        <f>Earnings!C851/160</f>
        <v>3405.6188750000001</v>
      </c>
      <c r="D851">
        <f t="shared" si="13"/>
        <v>0</v>
      </c>
    </row>
    <row r="852" spans="1:4" x14ac:dyDescent="0.35">
      <c r="A852" t="s">
        <v>882</v>
      </c>
      <c r="B852">
        <v>24</v>
      </c>
      <c r="C852">
        <f>Earnings!C852/160</f>
        <v>1648.3150000000001</v>
      </c>
      <c r="D852">
        <f t="shared" si="13"/>
        <v>79119.12</v>
      </c>
    </row>
    <row r="853" spans="1:4" x14ac:dyDescent="0.35">
      <c r="A853" t="s">
        <v>883</v>
      </c>
      <c r="B853">
        <v>0</v>
      </c>
      <c r="C853">
        <f>Earnings!C853/160</f>
        <v>3492.6949374999995</v>
      </c>
      <c r="D853">
        <f t="shared" si="13"/>
        <v>0</v>
      </c>
    </row>
    <row r="854" spans="1:4" x14ac:dyDescent="0.35">
      <c r="A854" t="s">
        <v>884</v>
      </c>
      <c r="B854">
        <v>30.8</v>
      </c>
      <c r="C854">
        <f>Earnings!C854/160</f>
        <v>3214.2460000000001</v>
      </c>
      <c r="D854">
        <f t="shared" si="13"/>
        <v>197997.55360000001</v>
      </c>
    </row>
    <row r="855" spans="1:4" x14ac:dyDescent="0.35">
      <c r="A855" t="s">
        <v>885</v>
      </c>
      <c r="B855">
        <v>0</v>
      </c>
      <c r="C855">
        <f>Earnings!C855/160</f>
        <v>3458.2641250000001</v>
      </c>
      <c r="D855">
        <f t="shared" si="13"/>
        <v>0</v>
      </c>
    </row>
    <row r="856" spans="1:4" x14ac:dyDescent="0.35">
      <c r="A856" t="s">
        <v>886</v>
      </c>
      <c r="B856">
        <v>0</v>
      </c>
      <c r="C856">
        <f>Earnings!C856/160</f>
        <v>3641.9589375000005</v>
      </c>
      <c r="D856">
        <f t="shared" si="13"/>
        <v>0</v>
      </c>
    </row>
    <row r="857" spans="1:4" x14ac:dyDescent="0.35">
      <c r="A857" t="s">
        <v>887</v>
      </c>
      <c r="B857">
        <v>45.9</v>
      </c>
      <c r="C857">
        <f>Earnings!C857/160</f>
        <v>5448.4690000000001</v>
      </c>
      <c r="D857">
        <f t="shared" si="13"/>
        <v>500169.45419999998</v>
      </c>
    </row>
    <row r="858" spans="1:4" x14ac:dyDescent="0.35">
      <c r="A858" t="s">
        <v>888</v>
      </c>
      <c r="B858">
        <v>25.2</v>
      </c>
      <c r="C858">
        <f>Earnings!C858/160</f>
        <v>2293.7910000000002</v>
      </c>
      <c r="D858">
        <f t="shared" si="13"/>
        <v>115607.06640000001</v>
      </c>
    </row>
    <row r="859" spans="1:4" x14ac:dyDescent="0.35">
      <c r="A859" t="s">
        <v>889</v>
      </c>
      <c r="B859">
        <v>0</v>
      </c>
      <c r="C859">
        <f>Earnings!C859/160</f>
        <v>2582.1669999999999</v>
      </c>
      <c r="D859">
        <f t="shared" si="13"/>
        <v>0</v>
      </c>
    </row>
    <row r="860" spans="1:4" x14ac:dyDescent="0.35">
      <c r="A860" t="s">
        <v>890</v>
      </c>
      <c r="B860">
        <v>42.5</v>
      </c>
      <c r="C860">
        <f>Earnings!C860/160</f>
        <v>2436.9785000000002</v>
      </c>
      <c r="D860">
        <f t="shared" si="13"/>
        <v>207143.17250000002</v>
      </c>
    </row>
    <row r="861" spans="1:4" x14ac:dyDescent="0.35">
      <c r="A861" t="s">
        <v>891</v>
      </c>
      <c r="B861">
        <v>0</v>
      </c>
      <c r="C861">
        <f>Earnings!C861/160</f>
        <v>3139.0542500000001</v>
      </c>
      <c r="D861">
        <f t="shared" si="13"/>
        <v>0</v>
      </c>
    </row>
    <row r="862" spans="1:4" x14ac:dyDescent="0.35">
      <c r="A862" t="s">
        <v>892</v>
      </c>
      <c r="B862">
        <v>0</v>
      </c>
      <c r="C862">
        <f>Earnings!C862/160</f>
        <v>3562.2352500000002</v>
      </c>
      <c r="D862">
        <f t="shared" si="13"/>
        <v>0</v>
      </c>
    </row>
    <row r="863" spans="1:4" x14ac:dyDescent="0.35">
      <c r="A863" t="s">
        <v>893</v>
      </c>
      <c r="B863">
        <v>25</v>
      </c>
      <c r="C863">
        <f>Earnings!C863/160</f>
        <v>2952.7235000000001</v>
      </c>
      <c r="D863">
        <f t="shared" si="13"/>
        <v>147636.17499999999</v>
      </c>
    </row>
    <row r="864" spans="1:4" x14ac:dyDescent="0.35">
      <c r="A864" t="s">
        <v>894</v>
      </c>
      <c r="B864">
        <v>25.5</v>
      </c>
      <c r="C864">
        <f>Earnings!C864/160</f>
        <v>5015.8967499999999</v>
      </c>
      <c r="D864">
        <f t="shared" si="13"/>
        <v>255810.73424999998</v>
      </c>
    </row>
    <row r="865" spans="1:4" x14ac:dyDescent="0.35">
      <c r="A865" t="s">
        <v>895</v>
      </c>
      <c r="B865">
        <v>26.6</v>
      </c>
      <c r="C865">
        <f>Earnings!C865/160</f>
        <v>2769.8779374999999</v>
      </c>
      <c r="D865">
        <f t="shared" si="13"/>
        <v>147357.50627499999</v>
      </c>
    </row>
    <row r="866" spans="1:4" x14ac:dyDescent="0.35">
      <c r="A866" t="s">
        <v>896</v>
      </c>
      <c r="B866">
        <v>0</v>
      </c>
      <c r="C866">
        <f>Earnings!C866/160</f>
        <v>3511.0824999999995</v>
      </c>
      <c r="D866">
        <f t="shared" si="13"/>
        <v>0</v>
      </c>
    </row>
    <row r="867" spans="1:4" x14ac:dyDescent="0.35">
      <c r="A867" t="s">
        <v>897</v>
      </c>
      <c r="B867">
        <v>0</v>
      </c>
      <c r="C867">
        <f>Earnings!C867/160</f>
        <v>2578.482</v>
      </c>
      <c r="D867">
        <f t="shared" si="13"/>
        <v>0</v>
      </c>
    </row>
    <row r="868" spans="1:4" x14ac:dyDescent="0.35">
      <c r="A868" t="s">
        <v>898</v>
      </c>
      <c r="B868">
        <v>0</v>
      </c>
      <c r="C868">
        <f>Earnings!C868/160</f>
        <v>3599.8987500000003</v>
      </c>
      <c r="D868">
        <f t="shared" si="13"/>
        <v>0</v>
      </c>
    </row>
    <row r="869" spans="1:4" x14ac:dyDescent="0.35">
      <c r="A869" t="s">
        <v>899</v>
      </c>
      <c r="B869">
        <v>49.3</v>
      </c>
      <c r="C869">
        <f>Earnings!C869/160</f>
        <v>4082.9452499999998</v>
      </c>
      <c r="D869">
        <f t="shared" si="13"/>
        <v>402578.40164999996</v>
      </c>
    </row>
    <row r="870" spans="1:4" x14ac:dyDescent="0.35">
      <c r="A870" t="s">
        <v>900</v>
      </c>
      <c r="B870">
        <v>18.2</v>
      </c>
      <c r="C870">
        <f>Earnings!C870/160</f>
        <v>3708.9430000000002</v>
      </c>
      <c r="D870">
        <f t="shared" si="13"/>
        <v>135005.5252</v>
      </c>
    </row>
    <row r="871" spans="1:4" x14ac:dyDescent="0.35">
      <c r="A871" t="s">
        <v>901</v>
      </c>
      <c r="B871">
        <v>0</v>
      </c>
      <c r="C871">
        <f>Earnings!C871/160</f>
        <v>2775.6435000000001</v>
      </c>
      <c r="D871">
        <f t="shared" si="13"/>
        <v>0</v>
      </c>
    </row>
    <row r="872" spans="1:4" x14ac:dyDescent="0.35">
      <c r="A872" t="s">
        <v>902</v>
      </c>
      <c r="B872">
        <v>14</v>
      </c>
      <c r="C872">
        <f>Earnings!C872/160</f>
        <v>3582.5474999999997</v>
      </c>
      <c r="D872">
        <f t="shared" si="13"/>
        <v>100311.32999999999</v>
      </c>
    </row>
    <row r="873" spans="1:4" x14ac:dyDescent="0.35">
      <c r="A873" t="s">
        <v>903</v>
      </c>
      <c r="B873">
        <v>35</v>
      </c>
      <c r="C873">
        <f>Earnings!C873/160</f>
        <v>2885.8795</v>
      </c>
      <c r="D873">
        <f t="shared" si="13"/>
        <v>202011.565</v>
      </c>
    </row>
    <row r="874" spans="1:4" x14ac:dyDescent="0.35">
      <c r="A874" t="s">
        <v>904</v>
      </c>
      <c r="B874">
        <v>0</v>
      </c>
      <c r="C874">
        <f>Earnings!C874/160</f>
        <v>2087.7731874999999</v>
      </c>
      <c r="D874">
        <f t="shared" si="13"/>
        <v>0</v>
      </c>
    </row>
    <row r="875" spans="1:4" x14ac:dyDescent="0.35">
      <c r="A875" t="s">
        <v>905</v>
      </c>
      <c r="B875">
        <v>7.2</v>
      </c>
      <c r="C875">
        <f>Earnings!C875/160</f>
        <v>2264.1311875000001</v>
      </c>
      <c r="D875">
        <f t="shared" si="13"/>
        <v>32603.489100000003</v>
      </c>
    </row>
    <row r="876" spans="1:4" x14ac:dyDescent="0.35">
      <c r="A876" t="s">
        <v>906</v>
      </c>
      <c r="B876">
        <v>28.9</v>
      </c>
      <c r="C876">
        <f>Earnings!C876/160</f>
        <v>4053.5813750000002</v>
      </c>
      <c r="D876">
        <f t="shared" si="13"/>
        <v>234297.003475</v>
      </c>
    </row>
    <row r="877" spans="1:4" x14ac:dyDescent="0.35">
      <c r="A877" t="s">
        <v>907</v>
      </c>
      <c r="B877">
        <v>6</v>
      </c>
      <c r="C877">
        <f>Earnings!C877/160</f>
        <v>2215.9272499999997</v>
      </c>
      <c r="D877">
        <f t="shared" si="13"/>
        <v>26591.126999999997</v>
      </c>
    </row>
    <row r="878" spans="1:4" x14ac:dyDescent="0.35">
      <c r="A878" t="s">
        <v>908</v>
      </c>
      <c r="B878">
        <v>0</v>
      </c>
      <c r="C878">
        <f>Earnings!C878/160</f>
        <v>3707.55</v>
      </c>
      <c r="D878">
        <f t="shared" si="13"/>
        <v>0</v>
      </c>
    </row>
    <row r="879" spans="1:4" x14ac:dyDescent="0.35">
      <c r="A879" t="s">
        <v>909</v>
      </c>
      <c r="B879">
        <v>25.2</v>
      </c>
      <c r="C879">
        <f>Earnings!C879/160</f>
        <v>3560.067</v>
      </c>
      <c r="D879">
        <f t="shared" si="13"/>
        <v>179427.3768</v>
      </c>
    </row>
    <row r="880" spans="1:4" x14ac:dyDescent="0.35">
      <c r="A880" t="s">
        <v>910</v>
      </c>
      <c r="B880">
        <v>28</v>
      </c>
      <c r="C880">
        <f>Earnings!C880/160</f>
        <v>2245.4474999999998</v>
      </c>
      <c r="D880">
        <f t="shared" si="13"/>
        <v>125745.05999999998</v>
      </c>
    </row>
    <row r="881" spans="1:4" x14ac:dyDescent="0.35">
      <c r="A881" t="s">
        <v>911</v>
      </c>
      <c r="B881">
        <v>0</v>
      </c>
      <c r="C881">
        <f>Earnings!C881/160</f>
        <v>1950.5456875</v>
      </c>
      <c r="D881">
        <f t="shared" si="13"/>
        <v>0</v>
      </c>
    </row>
    <row r="882" spans="1:4" x14ac:dyDescent="0.35">
      <c r="A882" t="s">
        <v>912</v>
      </c>
      <c r="B882">
        <v>0</v>
      </c>
      <c r="C882">
        <f>Earnings!C882/160</f>
        <v>2396.9447499999997</v>
      </c>
      <c r="D882">
        <f t="shared" si="13"/>
        <v>0</v>
      </c>
    </row>
    <row r="883" spans="1:4" x14ac:dyDescent="0.35">
      <c r="A883" t="s">
        <v>913</v>
      </c>
      <c r="B883">
        <v>18</v>
      </c>
      <c r="C883">
        <f>Earnings!C883/160</f>
        <v>3345.4639374999997</v>
      </c>
      <c r="D883">
        <f t="shared" si="13"/>
        <v>120436.70174999999</v>
      </c>
    </row>
    <row r="884" spans="1:4" x14ac:dyDescent="0.35">
      <c r="A884" t="s">
        <v>914</v>
      </c>
      <c r="B884">
        <v>20</v>
      </c>
      <c r="C884">
        <f>Earnings!C884/160</f>
        <v>1667.732125</v>
      </c>
      <c r="D884">
        <f t="shared" si="13"/>
        <v>66709.285000000003</v>
      </c>
    </row>
    <row r="885" spans="1:4" x14ac:dyDescent="0.35">
      <c r="A885" t="s">
        <v>915</v>
      </c>
      <c r="B885">
        <v>25.5</v>
      </c>
      <c r="C885">
        <f>Earnings!C885/160</f>
        <v>5501.7276250000004</v>
      </c>
      <c r="D885">
        <f t="shared" si="13"/>
        <v>280588.10887500003</v>
      </c>
    </row>
    <row r="886" spans="1:4" x14ac:dyDescent="0.35">
      <c r="A886" t="s">
        <v>916</v>
      </c>
      <c r="B886">
        <v>6</v>
      </c>
      <c r="C886">
        <f>Earnings!C886/160</f>
        <v>2659.9648750000001</v>
      </c>
      <c r="D886">
        <f t="shared" si="13"/>
        <v>31919.578500000003</v>
      </c>
    </row>
    <row r="887" spans="1:4" x14ac:dyDescent="0.35">
      <c r="A887" t="s">
        <v>917</v>
      </c>
      <c r="B887">
        <v>0</v>
      </c>
      <c r="C887">
        <f>Earnings!C887/160</f>
        <v>2627.4137500000002</v>
      </c>
      <c r="D887">
        <f t="shared" si="13"/>
        <v>0</v>
      </c>
    </row>
    <row r="888" spans="1:4" x14ac:dyDescent="0.35">
      <c r="A888" t="s">
        <v>918</v>
      </c>
      <c r="B888">
        <v>0</v>
      </c>
      <c r="C888">
        <f>Earnings!C888/160</f>
        <v>3598.9144375000005</v>
      </c>
      <c r="D888">
        <f t="shared" si="13"/>
        <v>0</v>
      </c>
    </row>
    <row r="889" spans="1:4" x14ac:dyDescent="0.35">
      <c r="A889" t="s">
        <v>919</v>
      </c>
      <c r="B889">
        <v>0</v>
      </c>
      <c r="C889">
        <f>Earnings!C889/160</f>
        <v>1691.1101874999999</v>
      </c>
      <c r="D889">
        <f t="shared" si="13"/>
        <v>0</v>
      </c>
    </row>
    <row r="890" spans="1:4" x14ac:dyDescent="0.35">
      <c r="A890" t="s">
        <v>920</v>
      </c>
      <c r="B890">
        <v>31.2</v>
      </c>
      <c r="C890">
        <f>Earnings!C890/160</f>
        <v>1579.943125</v>
      </c>
      <c r="D890">
        <f t="shared" si="13"/>
        <v>98588.451000000001</v>
      </c>
    </row>
    <row r="891" spans="1:4" x14ac:dyDescent="0.35">
      <c r="A891" t="s">
        <v>921</v>
      </c>
      <c r="B891">
        <v>39.1</v>
      </c>
      <c r="C891">
        <f>Earnings!C891/160</f>
        <v>3659.5092500000001</v>
      </c>
      <c r="D891">
        <f t="shared" si="13"/>
        <v>286173.62335000001</v>
      </c>
    </row>
    <row r="892" spans="1:4" x14ac:dyDescent="0.35">
      <c r="A892" t="s">
        <v>922</v>
      </c>
      <c r="B892">
        <v>0</v>
      </c>
      <c r="C892">
        <f>Earnings!C892/160</f>
        <v>1949.92</v>
      </c>
      <c r="D892">
        <f t="shared" si="13"/>
        <v>0</v>
      </c>
    </row>
    <row r="893" spans="1:4" x14ac:dyDescent="0.35">
      <c r="A893" t="s">
        <v>923</v>
      </c>
      <c r="B893">
        <v>47.6</v>
      </c>
      <c r="C893">
        <f>Earnings!C893/160</f>
        <v>2928.6167500000001</v>
      </c>
      <c r="D893">
        <f t="shared" si="13"/>
        <v>278804.31460000004</v>
      </c>
    </row>
    <row r="894" spans="1:4" x14ac:dyDescent="0.35">
      <c r="A894" t="s">
        <v>924</v>
      </c>
      <c r="B894">
        <v>15.6</v>
      </c>
      <c r="C894">
        <f>Earnings!C894/160</f>
        <v>2604.768</v>
      </c>
      <c r="D894">
        <f t="shared" si="13"/>
        <v>81268.761599999998</v>
      </c>
    </row>
    <row r="895" spans="1:4" x14ac:dyDescent="0.35">
      <c r="A895" t="s">
        <v>925</v>
      </c>
      <c r="B895">
        <v>6</v>
      </c>
      <c r="C895">
        <f>Earnings!C895/160</f>
        <v>2978.33</v>
      </c>
      <c r="D895">
        <f t="shared" si="13"/>
        <v>35739.96</v>
      </c>
    </row>
    <row r="896" spans="1:4" x14ac:dyDescent="0.35">
      <c r="A896" t="s">
        <v>926</v>
      </c>
      <c r="B896">
        <v>26</v>
      </c>
      <c r="C896">
        <f>Earnings!C896/160</f>
        <v>1351.605</v>
      </c>
      <c r="D896">
        <f t="shared" si="13"/>
        <v>70283.460000000006</v>
      </c>
    </row>
    <row r="897" spans="1:4" x14ac:dyDescent="0.35">
      <c r="A897" t="s">
        <v>927</v>
      </c>
      <c r="B897">
        <v>0</v>
      </c>
      <c r="C897">
        <f>Earnings!C897/160</f>
        <v>2321.1141250000001</v>
      </c>
      <c r="D897">
        <f t="shared" si="13"/>
        <v>0</v>
      </c>
    </row>
    <row r="898" spans="1:4" x14ac:dyDescent="0.35">
      <c r="A898" t="s">
        <v>928</v>
      </c>
      <c r="B898">
        <v>0</v>
      </c>
      <c r="C898">
        <f>Earnings!C898/160</f>
        <v>1301.0036249999998</v>
      </c>
      <c r="D898">
        <f t="shared" ref="D898:D901" si="14">B898*C898*2</f>
        <v>0</v>
      </c>
    </row>
    <row r="899" spans="1:4" x14ac:dyDescent="0.35">
      <c r="A899" t="s">
        <v>929</v>
      </c>
      <c r="B899">
        <v>0</v>
      </c>
      <c r="C899">
        <f>Earnings!C899/160</f>
        <v>2392.7550000000001</v>
      </c>
      <c r="D899">
        <f t="shared" si="14"/>
        <v>0</v>
      </c>
    </row>
    <row r="900" spans="1:4" x14ac:dyDescent="0.35">
      <c r="A900" t="s">
        <v>930</v>
      </c>
      <c r="B900">
        <v>0</v>
      </c>
      <c r="C900">
        <f>Earnings!C900/160</f>
        <v>1355.19875</v>
      </c>
      <c r="D900">
        <f t="shared" si="14"/>
        <v>0</v>
      </c>
    </row>
    <row r="901" spans="1:4" x14ac:dyDescent="0.35">
      <c r="A901" t="s">
        <v>931</v>
      </c>
      <c r="B901">
        <v>0</v>
      </c>
      <c r="C901">
        <f>Earnings!C901/160</f>
        <v>2761.1028125000003</v>
      </c>
      <c r="D901">
        <f t="shared" si="14"/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01"/>
  <sheetViews>
    <sheetView tabSelected="1" workbookViewId="0">
      <selection activeCell="E5" sqref="E5"/>
    </sheetView>
  </sheetViews>
  <sheetFormatPr defaultRowHeight="14.5" x14ac:dyDescent="0.35"/>
  <cols>
    <col min="3" max="3" width="13.453125" bestFit="1" customWidth="1"/>
  </cols>
  <sheetData>
    <row r="1" spans="1:5" x14ac:dyDescent="0.35">
      <c r="A1" t="s">
        <v>0</v>
      </c>
      <c r="B1" t="s">
        <v>991</v>
      </c>
      <c r="C1" t="s">
        <v>992</v>
      </c>
      <c r="D1" t="s">
        <v>993</v>
      </c>
      <c r="E1" t="s">
        <v>984</v>
      </c>
    </row>
    <row r="2" spans="1:5" x14ac:dyDescent="0.35">
      <c r="A2" t="s">
        <v>13</v>
      </c>
      <c r="B2">
        <f>IF(Final_Payroll!B2="Sales",Earnings!B2*3,
IF(Final_Payroll!B2="IT",Earnings!B2*2,
IF(Final_Payroll!B2="Finance",Earnings!B2*1.5,
IF(Final_Payroll!B2="HR",Earnings!B2*1.2,
Earnings!B2*1.3))))</f>
        <v>737141.6</v>
      </c>
      <c r="C2">
        <f>Earnings!B2 + Deductions!B2 + Deductions!C2 + Overtime!D2</f>
        <v>568832</v>
      </c>
      <c r="D2">
        <f t="shared" ref="D2:D65" si="0">B2-C2</f>
        <v>168309.59999999998</v>
      </c>
      <c r="E2">
        <f t="shared" ref="E2:E65" si="1">IF(C2=0,0,B2/C2)</f>
        <v>1.2958863073807381</v>
      </c>
    </row>
    <row r="3" spans="1:5" x14ac:dyDescent="0.35">
      <c r="A3" t="s">
        <v>18</v>
      </c>
      <c r="B3">
        <f>IF(Final_Payroll!B3="Sales",Earnings!B3*3,
IF(Final_Payroll!B3="IT",Earnings!B3*2,
IF(Final_Payroll!B3="Finance",Earnings!B3*1.5,
IF(Final_Payroll!B3="HR",Earnings!B3*1.2,
Earnings!B3*1.3))))</f>
        <v>4082340.57</v>
      </c>
      <c r="C3">
        <f>Earnings!B3 + Deductions!B3 + Deductions!C3 + Overtime!D3</f>
        <v>1648344.0319999999</v>
      </c>
      <c r="D3">
        <f t="shared" si="0"/>
        <v>2433996.5379999997</v>
      </c>
      <c r="E3">
        <f t="shared" si="1"/>
        <v>2.4766313892899756</v>
      </c>
    </row>
    <row r="4" spans="1:5" x14ac:dyDescent="0.35">
      <c r="A4" t="s">
        <v>23</v>
      </c>
      <c r="B4">
        <f>IF(Final_Payroll!B4="Sales",Earnings!B4*3,
IF(Final_Payroll!B4="IT",Earnings!B4*2,
IF(Final_Payroll!B4="Finance",Earnings!B4*1.5,
IF(Final_Payroll!B4="HR",Earnings!B4*1.2,
Earnings!B4*1.3))))</f>
        <v>841824.1</v>
      </c>
      <c r="C4">
        <f>Earnings!B4 + Deductions!B4 + Deductions!C4 + Overtime!D4</f>
        <v>668783.71</v>
      </c>
      <c r="D4">
        <f t="shared" si="0"/>
        <v>173040.39</v>
      </c>
      <c r="E4">
        <f t="shared" si="1"/>
        <v>1.2587389426695217</v>
      </c>
    </row>
    <row r="5" spans="1:5" x14ac:dyDescent="0.35">
      <c r="A5" t="s">
        <v>25</v>
      </c>
      <c r="B5">
        <f>IF(Final_Payroll!B5="Sales",Earnings!B5*3,
IF(Final_Payroll!B5="IT",Earnings!B5*2,
IF(Final_Payroll!B5="Finance",Earnings!B5*1.5,
IF(Final_Payroll!B5="HR",Earnings!B5*1.2,
Earnings!B5*1.3))))</f>
        <v>847097.5199999999</v>
      </c>
      <c r="C5">
        <f>Earnings!B5 + Deductions!B5 + Deductions!C5 + Overtime!D5</f>
        <v>707714.6</v>
      </c>
      <c r="D5">
        <f t="shared" si="0"/>
        <v>139382.91999999993</v>
      </c>
      <c r="E5">
        <f t="shared" si="1"/>
        <v>1.1969479222274062</v>
      </c>
    </row>
    <row r="6" spans="1:5" x14ac:dyDescent="0.35">
      <c r="A6" t="s">
        <v>28</v>
      </c>
      <c r="B6">
        <f>IF(Final_Payroll!B6="Sales",Earnings!B6*3,
IF(Final_Payroll!B6="IT",Earnings!B6*2,
IF(Final_Payroll!B6="Finance",Earnings!B6*1.5,
IF(Final_Payroll!B6="HR",Earnings!B6*1.2,
Earnings!B6*1.3))))</f>
        <v>2001284</v>
      </c>
      <c r="C6">
        <f>Earnings!B6 + Deductions!B6 + Deductions!C6 + Overtime!D6</f>
        <v>1057477.31</v>
      </c>
      <c r="D6">
        <f t="shared" si="0"/>
        <v>943806.69</v>
      </c>
      <c r="E6">
        <f t="shared" si="1"/>
        <v>1.892507745627185</v>
      </c>
    </row>
    <row r="7" spans="1:5" x14ac:dyDescent="0.35">
      <c r="A7" t="s">
        <v>30</v>
      </c>
      <c r="B7">
        <f>IF(Final_Payroll!B7="Sales",Earnings!B7*3,
IF(Final_Payroll!B7="IT",Earnings!B7*2,
IF(Final_Payroll!B7="Finance",Earnings!B7*1.5,
IF(Final_Payroll!B7="HR",Earnings!B7*1.2,
Earnings!B7*1.3))))</f>
        <v>1541955.4500000002</v>
      </c>
      <c r="C7">
        <f>Earnings!B7 + Deductions!B7 + Deductions!C7 + Overtime!D7</f>
        <v>515785.15</v>
      </c>
      <c r="D7">
        <f t="shared" si="0"/>
        <v>1026170.3000000002</v>
      </c>
      <c r="E7">
        <f t="shared" si="1"/>
        <v>2.9895305244829173</v>
      </c>
    </row>
    <row r="8" spans="1:5" x14ac:dyDescent="0.35">
      <c r="A8" t="s">
        <v>32</v>
      </c>
      <c r="B8">
        <f>IF(Final_Payroll!B8="Sales",Earnings!B8*3,
IF(Final_Payroll!B8="IT",Earnings!B8*2,
IF(Final_Payroll!B8="Finance",Earnings!B8*1.5,
IF(Final_Payroll!B8="HR",Earnings!B8*1.2,
Earnings!B8*1.3))))</f>
        <v>1299303.1440000001</v>
      </c>
      <c r="C8">
        <f>Earnings!B8 + Deductions!B8 + Deductions!C8 + Overtime!D8</f>
        <v>1084552.6200000001</v>
      </c>
      <c r="D8">
        <f t="shared" si="0"/>
        <v>214750.52399999998</v>
      </c>
      <c r="E8">
        <f t="shared" si="1"/>
        <v>1.1980083953879526</v>
      </c>
    </row>
    <row r="9" spans="1:5" x14ac:dyDescent="0.35">
      <c r="A9" t="s">
        <v>34</v>
      </c>
      <c r="B9">
        <f>IF(Final_Payroll!B9="Sales",Earnings!B9*3,
IF(Final_Payroll!B9="IT",Earnings!B9*2,
IF(Final_Payroll!B9="Finance",Earnings!B9*1.5,
IF(Final_Payroll!B9="HR",Earnings!B9*1.2,
Earnings!B9*1.3))))</f>
        <v>1949153.4000000001</v>
      </c>
      <c r="C9">
        <f>Earnings!B9 + Deductions!B9 + Deductions!C9 + Overtime!D9</f>
        <v>1441574.6448000001</v>
      </c>
      <c r="D9">
        <f t="shared" si="0"/>
        <v>507578.75520000001</v>
      </c>
      <c r="E9">
        <f t="shared" si="1"/>
        <v>1.3521002238981665</v>
      </c>
    </row>
    <row r="10" spans="1:5" x14ac:dyDescent="0.35">
      <c r="A10" t="s">
        <v>36</v>
      </c>
      <c r="B10">
        <f>IF(Final_Payroll!B10="Sales",Earnings!B10*3,
IF(Final_Payroll!B10="IT",Earnings!B10*2,
IF(Final_Payroll!B10="Finance",Earnings!B10*1.5,
IF(Final_Payroll!B10="HR",Earnings!B10*1.2,
Earnings!B10*1.3))))</f>
        <v>2575249.7399999998</v>
      </c>
      <c r="C10">
        <f>Earnings!B10 + Deductions!B10 + Deductions!C10 + Overtime!D10</f>
        <v>1718633.16</v>
      </c>
      <c r="D10">
        <f t="shared" si="0"/>
        <v>856616.57999999984</v>
      </c>
      <c r="E10">
        <f t="shared" si="1"/>
        <v>1.498428984112002</v>
      </c>
    </row>
    <row r="11" spans="1:5" x14ac:dyDescent="0.35">
      <c r="A11" t="s">
        <v>38</v>
      </c>
      <c r="B11">
        <f>IF(Final_Payroll!B11="Sales",Earnings!B11*3,
IF(Final_Payroll!B11="IT",Earnings!B11*2,
IF(Final_Payroll!B11="Finance",Earnings!B11*1.5,
IF(Final_Payroll!B11="HR",Earnings!B11*1.2,
Earnings!B11*1.3))))</f>
        <v>3222392.4000000004</v>
      </c>
      <c r="C11">
        <f>Earnings!B11 + Deductions!B11 + Deductions!C11 + Overtime!D11</f>
        <v>1249939.9896</v>
      </c>
      <c r="D11">
        <f t="shared" si="0"/>
        <v>1972452.4104000004</v>
      </c>
      <c r="E11">
        <f t="shared" si="1"/>
        <v>2.5780376872582624</v>
      </c>
    </row>
    <row r="12" spans="1:5" x14ac:dyDescent="0.35">
      <c r="A12" t="s">
        <v>39</v>
      </c>
      <c r="B12">
        <f>IF(Final_Payroll!B12="Sales",Earnings!B12*3,
IF(Final_Payroll!B12="IT",Earnings!B12*2,
IF(Final_Payroll!B12="Finance",Earnings!B12*1.5,
IF(Final_Payroll!B12="HR",Earnings!B12*1.2,
Earnings!B12*1.3))))</f>
        <v>674541.41999999993</v>
      </c>
      <c r="C12">
        <f>Earnings!B12 + Deductions!B12 + Deductions!C12 + Overtime!D12</f>
        <v>563917.85</v>
      </c>
      <c r="D12">
        <f t="shared" si="0"/>
        <v>110623.56999999995</v>
      </c>
      <c r="E12">
        <f t="shared" si="1"/>
        <v>1.196169654853096</v>
      </c>
    </row>
    <row r="13" spans="1:5" x14ac:dyDescent="0.35">
      <c r="A13" t="s">
        <v>40</v>
      </c>
      <c r="B13">
        <f>IF(Final_Payroll!B13="Sales",Earnings!B13*3,
IF(Final_Payroll!B13="IT",Earnings!B13*2,
IF(Final_Payroll!B13="Finance",Earnings!B13*1.5,
IF(Final_Payroll!B13="HR",Earnings!B13*1.2,
Earnings!B13*1.3))))</f>
        <v>2402647.2000000002</v>
      </c>
      <c r="C13">
        <f>Earnings!B13 + Deductions!B13 + Deductions!C13 + Overtime!D13</f>
        <v>1289618.8992000001</v>
      </c>
      <c r="D13">
        <f t="shared" si="0"/>
        <v>1113028.3008000001</v>
      </c>
      <c r="E13">
        <f t="shared" si="1"/>
        <v>1.8630676097337393</v>
      </c>
    </row>
    <row r="14" spans="1:5" x14ac:dyDescent="0.35">
      <c r="A14" t="s">
        <v>41</v>
      </c>
      <c r="B14">
        <f>IF(Final_Payroll!B14="Sales",Earnings!B14*3,
IF(Final_Payroll!B14="IT",Earnings!B14*2,
IF(Final_Payroll!B14="Finance",Earnings!B14*1.5,
IF(Final_Payroll!B14="HR",Earnings!B14*1.2,
Earnings!B14*1.3))))</f>
        <v>1726067.9800000002</v>
      </c>
      <c r="C14">
        <f>Earnings!B14 + Deductions!B14 + Deductions!C14 + Overtime!D14</f>
        <v>1329544.6000000001</v>
      </c>
      <c r="D14">
        <f t="shared" si="0"/>
        <v>396523.38000000012</v>
      </c>
      <c r="E14">
        <f t="shared" si="1"/>
        <v>1.2982399988687856</v>
      </c>
    </row>
    <row r="15" spans="1:5" x14ac:dyDescent="0.35">
      <c r="A15" t="s">
        <v>42</v>
      </c>
      <c r="B15">
        <f>IF(Final_Payroll!B15="Sales",Earnings!B15*3,
IF(Final_Payroll!B15="IT",Earnings!B15*2,
IF(Final_Payroll!B15="Finance",Earnings!B15*1.5,
IF(Final_Payroll!B15="HR",Earnings!B15*1.2,
Earnings!B15*1.3))))</f>
        <v>1568278.2050000001</v>
      </c>
      <c r="C15">
        <f>Earnings!B15 + Deductions!B15 + Deductions!C15 + Overtime!D15</f>
        <v>1208167.8500000001</v>
      </c>
      <c r="D15">
        <f t="shared" si="0"/>
        <v>360110.35499999998</v>
      </c>
      <c r="E15">
        <f t="shared" si="1"/>
        <v>1.2980631830254381</v>
      </c>
    </row>
    <row r="16" spans="1:5" x14ac:dyDescent="0.35">
      <c r="A16" t="s">
        <v>45</v>
      </c>
      <c r="B16">
        <f>IF(Final_Payroll!B16="Sales",Earnings!B16*3,
IF(Final_Payroll!B16="IT",Earnings!B16*2,
IF(Final_Payroll!B16="Finance",Earnings!B16*1.5,
IF(Final_Payroll!B16="HR",Earnings!B16*1.2,
Earnings!B16*1.3))))</f>
        <v>2065048.44</v>
      </c>
      <c r="C16">
        <f>Earnings!B16 + Deductions!B16 + Deductions!C16 + Overtime!D16</f>
        <v>1378498.96</v>
      </c>
      <c r="D16">
        <f t="shared" si="0"/>
        <v>686549.48</v>
      </c>
      <c r="E16">
        <f t="shared" si="1"/>
        <v>1.4980413478150176</v>
      </c>
    </row>
    <row r="17" spans="1:5" x14ac:dyDescent="0.35">
      <c r="A17" t="s">
        <v>46</v>
      </c>
      <c r="B17">
        <f>IF(Final_Payroll!B17="Sales",Earnings!B17*3,
IF(Final_Payroll!B17="IT",Earnings!B17*2,
IF(Final_Payroll!B17="Finance",Earnings!B17*1.5,
IF(Final_Payroll!B17="HR",Earnings!B17*1.2,
Earnings!B17*1.3))))</f>
        <v>1661119.6500000001</v>
      </c>
      <c r="C17">
        <f>Earnings!B17 + Deductions!B17 + Deductions!C17 + Overtime!D17</f>
        <v>1264250.9340000001</v>
      </c>
      <c r="D17">
        <f t="shared" si="0"/>
        <v>396868.71600000001</v>
      </c>
      <c r="E17">
        <f t="shared" si="1"/>
        <v>1.3139160947616115</v>
      </c>
    </row>
    <row r="18" spans="1:5" x14ac:dyDescent="0.35">
      <c r="A18" t="s">
        <v>47</v>
      </c>
      <c r="B18">
        <f>IF(Final_Payroll!B18="Sales",Earnings!B18*3,
IF(Final_Payroll!B18="IT",Earnings!B18*2,
IF(Final_Payroll!B18="Finance",Earnings!B18*1.5,
IF(Final_Payroll!B18="HR",Earnings!B18*1.2,
Earnings!B18*1.3))))</f>
        <v>1337338.2120000001</v>
      </c>
      <c r="C18">
        <f>Earnings!B18 + Deductions!B18 + Deductions!C18 + Overtime!D18</f>
        <v>1343596.0090999999</v>
      </c>
      <c r="D18">
        <f t="shared" si="0"/>
        <v>-6257.7970999998506</v>
      </c>
      <c r="E18">
        <f t="shared" si="1"/>
        <v>0.99534250097676935</v>
      </c>
    </row>
    <row r="19" spans="1:5" x14ac:dyDescent="0.35">
      <c r="A19" t="s">
        <v>48</v>
      </c>
      <c r="B19">
        <f>IF(Final_Payroll!B19="Sales",Earnings!B19*3,
IF(Final_Payroll!B19="IT",Earnings!B19*2,
IF(Final_Payroll!B19="Finance",Earnings!B19*1.5,
IF(Final_Payroll!B19="HR",Earnings!B19*1.2,
Earnings!B19*1.3))))</f>
        <v>2252056.7999999998</v>
      </c>
      <c r="C19">
        <f>Earnings!B19 + Deductions!B19 + Deductions!C19 + Overtime!D19</f>
        <v>1608267.1839999999</v>
      </c>
      <c r="D19">
        <f t="shared" si="0"/>
        <v>643789.61599999992</v>
      </c>
      <c r="E19">
        <f t="shared" si="1"/>
        <v>1.4003001630604681</v>
      </c>
    </row>
    <row r="20" spans="1:5" x14ac:dyDescent="0.35">
      <c r="A20" t="s">
        <v>49</v>
      </c>
      <c r="B20">
        <f>IF(Final_Payroll!B20="Sales",Earnings!B20*3,
IF(Final_Payroll!B20="IT",Earnings!B20*2,
IF(Final_Payroll!B20="Finance",Earnings!B20*1.5,
IF(Final_Payroll!B20="HR",Earnings!B20*1.2,
Earnings!B20*1.3))))</f>
        <v>1627364.4400000002</v>
      </c>
      <c r="C20">
        <f>Earnings!B20 + Deductions!B20 + Deductions!C20 + Overtime!D20</f>
        <v>1253618.8</v>
      </c>
      <c r="D20">
        <f t="shared" si="0"/>
        <v>373745.64000000013</v>
      </c>
      <c r="E20">
        <f t="shared" si="1"/>
        <v>1.2981334038704591</v>
      </c>
    </row>
    <row r="21" spans="1:5" x14ac:dyDescent="0.35">
      <c r="A21" t="s">
        <v>50</v>
      </c>
      <c r="B21">
        <f>IF(Final_Payroll!B21="Sales",Earnings!B21*3,
IF(Final_Payroll!B21="IT",Earnings!B21*2,
IF(Final_Payroll!B21="Finance",Earnings!B21*1.5,
IF(Final_Payroll!B21="HR",Earnings!B21*1.2,
Earnings!B21*1.3))))</f>
        <v>1399377.6</v>
      </c>
      <c r="C21">
        <f>Earnings!B21 + Deductions!B21 + Deductions!C21 + Overtime!D21</f>
        <v>1102643.7120000001</v>
      </c>
      <c r="D21">
        <f t="shared" si="0"/>
        <v>296733.88800000004</v>
      </c>
      <c r="E21">
        <f t="shared" si="1"/>
        <v>1.2691113047402931</v>
      </c>
    </row>
    <row r="22" spans="1:5" x14ac:dyDescent="0.35">
      <c r="A22" t="s">
        <v>51</v>
      </c>
      <c r="B22">
        <f>IF(Final_Payroll!B22="Sales",Earnings!B22*3,
IF(Final_Payroll!B22="IT",Earnings!B22*2,
IF(Final_Payroll!B22="Finance",Earnings!B22*1.5,
IF(Final_Payroll!B22="HR",Earnings!B22*1.2,
Earnings!B22*1.3))))</f>
        <v>1186584</v>
      </c>
      <c r="C22">
        <f>Earnings!B22 + Deductions!B22 + Deductions!C22 + Overtime!D22</f>
        <v>792856</v>
      </c>
      <c r="D22">
        <f t="shared" si="0"/>
        <v>393728</v>
      </c>
      <c r="E22">
        <f t="shared" si="1"/>
        <v>1.496594589685895</v>
      </c>
    </row>
    <row r="23" spans="1:5" x14ac:dyDescent="0.35">
      <c r="A23" t="s">
        <v>52</v>
      </c>
      <c r="B23">
        <f>IF(Final_Payroll!B23="Sales",Earnings!B23*3,
IF(Final_Payroll!B23="IT",Earnings!B23*2,
IF(Final_Payroll!B23="Finance",Earnings!B23*1.5,
IF(Final_Payroll!B23="HR",Earnings!B23*1.2,
Earnings!B23*1.3))))</f>
        <v>3668439.5999999996</v>
      </c>
      <c r="C23">
        <f>Earnings!B23 + Deductions!B23 + Deductions!C23 + Overtime!D23</f>
        <v>1224613.2</v>
      </c>
      <c r="D23">
        <f t="shared" si="0"/>
        <v>2443826.3999999994</v>
      </c>
      <c r="E23">
        <f t="shared" si="1"/>
        <v>2.9955904443950137</v>
      </c>
    </row>
    <row r="24" spans="1:5" x14ac:dyDescent="0.35">
      <c r="A24" t="s">
        <v>53</v>
      </c>
      <c r="B24">
        <f>IF(Final_Payroll!B24="Sales",Earnings!B24*3,
IF(Final_Payroll!B24="IT",Earnings!B24*2,
IF(Final_Payroll!B24="Finance",Earnings!B24*1.5,
IF(Final_Payroll!B24="HR",Earnings!B24*1.2,
Earnings!B24*1.3))))</f>
        <v>3289122</v>
      </c>
      <c r="C24">
        <f>Earnings!B24 + Deductions!B24 + Deductions!C24 + Overtime!D24</f>
        <v>1196847.6599999999</v>
      </c>
      <c r="D24">
        <f t="shared" si="0"/>
        <v>2092274.34</v>
      </c>
      <c r="E24">
        <f t="shared" si="1"/>
        <v>2.7481542638434036</v>
      </c>
    </row>
    <row r="25" spans="1:5" x14ac:dyDescent="0.35">
      <c r="A25" t="s">
        <v>54</v>
      </c>
      <c r="B25">
        <f>IF(Final_Payroll!B25="Sales",Earnings!B25*3,
IF(Final_Payroll!B25="IT",Earnings!B25*2,
IF(Final_Payroll!B25="Finance",Earnings!B25*1.5,
IF(Final_Payroll!B25="HR",Earnings!B25*1.2,
Earnings!B25*1.3))))</f>
        <v>2543448.1500000004</v>
      </c>
      <c r="C25">
        <f>Earnings!B25 + Deductions!B25 + Deductions!C25 + Overtime!D25</f>
        <v>1697432.1</v>
      </c>
      <c r="D25">
        <f t="shared" si="0"/>
        <v>846016.05000000028</v>
      </c>
      <c r="E25">
        <f t="shared" si="1"/>
        <v>1.4984093620004006</v>
      </c>
    </row>
    <row r="26" spans="1:5" x14ac:dyDescent="0.35">
      <c r="A26" t="s">
        <v>55</v>
      </c>
      <c r="B26">
        <f>IF(Final_Payroll!B26="Sales",Earnings!B26*3,
IF(Final_Payroll!B26="IT",Earnings!B26*2,
IF(Final_Payroll!B26="Finance",Earnings!B26*1.5,
IF(Final_Payroll!B26="HR",Earnings!B26*1.2,
Earnings!B26*1.3))))</f>
        <v>1152232.2</v>
      </c>
      <c r="C26">
        <f>Earnings!B26 + Deductions!B26 + Deductions!C26 + Overtime!D26</f>
        <v>985998.33750000002</v>
      </c>
      <c r="D26">
        <f t="shared" si="0"/>
        <v>166233.86249999993</v>
      </c>
      <c r="E26">
        <f t="shared" si="1"/>
        <v>1.168594465302534</v>
      </c>
    </row>
    <row r="27" spans="1:5" x14ac:dyDescent="0.35">
      <c r="A27" t="s">
        <v>56</v>
      </c>
      <c r="B27">
        <f>IF(Final_Payroll!B27="Sales",Earnings!B27*3,
IF(Final_Payroll!B27="IT",Earnings!B27*2,
IF(Final_Payroll!B27="Finance",Earnings!B27*1.5,
IF(Final_Payroll!B27="HR",Earnings!B27*1.2,
Earnings!B27*1.3))))</f>
        <v>1155570</v>
      </c>
      <c r="C27">
        <f>Earnings!B27 + Deductions!B27 + Deductions!C27 + Overtime!D27</f>
        <v>890700</v>
      </c>
      <c r="D27">
        <f t="shared" si="0"/>
        <v>264870</v>
      </c>
      <c r="E27">
        <f t="shared" si="1"/>
        <v>1.2973728528123947</v>
      </c>
    </row>
    <row r="28" spans="1:5" x14ac:dyDescent="0.35">
      <c r="A28" t="s">
        <v>57</v>
      </c>
      <c r="B28">
        <f>IF(Final_Payroll!B28="Sales",Earnings!B28*3,
IF(Final_Payroll!B28="IT",Earnings!B28*2,
IF(Final_Payroll!B28="Finance",Earnings!B28*1.5,
IF(Final_Payroll!B28="HR",Earnings!B28*1.2,
Earnings!B28*1.3))))</f>
        <v>652661.85600000003</v>
      </c>
      <c r="C28">
        <f>Earnings!B28 + Deductions!B28 + Deductions!C28 + Overtime!D28</f>
        <v>545684.88</v>
      </c>
      <c r="D28">
        <f t="shared" si="0"/>
        <v>106976.97600000002</v>
      </c>
      <c r="E28">
        <f t="shared" si="1"/>
        <v>1.1960416715229494</v>
      </c>
    </row>
    <row r="29" spans="1:5" x14ac:dyDescent="0.35">
      <c r="A29" t="s">
        <v>58</v>
      </c>
      <c r="B29">
        <f>IF(Final_Payroll!B29="Sales",Earnings!B29*3,
IF(Final_Payroll!B29="IT",Earnings!B29*2,
IF(Final_Payroll!B29="Finance",Earnings!B29*1.5,
IF(Final_Payroll!B29="HR",Earnings!B29*1.2,
Earnings!B29*1.3))))</f>
        <v>575257.31900000002</v>
      </c>
      <c r="C29">
        <f>Earnings!B29 + Deductions!B29 + Deductions!C29 + Overtime!D29</f>
        <v>444305.63</v>
      </c>
      <c r="D29">
        <f t="shared" si="0"/>
        <v>130951.68900000001</v>
      </c>
      <c r="E29">
        <f t="shared" si="1"/>
        <v>1.2947333550556179</v>
      </c>
    </row>
    <row r="30" spans="1:5" x14ac:dyDescent="0.35">
      <c r="A30" t="s">
        <v>59</v>
      </c>
      <c r="B30">
        <f>IF(Final_Payroll!B30="Sales",Earnings!B30*3,
IF(Final_Payroll!B30="IT",Earnings!B30*2,
IF(Final_Payroll!B30="Finance",Earnings!B30*1.5,
IF(Final_Payroll!B30="HR",Earnings!B30*1.2,
Earnings!B30*1.3))))</f>
        <v>2288578.88</v>
      </c>
      <c r="C30">
        <f>Earnings!B30 + Deductions!B30 + Deductions!C30 + Overtime!D30</f>
        <v>1146089.44</v>
      </c>
      <c r="D30">
        <f t="shared" si="0"/>
        <v>1142489.44</v>
      </c>
      <c r="E30">
        <f t="shared" si="1"/>
        <v>1.9968588838930406</v>
      </c>
    </row>
    <row r="31" spans="1:5" x14ac:dyDescent="0.35">
      <c r="A31" t="s">
        <v>60</v>
      </c>
      <c r="B31">
        <f>IF(Final_Payroll!B31="Sales",Earnings!B31*3,
IF(Final_Payroll!B31="IT",Earnings!B31*2,
IF(Final_Payroll!B31="Finance",Earnings!B31*1.5,
IF(Final_Payroll!B31="HR",Earnings!B31*1.2,
Earnings!B31*1.3))))</f>
        <v>683420.59500000009</v>
      </c>
      <c r="C31">
        <f>Earnings!B31 + Deductions!B31 + Deductions!C31 + Overtime!D31</f>
        <v>527508.15</v>
      </c>
      <c r="D31">
        <f t="shared" si="0"/>
        <v>155912.44500000007</v>
      </c>
      <c r="E31">
        <f t="shared" si="1"/>
        <v>1.2955640495791394</v>
      </c>
    </row>
    <row r="32" spans="1:5" x14ac:dyDescent="0.35">
      <c r="A32" t="s">
        <v>61</v>
      </c>
      <c r="B32">
        <f>IF(Final_Payroll!B32="Sales",Earnings!B32*3,
IF(Final_Payroll!B32="IT",Earnings!B32*2,
IF(Final_Payroll!B32="Finance",Earnings!B32*1.5,
IF(Final_Payroll!B32="HR",Earnings!B32*1.2,
Earnings!B32*1.3))))</f>
        <v>4774115.0999999996</v>
      </c>
      <c r="C32">
        <f>Earnings!B32 + Deductions!B32 + Deductions!C32 + Overtime!D32</f>
        <v>1714911.6350499999</v>
      </c>
      <c r="D32">
        <f t="shared" si="0"/>
        <v>3059203.4649499999</v>
      </c>
      <c r="E32">
        <f t="shared" si="1"/>
        <v>2.7838840220247301</v>
      </c>
    </row>
    <row r="33" spans="1:5" x14ac:dyDescent="0.35">
      <c r="A33" t="s">
        <v>62</v>
      </c>
      <c r="B33">
        <f>IF(Final_Payroll!B33="Sales",Earnings!B33*3,
IF(Final_Payroll!B33="IT",Earnings!B33*2,
IF(Final_Payroll!B33="Finance",Earnings!B33*1.5,
IF(Final_Payroll!B33="HR",Earnings!B33*1.2,
Earnings!B33*1.3))))</f>
        <v>1425641.7000000002</v>
      </c>
      <c r="C33">
        <f>Earnings!B33 + Deductions!B33 + Deductions!C33 + Overtime!D33</f>
        <v>952227.8</v>
      </c>
      <c r="D33">
        <f t="shared" si="0"/>
        <v>473413.90000000014</v>
      </c>
      <c r="E33">
        <f t="shared" si="1"/>
        <v>1.4971645440303256</v>
      </c>
    </row>
    <row r="34" spans="1:5" x14ac:dyDescent="0.35">
      <c r="A34" t="s">
        <v>63</v>
      </c>
      <c r="B34">
        <f>IF(Final_Payroll!B34="Sales",Earnings!B34*3,
IF(Final_Payroll!B34="IT",Earnings!B34*2,
IF(Final_Payroll!B34="Finance",Earnings!B34*1.5,
IF(Final_Payroll!B34="HR",Earnings!B34*1.2,
Earnings!B34*1.3))))</f>
        <v>5443383</v>
      </c>
      <c r="C34">
        <f>Earnings!B34 + Deductions!B34 + Deductions!C34 + Overtime!D34</f>
        <v>2016758.9405</v>
      </c>
      <c r="D34">
        <f t="shared" si="0"/>
        <v>3426624.0595</v>
      </c>
      <c r="E34">
        <f t="shared" si="1"/>
        <v>2.699074683983036</v>
      </c>
    </row>
    <row r="35" spans="1:5" x14ac:dyDescent="0.35">
      <c r="A35" t="s">
        <v>64</v>
      </c>
      <c r="B35">
        <f>IF(Final_Payroll!B35="Sales",Earnings!B35*3,
IF(Final_Payroll!B35="IT",Earnings!B35*2,
IF(Final_Payroll!B35="Finance",Earnings!B35*1.5,
IF(Final_Payroll!B35="HR",Earnings!B35*1.2,
Earnings!B35*1.3))))</f>
        <v>4097067.66</v>
      </c>
      <c r="C35">
        <f>Earnings!B35 + Deductions!B35 + Deductions!C35 + Overtime!D35</f>
        <v>1506789.52095</v>
      </c>
      <c r="D35">
        <f t="shared" si="0"/>
        <v>2590278.1390500003</v>
      </c>
      <c r="E35">
        <f t="shared" si="1"/>
        <v>2.7190709804093158</v>
      </c>
    </row>
    <row r="36" spans="1:5" x14ac:dyDescent="0.35">
      <c r="A36" t="s">
        <v>65</v>
      </c>
      <c r="B36">
        <f>IF(Final_Payroll!B36="Sales",Earnings!B36*3,
IF(Final_Payroll!B36="IT",Earnings!B36*2,
IF(Final_Payroll!B36="Finance",Earnings!B36*1.5,
IF(Final_Payroll!B36="HR",Earnings!B36*1.2,
Earnings!B36*1.3))))</f>
        <v>618796.55999999994</v>
      </c>
      <c r="C36">
        <f>Earnings!B36 + Deductions!B36 + Deductions!C36 + Overtime!D36</f>
        <v>517463.8</v>
      </c>
      <c r="D36">
        <f t="shared" si="0"/>
        <v>101332.75999999995</v>
      </c>
      <c r="E36">
        <f t="shared" si="1"/>
        <v>1.1958257949638216</v>
      </c>
    </row>
    <row r="37" spans="1:5" x14ac:dyDescent="0.35">
      <c r="A37" t="s">
        <v>66</v>
      </c>
      <c r="B37">
        <f>IF(Final_Payroll!B37="Sales",Earnings!B37*3,
IF(Final_Payroll!B37="IT",Earnings!B37*2,
IF(Final_Payroll!B37="Finance",Earnings!B37*1.5,
IF(Final_Payroll!B37="HR",Earnings!B37*1.2,
Earnings!B37*1.3))))</f>
        <v>1199861.3999999999</v>
      </c>
      <c r="C37">
        <f>Earnings!B37 + Deductions!B37 + Deductions!C37 + Overtime!D37</f>
        <v>825704.82799999998</v>
      </c>
      <c r="D37">
        <f t="shared" si="0"/>
        <v>374156.57199999993</v>
      </c>
      <c r="E37">
        <f t="shared" si="1"/>
        <v>1.4531359867499769</v>
      </c>
    </row>
    <row r="38" spans="1:5" x14ac:dyDescent="0.35">
      <c r="A38" t="s">
        <v>67</v>
      </c>
      <c r="B38">
        <f>IF(Final_Payroll!B38="Sales",Earnings!B38*3,
IF(Final_Payroll!B38="IT",Earnings!B38*2,
IF(Final_Payroll!B38="Finance",Earnings!B38*1.5,
IF(Final_Payroll!B38="HR",Earnings!B38*1.2,
Earnings!B38*1.3))))</f>
        <v>939652.5</v>
      </c>
      <c r="C38">
        <f>Earnings!B38 + Deductions!B38 + Deductions!C38 + Overtime!D38</f>
        <v>668953.27500000002</v>
      </c>
      <c r="D38">
        <f t="shared" si="0"/>
        <v>270699.22499999998</v>
      </c>
      <c r="E38">
        <f t="shared" si="1"/>
        <v>1.4046608860686121</v>
      </c>
    </row>
    <row r="39" spans="1:5" x14ac:dyDescent="0.35">
      <c r="A39" t="s">
        <v>68</v>
      </c>
      <c r="B39">
        <f>IF(Final_Payroll!B39="Sales",Earnings!B39*3,
IF(Final_Payroll!B39="IT",Earnings!B39*2,
IF(Final_Payroll!B39="Finance",Earnings!B39*1.5,
IF(Final_Payroll!B39="HR",Earnings!B39*1.2,
Earnings!B39*1.3))))</f>
        <v>3332364.21</v>
      </c>
      <c r="C39">
        <f>Earnings!B39 + Deductions!B39 + Deductions!C39 + Overtime!D39</f>
        <v>1151465.6526250001</v>
      </c>
      <c r="D39">
        <f t="shared" si="0"/>
        <v>2180898.5573749999</v>
      </c>
      <c r="E39">
        <f t="shared" si="1"/>
        <v>2.8940196369758819</v>
      </c>
    </row>
    <row r="40" spans="1:5" x14ac:dyDescent="0.35">
      <c r="A40" t="s">
        <v>69</v>
      </c>
      <c r="B40">
        <f>IF(Final_Payroll!B40="Sales",Earnings!B40*3,
IF(Final_Payroll!B40="IT",Earnings!B40*2,
IF(Final_Payroll!B40="Finance",Earnings!B40*1.5,
IF(Final_Payroll!B40="HR",Earnings!B40*1.2,
Earnings!B40*1.3))))</f>
        <v>1947503.04</v>
      </c>
      <c r="C40">
        <f>Earnings!B40 + Deductions!B40 + Deductions!C40 + Overtime!D40</f>
        <v>975551.52</v>
      </c>
      <c r="D40">
        <f t="shared" si="0"/>
        <v>971951.52</v>
      </c>
      <c r="E40">
        <f t="shared" si="1"/>
        <v>1.9963097797233713</v>
      </c>
    </row>
    <row r="41" spans="1:5" x14ac:dyDescent="0.35">
      <c r="A41" t="s">
        <v>71</v>
      </c>
      <c r="B41">
        <f>IF(Final_Payroll!B41="Sales",Earnings!B41*3,
IF(Final_Payroll!B41="IT",Earnings!B41*2,
IF(Final_Payroll!B41="Finance",Earnings!B41*1.5,
IF(Final_Payroll!B41="HR",Earnings!B41*1.2,
Earnings!B41*1.3))))</f>
        <v>1001245.7000000001</v>
      </c>
      <c r="C41">
        <f>Earnings!B41 + Deductions!B41 + Deductions!C41 + Overtime!D41</f>
        <v>863641.49100000004</v>
      </c>
      <c r="D41">
        <f t="shared" si="0"/>
        <v>137604.20900000003</v>
      </c>
      <c r="E41">
        <f t="shared" si="1"/>
        <v>1.1593302434331516</v>
      </c>
    </row>
    <row r="42" spans="1:5" x14ac:dyDescent="0.35">
      <c r="A42" t="s">
        <v>72</v>
      </c>
      <c r="B42">
        <f>IF(Final_Payroll!B42="Sales",Earnings!B42*3,
IF(Final_Payroll!B42="IT",Earnings!B42*2,
IF(Final_Payroll!B42="Finance",Earnings!B42*1.5,
IF(Final_Payroll!B42="HR",Earnings!B42*1.2,
Earnings!B42*1.3))))</f>
        <v>3246667.1999999997</v>
      </c>
      <c r="C42">
        <f>Earnings!B42 + Deductions!B42 + Deductions!C42 + Overtime!D42</f>
        <v>1116489.0719999999</v>
      </c>
      <c r="D42">
        <f t="shared" si="0"/>
        <v>2130178.1279999996</v>
      </c>
      <c r="E42">
        <f t="shared" si="1"/>
        <v>2.907925640672997</v>
      </c>
    </row>
    <row r="43" spans="1:5" x14ac:dyDescent="0.35">
      <c r="A43" t="s">
        <v>73</v>
      </c>
      <c r="B43">
        <f>IF(Final_Payroll!B43="Sales",Earnings!B43*3,
IF(Final_Payroll!B43="IT",Earnings!B43*2,
IF(Final_Payroll!B43="Finance",Earnings!B43*1.5,
IF(Final_Payroll!B43="HR",Earnings!B43*1.2,
Earnings!B43*1.3))))</f>
        <v>2771476.4</v>
      </c>
      <c r="C43">
        <f>Earnings!B43 + Deductions!B43 + Deductions!C43 + Overtime!D43</f>
        <v>1387538.2</v>
      </c>
      <c r="D43">
        <f t="shared" si="0"/>
        <v>1383938.2</v>
      </c>
      <c r="E43">
        <f t="shared" si="1"/>
        <v>1.9974054768366016</v>
      </c>
    </row>
    <row r="44" spans="1:5" x14ac:dyDescent="0.35">
      <c r="A44" t="s">
        <v>74</v>
      </c>
      <c r="B44">
        <f>IF(Final_Payroll!B44="Sales",Earnings!B44*3,
IF(Final_Payroll!B44="IT",Earnings!B44*2,
IF(Final_Payroll!B44="Finance",Earnings!B44*1.5,
IF(Final_Payroll!B44="HR",Earnings!B44*1.2,
Earnings!B44*1.3))))</f>
        <v>3517837.1999999997</v>
      </c>
      <c r="C44">
        <f>Earnings!B44 + Deductions!B44 + Deductions!C44 + Overtime!D44</f>
        <v>2945057.1239999998</v>
      </c>
      <c r="D44">
        <f t="shared" si="0"/>
        <v>572780.07599999988</v>
      </c>
      <c r="E44">
        <f t="shared" si="1"/>
        <v>1.1944886132538053</v>
      </c>
    </row>
    <row r="45" spans="1:5" x14ac:dyDescent="0.35">
      <c r="A45" t="s">
        <v>75</v>
      </c>
      <c r="B45">
        <f>IF(Final_Payroll!B45="Sales",Earnings!B45*3,
IF(Final_Payroll!B45="IT",Earnings!B45*2,
IF(Final_Payroll!B45="Finance",Earnings!B45*1.5,
IF(Final_Payroll!B45="HR",Earnings!B45*1.2,
Earnings!B45*1.3))))</f>
        <v>438560.2</v>
      </c>
      <c r="C45">
        <f>Earnings!B45 + Deductions!B45 + Deductions!C45 + Overtime!D45</f>
        <v>339154</v>
      </c>
      <c r="D45">
        <f t="shared" si="0"/>
        <v>99406.200000000012</v>
      </c>
      <c r="E45">
        <f t="shared" si="1"/>
        <v>1.2931004794282244</v>
      </c>
    </row>
    <row r="46" spans="1:5" x14ac:dyDescent="0.35">
      <c r="A46" t="s">
        <v>76</v>
      </c>
      <c r="B46">
        <f>IF(Final_Payroll!B46="Sales",Earnings!B46*3,
IF(Final_Payroll!B46="IT",Earnings!B46*2,
IF(Final_Payroll!B46="Finance",Earnings!B46*1.5,
IF(Final_Payroll!B46="HR",Earnings!B46*1.2,
Earnings!B46*1.3))))</f>
        <v>2568336.4</v>
      </c>
      <c r="C46">
        <f>Earnings!B46 + Deductions!B46 + Deductions!C46 + Overtime!D46</f>
        <v>1537665.1672</v>
      </c>
      <c r="D46">
        <f t="shared" si="0"/>
        <v>1030671.2327999999</v>
      </c>
      <c r="E46">
        <f t="shared" si="1"/>
        <v>1.6702832676354327</v>
      </c>
    </row>
    <row r="47" spans="1:5" x14ac:dyDescent="0.35">
      <c r="A47" t="s">
        <v>77</v>
      </c>
      <c r="B47">
        <f>IF(Final_Payroll!B47="Sales",Earnings!B47*3,
IF(Final_Payroll!B47="IT",Earnings!B47*2,
IF(Final_Payroll!B47="Finance",Earnings!B47*1.5,
IF(Final_Payroll!B47="HR",Earnings!B47*1.2,
Earnings!B47*1.3))))</f>
        <v>1544187.12</v>
      </c>
      <c r="C47">
        <f>Earnings!B47 + Deductions!B47 + Deductions!C47 + Overtime!D47</f>
        <v>1288622.6000000001</v>
      </c>
      <c r="D47">
        <f t="shared" si="0"/>
        <v>255564.52000000002</v>
      </c>
      <c r="E47">
        <f t="shared" si="1"/>
        <v>1.1983237916206033</v>
      </c>
    </row>
    <row r="48" spans="1:5" x14ac:dyDescent="0.35">
      <c r="A48" t="s">
        <v>78</v>
      </c>
      <c r="B48">
        <f>IF(Final_Payroll!B48="Sales",Earnings!B48*3,
IF(Final_Payroll!B48="IT",Earnings!B48*2,
IF(Final_Payroll!B48="Finance",Earnings!B48*1.5,
IF(Final_Payroll!B48="HR",Earnings!B48*1.2,
Earnings!B48*1.3))))</f>
        <v>1284275.52</v>
      </c>
      <c r="C48">
        <f>Earnings!B48 + Deductions!B48 + Deductions!C48 + Overtime!D48</f>
        <v>1264670.9280000001</v>
      </c>
      <c r="D48">
        <f t="shared" si="0"/>
        <v>19604.591999999946</v>
      </c>
      <c r="E48">
        <f t="shared" si="1"/>
        <v>1.0155017337442898</v>
      </c>
    </row>
    <row r="49" spans="1:5" x14ac:dyDescent="0.35">
      <c r="A49" t="s">
        <v>79</v>
      </c>
      <c r="B49">
        <f>IF(Final_Payroll!B49="Sales",Earnings!B49*3,
IF(Final_Payroll!B49="IT",Earnings!B49*2,
IF(Final_Payroll!B49="Finance",Earnings!B49*1.5,
IF(Final_Payroll!B49="HR",Earnings!B49*1.2,
Earnings!B49*1.3))))</f>
        <v>1494283.7</v>
      </c>
      <c r="C49">
        <f>Earnings!B49 + Deductions!B49 + Deductions!C49 + Overtime!D49</f>
        <v>1312171.8599999999</v>
      </c>
      <c r="D49">
        <f t="shared" si="0"/>
        <v>182111.84000000008</v>
      </c>
      <c r="E49">
        <f t="shared" si="1"/>
        <v>1.1387865763254519</v>
      </c>
    </row>
    <row r="50" spans="1:5" x14ac:dyDescent="0.35">
      <c r="A50" t="s">
        <v>80</v>
      </c>
      <c r="B50">
        <f>IF(Final_Payroll!B50="Sales",Earnings!B50*3,
IF(Final_Payroll!B50="IT",Earnings!B50*2,
IF(Final_Payroll!B50="Finance",Earnings!B50*1.5,
IF(Final_Payroll!B50="HR",Earnings!B50*1.2,
Earnings!B50*1.3))))</f>
        <v>1799296.2000000002</v>
      </c>
      <c r="C50">
        <f>Earnings!B50 + Deductions!B50 + Deductions!C50 + Overtime!D50</f>
        <v>1351272.1500000001</v>
      </c>
      <c r="D50">
        <f t="shared" si="0"/>
        <v>448024.05000000005</v>
      </c>
      <c r="E50">
        <f t="shared" si="1"/>
        <v>1.3315572292376483</v>
      </c>
    </row>
    <row r="51" spans="1:5" x14ac:dyDescent="0.35">
      <c r="A51" t="s">
        <v>81</v>
      </c>
      <c r="B51">
        <f>IF(Final_Payroll!B51="Sales",Earnings!B51*3,
IF(Final_Payroll!B51="IT",Earnings!B51*2,
IF(Final_Payroll!B51="Finance",Earnings!B51*1.5,
IF(Final_Payroll!B51="HR",Earnings!B51*1.2,
Earnings!B51*1.3))))</f>
        <v>3065260</v>
      </c>
      <c r="C51">
        <f>Earnings!B51 + Deductions!B51 + Deductions!C51 + Overtime!D51</f>
        <v>1534430</v>
      </c>
      <c r="D51">
        <f t="shared" si="0"/>
        <v>1530830</v>
      </c>
      <c r="E51">
        <f t="shared" si="1"/>
        <v>1.9976538519189537</v>
      </c>
    </row>
    <row r="52" spans="1:5" x14ac:dyDescent="0.35">
      <c r="A52" t="s">
        <v>82</v>
      </c>
      <c r="B52">
        <f>IF(Final_Payroll!B52="Sales",Earnings!B52*3,
IF(Final_Payroll!B52="IT",Earnings!B52*2,
IF(Final_Payroll!B52="Finance",Earnings!B52*1.5,
IF(Final_Payroll!B52="HR",Earnings!B52*1.2,
Earnings!B52*1.3))))</f>
        <v>4725639.5999999996</v>
      </c>
      <c r="C52">
        <f>Earnings!B52 + Deductions!B52 + Deductions!C52 + Overtime!D52</f>
        <v>1577013.2</v>
      </c>
      <c r="D52">
        <f t="shared" si="0"/>
        <v>3148626.3999999994</v>
      </c>
      <c r="E52">
        <f t="shared" si="1"/>
        <v>2.9965758054529914</v>
      </c>
    </row>
    <row r="53" spans="1:5" x14ac:dyDescent="0.35">
      <c r="A53" t="s">
        <v>83</v>
      </c>
      <c r="B53">
        <f>IF(Final_Payroll!B53="Sales",Earnings!B53*3,
IF(Final_Payroll!B53="IT",Earnings!B53*2,
IF(Final_Payroll!B53="Finance",Earnings!B53*1.5,
IF(Final_Payroll!B53="HR",Earnings!B53*1.2,
Earnings!B53*1.3))))</f>
        <v>1917144</v>
      </c>
      <c r="C53">
        <f>Earnings!B53 + Deductions!B53 + Deductions!C53 + Overtime!D53</f>
        <v>1104157.8</v>
      </c>
      <c r="D53">
        <f t="shared" si="0"/>
        <v>812986.2</v>
      </c>
      <c r="E53">
        <f t="shared" si="1"/>
        <v>1.736295301269438</v>
      </c>
    </row>
    <row r="54" spans="1:5" x14ac:dyDescent="0.35">
      <c r="A54" t="s">
        <v>84</v>
      </c>
      <c r="B54">
        <f>IF(Final_Payroll!B54="Sales",Earnings!B54*3,
IF(Final_Payroll!B54="IT",Earnings!B54*2,
IF(Final_Payroll!B54="Finance",Earnings!B54*1.5,
IF(Final_Payroll!B54="HR",Earnings!B54*1.2,
Earnings!B54*1.3))))</f>
        <v>4106851.5</v>
      </c>
      <c r="C54">
        <f>Earnings!B54 + Deductions!B54 + Deductions!C54 + Overtime!D54</f>
        <v>1545291.68875</v>
      </c>
      <c r="D54">
        <f t="shared" si="0"/>
        <v>2561559.8112500003</v>
      </c>
      <c r="E54">
        <f t="shared" si="1"/>
        <v>2.6576545579702615</v>
      </c>
    </row>
    <row r="55" spans="1:5" x14ac:dyDescent="0.35">
      <c r="A55" t="s">
        <v>85</v>
      </c>
      <c r="B55">
        <f>IF(Final_Payroll!B55="Sales",Earnings!B55*3,
IF(Final_Payroll!B55="IT",Earnings!B55*2,
IF(Final_Payroll!B55="Finance",Earnings!B55*1.5,
IF(Final_Payroll!B55="HR",Earnings!B55*1.2,
Earnings!B55*1.3))))</f>
        <v>1588316</v>
      </c>
      <c r="C55">
        <f>Earnings!B55 + Deductions!B55 + Deductions!C55 + Overtime!D55</f>
        <v>907140.12</v>
      </c>
      <c r="D55">
        <f t="shared" si="0"/>
        <v>681175.88</v>
      </c>
      <c r="E55">
        <f t="shared" si="1"/>
        <v>1.7509048106041214</v>
      </c>
    </row>
    <row r="56" spans="1:5" x14ac:dyDescent="0.35">
      <c r="A56" t="s">
        <v>86</v>
      </c>
      <c r="B56">
        <f>IF(Final_Payroll!B56="Sales",Earnings!B56*3,
IF(Final_Payroll!B56="IT",Earnings!B56*2,
IF(Final_Payroll!B56="Finance",Earnings!B56*1.5,
IF(Final_Payroll!B56="HR",Earnings!B56*1.2,
Earnings!B56*1.3))))</f>
        <v>2428306.4</v>
      </c>
      <c r="C56">
        <f>Earnings!B56 + Deductions!B56 + Deductions!C56 + Overtime!D56</f>
        <v>1349510.0519999999</v>
      </c>
      <c r="D56">
        <f t="shared" si="0"/>
        <v>1078796.348</v>
      </c>
      <c r="E56">
        <f t="shared" si="1"/>
        <v>1.799398527192297</v>
      </c>
    </row>
    <row r="57" spans="1:5" x14ac:dyDescent="0.35">
      <c r="A57" t="s">
        <v>87</v>
      </c>
      <c r="B57">
        <f>IF(Final_Payroll!B57="Sales",Earnings!B57*3,
IF(Final_Payroll!B57="IT",Earnings!B57*2,
IF(Final_Payroll!B57="Finance",Earnings!B57*1.5,
IF(Final_Payroll!B57="HR",Earnings!B57*1.2,
Earnings!B57*1.3))))</f>
        <v>3099104.25</v>
      </c>
      <c r="C57">
        <f>Earnings!B57 + Deductions!B57 + Deductions!C57 + Overtime!D57</f>
        <v>1034834.75</v>
      </c>
      <c r="D57">
        <f t="shared" si="0"/>
        <v>2064269.5</v>
      </c>
      <c r="E57">
        <f t="shared" si="1"/>
        <v>2.9947817755443564</v>
      </c>
    </row>
    <row r="58" spans="1:5" x14ac:dyDescent="0.35">
      <c r="A58" t="s">
        <v>88</v>
      </c>
      <c r="B58">
        <f>IF(Final_Payroll!B58="Sales",Earnings!B58*3,
IF(Final_Payroll!B58="IT",Earnings!B58*2,
IF(Final_Payroll!B58="Finance",Earnings!B58*1.5,
IF(Final_Payroll!B58="HR",Earnings!B58*1.2,
Earnings!B58*1.3))))</f>
        <v>1104819.5999999999</v>
      </c>
      <c r="C58">
        <f>Earnings!B58 + Deductions!B58 + Deductions!C58 + Overtime!D58</f>
        <v>922483</v>
      </c>
      <c r="D58">
        <f t="shared" si="0"/>
        <v>182336.59999999986</v>
      </c>
      <c r="E58">
        <f t="shared" si="1"/>
        <v>1.1976584934356513</v>
      </c>
    </row>
    <row r="59" spans="1:5" x14ac:dyDescent="0.35">
      <c r="A59" t="s">
        <v>89</v>
      </c>
      <c r="B59">
        <f>IF(Final_Payroll!B59="Sales",Earnings!B59*3,
IF(Final_Payroll!B59="IT",Earnings!B59*2,
IF(Final_Payroll!B59="Finance",Earnings!B59*1.5,
IF(Final_Payroll!B59="HR",Earnings!B59*1.2,
Earnings!B59*1.3))))</f>
        <v>854314.86</v>
      </c>
      <c r="C59">
        <f>Earnings!B59 + Deductions!B59 + Deductions!C59 + Overtime!D59</f>
        <v>713729.05</v>
      </c>
      <c r="D59">
        <f t="shared" si="0"/>
        <v>140585.80999999994</v>
      </c>
      <c r="E59">
        <f t="shared" si="1"/>
        <v>1.1969736414680052</v>
      </c>
    </row>
    <row r="60" spans="1:5" x14ac:dyDescent="0.35">
      <c r="A60" t="s">
        <v>90</v>
      </c>
      <c r="B60">
        <f>IF(Final_Payroll!B60="Sales",Earnings!B60*3,
IF(Final_Payroll!B60="IT",Earnings!B60*2,
IF(Final_Payroll!B60="Finance",Earnings!B60*1.5,
IF(Final_Payroll!B60="HR",Earnings!B60*1.2,
Earnings!B60*1.3))))</f>
        <v>3734917.0200000005</v>
      </c>
      <c r="C60">
        <f>Earnings!B60 + Deductions!B60 + Deductions!C60 + Overtime!D60</f>
        <v>1246772.3400000001</v>
      </c>
      <c r="D60">
        <f t="shared" si="0"/>
        <v>2488144.6800000006</v>
      </c>
      <c r="E60">
        <f t="shared" si="1"/>
        <v>2.995668816329371</v>
      </c>
    </row>
    <row r="61" spans="1:5" x14ac:dyDescent="0.35">
      <c r="A61" t="s">
        <v>91</v>
      </c>
      <c r="B61">
        <f>IF(Final_Payroll!B61="Sales",Earnings!B61*3,
IF(Final_Payroll!B61="IT",Earnings!B61*2,
IF(Final_Payroll!B61="Finance",Earnings!B61*1.5,
IF(Final_Payroll!B61="HR",Earnings!B61*1.2,
Earnings!B61*1.3))))</f>
        <v>852128.90399999998</v>
      </c>
      <c r="C61">
        <f>Earnings!B61 + Deductions!B61 + Deductions!C61 + Overtime!D61</f>
        <v>711907.42</v>
      </c>
      <c r="D61">
        <f t="shared" si="0"/>
        <v>140221.48399999994</v>
      </c>
      <c r="E61">
        <f t="shared" si="1"/>
        <v>1.1969658976162938</v>
      </c>
    </row>
    <row r="62" spans="1:5" x14ac:dyDescent="0.35">
      <c r="A62" t="s">
        <v>92</v>
      </c>
      <c r="B62">
        <f>IF(Final_Payroll!B62="Sales",Earnings!B62*3,
IF(Final_Payroll!B62="IT",Earnings!B62*2,
IF(Final_Payroll!B62="Finance",Earnings!B62*1.5,
IF(Final_Payroll!B62="HR",Earnings!B62*1.2,
Earnings!B62*1.3))))</f>
        <v>565986</v>
      </c>
      <c r="C62">
        <f>Earnings!B62 + Deductions!B62 + Deductions!C62 + Overtime!D62</f>
        <v>544203.25</v>
      </c>
      <c r="D62">
        <f t="shared" si="0"/>
        <v>21782.75</v>
      </c>
      <c r="E62">
        <f t="shared" si="1"/>
        <v>1.0400268649626772</v>
      </c>
    </row>
    <row r="63" spans="1:5" x14ac:dyDescent="0.35">
      <c r="A63" t="s">
        <v>93</v>
      </c>
      <c r="B63">
        <f>IF(Final_Payroll!B63="Sales",Earnings!B63*3,
IF(Final_Payroll!B63="IT",Earnings!B63*2,
IF(Final_Payroll!B63="Finance",Earnings!B63*1.5,
IF(Final_Payroll!B63="HR",Earnings!B63*1.2,
Earnings!B63*1.3))))</f>
        <v>3252671.94</v>
      </c>
      <c r="C63">
        <f>Earnings!B63 + Deductions!B63 + Deductions!C63 + Overtime!D63</f>
        <v>1958282.1729250001</v>
      </c>
      <c r="D63">
        <f t="shared" si="0"/>
        <v>1294389.7670749999</v>
      </c>
      <c r="E63">
        <f t="shared" si="1"/>
        <v>1.6609822552495725</v>
      </c>
    </row>
    <row r="64" spans="1:5" x14ac:dyDescent="0.35">
      <c r="A64" t="s">
        <v>94</v>
      </c>
      <c r="B64">
        <f>IF(Final_Payroll!B64="Sales",Earnings!B64*3,
IF(Final_Payroll!B64="IT",Earnings!B64*2,
IF(Final_Payroll!B64="Finance",Earnings!B64*1.5,
IF(Final_Payroll!B64="HR",Earnings!B64*1.2,
Earnings!B64*1.3))))</f>
        <v>1341154.3080000002</v>
      </c>
      <c r="C64">
        <f>Earnings!B64 + Deductions!B64 + Deductions!C64 + Overtime!D64</f>
        <v>1033457.16</v>
      </c>
      <c r="D64">
        <f t="shared" si="0"/>
        <v>307697.14800000016</v>
      </c>
      <c r="E64">
        <f t="shared" si="1"/>
        <v>1.2977357552005351</v>
      </c>
    </row>
    <row r="65" spans="1:5" x14ac:dyDescent="0.35">
      <c r="A65" t="s">
        <v>95</v>
      </c>
      <c r="B65">
        <f>IF(Final_Payroll!B65="Sales",Earnings!B65*3,
IF(Final_Payroll!B65="IT",Earnings!B65*2,
IF(Final_Payroll!B65="Finance",Earnings!B65*1.5,
IF(Final_Payroll!B65="HR",Earnings!B65*1.2,
Earnings!B65*1.3))))</f>
        <v>1059616.3199999998</v>
      </c>
      <c r="C65">
        <f>Earnings!B65 + Deductions!B65 + Deductions!C65 + Overtime!D65</f>
        <v>884813.6</v>
      </c>
      <c r="D65">
        <f t="shared" si="0"/>
        <v>174802.71999999986</v>
      </c>
      <c r="E65">
        <f t="shared" si="1"/>
        <v>1.197558807866425</v>
      </c>
    </row>
    <row r="66" spans="1:5" x14ac:dyDescent="0.35">
      <c r="A66" t="s">
        <v>96</v>
      </c>
      <c r="B66">
        <f>IF(Final_Payroll!B66="Sales",Earnings!B66*3,
IF(Final_Payroll!B66="IT",Earnings!B66*2,
IF(Final_Payroll!B66="Finance",Earnings!B66*1.5,
IF(Final_Payroll!B66="HR",Earnings!B66*1.2,
Earnings!B66*1.3))))</f>
        <v>2052664.3200000001</v>
      </c>
      <c r="C66">
        <f>Earnings!B66 + Deductions!B66 + Deductions!C66 + Overtime!D66</f>
        <v>1712353.6</v>
      </c>
      <c r="D66">
        <f t="shared" ref="D66:D129" si="2">B66-C66</f>
        <v>340310.72</v>
      </c>
      <c r="E66">
        <f t="shared" ref="E66:E129" si="3">IF(C66=0,0,B66/C66)</f>
        <v>1.1987385782936422</v>
      </c>
    </row>
    <row r="67" spans="1:5" x14ac:dyDescent="0.35">
      <c r="A67" t="s">
        <v>97</v>
      </c>
      <c r="B67">
        <f>IF(Final_Payroll!B67="Sales",Earnings!B67*3,
IF(Final_Payroll!B67="IT",Earnings!B67*2,
IF(Final_Payroll!B67="Finance",Earnings!B67*1.5,
IF(Final_Payroll!B67="HR",Earnings!B67*1.2,
Earnings!B67*1.3))))</f>
        <v>4070812.1999999997</v>
      </c>
      <c r="C67">
        <f>Earnings!B67 + Deductions!B67 + Deductions!C67 + Overtime!D67</f>
        <v>1358737.4</v>
      </c>
      <c r="D67">
        <f t="shared" si="2"/>
        <v>2712074.8</v>
      </c>
      <c r="E67">
        <f t="shared" si="3"/>
        <v>2.996025722115252</v>
      </c>
    </row>
    <row r="68" spans="1:5" x14ac:dyDescent="0.35">
      <c r="A68" t="s">
        <v>98</v>
      </c>
      <c r="B68">
        <f>IF(Final_Payroll!B68="Sales",Earnings!B68*3,
IF(Final_Payroll!B68="IT",Earnings!B68*2,
IF(Final_Payroll!B68="Finance",Earnings!B68*1.5,
IF(Final_Payroll!B68="HR",Earnings!B68*1.2,
Earnings!B68*1.3))))</f>
        <v>1783029.5999999999</v>
      </c>
      <c r="C68">
        <f>Earnings!B68 + Deductions!B68 + Deductions!C68 + Overtime!D68</f>
        <v>1383053.5967999999</v>
      </c>
      <c r="D68">
        <f t="shared" si="2"/>
        <v>399976.00319999992</v>
      </c>
      <c r="E68">
        <f t="shared" si="3"/>
        <v>1.2891977607559337</v>
      </c>
    </row>
    <row r="69" spans="1:5" x14ac:dyDescent="0.35">
      <c r="A69" t="s">
        <v>99</v>
      </c>
      <c r="B69">
        <f>IF(Final_Payroll!B69="Sales",Earnings!B69*3,
IF(Final_Payroll!B69="IT",Earnings!B69*2,
IF(Final_Payroll!B69="Finance",Earnings!B69*1.5,
IF(Final_Payroll!B69="HR",Earnings!B69*1.2,
Earnings!B69*1.3))))</f>
        <v>1450092.084</v>
      </c>
      <c r="C69">
        <f>Earnings!B69 + Deductions!B69 + Deductions!C69 + Overtime!D69</f>
        <v>1370928.6099750001</v>
      </c>
      <c r="D69">
        <f t="shared" si="2"/>
        <v>79163.474024999887</v>
      </c>
      <c r="E69">
        <f t="shared" si="3"/>
        <v>1.0577444175057689</v>
      </c>
    </row>
    <row r="70" spans="1:5" x14ac:dyDescent="0.35">
      <c r="A70" t="s">
        <v>100</v>
      </c>
      <c r="B70">
        <f>IF(Final_Payroll!B70="Sales",Earnings!B70*3,
IF(Final_Payroll!B70="IT",Earnings!B70*2,
IF(Final_Payroll!B70="Finance",Earnings!B70*1.5,
IF(Final_Payroll!B70="HR",Earnings!B70*1.2,
Earnings!B70*1.3))))</f>
        <v>818766.71500000008</v>
      </c>
      <c r="C70">
        <f>Earnings!B70 + Deductions!B70 + Deductions!C70 + Overtime!D70</f>
        <v>631620.55000000005</v>
      </c>
      <c r="D70">
        <f t="shared" si="2"/>
        <v>187146.16500000004</v>
      </c>
      <c r="E70">
        <f t="shared" si="3"/>
        <v>1.2962952440353628</v>
      </c>
    </row>
    <row r="71" spans="1:5" x14ac:dyDescent="0.35">
      <c r="A71" t="s">
        <v>101</v>
      </c>
      <c r="B71">
        <f>IF(Final_Payroll!B71="Sales",Earnings!B71*3,
IF(Final_Payroll!B71="IT",Earnings!B71*2,
IF(Final_Payroll!B71="Finance",Earnings!B71*1.5,
IF(Final_Payroll!B71="HR",Earnings!B71*1.2,
Earnings!B71*1.3))))</f>
        <v>1955951.8649999998</v>
      </c>
      <c r="C71">
        <f>Earnings!B71 + Deductions!B71 + Deductions!C71 + Overtime!D71</f>
        <v>1543090.0677999998</v>
      </c>
      <c r="D71">
        <f t="shared" si="2"/>
        <v>412861.79719999991</v>
      </c>
      <c r="E71">
        <f t="shared" si="3"/>
        <v>1.2675552165199413</v>
      </c>
    </row>
    <row r="72" spans="1:5" x14ac:dyDescent="0.35">
      <c r="A72" t="s">
        <v>102</v>
      </c>
      <c r="B72">
        <f>IF(Final_Payroll!B72="Sales",Earnings!B72*3,
IF(Final_Payroll!B72="IT",Earnings!B72*2,
IF(Final_Payroll!B72="Finance",Earnings!B72*1.5,
IF(Final_Payroll!B72="HR",Earnings!B72*1.2,
Earnings!B72*1.3))))</f>
        <v>1850914.7999999998</v>
      </c>
      <c r="C72">
        <f>Earnings!B72 + Deductions!B72 + Deductions!C72 + Overtime!D72</f>
        <v>1356669.6336000001</v>
      </c>
      <c r="D72">
        <f t="shared" si="2"/>
        <v>494245.16639999975</v>
      </c>
      <c r="E72">
        <f t="shared" si="3"/>
        <v>1.3643076797469786</v>
      </c>
    </row>
    <row r="73" spans="1:5" x14ac:dyDescent="0.35">
      <c r="A73" t="s">
        <v>103</v>
      </c>
      <c r="B73">
        <f>IF(Final_Payroll!B73="Sales",Earnings!B73*3,
IF(Final_Payroll!B73="IT",Earnings!B73*2,
IF(Final_Payroll!B73="Finance",Earnings!B73*1.5,
IF(Final_Payroll!B73="HR",Earnings!B73*1.2,
Earnings!B73*1.3))))</f>
        <v>5314015.38</v>
      </c>
      <c r="C73">
        <f>Earnings!B73 + Deductions!B73 + Deductions!C73 + Overtime!D73</f>
        <v>1773138.46</v>
      </c>
      <c r="D73">
        <f t="shared" si="2"/>
        <v>3540876.92</v>
      </c>
      <c r="E73">
        <f t="shared" si="3"/>
        <v>2.9969545525508483</v>
      </c>
    </row>
    <row r="74" spans="1:5" x14ac:dyDescent="0.35">
      <c r="A74" t="s">
        <v>104</v>
      </c>
      <c r="B74">
        <f>IF(Final_Payroll!B74="Sales",Earnings!B74*3,
IF(Final_Payroll!B74="IT",Earnings!B74*2,
IF(Final_Payroll!B74="Finance",Earnings!B74*1.5,
IF(Final_Payroll!B74="HR",Earnings!B74*1.2,
Earnings!B74*1.3))))</f>
        <v>1302139.0080000001</v>
      </c>
      <c r="C74">
        <f>Earnings!B74 + Deductions!B74 + Deductions!C74 + Overtime!D74</f>
        <v>1086915.8400000001</v>
      </c>
      <c r="D74">
        <f t="shared" si="2"/>
        <v>215223.16800000006</v>
      </c>
      <c r="E74">
        <f t="shared" si="3"/>
        <v>1.1980127256218844</v>
      </c>
    </row>
    <row r="75" spans="1:5" x14ac:dyDescent="0.35">
      <c r="A75" t="s">
        <v>105</v>
      </c>
      <c r="B75">
        <f>IF(Final_Payroll!B75="Sales",Earnings!B75*3,
IF(Final_Payroll!B75="IT",Earnings!B75*2,
IF(Final_Payroll!B75="Finance",Earnings!B75*1.5,
IF(Final_Payroll!B75="HR",Earnings!B75*1.2,
Earnings!B75*1.3))))</f>
        <v>1149701.1599999999</v>
      </c>
      <c r="C75">
        <f>Earnings!B75 + Deductions!B75 + Deductions!C75 + Overtime!D75</f>
        <v>959884.3</v>
      </c>
      <c r="D75">
        <f t="shared" si="2"/>
        <v>189816.85999999987</v>
      </c>
      <c r="E75">
        <f t="shared" si="3"/>
        <v>1.1977497287954391</v>
      </c>
    </row>
    <row r="76" spans="1:5" x14ac:dyDescent="0.35">
      <c r="A76" t="s">
        <v>106</v>
      </c>
      <c r="B76">
        <f>IF(Final_Payroll!B76="Sales",Earnings!B76*3,
IF(Final_Payroll!B76="IT",Earnings!B76*2,
IF(Final_Payroll!B76="Finance",Earnings!B76*1.5,
IF(Final_Payroll!B76="HR",Earnings!B76*1.2,
Earnings!B76*1.3))))</f>
        <v>937861.47000000009</v>
      </c>
      <c r="C76">
        <f>Earnings!B76 + Deductions!B76 + Deductions!C76 + Overtime!D76</f>
        <v>801146.54520000005</v>
      </c>
      <c r="D76">
        <f t="shared" si="2"/>
        <v>136714.92480000004</v>
      </c>
      <c r="E76">
        <f t="shared" si="3"/>
        <v>1.1706490848885458</v>
      </c>
    </row>
    <row r="77" spans="1:5" x14ac:dyDescent="0.35">
      <c r="A77" t="s">
        <v>107</v>
      </c>
      <c r="B77">
        <f>IF(Final_Payroll!B77="Sales",Earnings!B77*3,
IF(Final_Payroll!B77="IT",Earnings!B77*2,
IF(Final_Payroll!B77="Finance",Earnings!B77*1.5,
IF(Final_Payroll!B77="HR",Earnings!B77*1.2,
Earnings!B77*1.3))))</f>
        <v>2146422.5999999996</v>
      </c>
      <c r="C77">
        <f>Earnings!B77 + Deductions!B77 + Deductions!C77 + Overtime!D77</f>
        <v>837473.8655999999</v>
      </c>
      <c r="D77">
        <f t="shared" si="2"/>
        <v>1308948.7343999997</v>
      </c>
      <c r="E77">
        <f t="shared" si="3"/>
        <v>2.5629726349277973</v>
      </c>
    </row>
    <row r="78" spans="1:5" x14ac:dyDescent="0.35">
      <c r="A78" t="s">
        <v>108</v>
      </c>
      <c r="B78">
        <f>IF(Final_Payroll!B78="Sales",Earnings!B78*3,
IF(Final_Payroll!B78="IT",Earnings!B78*2,
IF(Final_Payroll!B78="Finance",Earnings!B78*1.5,
IF(Final_Payroll!B78="HR",Earnings!B78*1.2,
Earnings!B78*1.3))))</f>
        <v>965211.78</v>
      </c>
      <c r="C78">
        <f>Earnings!B78 + Deductions!B78 + Deductions!C78 + Overtime!D78</f>
        <v>779909.1888</v>
      </c>
      <c r="D78">
        <f t="shared" si="2"/>
        <v>185302.59120000002</v>
      </c>
      <c r="E78">
        <f t="shared" si="3"/>
        <v>1.2375950865319514</v>
      </c>
    </row>
    <row r="79" spans="1:5" x14ac:dyDescent="0.35">
      <c r="A79" t="s">
        <v>109</v>
      </c>
      <c r="B79">
        <f>IF(Final_Payroll!B79="Sales",Earnings!B79*3,
IF(Final_Payroll!B79="IT",Earnings!B79*2,
IF(Final_Payroll!B79="Finance",Earnings!B79*1.5,
IF(Final_Payroll!B79="HR",Earnings!B79*1.2,
Earnings!B79*1.3))))</f>
        <v>1333146.324</v>
      </c>
      <c r="C79">
        <f>Earnings!B79 + Deductions!B79 + Deductions!C79 + Overtime!D79</f>
        <v>1112755.27</v>
      </c>
      <c r="D79">
        <f t="shared" si="2"/>
        <v>220391.054</v>
      </c>
      <c r="E79">
        <f t="shared" si="3"/>
        <v>1.1980588723700225</v>
      </c>
    </row>
    <row r="80" spans="1:5" x14ac:dyDescent="0.35">
      <c r="A80" t="s">
        <v>110</v>
      </c>
      <c r="B80">
        <f>IF(Final_Payroll!B80="Sales",Earnings!B80*3,
IF(Final_Payroll!B80="IT",Earnings!B80*2,
IF(Final_Payroll!B80="Finance",Earnings!B80*1.5,
IF(Final_Payroll!B80="HR",Earnings!B80*1.2,
Earnings!B80*1.3))))</f>
        <v>3854467.8000000003</v>
      </c>
      <c r="C80">
        <f>Earnings!B80 + Deductions!B80 + Deductions!C80 + Overtime!D80</f>
        <v>1614252.3630000001</v>
      </c>
      <c r="D80">
        <f t="shared" si="2"/>
        <v>2240215.4369999999</v>
      </c>
      <c r="E80">
        <f t="shared" si="3"/>
        <v>2.3877727475254749</v>
      </c>
    </row>
    <row r="81" spans="1:5" x14ac:dyDescent="0.35">
      <c r="A81" t="s">
        <v>111</v>
      </c>
      <c r="B81">
        <f>IF(Final_Payroll!B81="Sales",Earnings!B81*3,
IF(Final_Payroll!B81="IT",Earnings!B81*2,
IF(Final_Payroll!B81="Finance",Earnings!B81*1.5,
IF(Final_Payroll!B81="HR",Earnings!B81*1.2,
Earnings!B81*1.3))))</f>
        <v>3029456.0999999996</v>
      </c>
      <c r="C81">
        <f>Earnings!B81 + Deductions!B81 + Deductions!C81 + Overtime!D81</f>
        <v>2278941.1684999997</v>
      </c>
      <c r="D81">
        <f t="shared" si="2"/>
        <v>750514.93149999995</v>
      </c>
      <c r="E81">
        <f t="shared" si="3"/>
        <v>1.3293261545641344</v>
      </c>
    </row>
    <row r="82" spans="1:5" x14ac:dyDescent="0.35">
      <c r="A82" t="s">
        <v>112</v>
      </c>
      <c r="B82">
        <f>IF(Final_Payroll!B82="Sales",Earnings!B82*3,
IF(Final_Payroll!B82="IT",Earnings!B82*2,
IF(Final_Payroll!B82="Finance",Earnings!B82*1.5,
IF(Final_Payroll!B82="HR",Earnings!B82*1.2,
Earnings!B82*1.3))))</f>
        <v>777423.45600000001</v>
      </c>
      <c r="C82">
        <f>Earnings!B82 + Deductions!B82 + Deductions!C82 + Overtime!D82</f>
        <v>669088.46625000006</v>
      </c>
      <c r="D82">
        <f t="shared" si="2"/>
        <v>108334.98974999995</v>
      </c>
      <c r="E82">
        <f t="shared" si="3"/>
        <v>1.1619142986534778</v>
      </c>
    </row>
    <row r="83" spans="1:5" x14ac:dyDescent="0.35">
      <c r="A83" t="s">
        <v>113</v>
      </c>
      <c r="B83">
        <f>IF(Final_Payroll!B83="Sales",Earnings!B83*3,
IF(Final_Payroll!B83="IT",Earnings!B83*2,
IF(Final_Payroll!B83="Finance",Earnings!B83*1.5,
IF(Final_Payroll!B83="HR",Earnings!B83*1.2,
Earnings!B83*1.3))))</f>
        <v>1231087.368</v>
      </c>
      <c r="C83">
        <f>Earnings!B83 + Deductions!B83 + Deductions!C83 + Overtime!D83</f>
        <v>1027706.14</v>
      </c>
      <c r="D83">
        <f t="shared" si="2"/>
        <v>203381.228</v>
      </c>
      <c r="E83">
        <f t="shared" si="3"/>
        <v>1.1978982318817322</v>
      </c>
    </row>
    <row r="84" spans="1:5" x14ac:dyDescent="0.35">
      <c r="A84" t="s">
        <v>114</v>
      </c>
      <c r="B84">
        <f>IF(Final_Payroll!B84="Sales",Earnings!B84*3,
IF(Final_Payroll!B84="IT",Earnings!B84*2,
IF(Final_Payroll!B84="Finance",Earnings!B84*1.5,
IF(Final_Payroll!B84="HR",Earnings!B84*1.2,
Earnings!B84*1.3))))</f>
        <v>840798</v>
      </c>
      <c r="C84">
        <f>Earnings!B84 + Deductions!B84 + Deductions!C84 + Overtime!D84</f>
        <v>702465</v>
      </c>
      <c r="D84">
        <f t="shared" si="2"/>
        <v>138333</v>
      </c>
      <c r="E84">
        <f t="shared" si="3"/>
        <v>1.1969251137067327</v>
      </c>
    </row>
    <row r="85" spans="1:5" x14ac:dyDescent="0.35">
      <c r="A85" t="s">
        <v>115</v>
      </c>
      <c r="B85">
        <f>IF(Final_Payroll!B85="Sales",Earnings!B85*3,
IF(Final_Payroll!B85="IT",Earnings!B85*2,
IF(Final_Payroll!B85="Finance",Earnings!B85*1.5,
IF(Final_Payroll!B85="HR",Earnings!B85*1.2,
Earnings!B85*1.3))))</f>
        <v>1300594.764</v>
      </c>
      <c r="C85">
        <f>Earnings!B85 + Deductions!B85 + Deductions!C85 + Overtime!D85</f>
        <v>1184257.4067249999</v>
      </c>
      <c r="D85">
        <f t="shared" si="2"/>
        <v>116337.35727500007</v>
      </c>
      <c r="E85">
        <f t="shared" si="3"/>
        <v>1.0982365460535517</v>
      </c>
    </row>
    <row r="86" spans="1:5" x14ac:dyDescent="0.35">
      <c r="A86" t="s">
        <v>116</v>
      </c>
      <c r="B86">
        <f>IF(Final_Payroll!B86="Sales",Earnings!B86*3,
IF(Final_Payroll!B86="IT",Earnings!B86*2,
IF(Final_Payroll!B86="Finance",Earnings!B86*1.5,
IF(Final_Payroll!B86="HR",Earnings!B86*1.2,
Earnings!B86*1.3))))</f>
        <v>2607908</v>
      </c>
      <c r="C86">
        <f>Earnings!B86 + Deductions!B86 + Deductions!C86 + Overtime!D86</f>
        <v>1344872.62</v>
      </c>
      <c r="D86">
        <f t="shared" si="2"/>
        <v>1263035.3799999999</v>
      </c>
      <c r="E86">
        <f t="shared" si="3"/>
        <v>1.9391487053993262</v>
      </c>
    </row>
    <row r="87" spans="1:5" x14ac:dyDescent="0.35">
      <c r="A87" t="s">
        <v>117</v>
      </c>
      <c r="B87">
        <f>IF(Final_Payroll!B87="Sales",Earnings!B87*3,
IF(Final_Payroll!B87="IT",Earnings!B87*2,
IF(Final_Payroll!B87="Finance",Earnings!B87*1.5,
IF(Final_Payroll!B87="HR",Earnings!B87*1.2,
Earnings!B87*1.3))))</f>
        <v>1014180</v>
      </c>
      <c r="C87">
        <f>Earnings!B87 + Deductions!B87 + Deductions!C87 + Overtime!D87</f>
        <v>677920</v>
      </c>
      <c r="D87">
        <f t="shared" si="2"/>
        <v>336260</v>
      </c>
      <c r="E87">
        <f t="shared" si="3"/>
        <v>1.4960172291715836</v>
      </c>
    </row>
    <row r="88" spans="1:5" x14ac:dyDescent="0.35">
      <c r="A88" t="s">
        <v>118</v>
      </c>
      <c r="B88">
        <f>IF(Final_Payroll!B88="Sales",Earnings!B88*3,
IF(Final_Payroll!B88="IT",Earnings!B88*2,
IF(Final_Payroll!B88="Finance",Earnings!B88*1.5,
IF(Final_Payroll!B88="HR",Earnings!B88*1.2,
Earnings!B88*1.3))))</f>
        <v>922519.2</v>
      </c>
      <c r="C88">
        <f>Earnings!B88 + Deductions!B88 + Deductions!C88 + Overtime!D88</f>
        <v>878193.24</v>
      </c>
      <c r="D88">
        <f t="shared" si="2"/>
        <v>44325.959999999963</v>
      </c>
      <c r="E88">
        <f t="shared" si="3"/>
        <v>1.0504740391761613</v>
      </c>
    </row>
    <row r="89" spans="1:5" x14ac:dyDescent="0.35">
      <c r="A89" t="s">
        <v>119</v>
      </c>
      <c r="B89">
        <f>IF(Final_Payroll!B89="Sales",Earnings!B89*3,
IF(Final_Payroll!B89="IT",Earnings!B89*2,
IF(Final_Payroll!B89="Finance",Earnings!B89*1.5,
IF(Final_Payroll!B89="HR",Earnings!B89*1.2,
Earnings!B89*1.3))))</f>
        <v>5571597</v>
      </c>
      <c r="C89">
        <f>Earnings!B89 + Deductions!B89 + Deductions!C89 + Overtime!D89</f>
        <v>1858999</v>
      </c>
      <c r="D89">
        <f t="shared" si="2"/>
        <v>3712598</v>
      </c>
      <c r="E89">
        <f t="shared" si="3"/>
        <v>2.9970952109172733</v>
      </c>
    </row>
    <row r="90" spans="1:5" x14ac:dyDescent="0.35">
      <c r="A90" t="s">
        <v>120</v>
      </c>
      <c r="B90">
        <f>IF(Final_Payroll!B90="Sales",Earnings!B90*3,
IF(Final_Payroll!B90="IT",Earnings!B90*2,
IF(Final_Payroll!B90="Finance",Earnings!B90*1.5,
IF(Final_Payroll!B90="HR",Earnings!B90*1.2,
Earnings!B90*1.3))))</f>
        <v>3586230</v>
      </c>
      <c r="C90">
        <f>Earnings!B90 + Deductions!B90 + Deductions!C90 + Overtime!D90</f>
        <v>1197210</v>
      </c>
      <c r="D90">
        <f t="shared" si="2"/>
        <v>2389020</v>
      </c>
      <c r="E90">
        <f t="shared" si="3"/>
        <v>2.9954895131179993</v>
      </c>
    </row>
    <row r="91" spans="1:5" x14ac:dyDescent="0.35">
      <c r="A91" t="s">
        <v>121</v>
      </c>
      <c r="B91">
        <f>IF(Final_Payroll!B91="Sales",Earnings!B91*3,
IF(Final_Payroll!B91="IT",Earnings!B91*2,
IF(Final_Payroll!B91="Finance",Earnings!B91*1.5,
IF(Final_Payroll!B91="HR",Earnings!B91*1.2,
Earnings!B91*1.3))))</f>
        <v>3399614.4000000004</v>
      </c>
      <c r="C91">
        <f>Earnings!B91 + Deductions!B91 + Deductions!C91 + Overtime!D91</f>
        <v>1198464.2688</v>
      </c>
      <c r="D91">
        <f t="shared" si="2"/>
        <v>2201150.1312000006</v>
      </c>
      <c r="E91">
        <f t="shared" si="3"/>
        <v>2.8366422666935005</v>
      </c>
    </row>
    <row r="92" spans="1:5" x14ac:dyDescent="0.35">
      <c r="A92" t="s">
        <v>122</v>
      </c>
      <c r="B92">
        <f>IF(Final_Payroll!B92="Sales",Earnings!B92*3,
IF(Final_Payroll!B92="IT",Earnings!B92*2,
IF(Final_Payroll!B92="Finance",Earnings!B92*1.5,
IF(Final_Payroll!B92="HR",Earnings!B92*1.2,
Earnings!B92*1.3))))</f>
        <v>2808289.5</v>
      </c>
      <c r="C92">
        <f>Earnings!B92 + Deductions!B92 + Deductions!C92 + Overtime!D92</f>
        <v>2160438.5290000001</v>
      </c>
      <c r="D92">
        <f t="shared" si="2"/>
        <v>647850.9709999999</v>
      </c>
      <c r="E92">
        <f t="shared" si="3"/>
        <v>1.2998701246546782</v>
      </c>
    </row>
    <row r="93" spans="1:5" x14ac:dyDescent="0.35">
      <c r="A93" t="s">
        <v>123</v>
      </c>
      <c r="B93">
        <f>IF(Final_Payroll!B93="Sales",Earnings!B93*3,
IF(Final_Payroll!B93="IT",Earnings!B93*2,
IF(Final_Payroll!B93="Finance",Earnings!B93*1.5,
IF(Final_Payroll!B93="HR",Earnings!B93*1.2,
Earnings!B93*1.3))))</f>
        <v>1117592.3999999999</v>
      </c>
      <c r="C93">
        <f>Earnings!B93 + Deductions!B93 + Deductions!C93 + Overtime!D93</f>
        <v>933127</v>
      </c>
      <c r="D93">
        <f t="shared" si="2"/>
        <v>184465.39999999991</v>
      </c>
      <c r="E93">
        <f t="shared" si="3"/>
        <v>1.197685202550135</v>
      </c>
    </row>
    <row r="94" spans="1:5" x14ac:dyDescent="0.35">
      <c r="A94" t="s">
        <v>124</v>
      </c>
      <c r="B94">
        <f>IF(Final_Payroll!B94="Sales",Earnings!B94*3,
IF(Final_Payroll!B94="IT",Earnings!B94*2,
IF(Final_Payroll!B94="Finance",Earnings!B94*1.5,
IF(Final_Payroll!B94="HR",Earnings!B94*1.2,
Earnings!B94*1.3))))</f>
        <v>3707584.38</v>
      </c>
      <c r="C94">
        <f>Earnings!B94 + Deductions!B94 + Deductions!C94 + Overtime!D94</f>
        <v>1282152.4722</v>
      </c>
      <c r="D94">
        <f t="shared" si="2"/>
        <v>2425431.9078000002</v>
      </c>
      <c r="E94">
        <f t="shared" si="3"/>
        <v>2.8916875803688833</v>
      </c>
    </row>
    <row r="95" spans="1:5" x14ac:dyDescent="0.35">
      <c r="A95" t="s">
        <v>125</v>
      </c>
      <c r="B95">
        <f>IF(Final_Payroll!B95="Sales",Earnings!B95*3,
IF(Final_Payroll!B95="IT",Earnings!B95*2,
IF(Final_Payroll!B95="Finance",Earnings!B95*1.5,
IF(Final_Payroll!B95="HR",Earnings!B95*1.2,
Earnings!B95*1.3))))</f>
        <v>1161098.2079999999</v>
      </c>
      <c r="C95">
        <f>Earnings!B95 + Deductions!B95 + Deductions!C95 + Overtime!D95</f>
        <v>1039047.7331999999</v>
      </c>
      <c r="D95">
        <f t="shared" si="2"/>
        <v>122050.47479999997</v>
      </c>
      <c r="E95">
        <f t="shared" si="3"/>
        <v>1.1174637804406886</v>
      </c>
    </row>
    <row r="96" spans="1:5" x14ac:dyDescent="0.35">
      <c r="A96" t="s">
        <v>126</v>
      </c>
      <c r="B96">
        <f>IF(Final_Payroll!B96="Sales",Earnings!B96*3,
IF(Final_Payroll!B96="IT",Earnings!B96*2,
IF(Final_Payroll!B96="Finance",Earnings!B96*1.5,
IF(Final_Payroll!B96="HR",Earnings!B96*1.2,
Earnings!B96*1.3))))</f>
        <v>2455245.6</v>
      </c>
      <c r="C96">
        <f>Earnings!B96 + Deductions!B96 + Deductions!C96 + Overtime!D96</f>
        <v>1229422.8</v>
      </c>
      <c r="D96">
        <f t="shared" si="2"/>
        <v>1225822.8</v>
      </c>
      <c r="E96">
        <f t="shared" si="3"/>
        <v>1.9970717966187059</v>
      </c>
    </row>
    <row r="97" spans="1:5" x14ac:dyDescent="0.35">
      <c r="A97" t="s">
        <v>127</v>
      </c>
      <c r="B97">
        <f>IF(Final_Payroll!B97="Sales",Earnings!B97*3,
IF(Final_Payroll!B97="IT",Earnings!B97*2,
IF(Final_Payroll!B97="Finance",Earnings!B97*1.5,
IF(Final_Payroll!B97="HR",Earnings!B97*1.2,
Earnings!B97*1.3))))</f>
        <v>2270492.9699999997</v>
      </c>
      <c r="C97">
        <f>Earnings!B97 + Deductions!B97 + Deductions!C97 + Overtime!D97</f>
        <v>1656989.3746624999</v>
      </c>
      <c r="D97">
        <f t="shared" si="2"/>
        <v>613503.59533749986</v>
      </c>
      <c r="E97">
        <f t="shared" si="3"/>
        <v>1.3702519791126964</v>
      </c>
    </row>
    <row r="98" spans="1:5" x14ac:dyDescent="0.35">
      <c r="A98" t="s">
        <v>128</v>
      </c>
      <c r="B98">
        <f>IF(Final_Payroll!B98="Sales",Earnings!B98*3,
IF(Final_Payroll!B98="IT",Earnings!B98*2,
IF(Final_Payroll!B98="Finance",Earnings!B98*1.5,
IF(Final_Payroll!B98="HR",Earnings!B98*1.2,
Earnings!B98*1.3))))</f>
        <v>1497523.209</v>
      </c>
      <c r="C98">
        <f>Earnings!B98 + Deductions!B98 + Deductions!C98 + Overtime!D98</f>
        <v>1290821.900075</v>
      </c>
      <c r="D98">
        <f t="shared" si="2"/>
        <v>206701.30892500002</v>
      </c>
      <c r="E98">
        <f t="shared" si="3"/>
        <v>1.1601315479021468</v>
      </c>
    </row>
    <row r="99" spans="1:5" x14ac:dyDescent="0.35">
      <c r="A99" t="s">
        <v>129</v>
      </c>
      <c r="B99">
        <f>IF(Final_Payroll!B99="Sales",Earnings!B99*3,
IF(Final_Payroll!B99="IT",Earnings!B99*2,
IF(Final_Payroll!B99="Finance",Earnings!B99*1.5,
IF(Final_Payroll!B99="HR",Earnings!B99*1.2,
Earnings!B99*1.3))))</f>
        <v>1784255.04</v>
      </c>
      <c r="C99">
        <f>Earnings!B99 + Deductions!B99 + Deductions!C99 + Overtime!D99</f>
        <v>1348317.8022</v>
      </c>
      <c r="D99">
        <f t="shared" si="2"/>
        <v>435937.2378</v>
      </c>
      <c r="E99">
        <f t="shared" si="3"/>
        <v>1.3233193517794524</v>
      </c>
    </row>
    <row r="100" spans="1:5" x14ac:dyDescent="0.35">
      <c r="A100" t="s">
        <v>130</v>
      </c>
      <c r="B100">
        <f>IF(Final_Payroll!B100="Sales",Earnings!B100*3,
IF(Final_Payroll!B100="IT",Earnings!B100*2,
IF(Final_Payroll!B100="Finance",Earnings!B100*1.5,
IF(Final_Payroll!B100="HR",Earnings!B100*1.2,
Earnings!B100*1.3))))</f>
        <v>1086994.6359999999</v>
      </c>
      <c r="C100">
        <f>Earnings!B100 + Deductions!B100 + Deductions!C100 + Overtime!D100</f>
        <v>837949.72</v>
      </c>
      <c r="D100">
        <f t="shared" si="2"/>
        <v>249044.91599999997</v>
      </c>
      <c r="E100">
        <f t="shared" si="3"/>
        <v>1.2972074696796843</v>
      </c>
    </row>
    <row r="101" spans="1:5" x14ac:dyDescent="0.35">
      <c r="A101" t="s">
        <v>131</v>
      </c>
      <c r="B101">
        <f>IF(Final_Payroll!B101="Sales",Earnings!B101*3,
IF(Final_Payroll!B101="IT",Earnings!B101*2,
IF(Final_Payroll!B101="Finance",Earnings!B101*1.5,
IF(Final_Payroll!B101="HR",Earnings!B101*1.2,
Earnings!B101*1.3))))</f>
        <v>1919754.585</v>
      </c>
      <c r="C101">
        <f>Earnings!B101 + Deductions!B101 + Deductions!C101 + Overtime!D101</f>
        <v>1523525.4696</v>
      </c>
      <c r="D101">
        <f t="shared" si="2"/>
        <v>396229.11540000001</v>
      </c>
      <c r="E101">
        <f t="shared" si="3"/>
        <v>1.2600738374948399</v>
      </c>
    </row>
    <row r="102" spans="1:5" x14ac:dyDescent="0.35">
      <c r="A102" t="s">
        <v>132</v>
      </c>
      <c r="B102">
        <f>IF(Final_Payroll!B102="Sales",Earnings!B102*3,
IF(Final_Payroll!B102="IT",Earnings!B102*2,
IF(Final_Payroll!B102="Finance",Earnings!B102*1.5,
IF(Final_Payroll!B102="HR",Earnings!B102*1.2,
Earnings!B102*1.3))))</f>
        <v>2136097.04</v>
      </c>
      <c r="C102">
        <f>Earnings!B102 + Deductions!B102 + Deductions!C102 + Overtime!D102</f>
        <v>1069848.52</v>
      </c>
      <c r="D102">
        <f t="shared" si="2"/>
        <v>1066248.52</v>
      </c>
      <c r="E102">
        <f t="shared" si="3"/>
        <v>1.9966350376406559</v>
      </c>
    </row>
    <row r="103" spans="1:5" x14ac:dyDescent="0.35">
      <c r="A103" t="s">
        <v>133</v>
      </c>
      <c r="B103">
        <f>IF(Final_Payroll!B103="Sales",Earnings!B103*3,
IF(Final_Payroll!B103="IT",Earnings!B103*2,
IF(Final_Payroll!B103="Finance",Earnings!B103*1.5,
IF(Final_Payroll!B103="HR",Earnings!B103*1.2,
Earnings!B103*1.3))))</f>
        <v>1493694.2999999998</v>
      </c>
      <c r="C103">
        <f>Earnings!B103 + Deductions!B103 + Deductions!C103 + Overtime!D103</f>
        <v>1102154.801</v>
      </c>
      <c r="D103">
        <f t="shared" si="2"/>
        <v>391539.49899999984</v>
      </c>
      <c r="E103">
        <f t="shared" si="3"/>
        <v>1.3552490980801888</v>
      </c>
    </row>
    <row r="104" spans="1:5" x14ac:dyDescent="0.35">
      <c r="A104" t="s">
        <v>134</v>
      </c>
      <c r="B104">
        <f>IF(Final_Payroll!B104="Sales",Earnings!B104*3,
IF(Final_Payroll!B104="IT",Earnings!B104*2,
IF(Final_Payroll!B104="Finance",Earnings!B104*1.5,
IF(Final_Payroll!B104="HR",Earnings!B104*1.2,
Earnings!B104*1.3))))</f>
        <v>1147242.24</v>
      </c>
      <c r="C104">
        <f>Earnings!B104 + Deductions!B104 + Deductions!C104 + Overtime!D104</f>
        <v>957835.2</v>
      </c>
      <c r="D104">
        <f t="shared" si="2"/>
        <v>189407.04000000004</v>
      </c>
      <c r="E104">
        <f t="shared" si="3"/>
        <v>1.1977449147828354</v>
      </c>
    </row>
    <row r="105" spans="1:5" x14ac:dyDescent="0.35">
      <c r="A105" t="s">
        <v>135</v>
      </c>
      <c r="B105">
        <f>IF(Final_Payroll!B105="Sales",Earnings!B105*3,
IF(Final_Payroll!B105="IT",Earnings!B105*2,
IF(Final_Payroll!B105="Finance",Earnings!B105*1.5,
IF(Final_Payroll!B105="HR",Earnings!B105*1.2,
Earnings!B105*1.3))))</f>
        <v>2694580.95</v>
      </c>
      <c r="C105">
        <f>Earnings!B105 + Deductions!B105 + Deductions!C105 + Overtime!D105</f>
        <v>899993.65</v>
      </c>
      <c r="D105">
        <f t="shared" si="2"/>
        <v>1794587.3000000003</v>
      </c>
      <c r="E105">
        <f t="shared" si="3"/>
        <v>2.9939999576663681</v>
      </c>
    </row>
    <row r="106" spans="1:5" x14ac:dyDescent="0.35">
      <c r="A106" t="s">
        <v>136</v>
      </c>
      <c r="B106">
        <f>IF(Final_Payroll!B106="Sales",Earnings!B106*3,
IF(Final_Payroll!B106="IT",Earnings!B106*2,
IF(Final_Payroll!B106="Finance",Earnings!B106*1.5,
IF(Final_Payroll!B106="HR",Earnings!B106*1.2,
Earnings!B106*1.3))))</f>
        <v>5133911.5999999996</v>
      </c>
      <c r="C106">
        <f>Earnings!B106 + Deductions!B106 + Deductions!C106 + Overtime!D106</f>
        <v>2983319.1616999996</v>
      </c>
      <c r="D106">
        <f t="shared" si="2"/>
        <v>2150592.4383</v>
      </c>
      <c r="E106">
        <f t="shared" si="3"/>
        <v>1.720872398069041</v>
      </c>
    </row>
    <row r="107" spans="1:5" x14ac:dyDescent="0.35">
      <c r="A107" t="s">
        <v>137</v>
      </c>
      <c r="B107">
        <f>IF(Final_Payroll!B107="Sales",Earnings!B107*3,
IF(Final_Payroll!B107="IT",Earnings!B107*2,
IF(Final_Payroll!B107="Finance",Earnings!B107*1.5,
IF(Final_Payroll!B107="HR",Earnings!B107*1.2,
Earnings!B107*1.3))))</f>
        <v>791917.1</v>
      </c>
      <c r="C107">
        <f>Earnings!B107 + Deductions!B107 + Deductions!C107 + Overtime!D107</f>
        <v>610967</v>
      </c>
      <c r="D107">
        <f t="shared" si="2"/>
        <v>180950.09999999998</v>
      </c>
      <c r="E107">
        <f t="shared" si="3"/>
        <v>1.296170005908666</v>
      </c>
    </row>
    <row r="108" spans="1:5" x14ac:dyDescent="0.35">
      <c r="A108" t="s">
        <v>138</v>
      </c>
      <c r="B108">
        <f>IF(Final_Payroll!B108="Sales",Earnings!B108*3,
IF(Final_Payroll!B108="IT",Earnings!B108*2,
IF(Final_Payroll!B108="Finance",Earnings!B108*1.5,
IF(Final_Payroll!B108="HR",Earnings!B108*1.2,
Earnings!B108*1.3))))</f>
        <v>2252092</v>
      </c>
      <c r="C108">
        <f>Earnings!B108 + Deductions!B108 + Deductions!C108 + Overtime!D108</f>
        <v>1285492.44</v>
      </c>
      <c r="D108">
        <f t="shared" si="2"/>
        <v>966599.56</v>
      </c>
      <c r="E108">
        <f t="shared" si="3"/>
        <v>1.7519294006894355</v>
      </c>
    </row>
    <row r="109" spans="1:5" x14ac:dyDescent="0.35">
      <c r="A109" t="s">
        <v>139</v>
      </c>
      <c r="B109">
        <f>IF(Final_Payroll!B109="Sales",Earnings!B109*3,
IF(Final_Payroll!B109="IT",Earnings!B109*2,
IF(Final_Payroll!B109="Finance",Earnings!B109*1.5,
IF(Final_Payroll!B109="HR",Earnings!B109*1.2,
Earnings!B109*1.3))))</f>
        <v>2897973</v>
      </c>
      <c r="C109">
        <f>Earnings!B109 + Deductions!B109 + Deductions!C109 + Overtime!D109</f>
        <v>1115587.6229999999</v>
      </c>
      <c r="D109">
        <f t="shared" si="2"/>
        <v>1782385.3770000001</v>
      </c>
      <c r="E109">
        <f t="shared" si="3"/>
        <v>2.5977098887193377</v>
      </c>
    </row>
    <row r="110" spans="1:5" x14ac:dyDescent="0.35">
      <c r="A110" t="s">
        <v>140</v>
      </c>
      <c r="B110">
        <f>IF(Final_Payroll!B110="Sales",Earnings!B110*3,
IF(Final_Payroll!B110="IT",Earnings!B110*2,
IF(Final_Payroll!B110="Finance",Earnings!B110*1.5,
IF(Final_Payroll!B110="HR",Earnings!B110*1.2,
Earnings!B110*1.3))))</f>
        <v>1043730.648</v>
      </c>
      <c r="C110">
        <f>Earnings!B110 + Deductions!B110 + Deductions!C110 + Overtime!D110</f>
        <v>918543.41970000009</v>
      </c>
      <c r="D110">
        <f t="shared" si="2"/>
        <v>125187.22829999996</v>
      </c>
      <c r="E110">
        <f t="shared" si="3"/>
        <v>1.1362888521273025</v>
      </c>
    </row>
    <row r="111" spans="1:5" x14ac:dyDescent="0.35">
      <c r="A111" t="s">
        <v>141</v>
      </c>
      <c r="B111">
        <f>IF(Final_Payroll!B111="Sales",Earnings!B111*3,
IF(Final_Payroll!B111="IT",Earnings!B111*2,
IF(Final_Payroll!B111="Finance",Earnings!B111*1.5,
IF(Final_Payroll!B111="HR",Earnings!B111*1.2,
Earnings!B111*1.3))))</f>
        <v>2436113.6</v>
      </c>
      <c r="C111">
        <f>Earnings!B111 + Deductions!B111 + Deductions!C111 + Overtime!D111</f>
        <v>1509754.3184</v>
      </c>
      <c r="D111">
        <f t="shared" si="2"/>
        <v>926359.2816000001</v>
      </c>
      <c r="E111">
        <f t="shared" si="3"/>
        <v>1.6135827997377299</v>
      </c>
    </row>
    <row r="112" spans="1:5" x14ac:dyDescent="0.35">
      <c r="A112" t="s">
        <v>142</v>
      </c>
      <c r="B112">
        <f>IF(Final_Payroll!B112="Sales",Earnings!B112*3,
IF(Final_Payroll!B112="IT",Earnings!B112*2,
IF(Final_Payroll!B112="Finance",Earnings!B112*1.5,
IF(Final_Payroll!B112="HR",Earnings!B112*1.2,
Earnings!B112*1.3))))</f>
        <v>3497088.7</v>
      </c>
      <c r="C112">
        <f>Earnings!B112 + Deductions!B112 + Deductions!C112 + Overtime!D112</f>
        <v>1928695.8737000001</v>
      </c>
      <c r="D112">
        <f t="shared" si="2"/>
        <v>1568392.8263000001</v>
      </c>
      <c r="E112">
        <f t="shared" si="3"/>
        <v>1.8131882520654765</v>
      </c>
    </row>
    <row r="113" spans="1:5" x14ac:dyDescent="0.35">
      <c r="A113" t="s">
        <v>143</v>
      </c>
      <c r="B113">
        <f>IF(Final_Payroll!B113="Sales",Earnings!B113*3,
IF(Final_Payroll!B113="IT",Earnings!B113*2,
IF(Final_Payroll!B113="Finance",Earnings!B113*1.5,
IF(Final_Payroll!B113="HR",Earnings!B113*1.2,
Earnings!B113*1.3))))</f>
        <v>3991359.4499999997</v>
      </c>
      <c r="C113">
        <f>Earnings!B113 + Deductions!B113 + Deductions!C113 + Overtime!D113</f>
        <v>1671518.7032499998</v>
      </c>
      <c r="D113">
        <f t="shared" si="2"/>
        <v>2319840.7467499999</v>
      </c>
      <c r="E113">
        <f t="shared" si="3"/>
        <v>2.3878640677124592</v>
      </c>
    </row>
    <row r="114" spans="1:5" x14ac:dyDescent="0.35">
      <c r="A114" t="s">
        <v>144</v>
      </c>
      <c r="B114">
        <f>IF(Final_Payroll!B114="Sales",Earnings!B114*3,
IF(Final_Payroll!B114="IT",Earnings!B114*2,
IF(Final_Payroll!B114="Finance",Earnings!B114*1.5,
IF(Final_Payroll!B114="HR",Earnings!B114*1.2,
Earnings!B114*1.3))))</f>
        <v>1324379.3250000002</v>
      </c>
      <c r="C114">
        <f>Earnings!B114 + Deductions!B114 + Deductions!C114 + Overtime!D114</f>
        <v>1017157.4825</v>
      </c>
      <c r="D114">
        <f t="shared" si="2"/>
        <v>307221.84250000014</v>
      </c>
      <c r="E114">
        <f t="shared" si="3"/>
        <v>1.3020396032922072</v>
      </c>
    </row>
    <row r="115" spans="1:5" x14ac:dyDescent="0.35">
      <c r="A115" t="s">
        <v>145</v>
      </c>
      <c r="B115">
        <f>IF(Final_Payroll!B115="Sales",Earnings!B115*3,
IF(Final_Payroll!B115="IT",Earnings!B115*2,
IF(Final_Payroll!B115="Finance",Earnings!B115*1.5,
IF(Final_Payroll!B115="HR",Earnings!B115*1.2,
Earnings!B115*1.3))))</f>
        <v>743935.4</v>
      </c>
      <c r="C115">
        <f>Earnings!B115 + Deductions!B115 + Deductions!C115 + Overtime!D115</f>
        <v>605532.18999999994</v>
      </c>
      <c r="D115">
        <f t="shared" si="2"/>
        <v>138403.21000000008</v>
      </c>
      <c r="E115">
        <f t="shared" si="3"/>
        <v>1.2285645788706956</v>
      </c>
    </row>
    <row r="116" spans="1:5" x14ac:dyDescent="0.35">
      <c r="A116" t="s">
        <v>146</v>
      </c>
      <c r="B116">
        <f>IF(Final_Payroll!B116="Sales",Earnings!B116*3,
IF(Final_Payroll!B116="IT",Earnings!B116*2,
IF(Final_Payroll!B116="Finance",Earnings!B116*1.5,
IF(Final_Payroll!B116="HR",Earnings!B116*1.2,
Earnings!B116*1.3))))</f>
        <v>3034402</v>
      </c>
      <c r="C116">
        <f>Earnings!B116 + Deductions!B116 + Deductions!C116 + Overtime!D116</f>
        <v>1519001</v>
      </c>
      <c r="D116">
        <f t="shared" si="2"/>
        <v>1515401</v>
      </c>
      <c r="E116">
        <f t="shared" si="3"/>
        <v>1.9976300213100584</v>
      </c>
    </row>
    <row r="117" spans="1:5" x14ac:dyDescent="0.35">
      <c r="A117" t="s">
        <v>147</v>
      </c>
      <c r="B117">
        <f>IF(Final_Payroll!B117="Sales",Earnings!B117*3,
IF(Final_Payroll!B117="IT",Earnings!B117*2,
IF(Final_Payroll!B117="Finance",Earnings!B117*1.5,
IF(Final_Payroll!B117="HR",Earnings!B117*1.2,
Earnings!B117*1.3))))</f>
        <v>1433869.9200000002</v>
      </c>
      <c r="C117">
        <f>Earnings!B117 + Deductions!B117 + Deductions!C117 + Overtime!D117</f>
        <v>1254046.3968</v>
      </c>
      <c r="D117">
        <f t="shared" si="2"/>
        <v>179823.52320000017</v>
      </c>
      <c r="E117">
        <f t="shared" si="3"/>
        <v>1.143394633291769</v>
      </c>
    </row>
    <row r="118" spans="1:5" x14ac:dyDescent="0.35">
      <c r="A118" t="s">
        <v>148</v>
      </c>
      <c r="B118">
        <f>IF(Final_Payroll!B118="Sales",Earnings!B118*3,
IF(Final_Payroll!B118="IT",Earnings!B118*2,
IF(Final_Payroll!B118="Finance",Earnings!B118*1.5,
IF(Final_Payroll!B118="HR",Earnings!B118*1.2,
Earnings!B118*1.3))))</f>
        <v>1269519.6749999998</v>
      </c>
      <c r="C118">
        <f>Earnings!B118 + Deductions!B118 + Deductions!C118 + Overtime!D118</f>
        <v>903158.96924999997</v>
      </c>
      <c r="D118">
        <f t="shared" si="2"/>
        <v>366360.70574999985</v>
      </c>
      <c r="E118">
        <f t="shared" si="3"/>
        <v>1.4056436554621525</v>
      </c>
    </row>
    <row r="119" spans="1:5" x14ac:dyDescent="0.35">
      <c r="A119" t="s">
        <v>149</v>
      </c>
      <c r="B119">
        <f>IF(Final_Payroll!B119="Sales",Earnings!B119*3,
IF(Final_Payroll!B119="IT",Earnings!B119*2,
IF(Final_Payroll!B119="Finance",Earnings!B119*1.5,
IF(Final_Payroll!B119="HR",Earnings!B119*1.2,
Earnings!B119*1.3))))</f>
        <v>3560367.62</v>
      </c>
      <c r="C119">
        <f>Earnings!B119 + Deductions!B119 + Deductions!C119 + Overtime!D119</f>
        <v>1903036.3101000001</v>
      </c>
      <c r="D119">
        <f t="shared" si="2"/>
        <v>1657331.3099</v>
      </c>
      <c r="E119">
        <f t="shared" si="3"/>
        <v>1.8708879074477098</v>
      </c>
    </row>
    <row r="120" spans="1:5" x14ac:dyDescent="0.35">
      <c r="A120" t="s">
        <v>150</v>
      </c>
      <c r="B120">
        <f>IF(Final_Payroll!B120="Sales",Earnings!B120*3,
IF(Final_Payroll!B120="IT",Earnings!B120*2,
IF(Final_Payroll!B120="Finance",Earnings!B120*1.5,
IF(Final_Payroll!B120="HR",Earnings!B120*1.2,
Earnings!B120*1.3))))</f>
        <v>1718388</v>
      </c>
      <c r="C120">
        <f>Earnings!B120 + Deductions!B120 + Deductions!C120 + Overtime!D120</f>
        <v>1147392</v>
      </c>
      <c r="D120">
        <f t="shared" si="2"/>
        <v>570996</v>
      </c>
      <c r="E120">
        <f t="shared" si="3"/>
        <v>1.4976468373493976</v>
      </c>
    </row>
    <row r="121" spans="1:5" x14ac:dyDescent="0.35">
      <c r="A121" t="s">
        <v>151</v>
      </c>
      <c r="B121">
        <f>IF(Final_Payroll!B121="Sales",Earnings!B121*3,
IF(Final_Payroll!B121="IT",Earnings!B121*2,
IF(Final_Payroll!B121="Finance",Earnings!B121*1.5,
IF(Final_Payroll!B121="HR",Earnings!B121*1.2,
Earnings!B121*1.3))))</f>
        <v>2529046</v>
      </c>
      <c r="C121">
        <f>Earnings!B121 + Deductions!B121 + Deductions!C121 + Overtime!D121</f>
        <v>1266323</v>
      </c>
      <c r="D121">
        <f t="shared" si="2"/>
        <v>1262723</v>
      </c>
      <c r="E121">
        <f t="shared" si="3"/>
        <v>1.9971571234195382</v>
      </c>
    </row>
    <row r="122" spans="1:5" x14ac:dyDescent="0.35">
      <c r="A122" t="s">
        <v>152</v>
      </c>
      <c r="B122">
        <f>IF(Final_Payroll!B122="Sales",Earnings!B122*3,
IF(Final_Payroll!B122="IT",Earnings!B122*2,
IF(Final_Payroll!B122="Finance",Earnings!B122*1.5,
IF(Final_Payroll!B122="HR",Earnings!B122*1.2,
Earnings!B122*1.3))))</f>
        <v>1934226.6</v>
      </c>
      <c r="C122">
        <f>Earnings!B122 + Deductions!B122 + Deductions!C122 + Overtime!D122</f>
        <v>1142993.6940000001</v>
      </c>
      <c r="D122">
        <f t="shared" si="2"/>
        <v>791232.90599999996</v>
      </c>
      <c r="E122">
        <f t="shared" si="3"/>
        <v>1.6922460816306131</v>
      </c>
    </row>
    <row r="123" spans="1:5" x14ac:dyDescent="0.35">
      <c r="A123" t="s">
        <v>153</v>
      </c>
      <c r="B123">
        <f>IF(Final_Payroll!B123="Sales",Earnings!B123*3,
IF(Final_Payroll!B123="IT",Earnings!B123*2,
IF(Final_Payroll!B123="Finance",Earnings!B123*1.5,
IF(Final_Payroll!B123="HR",Earnings!B123*1.2,
Earnings!B123*1.3))))</f>
        <v>2031786</v>
      </c>
      <c r="C123">
        <f>Earnings!B123 + Deductions!B123 + Deductions!C123 + Overtime!D123</f>
        <v>1017693</v>
      </c>
      <c r="D123">
        <f t="shared" si="2"/>
        <v>1014093</v>
      </c>
      <c r="E123">
        <f t="shared" si="3"/>
        <v>1.9964625874404167</v>
      </c>
    </row>
    <row r="124" spans="1:5" x14ac:dyDescent="0.35">
      <c r="A124" t="s">
        <v>154</v>
      </c>
      <c r="B124">
        <f>IF(Final_Payroll!B124="Sales",Earnings!B124*3,
IF(Final_Payroll!B124="IT",Earnings!B124*2,
IF(Final_Payroll!B124="Finance",Earnings!B124*1.5,
IF(Final_Payroll!B124="HR",Earnings!B124*1.2,
Earnings!B124*1.3))))</f>
        <v>1606483.7249999999</v>
      </c>
      <c r="C124">
        <f>Earnings!B124 + Deductions!B124 + Deductions!C124 + Overtime!D124</f>
        <v>1140261.4664499999</v>
      </c>
      <c r="D124">
        <f t="shared" si="2"/>
        <v>466222.25854999991</v>
      </c>
      <c r="E124">
        <f t="shared" si="3"/>
        <v>1.4088731157437948</v>
      </c>
    </row>
    <row r="125" spans="1:5" x14ac:dyDescent="0.35">
      <c r="A125" t="s">
        <v>155</v>
      </c>
      <c r="B125">
        <f>IF(Final_Payroll!B125="Sales",Earnings!B125*3,
IF(Final_Payroll!B125="IT",Earnings!B125*2,
IF(Final_Payroll!B125="Finance",Earnings!B125*1.5,
IF(Final_Payroll!B125="HR",Earnings!B125*1.2,
Earnings!B125*1.3))))</f>
        <v>2602816.6500000004</v>
      </c>
      <c r="C125">
        <f>Earnings!B125 + Deductions!B125 + Deductions!C125 + Overtime!D125</f>
        <v>995208.35475000006</v>
      </c>
      <c r="D125">
        <f t="shared" si="2"/>
        <v>1607608.2952500004</v>
      </c>
      <c r="E125">
        <f t="shared" si="3"/>
        <v>2.6153484720833533</v>
      </c>
    </row>
    <row r="126" spans="1:5" x14ac:dyDescent="0.35">
      <c r="A126" t="s">
        <v>156</v>
      </c>
      <c r="B126">
        <f>IF(Final_Payroll!B126="Sales",Earnings!B126*3,
IF(Final_Payroll!B126="IT",Earnings!B126*2,
IF(Final_Payroll!B126="Finance",Earnings!B126*1.5,
IF(Final_Payroll!B126="HR",Earnings!B126*1.2,
Earnings!B126*1.3))))</f>
        <v>1165786.895</v>
      </c>
      <c r="C126">
        <f>Earnings!B126 + Deductions!B126 + Deductions!C126 + Overtime!D126</f>
        <v>1068046.6293500001</v>
      </c>
      <c r="D126">
        <f t="shared" si="2"/>
        <v>97740.265649999958</v>
      </c>
      <c r="E126">
        <f t="shared" si="3"/>
        <v>1.0915131071660078</v>
      </c>
    </row>
    <row r="127" spans="1:5" x14ac:dyDescent="0.35">
      <c r="A127" t="s">
        <v>157</v>
      </c>
      <c r="B127">
        <f>IF(Final_Payroll!B127="Sales",Earnings!B127*3,
IF(Final_Payroll!B127="IT",Earnings!B127*2,
IF(Final_Payroll!B127="Finance",Earnings!B127*1.5,
IF(Final_Payroll!B127="HR",Earnings!B127*1.2,
Earnings!B127*1.3))))</f>
        <v>1426192.56</v>
      </c>
      <c r="C127">
        <f>Earnings!B127 + Deductions!B127 + Deductions!C127 + Overtime!D127</f>
        <v>1270014.3071999999</v>
      </c>
      <c r="D127">
        <f t="shared" si="2"/>
        <v>156178.25280000013</v>
      </c>
      <c r="E127">
        <f t="shared" si="3"/>
        <v>1.1229736168439914</v>
      </c>
    </row>
    <row r="128" spans="1:5" x14ac:dyDescent="0.35">
      <c r="A128" t="s">
        <v>158</v>
      </c>
      <c r="B128">
        <f>IF(Final_Payroll!B128="Sales",Earnings!B128*3,
IF(Final_Payroll!B128="IT",Earnings!B128*2,
IF(Final_Payroll!B128="Finance",Earnings!B128*1.5,
IF(Final_Payroll!B128="HR",Earnings!B128*1.2,
Earnings!B128*1.3))))</f>
        <v>3029311.6</v>
      </c>
      <c r="C128">
        <f>Earnings!B128 + Deductions!B128 + Deductions!C128 + Overtime!D128</f>
        <v>1645201.5430000001</v>
      </c>
      <c r="D128">
        <f t="shared" si="2"/>
        <v>1384110.057</v>
      </c>
      <c r="E128">
        <f t="shared" si="3"/>
        <v>1.8413012149721768</v>
      </c>
    </row>
    <row r="129" spans="1:5" x14ac:dyDescent="0.35">
      <c r="A129" t="s">
        <v>159</v>
      </c>
      <c r="B129">
        <f>IF(Final_Payroll!B129="Sales",Earnings!B129*3,
IF(Final_Payroll!B129="IT",Earnings!B129*2,
IF(Final_Payroll!B129="Finance",Earnings!B129*1.5,
IF(Final_Payroll!B129="HR",Earnings!B129*1.2,
Earnings!B129*1.3))))</f>
        <v>1267686</v>
      </c>
      <c r="C129">
        <f>Earnings!B129 + Deductions!B129 + Deductions!C129 + Overtime!D129</f>
        <v>424362</v>
      </c>
      <c r="D129">
        <f t="shared" si="2"/>
        <v>843324</v>
      </c>
      <c r="E129">
        <f t="shared" si="3"/>
        <v>2.9872750151992875</v>
      </c>
    </row>
    <row r="130" spans="1:5" x14ac:dyDescent="0.35">
      <c r="A130" t="s">
        <v>160</v>
      </c>
      <c r="B130">
        <f>IF(Final_Payroll!B130="Sales",Earnings!B130*3,
IF(Final_Payroll!B130="IT",Earnings!B130*2,
IF(Final_Payroll!B130="Finance",Earnings!B130*1.5,
IF(Final_Payroll!B130="HR",Earnings!B130*1.2,
Earnings!B130*1.3))))</f>
        <v>1195467</v>
      </c>
      <c r="C130">
        <f>Earnings!B130 + Deductions!B130 + Deductions!C130 + Overtime!D130</f>
        <v>960012.78</v>
      </c>
      <c r="D130">
        <f t="shared" ref="D130:D193" si="4">B130-C130</f>
        <v>235454.21999999997</v>
      </c>
      <c r="E130">
        <f t="shared" ref="E130:E193" si="5">IF(C130=0,0,B130/C130)</f>
        <v>1.2452615474556494</v>
      </c>
    </row>
    <row r="131" spans="1:5" x14ac:dyDescent="0.35">
      <c r="A131" t="s">
        <v>161</v>
      </c>
      <c r="B131">
        <f>IF(Final_Payroll!B131="Sales",Earnings!B131*3,
IF(Final_Payroll!B131="IT",Earnings!B131*2,
IF(Final_Payroll!B131="Finance",Earnings!B131*1.5,
IF(Final_Payroll!B131="HR",Earnings!B131*1.2,
Earnings!B131*1.3))))</f>
        <v>2384427</v>
      </c>
      <c r="C131">
        <f>Earnings!B131 + Deductions!B131 + Deductions!C131 + Overtime!D131</f>
        <v>796609</v>
      </c>
      <c r="D131">
        <f t="shared" si="4"/>
        <v>1587818</v>
      </c>
      <c r="E131">
        <f t="shared" si="5"/>
        <v>2.993221266643987</v>
      </c>
    </row>
    <row r="132" spans="1:5" x14ac:dyDescent="0.35">
      <c r="A132" t="s">
        <v>162</v>
      </c>
      <c r="B132">
        <f>IF(Final_Payroll!B132="Sales",Earnings!B132*3,
IF(Final_Payroll!B132="IT",Earnings!B132*2,
IF(Final_Payroll!B132="Finance",Earnings!B132*1.5,
IF(Final_Payroll!B132="HR",Earnings!B132*1.2,
Earnings!B132*1.3))))</f>
        <v>4274439.12</v>
      </c>
      <c r="C132">
        <f>Earnings!B132 + Deductions!B132 + Deductions!C132 + Overtime!D132</f>
        <v>1576218.41025</v>
      </c>
      <c r="D132">
        <f t="shared" si="4"/>
        <v>2698220.7097500004</v>
      </c>
      <c r="E132">
        <f t="shared" si="5"/>
        <v>2.7118317437505643</v>
      </c>
    </row>
    <row r="133" spans="1:5" x14ac:dyDescent="0.35">
      <c r="A133" t="s">
        <v>163</v>
      </c>
      <c r="B133">
        <f>IF(Final_Payroll!B133="Sales",Earnings!B133*3,
IF(Final_Payroll!B133="IT",Earnings!B133*2,
IF(Final_Payroll!B133="Finance",Earnings!B133*1.5,
IF(Final_Payroll!B133="HR",Earnings!B133*1.2,
Earnings!B133*1.3))))</f>
        <v>2878714.32</v>
      </c>
      <c r="C133">
        <f>Earnings!B133 + Deductions!B133 + Deductions!C133 + Overtime!D133</f>
        <v>1674333.0182999999</v>
      </c>
      <c r="D133">
        <f t="shared" si="4"/>
        <v>1204381.3017</v>
      </c>
      <c r="E133">
        <f t="shared" si="5"/>
        <v>1.7193200447798873</v>
      </c>
    </row>
    <row r="134" spans="1:5" x14ac:dyDescent="0.35">
      <c r="A134" t="s">
        <v>164</v>
      </c>
      <c r="B134">
        <f>IF(Final_Payroll!B134="Sales",Earnings!B134*3,
IF(Final_Payroll!B134="IT",Earnings!B134*2,
IF(Final_Payroll!B134="Finance",Earnings!B134*1.5,
IF(Final_Payroll!B134="HR",Earnings!B134*1.2,
Earnings!B134*1.3))))</f>
        <v>941663.54099999997</v>
      </c>
      <c r="C134">
        <f>Earnings!B134 + Deductions!B134 + Deductions!C134 + Overtime!D134</f>
        <v>769255.78621249995</v>
      </c>
      <c r="D134">
        <f t="shared" si="4"/>
        <v>172407.75478750002</v>
      </c>
      <c r="E134">
        <f t="shared" si="5"/>
        <v>1.22412279228521</v>
      </c>
    </row>
    <row r="135" spans="1:5" x14ac:dyDescent="0.35">
      <c r="A135" t="s">
        <v>165</v>
      </c>
      <c r="B135">
        <f>IF(Final_Payroll!B135="Sales",Earnings!B135*3,
IF(Final_Payroll!B135="IT",Earnings!B135*2,
IF(Final_Payroll!B135="Finance",Earnings!B135*1.5,
IF(Final_Payroll!B135="HR",Earnings!B135*1.2,
Earnings!B135*1.3))))</f>
        <v>1026184.6799999999</v>
      </c>
      <c r="C135">
        <f>Earnings!B135 + Deductions!B135 + Deductions!C135 + Overtime!D135</f>
        <v>980951.21550000005</v>
      </c>
      <c r="D135">
        <f t="shared" si="4"/>
        <v>45233.464499999885</v>
      </c>
      <c r="E135">
        <f t="shared" si="5"/>
        <v>1.046111838983699</v>
      </c>
    </row>
    <row r="136" spans="1:5" x14ac:dyDescent="0.35">
      <c r="A136" t="s">
        <v>166</v>
      </c>
      <c r="B136">
        <f>IF(Final_Payroll!B136="Sales",Earnings!B136*3,
IF(Final_Payroll!B136="IT",Earnings!B136*2,
IF(Final_Payroll!B136="Finance",Earnings!B136*1.5,
IF(Final_Payroll!B136="HR",Earnings!B136*1.2,
Earnings!B136*1.3))))</f>
        <v>1491032.5430000003</v>
      </c>
      <c r="C136">
        <f>Earnings!B136 + Deductions!B136 + Deductions!C136 + Overtime!D136</f>
        <v>1373549.9376000001</v>
      </c>
      <c r="D136">
        <f t="shared" si="4"/>
        <v>117482.60540000023</v>
      </c>
      <c r="E136">
        <f t="shared" si="5"/>
        <v>1.0855320962012327</v>
      </c>
    </row>
    <row r="137" spans="1:5" x14ac:dyDescent="0.35">
      <c r="A137" t="s">
        <v>167</v>
      </c>
      <c r="B137">
        <f>IF(Final_Payroll!B137="Sales",Earnings!B137*3,
IF(Final_Payroll!B137="IT",Earnings!B137*2,
IF(Final_Payroll!B137="Finance",Earnings!B137*1.5,
IF(Final_Payroll!B137="HR",Earnings!B137*1.2,
Earnings!B137*1.3))))</f>
        <v>1008780.48</v>
      </c>
      <c r="C137">
        <f>Earnings!B137 + Deductions!B137 + Deductions!C137 + Overtime!D137</f>
        <v>842450.4</v>
      </c>
      <c r="D137">
        <f t="shared" si="4"/>
        <v>166330.07999999996</v>
      </c>
      <c r="E137">
        <f t="shared" si="5"/>
        <v>1.1974360508345654</v>
      </c>
    </row>
    <row r="138" spans="1:5" x14ac:dyDescent="0.35">
      <c r="A138" t="s">
        <v>168</v>
      </c>
      <c r="B138">
        <f>IF(Final_Payroll!B138="Sales",Earnings!B138*3,
IF(Final_Payroll!B138="IT",Earnings!B138*2,
IF(Final_Payroll!B138="Finance",Earnings!B138*1.5,
IF(Final_Payroll!B138="HR",Earnings!B138*1.2,
Earnings!B138*1.3))))</f>
        <v>575870.54399999999</v>
      </c>
      <c r="C138">
        <f>Earnings!B138 + Deductions!B138 + Deductions!C138 + Overtime!D138</f>
        <v>481692.12</v>
      </c>
      <c r="D138">
        <f t="shared" si="4"/>
        <v>94178.423999999999</v>
      </c>
      <c r="E138">
        <f t="shared" si="5"/>
        <v>1.1955158078982069</v>
      </c>
    </row>
    <row r="139" spans="1:5" x14ac:dyDescent="0.35">
      <c r="A139" t="s">
        <v>169</v>
      </c>
      <c r="B139">
        <f>IF(Final_Payroll!B139="Sales",Earnings!B139*3,
IF(Final_Payroll!B139="IT",Earnings!B139*2,
IF(Final_Payroll!B139="Finance",Earnings!B139*1.5,
IF(Final_Payroll!B139="HR",Earnings!B139*1.2,
Earnings!B139*1.3))))</f>
        <v>1794597.35</v>
      </c>
      <c r="C139">
        <f>Earnings!B139 + Deductions!B139 + Deductions!C139 + Overtime!D139</f>
        <v>1663873.2379999999</v>
      </c>
      <c r="D139">
        <f t="shared" si="4"/>
        <v>130724.1120000002</v>
      </c>
      <c r="E139">
        <f t="shared" si="5"/>
        <v>1.0785661485589686</v>
      </c>
    </row>
    <row r="140" spans="1:5" x14ac:dyDescent="0.35">
      <c r="A140" t="s">
        <v>170</v>
      </c>
      <c r="B140">
        <f>IF(Final_Payroll!B140="Sales",Earnings!B140*3,
IF(Final_Payroll!B140="IT",Earnings!B140*2,
IF(Final_Payroll!B140="Finance",Earnings!B140*1.5,
IF(Final_Payroll!B140="HR",Earnings!B140*1.2,
Earnings!B140*1.3))))</f>
        <v>2602915.0499999998</v>
      </c>
      <c r="C140">
        <f>Earnings!B140 + Deductions!B140 + Deductions!C140 + Overtime!D140</f>
        <v>1737076.7</v>
      </c>
      <c r="D140">
        <f t="shared" si="4"/>
        <v>865838.34999999986</v>
      </c>
      <c r="E140">
        <f t="shared" si="5"/>
        <v>1.4984456644890809</v>
      </c>
    </row>
    <row r="141" spans="1:5" x14ac:dyDescent="0.35">
      <c r="A141" t="s">
        <v>171</v>
      </c>
      <c r="B141">
        <f>IF(Final_Payroll!B141="Sales",Earnings!B141*3,
IF(Final_Payroll!B141="IT",Earnings!B141*2,
IF(Final_Payroll!B141="Finance",Earnings!B141*1.5,
IF(Final_Payroll!B141="HR",Earnings!B141*1.2,
Earnings!B141*1.3))))</f>
        <v>1696537.7999999998</v>
      </c>
      <c r="C141">
        <f>Earnings!B141 + Deductions!B141 + Deductions!C141 + Overtime!D141</f>
        <v>1132825.2</v>
      </c>
      <c r="D141">
        <f t="shared" si="4"/>
        <v>563712.59999999986</v>
      </c>
      <c r="E141">
        <f t="shared" si="5"/>
        <v>1.497616578444759</v>
      </c>
    </row>
    <row r="142" spans="1:5" x14ac:dyDescent="0.35">
      <c r="A142" t="s">
        <v>172</v>
      </c>
      <c r="B142">
        <f>IF(Final_Payroll!B142="Sales",Earnings!B142*3,
IF(Final_Payroll!B142="IT",Earnings!B142*2,
IF(Final_Payroll!B142="Finance",Earnings!B142*1.5,
IF(Final_Payroll!B142="HR",Earnings!B142*1.2,
Earnings!B142*1.3))))</f>
        <v>636584.45499999996</v>
      </c>
      <c r="C142">
        <f>Earnings!B142 + Deductions!B142 + Deductions!C142 + Overtime!D142</f>
        <v>491480.35</v>
      </c>
      <c r="D142">
        <f t="shared" si="4"/>
        <v>145104.10499999998</v>
      </c>
      <c r="E142">
        <f t="shared" si="5"/>
        <v>1.2952388737413407</v>
      </c>
    </row>
    <row r="143" spans="1:5" x14ac:dyDescent="0.35">
      <c r="A143" t="s">
        <v>173</v>
      </c>
      <c r="B143">
        <f>IF(Final_Payroll!B143="Sales",Earnings!B143*3,
IF(Final_Payroll!B143="IT",Earnings!B143*2,
IF(Final_Payroll!B143="Finance",Earnings!B143*1.5,
IF(Final_Payroll!B143="HR",Earnings!B143*1.2,
Earnings!B143*1.3))))</f>
        <v>718172.6399999999</v>
      </c>
      <c r="C143">
        <f>Earnings!B143 + Deductions!B143 + Deductions!C143 + Overtime!D143</f>
        <v>636185.83199999994</v>
      </c>
      <c r="D143">
        <f t="shared" si="4"/>
        <v>81986.807999999961</v>
      </c>
      <c r="E143">
        <f t="shared" si="5"/>
        <v>1.1288724204093874</v>
      </c>
    </row>
    <row r="144" spans="1:5" x14ac:dyDescent="0.35">
      <c r="A144" t="s">
        <v>174</v>
      </c>
      <c r="B144">
        <f>IF(Final_Payroll!B144="Sales",Earnings!B144*3,
IF(Final_Payroll!B144="IT",Earnings!B144*2,
IF(Final_Payroll!B144="Finance",Earnings!B144*1.5,
IF(Final_Payroll!B144="HR",Earnings!B144*1.2,
Earnings!B144*1.3))))</f>
        <v>989082.9</v>
      </c>
      <c r="C144">
        <f>Earnings!B144 + Deductions!B144 + Deductions!C144 + Overtime!D144</f>
        <v>762633</v>
      </c>
      <c r="D144">
        <f t="shared" si="4"/>
        <v>226449.90000000002</v>
      </c>
      <c r="E144">
        <f t="shared" si="5"/>
        <v>1.2969316827359949</v>
      </c>
    </row>
    <row r="145" spans="1:5" x14ac:dyDescent="0.35">
      <c r="A145" t="s">
        <v>175</v>
      </c>
      <c r="B145">
        <f>IF(Final_Payroll!B145="Sales",Earnings!B145*3,
IF(Final_Payroll!B145="IT",Earnings!B145*2,
IF(Final_Payroll!B145="Finance",Earnings!B145*1.5,
IF(Final_Payroll!B145="HR",Earnings!B145*1.2,
Earnings!B145*1.3))))</f>
        <v>1324055.1599999999</v>
      </c>
      <c r="C145">
        <f>Earnings!B145 + Deductions!B145 + Deductions!C145 + Overtime!D145</f>
        <v>1105179.3</v>
      </c>
      <c r="D145">
        <f t="shared" si="4"/>
        <v>218875.85999999987</v>
      </c>
      <c r="E145">
        <f t="shared" si="5"/>
        <v>1.1980455660000144</v>
      </c>
    </row>
    <row r="146" spans="1:5" x14ac:dyDescent="0.35">
      <c r="A146" t="s">
        <v>176</v>
      </c>
      <c r="B146">
        <f>IF(Final_Payroll!B146="Sales",Earnings!B146*3,
IF(Final_Payroll!B146="IT",Earnings!B146*2,
IF(Final_Payroll!B146="Finance",Earnings!B146*1.5,
IF(Final_Payroll!B146="HR",Earnings!B146*1.2,
Earnings!B146*1.3))))</f>
        <v>1776485.655</v>
      </c>
      <c r="C146">
        <f>Earnings!B146 + Deductions!B146 + Deductions!C146 + Overtime!D146</f>
        <v>1186123.77</v>
      </c>
      <c r="D146">
        <f t="shared" si="4"/>
        <v>590361.88500000001</v>
      </c>
      <c r="E146">
        <f t="shared" si="5"/>
        <v>1.4977236776900609</v>
      </c>
    </row>
    <row r="147" spans="1:5" x14ac:dyDescent="0.35">
      <c r="A147" t="s">
        <v>177</v>
      </c>
      <c r="B147">
        <f>IF(Final_Payroll!B147="Sales",Earnings!B147*3,
IF(Final_Payroll!B147="IT",Earnings!B147*2,
IF(Final_Payroll!B147="Finance",Earnings!B147*1.5,
IF(Final_Payroll!B147="HR",Earnings!B147*1.2,
Earnings!B147*1.3))))</f>
        <v>1681030.7999999998</v>
      </c>
      <c r="C147">
        <f>Earnings!B147 + Deductions!B147 + Deductions!C147 + Overtime!D147</f>
        <v>1263693.7871999999</v>
      </c>
      <c r="D147">
        <f t="shared" si="4"/>
        <v>417337.01279999991</v>
      </c>
      <c r="E147">
        <f t="shared" si="5"/>
        <v>1.3302516931136494</v>
      </c>
    </row>
    <row r="148" spans="1:5" x14ac:dyDescent="0.35">
      <c r="A148" t="s">
        <v>178</v>
      </c>
      <c r="B148">
        <f>IF(Final_Payroll!B148="Sales",Earnings!B148*3,
IF(Final_Payroll!B148="IT",Earnings!B148*2,
IF(Final_Payroll!B148="Finance",Earnings!B148*1.5,
IF(Final_Payroll!B148="HR",Earnings!B148*1.2,
Earnings!B148*1.3))))</f>
        <v>1693314.2</v>
      </c>
      <c r="C148">
        <f>Earnings!B148 + Deductions!B148 + Deductions!C148 + Overtime!D148</f>
        <v>848457.1</v>
      </c>
      <c r="D148">
        <f t="shared" si="4"/>
        <v>844857.1</v>
      </c>
      <c r="E148">
        <f t="shared" si="5"/>
        <v>1.9957570040960233</v>
      </c>
    </row>
    <row r="149" spans="1:5" x14ac:dyDescent="0.35">
      <c r="A149" t="s">
        <v>179</v>
      </c>
      <c r="B149">
        <f>IF(Final_Payroll!B149="Sales",Earnings!B149*3,
IF(Final_Payroll!B149="IT",Earnings!B149*2,
IF(Final_Payroll!B149="Finance",Earnings!B149*1.5,
IF(Final_Payroll!B149="HR",Earnings!B149*1.2,
Earnings!B149*1.3))))</f>
        <v>1778964</v>
      </c>
      <c r="C149">
        <f>Earnings!B149 + Deductions!B149 + Deductions!C149 + Overtime!D149</f>
        <v>594788</v>
      </c>
      <c r="D149">
        <f t="shared" si="4"/>
        <v>1184176</v>
      </c>
      <c r="E149">
        <f t="shared" si="5"/>
        <v>2.9909211349253852</v>
      </c>
    </row>
    <row r="150" spans="1:5" x14ac:dyDescent="0.35">
      <c r="A150" t="s">
        <v>180</v>
      </c>
      <c r="B150">
        <f>IF(Final_Payroll!B150="Sales",Earnings!B150*3,
IF(Final_Payroll!B150="IT",Earnings!B150*2,
IF(Final_Payroll!B150="Finance",Earnings!B150*1.5,
IF(Final_Payroll!B150="HR",Earnings!B150*1.2,
Earnings!B150*1.3))))</f>
        <v>896181.45499999996</v>
      </c>
      <c r="C150">
        <f>Earnings!B150 + Deductions!B150 + Deductions!C150 + Overtime!D150</f>
        <v>691170.35</v>
      </c>
      <c r="D150">
        <f t="shared" si="4"/>
        <v>205011.10499999998</v>
      </c>
      <c r="E150">
        <f t="shared" si="5"/>
        <v>1.2966144381048752</v>
      </c>
    </row>
    <row r="151" spans="1:5" x14ac:dyDescent="0.35">
      <c r="A151" t="s">
        <v>181</v>
      </c>
      <c r="B151">
        <f>IF(Final_Payroll!B151="Sales",Earnings!B151*3,
IF(Final_Payroll!B151="IT",Earnings!B151*2,
IF(Final_Payroll!B151="Finance",Earnings!B151*1.5,
IF(Final_Payroll!B151="HR",Earnings!B151*1.2,
Earnings!B151*1.3))))</f>
        <v>1083959.8799999999</v>
      </c>
      <c r="C151">
        <f>Earnings!B151 + Deductions!B151 + Deductions!C151 + Overtime!D151</f>
        <v>905099.9</v>
      </c>
      <c r="D151">
        <f t="shared" si="4"/>
        <v>178859.97999999986</v>
      </c>
      <c r="E151">
        <f t="shared" si="5"/>
        <v>1.1976135231039136</v>
      </c>
    </row>
    <row r="152" spans="1:5" x14ac:dyDescent="0.35">
      <c r="A152" t="s">
        <v>182</v>
      </c>
      <c r="B152">
        <f>IF(Final_Payroll!B152="Sales",Earnings!B152*3,
IF(Final_Payroll!B152="IT",Earnings!B152*2,
IF(Final_Payroll!B152="Finance",Earnings!B152*1.5,
IF(Final_Payroll!B152="HR",Earnings!B152*1.2,
Earnings!B152*1.3))))</f>
        <v>1064042.7120000001</v>
      </c>
      <c r="C152">
        <f>Earnings!B152 + Deductions!B152 + Deductions!C152 + Overtime!D152</f>
        <v>888502.26</v>
      </c>
      <c r="D152">
        <f t="shared" si="4"/>
        <v>175540.45200000005</v>
      </c>
      <c r="E152">
        <f t="shared" si="5"/>
        <v>1.197568942593348</v>
      </c>
    </row>
    <row r="153" spans="1:5" x14ac:dyDescent="0.35">
      <c r="A153" t="s">
        <v>183</v>
      </c>
      <c r="B153">
        <f>IF(Final_Payroll!B153="Sales",Earnings!B153*3,
IF(Final_Payroll!B153="IT",Earnings!B153*2,
IF(Final_Payroll!B153="Finance",Earnings!B153*1.5,
IF(Final_Payroll!B153="HR",Earnings!B153*1.2,
Earnings!B153*1.3))))</f>
        <v>2141664</v>
      </c>
      <c r="C153">
        <f>Earnings!B153 + Deductions!B153 + Deductions!C153 + Overtime!D153</f>
        <v>1169006.8799999999</v>
      </c>
      <c r="D153">
        <f t="shared" si="4"/>
        <v>972657.12000000011</v>
      </c>
      <c r="E153">
        <f t="shared" si="5"/>
        <v>1.8320371219714295</v>
      </c>
    </row>
    <row r="154" spans="1:5" x14ac:dyDescent="0.35">
      <c r="A154" t="s">
        <v>184</v>
      </c>
      <c r="B154">
        <f>IF(Final_Payroll!B154="Sales",Earnings!B154*3,
IF(Final_Payroll!B154="IT",Earnings!B154*2,
IF(Final_Payroll!B154="Finance",Earnings!B154*1.5,
IF(Final_Payroll!B154="HR",Earnings!B154*1.2,
Earnings!B154*1.3))))</f>
        <v>4367449.8000000007</v>
      </c>
      <c r="C154">
        <f>Earnings!B154 + Deductions!B154 + Deductions!C154 + Overtime!D154</f>
        <v>1742956.6536000001</v>
      </c>
      <c r="D154">
        <f t="shared" si="4"/>
        <v>2624493.1464000009</v>
      </c>
      <c r="E154">
        <f t="shared" si="5"/>
        <v>2.5057707493638617</v>
      </c>
    </row>
    <row r="155" spans="1:5" x14ac:dyDescent="0.35">
      <c r="A155" t="s">
        <v>185</v>
      </c>
      <c r="B155">
        <f>IF(Final_Payroll!B155="Sales",Earnings!B155*3,
IF(Final_Payroll!B155="IT",Earnings!B155*2,
IF(Final_Payroll!B155="Finance",Earnings!B155*1.5,
IF(Final_Payroll!B155="HR",Earnings!B155*1.2,
Earnings!B155*1.3))))</f>
        <v>3092147.8499999996</v>
      </c>
      <c r="C155">
        <f>Earnings!B155 + Deductions!B155 + Deductions!C155 + Overtime!D155</f>
        <v>2483764.0076000001</v>
      </c>
      <c r="D155">
        <f t="shared" si="4"/>
        <v>608383.8423999995</v>
      </c>
      <c r="E155">
        <f t="shared" si="5"/>
        <v>1.2449443024934828</v>
      </c>
    </row>
    <row r="156" spans="1:5" x14ac:dyDescent="0.35">
      <c r="A156" t="s">
        <v>186</v>
      </c>
      <c r="B156">
        <f>IF(Final_Payroll!B156="Sales",Earnings!B156*3,
IF(Final_Payroll!B156="IT",Earnings!B156*2,
IF(Final_Payroll!B156="Finance",Earnings!B156*1.5,
IF(Final_Payroll!B156="HR",Earnings!B156*1.2,
Earnings!B156*1.3))))</f>
        <v>1859053.8599999999</v>
      </c>
      <c r="C156">
        <f>Earnings!B156 + Deductions!B156 + Deductions!C156 + Overtime!D156</f>
        <v>1404765.9809999999</v>
      </c>
      <c r="D156">
        <f t="shared" si="4"/>
        <v>454287.87899999996</v>
      </c>
      <c r="E156">
        <f t="shared" si="5"/>
        <v>1.3233904331001876</v>
      </c>
    </row>
    <row r="157" spans="1:5" x14ac:dyDescent="0.35">
      <c r="A157" t="s">
        <v>187</v>
      </c>
      <c r="B157">
        <f>IF(Final_Payroll!B157="Sales",Earnings!B157*3,
IF(Final_Payroll!B157="IT",Earnings!B157*2,
IF(Final_Payroll!B157="Finance",Earnings!B157*1.5,
IF(Final_Payroll!B157="HR",Earnings!B157*1.2,
Earnings!B157*1.3))))</f>
        <v>1421186.1300000001</v>
      </c>
      <c r="C157">
        <f>Earnings!B157 + Deductions!B157 + Deductions!C157 + Overtime!D157</f>
        <v>1232765.8326000001</v>
      </c>
      <c r="D157">
        <f t="shared" si="4"/>
        <v>188420.29740000004</v>
      </c>
      <c r="E157">
        <f t="shared" si="5"/>
        <v>1.1528435428832471</v>
      </c>
    </row>
    <row r="158" spans="1:5" x14ac:dyDescent="0.35">
      <c r="A158" t="s">
        <v>188</v>
      </c>
      <c r="B158">
        <f>IF(Final_Payroll!B158="Sales",Earnings!B158*3,
IF(Final_Payroll!B158="IT",Earnings!B158*2,
IF(Final_Payroll!B158="Finance",Earnings!B158*1.5,
IF(Final_Payroll!B158="HR",Earnings!B158*1.2,
Earnings!B158*1.3))))</f>
        <v>1406465.4240000001</v>
      </c>
      <c r="C158">
        <f>Earnings!B158 + Deductions!B158 + Deductions!C158 + Overtime!D158</f>
        <v>1220015.43585</v>
      </c>
      <c r="D158">
        <f t="shared" si="4"/>
        <v>186449.98815000011</v>
      </c>
      <c r="E158">
        <f t="shared" si="5"/>
        <v>1.1528259255343749</v>
      </c>
    </row>
    <row r="159" spans="1:5" x14ac:dyDescent="0.35">
      <c r="A159" t="s">
        <v>189</v>
      </c>
      <c r="B159">
        <f>IF(Final_Payroll!B159="Sales",Earnings!B159*3,
IF(Final_Payroll!B159="IT",Earnings!B159*2,
IF(Final_Payroll!B159="Finance",Earnings!B159*1.5,
IF(Final_Payroll!B159="HR",Earnings!B159*1.2,
Earnings!B159*1.3))))</f>
        <v>2272596.84</v>
      </c>
      <c r="C159">
        <f>Earnings!B159 + Deductions!B159 + Deductions!C159 + Overtime!D159</f>
        <v>882052.50855000003</v>
      </c>
      <c r="D159">
        <f t="shared" si="4"/>
        <v>1390544.3314499999</v>
      </c>
      <c r="E159">
        <f t="shared" si="5"/>
        <v>2.576487020864445</v>
      </c>
    </row>
    <row r="160" spans="1:5" x14ac:dyDescent="0.35">
      <c r="A160" t="s">
        <v>190</v>
      </c>
      <c r="B160">
        <f>IF(Final_Payroll!B160="Sales",Earnings!B160*3,
IF(Final_Payroll!B160="IT",Earnings!B160*2,
IF(Final_Payroll!B160="Finance",Earnings!B160*1.5,
IF(Final_Payroll!B160="HR",Earnings!B160*1.2,
Earnings!B160*1.3))))</f>
        <v>2391825.4500000002</v>
      </c>
      <c r="C160">
        <f>Earnings!B160 + Deductions!B160 + Deductions!C160 + Overtime!D160</f>
        <v>1596350.3</v>
      </c>
      <c r="D160">
        <f t="shared" si="4"/>
        <v>795475.15000000014</v>
      </c>
      <c r="E160">
        <f t="shared" si="5"/>
        <v>1.4983086419064788</v>
      </c>
    </row>
    <row r="161" spans="1:5" x14ac:dyDescent="0.35">
      <c r="A161" t="s">
        <v>191</v>
      </c>
      <c r="B161">
        <f>IF(Final_Payroll!B161="Sales",Earnings!B161*3,
IF(Final_Payroll!B161="IT",Earnings!B161*2,
IF(Final_Payroll!B161="Finance",Earnings!B161*1.5,
IF(Final_Payroll!B161="HR",Earnings!B161*1.2,
Earnings!B161*1.3))))</f>
        <v>3303978.9000000004</v>
      </c>
      <c r="C161">
        <f>Earnings!B161 + Deductions!B161 + Deductions!C161 + Overtime!D161</f>
        <v>1103126.3</v>
      </c>
      <c r="D161">
        <f t="shared" si="4"/>
        <v>2200852.6000000006</v>
      </c>
      <c r="E161">
        <f t="shared" si="5"/>
        <v>2.9951048216328449</v>
      </c>
    </row>
    <row r="162" spans="1:5" x14ac:dyDescent="0.35">
      <c r="A162" t="s">
        <v>192</v>
      </c>
      <c r="B162">
        <f>IF(Final_Payroll!B162="Sales",Earnings!B162*3,
IF(Final_Payroll!B162="IT",Earnings!B162*2,
IF(Final_Payroll!B162="Finance",Earnings!B162*1.5,
IF(Final_Payroll!B162="HR",Earnings!B162*1.2,
Earnings!B162*1.3))))</f>
        <v>1275303</v>
      </c>
      <c r="C162">
        <f>Earnings!B162 + Deductions!B162 + Deductions!C162 + Overtime!D162</f>
        <v>852002</v>
      </c>
      <c r="D162">
        <f t="shared" si="4"/>
        <v>423301</v>
      </c>
      <c r="E162">
        <f t="shared" si="5"/>
        <v>1.4968309933544757</v>
      </c>
    </row>
    <row r="163" spans="1:5" x14ac:dyDescent="0.35">
      <c r="A163" t="s">
        <v>193</v>
      </c>
      <c r="B163">
        <f>IF(Final_Payroll!B163="Sales",Earnings!B163*3,
IF(Final_Payroll!B163="IT",Earnings!B163*2,
IF(Final_Payroll!B163="Finance",Earnings!B163*1.5,
IF(Final_Payroll!B163="HR",Earnings!B163*1.2,
Earnings!B163*1.3))))</f>
        <v>1117105.92</v>
      </c>
      <c r="C163">
        <f>Earnings!B163 + Deductions!B163 + Deductions!C163 + Overtime!D163</f>
        <v>1076083.5263999999</v>
      </c>
      <c r="D163">
        <f t="shared" si="4"/>
        <v>41022.393600000069</v>
      </c>
      <c r="E163">
        <f t="shared" si="5"/>
        <v>1.0381219418321912</v>
      </c>
    </row>
    <row r="164" spans="1:5" x14ac:dyDescent="0.35">
      <c r="A164" t="s">
        <v>194</v>
      </c>
      <c r="B164">
        <f>IF(Final_Payroll!B164="Sales",Earnings!B164*3,
IF(Final_Payroll!B164="IT",Earnings!B164*2,
IF(Final_Payroll!B164="Finance",Earnings!B164*1.5,
IF(Final_Payroll!B164="HR",Earnings!B164*1.2,
Earnings!B164*1.3))))</f>
        <v>1942962.42</v>
      </c>
      <c r="C164">
        <f>Earnings!B164 + Deductions!B164 + Deductions!C164 + Overtime!D164</f>
        <v>1297108.28</v>
      </c>
      <c r="D164">
        <f t="shared" si="4"/>
        <v>645854.1399999999</v>
      </c>
      <c r="E164">
        <f t="shared" si="5"/>
        <v>1.4979184467159519</v>
      </c>
    </row>
    <row r="165" spans="1:5" x14ac:dyDescent="0.35">
      <c r="A165" t="s">
        <v>195</v>
      </c>
      <c r="B165">
        <f>IF(Final_Payroll!B165="Sales",Earnings!B165*3,
IF(Final_Payroll!B165="IT",Earnings!B165*2,
IF(Final_Payroll!B165="Finance",Earnings!B165*1.5,
IF(Final_Payroll!B165="HR",Earnings!B165*1.2,
Earnings!B165*1.3))))</f>
        <v>4142597.4000000004</v>
      </c>
      <c r="C165">
        <f>Earnings!B165 + Deductions!B165 + Deductions!C165 + Overtime!D165</f>
        <v>1382665.8</v>
      </c>
      <c r="D165">
        <f t="shared" si="4"/>
        <v>2759931.6000000006</v>
      </c>
      <c r="E165">
        <f t="shared" si="5"/>
        <v>2.9960945009271223</v>
      </c>
    </row>
    <row r="166" spans="1:5" x14ac:dyDescent="0.35">
      <c r="A166" t="s">
        <v>196</v>
      </c>
      <c r="B166">
        <f>IF(Final_Payroll!B166="Sales",Earnings!B166*3,
IF(Final_Payroll!B166="IT",Earnings!B166*2,
IF(Final_Payroll!B166="Finance",Earnings!B166*1.5,
IF(Final_Payroll!B166="HR",Earnings!B166*1.2,
Earnings!B166*1.3))))</f>
        <v>2189654.4000000004</v>
      </c>
      <c r="C166">
        <f>Earnings!B166 + Deductions!B166 + Deductions!C166 + Overtime!D166</f>
        <v>1461569.6</v>
      </c>
      <c r="D166">
        <f t="shared" si="4"/>
        <v>728084.80000000028</v>
      </c>
      <c r="E166">
        <f t="shared" si="5"/>
        <v>1.4981526709367794</v>
      </c>
    </row>
    <row r="167" spans="1:5" x14ac:dyDescent="0.35">
      <c r="A167" t="s">
        <v>197</v>
      </c>
      <c r="B167">
        <f>IF(Final_Payroll!B167="Sales",Earnings!B167*3,
IF(Final_Payroll!B167="IT",Earnings!B167*2,
IF(Final_Payroll!B167="Finance",Earnings!B167*1.5,
IF(Final_Payroll!B167="HR",Earnings!B167*1.2,
Earnings!B167*1.3))))</f>
        <v>2498323.2999999998</v>
      </c>
      <c r="C167">
        <f>Earnings!B167 + Deductions!B167 + Deductions!C167 + Overtime!D167</f>
        <v>1250961.6499999999</v>
      </c>
      <c r="D167">
        <f t="shared" si="4"/>
        <v>1247361.6499999999</v>
      </c>
      <c r="E167">
        <f t="shared" si="5"/>
        <v>1.9971222139383729</v>
      </c>
    </row>
    <row r="168" spans="1:5" x14ac:dyDescent="0.35">
      <c r="A168" t="s">
        <v>198</v>
      </c>
      <c r="B168">
        <f>IF(Final_Payroll!B168="Sales",Earnings!B168*3,
IF(Final_Payroll!B168="IT",Earnings!B168*2,
IF(Final_Payroll!B168="Finance",Earnings!B168*1.5,
IF(Final_Payroll!B168="HR",Earnings!B168*1.2,
Earnings!B168*1.3))))</f>
        <v>3151880.5500000003</v>
      </c>
      <c r="C168">
        <f>Earnings!B168 + Deductions!B168 + Deductions!C168 + Overtime!D168</f>
        <v>1052426.8500000001</v>
      </c>
      <c r="D168">
        <f t="shared" si="4"/>
        <v>2099453.7000000002</v>
      </c>
      <c r="E168">
        <f t="shared" si="5"/>
        <v>2.9948690020593829</v>
      </c>
    </row>
    <row r="169" spans="1:5" x14ac:dyDescent="0.35">
      <c r="A169" t="s">
        <v>199</v>
      </c>
      <c r="B169">
        <f>IF(Final_Payroll!B169="Sales",Earnings!B169*3,
IF(Final_Payroll!B169="IT",Earnings!B169*2,
IF(Final_Payroll!B169="Finance",Earnings!B169*1.5,
IF(Final_Payroll!B169="HR",Earnings!B169*1.2,
Earnings!B169*1.3))))</f>
        <v>1111748.976</v>
      </c>
      <c r="C169">
        <f>Earnings!B169 + Deductions!B169 + Deductions!C169 + Overtime!D169</f>
        <v>898040.7132</v>
      </c>
      <c r="D169">
        <f t="shared" si="4"/>
        <v>213708.26280000003</v>
      </c>
      <c r="E169">
        <f t="shared" si="5"/>
        <v>1.237971686203948</v>
      </c>
    </row>
    <row r="170" spans="1:5" x14ac:dyDescent="0.35">
      <c r="A170" t="s">
        <v>200</v>
      </c>
      <c r="B170">
        <f>IF(Final_Payroll!B170="Sales",Earnings!B170*3,
IF(Final_Payroll!B170="IT",Earnings!B170*2,
IF(Final_Payroll!B170="Finance",Earnings!B170*1.5,
IF(Final_Payroll!B170="HR",Earnings!B170*1.2,
Earnings!B170*1.3))))</f>
        <v>1335364.68</v>
      </c>
      <c r="C170">
        <f>Earnings!B170 + Deductions!B170 + Deductions!C170 + Overtime!D170</f>
        <v>1078309.3728</v>
      </c>
      <c r="D170">
        <f t="shared" si="4"/>
        <v>257055.30719999992</v>
      </c>
      <c r="E170">
        <f t="shared" si="5"/>
        <v>1.2383873438218527</v>
      </c>
    </row>
    <row r="171" spans="1:5" x14ac:dyDescent="0.35">
      <c r="A171" t="s">
        <v>201</v>
      </c>
      <c r="B171">
        <f>IF(Final_Payroll!B171="Sales",Earnings!B171*3,
IF(Final_Payroll!B171="IT",Earnings!B171*2,
IF(Final_Payroll!B171="Finance",Earnings!B171*1.5,
IF(Final_Payroll!B171="HR",Earnings!B171*1.2,
Earnings!B171*1.3))))</f>
        <v>2406343.0649999999</v>
      </c>
      <c r="C171">
        <f>Earnings!B171 + Deductions!B171 + Deductions!C171 + Overtime!D171</f>
        <v>1684635.9162999999</v>
      </c>
      <c r="D171">
        <f t="shared" si="4"/>
        <v>721707.14870000002</v>
      </c>
      <c r="E171">
        <f t="shared" si="5"/>
        <v>1.4284054149130929</v>
      </c>
    </row>
    <row r="172" spans="1:5" x14ac:dyDescent="0.35">
      <c r="A172" t="s">
        <v>202</v>
      </c>
      <c r="B172">
        <f>IF(Final_Payroll!B172="Sales",Earnings!B172*3,
IF(Final_Payroll!B172="IT",Earnings!B172*2,
IF(Final_Payroll!B172="Finance",Earnings!B172*1.5,
IF(Final_Payroll!B172="HR",Earnings!B172*1.2,
Earnings!B172*1.3))))</f>
        <v>1493492</v>
      </c>
      <c r="C172">
        <f>Earnings!B172 + Deductions!B172 + Deductions!C172 + Overtime!D172</f>
        <v>1150640</v>
      </c>
      <c r="D172">
        <f t="shared" si="4"/>
        <v>342852</v>
      </c>
      <c r="E172">
        <f t="shared" si="5"/>
        <v>1.2979663491622053</v>
      </c>
    </row>
    <row r="173" spans="1:5" x14ac:dyDescent="0.35">
      <c r="A173" t="s">
        <v>203</v>
      </c>
      <c r="B173">
        <f>IF(Final_Payroll!B173="Sales",Earnings!B173*3,
IF(Final_Payroll!B173="IT",Earnings!B173*2,
IF(Final_Payroll!B173="Finance",Earnings!B173*1.5,
IF(Final_Payroll!B173="HR",Earnings!B173*1.2,
Earnings!B173*1.3))))</f>
        <v>2710257.3</v>
      </c>
      <c r="C173">
        <f>Earnings!B173 + Deductions!B173 + Deductions!C173 + Overtime!D173</f>
        <v>1808638.2</v>
      </c>
      <c r="D173">
        <f t="shared" si="4"/>
        <v>901619.09999999986</v>
      </c>
      <c r="E173">
        <f t="shared" si="5"/>
        <v>1.498507164119391</v>
      </c>
    </row>
    <row r="174" spans="1:5" x14ac:dyDescent="0.35">
      <c r="A174" t="s">
        <v>204</v>
      </c>
      <c r="B174">
        <f>IF(Final_Payroll!B174="Sales",Earnings!B174*3,
IF(Final_Payroll!B174="IT",Earnings!B174*2,
IF(Final_Payroll!B174="Finance",Earnings!B174*1.5,
IF(Final_Payroll!B174="HR",Earnings!B174*1.2,
Earnings!B174*1.3))))</f>
        <v>1970914.023</v>
      </c>
      <c r="C174">
        <f>Earnings!B174 + Deductions!B174 + Deductions!C174 + Overtime!D174</f>
        <v>1685415.4008499999</v>
      </c>
      <c r="D174">
        <f t="shared" si="4"/>
        <v>285498.62215000018</v>
      </c>
      <c r="E174">
        <f t="shared" si="5"/>
        <v>1.1693936236764038</v>
      </c>
    </row>
    <row r="175" spans="1:5" x14ac:dyDescent="0.35">
      <c r="A175" t="s">
        <v>205</v>
      </c>
      <c r="B175">
        <f>IF(Final_Payroll!B175="Sales",Earnings!B175*3,
IF(Final_Payroll!B175="IT",Earnings!B175*2,
IF(Final_Payroll!B175="Finance",Earnings!B175*1.5,
IF(Final_Payroll!B175="HR",Earnings!B175*1.2,
Earnings!B175*1.3))))</f>
        <v>1623731.4000000001</v>
      </c>
      <c r="C175">
        <f>Earnings!B175 + Deductions!B175 + Deductions!C175 + Overtime!D175</f>
        <v>1084287.6000000001</v>
      </c>
      <c r="D175">
        <f t="shared" si="4"/>
        <v>539443.80000000005</v>
      </c>
      <c r="E175">
        <f t="shared" si="5"/>
        <v>1.4975098857535585</v>
      </c>
    </row>
    <row r="176" spans="1:5" x14ac:dyDescent="0.35">
      <c r="A176" t="s">
        <v>206</v>
      </c>
      <c r="B176">
        <f>IF(Final_Payroll!B176="Sales",Earnings!B176*3,
IF(Final_Payroll!B176="IT",Earnings!B176*2,
IF(Final_Payroll!B176="Finance",Earnings!B176*1.5,
IF(Final_Payroll!B176="HR",Earnings!B176*1.2,
Earnings!B176*1.3))))</f>
        <v>931556.7</v>
      </c>
      <c r="C176">
        <f>Earnings!B176 + Deductions!B176 + Deductions!C176 + Overtime!D176</f>
        <v>805267.65375000006</v>
      </c>
      <c r="D176">
        <f t="shared" si="4"/>
        <v>126289.0462499999</v>
      </c>
      <c r="E176">
        <f t="shared" si="5"/>
        <v>1.1568286589705825</v>
      </c>
    </row>
    <row r="177" spans="1:5" x14ac:dyDescent="0.35">
      <c r="A177" t="s">
        <v>207</v>
      </c>
      <c r="B177">
        <f>IF(Final_Payroll!B177="Sales",Earnings!B177*3,
IF(Final_Payroll!B177="IT",Earnings!B177*2,
IF(Final_Payroll!B177="Finance",Earnings!B177*1.5,
IF(Final_Payroll!B177="HR",Earnings!B177*1.2,
Earnings!B177*1.3))))</f>
        <v>913919.76</v>
      </c>
      <c r="C177">
        <f>Earnings!B177 + Deductions!B177 + Deductions!C177 + Overtime!D177</f>
        <v>704815.2</v>
      </c>
      <c r="D177">
        <f t="shared" si="4"/>
        <v>209104.56000000006</v>
      </c>
      <c r="E177">
        <f t="shared" si="5"/>
        <v>1.2966799807949658</v>
      </c>
    </row>
    <row r="178" spans="1:5" x14ac:dyDescent="0.35">
      <c r="A178" t="s">
        <v>208</v>
      </c>
      <c r="B178">
        <f>IF(Final_Payroll!B178="Sales",Earnings!B178*3,
IF(Final_Payroll!B178="IT",Earnings!B178*2,
IF(Final_Payroll!B178="Finance",Earnings!B178*1.5,
IF(Final_Payroll!B178="HR",Earnings!B178*1.2,
Earnings!B178*1.3))))</f>
        <v>2501767.7999999998</v>
      </c>
      <c r="C178">
        <f>Earnings!B178 + Deductions!B178 + Deductions!C178 + Overtime!D178</f>
        <v>1833094.0296</v>
      </c>
      <c r="D178">
        <f t="shared" si="4"/>
        <v>668673.7703999998</v>
      </c>
      <c r="E178">
        <f t="shared" si="5"/>
        <v>1.3647787618106593</v>
      </c>
    </row>
    <row r="179" spans="1:5" x14ac:dyDescent="0.35">
      <c r="A179" t="s">
        <v>209</v>
      </c>
      <c r="B179">
        <f>IF(Final_Payroll!B179="Sales",Earnings!B179*3,
IF(Final_Payroll!B179="IT",Earnings!B179*2,
IF(Final_Payroll!B179="Finance",Earnings!B179*1.5,
IF(Final_Payroll!B179="HR",Earnings!B179*1.2,
Earnings!B179*1.3))))</f>
        <v>2007359.5</v>
      </c>
      <c r="C179">
        <f>Earnings!B179 + Deductions!B179 + Deductions!C179 + Overtime!D179</f>
        <v>1100829.3262499999</v>
      </c>
      <c r="D179">
        <f t="shared" si="4"/>
        <v>906530.17375000007</v>
      </c>
      <c r="E179">
        <f t="shared" si="5"/>
        <v>1.8234974778861639</v>
      </c>
    </row>
    <row r="180" spans="1:5" x14ac:dyDescent="0.35">
      <c r="A180" t="s">
        <v>210</v>
      </c>
      <c r="B180">
        <f>IF(Final_Payroll!B180="Sales",Earnings!B180*3,
IF(Final_Payroll!B180="IT",Earnings!B180*2,
IF(Final_Payroll!B180="Finance",Earnings!B180*1.5,
IF(Final_Payroll!B180="HR",Earnings!B180*1.2,
Earnings!B180*1.3))))</f>
        <v>1506928.7159999998</v>
      </c>
      <c r="C180">
        <f>Earnings!B180 + Deductions!B180 + Deductions!C180 + Overtime!D180</f>
        <v>1374988.7919874999</v>
      </c>
      <c r="D180">
        <f t="shared" si="4"/>
        <v>131939.92401249986</v>
      </c>
      <c r="E180">
        <f t="shared" si="5"/>
        <v>1.0959570905460148</v>
      </c>
    </row>
    <row r="181" spans="1:5" x14ac:dyDescent="0.35">
      <c r="A181" t="s">
        <v>211</v>
      </c>
      <c r="B181">
        <f>IF(Final_Payroll!B181="Sales",Earnings!B181*3,
IF(Final_Payroll!B181="IT",Earnings!B181*2,
IF(Final_Payroll!B181="Finance",Earnings!B181*1.5,
IF(Final_Payroll!B181="HR",Earnings!B181*1.2,
Earnings!B181*1.3))))</f>
        <v>1441695.2999999998</v>
      </c>
      <c r="C181">
        <f>Earnings!B181 + Deductions!B181 + Deductions!C181 + Overtime!D181</f>
        <v>962930.2</v>
      </c>
      <c r="D181">
        <f t="shared" si="4"/>
        <v>478765.09999999986</v>
      </c>
      <c r="E181">
        <f t="shared" si="5"/>
        <v>1.4971960584474346</v>
      </c>
    </row>
    <row r="182" spans="1:5" x14ac:dyDescent="0.35">
      <c r="A182" t="s">
        <v>212</v>
      </c>
      <c r="B182">
        <f>IF(Final_Payroll!B182="Sales",Earnings!B182*3,
IF(Final_Payroll!B182="IT",Earnings!B182*2,
IF(Final_Payroll!B182="Finance",Earnings!B182*1.5,
IF(Final_Payroll!B182="HR",Earnings!B182*1.2,
Earnings!B182*1.3))))</f>
        <v>1942510.6949999998</v>
      </c>
      <c r="C182">
        <f>Earnings!B182 + Deductions!B182 + Deductions!C182 + Overtime!D182</f>
        <v>1583003.7046249998</v>
      </c>
      <c r="D182">
        <f t="shared" si="4"/>
        <v>359506.99037500005</v>
      </c>
      <c r="E182">
        <f t="shared" si="5"/>
        <v>1.2271043266194783</v>
      </c>
    </row>
    <row r="183" spans="1:5" x14ac:dyDescent="0.35">
      <c r="A183" t="s">
        <v>213</v>
      </c>
      <c r="B183">
        <f>IF(Final_Payroll!B183="Sales",Earnings!B183*3,
IF(Final_Payroll!B183="IT",Earnings!B183*2,
IF(Final_Payroll!B183="Finance",Earnings!B183*1.5,
IF(Final_Payroll!B183="HR",Earnings!B183*1.2,
Earnings!B183*1.3))))</f>
        <v>811834.56</v>
      </c>
      <c r="C183">
        <f>Earnings!B183 + Deductions!B183 + Deductions!C183 + Overtime!D183</f>
        <v>791985.63840000005</v>
      </c>
      <c r="D183">
        <f t="shared" si="4"/>
        <v>19848.921600000001</v>
      </c>
      <c r="E183">
        <f t="shared" si="5"/>
        <v>1.0250622241586345</v>
      </c>
    </row>
    <row r="184" spans="1:5" x14ac:dyDescent="0.35">
      <c r="A184" t="s">
        <v>214</v>
      </c>
      <c r="B184">
        <f>IF(Final_Payroll!B184="Sales",Earnings!B184*3,
IF(Final_Payroll!B184="IT",Earnings!B184*2,
IF(Final_Payroll!B184="Finance",Earnings!B184*1.5,
IF(Final_Payroll!B184="HR",Earnings!B184*1.2,
Earnings!B184*1.3))))</f>
        <v>4571286.57</v>
      </c>
      <c r="C184">
        <f>Earnings!B184 + Deductions!B184 + Deductions!C184 + Overtime!D184</f>
        <v>1525562.19</v>
      </c>
      <c r="D184">
        <f t="shared" si="4"/>
        <v>3045724.3800000004</v>
      </c>
      <c r="E184">
        <f t="shared" si="5"/>
        <v>2.9964603212930969</v>
      </c>
    </row>
    <row r="185" spans="1:5" x14ac:dyDescent="0.35">
      <c r="A185" t="s">
        <v>215</v>
      </c>
      <c r="B185">
        <f>IF(Final_Payroll!B185="Sales",Earnings!B185*3,
IF(Final_Payroll!B185="IT",Earnings!B185*2,
IF(Final_Payroll!B185="Finance",Earnings!B185*1.5,
IF(Final_Payroll!B185="HR",Earnings!B185*1.2,
Earnings!B185*1.3))))</f>
        <v>1466141.8589999999</v>
      </c>
      <c r="C185">
        <f>Earnings!B185 + Deductions!B185 + Deductions!C185 + Overtime!D185</f>
        <v>1129601.43</v>
      </c>
      <c r="D185">
        <f t="shared" si="4"/>
        <v>336540.429</v>
      </c>
      <c r="E185">
        <f t="shared" si="5"/>
        <v>1.2979284728773759</v>
      </c>
    </row>
    <row r="186" spans="1:5" x14ac:dyDescent="0.35">
      <c r="A186" t="s">
        <v>216</v>
      </c>
      <c r="B186">
        <f>IF(Final_Payroll!B186="Sales",Earnings!B186*3,
IF(Final_Payroll!B186="IT",Earnings!B186*2,
IF(Final_Payroll!B186="Finance",Earnings!B186*1.5,
IF(Final_Payroll!B186="HR",Earnings!B186*1.2,
Earnings!B186*1.3))))</f>
        <v>3919339.1999999997</v>
      </c>
      <c r="C186">
        <f>Earnings!B186 + Deductions!B186 + Deductions!C186 + Overtime!D186</f>
        <v>1408842.7727999999</v>
      </c>
      <c r="D186">
        <f t="shared" si="4"/>
        <v>2510496.4271999998</v>
      </c>
      <c r="E186">
        <f t="shared" si="5"/>
        <v>2.7819564224406119</v>
      </c>
    </row>
    <row r="187" spans="1:5" x14ac:dyDescent="0.35">
      <c r="A187" t="s">
        <v>217</v>
      </c>
      <c r="B187">
        <f>IF(Final_Payroll!B187="Sales",Earnings!B187*3,
IF(Final_Payroll!B187="IT",Earnings!B187*2,
IF(Final_Payroll!B187="Finance",Earnings!B187*1.5,
IF(Final_Payroll!B187="HR",Earnings!B187*1.2,
Earnings!B187*1.3))))</f>
        <v>1559136.1240000001</v>
      </c>
      <c r="C187">
        <f>Earnings!B187 + Deductions!B187 + Deductions!C187 + Overtime!D187</f>
        <v>1402623.8398</v>
      </c>
      <c r="D187">
        <f t="shared" si="4"/>
        <v>156512.28420000011</v>
      </c>
      <c r="E187">
        <f t="shared" si="5"/>
        <v>1.1115853586392181</v>
      </c>
    </row>
    <row r="188" spans="1:5" x14ac:dyDescent="0.35">
      <c r="A188" t="s">
        <v>218</v>
      </c>
      <c r="B188">
        <f>IF(Final_Payroll!B188="Sales",Earnings!B188*3,
IF(Final_Payroll!B188="IT",Earnings!B188*2,
IF(Final_Payroll!B188="Finance",Earnings!B188*1.5,
IF(Final_Payroll!B188="HR",Earnings!B188*1.2,
Earnings!B188*1.3))))</f>
        <v>1686262</v>
      </c>
      <c r="C188">
        <f>Earnings!B188 + Deductions!B188 + Deductions!C188 + Overtime!D188</f>
        <v>844931</v>
      </c>
      <c r="D188">
        <f t="shared" si="4"/>
        <v>841331</v>
      </c>
      <c r="E188">
        <f t="shared" si="5"/>
        <v>1.9957392970550258</v>
      </c>
    </row>
    <row r="189" spans="1:5" x14ac:dyDescent="0.35">
      <c r="A189" t="s">
        <v>219</v>
      </c>
      <c r="B189">
        <f>IF(Final_Payroll!B189="Sales",Earnings!B189*3,
IF(Final_Payroll!B189="IT",Earnings!B189*2,
IF(Final_Payroll!B189="Finance",Earnings!B189*1.5,
IF(Final_Payroll!B189="HR",Earnings!B189*1.2,
Earnings!B189*1.3))))</f>
        <v>2264091.2999999998</v>
      </c>
      <c r="C189">
        <f>Earnings!B189 + Deductions!B189 + Deductions!C189 + Overtime!D189</f>
        <v>797250.74340000004</v>
      </c>
      <c r="D189">
        <f t="shared" si="4"/>
        <v>1466840.5565999998</v>
      </c>
      <c r="E189">
        <f t="shared" si="5"/>
        <v>2.8398735513803719</v>
      </c>
    </row>
    <row r="190" spans="1:5" x14ac:dyDescent="0.35">
      <c r="A190" t="s">
        <v>220</v>
      </c>
      <c r="B190">
        <f>IF(Final_Payroll!B190="Sales",Earnings!B190*3,
IF(Final_Payroll!B190="IT",Earnings!B190*2,
IF(Final_Payroll!B190="Finance",Earnings!B190*1.5,
IF(Final_Payroll!B190="HR",Earnings!B190*1.2,
Earnings!B190*1.3))))</f>
        <v>3581895.58</v>
      </c>
      <c r="C190">
        <f>Earnings!B190 + Deductions!B190 + Deductions!C190 + Overtime!D190</f>
        <v>1792747.79</v>
      </c>
      <c r="D190">
        <f t="shared" si="4"/>
        <v>1789147.79</v>
      </c>
      <c r="E190">
        <f t="shared" si="5"/>
        <v>1.9979919093917835</v>
      </c>
    </row>
    <row r="191" spans="1:5" x14ac:dyDescent="0.35">
      <c r="A191" t="s">
        <v>221</v>
      </c>
      <c r="B191">
        <f>IF(Final_Payroll!B191="Sales",Earnings!B191*3,
IF(Final_Payroll!B191="IT",Earnings!B191*2,
IF(Final_Payroll!B191="Finance",Earnings!B191*1.5,
IF(Final_Payroll!B191="HR",Earnings!B191*1.2,
Earnings!B191*1.3))))</f>
        <v>726190.26</v>
      </c>
      <c r="C191">
        <f>Earnings!B191 + Deductions!B191 + Deductions!C191 + Overtime!D191</f>
        <v>625113.30650000006</v>
      </c>
      <c r="D191">
        <f t="shared" si="4"/>
        <v>101076.95349999995</v>
      </c>
      <c r="E191">
        <f t="shared" si="5"/>
        <v>1.1616938120641334</v>
      </c>
    </row>
    <row r="192" spans="1:5" x14ac:dyDescent="0.35">
      <c r="A192" t="s">
        <v>222</v>
      </c>
      <c r="B192">
        <f>IF(Final_Payroll!B192="Sales",Earnings!B192*3,
IF(Final_Payroll!B192="IT",Earnings!B192*2,
IF(Final_Payroll!B192="Finance",Earnings!B192*1.5,
IF(Final_Payroll!B192="HR",Earnings!B192*1.2,
Earnings!B192*1.3))))</f>
        <v>1123132.2749999999</v>
      </c>
      <c r="C192">
        <f>Earnings!B192 + Deductions!B192 + Deductions!C192 + Overtime!D192</f>
        <v>851636.75474999996</v>
      </c>
      <c r="D192">
        <f t="shared" si="4"/>
        <v>271495.52024999994</v>
      </c>
      <c r="E192">
        <f t="shared" si="5"/>
        <v>1.3187926292938097</v>
      </c>
    </row>
    <row r="193" spans="1:5" x14ac:dyDescent="0.35">
      <c r="A193" t="s">
        <v>223</v>
      </c>
      <c r="B193">
        <f>IF(Final_Payroll!B193="Sales",Earnings!B193*3,
IF(Final_Payroll!B193="IT",Earnings!B193*2,
IF(Final_Payroll!B193="Finance",Earnings!B193*1.5,
IF(Final_Payroll!B193="HR",Earnings!B193*1.2,
Earnings!B193*1.3))))</f>
        <v>715915.91500000004</v>
      </c>
      <c r="C193">
        <f>Earnings!B193 + Deductions!B193 + Deductions!C193 + Overtime!D193</f>
        <v>552504.55000000005</v>
      </c>
      <c r="D193">
        <f t="shared" si="4"/>
        <v>163411.36499999999</v>
      </c>
      <c r="E193">
        <f t="shared" si="5"/>
        <v>1.2957647407609585</v>
      </c>
    </row>
    <row r="194" spans="1:5" x14ac:dyDescent="0.35">
      <c r="A194" t="s">
        <v>224</v>
      </c>
      <c r="B194">
        <f>IF(Final_Payroll!B194="Sales",Earnings!B194*3,
IF(Final_Payroll!B194="IT",Earnings!B194*2,
IF(Final_Payroll!B194="Finance",Earnings!B194*1.5,
IF(Final_Payroll!B194="HR",Earnings!B194*1.2,
Earnings!B194*1.3))))</f>
        <v>1759005.0660000001</v>
      </c>
      <c r="C194">
        <f>Earnings!B194 + Deductions!B194 + Deductions!C194 + Overtime!D194</f>
        <v>1354880.82</v>
      </c>
      <c r="D194">
        <f t="shared" ref="D194:D257" si="6">B194-C194</f>
        <v>404124.24600000004</v>
      </c>
      <c r="E194">
        <f t="shared" ref="E194:E257" si="7">IF(C194=0,0,B194/C194)</f>
        <v>1.298272910823256</v>
      </c>
    </row>
    <row r="195" spans="1:5" x14ac:dyDescent="0.35">
      <c r="A195" t="s">
        <v>225</v>
      </c>
      <c r="B195">
        <f>IF(Final_Payroll!B195="Sales",Earnings!B195*3,
IF(Final_Payroll!B195="IT",Earnings!B195*2,
IF(Final_Payroll!B195="Finance",Earnings!B195*1.5,
IF(Final_Payroll!B195="HR",Earnings!B195*1.2,
Earnings!B195*1.3))))</f>
        <v>1927639.1290000002</v>
      </c>
      <c r="C195">
        <f>Earnings!B195 + Deductions!B195 + Deductions!C195 + Overtime!D195</f>
        <v>1484599.33</v>
      </c>
      <c r="D195">
        <f t="shared" si="6"/>
        <v>443039.79900000012</v>
      </c>
      <c r="E195">
        <f t="shared" si="7"/>
        <v>1.2984238171520663</v>
      </c>
    </row>
    <row r="196" spans="1:5" x14ac:dyDescent="0.35">
      <c r="A196" t="s">
        <v>226</v>
      </c>
      <c r="B196">
        <f>IF(Final_Payroll!B196="Sales",Earnings!B196*3,
IF(Final_Payroll!B196="IT",Earnings!B196*2,
IF(Final_Payroll!B196="Finance",Earnings!B196*1.5,
IF(Final_Payroll!B196="HR",Earnings!B196*1.2,
Earnings!B196*1.3))))</f>
        <v>1646928.72</v>
      </c>
      <c r="C196">
        <f>Earnings!B196 + Deductions!B196 + Deductions!C196 + Overtime!D196</f>
        <v>1665884.2275</v>
      </c>
      <c r="D196">
        <f t="shared" si="6"/>
        <v>-18955.507500000065</v>
      </c>
      <c r="E196">
        <f t="shared" si="7"/>
        <v>0.98862135364085491</v>
      </c>
    </row>
    <row r="197" spans="1:5" x14ac:dyDescent="0.35">
      <c r="A197" t="s">
        <v>227</v>
      </c>
      <c r="B197">
        <f>IF(Final_Payroll!B197="Sales",Earnings!B197*3,
IF(Final_Payroll!B197="IT",Earnings!B197*2,
IF(Final_Payroll!B197="Finance",Earnings!B197*1.5,
IF(Final_Payroll!B197="HR",Earnings!B197*1.2,
Earnings!B197*1.3))))</f>
        <v>1002774.2399999999</v>
      </c>
      <c r="C197">
        <f>Earnings!B197 + Deductions!B197 + Deductions!C197 + Overtime!D197</f>
        <v>837445.2</v>
      </c>
      <c r="D197">
        <f t="shared" si="6"/>
        <v>165329.03999999992</v>
      </c>
      <c r="E197">
        <f t="shared" si="7"/>
        <v>1.1974207267532251</v>
      </c>
    </row>
    <row r="198" spans="1:5" x14ac:dyDescent="0.35">
      <c r="A198" t="s">
        <v>228</v>
      </c>
      <c r="B198">
        <f>IF(Final_Payroll!B198="Sales",Earnings!B198*3,
IF(Final_Payroll!B198="IT",Earnings!B198*2,
IF(Final_Payroll!B198="Finance",Earnings!B198*1.5,
IF(Final_Payroll!B198="HR",Earnings!B198*1.2,
Earnings!B198*1.3))))</f>
        <v>3307136</v>
      </c>
      <c r="C198">
        <f>Earnings!B198 + Deductions!B198 + Deductions!C198 + Overtime!D198</f>
        <v>1933167.4240000001</v>
      </c>
      <c r="D198">
        <f t="shared" si="6"/>
        <v>1373968.5759999999</v>
      </c>
      <c r="E198">
        <f t="shared" si="7"/>
        <v>1.7107343931738008</v>
      </c>
    </row>
    <row r="199" spans="1:5" x14ac:dyDescent="0.35">
      <c r="A199" t="s">
        <v>229</v>
      </c>
      <c r="B199">
        <f>IF(Final_Payroll!B199="Sales",Earnings!B199*3,
IF(Final_Payroll!B199="IT",Earnings!B199*2,
IF(Final_Payroll!B199="Finance",Earnings!B199*1.5,
IF(Final_Payroll!B199="HR",Earnings!B199*1.2,
Earnings!B199*1.3))))</f>
        <v>3761758.8000000003</v>
      </c>
      <c r="C199">
        <f>Earnings!B199 + Deductions!B199 + Deductions!C199 + Overtime!D199</f>
        <v>1255719.6000000001</v>
      </c>
      <c r="D199">
        <f t="shared" si="6"/>
        <v>2506039.2000000002</v>
      </c>
      <c r="E199">
        <f t="shared" si="7"/>
        <v>2.9956996769023911</v>
      </c>
    </row>
    <row r="200" spans="1:5" x14ac:dyDescent="0.35">
      <c r="A200" t="s">
        <v>230</v>
      </c>
      <c r="B200">
        <f>IF(Final_Payroll!B200="Sales",Earnings!B200*3,
IF(Final_Payroll!B200="IT",Earnings!B200*2,
IF(Final_Payroll!B200="Finance",Earnings!B200*1.5,
IF(Final_Payroll!B200="HR",Earnings!B200*1.2,
Earnings!B200*1.3))))</f>
        <v>2162765.67</v>
      </c>
      <c r="C200">
        <f>Earnings!B200 + Deductions!B200 + Deductions!C200 + Overtime!D200</f>
        <v>1665465.9</v>
      </c>
      <c r="D200">
        <f t="shared" si="6"/>
        <v>497299.77</v>
      </c>
      <c r="E200">
        <f t="shared" si="7"/>
        <v>1.2985949877448706</v>
      </c>
    </row>
    <row r="201" spans="1:5" x14ac:dyDescent="0.35">
      <c r="A201" t="s">
        <v>231</v>
      </c>
      <c r="B201">
        <f>IF(Final_Payroll!B201="Sales",Earnings!B201*3,
IF(Final_Payroll!B201="IT",Earnings!B201*2,
IF(Final_Payroll!B201="Finance",Earnings!B201*1.5,
IF(Final_Payroll!B201="HR",Earnings!B201*1.2,
Earnings!B201*1.3))))</f>
        <v>1431820.5</v>
      </c>
      <c r="C201">
        <f>Earnings!B201 + Deductions!B201 + Deductions!C201 + Overtime!D201</f>
        <v>1080438.1099999999</v>
      </c>
      <c r="D201">
        <f t="shared" si="6"/>
        <v>351382.39000000013</v>
      </c>
      <c r="E201">
        <f t="shared" si="7"/>
        <v>1.325222136046275</v>
      </c>
    </row>
    <row r="202" spans="1:5" x14ac:dyDescent="0.35">
      <c r="A202" t="s">
        <v>232</v>
      </c>
      <c r="B202">
        <f>IF(Final_Payroll!B202="Sales",Earnings!B202*3,
IF(Final_Payroll!B202="IT",Earnings!B202*2,
IF(Final_Payroll!B202="Finance",Earnings!B202*1.5,
IF(Final_Payroll!B202="HR",Earnings!B202*1.2,
Earnings!B202*1.3))))</f>
        <v>4118351.7299999995</v>
      </c>
      <c r="C202">
        <f>Earnings!B202 + Deductions!B202 + Deductions!C202 + Overtime!D202</f>
        <v>1374583.91</v>
      </c>
      <c r="D202">
        <f t="shared" si="6"/>
        <v>2743767.8199999994</v>
      </c>
      <c r="E202">
        <f t="shared" si="7"/>
        <v>2.9960715384774144</v>
      </c>
    </row>
    <row r="203" spans="1:5" x14ac:dyDescent="0.35">
      <c r="A203" t="s">
        <v>233</v>
      </c>
      <c r="B203">
        <f>IF(Final_Payroll!B203="Sales",Earnings!B203*3,
IF(Final_Payroll!B203="IT",Earnings!B203*2,
IF(Final_Payroll!B203="Finance",Earnings!B203*1.5,
IF(Final_Payroll!B203="HR",Earnings!B203*1.2,
Earnings!B203*1.3))))</f>
        <v>921139.15199999989</v>
      </c>
      <c r="C203">
        <f>Earnings!B203 + Deductions!B203 + Deductions!C203 + Overtime!D203</f>
        <v>919484.87822499999</v>
      </c>
      <c r="D203">
        <f t="shared" si="6"/>
        <v>1654.2737749998923</v>
      </c>
      <c r="E203">
        <f t="shared" si="7"/>
        <v>1.0017991310288792</v>
      </c>
    </row>
    <row r="204" spans="1:5" x14ac:dyDescent="0.35">
      <c r="A204" t="s">
        <v>234</v>
      </c>
      <c r="B204">
        <f>IF(Final_Payroll!B204="Sales",Earnings!B204*3,
IF(Final_Payroll!B204="IT",Earnings!B204*2,
IF(Final_Payroll!B204="Finance",Earnings!B204*1.5,
IF(Final_Payroll!B204="HR",Earnings!B204*1.2,
Earnings!B204*1.3))))</f>
        <v>3965876.46</v>
      </c>
      <c r="C204">
        <f>Earnings!B204 + Deductions!B204 + Deductions!C204 + Overtime!D204</f>
        <v>1323758.82</v>
      </c>
      <c r="D204">
        <f t="shared" si="6"/>
        <v>2642117.6399999997</v>
      </c>
      <c r="E204">
        <f t="shared" si="7"/>
        <v>2.9959207070665634</v>
      </c>
    </row>
    <row r="205" spans="1:5" x14ac:dyDescent="0.35">
      <c r="A205" t="s">
        <v>235</v>
      </c>
      <c r="B205">
        <f>IF(Final_Payroll!B205="Sales",Earnings!B205*3,
IF(Final_Payroll!B205="IT",Earnings!B205*2,
IF(Final_Payroll!B205="Finance",Earnings!B205*1.5,
IF(Final_Payroll!B205="HR",Earnings!B205*1.2,
Earnings!B205*1.3))))</f>
        <v>1202190.192</v>
      </c>
      <c r="C205">
        <f>Earnings!B205 + Deductions!B205 + Deductions!C205 + Overtime!D205</f>
        <v>1147887.9816000001</v>
      </c>
      <c r="D205">
        <f t="shared" si="6"/>
        <v>54302.210399999982</v>
      </c>
      <c r="E205">
        <f t="shared" si="7"/>
        <v>1.0473061930000436</v>
      </c>
    </row>
    <row r="206" spans="1:5" x14ac:dyDescent="0.35">
      <c r="A206" t="s">
        <v>236</v>
      </c>
      <c r="B206">
        <f>IF(Final_Payroll!B206="Sales",Earnings!B206*3,
IF(Final_Payroll!B206="IT",Earnings!B206*2,
IF(Final_Payroll!B206="Finance",Earnings!B206*1.5,
IF(Final_Payroll!B206="HR",Earnings!B206*1.2,
Earnings!B206*1.3))))</f>
        <v>2823613.56</v>
      </c>
      <c r="C206">
        <f>Earnings!B206 + Deductions!B206 + Deductions!C206 + Overtime!D206</f>
        <v>943004.52</v>
      </c>
      <c r="D206">
        <f t="shared" si="6"/>
        <v>1880609.04</v>
      </c>
      <c r="E206">
        <f t="shared" si="7"/>
        <v>2.994273622357611</v>
      </c>
    </row>
    <row r="207" spans="1:5" x14ac:dyDescent="0.35">
      <c r="A207" t="s">
        <v>237</v>
      </c>
      <c r="B207">
        <f>IF(Final_Payroll!B207="Sales",Earnings!B207*3,
IF(Final_Payroll!B207="IT",Earnings!B207*2,
IF(Final_Payroll!B207="Finance",Earnings!B207*1.5,
IF(Final_Payroll!B207="HR",Earnings!B207*1.2,
Earnings!B207*1.3))))</f>
        <v>1551833.5499999998</v>
      </c>
      <c r="C207">
        <f>Earnings!B207 + Deductions!B207 + Deductions!C207 + Overtime!D207</f>
        <v>1036355.7</v>
      </c>
      <c r="D207">
        <f t="shared" si="6"/>
        <v>515477.84999999986</v>
      </c>
      <c r="E207">
        <f t="shared" si="7"/>
        <v>1.4973947168911212</v>
      </c>
    </row>
    <row r="208" spans="1:5" x14ac:dyDescent="0.35">
      <c r="A208" t="s">
        <v>238</v>
      </c>
      <c r="B208">
        <f>IF(Final_Payroll!B208="Sales",Earnings!B208*3,
IF(Final_Payroll!B208="IT",Earnings!B208*2,
IF(Final_Payroll!B208="Finance",Earnings!B208*1.5,
IF(Final_Payroll!B208="HR",Earnings!B208*1.2,
Earnings!B208*1.3))))</f>
        <v>2000560.0649999999</v>
      </c>
      <c r="C208">
        <f>Earnings!B208 + Deductions!B208 + Deductions!C208 + Overtime!D208</f>
        <v>1335506.71</v>
      </c>
      <c r="D208">
        <f t="shared" si="6"/>
        <v>665053.35499999998</v>
      </c>
      <c r="E208">
        <f t="shared" si="7"/>
        <v>1.4979782954441314</v>
      </c>
    </row>
    <row r="209" spans="1:5" x14ac:dyDescent="0.35">
      <c r="A209" t="s">
        <v>239</v>
      </c>
      <c r="B209">
        <f>IF(Final_Payroll!B209="Sales",Earnings!B209*3,
IF(Final_Payroll!B209="IT",Earnings!B209*2,
IF(Final_Payroll!B209="Finance",Earnings!B209*1.5,
IF(Final_Payroll!B209="HR",Earnings!B209*1.2,
Earnings!B209*1.3))))</f>
        <v>924642.14399999997</v>
      </c>
      <c r="C209">
        <f>Earnings!B209 + Deductions!B209 + Deductions!C209 + Overtime!D209</f>
        <v>883292.17799999996</v>
      </c>
      <c r="D209">
        <f t="shared" si="6"/>
        <v>41349.966000000015</v>
      </c>
      <c r="E209">
        <f t="shared" si="7"/>
        <v>1.0468134633475719</v>
      </c>
    </row>
    <row r="210" spans="1:5" x14ac:dyDescent="0.35">
      <c r="A210" t="s">
        <v>240</v>
      </c>
      <c r="B210">
        <f>IF(Final_Payroll!B210="Sales",Earnings!B210*3,
IF(Final_Payroll!B210="IT",Earnings!B210*2,
IF(Final_Payroll!B210="Finance",Earnings!B210*1.5,
IF(Final_Payroll!B210="HR",Earnings!B210*1.2,
Earnings!B210*1.3))))</f>
        <v>1284495.9400000002</v>
      </c>
      <c r="C210">
        <f>Earnings!B210 + Deductions!B210 + Deductions!C210 + Overtime!D210</f>
        <v>989873.8</v>
      </c>
      <c r="D210">
        <f t="shared" si="6"/>
        <v>294622.14000000013</v>
      </c>
      <c r="E210">
        <f t="shared" si="7"/>
        <v>1.2976360622940017</v>
      </c>
    </row>
    <row r="211" spans="1:5" x14ac:dyDescent="0.35">
      <c r="A211" t="s">
        <v>241</v>
      </c>
      <c r="B211">
        <f>IF(Final_Payroll!B211="Sales",Earnings!B211*3,
IF(Final_Payroll!B211="IT",Earnings!B211*2,
IF(Final_Payroll!B211="Finance",Earnings!B211*1.5,
IF(Final_Payroll!B211="HR",Earnings!B211*1.2,
Earnings!B211*1.3))))</f>
        <v>1076039.4450000001</v>
      </c>
      <c r="C211">
        <f>Earnings!B211 + Deductions!B211 + Deductions!C211 + Overtime!D211</f>
        <v>829522.65</v>
      </c>
      <c r="D211">
        <f t="shared" si="6"/>
        <v>246516.79500000004</v>
      </c>
      <c r="E211">
        <f t="shared" si="7"/>
        <v>1.2971791005345061</v>
      </c>
    </row>
    <row r="212" spans="1:5" x14ac:dyDescent="0.35">
      <c r="A212" t="s">
        <v>242</v>
      </c>
      <c r="B212">
        <f>IF(Final_Payroll!B212="Sales",Earnings!B212*3,
IF(Final_Payroll!B212="IT",Earnings!B212*2,
IF(Final_Payroll!B212="Finance",Earnings!B212*1.5,
IF(Final_Payroll!B212="HR",Earnings!B212*1.2,
Earnings!B212*1.3))))</f>
        <v>991715.6399999999</v>
      </c>
      <c r="C212">
        <f>Earnings!B212 + Deductions!B212 + Deductions!C212 + Overtime!D212</f>
        <v>923269.11549999996</v>
      </c>
      <c r="D212">
        <f t="shared" si="6"/>
        <v>68446.524499999941</v>
      </c>
      <c r="E212">
        <f t="shared" si="7"/>
        <v>1.0741349660146842</v>
      </c>
    </row>
    <row r="213" spans="1:5" x14ac:dyDescent="0.35">
      <c r="A213" t="s">
        <v>243</v>
      </c>
      <c r="B213">
        <f>IF(Final_Payroll!B213="Sales",Earnings!B213*3,
IF(Final_Payroll!B213="IT",Earnings!B213*2,
IF(Final_Payroll!B213="Finance",Earnings!B213*1.5,
IF(Final_Payroll!B213="HR",Earnings!B213*1.2,
Earnings!B213*1.3))))</f>
        <v>747471.6</v>
      </c>
      <c r="C213">
        <f>Earnings!B213 + Deductions!B213 + Deductions!C213 + Overtime!D213</f>
        <v>699440.16</v>
      </c>
      <c r="D213">
        <f t="shared" si="6"/>
        <v>48031.439999999944</v>
      </c>
      <c r="E213">
        <f t="shared" si="7"/>
        <v>1.0686712641721916</v>
      </c>
    </row>
    <row r="214" spans="1:5" x14ac:dyDescent="0.35">
      <c r="A214" t="s">
        <v>244</v>
      </c>
      <c r="B214">
        <f>IF(Final_Payroll!B214="Sales",Earnings!B214*3,
IF(Final_Payroll!B214="IT",Earnings!B214*2,
IF(Final_Payroll!B214="Finance",Earnings!B214*1.5,
IF(Final_Payroll!B214="HR",Earnings!B214*1.2,
Earnings!B214*1.3))))</f>
        <v>1872679.2000000002</v>
      </c>
      <c r="C214">
        <f>Earnings!B214 + Deductions!B214 + Deductions!C214 + Overtime!D214</f>
        <v>1250252.8</v>
      </c>
      <c r="D214">
        <f t="shared" si="6"/>
        <v>622426.40000000014</v>
      </c>
      <c r="E214">
        <f t="shared" si="7"/>
        <v>1.4978404367500717</v>
      </c>
    </row>
    <row r="215" spans="1:5" x14ac:dyDescent="0.35">
      <c r="A215" t="s">
        <v>245</v>
      </c>
      <c r="B215">
        <f>IF(Final_Payroll!B215="Sales",Earnings!B215*3,
IF(Final_Payroll!B215="IT",Earnings!B215*2,
IF(Final_Payroll!B215="Finance",Earnings!B215*1.5,
IF(Final_Payroll!B215="HR",Earnings!B215*1.2,
Earnings!B215*1.3))))</f>
        <v>1215063.3600000001</v>
      </c>
      <c r="C215">
        <f>Earnings!B215 + Deductions!B215 + Deductions!C215 + Overtime!D215</f>
        <v>1014352.8</v>
      </c>
      <c r="D215">
        <f t="shared" si="6"/>
        <v>200710.56000000006</v>
      </c>
      <c r="E215">
        <f t="shared" si="7"/>
        <v>1.1978705633779489</v>
      </c>
    </row>
    <row r="216" spans="1:5" x14ac:dyDescent="0.35">
      <c r="A216" t="s">
        <v>246</v>
      </c>
      <c r="B216">
        <f>IF(Final_Payroll!B216="Sales",Earnings!B216*3,
IF(Final_Payroll!B216="IT",Earnings!B216*2,
IF(Final_Payroll!B216="Finance",Earnings!B216*1.5,
IF(Final_Payroll!B216="HR",Earnings!B216*1.2,
Earnings!B216*1.3))))</f>
        <v>954291</v>
      </c>
      <c r="C216">
        <f>Earnings!B216 + Deductions!B216 + Deductions!C216 + Overtime!D216</f>
        <v>798265.95</v>
      </c>
      <c r="D216">
        <f t="shared" si="6"/>
        <v>156025.05000000005</v>
      </c>
      <c r="E216">
        <f t="shared" si="7"/>
        <v>1.1954549733707169</v>
      </c>
    </row>
    <row r="217" spans="1:5" x14ac:dyDescent="0.35">
      <c r="A217" t="s">
        <v>247</v>
      </c>
      <c r="B217">
        <f>IF(Final_Payroll!B217="Sales",Earnings!B217*3,
IF(Final_Payroll!B217="IT",Earnings!B217*2,
IF(Final_Payroll!B217="Finance",Earnings!B217*1.5,
IF(Final_Payroll!B217="HR",Earnings!B217*1.2,
Earnings!B217*1.3))))</f>
        <v>1327324.5719999999</v>
      </c>
      <c r="C217">
        <f>Earnings!B217 + Deductions!B217 + Deductions!C217 + Overtime!D217</f>
        <v>1107903.81</v>
      </c>
      <c r="D217">
        <f t="shared" si="6"/>
        <v>219420.76199999987</v>
      </c>
      <c r="E217">
        <f t="shared" si="7"/>
        <v>1.198050372261108</v>
      </c>
    </row>
    <row r="218" spans="1:5" x14ac:dyDescent="0.35">
      <c r="A218" t="s">
        <v>248</v>
      </c>
      <c r="B218">
        <f>IF(Final_Payroll!B218="Sales",Earnings!B218*3,
IF(Final_Payroll!B218="IT",Earnings!B218*2,
IF(Final_Payroll!B218="Finance",Earnings!B218*1.5,
IF(Final_Payroll!B218="HR",Earnings!B218*1.2,
Earnings!B218*1.3))))</f>
        <v>3692648.4000000004</v>
      </c>
      <c r="C218">
        <f>Earnings!B218 + Deductions!B218 + Deductions!C218 + Overtime!D218</f>
        <v>1232682.8</v>
      </c>
      <c r="D218">
        <f t="shared" si="6"/>
        <v>2459965.6000000006</v>
      </c>
      <c r="E218">
        <f t="shared" si="7"/>
        <v>2.9956193109857625</v>
      </c>
    </row>
    <row r="219" spans="1:5" x14ac:dyDescent="0.35">
      <c r="A219" t="s">
        <v>249</v>
      </c>
      <c r="B219">
        <f>IF(Final_Payroll!B219="Sales",Earnings!B219*3,
IF(Final_Payroll!B219="IT",Earnings!B219*2,
IF(Final_Payroll!B219="Finance",Earnings!B219*1.5,
IF(Final_Payroll!B219="HR",Earnings!B219*1.2,
Earnings!B219*1.3))))</f>
        <v>1607606.91</v>
      </c>
      <c r="C219">
        <f>Earnings!B219 + Deductions!B219 + Deductions!C219 + Overtime!D219</f>
        <v>1073537.94</v>
      </c>
      <c r="D219">
        <f t="shared" si="6"/>
        <v>534068.97</v>
      </c>
      <c r="E219">
        <f t="shared" si="7"/>
        <v>1.4974849514866704</v>
      </c>
    </row>
    <row r="220" spans="1:5" x14ac:dyDescent="0.35">
      <c r="A220" t="s">
        <v>250</v>
      </c>
      <c r="B220">
        <f>IF(Final_Payroll!B220="Sales",Earnings!B220*3,
IF(Final_Payroll!B220="IT",Earnings!B220*2,
IF(Final_Payroll!B220="Finance",Earnings!B220*1.5,
IF(Final_Payroll!B220="HR",Earnings!B220*1.2,
Earnings!B220*1.3))))</f>
        <v>826215.91200000001</v>
      </c>
      <c r="C220">
        <f>Earnings!B220 + Deductions!B220 + Deductions!C220 + Overtime!D220</f>
        <v>690313.26</v>
      </c>
      <c r="D220">
        <f t="shared" si="6"/>
        <v>135902.652</v>
      </c>
      <c r="E220">
        <f t="shared" si="7"/>
        <v>1.1968709857898427</v>
      </c>
    </row>
    <row r="221" spans="1:5" x14ac:dyDescent="0.35">
      <c r="A221" t="s">
        <v>251</v>
      </c>
      <c r="B221">
        <f>IF(Final_Payroll!B221="Sales",Earnings!B221*3,
IF(Final_Payroll!B221="IT",Earnings!B221*2,
IF(Final_Payroll!B221="Finance",Earnings!B221*1.5,
IF(Final_Payroll!B221="HR",Earnings!B221*1.2,
Earnings!B221*1.3))))</f>
        <v>920035.91999999993</v>
      </c>
      <c r="C221">
        <f>Earnings!B221 + Deductions!B221 + Deductions!C221 + Overtime!D221</f>
        <v>768496.6</v>
      </c>
      <c r="D221">
        <f t="shared" si="6"/>
        <v>151539.31999999995</v>
      </c>
      <c r="E221">
        <f t="shared" si="7"/>
        <v>1.1971893174283399</v>
      </c>
    </row>
    <row r="222" spans="1:5" x14ac:dyDescent="0.35">
      <c r="A222" t="s">
        <v>252</v>
      </c>
      <c r="B222">
        <f>IF(Final_Payroll!B222="Sales",Earnings!B222*3,
IF(Final_Payroll!B222="IT",Earnings!B222*2,
IF(Final_Payroll!B222="Finance",Earnings!B222*1.5,
IF(Final_Payroll!B222="HR",Earnings!B222*1.2,
Earnings!B222*1.3))))</f>
        <v>3689118.1500000004</v>
      </c>
      <c r="C222">
        <f>Earnings!B222 + Deductions!B222 + Deductions!C222 + Overtime!D222</f>
        <v>2461212.1</v>
      </c>
      <c r="D222">
        <f t="shared" si="6"/>
        <v>1227906.0500000003</v>
      </c>
      <c r="E222">
        <f t="shared" si="7"/>
        <v>1.4989029795522297</v>
      </c>
    </row>
    <row r="223" spans="1:5" x14ac:dyDescent="0.35">
      <c r="A223" t="s">
        <v>253</v>
      </c>
      <c r="B223">
        <f>IF(Final_Payroll!B223="Sales",Earnings!B223*3,
IF(Final_Payroll!B223="IT",Earnings!B223*2,
IF(Final_Payroll!B223="Finance",Earnings!B223*1.5,
IF(Final_Payroll!B223="HR",Earnings!B223*1.2,
Earnings!B223*1.3))))</f>
        <v>1317497.544</v>
      </c>
      <c r="C223">
        <f>Earnings!B223 + Deductions!B223 + Deductions!C223 + Overtime!D223</f>
        <v>1099714.6200000001</v>
      </c>
      <c r="D223">
        <f t="shared" si="6"/>
        <v>217782.92399999988</v>
      </c>
      <c r="E223">
        <f t="shared" si="7"/>
        <v>1.1980358540654845</v>
      </c>
    </row>
    <row r="224" spans="1:5" x14ac:dyDescent="0.35">
      <c r="A224" t="s">
        <v>254</v>
      </c>
      <c r="B224">
        <f>IF(Final_Payroll!B224="Sales",Earnings!B224*3,
IF(Final_Payroll!B224="IT",Earnings!B224*2,
IF(Final_Payroll!B224="Finance",Earnings!B224*1.5,
IF(Final_Payroll!B224="HR",Earnings!B224*1.2,
Earnings!B224*1.3))))</f>
        <v>1160292.9000000001</v>
      </c>
      <c r="C224">
        <f>Earnings!B224 + Deductions!B224 + Deductions!C224 + Overtime!D224</f>
        <v>974660.97</v>
      </c>
      <c r="D224">
        <f t="shared" si="6"/>
        <v>185631.93000000017</v>
      </c>
      <c r="E224">
        <f t="shared" si="7"/>
        <v>1.1904579497012178</v>
      </c>
    </row>
    <row r="225" spans="1:5" x14ac:dyDescent="0.35">
      <c r="A225" t="s">
        <v>255</v>
      </c>
      <c r="B225">
        <f>IF(Final_Payroll!B225="Sales",Earnings!B225*3,
IF(Final_Payroll!B225="IT",Earnings!B225*2,
IF(Final_Payroll!B225="Finance",Earnings!B225*1.5,
IF(Final_Payroll!B225="HR",Earnings!B225*1.2,
Earnings!B225*1.3))))</f>
        <v>3031597.8</v>
      </c>
      <c r="C225">
        <f>Earnings!B225 + Deductions!B225 + Deductions!C225 + Overtime!D225</f>
        <v>1068922.4256</v>
      </c>
      <c r="D225">
        <f t="shared" si="6"/>
        <v>1962675.3743999999</v>
      </c>
      <c r="E225">
        <f t="shared" si="7"/>
        <v>2.8361251737218676</v>
      </c>
    </row>
    <row r="226" spans="1:5" x14ac:dyDescent="0.35">
      <c r="A226" t="s">
        <v>256</v>
      </c>
      <c r="B226">
        <f>IF(Final_Payroll!B226="Sales",Earnings!B226*3,
IF(Final_Payroll!B226="IT",Earnings!B226*2,
IF(Final_Payroll!B226="Finance",Earnings!B226*1.5,
IF(Final_Payroll!B226="HR",Earnings!B226*1.2,
Earnings!B226*1.3))))</f>
        <v>3097768.8</v>
      </c>
      <c r="C226">
        <f>Earnings!B226 + Deductions!B226 + Deductions!C226 + Overtime!D226</f>
        <v>1550684.4</v>
      </c>
      <c r="D226">
        <f t="shared" si="6"/>
        <v>1547084.4</v>
      </c>
      <c r="E226">
        <f t="shared" si="7"/>
        <v>1.9976784444339544</v>
      </c>
    </row>
    <row r="227" spans="1:5" x14ac:dyDescent="0.35">
      <c r="A227" t="s">
        <v>257</v>
      </c>
      <c r="B227">
        <f>IF(Final_Payroll!B227="Sales",Earnings!B227*3,
IF(Final_Payroll!B227="IT",Earnings!B227*2,
IF(Final_Payroll!B227="Finance",Earnings!B227*1.5,
IF(Final_Payroll!B227="HR",Earnings!B227*1.2,
Earnings!B227*1.3))))</f>
        <v>1071306.6000000001</v>
      </c>
      <c r="C227">
        <f>Earnings!B227 + Deductions!B227 + Deductions!C227 + Overtime!D227</f>
        <v>941253.48</v>
      </c>
      <c r="D227">
        <f t="shared" si="6"/>
        <v>130053.12000000011</v>
      </c>
      <c r="E227">
        <f t="shared" si="7"/>
        <v>1.1381701345741639</v>
      </c>
    </row>
    <row r="228" spans="1:5" x14ac:dyDescent="0.35">
      <c r="A228" t="s">
        <v>258</v>
      </c>
      <c r="B228">
        <f>IF(Final_Payroll!B228="Sales",Earnings!B228*3,
IF(Final_Payroll!B228="IT",Earnings!B228*2,
IF(Final_Payroll!B228="Finance",Earnings!B228*1.5,
IF(Final_Payroll!B228="HR",Earnings!B228*1.2,
Earnings!B228*1.3))))</f>
        <v>1154709.192</v>
      </c>
      <c r="C228">
        <f>Earnings!B228 + Deductions!B228 + Deductions!C228 + Overtime!D228</f>
        <v>964649.81939999992</v>
      </c>
      <c r="D228">
        <f t="shared" si="6"/>
        <v>190059.37260000012</v>
      </c>
      <c r="E228">
        <f t="shared" si="7"/>
        <v>1.1970242141528775</v>
      </c>
    </row>
    <row r="229" spans="1:5" x14ac:dyDescent="0.35">
      <c r="A229" t="s">
        <v>259</v>
      </c>
      <c r="B229">
        <f>IF(Final_Payroll!B229="Sales",Earnings!B229*3,
IF(Final_Payroll!B229="IT",Earnings!B229*2,
IF(Final_Payroll!B229="Finance",Earnings!B229*1.5,
IF(Final_Payroll!B229="HR",Earnings!B229*1.2,
Earnings!B229*1.3))))</f>
        <v>1204894.5</v>
      </c>
      <c r="C229">
        <f>Earnings!B229 + Deductions!B229 + Deductions!C229 + Overtime!D229</f>
        <v>873340.35499999998</v>
      </c>
      <c r="D229">
        <f t="shared" si="6"/>
        <v>331554.14500000002</v>
      </c>
      <c r="E229">
        <f t="shared" si="7"/>
        <v>1.3796390984360274</v>
      </c>
    </row>
    <row r="230" spans="1:5" x14ac:dyDescent="0.35">
      <c r="A230" t="s">
        <v>260</v>
      </c>
      <c r="B230">
        <f>IF(Final_Payroll!B230="Sales",Earnings!B230*3,
IF(Final_Payroll!B230="IT",Earnings!B230*2,
IF(Final_Payroll!B230="Finance",Earnings!B230*1.5,
IF(Final_Payroll!B230="HR",Earnings!B230*1.2,
Earnings!B230*1.3))))</f>
        <v>911855.88</v>
      </c>
      <c r="C230">
        <f>Earnings!B230 + Deductions!B230 + Deductions!C230 + Overtime!D230</f>
        <v>762147.51839999994</v>
      </c>
      <c r="D230">
        <f t="shared" si="6"/>
        <v>149708.36160000006</v>
      </c>
      <c r="E230">
        <f t="shared" si="7"/>
        <v>1.1964296386010513</v>
      </c>
    </row>
    <row r="231" spans="1:5" x14ac:dyDescent="0.35">
      <c r="A231" t="s">
        <v>261</v>
      </c>
      <c r="B231">
        <f>IF(Final_Payroll!B231="Sales",Earnings!B231*3,
IF(Final_Payroll!B231="IT",Earnings!B231*2,
IF(Final_Payroll!B231="Finance",Earnings!B231*1.5,
IF(Final_Payroll!B231="HR",Earnings!B231*1.2,
Earnings!B231*1.3))))</f>
        <v>1597080</v>
      </c>
      <c r="C231">
        <f>Earnings!B231 + Deductions!B231 + Deductions!C231 + Overtime!D231</f>
        <v>1066520</v>
      </c>
      <c r="D231">
        <f t="shared" si="6"/>
        <v>530560</v>
      </c>
      <c r="E231">
        <f t="shared" si="7"/>
        <v>1.497468401905262</v>
      </c>
    </row>
    <row r="232" spans="1:5" x14ac:dyDescent="0.35">
      <c r="A232" t="s">
        <v>262</v>
      </c>
      <c r="B232">
        <f>IF(Final_Payroll!B232="Sales",Earnings!B232*3,
IF(Final_Payroll!B232="IT",Earnings!B232*2,
IF(Final_Payroll!B232="Finance",Earnings!B232*1.5,
IF(Final_Payroll!B232="HR",Earnings!B232*1.2,
Earnings!B232*1.3))))</f>
        <v>1259645.6599999999</v>
      </c>
      <c r="C232">
        <f>Earnings!B232 + Deductions!B232 + Deductions!C232 + Overtime!D232</f>
        <v>1147108.5924</v>
      </c>
      <c r="D232">
        <f t="shared" si="6"/>
        <v>112537.06759999995</v>
      </c>
      <c r="E232">
        <f t="shared" si="7"/>
        <v>1.0981049818174127</v>
      </c>
    </row>
    <row r="233" spans="1:5" x14ac:dyDescent="0.35">
      <c r="A233" t="s">
        <v>263</v>
      </c>
      <c r="B233">
        <f>IF(Final_Payroll!B233="Sales",Earnings!B233*3,
IF(Final_Payroll!B233="IT",Earnings!B233*2,
IF(Final_Payroll!B233="Finance",Earnings!B233*1.5,
IF(Final_Payroll!B233="HR",Earnings!B233*1.2,
Earnings!B233*1.3))))</f>
        <v>1308135.3600000001</v>
      </c>
      <c r="C233">
        <f>Earnings!B233 + Deductions!B233 + Deductions!C233 + Overtime!D233</f>
        <v>1130066.7480000001</v>
      </c>
      <c r="D233">
        <f t="shared" si="6"/>
        <v>178068.61199999996</v>
      </c>
      <c r="E233">
        <f t="shared" si="7"/>
        <v>1.1575735347625677</v>
      </c>
    </row>
    <row r="234" spans="1:5" x14ac:dyDescent="0.35">
      <c r="A234" t="s">
        <v>264</v>
      </c>
      <c r="B234">
        <f>IF(Final_Payroll!B234="Sales",Earnings!B234*3,
IF(Final_Payroll!B234="IT",Earnings!B234*2,
IF(Final_Payroll!B234="Finance",Earnings!B234*1.5,
IF(Final_Payroll!B234="HR",Earnings!B234*1.2,
Earnings!B234*1.3))))</f>
        <v>2523343.2000000002</v>
      </c>
      <c r="C234">
        <f>Earnings!B234 + Deductions!B234 + Deductions!C234 + Overtime!D234</f>
        <v>1954867.6368</v>
      </c>
      <c r="D234">
        <f t="shared" si="6"/>
        <v>568475.56320000021</v>
      </c>
      <c r="E234">
        <f t="shared" si="7"/>
        <v>1.2908000278374654</v>
      </c>
    </row>
    <row r="235" spans="1:5" x14ac:dyDescent="0.35">
      <c r="A235" t="s">
        <v>265</v>
      </c>
      <c r="B235">
        <f>IF(Final_Payroll!B235="Sales",Earnings!B235*3,
IF(Final_Payroll!B235="IT",Earnings!B235*2,
IF(Final_Payroll!B235="Finance",Earnings!B235*1.5,
IF(Final_Payroll!B235="HR",Earnings!B235*1.2,
Earnings!B235*1.3))))</f>
        <v>2468772.5999999996</v>
      </c>
      <c r="C235">
        <f>Earnings!B235 + Deductions!B235 + Deductions!C235 + Overtime!D235</f>
        <v>824724.2</v>
      </c>
      <c r="D235">
        <f t="shared" si="6"/>
        <v>1644048.3999999997</v>
      </c>
      <c r="E235">
        <f t="shared" si="7"/>
        <v>2.9934523565575009</v>
      </c>
    </row>
    <row r="236" spans="1:5" x14ac:dyDescent="0.35">
      <c r="A236" t="s">
        <v>266</v>
      </c>
      <c r="B236">
        <f>IF(Final_Payroll!B236="Sales",Earnings!B236*3,
IF(Final_Payroll!B236="IT",Earnings!B236*2,
IF(Final_Payroll!B236="Finance",Earnings!B236*1.5,
IF(Final_Payroll!B236="HR",Earnings!B236*1.2,
Earnings!B236*1.3))))</f>
        <v>2657390.4</v>
      </c>
      <c r="C236">
        <f>Earnings!B236 + Deductions!B236 + Deductions!C236 + Overtime!D236</f>
        <v>1395601.2648</v>
      </c>
      <c r="D236">
        <f t="shared" si="6"/>
        <v>1261789.1351999999</v>
      </c>
      <c r="E236">
        <f t="shared" si="7"/>
        <v>1.9041186526732072</v>
      </c>
    </row>
    <row r="237" spans="1:5" x14ac:dyDescent="0.35">
      <c r="A237" t="s">
        <v>267</v>
      </c>
      <c r="B237">
        <f>IF(Final_Payroll!B237="Sales",Earnings!B237*3,
IF(Final_Payroll!B237="IT",Earnings!B237*2,
IF(Final_Payroll!B237="Finance",Earnings!B237*1.5,
IF(Final_Payroll!B237="HR",Earnings!B237*1.2,
Earnings!B237*1.3))))</f>
        <v>1312421.0399999998</v>
      </c>
      <c r="C237">
        <f>Earnings!B237 + Deductions!B237 + Deductions!C237 + Overtime!D237</f>
        <v>1195009.4622</v>
      </c>
      <c r="D237">
        <f t="shared" si="6"/>
        <v>117411.57779999985</v>
      </c>
      <c r="E237">
        <f t="shared" si="7"/>
        <v>1.0982515883881341</v>
      </c>
    </row>
    <row r="238" spans="1:5" x14ac:dyDescent="0.35">
      <c r="A238" t="s">
        <v>268</v>
      </c>
      <c r="B238">
        <f>IF(Final_Payroll!B238="Sales",Earnings!B238*3,
IF(Final_Payroll!B238="IT",Earnings!B238*2,
IF(Final_Payroll!B238="Finance",Earnings!B238*1.5,
IF(Final_Payroll!B238="HR",Earnings!B238*1.2,
Earnings!B238*1.3))))</f>
        <v>923328.12000000011</v>
      </c>
      <c r="C238">
        <f>Earnings!B238 + Deductions!B238 + Deductions!C238 + Overtime!D238</f>
        <v>712052.4</v>
      </c>
      <c r="D238">
        <f t="shared" si="6"/>
        <v>211275.72000000009</v>
      </c>
      <c r="E238">
        <f t="shared" si="7"/>
        <v>1.2967137250011376</v>
      </c>
    </row>
    <row r="239" spans="1:5" x14ac:dyDescent="0.35">
      <c r="A239" t="s">
        <v>269</v>
      </c>
      <c r="B239">
        <f>IF(Final_Payroll!B239="Sales",Earnings!B239*3,
IF(Final_Payroll!B239="IT",Earnings!B239*2,
IF(Final_Payroll!B239="Finance",Earnings!B239*1.5,
IF(Final_Payroll!B239="HR",Earnings!B239*1.2,
Earnings!B239*1.3))))</f>
        <v>2390955.63</v>
      </c>
      <c r="C239">
        <f>Earnings!B239 + Deductions!B239 + Deductions!C239 + Overtime!D239</f>
        <v>1595770.42</v>
      </c>
      <c r="D239">
        <f t="shared" si="6"/>
        <v>795185.21</v>
      </c>
      <c r="E239">
        <f t="shared" si="7"/>
        <v>1.4983080272912941</v>
      </c>
    </row>
    <row r="240" spans="1:5" x14ac:dyDescent="0.35">
      <c r="A240" t="s">
        <v>270</v>
      </c>
      <c r="B240">
        <f>IF(Final_Payroll!B240="Sales",Earnings!B240*3,
IF(Final_Payroll!B240="IT",Earnings!B240*2,
IF(Final_Payroll!B240="Finance",Earnings!B240*1.5,
IF(Final_Payroll!B240="HR",Earnings!B240*1.2,
Earnings!B240*1.3))))</f>
        <v>1307585.3960000002</v>
      </c>
      <c r="C240">
        <f>Earnings!B240 + Deductions!B240 + Deductions!C240 + Overtime!D240</f>
        <v>1007634.92</v>
      </c>
      <c r="D240">
        <f t="shared" si="6"/>
        <v>299950.47600000014</v>
      </c>
      <c r="E240">
        <f t="shared" si="7"/>
        <v>1.2976777303430493</v>
      </c>
    </row>
    <row r="241" spans="1:5" x14ac:dyDescent="0.35">
      <c r="A241" t="s">
        <v>271</v>
      </c>
      <c r="B241">
        <f>IF(Final_Payroll!B241="Sales",Earnings!B241*3,
IF(Final_Payroll!B241="IT",Earnings!B241*2,
IF(Final_Payroll!B241="Finance",Earnings!B241*1.5,
IF(Final_Payroll!B241="HR",Earnings!B241*1.2,
Earnings!B241*1.3))))</f>
        <v>994590.14999999991</v>
      </c>
      <c r="C241">
        <f>Earnings!B241 + Deductions!B241 + Deductions!C241 + Overtime!D241</f>
        <v>664860.1</v>
      </c>
      <c r="D241">
        <f t="shared" si="6"/>
        <v>329730.04999999993</v>
      </c>
      <c r="E241">
        <f t="shared" si="7"/>
        <v>1.4959389952863766</v>
      </c>
    </row>
    <row r="242" spans="1:5" x14ac:dyDescent="0.35">
      <c r="A242" t="s">
        <v>272</v>
      </c>
      <c r="B242">
        <f>IF(Final_Payroll!B242="Sales",Earnings!B242*3,
IF(Final_Payroll!B242="IT",Earnings!B242*2,
IF(Final_Payroll!B242="Finance",Earnings!B242*1.5,
IF(Final_Payroll!B242="HR",Earnings!B242*1.2,
Earnings!B242*1.3))))</f>
        <v>1150435.1040000001</v>
      </c>
      <c r="C242">
        <f>Earnings!B242 + Deductions!B242 + Deductions!C242 + Overtime!D242</f>
        <v>960495.92</v>
      </c>
      <c r="D242">
        <f t="shared" si="6"/>
        <v>189939.18400000001</v>
      </c>
      <c r="E242">
        <f t="shared" si="7"/>
        <v>1.1977511617123788</v>
      </c>
    </row>
    <row r="243" spans="1:5" x14ac:dyDescent="0.35">
      <c r="A243" t="s">
        <v>273</v>
      </c>
      <c r="B243">
        <f>IF(Final_Payroll!B243="Sales",Earnings!B243*3,
IF(Final_Payroll!B243="IT",Earnings!B243*2,
IF(Final_Payroll!B243="Finance",Earnings!B243*1.5,
IF(Final_Payroll!B243="HR",Earnings!B243*1.2,
Earnings!B243*1.3))))</f>
        <v>1771660.9689999998</v>
      </c>
      <c r="C243">
        <f>Earnings!B243 + Deductions!B243 + Deductions!C243 + Overtime!D243</f>
        <v>1445703.6894375</v>
      </c>
      <c r="D243">
        <f t="shared" si="6"/>
        <v>325957.27956249984</v>
      </c>
      <c r="E243">
        <f t="shared" si="7"/>
        <v>1.2254661739774106</v>
      </c>
    </row>
    <row r="244" spans="1:5" x14ac:dyDescent="0.35">
      <c r="A244" t="s">
        <v>274</v>
      </c>
      <c r="B244">
        <f>IF(Final_Payroll!B244="Sales",Earnings!B244*3,
IF(Final_Payroll!B244="IT",Earnings!B244*2,
IF(Final_Payroll!B244="Finance",Earnings!B244*1.5,
IF(Final_Payroll!B244="HR",Earnings!B244*1.2,
Earnings!B244*1.3))))</f>
        <v>1025923.6000000001</v>
      </c>
      <c r="C244">
        <f>Earnings!B244 + Deductions!B244 + Deductions!C244 + Overtime!D244</f>
        <v>790972</v>
      </c>
      <c r="D244">
        <f t="shared" si="6"/>
        <v>234951.60000000009</v>
      </c>
      <c r="E244">
        <f t="shared" si="7"/>
        <v>1.297041614620998</v>
      </c>
    </row>
    <row r="245" spans="1:5" x14ac:dyDescent="0.35">
      <c r="A245" t="s">
        <v>275</v>
      </c>
      <c r="B245">
        <f>IF(Final_Payroll!B245="Sales",Earnings!B245*3,
IF(Final_Payroll!B245="IT",Earnings!B245*2,
IF(Final_Payroll!B245="Finance",Earnings!B245*1.5,
IF(Final_Payroll!B245="HR",Earnings!B245*1.2,
Earnings!B245*1.3))))</f>
        <v>1498280.5109999999</v>
      </c>
      <c r="C245">
        <f>Earnings!B245 + Deductions!B245 + Deductions!C245 + Overtime!D245</f>
        <v>1154323.47</v>
      </c>
      <c r="D245">
        <f t="shared" si="6"/>
        <v>343957.04099999997</v>
      </c>
      <c r="E245">
        <f t="shared" si="7"/>
        <v>1.2979728385839715</v>
      </c>
    </row>
    <row r="246" spans="1:5" x14ac:dyDescent="0.35">
      <c r="A246" t="s">
        <v>276</v>
      </c>
      <c r="B246">
        <f>IF(Final_Payroll!B246="Sales",Earnings!B246*3,
IF(Final_Payroll!B246="IT",Earnings!B246*2,
IF(Final_Payroll!B246="Finance",Earnings!B246*1.5,
IF(Final_Payroll!B246="HR",Earnings!B246*1.2,
Earnings!B246*1.3))))</f>
        <v>2433349.38</v>
      </c>
      <c r="C246">
        <f>Earnings!B246 + Deductions!B246 + Deductions!C246 + Overtime!D246</f>
        <v>1312158.6418999999</v>
      </c>
      <c r="D246">
        <f t="shared" si="6"/>
        <v>1121190.7381</v>
      </c>
      <c r="E246">
        <f t="shared" si="7"/>
        <v>1.8544627930632844</v>
      </c>
    </row>
    <row r="247" spans="1:5" x14ac:dyDescent="0.35">
      <c r="A247" t="s">
        <v>277</v>
      </c>
      <c r="B247">
        <f>IF(Final_Payroll!B247="Sales",Earnings!B247*3,
IF(Final_Payroll!B247="IT",Earnings!B247*2,
IF(Final_Payroll!B247="Finance",Earnings!B247*1.5,
IF(Final_Payroll!B247="HR",Earnings!B247*1.2,
Earnings!B247*1.3))))</f>
        <v>2814518.07</v>
      </c>
      <c r="C247">
        <f>Earnings!B247 + Deductions!B247 + Deductions!C247 + Overtime!D247</f>
        <v>1064749.6591</v>
      </c>
      <c r="D247">
        <f t="shared" si="6"/>
        <v>1749768.4108999998</v>
      </c>
      <c r="E247">
        <f t="shared" si="7"/>
        <v>2.6433613253081716</v>
      </c>
    </row>
    <row r="248" spans="1:5" x14ac:dyDescent="0.35">
      <c r="A248" t="s">
        <v>278</v>
      </c>
      <c r="B248">
        <f>IF(Final_Payroll!B248="Sales",Earnings!B248*3,
IF(Final_Payroll!B248="IT",Earnings!B248*2,
IF(Final_Payroll!B248="Finance",Earnings!B248*1.5,
IF(Final_Payroll!B248="HR",Earnings!B248*1.2,
Earnings!B248*1.3))))</f>
        <v>851534.76</v>
      </c>
      <c r="C248">
        <f>Earnings!B248 + Deductions!B248 + Deductions!C248 + Overtime!D248</f>
        <v>711412.3</v>
      </c>
      <c r="D248">
        <f t="shared" si="6"/>
        <v>140122.45999999996</v>
      </c>
      <c r="E248">
        <f t="shared" si="7"/>
        <v>1.1969637859789604</v>
      </c>
    </row>
    <row r="249" spans="1:5" x14ac:dyDescent="0.35">
      <c r="A249" t="s">
        <v>279</v>
      </c>
      <c r="B249">
        <f>IF(Final_Payroll!B249="Sales",Earnings!B249*3,
IF(Final_Payroll!B249="IT",Earnings!B249*2,
IF(Final_Payroll!B249="Finance",Earnings!B249*1.5,
IF(Final_Payroll!B249="HR",Earnings!B249*1.2,
Earnings!B249*1.3))))</f>
        <v>2443532</v>
      </c>
      <c r="C249">
        <f>Earnings!B249 + Deductions!B249 + Deductions!C249 + Overtime!D249</f>
        <v>1351851.43</v>
      </c>
      <c r="D249">
        <f t="shared" si="6"/>
        <v>1091680.57</v>
      </c>
      <c r="E249">
        <f t="shared" si="7"/>
        <v>1.8075447832310982</v>
      </c>
    </row>
    <row r="250" spans="1:5" x14ac:dyDescent="0.35">
      <c r="A250" t="s">
        <v>280</v>
      </c>
      <c r="B250">
        <f>IF(Final_Payroll!B250="Sales",Earnings!B250*3,
IF(Final_Payroll!B250="IT",Earnings!B250*2,
IF(Final_Payroll!B250="Finance",Earnings!B250*1.5,
IF(Final_Payroll!B250="HR",Earnings!B250*1.2,
Earnings!B250*1.3))))</f>
        <v>1634503.5</v>
      </c>
      <c r="C250">
        <f>Earnings!B250 + Deductions!B250 + Deductions!C250 + Overtime!D250</f>
        <v>1178642.52</v>
      </c>
      <c r="D250">
        <f t="shared" si="6"/>
        <v>455860.98</v>
      </c>
      <c r="E250">
        <f t="shared" si="7"/>
        <v>1.3867678047114744</v>
      </c>
    </row>
    <row r="251" spans="1:5" x14ac:dyDescent="0.35">
      <c r="A251" t="s">
        <v>281</v>
      </c>
      <c r="B251">
        <f>IF(Final_Payroll!B251="Sales",Earnings!B251*3,
IF(Final_Payroll!B251="IT",Earnings!B251*2,
IF(Final_Payroll!B251="Finance",Earnings!B251*1.5,
IF(Final_Payroll!B251="HR",Earnings!B251*1.2,
Earnings!B251*1.3))))</f>
        <v>1820940.55</v>
      </c>
      <c r="C251">
        <f>Earnings!B251 + Deductions!B251 + Deductions!C251 + Overtime!D251</f>
        <v>1581115.7462500001</v>
      </c>
      <c r="D251">
        <f t="shared" si="6"/>
        <v>239824.80374999996</v>
      </c>
      <c r="E251">
        <f t="shared" si="7"/>
        <v>1.1516807383133099</v>
      </c>
    </row>
    <row r="252" spans="1:5" x14ac:dyDescent="0.35">
      <c r="A252" t="s">
        <v>282</v>
      </c>
      <c r="B252">
        <f>IF(Final_Payroll!B252="Sales",Earnings!B252*3,
IF(Final_Payroll!B252="IT",Earnings!B252*2,
IF(Final_Payroll!B252="Finance",Earnings!B252*1.5,
IF(Final_Payroll!B252="HR",Earnings!B252*1.2,
Earnings!B252*1.3))))</f>
        <v>2110278</v>
      </c>
      <c r="C252">
        <f>Earnings!B252 + Deductions!B252 + Deductions!C252 + Overtime!D252</f>
        <v>1408652</v>
      </c>
      <c r="D252">
        <f t="shared" si="6"/>
        <v>701626</v>
      </c>
      <c r="E252">
        <f t="shared" si="7"/>
        <v>1.4980832739384886</v>
      </c>
    </row>
    <row r="253" spans="1:5" x14ac:dyDescent="0.35">
      <c r="A253" t="s">
        <v>283</v>
      </c>
      <c r="B253">
        <f>IF(Final_Payroll!B253="Sales",Earnings!B253*3,
IF(Final_Payroll!B253="IT",Earnings!B253*2,
IF(Final_Payroll!B253="Finance",Earnings!B253*1.5,
IF(Final_Payroll!B253="HR",Earnings!B253*1.2,
Earnings!B253*1.3))))</f>
        <v>2476642.875</v>
      </c>
      <c r="C253">
        <f>Earnings!B253 + Deductions!B253 + Deductions!C253 + Overtime!D253</f>
        <v>1961650.0617499999</v>
      </c>
      <c r="D253">
        <f t="shared" si="6"/>
        <v>514992.81325000012</v>
      </c>
      <c r="E253">
        <f t="shared" si="7"/>
        <v>1.2625304193096356</v>
      </c>
    </row>
    <row r="254" spans="1:5" x14ac:dyDescent="0.35">
      <c r="A254" t="s">
        <v>284</v>
      </c>
      <c r="B254">
        <f>IF(Final_Payroll!B254="Sales",Earnings!B254*3,
IF(Final_Payroll!B254="IT",Earnings!B254*2,
IF(Final_Payroll!B254="Finance",Earnings!B254*1.5,
IF(Final_Payroll!B254="HR",Earnings!B254*1.2,
Earnings!B254*1.3))))</f>
        <v>494379.60000000003</v>
      </c>
      <c r="C254">
        <f>Earnings!B254 + Deductions!B254 + Deductions!C254 + Overtime!D254</f>
        <v>382092</v>
      </c>
      <c r="D254">
        <f t="shared" si="6"/>
        <v>112287.60000000003</v>
      </c>
      <c r="E254">
        <f t="shared" si="7"/>
        <v>1.2938758204830252</v>
      </c>
    </row>
    <row r="255" spans="1:5" x14ac:dyDescent="0.35">
      <c r="A255" t="s">
        <v>285</v>
      </c>
      <c r="B255">
        <f>IF(Final_Payroll!B255="Sales",Earnings!B255*3,
IF(Final_Payroll!B255="IT",Earnings!B255*2,
IF(Final_Payroll!B255="Finance",Earnings!B255*1.5,
IF(Final_Payroll!B255="HR",Earnings!B255*1.2,
Earnings!B255*1.3))))</f>
        <v>1830650.0999999999</v>
      </c>
      <c r="C255">
        <f>Earnings!B255 + Deductions!B255 + Deductions!C255 + Overtime!D255</f>
        <v>1222233.3999999999</v>
      </c>
      <c r="D255">
        <f t="shared" si="6"/>
        <v>608416.69999999995</v>
      </c>
      <c r="E255">
        <f t="shared" si="7"/>
        <v>1.4977909292938649</v>
      </c>
    </row>
    <row r="256" spans="1:5" x14ac:dyDescent="0.35">
      <c r="A256" t="s">
        <v>286</v>
      </c>
      <c r="B256">
        <f>IF(Final_Payroll!B256="Sales",Earnings!B256*3,
IF(Final_Payroll!B256="IT",Earnings!B256*2,
IF(Final_Payroll!B256="Finance",Earnings!B256*1.5,
IF(Final_Payroll!B256="HR",Earnings!B256*1.2,
Earnings!B256*1.3))))</f>
        <v>796125.6</v>
      </c>
      <c r="C256">
        <f>Earnings!B256 + Deductions!B256 + Deductions!C256 + Overtime!D256</f>
        <v>752811.81599999999</v>
      </c>
      <c r="D256">
        <f t="shared" si="6"/>
        <v>43313.783999999985</v>
      </c>
      <c r="E256">
        <f t="shared" si="7"/>
        <v>1.0575360044561255</v>
      </c>
    </row>
    <row r="257" spans="1:5" x14ac:dyDescent="0.35">
      <c r="A257" t="s">
        <v>287</v>
      </c>
      <c r="B257">
        <f>IF(Final_Payroll!B257="Sales",Earnings!B257*3,
IF(Final_Payroll!B257="IT",Earnings!B257*2,
IF(Final_Payroll!B257="Finance",Earnings!B257*1.5,
IF(Final_Payroll!B257="HR",Earnings!B257*1.2,
Earnings!B257*1.3))))</f>
        <v>4210227.4800000004</v>
      </c>
      <c r="C257">
        <f>Earnings!B257 + Deductions!B257 + Deductions!C257 + Overtime!D257</f>
        <v>2464783.0775000001</v>
      </c>
      <c r="D257">
        <f t="shared" si="6"/>
        <v>1745444.4025000003</v>
      </c>
      <c r="E257">
        <f t="shared" si="7"/>
        <v>1.7081533537102922</v>
      </c>
    </row>
    <row r="258" spans="1:5" x14ac:dyDescent="0.35">
      <c r="A258" t="s">
        <v>288</v>
      </c>
      <c r="B258">
        <f>IF(Final_Payroll!B258="Sales",Earnings!B258*3,
IF(Final_Payroll!B258="IT",Earnings!B258*2,
IF(Final_Payroll!B258="Finance",Earnings!B258*1.5,
IF(Final_Payroll!B258="HR",Earnings!B258*1.2,
Earnings!B258*1.3))))</f>
        <v>5138626.38</v>
      </c>
      <c r="C258">
        <f>Earnings!B258 + Deductions!B258 + Deductions!C258 + Overtime!D258</f>
        <v>2571113.19</v>
      </c>
      <c r="D258">
        <f t="shared" ref="D258:D321" si="8">B258-C258</f>
        <v>2567513.19</v>
      </c>
      <c r="E258">
        <f t="shared" ref="E258:E321" si="9">IF(C258=0,0,B258/C258)</f>
        <v>1.9985998282712711</v>
      </c>
    </row>
    <row r="259" spans="1:5" x14ac:dyDescent="0.35">
      <c r="A259" t="s">
        <v>289</v>
      </c>
      <c r="B259">
        <f>IF(Final_Payroll!B259="Sales",Earnings!B259*3,
IF(Final_Payroll!B259="IT",Earnings!B259*2,
IF(Final_Payroll!B259="Finance",Earnings!B259*1.5,
IF(Final_Payroll!B259="HR",Earnings!B259*1.2,
Earnings!B259*1.3))))</f>
        <v>1718528.7600000002</v>
      </c>
      <c r="C259">
        <f>Earnings!B259 + Deductions!B259 + Deductions!C259 + Overtime!D259</f>
        <v>1147485.8400000001</v>
      </c>
      <c r="D259">
        <f t="shared" si="8"/>
        <v>571042.92000000016</v>
      </c>
      <c r="E259">
        <f t="shared" si="9"/>
        <v>1.4976470297881848</v>
      </c>
    </row>
    <row r="260" spans="1:5" x14ac:dyDescent="0.35">
      <c r="A260" t="s">
        <v>290</v>
      </c>
      <c r="B260">
        <f>IF(Final_Payroll!B260="Sales",Earnings!B260*3,
IF(Final_Payroll!B260="IT",Earnings!B260*2,
IF(Final_Payroll!B260="Finance",Earnings!B260*1.5,
IF(Final_Payroll!B260="HR",Earnings!B260*1.2,
Earnings!B260*1.3))))</f>
        <v>3394021.68</v>
      </c>
      <c r="C260">
        <f>Earnings!B260 + Deductions!B260 + Deductions!C260 + Overtime!D260</f>
        <v>1133140.56</v>
      </c>
      <c r="D260">
        <f t="shared" si="8"/>
        <v>2260881.12</v>
      </c>
      <c r="E260">
        <f t="shared" si="9"/>
        <v>2.9952344835313283</v>
      </c>
    </row>
    <row r="261" spans="1:5" x14ac:dyDescent="0.35">
      <c r="A261" t="s">
        <v>291</v>
      </c>
      <c r="B261">
        <f>IF(Final_Payroll!B261="Sales",Earnings!B261*3,
IF(Final_Payroll!B261="IT",Earnings!B261*2,
IF(Final_Payroll!B261="Finance",Earnings!B261*1.5,
IF(Final_Payroll!B261="HR",Earnings!B261*1.2,
Earnings!B261*1.3))))</f>
        <v>1381521</v>
      </c>
      <c r="C261">
        <f>Earnings!B261 + Deductions!B261 + Deductions!C261 + Overtime!D261</f>
        <v>462307</v>
      </c>
      <c r="D261">
        <f t="shared" si="8"/>
        <v>919214</v>
      </c>
      <c r="E261">
        <f t="shared" si="9"/>
        <v>2.9883194500624044</v>
      </c>
    </row>
    <row r="262" spans="1:5" x14ac:dyDescent="0.35">
      <c r="A262" t="s">
        <v>292</v>
      </c>
      <c r="B262">
        <f>IF(Final_Payroll!B262="Sales",Earnings!B262*3,
IF(Final_Payroll!B262="IT",Earnings!B262*2,
IF(Final_Payroll!B262="Finance",Earnings!B262*1.5,
IF(Final_Payroll!B262="HR",Earnings!B262*1.2,
Earnings!B262*1.3))))</f>
        <v>1797117.4130000002</v>
      </c>
      <c r="C262">
        <f>Earnings!B262 + Deductions!B262 + Deductions!C262 + Overtime!D262</f>
        <v>1384198.01</v>
      </c>
      <c r="D262">
        <f t="shared" si="8"/>
        <v>412919.40300000017</v>
      </c>
      <c r="E262">
        <f t="shared" si="9"/>
        <v>1.2983094904174874</v>
      </c>
    </row>
    <row r="263" spans="1:5" x14ac:dyDescent="0.35">
      <c r="A263" t="s">
        <v>293</v>
      </c>
      <c r="B263">
        <f>IF(Final_Payroll!B263="Sales",Earnings!B263*3,
IF(Final_Payroll!B263="IT",Earnings!B263*2,
IF(Final_Payroll!B263="Finance",Earnings!B263*1.5,
IF(Final_Payroll!B263="HR",Earnings!B263*1.2,
Earnings!B263*1.3))))</f>
        <v>969150</v>
      </c>
      <c r="C263">
        <f>Earnings!B263 + Deductions!B263 + Deductions!C263 + Overtime!D263</f>
        <v>747300</v>
      </c>
      <c r="D263">
        <f t="shared" si="8"/>
        <v>221850</v>
      </c>
      <c r="E263">
        <f t="shared" si="9"/>
        <v>1.2968687274187074</v>
      </c>
    </row>
    <row r="264" spans="1:5" x14ac:dyDescent="0.35">
      <c r="A264" t="s">
        <v>294</v>
      </c>
      <c r="B264">
        <f>IF(Final_Payroll!B264="Sales",Earnings!B264*3,
IF(Final_Payroll!B264="IT",Earnings!B264*2,
IF(Final_Payroll!B264="Finance",Earnings!B264*1.5,
IF(Final_Payroll!B264="HR",Earnings!B264*1.2,
Earnings!B264*1.3))))</f>
        <v>1533219.12</v>
      </c>
      <c r="C264">
        <f>Earnings!B264 + Deductions!B264 + Deductions!C264 + Overtime!D264</f>
        <v>1496688.642</v>
      </c>
      <c r="D264">
        <f t="shared" si="8"/>
        <v>36530.478000000119</v>
      </c>
      <c r="E264">
        <f t="shared" si="9"/>
        <v>1.0244075333872948</v>
      </c>
    </row>
    <row r="265" spans="1:5" x14ac:dyDescent="0.35">
      <c r="A265" t="s">
        <v>295</v>
      </c>
      <c r="B265">
        <f>IF(Final_Payroll!B265="Sales",Earnings!B265*3,
IF(Final_Payroll!B265="IT",Earnings!B265*2,
IF(Final_Payroll!B265="Finance",Earnings!B265*1.5,
IF(Final_Payroll!B265="HR",Earnings!B265*1.2,
Earnings!B265*1.3))))</f>
        <v>2877447.5999999996</v>
      </c>
      <c r="C265">
        <f>Earnings!B265 + Deductions!B265 + Deductions!C265 + Overtime!D265</f>
        <v>1047272.6279999999</v>
      </c>
      <c r="D265">
        <f t="shared" si="8"/>
        <v>1830174.9719999996</v>
      </c>
      <c r="E265">
        <f t="shared" si="9"/>
        <v>2.7475630729460829</v>
      </c>
    </row>
    <row r="266" spans="1:5" x14ac:dyDescent="0.35">
      <c r="A266" t="s">
        <v>296</v>
      </c>
      <c r="B266">
        <f>IF(Final_Payroll!B266="Sales",Earnings!B266*3,
IF(Final_Payroll!B266="IT",Earnings!B266*2,
IF(Final_Payroll!B266="Finance",Earnings!B266*1.5,
IF(Final_Payroll!B266="HR",Earnings!B266*1.2,
Earnings!B266*1.3))))</f>
        <v>2070383.25</v>
      </c>
      <c r="C266">
        <f>Earnings!B266 + Deductions!B266 + Deductions!C266 + Overtime!D266</f>
        <v>1382055.5</v>
      </c>
      <c r="D266">
        <f t="shared" si="8"/>
        <v>688327.75</v>
      </c>
      <c r="E266">
        <f t="shared" si="9"/>
        <v>1.4980463881515611</v>
      </c>
    </row>
    <row r="267" spans="1:5" x14ac:dyDescent="0.35">
      <c r="A267" t="s">
        <v>297</v>
      </c>
      <c r="B267">
        <f>IF(Final_Payroll!B267="Sales",Earnings!B267*3,
IF(Final_Payroll!B267="IT",Earnings!B267*2,
IF(Final_Payroll!B267="Finance",Earnings!B267*1.5,
IF(Final_Payroll!B267="HR",Earnings!B267*1.2,
Earnings!B267*1.3))))</f>
        <v>1935375.72</v>
      </c>
      <c r="C267">
        <f>Earnings!B267 + Deductions!B267 + Deductions!C267 + Overtime!D267</f>
        <v>969487.86</v>
      </c>
      <c r="D267">
        <f t="shared" si="8"/>
        <v>965887.86</v>
      </c>
      <c r="E267">
        <f t="shared" si="9"/>
        <v>1.9962866992475801</v>
      </c>
    </row>
    <row r="268" spans="1:5" x14ac:dyDescent="0.35">
      <c r="A268" t="s">
        <v>298</v>
      </c>
      <c r="B268">
        <f>IF(Final_Payroll!B268="Sales",Earnings!B268*3,
IF(Final_Payroll!B268="IT",Earnings!B268*2,
IF(Final_Payroll!B268="Finance",Earnings!B268*1.5,
IF(Final_Payroll!B268="HR",Earnings!B268*1.2,
Earnings!B268*1.3))))</f>
        <v>1284622.5</v>
      </c>
      <c r="C268">
        <f>Earnings!B268 + Deductions!B268 + Deductions!C268 + Overtime!D268</f>
        <v>858215</v>
      </c>
      <c r="D268">
        <f t="shared" si="8"/>
        <v>426407.5</v>
      </c>
      <c r="E268">
        <f t="shared" si="9"/>
        <v>1.4968539352027173</v>
      </c>
    </row>
    <row r="269" spans="1:5" x14ac:dyDescent="0.35">
      <c r="A269" t="s">
        <v>299</v>
      </c>
      <c r="B269">
        <f>IF(Final_Payroll!B269="Sales",Earnings!B269*3,
IF(Final_Payroll!B269="IT",Earnings!B269*2,
IF(Final_Payroll!B269="Finance",Earnings!B269*1.5,
IF(Final_Payroll!B269="HR",Earnings!B269*1.2,
Earnings!B269*1.3))))</f>
        <v>691181.58200000005</v>
      </c>
      <c r="C269">
        <f>Earnings!B269 + Deductions!B269 + Deductions!C269 + Overtime!D269</f>
        <v>552086.87525000004</v>
      </c>
      <c r="D269">
        <f t="shared" si="8"/>
        <v>139094.70675000001</v>
      </c>
      <c r="E269">
        <f t="shared" si="9"/>
        <v>1.2519435128520564</v>
      </c>
    </row>
    <row r="270" spans="1:5" x14ac:dyDescent="0.35">
      <c r="A270" t="s">
        <v>300</v>
      </c>
      <c r="B270">
        <f>IF(Final_Payroll!B270="Sales",Earnings!B270*3,
IF(Final_Payroll!B270="IT",Earnings!B270*2,
IF(Final_Payroll!B270="Finance",Earnings!B270*1.5,
IF(Final_Payroll!B270="HR",Earnings!B270*1.2,
Earnings!B270*1.3))))</f>
        <v>1068613.2000000002</v>
      </c>
      <c r="C270">
        <f>Earnings!B270 + Deductions!B270 + Deductions!C270 + Overtime!D270</f>
        <v>714208.8</v>
      </c>
      <c r="D270">
        <f t="shared" si="8"/>
        <v>354404.40000000014</v>
      </c>
      <c r="E270">
        <f t="shared" si="9"/>
        <v>1.4962195929257665</v>
      </c>
    </row>
    <row r="271" spans="1:5" x14ac:dyDescent="0.35">
      <c r="A271" t="s">
        <v>301</v>
      </c>
      <c r="B271">
        <f>IF(Final_Payroll!B271="Sales",Earnings!B271*3,
IF(Final_Payroll!B271="IT",Earnings!B271*2,
IF(Final_Payroll!B271="Finance",Earnings!B271*1.5,
IF(Final_Payroll!B271="HR",Earnings!B271*1.2,
Earnings!B271*1.3))))</f>
        <v>1092096.06</v>
      </c>
      <c r="C271">
        <f>Earnings!B271 + Deductions!B271 + Deductions!C271 + Overtime!D271</f>
        <v>984686.45400000003</v>
      </c>
      <c r="D271">
        <f t="shared" si="8"/>
        <v>107409.60600000003</v>
      </c>
      <c r="E271">
        <f t="shared" si="9"/>
        <v>1.1090800077158369</v>
      </c>
    </row>
    <row r="272" spans="1:5" x14ac:dyDescent="0.35">
      <c r="A272" t="s">
        <v>302</v>
      </c>
      <c r="B272">
        <f>IF(Final_Payroll!B272="Sales",Earnings!B272*3,
IF(Final_Payroll!B272="IT",Earnings!B272*2,
IF(Final_Payroll!B272="Finance",Earnings!B272*1.5,
IF(Final_Payroll!B272="HR",Earnings!B272*1.2,
Earnings!B272*1.3))))</f>
        <v>4844467.04</v>
      </c>
      <c r="C272">
        <f>Earnings!B272 + Deductions!B272 + Deductions!C272 + Overtime!D272</f>
        <v>2424033.52</v>
      </c>
      <c r="D272">
        <f t="shared" si="8"/>
        <v>2420433.52</v>
      </c>
      <c r="E272">
        <f t="shared" si="9"/>
        <v>1.9985148720220667</v>
      </c>
    </row>
    <row r="273" spans="1:5" x14ac:dyDescent="0.35">
      <c r="A273" t="s">
        <v>303</v>
      </c>
      <c r="B273">
        <f>IF(Final_Payroll!B273="Sales",Earnings!B273*3,
IF(Final_Payroll!B273="IT",Earnings!B273*2,
IF(Final_Payroll!B273="Finance",Earnings!B273*1.5,
IF(Final_Payroll!B273="HR",Earnings!B273*1.2,
Earnings!B273*1.3))))</f>
        <v>3901474.8000000003</v>
      </c>
      <c r="C273">
        <f>Earnings!B273 + Deductions!B273 + Deductions!C273 + Overtime!D273</f>
        <v>1302291.6000000001</v>
      </c>
      <c r="D273">
        <f t="shared" si="8"/>
        <v>2599183.2000000002</v>
      </c>
      <c r="E273">
        <f t="shared" si="9"/>
        <v>2.9958534632335798</v>
      </c>
    </row>
    <row r="274" spans="1:5" x14ac:dyDescent="0.35">
      <c r="A274" t="s">
        <v>304</v>
      </c>
      <c r="B274">
        <f>IF(Final_Payroll!B274="Sales",Earnings!B274*3,
IF(Final_Payroll!B274="IT",Earnings!B274*2,
IF(Final_Payroll!B274="Finance",Earnings!B274*1.5,
IF(Final_Payroll!B274="HR",Earnings!B274*1.2,
Earnings!B274*1.3))))</f>
        <v>2498112</v>
      </c>
      <c r="C274">
        <f>Earnings!B274 + Deductions!B274 + Deductions!C274 + Overtime!D274</f>
        <v>1400742.72</v>
      </c>
      <c r="D274">
        <f t="shared" si="8"/>
        <v>1097369.28</v>
      </c>
      <c r="E274">
        <f t="shared" si="9"/>
        <v>1.7834195847185985</v>
      </c>
    </row>
    <row r="275" spans="1:5" x14ac:dyDescent="0.35">
      <c r="A275" t="s">
        <v>305</v>
      </c>
      <c r="B275">
        <f>IF(Final_Payroll!B275="Sales",Earnings!B275*3,
IF(Final_Payroll!B275="IT",Earnings!B275*2,
IF(Final_Payroll!B275="Finance",Earnings!B275*1.5,
IF(Final_Payroll!B275="HR",Earnings!B275*1.2,
Earnings!B275*1.3))))</f>
        <v>1127948.9000000001</v>
      </c>
      <c r="C275">
        <f>Earnings!B275 + Deductions!B275 + Deductions!C275 + Overtime!D275</f>
        <v>869453</v>
      </c>
      <c r="D275">
        <f t="shared" si="8"/>
        <v>258495.90000000014</v>
      </c>
      <c r="E275">
        <f t="shared" si="9"/>
        <v>1.2973086526816286</v>
      </c>
    </row>
    <row r="276" spans="1:5" x14ac:dyDescent="0.35">
      <c r="A276" t="s">
        <v>306</v>
      </c>
      <c r="B276">
        <f>IF(Final_Payroll!B276="Sales",Earnings!B276*3,
IF(Final_Payroll!B276="IT",Earnings!B276*2,
IF(Final_Payroll!B276="Finance",Earnings!B276*1.5,
IF(Final_Payroll!B276="HR",Earnings!B276*1.2,
Earnings!B276*1.3))))</f>
        <v>2066098.56</v>
      </c>
      <c r="C276">
        <f>Earnings!B276 + Deductions!B276 + Deductions!C276 + Overtime!D276</f>
        <v>1113877.5495375001</v>
      </c>
      <c r="D276">
        <f t="shared" si="8"/>
        <v>952221.01046249992</v>
      </c>
      <c r="E276">
        <f t="shared" si="9"/>
        <v>1.8548704575811563</v>
      </c>
    </row>
    <row r="277" spans="1:5" x14ac:dyDescent="0.35">
      <c r="A277" t="s">
        <v>307</v>
      </c>
      <c r="B277">
        <f>IF(Final_Payroll!B277="Sales",Earnings!B277*3,
IF(Final_Payroll!B277="IT",Earnings!B277*2,
IF(Final_Payroll!B277="Finance",Earnings!B277*1.5,
IF(Final_Payroll!B277="HR",Earnings!B277*1.2,
Earnings!B277*1.3))))</f>
        <v>2015745</v>
      </c>
      <c r="C277">
        <f>Earnings!B277 + Deductions!B277 + Deductions!C277 + Overtime!D277</f>
        <v>673715</v>
      </c>
      <c r="D277">
        <f t="shared" si="8"/>
        <v>1342030</v>
      </c>
      <c r="E277">
        <f t="shared" si="9"/>
        <v>2.9919847413223692</v>
      </c>
    </row>
    <row r="278" spans="1:5" x14ac:dyDescent="0.35">
      <c r="A278" t="s">
        <v>308</v>
      </c>
      <c r="B278">
        <f>IF(Final_Payroll!B278="Sales",Earnings!B278*3,
IF(Final_Payroll!B278="IT",Earnings!B278*2,
IF(Final_Payroll!B278="Finance",Earnings!B278*1.5,
IF(Final_Payroll!B278="HR",Earnings!B278*1.2,
Earnings!B278*1.3))))</f>
        <v>1557758.7</v>
      </c>
      <c r="C278">
        <f>Earnings!B278 + Deductions!B278 + Deductions!C278 + Overtime!D278</f>
        <v>780679.35</v>
      </c>
      <c r="D278">
        <f t="shared" si="8"/>
        <v>777079.35</v>
      </c>
      <c r="E278">
        <f t="shared" si="9"/>
        <v>1.9953886317090366</v>
      </c>
    </row>
    <row r="279" spans="1:5" x14ac:dyDescent="0.35">
      <c r="A279" t="s">
        <v>309</v>
      </c>
      <c r="B279">
        <f>IF(Final_Payroll!B279="Sales",Earnings!B279*3,
IF(Final_Payroll!B279="IT",Earnings!B279*2,
IF(Final_Payroll!B279="Finance",Earnings!B279*1.5,
IF(Final_Payroll!B279="HR",Earnings!B279*1.2,
Earnings!B279*1.3))))</f>
        <v>1863210</v>
      </c>
      <c r="C279">
        <f>Earnings!B279 + Deductions!B279 + Deductions!C279 + Overtime!D279</f>
        <v>1054513.6499999999</v>
      </c>
      <c r="D279">
        <f t="shared" si="8"/>
        <v>808696.35000000009</v>
      </c>
      <c r="E279">
        <f t="shared" si="9"/>
        <v>1.7668903574647898</v>
      </c>
    </row>
    <row r="280" spans="1:5" x14ac:dyDescent="0.35">
      <c r="A280" t="s">
        <v>310</v>
      </c>
      <c r="B280">
        <f>IF(Final_Payroll!B280="Sales",Earnings!B280*3,
IF(Final_Payroll!B280="IT",Earnings!B280*2,
IF(Final_Payroll!B280="Finance",Earnings!B280*1.5,
IF(Final_Payroll!B280="HR",Earnings!B280*1.2,
Earnings!B280*1.3))))</f>
        <v>4805695.6500000004</v>
      </c>
      <c r="C280">
        <f>Earnings!B280 + Deductions!B280 + Deductions!C280 + Overtime!D280</f>
        <v>1603698.55</v>
      </c>
      <c r="D280">
        <f t="shared" si="8"/>
        <v>3201997.1000000006</v>
      </c>
      <c r="E280">
        <f t="shared" si="9"/>
        <v>2.9966327836363016</v>
      </c>
    </row>
    <row r="281" spans="1:5" x14ac:dyDescent="0.35">
      <c r="A281" t="s">
        <v>311</v>
      </c>
      <c r="B281">
        <f>IF(Final_Payroll!B281="Sales",Earnings!B281*3,
IF(Final_Payroll!B281="IT",Earnings!B281*2,
IF(Final_Payroll!B281="Finance",Earnings!B281*1.5,
IF(Final_Payroll!B281="HR",Earnings!B281*1.2,
Earnings!B281*1.3))))</f>
        <v>1725711.12</v>
      </c>
      <c r="C281">
        <f>Earnings!B281 + Deductions!B281 + Deductions!C281 + Overtime!D281</f>
        <v>1439892.6</v>
      </c>
      <c r="D281">
        <f t="shared" si="8"/>
        <v>285818.52</v>
      </c>
      <c r="E281">
        <f t="shared" si="9"/>
        <v>1.1984998881166553</v>
      </c>
    </row>
    <row r="282" spans="1:5" x14ac:dyDescent="0.35">
      <c r="A282" t="s">
        <v>312</v>
      </c>
      <c r="B282">
        <f>IF(Final_Payroll!B282="Sales",Earnings!B282*3,
IF(Final_Payroll!B282="IT",Earnings!B282*2,
IF(Final_Payroll!B282="Finance",Earnings!B282*1.5,
IF(Final_Payroll!B282="HR",Earnings!B282*1.2,
Earnings!B282*1.3))))</f>
        <v>931044.96000000008</v>
      </c>
      <c r="C282">
        <f>Earnings!B282 + Deductions!B282 + Deductions!C282 + Overtime!D282</f>
        <v>777670.8</v>
      </c>
      <c r="D282">
        <f t="shared" si="8"/>
        <v>153374.16000000003</v>
      </c>
      <c r="E282">
        <f t="shared" si="9"/>
        <v>1.1972224751141485</v>
      </c>
    </row>
    <row r="283" spans="1:5" x14ac:dyDescent="0.35">
      <c r="A283" t="s">
        <v>313</v>
      </c>
      <c r="B283">
        <f>IF(Final_Payroll!B283="Sales",Earnings!B283*3,
IF(Final_Payroll!B283="IT",Earnings!B283*2,
IF(Final_Payroll!B283="Finance",Earnings!B283*1.5,
IF(Final_Payroll!B283="HR",Earnings!B283*1.2,
Earnings!B283*1.3))))</f>
        <v>2974081.4</v>
      </c>
      <c r="C283">
        <f>Earnings!B283 + Deductions!B283 + Deductions!C283 + Overtime!D283</f>
        <v>1488840.7</v>
      </c>
      <c r="D283">
        <f t="shared" si="8"/>
        <v>1485240.7</v>
      </c>
      <c r="E283">
        <f t="shared" si="9"/>
        <v>1.9975820112924103</v>
      </c>
    </row>
    <row r="284" spans="1:5" x14ac:dyDescent="0.35">
      <c r="A284" t="s">
        <v>314</v>
      </c>
      <c r="B284">
        <f>IF(Final_Payroll!B284="Sales",Earnings!B284*3,
IF(Final_Payroll!B284="IT",Earnings!B284*2,
IF(Final_Payroll!B284="Finance",Earnings!B284*1.5,
IF(Final_Payroll!B284="HR",Earnings!B284*1.2,
Earnings!B284*1.3))))</f>
        <v>1298984.3999999999</v>
      </c>
      <c r="C284">
        <f>Earnings!B284 + Deductions!B284 + Deductions!C284 + Overtime!D284</f>
        <v>867789.6</v>
      </c>
      <c r="D284">
        <f t="shared" si="8"/>
        <v>431194.79999999993</v>
      </c>
      <c r="E284">
        <f t="shared" si="9"/>
        <v>1.4968886467410993</v>
      </c>
    </row>
    <row r="285" spans="1:5" x14ac:dyDescent="0.35">
      <c r="A285" t="s">
        <v>315</v>
      </c>
      <c r="B285">
        <f>IF(Final_Payroll!B285="Sales",Earnings!B285*3,
IF(Final_Payroll!B285="IT",Earnings!B285*2,
IF(Final_Payroll!B285="Finance",Earnings!B285*1.5,
IF(Final_Payroll!B285="HR",Earnings!B285*1.2,
Earnings!B285*1.3))))</f>
        <v>1988690</v>
      </c>
      <c r="C285">
        <f>Earnings!B285 + Deductions!B285 + Deductions!C285 + Overtime!D285</f>
        <v>996145</v>
      </c>
      <c r="D285">
        <f t="shared" si="8"/>
        <v>992545</v>
      </c>
      <c r="E285">
        <f t="shared" si="9"/>
        <v>1.9963860682932706</v>
      </c>
    </row>
    <row r="286" spans="1:5" x14ac:dyDescent="0.35">
      <c r="A286" t="s">
        <v>316</v>
      </c>
      <c r="B286">
        <f>IF(Final_Payroll!B286="Sales",Earnings!B286*3,
IF(Final_Payroll!B286="IT",Earnings!B286*2,
IF(Final_Payroll!B286="Finance",Earnings!B286*1.5,
IF(Final_Payroll!B286="HR",Earnings!B286*1.2,
Earnings!B286*1.3))))</f>
        <v>2896496.04</v>
      </c>
      <c r="C286">
        <f>Earnings!B286 + Deductions!B286 + Deductions!C286 + Overtime!D286</f>
        <v>1450048.02</v>
      </c>
      <c r="D286">
        <f t="shared" si="8"/>
        <v>1446448.02</v>
      </c>
      <c r="E286">
        <f t="shared" si="9"/>
        <v>1.997517323598704</v>
      </c>
    </row>
    <row r="287" spans="1:5" x14ac:dyDescent="0.35">
      <c r="A287" t="s">
        <v>317</v>
      </c>
      <c r="B287">
        <f>IF(Final_Payroll!B287="Sales",Earnings!B287*3,
IF(Final_Payroll!B287="IT",Earnings!B287*2,
IF(Final_Payroll!B287="Finance",Earnings!B287*1.5,
IF(Final_Payroll!B287="HR",Earnings!B287*1.2,
Earnings!B287*1.3))))</f>
        <v>3609809.24</v>
      </c>
      <c r="C287">
        <f>Earnings!B287 + Deductions!B287 + Deductions!C287 + Overtime!D287</f>
        <v>1944779.8238125001</v>
      </c>
      <c r="D287">
        <f t="shared" si="8"/>
        <v>1665029.4161875001</v>
      </c>
      <c r="E287">
        <f t="shared" si="9"/>
        <v>1.8561531726112914</v>
      </c>
    </row>
    <row r="288" spans="1:5" x14ac:dyDescent="0.35">
      <c r="A288" t="s">
        <v>318</v>
      </c>
      <c r="B288">
        <f>IF(Final_Payroll!B288="Sales",Earnings!B288*3,
IF(Final_Payroll!B288="IT",Earnings!B288*2,
IF(Final_Payroll!B288="Finance",Earnings!B288*1.5,
IF(Final_Payroll!B288="HR",Earnings!B288*1.2,
Earnings!B288*1.3))))</f>
        <v>1560929.04</v>
      </c>
      <c r="C288">
        <f>Earnings!B288 + Deductions!B288 + Deductions!C288 + Overtime!D288</f>
        <v>843140.75294999999</v>
      </c>
      <c r="D288">
        <f t="shared" si="8"/>
        <v>717788.28705000004</v>
      </c>
      <c r="E288">
        <f t="shared" si="9"/>
        <v>1.851326761917967</v>
      </c>
    </row>
    <row r="289" spans="1:5" x14ac:dyDescent="0.35">
      <c r="A289" t="s">
        <v>319</v>
      </c>
      <c r="B289">
        <f>IF(Final_Payroll!B289="Sales",Earnings!B289*3,
IF(Final_Payroll!B289="IT",Earnings!B289*2,
IF(Final_Payroll!B289="Finance",Earnings!B289*1.5,
IF(Final_Payroll!B289="HR",Earnings!B289*1.2,
Earnings!B289*1.3))))</f>
        <v>836681.04</v>
      </c>
      <c r="C289">
        <f>Earnings!B289 + Deductions!B289 + Deductions!C289 + Overtime!D289</f>
        <v>753525.73440000007</v>
      </c>
      <c r="D289">
        <f t="shared" si="8"/>
        <v>83155.305599999963</v>
      </c>
      <c r="E289">
        <f t="shared" si="9"/>
        <v>1.1103549644077026</v>
      </c>
    </row>
    <row r="290" spans="1:5" x14ac:dyDescent="0.35">
      <c r="A290" t="s">
        <v>320</v>
      </c>
      <c r="B290">
        <f>IF(Final_Payroll!B290="Sales",Earnings!B290*3,
IF(Final_Payroll!B290="IT",Earnings!B290*2,
IF(Final_Payroll!B290="Finance",Earnings!B290*1.5,
IF(Final_Payroll!B290="HR",Earnings!B290*1.2,
Earnings!B290*1.3))))</f>
        <v>1518466.32</v>
      </c>
      <c r="C290">
        <f>Earnings!B290 + Deductions!B290 + Deductions!C290 + Overtime!D290</f>
        <v>1267188.6000000001</v>
      </c>
      <c r="D290">
        <f t="shared" si="8"/>
        <v>251277.71999999997</v>
      </c>
      <c r="E290">
        <f t="shared" si="9"/>
        <v>1.198295439210864</v>
      </c>
    </row>
    <row r="291" spans="1:5" x14ac:dyDescent="0.35">
      <c r="A291" t="s">
        <v>321</v>
      </c>
      <c r="B291">
        <f>IF(Final_Payroll!B291="Sales",Earnings!B291*3,
IF(Final_Payroll!B291="IT",Earnings!B291*2,
IF(Final_Payroll!B291="Finance",Earnings!B291*1.5,
IF(Final_Payroll!B291="HR",Earnings!B291*1.2,
Earnings!B291*1.3))))</f>
        <v>1261561.5</v>
      </c>
      <c r="C291">
        <f>Earnings!B291 + Deductions!B291 + Deductions!C291 + Overtime!D291</f>
        <v>842841</v>
      </c>
      <c r="D291">
        <f t="shared" si="8"/>
        <v>418720.5</v>
      </c>
      <c r="E291">
        <f t="shared" si="9"/>
        <v>1.496796548815257</v>
      </c>
    </row>
    <row r="292" spans="1:5" x14ac:dyDescent="0.35">
      <c r="A292" t="s">
        <v>322</v>
      </c>
      <c r="B292">
        <f>IF(Final_Payroll!B292="Sales",Earnings!B292*3,
IF(Final_Payroll!B292="IT",Earnings!B292*2,
IF(Final_Payroll!B292="Finance",Earnings!B292*1.5,
IF(Final_Payroll!B292="HR",Earnings!B292*1.2,
Earnings!B292*1.3))))</f>
        <v>4005217</v>
      </c>
      <c r="C292">
        <f>Earnings!B292 + Deductions!B292 + Deductions!C292 + Overtime!D292</f>
        <v>2004408.5</v>
      </c>
      <c r="D292">
        <f t="shared" si="8"/>
        <v>2000808.5</v>
      </c>
      <c r="E292">
        <f t="shared" si="9"/>
        <v>1.9982039589235427</v>
      </c>
    </row>
    <row r="293" spans="1:5" x14ac:dyDescent="0.35">
      <c r="A293" t="s">
        <v>323</v>
      </c>
      <c r="B293">
        <f>IF(Final_Payroll!B293="Sales",Earnings!B293*3,
IF(Final_Payroll!B293="IT",Earnings!B293*2,
IF(Final_Payroll!B293="Finance",Earnings!B293*1.5,
IF(Final_Payroll!B293="HR",Earnings!B293*1.2,
Earnings!B293*1.3))))</f>
        <v>2986718.4</v>
      </c>
      <c r="C293">
        <f>Earnings!B293 + Deductions!B293 + Deductions!C293 + Overtime!D293</f>
        <v>1495159.2</v>
      </c>
      <c r="D293">
        <f t="shared" si="8"/>
        <v>1491559.2</v>
      </c>
      <c r="E293">
        <f t="shared" si="9"/>
        <v>1.9975922296435056</v>
      </c>
    </row>
    <row r="294" spans="1:5" x14ac:dyDescent="0.35">
      <c r="A294" t="s">
        <v>324</v>
      </c>
      <c r="B294">
        <f>IF(Final_Payroll!B294="Sales",Earnings!B294*3,
IF(Final_Payroll!B294="IT",Earnings!B294*2,
IF(Final_Payroll!B294="Finance",Earnings!B294*1.5,
IF(Final_Payroll!B294="HR",Earnings!B294*1.2,
Earnings!B294*1.3))))</f>
        <v>956843.03999999992</v>
      </c>
      <c r="C294">
        <f>Earnings!B294 + Deductions!B294 + Deductions!C294 + Overtime!D294</f>
        <v>799169.2</v>
      </c>
      <c r="D294">
        <f t="shared" si="8"/>
        <v>157673.83999999997</v>
      </c>
      <c r="E294">
        <f t="shared" si="9"/>
        <v>1.1972971931350707</v>
      </c>
    </row>
    <row r="295" spans="1:5" x14ac:dyDescent="0.35">
      <c r="A295" t="s">
        <v>325</v>
      </c>
      <c r="B295">
        <f>IF(Final_Payroll!B295="Sales",Earnings!B295*3,
IF(Final_Payroll!B295="IT",Earnings!B295*2,
IF(Final_Payroll!B295="Finance",Earnings!B295*1.5,
IF(Final_Payroll!B295="HR",Earnings!B295*1.2,
Earnings!B295*1.3))))</f>
        <v>1606565.172</v>
      </c>
      <c r="C295">
        <f>Earnings!B295 + Deductions!B295 + Deductions!C295 + Overtime!D295</f>
        <v>1522681.6982</v>
      </c>
      <c r="D295">
        <f t="shared" si="8"/>
        <v>83883.473800000036</v>
      </c>
      <c r="E295">
        <f t="shared" si="9"/>
        <v>1.0550893032333422</v>
      </c>
    </row>
    <row r="296" spans="1:5" x14ac:dyDescent="0.35">
      <c r="A296" t="s">
        <v>326</v>
      </c>
      <c r="B296">
        <f>IF(Final_Payroll!B296="Sales",Earnings!B296*3,
IF(Final_Payroll!B296="IT",Earnings!B296*2,
IF(Final_Payroll!B296="Finance",Earnings!B296*1.5,
IF(Final_Payroll!B296="HR",Earnings!B296*1.2,
Earnings!B296*1.3))))</f>
        <v>3111805.2</v>
      </c>
      <c r="C296">
        <f>Earnings!B296 + Deductions!B296 + Deductions!C296 + Overtime!D296</f>
        <v>1557702.6</v>
      </c>
      <c r="D296">
        <f t="shared" si="8"/>
        <v>1554102.6</v>
      </c>
      <c r="E296">
        <f t="shared" si="9"/>
        <v>1.9976889041592407</v>
      </c>
    </row>
    <row r="297" spans="1:5" x14ac:dyDescent="0.35">
      <c r="A297" t="s">
        <v>327</v>
      </c>
      <c r="B297">
        <f>IF(Final_Payroll!B297="Sales",Earnings!B297*3,
IF(Final_Payroll!B297="IT",Earnings!B297*2,
IF(Final_Payroll!B297="Finance",Earnings!B297*1.5,
IF(Final_Payroll!B297="HR",Earnings!B297*1.2,
Earnings!B297*1.3))))</f>
        <v>1401339.2999999998</v>
      </c>
      <c r="C297">
        <f>Earnings!B297 + Deductions!B297 + Deductions!C297 + Overtime!D297</f>
        <v>936026.2</v>
      </c>
      <c r="D297">
        <f t="shared" si="8"/>
        <v>465313.09999999986</v>
      </c>
      <c r="E297">
        <f t="shared" si="9"/>
        <v>1.4971154653577003</v>
      </c>
    </row>
    <row r="298" spans="1:5" x14ac:dyDescent="0.35">
      <c r="A298" t="s">
        <v>328</v>
      </c>
      <c r="B298">
        <f>IF(Final_Payroll!B298="Sales",Earnings!B298*3,
IF(Final_Payroll!B298="IT",Earnings!B298*2,
IF(Final_Payroll!B298="Finance",Earnings!B298*1.5,
IF(Final_Payroll!B298="HR",Earnings!B298*1.2,
Earnings!B298*1.3))))</f>
        <v>1415574.36</v>
      </c>
      <c r="C298">
        <f>Earnings!B298 + Deductions!B298 + Deductions!C298 + Overtime!D298</f>
        <v>1462200.8814000001</v>
      </c>
      <c r="D298">
        <f t="shared" si="8"/>
        <v>-46626.521399999969</v>
      </c>
      <c r="E298">
        <f t="shared" si="9"/>
        <v>0.9681120959554087</v>
      </c>
    </row>
    <row r="299" spans="1:5" x14ac:dyDescent="0.35">
      <c r="A299" t="s">
        <v>329</v>
      </c>
      <c r="B299">
        <f>IF(Final_Payroll!B299="Sales",Earnings!B299*3,
IF(Final_Payroll!B299="IT",Earnings!B299*2,
IF(Final_Payroll!B299="Finance",Earnings!B299*1.5,
IF(Final_Payroll!B299="HR",Earnings!B299*1.2,
Earnings!B299*1.3))))</f>
        <v>1085439.4070000001</v>
      </c>
      <c r="C299">
        <f>Earnings!B299 + Deductions!B299 + Deductions!C299 + Overtime!D299</f>
        <v>836753.39</v>
      </c>
      <c r="D299">
        <f t="shared" si="8"/>
        <v>248686.01700000011</v>
      </c>
      <c r="E299">
        <f t="shared" si="9"/>
        <v>1.2972034771200629</v>
      </c>
    </row>
    <row r="300" spans="1:5" x14ac:dyDescent="0.35">
      <c r="A300" t="s">
        <v>330</v>
      </c>
      <c r="B300">
        <f>IF(Final_Payroll!B300="Sales",Earnings!B300*3,
IF(Final_Payroll!B300="IT",Earnings!B300*2,
IF(Final_Payroll!B300="Finance",Earnings!B300*1.5,
IF(Final_Payroll!B300="HR",Earnings!B300*1.2,
Earnings!B300*1.3))))</f>
        <v>1448634.72</v>
      </c>
      <c r="C300">
        <f>Earnings!B300 + Deductions!B300 + Deductions!C300 + Overtime!D300</f>
        <v>1243168.5215999999</v>
      </c>
      <c r="D300">
        <f t="shared" si="8"/>
        <v>205466.19840000011</v>
      </c>
      <c r="E300">
        <f t="shared" si="9"/>
        <v>1.1652762234805931</v>
      </c>
    </row>
    <row r="301" spans="1:5" x14ac:dyDescent="0.35">
      <c r="A301" t="s">
        <v>331</v>
      </c>
      <c r="B301">
        <f>IF(Final_Payroll!B301="Sales",Earnings!B301*3,
IF(Final_Payroll!B301="IT",Earnings!B301*2,
IF(Final_Payroll!B301="Finance",Earnings!B301*1.5,
IF(Final_Payroll!B301="HR",Earnings!B301*1.2,
Earnings!B301*1.3))))</f>
        <v>2241846</v>
      </c>
      <c r="C301">
        <f>Earnings!B301 + Deductions!B301 + Deductions!C301 + Overtime!D301</f>
        <v>1496364</v>
      </c>
      <c r="D301">
        <f t="shared" si="8"/>
        <v>745482</v>
      </c>
      <c r="E301">
        <f t="shared" si="9"/>
        <v>1.4981956261979037</v>
      </c>
    </row>
    <row r="302" spans="1:5" x14ac:dyDescent="0.35">
      <c r="A302" t="s">
        <v>332</v>
      </c>
      <c r="B302">
        <f>IF(Final_Payroll!B302="Sales",Earnings!B302*3,
IF(Final_Payroll!B302="IT",Earnings!B302*2,
IF(Final_Payroll!B302="Finance",Earnings!B302*1.5,
IF(Final_Payroll!B302="HR",Earnings!B302*1.2,
Earnings!B302*1.3))))</f>
        <v>1361899.2400000002</v>
      </c>
      <c r="C302">
        <f>Earnings!B302 + Deductions!B302 + Deductions!C302 + Overtime!D302</f>
        <v>1049414.8</v>
      </c>
      <c r="D302">
        <f t="shared" si="8"/>
        <v>312484.44000000018</v>
      </c>
      <c r="E302">
        <f t="shared" si="9"/>
        <v>1.2977701858216599</v>
      </c>
    </row>
    <row r="303" spans="1:5" x14ac:dyDescent="0.35">
      <c r="A303" t="s">
        <v>333</v>
      </c>
      <c r="B303">
        <f>IF(Final_Payroll!B303="Sales",Earnings!B303*3,
IF(Final_Payroll!B303="IT",Earnings!B303*2,
IF(Final_Payroll!B303="Finance",Earnings!B303*1.5,
IF(Final_Payroll!B303="HR",Earnings!B303*1.2,
Earnings!B303*1.3))))</f>
        <v>5676850.8000000007</v>
      </c>
      <c r="C303">
        <f>Earnings!B303 + Deductions!B303 + Deductions!C303 + Overtime!D303</f>
        <v>2071012.1166000001</v>
      </c>
      <c r="D303">
        <f t="shared" si="8"/>
        <v>3605838.6834000004</v>
      </c>
      <c r="E303">
        <f t="shared" si="9"/>
        <v>2.7410997523856788</v>
      </c>
    </row>
    <row r="304" spans="1:5" x14ac:dyDescent="0.35">
      <c r="A304" t="s">
        <v>334</v>
      </c>
      <c r="B304">
        <f>IF(Final_Payroll!B304="Sales",Earnings!B304*3,
IF(Final_Payroll!B304="IT",Earnings!B304*2,
IF(Final_Payroll!B304="Finance",Earnings!B304*1.5,
IF(Final_Payroll!B304="HR",Earnings!B304*1.2,
Earnings!B304*1.3))))</f>
        <v>1250803.7250000001</v>
      </c>
      <c r="C304">
        <f>Earnings!B304 + Deductions!B304 + Deductions!C304 + Overtime!D304</f>
        <v>835669.15</v>
      </c>
      <c r="D304">
        <f t="shared" si="8"/>
        <v>415134.57500000007</v>
      </c>
      <c r="E304">
        <f t="shared" si="9"/>
        <v>1.4967690562706546</v>
      </c>
    </row>
    <row r="305" spans="1:5" x14ac:dyDescent="0.35">
      <c r="A305" t="s">
        <v>335</v>
      </c>
      <c r="B305">
        <f>IF(Final_Payroll!B305="Sales",Earnings!B305*3,
IF(Final_Payroll!B305="IT",Earnings!B305*2,
IF(Final_Payroll!B305="Finance",Earnings!B305*1.5,
IF(Final_Payroll!B305="HR",Earnings!B305*1.2,
Earnings!B305*1.3))))</f>
        <v>2595720.7200000002</v>
      </c>
      <c r="C305">
        <f>Earnings!B305 + Deductions!B305 + Deductions!C305 + Overtime!D305</f>
        <v>1385319.1431</v>
      </c>
      <c r="D305">
        <f t="shared" si="8"/>
        <v>1210401.5769000002</v>
      </c>
      <c r="E305">
        <f t="shared" si="9"/>
        <v>1.8737348234367297</v>
      </c>
    </row>
    <row r="306" spans="1:5" x14ac:dyDescent="0.35">
      <c r="A306" t="s">
        <v>336</v>
      </c>
      <c r="B306">
        <f>IF(Final_Payroll!B306="Sales",Earnings!B306*3,
IF(Final_Payroll!B306="IT",Earnings!B306*2,
IF(Final_Payroll!B306="Finance",Earnings!B306*1.5,
IF(Final_Payroll!B306="HR",Earnings!B306*1.2,
Earnings!B306*1.3))))</f>
        <v>752541.36</v>
      </c>
      <c r="C306">
        <f>Earnings!B306 + Deductions!B306 + Deductions!C306 + Overtime!D306</f>
        <v>628917.80000000005</v>
      </c>
      <c r="D306">
        <f t="shared" si="8"/>
        <v>123623.55999999994</v>
      </c>
      <c r="E306">
        <f t="shared" si="9"/>
        <v>1.1965655289133172</v>
      </c>
    </row>
    <row r="307" spans="1:5" x14ac:dyDescent="0.35">
      <c r="A307" t="s">
        <v>337</v>
      </c>
      <c r="B307">
        <f>IF(Final_Payroll!B307="Sales",Earnings!B307*3,
IF(Final_Payroll!B307="IT",Earnings!B307*2,
IF(Final_Payroll!B307="Finance",Earnings!B307*1.5,
IF(Final_Payroll!B307="HR",Earnings!B307*1.2,
Earnings!B307*1.3))))</f>
        <v>1888558.2000000002</v>
      </c>
      <c r="C307">
        <f>Earnings!B307 + Deductions!B307 + Deductions!C307 + Overtime!D307</f>
        <v>1260838.8</v>
      </c>
      <c r="D307">
        <f t="shared" si="8"/>
        <v>627719.40000000014</v>
      </c>
      <c r="E307">
        <f t="shared" si="9"/>
        <v>1.4978585684387251</v>
      </c>
    </row>
    <row r="308" spans="1:5" x14ac:dyDescent="0.35">
      <c r="A308" t="s">
        <v>338</v>
      </c>
      <c r="B308">
        <f>IF(Final_Payroll!B308="Sales",Earnings!B308*3,
IF(Final_Payroll!B308="IT",Earnings!B308*2,
IF(Final_Payroll!B308="Finance",Earnings!B308*1.5,
IF(Final_Payroll!B308="HR",Earnings!B308*1.2,
Earnings!B308*1.3))))</f>
        <v>797378.4</v>
      </c>
      <c r="C308">
        <f>Earnings!B308 + Deductions!B308 + Deductions!C308 + Overtime!D308</f>
        <v>666282</v>
      </c>
      <c r="D308">
        <f t="shared" si="8"/>
        <v>131096.40000000002</v>
      </c>
      <c r="E308">
        <f t="shared" si="9"/>
        <v>1.1967581294406873</v>
      </c>
    </row>
    <row r="309" spans="1:5" x14ac:dyDescent="0.35">
      <c r="A309" t="s">
        <v>339</v>
      </c>
      <c r="B309">
        <f>IF(Final_Payroll!B309="Sales",Earnings!B309*3,
IF(Final_Payroll!B309="IT",Earnings!B309*2,
IF(Final_Payroll!B309="Finance",Earnings!B309*1.5,
IF(Final_Payroll!B309="HR",Earnings!B309*1.2,
Earnings!B309*1.3))))</f>
        <v>1611790.3489999999</v>
      </c>
      <c r="C309">
        <f>Earnings!B309 + Deductions!B309 + Deductions!C309 + Overtime!D309</f>
        <v>1241638.73</v>
      </c>
      <c r="D309">
        <f t="shared" si="8"/>
        <v>370151.61899999995</v>
      </c>
      <c r="E309">
        <f t="shared" si="9"/>
        <v>1.2981153938392369</v>
      </c>
    </row>
    <row r="310" spans="1:5" x14ac:dyDescent="0.35">
      <c r="A310" t="s">
        <v>340</v>
      </c>
      <c r="B310">
        <f>IF(Final_Payroll!B310="Sales",Earnings!B310*3,
IF(Final_Payroll!B310="IT",Earnings!B310*2,
IF(Final_Payroll!B310="Finance",Earnings!B310*1.5,
IF(Final_Payroll!B310="HR",Earnings!B310*1.2,
Earnings!B310*1.3))))</f>
        <v>1459968.132</v>
      </c>
      <c r="C310">
        <f>Earnings!B310 + Deductions!B310 + Deductions!C310 + Overtime!D310</f>
        <v>1218440.1100000001</v>
      </c>
      <c r="D310">
        <f t="shared" si="8"/>
        <v>241528.02199999988</v>
      </c>
      <c r="E310">
        <f t="shared" si="9"/>
        <v>1.1982272415506741</v>
      </c>
    </row>
    <row r="311" spans="1:5" x14ac:dyDescent="0.35">
      <c r="A311" t="s">
        <v>341</v>
      </c>
      <c r="B311">
        <f>IF(Final_Payroll!B311="Sales",Earnings!B311*3,
IF(Final_Payroll!B311="IT",Earnings!B311*2,
IF(Final_Payroll!B311="Finance",Earnings!B311*1.5,
IF(Final_Payroll!B311="HR",Earnings!B311*1.2,
Earnings!B311*1.3))))</f>
        <v>1917929.16</v>
      </c>
      <c r="C311">
        <f>Earnings!B311 + Deductions!B311 + Deductions!C311 + Overtime!D311</f>
        <v>1133378.2034999998</v>
      </c>
      <c r="D311">
        <f t="shared" si="8"/>
        <v>784550.95650000009</v>
      </c>
      <c r="E311">
        <f t="shared" si="9"/>
        <v>1.6922234379285028</v>
      </c>
    </row>
    <row r="312" spans="1:5" x14ac:dyDescent="0.35">
      <c r="A312" t="s">
        <v>342</v>
      </c>
      <c r="B312">
        <f>IF(Final_Payroll!B312="Sales",Earnings!B312*3,
IF(Final_Payroll!B312="IT",Earnings!B312*2,
IF(Final_Payroll!B312="Finance",Earnings!B312*1.5,
IF(Final_Payroll!B312="HR",Earnings!B312*1.2,
Earnings!B312*1.3))))</f>
        <v>3068387.14</v>
      </c>
      <c r="C312">
        <f>Earnings!B312 + Deductions!B312 + Deductions!C312 + Overtime!D312</f>
        <v>1535993.57</v>
      </c>
      <c r="D312">
        <f t="shared" si="8"/>
        <v>1532393.57</v>
      </c>
      <c r="E312">
        <f t="shared" si="9"/>
        <v>1.9976562401885576</v>
      </c>
    </row>
    <row r="313" spans="1:5" x14ac:dyDescent="0.35">
      <c r="A313" t="s">
        <v>343</v>
      </c>
      <c r="B313">
        <f>IF(Final_Payroll!B313="Sales",Earnings!B313*3,
IF(Final_Payroll!B313="IT",Earnings!B313*2,
IF(Final_Payroll!B313="Finance",Earnings!B313*1.5,
IF(Final_Payroll!B313="HR",Earnings!B313*1.2,
Earnings!B313*1.3))))</f>
        <v>882602.13600000006</v>
      </c>
      <c r="C313">
        <f>Earnings!B313 + Deductions!B313 + Deductions!C313 + Overtime!D313</f>
        <v>785844.89715000009</v>
      </c>
      <c r="D313">
        <f t="shared" si="8"/>
        <v>96757.238849999965</v>
      </c>
      <c r="E313">
        <f t="shared" si="9"/>
        <v>1.1231251092943486</v>
      </c>
    </row>
    <row r="314" spans="1:5" x14ac:dyDescent="0.35">
      <c r="A314" t="s">
        <v>344</v>
      </c>
      <c r="B314">
        <f>IF(Final_Payroll!B314="Sales",Earnings!B314*3,
IF(Final_Payroll!B314="IT",Earnings!B314*2,
IF(Final_Payroll!B314="Finance",Earnings!B314*1.5,
IF(Final_Payroll!B314="HR",Earnings!B314*1.2,
Earnings!B314*1.3))))</f>
        <v>2181327.6800000002</v>
      </c>
      <c r="C314">
        <f>Earnings!B314 + Deductions!B314 + Deductions!C314 + Overtime!D314</f>
        <v>1092463.8400000001</v>
      </c>
      <c r="D314">
        <f t="shared" si="8"/>
        <v>1088863.8400000001</v>
      </c>
      <c r="E314">
        <f t="shared" si="9"/>
        <v>1.9967046964227209</v>
      </c>
    </row>
    <row r="315" spans="1:5" x14ac:dyDescent="0.35">
      <c r="A315" t="s">
        <v>345</v>
      </c>
      <c r="B315">
        <f>IF(Final_Payroll!B315="Sales",Earnings!B315*3,
IF(Final_Payroll!B315="IT",Earnings!B315*2,
IF(Final_Payroll!B315="Finance",Earnings!B315*1.5,
IF(Final_Payroll!B315="HR",Earnings!B315*1.2,
Earnings!B315*1.3))))</f>
        <v>2794657.18</v>
      </c>
      <c r="C315">
        <f>Earnings!B315 + Deductions!B315 + Deductions!C315 + Overtime!D315</f>
        <v>1399128.59</v>
      </c>
      <c r="D315">
        <f t="shared" si="8"/>
        <v>1395528.59</v>
      </c>
      <c r="E315">
        <f t="shared" si="9"/>
        <v>1.9974269698827325</v>
      </c>
    </row>
    <row r="316" spans="1:5" x14ac:dyDescent="0.35">
      <c r="A316" t="s">
        <v>346</v>
      </c>
      <c r="B316">
        <f>IF(Final_Payroll!B316="Sales",Earnings!B316*3,
IF(Final_Payroll!B316="IT",Earnings!B316*2,
IF(Final_Payroll!B316="Finance",Earnings!B316*1.5,
IF(Final_Payroll!B316="HR",Earnings!B316*1.2,
Earnings!B316*1.3))))</f>
        <v>1718924.4000000001</v>
      </c>
      <c r="C316">
        <f>Earnings!B316 + Deductions!B316 + Deductions!C316 + Overtime!D316</f>
        <v>1313339.3172000002</v>
      </c>
      <c r="D316">
        <f t="shared" si="8"/>
        <v>405585.08279999997</v>
      </c>
      <c r="E316">
        <f t="shared" si="9"/>
        <v>1.3088197219776343</v>
      </c>
    </row>
    <row r="317" spans="1:5" x14ac:dyDescent="0.35">
      <c r="A317" t="s">
        <v>347</v>
      </c>
      <c r="B317">
        <f>IF(Final_Payroll!B317="Sales",Earnings!B317*3,
IF(Final_Payroll!B317="IT",Earnings!B317*2,
IF(Final_Payroll!B317="Finance",Earnings!B317*1.5,
IF(Final_Payroll!B317="HR",Earnings!B317*1.2,
Earnings!B317*1.3))))</f>
        <v>1305394.335</v>
      </c>
      <c r="C317">
        <f>Earnings!B317 + Deductions!B317 + Deductions!C317 + Overtime!D317</f>
        <v>872062.89</v>
      </c>
      <c r="D317">
        <f t="shared" si="8"/>
        <v>433331.44499999995</v>
      </c>
      <c r="E317">
        <f t="shared" si="9"/>
        <v>1.4969038930208347</v>
      </c>
    </row>
    <row r="318" spans="1:5" x14ac:dyDescent="0.35">
      <c r="A318" t="s">
        <v>348</v>
      </c>
      <c r="B318">
        <f>IF(Final_Payroll!B318="Sales",Earnings!B318*3,
IF(Final_Payroll!B318="IT",Earnings!B318*2,
IF(Final_Payroll!B318="Finance",Earnings!B318*1.5,
IF(Final_Payroll!B318="HR",Earnings!B318*1.2,
Earnings!B318*1.3))))</f>
        <v>1878210.9899999998</v>
      </c>
      <c r="C318">
        <f>Earnings!B318 + Deductions!B318 + Deductions!C318 + Overtime!D318</f>
        <v>1351607.6306999999</v>
      </c>
      <c r="D318">
        <f t="shared" si="8"/>
        <v>526603.35929999989</v>
      </c>
      <c r="E318">
        <f t="shared" si="9"/>
        <v>1.3896125971316624</v>
      </c>
    </row>
    <row r="319" spans="1:5" x14ac:dyDescent="0.35">
      <c r="A319" t="s">
        <v>349</v>
      </c>
      <c r="B319">
        <f>IF(Final_Payroll!B319="Sales",Earnings!B319*3,
IF(Final_Payroll!B319="IT",Earnings!B319*2,
IF(Final_Payroll!B319="Finance",Earnings!B319*1.5,
IF(Final_Payroll!B319="HR",Earnings!B319*1.2,
Earnings!B319*1.3))))</f>
        <v>1254607.848</v>
      </c>
      <c r="C319">
        <f>Earnings!B319 + Deductions!B319 + Deductions!C319 + Overtime!D319</f>
        <v>1204132.5225</v>
      </c>
      <c r="D319">
        <f t="shared" si="8"/>
        <v>50475.325500000035</v>
      </c>
      <c r="E319">
        <f t="shared" si="9"/>
        <v>1.0419184139260718</v>
      </c>
    </row>
    <row r="320" spans="1:5" x14ac:dyDescent="0.35">
      <c r="A320" t="s">
        <v>350</v>
      </c>
      <c r="B320">
        <f>IF(Final_Payroll!B320="Sales",Earnings!B320*3,
IF(Final_Payroll!B320="IT",Earnings!B320*2,
IF(Final_Payroll!B320="Finance",Earnings!B320*1.5,
IF(Final_Payroll!B320="HR",Earnings!B320*1.2,
Earnings!B320*1.3))))</f>
        <v>1914070.7999999998</v>
      </c>
      <c r="C320">
        <f>Earnings!B320 + Deductions!B320 + Deductions!C320 + Overtime!D320</f>
        <v>1596859</v>
      </c>
      <c r="D320">
        <f t="shared" si="8"/>
        <v>317211.79999999981</v>
      </c>
      <c r="E320">
        <f t="shared" si="9"/>
        <v>1.1986473445683055</v>
      </c>
    </row>
    <row r="321" spans="1:5" x14ac:dyDescent="0.35">
      <c r="A321" t="s">
        <v>351</v>
      </c>
      <c r="B321">
        <f>IF(Final_Payroll!B321="Sales",Earnings!B321*3,
IF(Final_Payroll!B321="IT",Earnings!B321*2,
IF(Final_Payroll!B321="Finance",Earnings!B321*1.5,
IF(Final_Payroll!B321="HR",Earnings!B321*1.2,
Earnings!B321*1.3))))</f>
        <v>3088961.2</v>
      </c>
      <c r="C321">
        <f>Earnings!B321 + Deductions!B321 + Deductions!C321 + Overtime!D321</f>
        <v>1638177.1957</v>
      </c>
      <c r="D321">
        <f t="shared" si="8"/>
        <v>1450784.0043000001</v>
      </c>
      <c r="E321">
        <f t="shared" si="9"/>
        <v>1.8856087168763658</v>
      </c>
    </row>
    <row r="322" spans="1:5" x14ac:dyDescent="0.35">
      <c r="A322" t="s">
        <v>352</v>
      </c>
      <c r="B322">
        <f>IF(Final_Payroll!B322="Sales",Earnings!B322*3,
IF(Final_Payroll!B322="IT",Earnings!B322*2,
IF(Final_Payroll!B322="Finance",Earnings!B322*1.5,
IF(Final_Payroll!B322="HR",Earnings!B322*1.2,
Earnings!B322*1.3))))</f>
        <v>1328999.004</v>
      </c>
      <c r="C322">
        <f>Earnings!B322 + Deductions!B322 + Deductions!C322 + Overtime!D322</f>
        <v>1288160.2867624999</v>
      </c>
      <c r="D322">
        <f t="shared" ref="D322:D385" si="10">B322-C322</f>
        <v>40838.717237500008</v>
      </c>
      <c r="E322">
        <f t="shared" ref="E322:E385" si="11">IF(C322=0,0,B322/C322)</f>
        <v>1.03170313326468</v>
      </c>
    </row>
    <row r="323" spans="1:5" x14ac:dyDescent="0.35">
      <c r="A323" t="s">
        <v>353</v>
      </c>
      <c r="B323">
        <f>IF(Final_Payroll!B323="Sales",Earnings!B323*3,
IF(Final_Payroll!B323="IT",Earnings!B323*2,
IF(Final_Payroll!B323="Finance",Earnings!B323*1.5,
IF(Final_Payroll!B323="HR",Earnings!B323*1.2,
Earnings!B323*1.3))))</f>
        <v>1142647.6499999999</v>
      </c>
      <c r="C323">
        <f>Earnings!B323 + Deductions!B323 + Deductions!C323 + Overtime!D323</f>
        <v>763565.1</v>
      </c>
      <c r="D323">
        <f t="shared" si="10"/>
        <v>379082.54999999993</v>
      </c>
      <c r="E323">
        <f t="shared" si="11"/>
        <v>1.4964639557255826</v>
      </c>
    </row>
    <row r="324" spans="1:5" x14ac:dyDescent="0.35">
      <c r="A324" t="s">
        <v>354</v>
      </c>
      <c r="B324">
        <f>IF(Final_Payroll!B324="Sales",Earnings!B324*3,
IF(Final_Payroll!B324="IT",Earnings!B324*2,
IF(Final_Payroll!B324="Finance",Earnings!B324*1.5,
IF(Final_Payroll!B324="HR",Earnings!B324*1.2,
Earnings!B324*1.3))))</f>
        <v>2403286</v>
      </c>
      <c r="C324">
        <f>Earnings!B324 + Deductions!B324 + Deductions!C324 + Overtime!D324</f>
        <v>1203443</v>
      </c>
      <c r="D324">
        <f t="shared" si="10"/>
        <v>1199843</v>
      </c>
      <c r="E324">
        <f t="shared" si="11"/>
        <v>1.9970085828743032</v>
      </c>
    </row>
    <row r="325" spans="1:5" x14ac:dyDescent="0.35">
      <c r="A325" t="s">
        <v>355</v>
      </c>
      <c r="B325">
        <f>IF(Final_Payroll!B325="Sales",Earnings!B325*3,
IF(Final_Payroll!B325="IT",Earnings!B325*2,
IF(Final_Payroll!B325="Finance",Earnings!B325*1.5,
IF(Final_Payroll!B325="HR",Earnings!B325*1.2,
Earnings!B325*1.3))))</f>
        <v>1951178.4000000001</v>
      </c>
      <c r="C325">
        <f>Earnings!B325 + Deductions!B325 + Deductions!C325 + Overtime!D325</f>
        <v>1302585.6000000001</v>
      </c>
      <c r="D325">
        <f t="shared" si="10"/>
        <v>648592.80000000005</v>
      </c>
      <c r="E325">
        <f t="shared" si="11"/>
        <v>1.4979271995636985</v>
      </c>
    </row>
    <row r="326" spans="1:5" x14ac:dyDescent="0.35">
      <c r="A326" t="s">
        <v>356</v>
      </c>
      <c r="B326">
        <f>IF(Final_Payroll!B326="Sales",Earnings!B326*3,
IF(Final_Payroll!B326="IT",Earnings!B326*2,
IF(Final_Payroll!B326="Finance",Earnings!B326*1.5,
IF(Final_Payroll!B326="HR",Earnings!B326*1.2,
Earnings!B326*1.3))))</f>
        <v>851511.6</v>
      </c>
      <c r="C326">
        <f>Earnings!B326 + Deductions!B326 + Deductions!C326 + Overtime!D326</f>
        <v>711393</v>
      </c>
      <c r="D326">
        <f t="shared" si="10"/>
        <v>140118.59999999998</v>
      </c>
      <c r="E326">
        <f t="shared" si="11"/>
        <v>1.196963703606867</v>
      </c>
    </row>
    <row r="327" spans="1:5" x14ac:dyDescent="0.35">
      <c r="A327" t="s">
        <v>357</v>
      </c>
      <c r="B327">
        <f>IF(Final_Payroll!B327="Sales",Earnings!B327*3,
IF(Final_Payroll!B327="IT",Earnings!B327*2,
IF(Final_Payroll!B327="Finance",Earnings!B327*1.5,
IF(Final_Payroll!B327="HR",Earnings!B327*1.2,
Earnings!B327*1.3))))</f>
        <v>1757888.5499999998</v>
      </c>
      <c r="C327">
        <f>Earnings!B327 + Deductions!B327 + Deductions!C327 + Overtime!D327</f>
        <v>1173725.7</v>
      </c>
      <c r="D327">
        <f t="shared" si="10"/>
        <v>584162.84999999986</v>
      </c>
      <c r="E327">
        <f t="shared" si="11"/>
        <v>1.4976996328869683</v>
      </c>
    </row>
    <row r="328" spans="1:5" x14ac:dyDescent="0.35">
      <c r="A328" t="s">
        <v>358</v>
      </c>
      <c r="B328">
        <f>IF(Final_Payroll!B328="Sales",Earnings!B328*3,
IF(Final_Payroll!B328="IT",Earnings!B328*2,
IF(Final_Payroll!B328="Finance",Earnings!B328*1.5,
IF(Final_Payroll!B328="HR",Earnings!B328*1.2,
Earnings!B328*1.3))))</f>
        <v>4628850</v>
      </c>
      <c r="C328">
        <f>Earnings!B328 + Deductions!B328 + Deductions!C328 + Overtime!D328</f>
        <v>1807051.5</v>
      </c>
      <c r="D328">
        <f t="shared" si="10"/>
        <v>2821798.5</v>
      </c>
      <c r="E328">
        <f t="shared" si="11"/>
        <v>2.5615484672130262</v>
      </c>
    </row>
    <row r="329" spans="1:5" x14ac:dyDescent="0.35">
      <c r="A329" t="s">
        <v>359</v>
      </c>
      <c r="B329">
        <f>IF(Final_Payroll!B329="Sales",Earnings!B329*3,
IF(Final_Payroll!B329="IT",Earnings!B329*2,
IF(Final_Payroll!B329="Finance",Earnings!B329*1.5,
IF(Final_Payroll!B329="HR",Earnings!B329*1.2,
Earnings!B329*1.3))))</f>
        <v>1363850.7609999999</v>
      </c>
      <c r="C329">
        <f>Earnings!B329 + Deductions!B329 + Deductions!C329 + Overtime!D329</f>
        <v>1050915.97</v>
      </c>
      <c r="D329">
        <f t="shared" si="10"/>
        <v>312934.79099999997</v>
      </c>
      <c r="E329">
        <f t="shared" si="11"/>
        <v>1.2977733709765586</v>
      </c>
    </row>
    <row r="330" spans="1:5" x14ac:dyDescent="0.35">
      <c r="A330" t="s">
        <v>360</v>
      </c>
      <c r="B330">
        <f>IF(Final_Payroll!B330="Sales",Earnings!B330*3,
IF(Final_Payroll!B330="IT",Earnings!B330*2,
IF(Final_Payroll!B330="Finance",Earnings!B330*1.5,
IF(Final_Payroll!B330="HR",Earnings!B330*1.2,
Earnings!B330*1.3))))</f>
        <v>1621959.2249999999</v>
      </c>
      <c r="C330">
        <f>Earnings!B330 + Deductions!B330 + Deductions!C330 + Overtime!D330</f>
        <v>1126358.3959999999</v>
      </c>
      <c r="D330">
        <f t="shared" si="10"/>
        <v>495600.82899999991</v>
      </c>
      <c r="E330">
        <f t="shared" si="11"/>
        <v>1.4400027830928512</v>
      </c>
    </row>
    <row r="331" spans="1:5" x14ac:dyDescent="0.35">
      <c r="A331" t="s">
        <v>361</v>
      </c>
      <c r="B331">
        <f>IF(Final_Payroll!B331="Sales",Earnings!B331*3,
IF(Final_Payroll!B331="IT",Earnings!B331*2,
IF(Final_Payroll!B331="Finance",Earnings!B331*1.5,
IF(Final_Payroll!B331="HR",Earnings!B331*1.2,
Earnings!B331*1.3))))</f>
        <v>2248801.2000000002</v>
      </c>
      <c r="C331">
        <f>Earnings!B331 + Deductions!B331 + Deductions!C331 + Overtime!D331</f>
        <v>1501000.8</v>
      </c>
      <c r="D331">
        <f t="shared" si="10"/>
        <v>747800.40000000014</v>
      </c>
      <c r="E331">
        <f t="shared" si="11"/>
        <v>1.4982012001592537</v>
      </c>
    </row>
    <row r="332" spans="1:5" x14ac:dyDescent="0.35">
      <c r="A332" t="s">
        <v>362</v>
      </c>
      <c r="B332">
        <f>IF(Final_Payroll!B332="Sales",Earnings!B332*3,
IF(Final_Payroll!B332="IT",Earnings!B332*2,
IF(Final_Payroll!B332="Finance",Earnings!B332*1.5,
IF(Final_Payroll!B332="HR",Earnings!B332*1.2,
Earnings!B332*1.3))))</f>
        <v>1955993.7600000002</v>
      </c>
      <c r="C332">
        <f>Earnings!B332 + Deductions!B332 + Deductions!C332 + Overtime!D332</f>
        <v>781589.51330000011</v>
      </c>
      <c r="D332">
        <f t="shared" si="10"/>
        <v>1174404.2467</v>
      </c>
      <c r="E332">
        <f t="shared" si="11"/>
        <v>2.5025844470986711</v>
      </c>
    </row>
    <row r="333" spans="1:5" x14ac:dyDescent="0.35">
      <c r="A333" t="s">
        <v>363</v>
      </c>
      <c r="B333">
        <f>IF(Final_Payroll!B333="Sales",Earnings!B333*3,
IF(Final_Payroll!B333="IT",Earnings!B333*2,
IF(Final_Payroll!B333="Finance",Earnings!B333*1.5,
IF(Final_Payroll!B333="HR",Earnings!B333*1.2,
Earnings!B333*1.3))))</f>
        <v>2491671.21</v>
      </c>
      <c r="C333">
        <f>Earnings!B333 + Deductions!B333 + Deductions!C333 + Overtime!D333</f>
        <v>832357.07</v>
      </c>
      <c r="D333">
        <f t="shared" si="10"/>
        <v>1659314.1400000001</v>
      </c>
      <c r="E333">
        <f t="shared" si="11"/>
        <v>2.9935123996724147</v>
      </c>
    </row>
    <row r="334" spans="1:5" x14ac:dyDescent="0.35">
      <c r="A334" t="s">
        <v>364</v>
      </c>
      <c r="B334">
        <f>IF(Final_Payroll!B334="Sales",Earnings!B334*3,
IF(Final_Payroll!B334="IT",Earnings!B334*2,
IF(Final_Payroll!B334="Finance",Earnings!B334*1.5,
IF(Final_Payroll!B334="HR",Earnings!B334*1.2,
Earnings!B334*1.3))))</f>
        <v>1260883.26</v>
      </c>
      <c r="C334">
        <f>Earnings!B334 + Deductions!B334 + Deductions!C334 + Overtime!D334</f>
        <v>971710.2</v>
      </c>
      <c r="D334">
        <f t="shared" si="10"/>
        <v>289173.06000000006</v>
      </c>
      <c r="E334">
        <f t="shared" si="11"/>
        <v>1.2975918746144686</v>
      </c>
    </row>
    <row r="335" spans="1:5" x14ac:dyDescent="0.35">
      <c r="A335" t="s">
        <v>365</v>
      </c>
      <c r="B335">
        <f>IF(Final_Payroll!B335="Sales",Earnings!B335*3,
IF(Final_Payroll!B335="IT",Earnings!B335*2,
IF(Final_Payroll!B335="Finance",Earnings!B335*1.5,
IF(Final_Payroll!B335="HR",Earnings!B335*1.2,
Earnings!B335*1.3))))</f>
        <v>1829643.36</v>
      </c>
      <c r="C335">
        <f>Earnings!B335 + Deductions!B335 + Deductions!C335 + Overtime!D335</f>
        <v>1526502.8</v>
      </c>
      <c r="D335">
        <f t="shared" si="10"/>
        <v>303140.56000000006</v>
      </c>
      <c r="E335">
        <f t="shared" si="11"/>
        <v>1.1985850009577448</v>
      </c>
    </row>
    <row r="336" spans="1:5" x14ac:dyDescent="0.35">
      <c r="A336" t="s">
        <v>366</v>
      </c>
      <c r="B336">
        <f>IF(Final_Payroll!B336="Sales",Earnings!B336*3,
IF(Final_Payroll!B336="IT",Earnings!B336*2,
IF(Final_Payroll!B336="Finance",Earnings!B336*1.5,
IF(Final_Payroll!B336="HR",Earnings!B336*1.2,
Earnings!B336*1.3))))</f>
        <v>3071740</v>
      </c>
      <c r="C336">
        <f>Earnings!B336 + Deductions!B336 + Deductions!C336 + Overtime!D336</f>
        <v>1698936.35</v>
      </c>
      <c r="D336">
        <f t="shared" si="10"/>
        <v>1372803.65</v>
      </c>
      <c r="E336">
        <f t="shared" si="11"/>
        <v>1.8080371286422825</v>
      </c>
    </row>
    <row r="337" spans="1:5" x14ac:dyDescent="0.35">
      <c r="A337" t="s">
        <v>367</v>
      </c>
      <c r="B337">
        <f>IF(Final_Payroll!B337="Sales",Earnings!B337*3,
IF(Final_Payroll!B337="IT",Earnings!B337*2,
IF(Final_Payroll!B337="Finance",Earnings!B337*1.5,
IF(Final_Payroll!B337="HR",Earnings!B337*1.2,
Earnings!B337*1.3))))</f>
        <v>1982041.2000000002</v>
      </c>
      <c r="C337">
        <f>Earnings!B337 + Deductions!B337 + Deductions!C337 + Overtime!D337</f>
        <v>662480.4</v>
      </c>
      <c r="D337">
        <f t="shared" si="10"/>
        <v>1319560.8000000003</v>
      </c>
      <c r="E337">
        <f t="shared" si="11"/>
        <v>2.991848815451748</v>
      </c>
    </row>
    <row r="338" spans="1:5" x14ac:dyDescent="0.35">
      <c r="A338" t="s">
        <v>368</v>
      </c>
      <c r="B338">
        <f>IF(Final_Payroll!B338="Sales",Earnings!B338*3,
IF(Final_Payroll!B338="IT",Earnings!B338*2,
IF(Final_Payroll!B338="Finance",Earnings!B338*1.5,
IF(Final_Payroll!B338="HR",Earnings!B338*1.2,
Earnings!B338*1.3))))</f>
        <v>664287.12</v>
      </c>
      <c r="C338">
        <f>Earnings!B338 + Deductions!B338 + Deductions!C338 + Overtime!D338</f>
        <v>655015.66799999995</v>
      </c>
      <c r="D338">
        <f t="shared" si="10"/>
        <v>9271.4520000000484</v>
      </c>
      <c r="E338">
        <f t="shared" si="11"/>
        <v>1.0141545499641393</v>
      </c>
    </row>
    <row r="339" spans="1:5" x14ac:dyDescent="0.35">
      <c r="A339" t="s">
        <v>369</v>
      </c>
      <c r="B339">
        <f>IF(Final_Payroll!B339="Sales",Earnings!B339*3,
IF(Final_Payroll!B339="IT",Earnings!B339*2,
IF(Final_Payroll!B339="Finance",Earnings!B339*1.5,
IF(Final_Payroll!B339="HR",Earnings!B339*1.2,
Earnings!B339*1.3))))</f>
        <v>1776307.3900000001</v>
      </c>
      <c r="C339">
        <f>Earnings!B339 + Deductions!B339 + Deductions!C339 + Overtime!D339</f>
        <v>1368190.3</v>
      </c>
      <c r="D339">
        <f t="shared" si="10"/>
        <v>408117.09000000008</v>
      </c>
      <c r="E339">
        <f t="shared" si="11"/>
        <v>1.2982897115993295</v>
      </c>
    </row>
    <row r="340" spans="1:5" x14ac:dyDescent="0.35">
      <c r="A340" t="s">
        <v>370</v>
      </c>
      <c r="B340">
        <f>IF(Final_Payroll!B340="Sales",Earnings!B340*3,
IF(Final_Payroll!B340="IT",Earnings!B340*2,
IF(Final_Payroll!B340="Finance",Earnings!B340*1.5,
IF(Final_Payroll!B340="HR",Earnings!B340*1.2,
Earnings!B340*1.3))))</f>
        <v>3645458.18</v>
      </c>
      <c r="C340">
        <f>Earnings!B340 + Deductions!B340 + Deductions!C340 + Overtime!D340</f>
        <v>2028674.7492</v>
      </c>
      <c r="D340">
        <f t="shared" si="10"/>
        <v>1616783.4308000002</v>
      </c>
      <c r="E340">
        <f t="shared" si="11"/>
        <v>1.7969653249923738</v>
      </c>
    </row>
    <row r="341" spans="1:5" x14ac:dyDescent="0.35">
      <c r="A341" t="s">
        <v>371</v>
      </c>
      <c r="B341">
        <f>IF(Final_Payroll!B341="Sales",Earnings!B341*3,
IF(Final_Payroll!B341="IT",Earnings!B341*2,
IF(Final_Payroll!B341="Finance",Earnings!B341*1.5,
IF(Final_Payroll!B341="HR",Earnings!B341*1.2,
Earnings!B341*1.3))))</f>
        <v>993887.24500000011</v>
      </c>
      <c r="C341">
        <f>Earnings!B341 + Deductions!B341 + Deductions!C341 + Overtime!D341</f>
        <v>865717.37450000003</v>
      </c>
      <c r="D341">
        <f t="shared" si="10"/>
        <v>128169.87050000008</v>
      </c>
      <c r="E341">
        <f t="shared" si="11"/>
        <v>1.1480504772981197</v>
      </c>
    </row>
    <row r="342" spans="1:5" x14ac:dyDescent="0.35">
      <c r="A342" t="s">
        <v>372</v>
      </c>
      <c r="B342">
        <f>IF(Final_Payroll!B342="Sales",Earnings!B342*3,
IF(Final_Payroll!B342="IT",Earnings!B342*2,
IF(Final_Payroll!B342="Finance",Earnings!B342*1.5,
IF(Final_Payroll!B342="HR",Earnings!B342*1.2,
Earnings!B342*1.3))))</f>
        <v>2389102.7999999998</v>
      </c>
      <c r="C342">
        <f>Earnings!B342 + Deductions!B342 + Deductions!C342 + Overtime!D342</f>
        <v>798167.6</v>
      </c>
      <c r="D342">
        <f t="shared" si="10"/>
        <v>1590935.1999999997</v>
      </c>
      <c r="E342">
        <f t="shared" si="11"/>
        <v>2.9932345036305659</v>
      </c>
    </row>
    <row r="343" spans="1:5" x14ac:dyDescent="0.35">
      <c r="A343" t="s">
        <v>373</v>
      </c>
      <c r="B343">
        <f>IF(Final_Payroll!B343="Sales",Earnings!B343*3,
IF(Final_Payroll!B343="IT",Earnings!B343*2,
IF(Final_Payroll!B343="Finance",Earnings!B343*1.5,
IF(Final_Payroll!B343="HR",Earnings!B343*1.2,
Earnings!B343*1.3))))</f>
        <v>930736.755</v>
      </c>
      <c r="C343">
        <f>Earnings!B343 + Deductions!B343 + Deductions!C343 + Overtime!D343</f>
        <v>717751.35</v>
      </c>
      <c r="D343">
        <f t="shared" si="10"/>
        <v>212985.40500000003</v>
      </c>
      <c r="E343">
        <f t="shared" si="11"/>
        <v>1.2967398180442293</v>
      </c>
    </row>
    <row r="344" spans="1:5" x14ac:dyDescent="0.35">
      <c r="A344" t="s">
        <v>374</v>
      </c>
      <c r="B344">
        <f>IF(Final_Payroll!B344="Sales",Earnings!B344*3,
IF(Final_Payroll!B344="IT",Earnings!B344*2,
IF(Final_Payroll!B344="Finance",Earnings!B344*1.5,
IF(Final_Payroll!B344="HR",Earnings!B344*1.2,
Earnings!B344*1.3))))</f>
        <v>1475555.1199999999</v>
      </c>
      <c r="C344">
        <f>Earnings!B344 + Deductions!B344 + Deductions!C344 + Overtime!D344</f>
        <v>1136842.3999999999</v>
      </c>
      <c r="D344">
        <f t="shared" si="10"/>
        <v>338712.72</v>
      </c>
      <c r="E344">
        <f t="shared" si="11"/>
        <v>1.2979416672003086</v>
      </c>
    </row>
    <row r="345" spans="1:5" x14ac:dyDescent="0.35">
      <c r="A345" t="s">
        <v>375</v>
      </c>
      <c r="B345">
        <f>IF(Final_Payroll!B345="Sales",Earnings!B345*3,
IF(Final_Payroll!B345="IT",Earnings!B345*2,
IF(Final_Payroll!B345="Finance",Earnings!B345*1.5,
IF(Final_Payroll!B345="HR",Earnings!B345*1.2,
Earnings!B345*1.3))))</f>
        <v>2036314.7399999998</v>
      </c>
      <c r="C345">
        <f>Earnings!B345 + Deductions!B345 + Deductions!C345 + Overtime!D345</f>
        <v>1636281.9626</v>
      </c>
      <c r="D345">
        <f t="shared" si="10"/>
        <v>400032.77739999979</v>
      </c>
      <c r="E345">
        <f t="shared" si="11"/>
        <v>1.2444766773352194</v>
      </c>
    </row>
    <row r="346" spans="1:5" x14ac:dyDescent="0.35">
      <c r="A346" t="s">
        <v>376</v>
      </c>
      <c r="B346">
        <f>IF(Final_Payroll!B346="Sales",Earnings!B346*3,
IF(Final_Payroll!B346="IT",Earnings!B346*2,
IF(Final_Payroll!B346="Finance",Earnings!B346*1.5,
IF(Final_Payroll!B346="HR",Earnings!B346*1.2,
Earnings!B346*1.3))))</f>
        <v>4993993.4399999995</v>
      </c>
      <c r="C346">
        <f>Earnings!B346 + Deductions!B346 + Deductions!C346 + Overtime!D346</f>
        <v>1666464.48</v>
      </c>
      <c r="D346">
        <f t="shared" si="10"/>
        <v>3327528.9599999995</v>
      </c>
      <c r="E346">
        <f t="shared" si="11"/>
        <v>2.9967596069014322</v>
      </c>
    </row>
    <row r="347" spans="1:5" x14ac:dyDescent="0.35">
      <c r="A347" t="s">
        <v>377</v>
      </c>
      <c r="B347">
        <f>IF(Final_Payroll!B347="Sales",Earnings!B347*3,
IF(Final_Payroll!B347="IT",Earnings!B347*2,
IF(Final_Payroll!B347="Finance",Earnings!B347*1.5,
IF(Final_Payroll!B347="HR",Earnings!B347*1.2,
Earnings!B347*1.3))))</f>
        <v>1125390.24</v>
      </c>
      <c r="C347">
        <f>Earnings!B347 + Deductions!B347 + Deductions!C347 + Overtime!D347</f>
        <v>1012919.8464</v>
      </c>
      <c r="D347">
        <f t="shared" si="10"/>
        <v>112470.39359999995</v>
      </c>
      <c r="E347">
        <f t="shared" si="11"/>
        <v>1.1110358277604382</v>
      </c>
    </row>
    <row r="348" spans="1:5" x14ac:dyDescent="0.35">
      <c r="A348" t="s">
        <v>378</v>
      </c>
      <c r="B348">
        <f>IF(Final_Payroll!B348="Sales",Earnings!B348*3,
IF(Final_Payroll!B348="IT",Earnings!B348*2,
IF(Final_Payroll!B348="Finance",Earnings!B348*1.5,
IF(Final_Payroll!B348="HR",Earnings!B348*1.2,
Earnings!B348*1.3))))</f>
        <v>1025277.1199999999</v>
      </c>
      <c r="C348">
        <f>Earnings!B348 + Deductions!B348 + Deductions!C348 + Overtime!D348</f>
        <v>975813.26399999997</v>
      </c>
      <c r="D348">
        <f t="shared" si="10"/>
        <v>49463.855999999912</v>
      </c>
      <c r="E348">
        <f t="shared" si="11"/>
        <v>1.0506898787143355</v>
      </c>
    </row>
    <row r="349" spans="1:5" x14ac:dyDescent="0.35">
      <c r="A349" t="s">
        <v>379</v>
      </c>
      <c r="B349">
        <f>IF(Final_Payroll!B349="Sales",Earnings!B349*3,
IF(Final_Payroll!B349="IT",Earnings!B349*2,
IF(Final_Payroll!B349="Finance",Earnings!B349*1.5,
IF(Final_Payroll!B349="HR",Earnings!B349*1.2,
Earnings!B349*1.3))))</f>
        <v>3605101.5300000003</v>
      </c>
      <c r="C349">
        <f>Earnings!B349 + Deductions!B349 + Deductions!C349 + Overtime!D349</f>
        <v>1254572.78125</v>
      </c>
      <c r="D349">
        <f t="shared" si="10"/>
        <v>2350528.7487500003</v>
      </c>
      <c r="E349">
        <f t="shared" si="11"/>
        <v>2.8735690618188281</v>
      </c>
    </row>
    <row r="350" spans="1:5" x14ac:dyDescent="0.35">
      <c r="A350" t="s">
        <v>380</v>
      </c>
      <c r="B350">
        <f>IF(Final_Payroll!B350="Sales",Earnings!B350*3,
IF(Final_Payroll!B350="IT",Earnings!B350*2,
IF(Final_Payroll!B350="Finance",Earnings!B350*1.5,
IF(Final_Payroll!B350="HR",Earnings!B350*1.2,
Earnings!B350*1.3))))</f>
        <v>3194342.13</v>
      </c>
      <c r="C350">
        <f>Earnings!B350 + Deductions!B350 + Deductions!C350 + Overtime!D350</f>
        <v>1066580.71</v>
      </c>
      <c r="D350">
        <f t="shared" si="10"/>
        <v>2127761.42</v>
      </c>
      <c r="E350">
        <f t="shared" si="11"/>
        <v>2.9949370920087239</v>
      </c>
    </row>
    <row r="351" spans="1:5" x14ac:dyDescent="0.35">
      <c r="A351" t="s">
        <v>381</v>
      </c>
      <c r="B351">
        <f>IF(Final_Payroll!B351="Sales",Earnings!B351*3,
IF(Final_Payroll!B351="IT",Earnings!B351*2,
IF(Final_Payroll!B351="Finance",Earnings!B351*1.5,
IF(Final_Payroll!B351="HR",Earnings!B351*1.2,
Earnings!B351*1.3))))</f>
        <v>2738699.52</v>
      </c>
      <c r="C351">
        <f>Earnings!B351 + Deductions!B351 + Deductions!C351 + Overtime!D351</f>
        <v>1371149.76</v>
      </c>
      <c r="D351">
        <f t="shared" si="10"/>
        <v>1367549.76</v>
      </c>
      <c r="E351">
        <f t="shared" si="11"/>
        <v>1.9973744662289843</v>
      </c>
    </row>
    <row r="352" spans="1:5" x14ac:dyDescent="0.35">
      <c r="A352" t="s">
        <v>382</v>
      </c>
      <c r="B352">
        <f>IF(Final_Payroll!B352="Sales",Earnings!B352*3,
IF(Final_Payroll!B352="IT",Earnings!B352*2,
IF(Final_Payroll!B352="Finance",Earnings!B352*1.5,
IF(Final_Payroll!B352="HR",Earnings!B352*1.2,
Earnings!B352*1.3))))</f>
        <v>1580877.4800000002</v>
      </c>
      <c r="C352">
        <f>Earnings!B352 + Deductions!B352 + Deductions!C352 + Overtime!D352</f>
        <v>1217859.6000000001</v>
      </c>
      <c r="D352">
        <f t="shared" si="10"/>
        <v>363017.88000000012</v>
      </c>
      <c r="E352">
        <f t="shared" si="11"/>
        <v>1.2980785962519819</v>
      </c>
    </row>
    <row r="353" spans="1:5" x14ac:dyDescent="0.35">
      <c r="A353" t="s">
        <v>383</v>
      </c>
      <c r="B353">
        <f>IF(Final_Payroll!B353="Sales",Earnings!B353*3,
IF(Final_Payroll!B353="IT",Earnings!B353*2,
IF(Final_Payroll!B353="Finance",Earnings!B353*1.5,
IF(Final_Payroll!B353="HR",Earnings!B353*1.2,
Earnings!B353*1.3))))</f>
        <v>1732933.02</v>
      </c>
      <c r="C353">
        <f>Earnings!B353 + Deductions!B353 + Deductions!C353 + Overtime!D353</f>
        <v>1418806.0001999999</v>
      </c>
      <c r="D353">
        <f t="shared" si="10"/>
        <v>314127.01980000013</v>
      </c>
      <c r="E353">
        <f t="shared" si="11"/>
        <v>1.2214023761921782</v>
      </c>
    </row>
    <row r="354" spans="1:5" x14ac:dyDescent="0.35">
      <c r="A354" t="s">
        <v>384</v>
      </c>
      <c r="B354">
        <f>IF(Final_Payroll!B354="Sales",Earnings!B354*3,
IF(Final_Payroll!B354="IT",Earnings!B354*2,
IF(Final_Payroll!B354="Finance",Earnings!B354*1.5,
IF(Final_Payroll!B354="HR",Earnings!B354*1.2,
Earnings!B354*1.3))))</f>
        <v>3905334.86</v>
      </c>
      <c r="C354">
        <f>Earnings!B354 + Deductions!B354 + Deductions!C354 + Overtime!D354</f>
        <v>1954467.43</v>
      </c>
      <c r="D354">
        <f t="shared" si="10"/>
        <v>1950867.43</v>
      </c>
      <c r="E354">
        <f t="shared" si="11"/>
        <v>1.9981580660057354</v>
      </c>
    </row>
    <row r="355" spans="1:5" x14ac:dyDescent="0.35">
      <c r="A355" t="s">
        <v>385</v>
      </c>
      <c r="B355">
        <f>IF(Final_Payroll!B355="Sales",Earnings!B355*3,
IF(Final_Payroll!B355="IT",Earnings!B355*2,
IF(Final_Payroll!B355="Finance",Earnings!B355*1.5,
IF(Final_Payroll!B355="HR",Earnings!B355*1.2,
Earnings!B355*1.3))))</f>
        <v>2984190</v>
      </c>
      <c r="C355">
        <f>Earnings!B355 + Deductions!B355 + Deductions!C355 + Overtime!D355</f>
        <v>996530</v>
      </c>
      <c r="D355">
        <f t="shared" si="10"/>
        <v>1987660</v>
      </c>
      <c r="E355">
        <f t="shared" si="11"/>
        <v>2.994581196752732</v>
      </c>
    </row>
    <row r="356" spans="1:5" x14ac:dyDescent="0.35">
      <c r="A356" t="s">
        <v>386</v>
      </c>
      <c r="B356">
        <f>IF(Final_Payroll!B356="Sales",Earnings!B356*3,
IF(Final_Payroll!B356="IT",Earnings!B356*2,
IF(Final_Payroll!B356="Finance",Earnings!B356*1.5,
IF(Final_Payroll!B356="HR",Earnings!B356*1.2,
Earnings!B356*1.3))))</f>
        <v>809004.04</v>
      </c>
      <c r="C356">
        <f>Earnings!B356 + Deductions!B356 + Deductions!C356 + Overtime!D356</f>
        <v>624110.80000000005</v>
      </c>
      <c r="D356">
        <f t="shared" si="10"/>
        <v>184893.24</v>
      </c>
      <c r="E356">
        <f t="shared" si="11"/>
        <v>1.2962506657471717</v>
      </c>
    </row>
    <row r="357" spans="1:5" x14ac:dyDescent="0.35">
      <c r="A357" t="s">
        <v>387</v>
      </c>
      <c r="B357">
        <f>IF(Final_Payroll!B357="Sales",Earnings!B357*3,
IF(Final_Payroll!B357="IT",Earnings!B357*2,
IF(Final_Payroll!B357="Finance",Earnings!B357*1.5,
IF(Final_Payroll!B357="HR",Earnings!B357*1.2,
Earnings!B357*1.3))))</f>
        <v>1017682.2749999999</v>
      </c>
      <c r="C357">
        <f>Earnings!B357 + Deductions!B357 + Deductions!C357 + Overtime!D357</f>
        <v>680254.85</v>
      </c>
      <c r="D357">
        <f t="shared" si="10"/>
        <v>337427.42499999993</v>
      </c>
      <c r="E357">
        <f t="shared" si="11"/>
        <v>1.4960308993019307</v>
      </c>
    </row>
    <row r="358" spans="1:5" x14ac:dyDescent="0.35">
      <c r="A358" t="s">
        <v>388</v>
      </c>
      <c r="B358">
        <f>IF(Final_Payroll!B358="Sales",Earnings!B358*3,
IF(Final_Payroll!B358="IT",Earnings!B358*2,
IF(Final_Payroll!B358="Finance",Earnings!B358*1.5,
IF(Final_Payroll!B358="HR",Earnings!B358*1.2,
Earnings!B358*1.3))))</f>
        <v>851655.25900000008</v>
      </c>
      <c r="C358">
        <f>Earnings!B358 + Deductions!B358 + Deductions!C358 + Overtime!D358</f>
        <v>679848.60987500008</v>
      </c>
      <c r="D358">
        <f t="shared" si="10"/>
        <v>171806.649125</v>
      </c>
      <c r="E358">
        <f t="shared" si="11"/>
        <v>1.2527130991068571</v>
      </c>
    </row>
    <row r="359" spans="1:5" x14ac:dyDescent="0.35">
      <c r="A359" t="s">
        <v>389</v>
      </c>
      <c r="B359">
        <f>IF(Final_Payroll!B359="Sales",Earnings!B359*3,
IF(Final_Payroll!B359="IT",Earnings!B359*2,
IF(Final_Payroll!B359="Finance",Earnings!B359*1.5,
IF(Final_Payroll!B359="HR",Earnings!B359*1.2,
Earnings!B359*1.3))))</f>
        <v>1533965.16</v>
      </c>
      <c r="C359">
        <f>Earnings!B359 + Deductions!B359 + Deductions!C359 + Overtime!D359</f>
        <v>1181773.2</v>
      </c>
      <c r="D359">
        <f t="shared" si="10"/>
        <v>352191.95999999996</v>
      </c>
      <c r="E359">
        <f t="shared" si="11"/>
        <v>1.2980199246352853</v>
      </c>
    </row>
    <row r="360" spans="1:5" x14ac:dyDescent="0.35">
      <c r="A360" t="s">
        <v>390</v>
      </c>
      <c r="B360">
        <f>IF(Final_Payroll!B360="Sales",Earnings!B360*3,
IF(Final_Payroll!B360="IT",Earnings!B360*2,
IF(Final_Payroll!B360="Finance",Earnings!B360*1.5,
IF(Final_Payroll!B360="HR",Earnings!B360*1.2,
Earnings!B360*1.3))))</f>
        <v>1660419.5999999999</v>
      </c>
      <c r="C360">
        <f>Earnings!B360 + Deductions!B360 + Deductions!C360 + Overtime!D360</f>
        <v>1108746.3999999999</v>
      </c>
      <c r="D360">
        <f t="shared" si="10"/>
        <v>551673.19999999995</v>
      </c>
      <c r="E360">
        <f t="shared" si="11"/>
        <v>1.4975648173468703</v>
      </c>
    </row>
    <row r="361" spans="1:5" x14ac:dyDescent="0.35">
      <c r="A361" t="s">
        <v>391</v>
      </c>
      <c r="B361">
        <f>IF(Final_Payroll!B361="Sales",Earnings!B361*3,
IF(Final_Payroll!B361="IT",Earnings!B361*2,
IF(Final_Payroll!B361="Finance",Earnings!B361*1.5,
IF(Final_Payroll!B361="HR",Earnings!B361*1.2,
Earnings!B361*1.3))))</f>
        <v>3654754.88</v>
      </c>
      <c r="C361">
        <f>Earnings!B361 + Deductions!B361 + Deductions!C361 + Overtime!D361</f>
        <v>1829177.44</v>
      </c>
      <c r="D361">
        <f t="shared" si="10"/>
        <v>1825577.44</v>
      </c>
      <c r="E361">
        <f t="shared" si="11"/>
        <v>1.9980319022521948</v>
      </c>
    </row>
    <row r="362" spans="1:5" x14ac:dyDescent="0.35">
      <c r="A362" t="s">
        <v>392</v>
      </c>
      <c r="B362">
        <f>IF(Final_Payroll!B362="Sales",Earnings!B362*3,
IF(Final_Payroll!B362="IT",Earnings!B362*2,
IF(Final_Payroll!B362="Finance",Earnings!B362*1.5,
IF(Final_Payroll!B362="HR",Earnings!B362*1.2,
Earnings!B362*1.3))))</f>
        <v>777615.28</v>
      </c>
      <c r="C362">
        <f>Earnings!B362 + Deductions!B362 + Deductions!C362 + Overtime!D362</f>
        <v>629873.88</v>
      </c>
      <c r="D362">
        <f t="shared" si="10"/>
        <v>147741.40000000002</v>
      </c>
      <c r="E362">
        <f t="shared" si="11"/>
        <v>1.2345571148306707</v>
      </c>
    </row>
    <row r="363" spans="1:5" x14ac:dyDescent="0.35">
      <c r="A363" t="s">
        <v>393</v>
      </c>
      <c r="B363">
        <f>IF(Final_Payroll!B363="Sales",Earnings!B363*3,
IF(Final_Payroll!B363="IT",Earnings!B363*2,
IF(Final_Payroll!B363="Finance",Earnings!B363*1.5,
IF(Final_Payroll!B363="HR",Earnings!B363*1.2,
Earnings!B363*1.3))))</f>
        <v>3844998.8</v>
      </c>
      <c r="C363">
        <f>Earnings!B363 + Deductions!B363 + Deductions!C363 + Overtime!D363</f>
        <v>1924299.4</v>
      </c>
      <c r="D363">
        <f t="shared" si="10"/>
        <v>1920699.4</v>
      </c>
      <c r="E363">
        <f t="shared" si="11"/>
        <v>1.9981291892519428</v>
      </c>
    </row>
    <row r="364" spans="1:5" x14ac:dyDescent="0.35">
      <c r="A364" t="s">
        <v>394</v>
      </c>
      <c r="B364">
        <f>IF(Final_Payroll!B364="Sales",Earnings!B364*3,
IF(Final_Payroll!B364="IT",Earnings!B364*2,
IF(Final_Payroll!B364="Finance",Earnings!B364*1.5,
IF(Final_Payroll!B364="HR",Earnings!B364*1.2,
Earnings!B364*1.3))))</f>
        <v>3602978.4</v>
      </c>
      <c r="C364">
        <f>Earnings!B364 + Deductions!B364 + Deductions!C364 + Overtime!D364</f>
        <v>2051894.7095999999</v>
      </c>
      <c r="D364">
        <f t="shared" si="10"/>
        <v>1551083.6904</v>
      </c>
      <c r="E364">
        <f t="shared" si="11"/>
        <v>1.7559275254929485</v>
      </c>
    </row>
    <row r="365" spans="1:5" x14ac:dyDescent="0.35">
      <c r="A365" t="s">
        <v>395</v>
      </c>
      <c r="B365">
        <f>IF(Final_Payroll!B365="Sales",Earnings!B365*3,
IF(Final_Payroll!B365="IT",Earnings!B365*2,
IF(Final_Payroll!B365="Finance",Earnings!B365*1.5,
IF(Final_Payroll!B365="HR",Earnings!B365*1.2,
Earnings!B365*1.3))))</f>
        <v>2217604</v>
      </c>
      <c r="C365">
        <f>Earnings!B365 + Deductions!B365 + Deductions!C365 + Overtime!D365</f>
        <v>1110602</v>
      </c>
      <c r="D365">
        <f t="shared" si="10"/>
        <v>1107002</v>
      </c>
      <c r="E365">
        <f t="shared" si="11"/>
        <v>1.996758514751459</v>
      </c>
    </row>
    <row r="366" spans="1:5" x14ac:dyDescent="0.35">
      <c r="A366" t="s">
        <v>396</v>
      </c>
      <c r="B366">
        <f>IF(Final_Payroll!B366="Sales",Earnings!B366*3,
IF(Final_Payroll!B366="IT",Earnings!B366*2,
IF(Final_Payroll!B366="Finance",Earnings!B366*1.5,
IF(Final_Payroll!B366="HR",Earnings!B366*1.2,
Earnings!B366*1.3))))</f>
        <v>4711030.8899999997</v>
      </c>
      <c r="C366">
        <f>Earnings!B366 + Deductions!B366 + Deductions!C366 + Overtime!D366</f>
        <v>1572143.63</v>
      </c>
      <c r="D366">
        <f t="shared" si="10"/>
        <v>3138887.26</v>
      </c>
      <c r="E366">
        <f t="shared" si="11"/>
        <v>2.9965651993259677</v>
      </c>
    </row>
    <row r="367" spans="1:5" x14ac:dyDescent="0.35">
      <c r="A367" t="s">
        <v>397</v>
      </c>
      <c r="B367">
        <f>IF(Final_Payroll!B367="Sales",Earnings!B367*3,
IF(Final_Payroll!B367="IT",Earnings!B367*2,
IF(Final_Payroll!B367="Finance",Earnings!B367*1.5,
IF(Final_Payroll!B367="HR",Earnings!B367*1.2,
Earnings!B367*1.3))))</f>
        <v>1320152.6000000001</v>
      </c>
      <c r="C367">
        <f>Earnings!B367 + Deductions!B367 + Deductions!C367 + Overtime!D367</f>
        <v>1017302</v>
      </c>
      <c r="D367">
        <f t="shared" si="10"/>
        <v>302850.60000000009</v>
      </c>
      <c r="E367">
        <f t="shared" si="11"/>
        <v>1.2976997980933882</v>
      </c>
    </row>
    <row r="368" spans="1:5" x14ac:dyDescent="0.35">
      <c r="A368" t="s">
        <v>398</v>
      </c>
      <c r="B368">
        <f>IF(Final_Payroll!B368="Sales",Earnings!B368*3,
IF(Final_Payroll!B368="IT",Earnings!B368*2,
IF(Final_Payroll!B368="Finance",Earnings!B368*1.5,
IF(Final_Payroll!B368="HR",Earnings!B368*1.2,
Earnings!B368*1.3))))</f>
        <v>2750060.76</v>
      </c>
      <c r="C368">
        <f>Earnings!B368 + Deductions!B368 + Deductions!C368 + Overtime!D368</f>
        <v>1715775.3674374998</v>
      </c>
      <c r="D368">
        <f t="shared" si="10"/>
        <v>1034285.3925625</v>
      </c>
      <c r="E368">
        <f t="shared" si="11"/>
        <v>1.6028093258543505</v>
      </c>
    </row>
    <row r="369" spans="1:5" x14ac:dyDescent="0.35">
      <c r="A369" t="s">
        <v>399</v>
      </c>
      <c r="B369">
        <f>IF(Final_Payroll!B369="Sales",Earnings!B369*3,
IF(Final_Payroll!B369="IT",Earnings!B369*2,
IF(Final_Payroll!B369="Finance",Earnings!B369*1.5,
IF(Final_Payroll!B369="HR",Earnings!B369*1.2,
Earnings!B369*1.3))))</f>
        <v>638383.10900000005</v>
      </c>
      <c r="C369">
        <f>Earnings!B369 + Deductions!B369 + Deductions!C369 + Overtime!D369</f>
        <v>492863.93</v>
      </c>
      <c r="D369">
        <f t="shared" si="10"/>
        <v>145519.17900000006</v>
      </c>
      <c r="E369">
        <f t="shared" si="11"/>
        <v>1.2952522392945252</v>
      </c>
    </row>
    <row r="370" spans="1:5" x14ac:dyDescent="0.35">
      <c r="A370" t="s">
        <v>400</v>
      </c>
      <c r="B370">
        <f>IF(Final_Payroll!B370="Sales",Earnings!B370*3,
IF(Final_Payroll!B370="IT",Earnings!B370*2,
IF(Final_Payroll!B370="Finance",Earnings!B370*1.5,
IF(Final_Payroll!B370="HR",Earnings!B370*1.2,
Earnings!B370*1.3))))</f>
        <v>1575166.6709999999</v>
      </c>
      <c r="C370">
        <f>Earnings!B370 + Deductions!B370 + Deductions!C370 + Overtime!D370</f>
        <v>1213466.67</v>
      </c>
      <c r="D370">
        <f t="shared" si="10"/>
        <v>361700.00099999993</v>
      </c>
      <c r="E370">
        <f t="shared" si="11"/>
        <v>1.2980716404843653</v>
      </c>
    </row>
    <row r="371" spans="1:5" x14ac:dyDescent="0.35">
      <c r="A371" t="s">
        <v>401</v>
      </c>
      <c r="B371">
        <f>IF(Final_Payroll!B371="Sales",Earnings!B371*3,
IF(Final_Payroll!B371="IT",Earnings!B371*2,
IF(Final_Payroll!B371="Finance",Earnings!B371*1.5,
IF(Final_Payroll!B371="HR",Earnings!B371*1.2,
Earnings!B371*1.3))))</f>
        <v>1263102.8999999999</v>
      </c>
      <c r="C371">
        <f>Earnings!B371 + Deductions!B371 + Deductions!C371 + Overtime!D371</f>
        <v>1054385.75</v>
      </c>
      <c r="D371">
        <f t="shared" si="10"/>
        <v>208717.14999999991</v>
      </c>
      <c r="E371">
        <f t="shared" si="11"/>
        <v>1.1979514138919269</v>
      </c>
    </row>
    <row r="372" spans="1:5" x14ac:dyDescent="0.35">
      <c r="A372" t="s">
        <v>402</v>
      </c>
      <c r="B372">
        <f>IF(Final_Payroll!B372="Sales",Earnings!B372*3,
IF(Final_Payroll!B372="IT",Earnings!B372*2,
IF(Final_Payroll!B372="Finance",Earnings!B372*1.5,
IF(Final_Payroll!B372="HR",Earnings!B372*1.2,
Earnings!B372*1.3))))</f>
        <v>867333.6</v>
      </c>
      <c r="C372">
        <f>Earnings!B372 + Deductions!B372 + Deductions!C372 + Overtime!D372</f>
        <v>724578</v>
      </c>
      <c r="D372">
        <f t="shared" si="10"/>
        <v>142755.59999999998</v>
      </c>
      <c r="E372">
        <f t="shared" si="11"/>
        <v>1.197018954481091</v>
      </c>
    </row>
    <row r="373" spans="1:5" x14ac:dyDescent="0.35">
      <c r="A373" t="s">
        <v>403</v>
      </c>
      <c r="B373">
        <f>IF(Final_Payroll!B373="Sales",Earnings!B373*3,
IF(Final_Payroll!B373="IT",Earnings!B373*2,
IF(Final_Payroll!B373="Finance",Earnings!B373*1.5,
IF(Final_Payroll!B373="HR",Earnings!B373*1.2,
Earnings!B373*1.3))))</f>
        <v>2916118.8</v>
      </c>
      <c r="C373">
        <f>Earnings!B373 + Deductions!B373 + Deductions!C373 + Overtime!D373</f>
        <v>973839.6</v>
      </c>
      <c r="D373">
        <f t="shared" si="10"/>
        <v>1942279.1999999997</v>
      </c>
      <c r="E373">
        <f t="shared" si="11"/>
        <v>2.9944549389858452</v>
      </c>
    </row>
    <row r="374" spans="1:5" x14ac:dyDescent="0.35">
      <c r="A374" t="s">
        <v>404</v>
      </c>
      <c r="B374">
        <f>IF(Final_Payroll!B374="Sales",Earnings!B374*3,
IF(Final_Payroll!B374="IT",Earnings!B374*2,
IF(Final_Payroll!B374="Finance",Earnings!B374*1.5,
IF(Final_Payroll!B374="HR",Earnings!B374*1.2,
Earnings!B374*1.3))))</f>
        <v>2368238.2799999998</v>
      </c>
      <c r="C374">
        <f>Earnings!B374 + Deductions!B374 + Deductions!C374 + Overtime!D374</f>
        <v>1370641.7274</v>
      </c>
      <c r="D374">
        <f t="shared" si="10"/>
        <v>997596.55259999982</v>
      </c>
      <c r="E374">
        <f t="shared" si="11"/>
        <v>1.7278317394381115</v>
      </c>
    </row>
    <row r="375" spans="1:5" x14ac:dyDescent="0.35">
      <c r="A375" t="s">
        <v>405</v>
      </c>
      <c r="B375">
        <f>IF(Final_Payroll!B375="Sales",Earnings!B375*3,
IF(Final_Payroll!B375="IT",Earnings!B375*2,
IF(Final_Payroll!B375="Finance",Earnings!B375*1.5,
IF(Final_Payroll!B375="HR",Earnings!B375*1.2,
Earnings!B375*1.3))))</f>
        <v>4993809.34</v>
      </c>
      <c r="C375">
        <f>Earnings!B375 + Deductions!B375 + Deductions!C375 + Overtime!D375</f>
        <v>2498704.67</v>
      </c>
      <c r="D375">
        <f t="shared" si="10"/>
        <v>2495104.67</v>
      </c>
      <c r="E375">
        <f t="shared" si="11"/>
        <v>1.998559253503136</v>
      </c>
    </row>
    <row r="376" spans="1:5" x14ac:dyDescent="0.35">
      <c r="A376" t="s">
        <v>406</v>
      </c>
      <c r="B376">
        <f>IF(Final_Payroll!B376="Sales",Earnings!B376*3,
IF(Final_Payroll!B376="IT",Earnings!B376*2,
IF(Final_Payroll!B376="Finance",Earnings!B376*1.5,
IF(Final_Payroll!B376="HR",Earnings!B376*1.2,
Earnings!B376*1.3))))</f>
        <v>2050466.32</v>
      </c>
      <c r="C376">
        <f>Earnings!B376 + Deductions!B376 + Deductions!C376 + Overtime!D376</f>
        <v>1235155.48945</v>
      </c>
      <c r="D376">
        <f t="shared" si="10"/>
        <v>815310.83055000007</v>
      </c>
      <c r="E376">
        <f t="shared" si="11"/>
        <v>1.6600876063895795</v>
      </c>
    </row>
    <row r="377" spans="1:5" x14ac:dyDescent="0.35">
      <c r="A377" t="s">
        <v>407</v>
      </c>
      <c r="B377">
        <f>IF(Final_Payroll!B377="Sales",Earnings!B377*3,
IF(Final_Payroll!B377="IT",Earnings!B377*2,
IF(Final_Payroll!B377="Finance",Earnings!B377*1.5,
IF(Final_Payroll!B377="HR",Earnings!B377*1.2,
Earnings!B377*1.3))))</f>
        <v>2287566.75</v>
      </c>
      <c r="C377">
        <f>Earnings!B377 + Deductions!B377 + Deductions!C377 + Overtime!D377</f>
        <v>859637.53125</v>
      </c>
      <c r="D377">
        <f t="shared" si="10"/>
        <v>1427929.21875</v>
      </c>
      <c r="E377">
        <f t="shared" si="11"/>
        <v>2.6610829179056972</v>
      </c>
    </row>
    <row r="378" spans="1:5" x14ac:dyDescent="0.35">
      <c r="A378" t="s">
        <v>408</v>
      </c>
      <c r="B378">
        <f>IF(Final_Payroll!B378="Sales",Earnings!B378*3,
IF(Final_Payroll!B378="IT",Earnings!B378*2,
IF(Final_Payroll!B378="Finance",Earnings!B378*1.5,
IF(Final_Payroll!B378="HR",Earnings!B378*1.2,
Earnings!B378*1.3))))</f>
        <v>1386845.72</v>
      </c>
      <c r="C378">
        <f>Earnings!B378 + Deductions!B378 + Deductions!C378 + Overtime!D378</f>
        <v>1123011.4243999999</v>
      </c>
      <c r="D378">
        <f t="shared" si="10"/>
        <v>263834.29560000007</v>
      </c>
      <c r="E378">
        <f t="shared" si="11"/>
        <v>1.2349346496995441</v>
      </c>
    </row>
    <row r="379" spans="1:5" x14ac:dyDescent="0.35">
      <c r="A379" t="s">
        <v>409</v>
      </c>
      <c r="B379">
        <f>IF(Final_Payroll!B379="Sales",Earnings!B379*3,
IF(Final_Payroll!B379="IT",Earnings!B379*2,
IF(Final_Payroll!B379="Finance",Earnings!B379*1.5,
IF(Final_Payroll!B379="HR",Earnings!B379*1.2,
Earnings!B379*1.3))))</f>
        <v>1185672.1240000001</v>
      </c>
      <c r="C379">
        <f>Earnings!B379 + Deductions!B379 + Deductions!C379 + Overtime!D379</f>
        <v>1003236.91655</v>
      </c>
      <c r="D379">
        <f t="shared" si="10"/>
        <v>182435.2074500001</v>
      </c>
      <c r="E379">
        <f t="shared" si="11"/>
        <v>1.1818465852287123</v>
      </c>
    </row>
    <row r="380" spans="1:5" x14ac:dyDescent="0.35">
      <c r="A380" t="s">
        <v>410</v>
      </c>
      <c r="B380">
        <f>IF(Final_Payroll!B380="Sales",Earnings!B380*3,
IF(Final_Payroll!B380="IT",Earnings!B380*2,
IF(Final_Payroll!B380="Finance",Earnings!B380*1.5,
IF(Final_Payroll!B380="HR",Earnings!B380*1.2,
Earnings!B380*1.3))))</f>
        <v>4151656.29</v>
      </c>
      <c r="C380">
        <f>Earnings!B380 + Deductions!B380 + Deductions!C380 + Overtime!D380</f>
        <v>1385685.43</v>
      </c>
      <c r="D380">
        <f t="shared" si="10"/>
        <v>2765970.8600000003</v>
      </c>
      <c r="E380">
        <f t="shared" si="11"/>
        <v>2.9961030116337444</v>
      </c>
    </row>
    <row r="381" spans="1:5" x14ac:dyDescent="0.35">
      <c r="A381" t="s">
        <v>411</v>
      </c>
      <c r="B381">
        <f>IF(Final_Payroll!B381="Sales",Earnings!B381*3,
IF(Final_Payroll!B381="IT",Earnings!B381*2,
IF(Final_Payroll!B381="Finance",Earnings!B381*1.5,
IF(Final_Payroll!B381="HR",Earnings!B381*1.2,
Earnings!B381*1.3))))</f>
        <v>1455825.3149999999</v>
      </c>
      <c r="C381">
        <f>Earnings!B381 + Deductions!B381 + Deductions!C381 + Overtime!D381</f>
        <v>1013113.3184</v>
      </c>
      <c r="D381">
        <f t="shared" si="10"/>
        <v>442711.99659999995</v>
      </c>
      <c r="E381">
        <f t="shared" si="11"/>
        <v>1.4369817162202256</v>
      </c>
    </row>
    <row r="382" spans="1:5" x14ac:dyDescent="0.35">
      <c r="A382" t="s">
        <v>412</v>
      </c>
      <c r="B382">
        <f>IF(Final_Payroll!B382="Sales",Earnings!B382*3,
IF(Final_Payroll!B382="IT",Earnings!B382*2,
IF(Final_Payroll!B382="Finance",Earnings!B382*1.5,
IF(Final_Payroll!B382="HR",Earnings!B382*1.2,
Earnings!B382*1.3))))</f>
        <v>2109271.5</v>
      </c>
      <c r="C382">
        <f>Earnings!B382 + Deductions!B382 + Deductions!C382 + Overtime!D382</f>
        <v>1407981</v>
      </c>
      <c r="D382">
        <f t="shared" si="10"/>
        <v>701290.5</v>
      </c>
      <c r="E382">
        <f t="shared" si="11"/>
        <v>1.4980823604863986</v>
      </c>
    </row>
    <row r="383" spans="1:5" x14ac:dyDescent="0.35">
      <c r="A383" t="s">
        <v>413</v>
      </c>
      <c r="B383">
        <f>IF(Final_Payroll!B383="Sales",Earnings!B383*3,
IF(Final_Payroll!B383="IT",Earnings!B383*2,
IF(Final_Payroll!B383="Finance",Earnings!B383*1.5,
IF(Final_Payroll!B383="HR",Earnings!B383*1.2,
Earnings!B383*1.3))))</f>
        <v>713445.6</v>
      </c>
      <c r="C383">
        <f>Earnings!B383 + Deductions!B383 + Deductions!C383 + Overtime!D383</f>
        <v>596338</v>
      </c>
      <c r="D383">
        <f t="shared" si="10"/>
        <v>117107.59999999998</v>
      </c>
      <c r="E383">
        <f t="shared" si="11"/>
        <v>1.1963778930740621</v>
      </c>
    </row>
    <row r="384" spans="1:5" x14ac:dyDescent="0.35">
      <c r="A384" t="s">
        <v>414</v>
      </c>
      <c r="B384">
        <f>IF(Final_Payroll!B384="Sales",Earnings!B384*3,
IF(Final_Payroll!B384="IT",Earnings!B384*2,
IF(Final_Payroll!B384="Finance",Earnings!B384*1.5,
IF(Final_Payroll!B384="HR",Earnings!B384*1.2,
Earnings!B384*1.3))))</f>
        <v>1174611.5999999999</v>
      </c>
      <c r="C384">
        <f>Earnings!B384 + Deductions!B384 + Deductions!C384 + Overtime!D384</f>
        <v>1088315.73</v>
      </c>
      <c r="D384">
        <f t="shared" si="10"/>
        <v>86295.869999999879</v>
      </c>
      <c r="E384">
        <f t="shared" si="11"/>
        <v>1.0792930466970279</v>
      </c>
    </row>
    <row r="385" spans="1:5" x14ac:dyDescent="0.35">
      <c r="A385" t="s">
        <v>415</v>
      </c>
      <c r="B385">
        <f>IF(Final_Payroll!B385="Sales",Earnings!B385*3,
IF(Final_Payroll!B385="IT",Earnings!B385*2,
IF(Final_Payroll!B385="Finance",Earnings!B385*1.5,
IF(Final_Payroll!B385="HR",Earnings!B385*1.2,
Earnings!B385*1.3))))</f>
        <v>853340.28</v>
      </c>
      <c r="C385">
        <f>Earnings!B385 + Deductions!B385 + Deductions!C385 + Overtime!D385</f>
        <v>658215.6</v>
      </c>
      <c r="D385">
        <f t="shared" si="10"/>
        <v>195124.68000000005</v>
      </c>
      <c r="E385">
        <f t="shared" si="11"/>
        <v>1.296444933848423</v>
      </c>
    </row>
    <row r="386" spans="1:5" x14ac:dyDescent="0.35">
      <c r="A386" t="s">
        <v>416</v>
      </c>
      <c r="B386">
        <f>IF(Final_Payroll!B386="Sales",Earnings!B386*3,
IF(Final_Payroll!B386="IT",Earnings!B386*2,
IF(Final_Payroll!B386="Finance",Earnings!B386*1.5,
IF(Final_Payroll!B386="HR",Earnings!B386*1.2,
Earnings!B386*1.3))))</f>
        <v>4899578.91</v>
      </c>
      <c r="C386">
        <f>Earnings!B386 + Deductions!B386 + Deductions!C386 + Overtime!D386</f>
        <v>1898753.6354624999</v>
      </c>
      <c r="D386">
        <f t="shared" ref="D386:D449" si="12">B386-C386</f>
        <v>3000825.2745375</v>
      </c>
      <c r="E386">
        <f t="shared" ref="E386:E449" si="13">IF(C386=0,0,B386/C386)</f>
        <v>2.5804184484452914</v>
      </c>
    </row>
    <row r="387" spans="1:5" x14ac:dyDescent="0.35">
      <c r="A387" t="s">
        <v>417</v>
      </c>
      <c r="B387">
        <f>IF(Final_Payroll!B387="Sales",Earnings!B387*3,
IF(Final_Payroll!B387="IT",Earnings!B387*2,
IF(Final_Payroll!B387="Finance",Earnings!B387*1.5,
IF(Final_Payroll!B387="HR",Earnings!B387*1.2,
Earnings!B387*1.3))))</f>
        <v>3636182.76</v>
      </c>
      <c r="C387">
        <f>Earnings!B387 + Deductions!B387 + Deductions!C387 + Overtime!D387</f>
        <v>1947157.7762499999</v>
      </c>
      <c r="D387">
        <f t="shared" si="12"/>
        <v>1689024.9837499999</v>
      </c>
      <c r="E387">
        <f t="shared" si="13"/>
        <v>1.8674309829185318</v>
      </c>
    </row>
    <row r="388" spans="1:5" x14ac:dyDescent="0.35">
      <c r="A388" t="s">
        <v>418</v>
      </c>
      <c r="B388">
        <f>IF(Final_Payroll!B388="Sales",Earnings!B388*3,
IF(Final_Payroll!B388="IT",Earnings!B388*2,
IF(Final_Payroll!B388="Finance",Earnings!B388*1.5,
IF(Final_Payroll!B388="HR",Earnings!B388*1.2,
Earnings!B388*1.3))))</f>
        <v>899394.92500000005</v>
      </c>
      <c r="C388">
        <f>Earnings!B388 + Deductions!B388 + Deductions!C388 + Overtime!D388</f>
        <v>717856.72875000001</v>
      </c>
      <c r="D388">
        <f t="shared" si="12"/>
        <v>181538.19625000004</v>
      </c>
      <c r="E388">
        <f t="shared" si="13"/>
        <v>1.2528891754850742</v>
      </c>
    </row>
    <row r="389" spans="1:5" x14ac:dyDescent="0.35">
      <c r="A389" t="s">
        <v>419</v>
      </c>
      <c r="B389">
        <f>IF(Final_Payroll!B389="Sales",Earnings!B389*3,
IF(Final_Payroll!B389="IT",Earnings!B389*2,
IF(Final_Payroll!B389="Finance",Earnings!B389*1.5,
IF(Final_Payroll!B389="HR",Earnings!B389*1.2,
Earnings!B389*1.3))))</f>
        <v>1577485.2600000002</v>
      </c>
      <c r="C389">
        <f>Earnings!B389 + Deductions!B389 + Deductions!C389 + Overtime!D389</f>
        <v>1053456.8400000001</v>
      </c>
      <c r="D389">
        <f t="shared" si="12"/>
        <v>524028.42000000016</v>
      </c>
      <c r="E389">
        <f t="shared" si="13"/>
        <v>1.4974370093795206</v>
      </c>
    </row>
    <row r="390" spans="1:5" x14ac:dyDescent="0.35">
      <c r="A390" t="s">
        <v>420</v>
      </c>
      <c r="B390">
        <f>IF(Final_Payroll!B390="Sales",Earnings!B390*3,
IF(Final_Payroll!B390="IT",Earnings!B390*2,
IF(Final_Payroll!B390="Finance",Earnings!B390*1.5,
IF(Final_Payroll!B390="HR",Earnings!B390*1.2,
Earnings!B390*1.3))))</f>
        <v>6754190.1000000006</v>
      </c>
      <c r="C390">
        <f>Earnings!B390 + Deductions!B390 + Deductions!C390 + Overtime!D390</f>
        <v>2769892.2426500004</v>
      </c>
      <c r="D390">
        <f t="shared" si="12"/>
        <v>3984297.8573500002</v>
      </c>
      <c r="E390">
        <f t="shared" si="13"/>
        <v>2.438430634954289</v>
      </c>
    </row>
    <row r="391" spans="1:5" x14ac:dyDescent="0.35">
      <c r="A391" t="s">
        <v>421</v>
      </c>
      <c r="B391">
        <f>IF(Final_Payroll!B391="Sales",Earnings!B391*3,
IF(Final_Payroll!B391="IT",Earnings!B391*2,
IF(Final_Payroll!B391="Finance",Earnings!B391*1.5,
IF(Final_Payroll!B391="HR",Earnings!B391*1.2,
Earnings!B391*1.3))))</f>
        <v>4000876.74</v>
      </c>
      <c r="C391">
        <f>Earnings!B391 + Deductions!B391 + Deductions!C391 + Overtime!D391</f>
        <v>2408327.3601250001</v>
      </c>
      <c r="D391">
        <f t="shared" si="12"/>
        <v>1592549.3798750001</v>
      </c>
      <c r="E391">
        <f t="shared" si="13"/>
        <v>1.6612678185877279</v>
      </c>
    </row>
    <row r="392" spans="1:5" x14ac:dyDescent="0.35">
      <c r="A392" t="s">
        <v>422</v>
      </c>
      <c r="B392">
        <f>IF(Final_Payroll!B392="Sales",Earnings!B392*3,
IF(Final_Payroll!B392="IT",Earnings!B392*2,
IF(Final_Payroll!B392="Finance",Earnings!B392*1.5,
IF(Final_Payroll!B392="HR",Earnings!B392*1.2,
Earnings!B392*1.3))))</f>
        <v>2503836.7200000002</v>
      </c>
      <c r="C392">
        <f>Earnings!B392 + Deductions!B392 + Deductions!C392 + Overtime!D392</f>
        <v>1253718.3600000001</v>
      </c>
      <c r="D392">
        <f t="shared" si="12"/>
        <v>1250118.3600000001</v>
      </c>
      <c r="E392">
        <f t="shared" si="13"/>
        <v>1.9971285416925697</v>
      </c>
    </row>
    <row r="393" spans="1:5" x14ac:dyDescent="0.35">
      <c r="A393" t="s">
        <v>423</v>
      </c>
      <c r="B393">
        <f>IF(Final_Payroll!B393="Sales",Earnings!B393*3,
IF(Final_Payroll!B393="IT",Earnings!B393*2,
IF(Final_Payroll!B393="Finance",Earnings!B393*1.5,
IF(Final_Payroll!B393="HR",Earnings!B393*1.2,
Earnings!B393*1.3))))</f>
        <v>2063368</v>
      </c>
      <c r="C393">
        <f>Earnings!B393 + Deductions!B393 + Deductions!C393 + Overtime!D393</f>
        <v>1121177.1399999999</v>
      </c>
      <c r="D393">
        <f t="shared" si="12"/>
        <v>942190.8600000001</v>
      </c>
      <c r="E393">
        <f t="shared" si="13"/>
        <v>1.8403586073829512</v>
      </c>
    </row>
    <row r="394" spans="1:5" x14ac:dyDescent="0.35">
      <c r="A394" t="s">
        <v>424</v>
      </c>
      <c r="B394">
        <f>IF(Final_Payroll!B394="Sales",Earnings!B394*3,
IF(Final_Payroll!B394="IT",Earnings!B394*2,
IF(Final_Payroll!B394="Finance",Earnings!B394*1.5,
IF(Final_Payroll!B394="HR",Earnings!B394*1.2,
Earnings!B394*1.3))))</f>
        <v>5311995</v>
      </c>
      <c r="C394">
        <f>Earnings!B394 + Deductions!B394 + Deductions!C394 + Overtime!D394</f>
        <v>1772465</v>
      </c>
      <c r="D394">
        <f t="shared" si="12"/>
        <v>3539530</v>
      </c>
      <c r="E394">
        <f t="shared" si="13"/>
        <v>2.9969533954126035</v>
      </c>
    </row>
    <row r="395" spans="1:5" x14ac:dyDescent="0.35">
      <c r="A395" t="s">
        <v>425</v>
      </c>
      <c r="B395">
        <f>IF(Final_Payroll!B395="Sales",Earnings!B395*3,
IF(Final_Payroll!B395="IT",Earnings!B395*2,
IF(Final_Payroll!B395="Finance",Earnings!B395*1.5,
IF(Final_Payroll!B395="HR",Earnings!B395*1.2,
Earnings!B395*1.3))))</f>
        <v>1692450.5550000002</v>
      </c>
      <c r="C395">
        <f>Earnings!B395 + Deductions!B395 + Deductions!C395 + Overtime!D395</f>
        <v>1197234.2423125</v>
      </c>
      <c r="D395">
        <f t="shared" si="12"/>
        <v>495216.31268750015</v>
      </c>
      <c r="E395">
        <f t="shared" si="13"/>
        <v>1.4136336025028589</v>
      </c>
    </row>
    <row r="396" spans="1:5" x14ac:dyDescent="0.35">
      <c r="A396" t="s">
        <v>426</v>
      </c>
      <c r="B396">
        <f>IF(Final_Payroll!B396="Sales",Earnings!B396*3,
IF(Final_Payroll!B396="IT",Earnings!B396*2,
IF(Final_Payroll!B396="Finance",Earnings!B396*1.5,
IF(Final_Payroll!B396="HR",Earnings!B396*1.2,
Earnings!B396*1.3))))</f>
        <v>1456445.25</v>
      </c>
      <c r="C396">
        <f>Earnings!B396 + Deductions!B396 + Deductions!C396 + Overtime!D396</f>
        <v>1122142.5</v>
      </c>
      <c r="D396">
        <f t="shared" si="12"/>
        <v>334302.75</v>
      </c>
      <c r="E396">
        <f t="shared" si="13"/>
        <v>1.2979147033465002</v>
      </c>
    </row>
    <row r="397" spans="1:5" x14ac:dyDescent="0.35">
      <c r="A397" t="s">
        <v>427</v>
      </c>
      <c r="B397">
        <f>IF(Final_Payroll!B397="Sales",Earnings!B397*3,
IF(Final_Payroll!B397="IT",Earnings!B397*2,
IF(Final_Payroll!B397="Finance",Earnings!B397*1.5,
IF(Final_Payroll!B397="HR",Earnings!B397*1.2,
Earnings!B397*1.3))))</f>
        <v>2431455.9749999996</v>
      </c>
      <c r="C397">
        <f>Earnings!B397 + Deductions!B397 + Deductions!C397 + Overtime!D397</f>
        <v>2008561.6646999998</v>
      </c>
      <c r="D397">
        <f t="shared" si="12"/>
        <v>422894.31029999978</v>
      </c>
      <c r="E397">
        <f t="shared" si="13"/>
        <v>1.2105458436911687</v>
      </c>
    </row>
    <row r="398" spans="1:5" x14ac:dyDescent="0.35">
      <c r="A398" t="s">
        <v>428</v>
      </c>
      <c r="B398">
        <f>IF(Final_Payroll!B398="Sales",Earnings!B398*3,
IF(Final_Payroll!B398="IT",Earnings!B398*2,
IF(Final_Payroll!B398="Finance",Earnings!B398*1.5,
IF(Final_Payroll!B398="HR",Earnings!B398*1.2,
Earnings!B398*1.3))))</f>
        <v>3521330.4</v>
      </c>
      <c r="C398">
        <f>Earnings!B398 + Deductions!B398 + Deductions!C398 + Overtime!D398</f>
        <v>1762465.2</v>
      </c>
      <c r="D398">
        <f t="shared" si="12"/>
        <v>1758865.2</v>
      </c>
      <c r="E398">
        <f t="shared" si="13"/>
        <v>1.9979574064781533</v>
      </c>
    </row>
    <row r="399" spans="1:5" x14ac:dyDescent="0.35">
      <c r="A399" t="s">
        <v>429</v>
      </c>
      <c r="B399">
        <f>IF(Final_Payroll!B399="Sales",Earnings!B399*3,
IF(Final_Payroll!B399="IT",Earnings!B399*2,
IF(Final_Payroll!B399="Finance",Earnings!B399*1.5,
IF(Final_Payroll!B399="HR",Earnings!B399*1.2,
Earnings!B399*1.3))))</f>
        <v>2769282.3</v>
      </c>
      <c r="C399">
        <f>Earnings!B399 + Deductions!B399 + Deductions!C399 + Overtime!D399</f>
        <v>1026434.451</v>
      </c>
      <c r="D399">
        <f t="shared" si="12"/>
        <v>1742847.8489999999</v>
      </c>
      <c r="E399">
        <f t="shared" si="13"/>
        <v>2.697963125947338</v>
      </c>
    </row>
    <row r="400" spans="1:5" x14ac:dyDescent="0.35">
      <c r="A400" t="s">
        <v>430</v>
      </c>
      <c r="B400">
        <f>IF(Final_Payroll!B400="Sales",Earnings!B400*3,
IF(Final_Payroll!B400="IT",Earnings!B400*2,
IF(Final_Payroll!B400="Finance",Earnings!B400*1.5,
IF(Final_Payroll!B400="HR",Earnings!B400*1.2,
Earnings!B400*1.3))))</f>
        <v>2854193.3</v>
      </c>
      <c r="C400">
        <f>Earnings!B400 + Deductions!B400 + Deductions!C400 + Overtime!D400</f>
        <v>1550199.8652499998</v>
      </c>
      <c r="D400">
        <f t="shared" si="12"/>
        <v>1303993.43475</v>
      </c>
      <c r="E400">
        <f t="shared" si="13"/>
        <v>1.8411776210157944</v>
      </c>
    </row>
    <row r="401" spans="1:5" x14ac:dyDescent="0.35">
      <c r="A401" t="s">
        <v>431</v>
      </c>
      <c r="B401">
        <f>IF(Final_Payroll!B401="Sales",Earnings!B401*3,
IF(Final_Payroll!B401="IT",Earnings!B401*2,
IF(Final_Payroll!B401="Finance",Earnings!B401*1.5,
IF(Final_Payroll!B401="HR",Earnings!B401*1.2,
Earnings!B401*1.3))))</f>
        <v>3244092.48</v>
      </c>
      <c r="C401">
        <f>Earnings!B401 + Deductions!B401 + Deductions!C401 + Overtime!D401</f>
        <v>1830657.1368750001</v>
      </c>
      <c r="D401">
        <f t="shared" si="12"/>
        <v>1413435.3431249999</v>
      </c>
      <c r="E401">
        <f t="shared" si="13"/>
        <v>1.7720917886009975</v>
      </c>
    </row>
    <row r="402" spans="1:5" x14ac:dyDescent="0.35">
      <c r="A402" t="s">
        <v>432</v>
      </c>
      <c r="B402">
        <f>IF(Final_Payroll!B402="Sales",Earnings!B402*3,
IF(Final_Payroll!B402="IT",Earnings!B402*2,
IF(Final_Payroll!B402="Finance",Earnings!B402*1.5,
IF(Final_Payroll!B402="HR",Earnings!B402*1.2,
Earnings!B402*1.3))))</f>
        <v>1659289</v>
      </c>
      <c r="C402">
        <f>Earnings!B402 + Deductions!B402 + Deductions!C402 + Overtime!D402</f>
        <v>831444.5</v>
      </c>
      <c r="D402">
        <f t="shared" si="12"/>
        <v>827844.5</v>
      </c>
      <c r="E402">
        <f t="shared" si="13"/>
        <v>1.9956701860436865</v>
      </c>
    </row>
    <row r="403" spans="1:5" x14ac:dyDescent="0.35">
      <c r="A403" t="s">
        <v>433</v>
      </c>
      <c r="B403">
        <f>IF(Final_Payroll!B403="Sales",Earnings!B403*3,
IF(Final_Payroll!B403="IT",Earnings!B403*2,
IF(Final_Payroll!B403="Finance",Earnings!B403*1.5,
IF(Final_Payroll!B403="HR",Earnings!B403*1.2,
Earnings!B403*1.3))))</f>
        <v>2527247.38</v>
      </c>
      <c r="C403">
        <f>Earnings!B403 + Deductions!B403 + Deductions!C403 + Overtime!D403</f>
        <v>1380413.4467</v>
      </c>
      <c r="D403">
        <f t="shared" si="12"/>
        <v>1146833.9332999999</v>
      </c>
      <c r="E403">
        <f t="shared" si="13"/>
        <v>1.8307901781467049</v>
      </c>
    </row>
    <row r="404" spans="1:5" x14ac:dyDescent="0.35">
      <c r="A404" t="s">
        <v>434</v>
      </c>
      <c r="B404">
        <f>IF(Final_Payroll!B404="Sales",Earnings!B404*3,
IF(Final_Payroll!B404="IT",Earnings!B404*2,
IF(Final_Payroll!B404="Finance",Earnings!B404*1.5,
IF(Final_Payroll!B404="HR",Earnings!B404*1.2,
Earnings!B404*1.3))))</f>
        <v>2212290</v>
      </c>
      <c r="C404">
        <f>Earnings!B404 + Deductions!B404 + Deductions!C404 + Overtime!D404</f>
        <v>761352.9</v>
      </c>
      <c r="D404">
        <f t="shared" si="12"/>
        <v>1450937.1</v>
      </c>
      <c r="E404">
        <f t="shared" si="13"/>
        <v>2.9057353035629077</v>
      </c>
    </row>
    <row r="405" spans="1:5" x14ac:dyDescent="0.35">
      <c r="A405" t="s">
        <v>435</v>
      </c>
      <c r="B405">
        <f>IF(Final_Payroll!B405="Sales",Earnings!B405*3,
IF(Final_Payroll!B405="IT",Earnings!B405*2,
IF(Final_Payroll!B405="Finance",Earnings!B405*1.5,
IF(Final_Payroll!B405="HR",Earnings!B405*1.2,
Earnings!B405*1.3))))</f>
        <v>1914152.4000000001</v>
      </c>
      <c r="C405">
        <f>Earnings!B405 + Deductions!B405 + Deductions!C405 + Overtime!D405</f>
        <v>1277901.6000000001</v>
      </c>
      <c r="D405">
        <f t="shared" si="12"/>
        <v>636250.80000000005</v>
      </c>
      <c r="E405">
        <f t="shared" si="13"/>
        <v>1.4978871612649989</v>
      </c>
    </row>
    <row r="406" spans="1:5" x14ac:dyDescent="0.35">
      <c r="A406" t="s">
        <v>436</v>
      </c>
      <c r="B406">
        <f>IF(Final_Payroll!B406="Sales",Earnings!B406*3,
IF(Final_Payroll!B406="IT",Earnings!B406*2,
IF(Final_Payroll!B406="Finance",Earnings!B406*1.5,
IF(Final_Payroll!B406="HR",Earnings!B406*1.2,
Earnings!B406*1.3))))</f>
        <v>1138912.5</v>
      </c>
      <c r="C406">
        <f>Earnings!B406 + Deductions!B406 + Deductions!C406 + Overtime!D406</f>
        <v>837002.5</v>
      </c>
      <c r="D406">
        <f t="shared" si="12"/>
        <v>301910</v>
      </c>
      <c r="E406">
        <f t="shared" si="13"/>
        <v>1.3607038210758033</v>
      </c>
    </row>
    <row r="407" spans="1:5" x14ac:dyDescent="0.35">
      <c r="A407" t="s">
        <v>437</v>
      </c>
      <c r="B407">
        <f>IF(Final_Payroll!B407="Sales",Earnings!B407*3,
IF(Final_Payroll!B407="IT",Earnings!B407*2,
IF(Final_Payroll!B407="Finance",Earnings!B407*1.5,
IF(Final_Payroll!B407="HR",Earnings!B407*1.2,
Earnings!B407*1.3))))</f>
        <v>849384.36</v>
      </c>
      <c r="C407">
        <f>Earnings!B407 + Deductions!B407 + Deductions!C407 + Overtime!D407</f>
        <v>787480.53300000005</v>
      </c>
      <c r="D407">
        <f t="shared" si="12"/>
        <v>61903.826999999932</v>
      </c>
      <c r="E407">
        <f t="shared" si="13"/>
        <v>1.0786099775243585</v>
      </c>
    </row>
    <row r="408" spans="1:5" x14ac:dyDescent="0.35">
      <c r="A408" t="s">
        <v>438</v>
      </c>
      <c r="B408">
        <f>IF(Final_Payroll!B408="Sales",Earnings!B408*3,
IF(Final_Payroll!B408="IT",Earnings!B408*2,
IF(Final_Payroll!B408="Finance",Earnings!B408*1.5,
IF(Final_Payroll!B408="HR",Earnings!B408*1.2,
Earnings!B408*1.3))))</f>
        <v>5115520.1999999993</v>
      </c>
      <c r="C408">
        <f>Earnings!B408 + Deductions!B408 + Deductions!C408 + Overtime!D408</f>
        <v>1766654.4689999998</v>
      </c>
      <c r="D408">
        <f t="shared" si="12"/>
        <v>3348865.7309999997</v>
      </c>
      <c r="E408">
        <f t="shared" si="13"/>
        <v>2.8955974638864141</v>
      </c>
    </row>
    <row r="409" spans="1:5" x14ac:dyDescent="0.35">
      <c r="A409" t="s">
        <v>439</v>
      </c>
      <c r="B409">
        <f>IF(Final_Payroll!B409="Sales",Earnings!B409*3,
IF(Final_Payroll!B409="IT",Earnings!B409*2,
IF(Final_Payroll!B409="Finance",Earnings!B409*1.5,
IF(Final_Payroll!B409="HR",Earnings!B409*1.2,
Earnings!B409*1.3))))</f>
        <v>4061471.6999999997</v>
      </c>
      <c r="C409">
        <f>Earnings!B409 + Deductions!B409 + Deductions!C409 + Overtime!D409</f>
        <v>1470698.9314999999</v>
      </c>
      <c r="D409">
        <f t="shared" si="12"/>
        <v>2590772.7684999998</v>
      </c>
      <c r="E409">
        <f t="shared" si="13"/>
        <v>2.761592881459165</v>
      </c>
    </row>
    <row r="410" spans="1:5" x14ac:dyDescent="0.35">
      <c r="A410" t="s">
        <v>440</v>
      </c>
      <c r="B410">
        <f>IF(Final_Payroll!B410="Sales",Earnings!B410*3,
IF(Final_Payroll!B410="IT",Earnings!B410*2,
IF(Final_Payroll!B410="Finance",Earnings!B410*1.5,
IF(Final_Payroll!B410="HR",Earnings!B410*1.2,
Earnings!B410*1.3))))</f>
        <v>1018324.7999999999</v>
      </c>
      <c r="C410">
        <f>Earnings!B410 + Deductions!B410 + Deductions!C410 + Overtime!D410</f>
        <v>850404</v>
      </c>
      <c r="D410">
        <f t="shared" si="12"/>
        <v>167920.79999999993</v>
      </c>
      <c r="E410">
        <f t="shared" si="13"/>
        <v>1.1974600307618495</v>
      </c>
    </row>
    <row r="411" spans="1:5" x14ac:dyDescent="0.35">
      <c r="A411" t="s">
        <v>441</v>
      </c>
      <c r="B411">
        <f>IF(Final_Payroll!B411="Sales",Earnings!B411*3,
IF(Final_Payroll!B411="IT",Earnings!B411*2,
IF(Final_Payroll!B411="Finance",Earnings!B411*1.5,
IF(Final_Payroll!B411="HR",Earnings!B411*1.2,
Earnings!B411*1.3))))</f>
        <v>2338320.12</v>
      </c>
      <c r="C411">
        <f>Earnings!B411 + Deductions!B411 + Deductions!C411 + Overtime!D411</f>
        <v>1170960.06</v>
      </c>
      <c r="D411">
        <f t="shared" si="12"/>
        <v>1167360.06</v>
      </c>
      <c r="E411">
        <f t="shared" si="13"/>
        <v>1.9969255996656283</v>
      </c>
    </row>
    <row r="412" spans="1:5" x14ac:dyDescent="0.35">
      <c r="A412" t="s">
        <v>442</v>
      </c>
      <c r="B412">
        <f>IF(Final_Payroll!B412="Sales",Earnings!B412*3,
IF(Final_Payroll!B412="IT",Earnings!B412*2,
IF(Final_Payroll!B412="Finance",Earnings!B412*1.5,
IF(Final_Payroll!B412="HR",Earnings!B412*1.2,
Earnings!B412*1.3))))</f>
        <v>2586341.94</v>
      </c>
      <c r="C412">
        <f>Earnings!B412 + Deductions!B412 + Deductions!C412 + Overtime!D412</f>
        <v>863913.98</v>
      </c>
      <c r="D412">
        <f t="shared" si="12"/>
        <v>1722427.96</v>
      </c>
      <c r="E412">
        <f t="shared" si="13"/>
        <v>2.9937493776868851</v>
      </c>
    </row>
    <row r="413" spans="1:5" x14ac:dyDescent="0.35">
      <c r="A413" t="s">
        <v>443</v>
      </c>
      <c r="B413">
        <f>IF(Final_Payroll!B413="Sales",Earnings!B413*3,
IF(Final_Payroll!B413="IT",Earnings!B413*2,
IF(Final_Payroll!B413="Finance",Earnings!B413*1.5,
IF(Final_Payroll!B413="HR",Earnings!B413*1.2,
Earnings!B413*1.3))))</f>
        <v>2996162.4</v>
      </c>
      <c r="C413">
        <f>Earnings!B413 + Deductions!B413 + Deductions!C413 + Overtime!D413</f>
        <v>1499881.2</v>
      </c>
      <c r="D413">
        <f t="shared" si="12"/>
        <v>1496281.2</v>
      </c>
      <c r="E413">
        <f t="shared" si="13"/>
        <v>1.9975998099049446</v>
      </c>
    </row>
    <row r="414" spans="1:5" x14ac:dyDescent="0.35">
      <c r="A414" t="s">
        <v>444</v>
      </c>
      <c r="B414">
        <f>IF(Final_Payroll!B414="Sales",Earnings!B414*3,
IF(Final_Payroll!B414="IT",Earnings!B414*2,
IF(Final_Payroll!B414="Finance",Earnings!B414*1.5,
IF(Final_Payroll!B414="HR",Earnings!B414*1.2,
Earnings!B414*1.3))))</f>
        <v>1801335.6400000001</v>
      </c>
      <c r="C414">
        <f>Earnings!B414 + Deductions!B414 + Deductions!C414 + Overtime!D414</f>
        <v>1658335.9674</v>
      </c>
      <c r="D414">
        <f t="shared" si="12"/>
        <v>142999.67260000017</v>
      </c>
      <c r="E414">
        <f t="shared" si="13"/>
        <v>1.0862308213842822</v>
      </c>
    </row>
    <row r="415" spans="1:5" x14ac:dyDescent="0.35">
      <c r="A415" t="s">
        <v>445</v>
      </c>
      <c r="B415">
        <f>IF(Final_Payroll!B415="Sales",Earnings!B415*3,
IF(Final_Payroll!B415="IT",Earnings!B415*2,
IF(Final_Payroll!B415="Finance",Earnings!B415*1.5,
IF(Final_Payroll!B415="HR",Earnings!B415*1.2,
Earnings!B415*1.3))))</f>
        <v>1659630.5999999999</v>
      </c>
      <c r="C415">
        <f>Earnings!B415 + Deductions!B415 + Deductions!C415 + Overtime!D415</f>
        <v>1108220.3999999999</v>
      </c>
      <c r="D415">
        <f t="shared" si="12"/>
        <v>551410.19999999995</v>
      </c>
      <c r="E415">
        <f t="shared" si="13"/>
        <v>1.4975636615243682</v>
      </c>
    </row>
    <row r="416" spans="1:5" x14ac:dyDescent="0.35">
      <c r="A416" t="s">
        <v>446</v>
      </c>
      <c r="B416">
        <f>IF(Final_Payroll!B416="Sales",Earnings!B416*3,
IF(Final_Payroll!B416="IT",Earnings!B416*2,
IF(Final_Payroll!B416="Finance",Earnings!B416*1.5,
IF(Final_Payroll!B416="HR",Earnings!B416*1.2,
Earnings!B416*1.3))))</f>
        <v>1445418.0650000002</v>
      </c>
      <c r="C416">
        <f>Earnings!B416 + Deductions!B416 + Deductions!C416 + Overtime!D416</f>
        <v>1308235.5587500001</v>
      </c>
      <c r="D416">
        <f t="shared" si="12"/>
        <v>137182.50625000009</v>
      </c>
      <c r="E416">
        <f t="shared" si="13"/>
        <v>1.1048607074868657</v>
      </c>
    </row>
    <row r="417" spans="1:5" x14ac:dyDescent="0.35">
      <c r="A417" t="s">
        <v>447</v>
      </c>
      <c r="B417">
        <f>IF(Final_Payroll!B417="Sales",Earnings!B417*3,
IF(Final_Payroll!B417="IT",Earnings!B417*2,
IF(Final_Payroll!B417="Finance",Earnings!B417*1.5,
IF(Final_Payroll!B417="HR",Earnings!B417*1.2,
Earnings!B417*1.3))))</f>
        <v>1827817.29</v>
      </c>
      <c r="C417">
        <f>Earnings!B417 + Deductions!B417 + Deductions!C417 + Overtime!D417</f>
        <v>1410437.8566000001</v>
      </c>
      <c r="D417">
        <f t="shared" si="12"/>
        <v>417379.43339999998</v>
      </c>
      <c r="E417">
        <f t="shared" si="13"/>
        <v>1.2959218879774925</v>
      </c>
    </row>
    <row r="418" spans="1:5" x14ac:dyDescent="0.35">
      <c r="A418" t="s">
        <v>448</v>
      </c>
      <c r="B418">
        <f>IF(Final_Payroll!B418="Sales",Earnings!B418*3,
IF(Final_Payroll!B418="IT",Earnings!B418*2,
IF(Final_Payroll!B418="Finance",Earnings!B418*1.5,
IF(Final_Payroll!B418="HR",Earnings!B418*1.2,
Earnings!B418*1.3))))</f>
        <v>2072323.7999999998</v>
      </c>
      <c r="C418">
        <f>Earnings!B418 + Deductions!B418 + Deductions!C418 + Overtime!D418</f>
        <v>1383349.2</v>
      </c>
      <c r="D418">
        <f t="shared" si="12"/>
        <v>688974.59999999986</v>
      </c>
      <c r="E418">
        <f t="shared" si="13"/>
        <v>1.4980482151578212</v>
      </c>
    </row>
    <row r="419" spans="1:5" x14ac:dyDescent="0.35">
      <c r="A419" t="s">
        <v>449</v>
      </c>
      <c r="B419">
        <f>IF(Final_Payroll!B419="Sales",Earnings!B419*3,
IF(Final_Payroll!B419="IT",Earnings!B419*2,
IF(Final_Payroll!B419="Finance",Earnings!B419*1.5,
IF(Final_Payroll!B419="HR",Earnings!B419*1.2,
Earnings!B419*1.3))))</f>
        <v>1025158.68</v>
      </c>
      <c r="C419">
        <f>Earnings!B419 + Deductions!B419 + Deductions!C419 + Overtime!D419</f>
        <v>790383.6</v>
      </c>
      <c r="D419">
        <f t="shared" si="12"/>
        <v>234775.08000000007</v>
      </c>
      <c r="E419">
        <f t="shared" si="13"/>
        <v>1.2970394122550115</v>
      </c>
    </row>
    <row r="420" spans="1:5" x14ac:dyDescent="0.35">
      <c r="A420" t="s">
        <v>450</v>
      </c>
      <c r="B420">
        <f>IF(Final_Payroll!B420="Sales",Earnings!B420*3,
IF(Final_Payroll!B420="IT",Earnings!B420*2,
IF(Final_Payroll!B420="Finance",Earnings!B420*1.5,
IF(Final_Payroll!B420="HR",Earnings!B420*1.2,
Earnings!B420*1.3))))</f>
        <v>3714821.6</v>
      </c>
      <c r="C420">
        <f>Earnings!B420 + Deductions!B420 + Deductions!C420 + Overtime!D420</f>
        <v>2054238.9340000001</v>
      </c>
      <c r="D420">
        <f t="shared" si="12"/>
        <v>1660582.666</v>
      </c>
      <c r="E420">
        <f t="shared" si="13"/>
        <v>1.8083688019516428</v>
      </c>
    </row>
    <row r="421" spans="1:5" x14ac:dyDescent="0.35">
      <c r="A421" t="s">
        <v>451</v>
      </c>
      <c r="B421">
        <f>IF(Final_Payroll!B421="Sales",Earnings!B421*3,
IF(Final_Payroll!B421="IT",Earnings!B421*2,
IF(Final_Payroll!B421="Finance",Earnings!B421*1.5,
IF(Final_Payroll!B421="HR",Earnings!B421*1.2,
Earnings!B421*1.3))))</f>
        <v>1198768.368</v>
      </c>
      <c r="C421">
        <f>Earnings!B421 + Deductions!B421 + Deductions!C421 + Overtime!D421</f>
        <v>1126644.3199</v>
      </c>
      <c r="D421">
        <f t="shared" si="12"/>
        <v>72124.048100000015</v>
      </c>
      <c r="E421">
        <f t="shared" si="13"/>
        <v>1.0640166970409983</v>
      </c>
    </row>
    <row r="422" spans="1:5" x14ac:dyDescent="0.35">
      <c r="A422" t="s">
        <v>452</v>
      </c>
      <c r="B422">
        <f>IF(Final_Payroll!B422="Sales",Earnings!B422*3,
IF(Final_Payroll!B422="IT",Earnings!B422*2,
IF(Final_Payroll!B422="Finance",Earnings!B422*1.5,
IF(Final_Payroll!B422="HR",Earnings!B422*1.2,
Earnings!B422*1.3))))</f>
        <v>1017680.3999999999</v>
      </c>
      <c r="C422">
        <f>Earnings!B422 + Deductions!B422 + Deductions!C422 + Overtime!D422</f>
        <v>951635.04</v>
      </c>
      <c r="D422">
        <f t="shared" si="12"/>
        <v>66045.35999999987</v>
      </c>
      <c r="E422">
        <f t="shared" si="13"/>
        <v>1.0694019841892328</v>
      </c>
    </row>
    <row r="423" spans="1:5" x14ac:dyDescent="0.35">
      <c r="A423" t="s">
        <v>453</v>
      </c>
      <c r="B423">
        <f>IF(Final_Payroll!B423="Sales",Earnings!B423*3,
IF(Final_Payroll!B423="IT",Earnings!B423*2,
IF(Final_Payroll!B423="Finance",Earnings!B423*1.5,
IF(Final_Payroll!B423="HR",Earnings!B423*1.2,
Earnings!B423*1.3))))</f>
        <v>908005.44</v>
      </c>
      <c r="C423">
        <f>Earnings!B423 + Deductions!B423 + Deductions!C423 + Overtime!D423</f>
        <v>788738.04799999995</v>
      </c>
      <c r="D423">
        <f t="shared" si="12"/>
        <v>119267.39199999999</v>
      </c>
      <c r="E423">
        <f t="shared" si="13"/>
        <v>1.1512129309628538</v>
      </c>
    </row>
    <row r="424" spans="1:5" x14ac:dyDescent="0.35">
      <c r="A424" t="s">
        <v>454</v>
      </c>
      <c r="B424">
        <f>IF(Final_Payroll!B424="Sales",Earnings!B424*3,
IF(Final_Payroll!B424="IT",Earnings!B424*2,
IF(Final_Payroll!B424="Finance",Earnings!B424*1.5,
IF(Final_Payroll!B424="HR",Earnings!B424*1.2,
Earnings!B424*1.3))))</f>
        <v>2183514.39</v>
      </c>
      <c r="C424">
        <f>Earnings!B424 + Deductions!B424 + Deductions!C424 + Overtime!D424</f>
        <v>1457476.26</v>
      </c>
      <c r="D424">
        <f t="shared" si="12"/>
        <v>726038.13000000012</v>
      </c>
      <c r="E424">
        <f t="shared" si="13"/>
        <v>1.4981474826903871</v>
      </c>
    </row>
    <row r="425" spans="1:5" x14ac:dyDescent="0.35">
      <c r="A425" t="s">
        <v>455</v>
      </c>
      <c r="B425">
        <f>IF(Final_Payroll!B425="Sales",Earnings!B425*3,
IF(Final_Payroll!B425="IT",Earnings!B425*2,
IF(Final_Payroll!B425="Finance",Earnings!B425*1.5,
IF(Final_Payroll!B425="HR",Earnings!B425*1.2,
Earnings!B425*1.3))))</f>
        <v>530721.98400000005</v>
      </c>
      <c r="C425">
        <f>Earnings!B425 + Deductions!B425 + Deductions!C425 + Overtime!D425</f>
        <v>410047.68</v>
      </c>
      <c r="D425">
        <f t="shared" si="12"/>
        <v>120674.30400000006</v>
      </c>
      <c r="E425">
        <f t="shared" si="13"/>
        <v>1.2942933465688675</v>
      </c>
    </row>
    <row r="426" spans="1:5" x14ac:dyDescent="0.35">
      <c r="A426" t="s">
        <v>456</v>
      </c>
      <c r="B426">
        <f>IF(Final_Payroll!B426="Sales",Earnings!B426*3,
IF(Final_Payroll!B426="IT",Earnings!B426*2,
IF(Final_Payroll!B426="Finance",Earnings!B426*1.5,
IF(Final_Payroll!B426="HR",Earnings!B426*1.2,
Earnings!B426*1.3))))</f>
        <v>3402212.2949999999</v>
      </c>
      <c r="C426">
        <f>Earnings!B426 + Deductions!B426 + Deductions!C426 + Overtime!D426</f>
        <v>2269941.5299999998</v>
      </c>
      <c r="D426">
        <f t="shared" si="12"/>
        <v>1132270.7650000001</v>
      </c>
      <c r="E426">
        <f t="shared" si="13"/>
        <v>1.4988105420495128</v>
      </c>
    </row>
    <row r="427" spans="1:5" x14ac:dyDescent="0.35">
      <c r="A427" t="s">
        <v>457</v>
      </c>
      <c r="B427">
        <f>IF(Final_Payroll!B427="Sales",Earnings!B427*3,
IF(Final_Payroll!B427="IT",Earnings!B427*2,
IF(Final_Payroll!B427="Finance",Earnings!B427*1.5,
IF(Final_Payroll!B427="HR",Earnings!B427*1.2,
Earnings!B427*1.3))))</f>
        <v>2335398.2999999998</v>
      </c>
      <c r="C427">
        <f>Earnings!B427 + Deductions!B427 + Deductions!C427 + Overtime!D427</f>
        <v>897036.01500000001</v>
      </c>
      <c r="D427">
        <f t="shared" si="12"/>
        <v>1438362.2849999997</v>
      </c>
      <c r="E427">
        <f t="shared" si="13"/>
        <v>2.6034610215733642</v>
      </c>
    </row>
    <row r="428" spans="1:5" x14ac:dyDescent="0.35">
      <c r="A428" t="s">
        <v>458</v>
      </c>
      <c r="B428">
        <f>IF(Final_Payroll!B428="Sales",Earnings!B428*3,
IF(Final_Payroll!B428="IT",Earnings!B428*2,
IF(Final_Payroll!B428="Finance",Earnings!B428*1.5,
IF(Final_Payroll!B428="HR",Earnings!B428*1.2,
Earnings!B428*1.3))))</f>
        <v>1356656.8859999999</v>
      </c>
      <c r="C428">
        <f>Earnings!B428 + Deductions!B428 + Deductions!C428 + Overtime!D428</f>
        <v>1045382.22</v>
      </c>
      <c r="D428">
        <f t="shared" si="12"/>
        <v>311274.66599999997</v>
      </c>
      <c r="E428">
        <f t="shared" si="13"/>
        <v>1.2977615842748884</v>
      </c>
    </row>
    <row r="429" spans="1:5" x14ac:dyDescent="0.35">
      <c r="A429" t="s">
        <v>459</v>
      </c>
      <c r="B429">
        <f>IF(Final_Payroll!B429="Sales",Earnings!B429*3,
IF(Final_Payroll!B429="IT",Earnings!B429*2,
IF(Final_Payroll!B429="Finance",Earnings!B429*1.5,
IF(Final_Payroll!B429="HR",Earnings!B429*1.2,
Earnings!B429*1.3))))</f>
        <v>1564023.12</v>
      </c>
      <c r="C429">
        <f>Earnings!B429 + Deductions!B429 + Deductions!C429 + Overtime!D429</f>
        <v>1559958.0333</v>
      </c>
      <c r="D429">
        <f t="shared" si="12"/>
        <v>4065.0867000001017</v>
      </c>
      <c r="E429">
        <f t="shared" si="13"/>
        <v>1.0026058949107757</v>
      </c>
    </row>
    <row r="430" spans="1:5" x14ac:dyDescent="0.35">
      <c r="A430" t="s">
        <v>460</v>
      </c>
      <c r="B430">
        <f>IF(Final_Payroll!B430="Sales",Earnings!B430*3,
IF(Final_Payroll!B430="IT",Earnings!B430*2,
IF(Final_Payroll!B430="Finance",Earnings!B430*1.5,
IF(Final_Payroll!B430="HR",Earnings!B430*1.2,
Earnings!B430*1.3))))</f>
        <v>2779563.58</v>
      </c>
      <c r="C430">
        <f>Earnings!B430 + Deductions!B430 + Deductions!C430 + Overtime!D430</f>
        <v>1391581.79</v>
      </c>
      <c r="D430">
        <f t="shared" si="12"/>
        <v>1387981.79</v>
      </c>
      <c r="E430">
        <f t="shared" si="13"/>
        <v>1.9974130158745467</v>
      </c>
    </row>
    <row r="431" spans="1:5" x14ac:dyDescent="0.35">
      <c r="A431" t="s">
        <v>461</v>
      </c>
      <c r="B431">
        <f>IF(Final_Payroll!B431="Sales",Earnings!B431*3,
IF(Final_Payroll!B431="IT",Earnings!B431*2,
IF(Final_Payroll!B431="Finance",Earnings!B431*1.5,
IF(Final_Payroll!B431="HR",Earnings!B431*1.2,
Earnings!B431*1.3))))</f>
        <v>1921745.0250000001</v>
      </c>
      <c r="C431">
        <f>Earnings!B431 + Deductions!B431 + Deductions!C431 + Overtime!D431</f>
        <v>1282963.3500000001</v>
      </c>
      <c r="D431">
        <f t="shared" si="12"/>
        <v>638781.67500000005</v>
      </c>
      <c r="E431">
        <f t="shared" si="13"/>
        <v>1.4978954971706713</v>
      </c>
    </row>
    <row r="432" spans="1:5" x14ac:dyDescent="0.35">
      <c r="A432" t="s">
        <v>462</v>
      </c>
      <c r="B432">
        <f>IF(Final_Payroll!B432="Sales",Earnings!B432*3,
IF(Final_Payroll!B432="IT",Earnings!B432*2,
IF(Final_Payroll!B432="Finance",Earnings!B432*1.5,
IF(Final_Payroll!B432="HR",Earnings!B432*1.2,
Earnings!B432*1.3))))</f>
        <v>556947</v>
      </c>
      <c r="C432">
        <f>Earnings!B432 + Deductions!B432 + Deductions!C432 + Overtime!D432</f>
        <v>465922.5</v>
      </c>
      <c r="D432">
        <f t="shared" si="12"/>
        <v>91024.5</v>
      </c>
      <c r="E432">
        <f t="shared" si="13"/>
        <v>1.1953640358643336</v>
      </c>
    </row>
    <row r="433" spans="1:5" x14ac:dyDescent="0.35">
      <c r="A433" t="s">
        <v>463</v>
      </c>
      <c r="B433">
        <f>IF(Final_Payroll!B433="Sales",Earnings!B433*3,
IF(Final_Payroll!B433="IT",Earnings!B433*2,
IF(Final_Payroll!B433="Finance",Earnings!B433*1.5,
IF(Final_Payroll!B433="HR",Earnings!B433*1.2,
Earnings!B433*1.3))))</f>
        <v>3336278.4000000004</v>
      </c>
      <c r="C433">
        <f>Earnings!B433 + Deductions!B433 + Deductions!C433 + Overtime!D433</f>
        <v>1113892.8</v>
      </c>
      <c r="D433">
        <f t="shared" si="12"/>
        <v>2222385.6000000006</v>
      </c>
      <c r="E433">
        <f t="shared" si="13"/>
        <v>2.9951521367226723</v>
      </c>
    </row>
    <row r="434" spans="1:5" x14ac:dyDescent="0.35">
      <c r="A434" t="s">
        <v>464</v>
      </c>
      <c r="B434">
        <f>IF(Final_Payroll!B434="Sales",Earnings!B434*3,
IF(Final_Payroll!B434="IT",Earnings!B434*2,
IF(Final_Payroll!B434="Finance",Earnings!B434*1.5,
IF(Final_Payroll!B434="HR",Earnings!B434*1.2,
Earnings!B434*1.3))))</f>
        <v>1558537.2000000002</v>
      </c>
      <c r="C434">
        <f>Earnings!B434 + Deductions!B434 + Deductions!C434 + Overtime!D434</f>
        <v>1040824.8</v>
      </c>
      <c r="D434">
        <f t="shared" si="12"/>
        <v>517712.40000000014</v>
      </c>
      <c r="E434">
        <f t="shared" si="13"/>
        <v>1.4974059034719389</v>
      </c>
    </row>
    <row r="435" spans="1:5" x14ac:dyDescent="0.35">
      <c r="A435" t="s">
        <v>465</v>
      </c>
      <c r="B435">
        <f>IF(Final_Payroll!B435="Sales",Earnings!B435*3,
IF(Final_Payroll!B435="IT",Earnings!B435*2,
IF(Final_Payroll!B435="Finance",Earnings!B435*1.5,
IF(Final_Payroll!B435="HR",Earnings!B435*1.2,
Earnings!B435*1.3))))</f>
        <v>1342533.8250000002</v>
      </c>
      <c r="C435">
        <f>Earnings!B435 + Deductions!B435 + Deductions!C435 + Overtime!D435</f>
        <v>896822.55</v>
      </c>
      <c r="D435">
        <f t="shared" si="12"/>
        <v>445711.27500000014</v>
      </c>
      <c r="E435">
        <f t="shared" si="13"/>
        <v>1.4969893709742246</v>
      </c>
    </row>
    <row r="436" spans="1:5" x14ac:dyDescent="0.35">
      <c r="A436" t="s">
        <v>466</v>
      </c>
      <c r="B436">
        <f>IF(Final_Payroll!B436="Sales",Earnings!B436*3,
IF(Final_Payroll!B436="IT",Earnings!B436*2,
IF(Final_Payroll!B436="Finance",Earnings!B436*1.5,
IF(Final_Payroll!B436="HR",Earnings!B436*1.2,
Earnings!B436*1.3))))</f>
        <v>2286405.6</v>
      </c>
      <c r="C436">
        <f>Earnings!B436 + Deductions!B436 + Deductions!C436 + Overtime!D436</f>
        <v>1145002.8</v>
      </c>
      <c r="D436">
        <f t="shared" si="12"/>
        <v>1141402.8</v>
      </c>
      <c r="E436">
        <f t="shared" si="13"/>
        <v>1.9968559028851283</v>
      </c>
    </row>
    <row r="437" spans="1:5" x14ac:dyDescent="0.35">
      <c r="A437" t="s">
        <v>467</v>
      </c>
      <c r="B437">
        <f>IF(Final_Payroll!B437="Sales",Earnings!B437*3,
IF(Final_Payroll!B437="IT",Earnings!B437*2,
IF(Final_Payroll!B437="Finance",Earnings!B437*1.5,
IF(Final_Payroll!B437="HR",Earnings!B437*1.2,
Earnings!B437*1.3))))</f>
        <v>1617550.2000000002</v>
      </c>
      <c r="C437">
        <f>Earnings!B437 + Deductions!B437 + Deductions!C437 + Overtime!D437</f>
        <v>1080166.8</v>
      </c>
      <c r="D437">
        <f t="shared" si="12"/>
        <v>537383.40000000014</v>
      </c>
      <c r="E437">
        <f t="shared" si="13"/>
        <v>1.4975003860514877</v>
      </c>
    </row>
    <row r="438" spans="1:5" x14ac:dyDescent="0.35">
      <c r="A438" t="s">
        <v>468</v>
      </c>
      <c r="B438">
        <f>IF(Final_Payroll!B438="Sales",Earnings!B438*3,
IF(Final_Payroll!B438="IT",Earnings!B438*2,
IF(Final_Payroll!B438="Finance",Earnings!B438*1.5,
IF(Final_Payroll!B438="HR",Earnings!B438*1.2,
Earnings!B438*1.3))))</f>
        <v>695658.6</v>
      </c>
      <c r="C438">
        <f>Earnings!B438 + Deductions!B438 + Deductions!C438 + Overtime!D438</f>
        <v>536922</v>
      </c>
      <c r="D438">
        <f t="shared" si="12"/>
        <v>158736.59999999998</v>
      </c>
      <c r="E438">
        <f t="shared" si="13"/>
        <v>1.2956418250695632</v>
      </c>
    </row>
    <row r="439" spans="1:5" x14ac:dyDescent="0.35">
      <c r="A439" t="s">
        <v>469</v>
      </c>
      <c r="B439">
        <f>IF(Final_Payroll!B439="Sales",Earnings!B439*3,
IF(Final_Payroll!B439="IT",Earnings!B439*2,
IF(Final_Payroll!B439="Finance",Earnings!B439*1.5,
IF(Final_Payroll!B439="HR",Earnings!B439*1.2,
Earnings!B439*1.3))))</f>
        <v>3494117.1</v>
      </c>
      <c r="C439">
        <f>Earnings!B439 + Deductions!B439 + Deductions!C439 + Overtime!D439</f>
        <v>1748858.55</v>
      </c>
      <c r="D439">
        <f t="shared" si="12"/>
        <v>1745258.55</v>
      </c>
      <c r="E439">
        <f t="shared" si="13"/>
        <v>1.9979415144809738</v>
      </c>
    </row>
    <row r="440" spans="1:5" x14ac:dyDescent="0.35">
      <c r="A440" t="s">
        <v>470</v>
      </c>
      <c r="B440">
        <f>IF(Final_Payroll!B440="Sales",Earnings!B440*3,
IF(Final_Payroll!B440="IT",Earnings!B440*2,
IF(Final_Payroll!B440="Finance",Earnings!B440*1.5,
IF(Final_Payroll!B440="HR",Earnings!B440*1.2,
Earnings!B440*1.3))))</f>
        <v>1454511.6359999999</v>
      </c>
      <c r="C440">
        <f>Earnings!B440 + Deductions!B440 + Deductions!C440 + Overtime!D440</f>
        <v>1471462.7978125</v>
      </c>
      <c r="D440">
        <f t="shared" si="12"/>
        <v>-16951.161812500097</v>
      </c>
      <c r="E440">
        <f t="shared" si="13"/>
        <v>0.98848006090422402</v>
      </c>
    </row>
    <row r="441" spans="1:5" x14ac:dyDescent="0.35">
      <c r="A441" t="s">
        <v>471</v>
      </c>
      <c r="B441">
        <f>IF(Final_Payroll!B441="Sales",Earnings!B441*3,
IF(Final_Payroll!B441="IT",Earnings!B441*2,
IF(Final_Payroll!B441="Finance",Earnings!B441*1.5,
IF(Final_Payroll!B441="HR",Earnings!B441*1.2,
Earnings!B441*1.3))))</f>
        <v>980435.04</v>
      </c>
      <c r="C441">
        <f>Earnings!B441 + Deductions!B441 + Deductions!C441 + Overtime!D441</f>
        <v>755980.80000000005</v>
      </c>
      <c r="D441">
        <f t="shared" si="12"/>
        <v>224454.24</v>
      </c>
      <c r="E441">
        <f t="shared" si="13"/>
        <v>1.296904683293544</v>
      </c>
    </row>
    <row r="442" spans="1:5" x14ac:dyDescent="0.35">
      <c r="A442" t="s">
        <v>472</v>
      </c>
      <c r="B442">
        <f>IF(Final_Payroll!B442="Sales",Earnings!B442*3,
IF(Final_Payroll!B442="IT",Earnings!B442*2,
IF(Final_Payroll!B442="Finance",Earnings!B442*1.5,
IF(Final_Payroll!B442="HR",Earnings!B442*1.2,
Earnings!B442*1.3))))</f>
        <v>784417.92</v>
      </c>
      <c r="C442">
        <f>Earnings!B442 + Deductions!B442 + Deductions!C442 + Overtime!D442</f>
        <v>605198.4</v>
      </c>
      <c r="D442">
        <f t="shared" si="12"/>
        <v>179219.52000000002</v>
      </c>
      <c r="E442">
        <f t="shared" si="13"/>
        <v>1.2961334993615317</v>
      </c>
    </row>
    <row r="443" spans="1:5" x14ac:dyDescent="0.35">
      <c r="A443" t="s">
        <v>473</v>
      </c>
      <c r="B443">
        <f>IF(Final_Payroll!B443="Sales",Earnings!B443*3,
IF(Final_Payroll!B443="IT",Earnings!B443*2,
IF(Final_Payroll!B443="Finance",Earnings!B443*1.5,
IF(Final_Payroll!B443="HR",Earnings!B443*1.2,
Earnings!B443*1.3))))</f>
        <v>2600008</v>
      </c>
      <c r="C443">
        <f>Earnings!B443 + Deductions!B443 + Deductions!C443 + Overtime!D443</f>
        <v>1301804</v>
      </c>
      <c r="D443">
        <f t="shared" si="12"/>
        <v>1298204</v>
      </c>
      <c r="E443">
        <f t="shared" si="13"/>
        <v>1.9972346067457158</v>
      </c>
    </row>
    <row r="444" spans="1:5" x14ac:dyDescent="0.35">
      <c r="A444" t="s">
        <v>474</v>
      </c>
      <c r="B444">
        <f>IF(Final_Payroll!B444="Sales",Earnings!B444*3,
IF(Final_Payroll!B444="IT",Earnings!B444*2,
IF(Final_Payroll!B444="Finance",Earnings!B444*1.5,
IF(Final_Payroll!B444="HR",Earnings!B444*1.2,
Earnings!B444*1.3))))</f>
        <v>5660256</v>
      </c>
      <c r="C444">
        <f>Earnings!B444 + Deductions!B444 + Deductions!C444 + Overtime!D444</f>
        <v>1888552</v>
      </c>
      <c r="D444">
        <f t="shared" si="12"/>
        <v>3771704</v>
      </c>
      <c r="E444">
        <f t="shared" si="13"/>
        <v>2.9971406665000488</v>
      </c>
    </row>
    <row r="445" spans="1:5" x14ac:dyDescent="0.35">
      <c r="A445" t="s">
        <v>475</v>
      </c>
      <c r="B445">
        <f>IF(Final_Payroll!B445="Sales",Earnings!B445*3,
IF(Final_Payroll!B445="IT",Earnings!B445*2,
IF(Final_Payroll!B445="Finance",Earnings!B445*1.5,
IF(Final_Payroll!B445="HR",Earnings!B445*1.2,
Earnings!B445*1.3))))</f>
        <v>4023433.3499999996</v>
      </c>
      <c r="C445">
        <f>Earnings!B445 + Deductions!B445 + Deductions!C445 + Overtime!D445</f>
        <v>1342944.45</v>
      </c>
      <c r="D445">
        <f t="shared" si="12"/>
        <v>2680488.8999999994</v>
      </c>
      <c r="E445">
        <f t="shared" si="13"/>
        <v>2.9959789848344061</v>
      </c>
    </row>
    <row r="446" spans="1:5" x14ac:dyDescent="0.35">
      <c r="A446" t="s">
        <v>476</v>
      </c>
      <c r="B446">
        <f>IF(Final_Payroll!B446="Sales",Earnings!B446*3,
IF(Final_Payroll!B446="IT",Earnings!B446*2,
IF(Final_Payroll!B446="Finance",Earnings!B446*1.5,
IF(Final_Payroll!B446="HR",Earnings!B446*1.2,
Earnings!B446*1.3))))</f>
        <v>2029543.4249999998</v>
      </c>
      <c r="C446">
        <f>Earnings!B446 + Deductions!B446 + Deductions!C446 + Overtime!D446</f>
        <v>1354828.95</v>
      </c>
      <c r="D446">
        <f t="shared" si="12"/>
        <v>674714.47499999986</v>
      </c>
      <c r="E446">
        <f t="shared" si="13"/>
        <v>1.4980071285013505</v>
      </c>
    </row>
    <row r="447" spans="1:5" x14ac:dyDescent="0.35">
      <c r="A447" t="s">
        <v>477</v>
      </c>
      <c r="B447">
        <f>IF(Final_Payroll!B447="Sales",Earnings!B447*3,
IF(Final_Payroll!B447="IT",Earnings!B447*2,
IF(Final_Payroll!B447="Finance",Earnings!B447*1.5,
IF(Final_Payroll!B447="HR",Earnings!B447*1.2,
Earnings!B447*1.3))))</f>
        <v>2698480.89</v>
      </c>
      <c r="C447">
        <f>Earnings!B447 + Deductions!B447 + Deductions!C447 + Overtime!D447</f>
        <v>1939309.27825</v>
      </c>
      <c r="D447">
        <f t="shared" si="12"/>
        <v>759171.61175000016</v>
      </c>
      <c r="E447">
        <f t="shared" si="13"/>
        <v>1.391464951085607</v>
      </c>
    </row>
    <row r="448" spans="1:5" x14ac:dyDescent="0.35">
      <c r="A448" t="s">
        <v>478</v>
      </c>
      <c r="B448">
        <f>IF(Final_Payroll!B448="Sales",Earnings!B448*3,
IF(Final_Payroll!B448="IT",Earnings!B448*2,
IF(Final_Payroll!B448="Finance",Earnings!B448*1.5,
IF(Final_Payroll!B448="HR",Earnings!B448*1.2,
Earnings!B448*1.3))))</f>
        <v>3742560.1500000004</v>
      </c>
      <c r="C448">
        <f>Earnings!B448 + Deductions!B448 + Deductions!C448 + Overtime!D448</f>
        <v>1249320.05</v>
      </c>
      <c r="D448">
        <f t="shared" si="12"/>
        <v>2493240.1000000006</v>
      </c>
      <c r="E448">
        <f t="shared" si="13"/>
        <v>2.995677648813849</v>
      </c>
    </row>
    <row r="449" spans="1:5" x14ac:dyDescent="0.35">
      <c r="A449" t="s">
        <v>479</v>
      </c>
      <c r="B449">
        <f>IF(Final_Payroll!B449="Sales",Earnings!B449*3,
IF(Final_Payroll!B449="IT",Earnings!B449*2,
IF(Final_Payroll!B449="Finance",Earnings!B449*1.5,
IF(Final_Payroll!B449="HR",Earnings!B449*1.2,
Earnings!B449*1.3))))</f>
        <v>6004010.6999999993</v>
      </c>
      <c r="C449">
        <f>Earnings!B449 + Deductions!B449 + Deductions!C449 + Overtime!D449</f>
        <v>2003136.9</v>
      </c>
      <c r="D449">
        <f t="shared" si="12"/>
        <v>4000873.7999999993</v>
      </c>
      <c r="E449">
        <f t="shared" si="13"/>
        <v>2.9973042281833058</v>
      </c>
    </row>
    <row r="450" spans="1:5" x14ac:dyDescent="0.35">
      <c r="A450" t="s">
        <v>480</v>
      </c>
      <c r="B450">
        <f>IF(Final_Payroll!B450="Sales",Earnings!B450*3,
IF(Final_Payroll!B450="IT",Earnings!B450*2,
IF(Final_Payroll!B450="Finance",Earnings!B450*1.5,
IF(Final_Payroll!B450="HR",Earnings!B450*1.2,
Earnings!B450*1.3))))</f>
        <v>1637085.72</v>
      </c>
      <c r="C450">
        <f>Earnings!B450 + Deductions!B450 + Deductions!C450 + Overtime!D450</f>
        <v>1713918.8155</v>
      </c>
      <c r="D450">
        <f t="shared" ref="D450:D513" si="14">B450-C450</f>
        <v>-76833.095500000054</v>
      </c>
      <c r="E450">
        <f t="shared" ref="E450:E513" si="15">IF(C450=0,0,B450/C450)</f>
        <v>0.95517109981805903</v>
      </c>
    </row>
    <row r="451" spans="1:5" x14ac:dyDescent="0.35">
      <c r="A451" t="s">
        <v>481</v>
      </c>
      <c r="B451">
        <f>IF(Final_Payroll!B451="Sales",Earnings!B451*3,
IF(Final_Payroll!B451="IT",Earnings!B451*2,
IF(Final_Payroll!B451="Finance",Earnings!B451*1.5,
IF(Final_Payroll!B451="HR",Earnings!B451*1.2,
Earnings!B451*1.3))))</f>
        <v>777008.89500000002</v>
      </c>
      <c r="C451">
        <f>Earnings!B451 + Deductions!B451 + Deductions!C451 + Overtime!D451</f>
        <v>599499.15</v>
      </c>
      <c r="D451">
        <f t="shared" si="14"/>
        <v>177509.745</v>
      </c>
      <c r="E451">
        <f t="shared" si="15"/>
        <v>1.2960967417551801</v>
      </c>
    </row>
    <row r="452" spans="1:5" x14ac:dyDescent="0.35">
      <c r="A452" t="s">
        <v>482</v>
      </c>
      <c r="B452">
        <f>IF(Final_Payroll!B452="Sales",Earnings!B452*3,
IF(Final_Payroll!B452="IT",Earnings!B452*2,
IF(Final_Payroll!B452="Finance",Earnings!B452*1.5,
IF(Final_Payroll!B452="HR",Earnings!B452*1.2,
Earnings!B452*1.3))))</f>
        <v>3748388.4000000004</v>
      </c>
      <c r="C452">
        <f>Earnings!B452 + Deductions!B452 + Deductions!C452 + Overtime!D452</f>
        <v>1356217.6751999999</v>
      </c>
      <c r="D452">
        <f t="shared" si="14"/>
        <v>2392170.7248000004</v>
      </c>
      <c r="E452">
        <f t="shared" si="15"/>
        <v>2.763854555609762</v>
      </c>
    </row>
    <row r="453" spans="1:5" x14ac:dyDescent="0.35">
      <c r="A453" t="s">
        <v>483</v>
      </c>
      <c r="B453">
        <f>IF(Final_Payroll!B453="Sales",Earnings!B453*3,
IF(Final_Payroll!B453="IT",Earnings!B453*2,
IF(Final_Payroll!B453="Finance",Earnings!B453*1.5,
IF(Final_Payroll!B453="HR",Earnings!B453*1.2,
Earnings!B453*1.3))))</f>
        <v>3048702</v>
      </c>
      <c r="C453">
        <f>Earnings!B453 + Deductions!B453 + Deductions!C453 + Overtime!D453</f>
        <v>1526151</v>
      </c>
      <c r="D453">
        <f t="shared" si="14"/>
        <v>1522551</v>
      </c>
      <c r="E453">
        <f t="shared" si="15"/>
        <v>1.9976411246331458</v>
      </c>
    </row>
    <row r="454" spans="1:5" x14ac:dyDescent="0.35">
      <c r="A454" t="s">
        <v>484</v>
      </c>
      <c r="B454">
        <f>IF(Final_Payroll!B454="Sales",Earnings!B454*3,
IF(Final_Payroll!B454="IT",Earnings!B454*2,
IF(Final_Payroll!B454="Finance",Earnings!B454*1.5,
IF(Final_Payroll!B454="HR",Earnings!B454*1.2,
Earnings!B454*1.3))))</f>
        <v>1955968.3</v>
      </c>
      <c r="C454">
        <f>Earnings!B454 + Deductions!B454 + Deductions!C454 + Overtime!D454</f>
        <v>1126481.7725</v>
      </c>
      <c r="D454">
        <f t="shared" si="14"/>
        <v>829486.52750000008</v>
      </c>
      <c r="E454">
        <f t="shared" si="15"/>
        <v>1.7363514863264244</v>
      </c>
    </row>
    <row r="455" spans="1:5" x14ac:dyDescent="0.35">
      <c r="A455" t="s">
        <v>485</v>
      </c>
      <c r="B455">
        <f>IF(Final_Payroll!B455="Sales",Earnings!B455*3,
IF(Final_Payroll!B455="IT",Earnings!B455*2,
IF(Final_Payroll!B455="Finance",Earnings!B455*1.5,
IF(Final_Payroll!B455="HR",Earnings!B455*1.2,
Earnings!B455*1.3))))</f>
        <v>1845962.0999999999</v>
      </c>
      <c r="C455">
        <f>Earnings!B455 + Deductions!B455 + Deductions!C455 + Overtime!D455</f>
        <v>684805.97699999996</v>
      </c>
      <c r="D455">
        <f t="shared" si="14"/>
        <v>1161156.1229999999</v>
      </c>
      <c r="E455">
        <f t="shared" si="15"/>
        <v>2.6955986980236299</v>
      </c>
    </row>
    <row r="456" spans="1:5" x14ac:dyDescent="0.35">
      <c r="A456" t="s">
        <v>486</v>
      </c>
      <c r="B456">
        <f>IF(Final_Payroll!B456="Sales",Earnings!B456*3,
IF(Final_Payroll!B456="IT",Earnings!B456*2,
IF(Final_Payroll!B456="Finance",Earnings!B456*1.5,
IF(Final_Payroll!B456="HR",Earnings!B456*1.2,
Earnings!B456*1.3))))</f>
        <v>662476.23</v>
      </c>
      <c r="C456">
        <f>Earnings!B456 + Deductions!B456 + Deductions!C456 + Overtime!D456</f>
        <v>533054.97675000003</v>
      </c>
      <c r="D456">
        <f t="shared" si="14"/>
        <v>129421.25324999995</v>
      </c>
      <c r="E456">
        <f t="shared" si="15"/>
        <v>1.2427915672771175</v>
      </c>
    </row>
    <row r="457" spans="1:5" x14ac:dyDescent="0.35">
      <c r="A457" t="s">
        <v>487</v>
      </c>
      <c r="B457">
        <f>IF(Final_Payroll!B457="Sales",Earnings!B457*3,
IF(Final_Payroll!B457="IT",Earnings!B457*2,
IF(Final_Payroll!B457="Finance",Earnings!B457*1.5,
IF(Final_Payroll!B457="HR",Earnings!B457*1.2,
Earnings!B457*1.3))))</f>
        <v>2004342</v>
      </c>
      <c r="C457">
        <f>Earnings!B457 + Deductions!B457 + Deductions!C457 + Overtime!D457</f>
        <v>753428.25</v>
      </c>
      <c r="D457">
        <f t="shared" si="14"/>
        <v>1250913.75</v>
      </c>
      <c r="E457">
        <f t="shared" si="15"/>
        <v>2.6602957879532658</v>
      </c>
    </row>
    <row r="458" spans="1:5" x14ac:dyDescent="0.35">
      <c r="A458" t="s">
        <v>488</v>
      </c>
      <c r="B458">
        <f>IF(Final_Payroll!B458="Sales",Earnings!B458*3,
IF(Final_Payroll!B458="IT",Earnings!B458*2,
IF(Final_Payroll!B458="Finance",Earnings!B458*1.5,
IF(Final_Payroll!B458="HR",Earnings!B458*1.2,
Earnings!B458*1.3))))</f>
        <v>1368133.4939999999</v>
      </c>
      <c r="C458">
        <f>Earnings!B458 + Deductions!B458 + Deductions!C458 + Overtime!D458</f>
        <v>1111040.5402499998</v>
      </c>
      <c r="D458">
        <f t="shared" si="14"/>
        <v>257092.9537500001</v>
      </c>
      <c r="E458">
        <f t="shared" si="15"/>
        <v>1.2313983553580776</v>
      </c>
    </row>
    <row r="459" spans="1:5" x14ac:dyDescent="0.35">
      <c r="A459" t="s">
        <v>489</v>
      </c>
      <c r="B459">
        <f>IF(Final_Payroll!B459="Sales",Earnings!B459*3,
IF(Final_Payroll!B459="IT",Earnings!B459*2,
IF(Final_Payroll!B459="Finance",Earnings!B459*1.5,
IF(Final_Payroll!B459="HR",Earnings!B459*1.2,
Earnings!B459*1.3))))</f>
        <v>829326.68</v>
      </c>
      <c r="C459">
        <f>Earnings!B459 + Deductions!B459 + Deductions!C459 + Overtime!D459</f>
        <v>697796.46759999997</v>
      </c>
      <c r="D459">
        <f t="shared" si="14"/>
        <v>131530.21240000008</v>
      </c>
      <c r="E459">
        <f t="shared" si="15"/>
        <v>1.1884936632774667</v>
      </c>
    </row>
    <row r="460" spans="1:5" x14ac:dyDescent="0.35">
      <c r="A460" t="s">
        <v>490</v>
      </c>
      <c r="B460">
        <f>IF(Final_Payroll!B460="Sales",Earnings!B460*3,
IF(Final_Payroll!B460="IT",Earnings!B460*2,
IF(Final_Payroll!B460="Finance",Earnings!B460*1.5,
IF(Final_Payroll!B460="HR",Earnings!B460*1.2,
Earnings!B460*1.3))))</f>
        <v>736959.6</v>
      </c>
      <c r="C460">
        <f>Earnings!B460 + Deductions!B460 + Deductions!C460 + Overtime!D460</f>
        <v>615933</v>
      </c>
      <c r="D460">
        <f t="shared" si="14"/>
        <v>121026.59999999998</v>
      </c>
      <c r="E460">
        <f t="shared" si="15"/>
        <v>1.1964931250639275</v>
      </c>
    </row>
    <row r="461" spans="1:5" x14ac:dyDescent="0.35">
      <c r="A461" t="s">
        <v>491</v>
      </c>
      <c r="B461">
        <f>IF(Final_Payroll!B461="Sales",Earnings!B461*3,
IF(Final_Payroll!B461="IT",Earnings!B461*2,
IF(Final_Payroll!B461="Finance",Earnings!B461*1.5,
IF(Final_Payroll!B461="HR",Earnings!B461*1.2,
Earnings!B461*1.3))))</f>
        <v>1849993.314</v>
      </c>
      <c r="C461">
        <f>Earnings!B461 + Deductions!B461 + Deductions!C461 + Overtime!D461</f>
        <v>1727274.5321875</v>
      </c>
      <c r="D461">
        <f t="shared" si="14"/>
        <v>122718.78181249998</v>
      </c>
      <c r="E461">
        <f t="shared" si="15"/>
        <v>1.0710476415449044</v>
      </c>
    </row>
    <row r="462" spans="1:5" x14ac:dyDescent="0.35">
      <c r="A462" t="s">
        <v>492</v>
      </c>
      <c r="B462">
        <f>IF(Final_Payroll!B462="Sales",Earnings!B462*3,
IF(Final_Payroll!B462="IT",Earnings!B462*2,
IF(Final_Payroll!B462="Finance",Earnings!B462*1.5,
IF(Final_Payroll!B462="HR",Earnings!B462*1.2,
Earnings!B462*1.3))))</f>
        <v>834277.08</v>
      </c>
      <c r="C462">
        <f>Earnings!B462 + Deductions!B462 + Deductions!C462 + Overtime!D462</f>
        <v>808963.07490000001</v>
      </c>
      <c r="D462">
        <f t="shared" si="14"/>
        <v>25314.005099999951</v>
      </c>
      <c r="E462">
        <f t="shared" si="15"/>
        <v>1.0312919166343026</v>
      </c>
    </row>
    <row r="463" spans="1:5" x14ac:dyDescent="0.35">
      <c r="A463" t="s">
        <v>493</v>
      </c>
      <c r="B463">
        <f>IF(Final_Payroll!B463="Sales",Earnings!B463*3,
IF(Final_Payroll!B463="IT",Earnings!B463*2,
IF(Final_Payroll!B463="Finance",Earnings!B463*1.5,
IF(Final_Payroll!B463="HR",Earnings!B463*1.2,
Earnings!B463*1.3))))</f>
        <v>2372846.16</v>
      </c>
      <c r="C463">
        <f>Earnings!B463 + Deductions!B463 + Deductions!C463 + Overtime!D463</f>
        <v>1330593.8489999999</v>
      </c>
      <c r="D463">
        <f t="shared" si="14"/>
        <v>1042252.3110000002</v>
      </c>
      <c r="E463">
        <f t="shared" si="15"/>
        <v>1.7832986089506568</v>
      </c>
    </row>
    <row r="464" spans="1:5" x14ac:dyDescent="0.35">
      <c r="A464" t="s">
        <v>494</v>
      </c>
      <c r="B464">
        <f>IF(Final_Payroll!B464="Sales",Earnings!B464*3,
IF(Final_Payroll!B464="IT",Earnings!B464*2,
IF(Final_Payroll!B464="Finance",Earnings!B464*1.5,
IF(Final_Payroll!B464="HR",Earnings!B464*1.2,
Earnings!B464*1.3))))</f>
        <v>3164528.28</v>
      </c>
      <c r="C464">
        <f>Earnings!B464 + Deductions!B464 + Deductions!C464 + Overtime!D464</f>
        <v>1802416.5926999999</v>
      </c>
      <c r="D464">
        <f t="shared" si="14"/>
        <v>1362111.6872999999</v>
      </c>
      <c r="E464">
        <f t="shared" si="15"/>
        <v>1.7557141300278265</v>
      </c>
    </row>
    <row r="465" spans="1:5" x14ac:dyDescent="0.35">
      <c r="A465" t="s">
        <v>495</v>
      </c>
      <c r="B465">
        <f>IF(Final_Payroll!B465="Sales",Earnings!B465*3,
IF(Final_Payroll!B465="IT",Earnings!B465*2,
IF(Final_Payroll!B465="Finance",Earnings!B465*1.5,
IF(Final_Payroll!B465="HR",Earnings!B465*1.2,
Earnings!B465*1.3))))</f>
        <v>4572279.78</v>
      </c>
      <c r="C465">
        <f>Earnings!B465 + Deductions!B465 + Deductions!C465 + Overtime!D465</f>
        <v>1525893.26</v>
      </c>
      <c r="D465">
        <f t="shared" si="14"/>
        <v>3046386.5200000005</v>
      </c>
      <c r="E465">
        <f t="shared" si="15"/>
        <v>2.996461089290086</v>
      </c>
    </row>
    <row r="466" spans="1:5" x14ac:dyDescent="0.35">
      <c r="A466" t="s">
        <v>496</v>
      </c>
      <c r="B466">
        <f>IF(Final_Payroll!B466="Sales",Earnings!B466*3,
IF(Final_Payroll!B466="IT",Earnings!B466*2,
IF(Final_Payroll!B466="Finance",Earnings!B466*1.5,
IF(Final_Payroll!B466="HR",Earnings!B466*1.2,
Earnings!B466*1.3))))</f>
        <v>1141956</v>
      </c>
      <c r="C466">
        <f>Earnings!B466 + Deductions!B466 + Deductions!C466 + Overtime!D466</f>
        <v>953430</v>
      </c>
      <c r="D466">
        <f t="shared" si="14"/>
        <v>188526</v>
      </c>
      <c r="E466">
        <f t="shared" si="15"/>
        <v>1.1977344954532583</v>
      </c>
    </row>
    <row r="467" spans="1:5" x14ac:dyDescent="0.35">
      <c r="A467" t="s">
        <v>497</v>
      </c>
      <c r="B467">
        <f>IF(Final_Payroll!B467="Sales",Earnings!B467*3,
IF(Final_Payroll!B467="IT",Earnings!B467*2,
IF(Final_Payroll!B467="Finance",Earnings!B467*1.5,
IF(Final_Payroll!B467="HR",Earnings!B467*1.2,
Earnings!B467*1.3))))</f>
        <v>3294374.8499999996</v>
      </c>
      <c r="C467">
        <f>Earnings!B467 + Deductions!B467 + Deductions!C467 + Overtime!D467</f>
        <v>1127378.07375</v>
      </c>
      <c r="D467">
        <f t="shared" si="14"/>
        <v>2166996.7762499996</v>
      </c>
      <c r="E467">
        <f t="shared" si="15"/>
        <v>2.922156219556332</v>
      </c>
    </row>
    <row r="468" spans="1:5" x14ac:dyDescent="0.35">
      <c r="A468" t="s">
        <v>498</v>
      </c>
      <c r="B468">
        <f>IF(Final_Payroll!B468="Sales",Earnings!B468*3,
IF(Final_Payroll!B468="IT",Earnings!B468*2,
IF(Final_Payroll!B468="Finance",Earnings!B468*1.5,
IF(Final_Payroll!B468="HR",Earnings!B468*1.2,
Earnings!B468*1.3))))</f>
        <v>3073936.08</v>
      </c>
      <c r="C468">
        <f>Earnings!B468 + Deductions!B468 + Deductions!C468 + Overtime!D468</f>
        <v>1604089.1821250001</v>
      </c>
      <c r="D468">
        <f t="shared" si="14"/>
        <v>1469846.897875</v>
      </c>
      <c r="E468">
        <f t="shared" si="15"/>
        <v>1.9163124558497651</v>
      </c>
    </row>
    <row r="469" spans="1:5" x14ac:dyDescent="0.35">
      <c r="A469" t="s">
        <v>499</v>
      </c>
      <c r="B469">
        <f>IF(Final_Payroll!B469="Sales",Earnings!B469*3,
IF(Final_Payroll!B469="IT",Earnings!B469*2,
IF(Final_Payroll!B469="Finance",Earnings!B469*1.5,
IF(Final_Payroll!B469="HR",Earnings!B469*1.2,
Earnings!B469*1.3))))</f>
        <v>3756915</v>
      </c>
      <c r="C469">
        <f>Earnings!B469 + Deductions!B469 + Deductions!C469 + Overtime!D469</f>
        <v>1880257.5</v>
      </c>
      <c r="D469">
        <f t="shared" si="14"/>
        <v>1876657.5</v>
      </c>
      <c r="E469">
        <f t="shared" si="15"/>
        <v>1.9980853686263718</v>
      </c>
    </row>
    <row r="470" spans="1:5" x14ac:dyDescent="0.35">
      <c r="A470" t="s">
        <v>500</v>
      </c>
      <c r="B470">
        <f>IF(Final_Payroll!B470="Sales",Earnings!B470*3,
IF(Final_Payroll!B470="IT",Earnings!B470*2,
IF(Final_Payroll!B470="Finance",Earnings!B470*1.5,
IF(Final_Payroll!B470="HR",Earnings!B470*1.2,
Earnings!B470*1.3))))</f>
        <v>1113372.7919999999</v>
      </c>
      <c r="C470">
        <f>Earnings!B470 + Deductions!B470 + Deductions!C470 + Overtime!D470</f>
        <v>929610.66</v>
      </c>
      <c r="D470">
        <f t="shared" si="14"/>
        <v>183762.13199999987</v>
      </c>
      <c r="E470">
        <f t="shared" si="15"/>
        <v>1.197676446610455</v>
      </c>
    </row>
    <row r="471" spans="1:5" x14ac:dyDescent="0.35">
      <c r="A471" t="s">
        <v>501</v>
      </c>
      <c r="B471">
        <f>IF(Final_Payroll!B471="Sales",Earnings!B471*3,
IF(Final_Payroll!B471="IT",Earnings!B471*2,
IF(Final_Payroll!B471="Finance",Earnings!B471*1.5,
IF(Final_Payroll!B471="HR",Earnings!B471*1.2,
Earnings!B471*1.3))))</f>
        <v>1928624.9249999998</v>
      </c>
      <c r="C471">
        <f>Earnings!B471 + Deductions!B471 + Deductions!C471 + Overtime!D471</f>
        <v>1473340.8177749999</v>
      </c>
      <c r="D471">
        <f t="shared" si="14"/>
        <v>455284.10722499993</v>
      </c>
      <c r="E471">
        <f t="shared" si="15"/>
        <v>1.3090147925939892</v>
      </c>
    </row>
    <row r="472" spans="1:5" x14ac:dyDescent="0.35">
      <c r="A472" t="s">
        <v>502</v>
      </c>
      <c r="B472">
        <f>IF(Final_Payroll!B472="Sales",Earnings!B472*3,
IF(Final_Payroll!B472="IT",Earnings!B472*2,
IF(Final_Payroll!B472="Finance",Earnings!B472*1.5,
IF(Final_Payroll!B472="HR",Earnings!B472*1.2,
Earnings!B472*1.3))))</f>
        <v>504786.49</v>
      </c>
      <c r="C472">
        <f>Earnings!B472 + Deductions!B472 + Deductions!C472 + Overtime!D472</f>
        <v>390097.3</v>
      </c>
      <c r="D472">
        <f t="shared" si="14"/>
        <v>114689.19</v>
      </c>
      <c r="E472">
        <f t="shared" si="15"/>
        <v>1.2940014965497069</v>
      </c>
    </row>
    <row r="473" spans="1:5" x14ac:dyDescent="0.35">
      <c r="A473" t="s">
        <v>503</v>
      </c>
      <c r="B473">
        <f>IF(Final_Payroll!B473="Sales",Earnings!B473*3,
IF(Final_Payroll!B473="IT",Earnings!B473*2,
IF(Final_Payroll!B473="Finance",Earnings!B473*1.5,
IF(Final_Payroll!B473="HR",Earnings!B473*1.2,
Earnings!B473*1.3))))</f>
        <v>1451323.32</v>
      </c>
      <c r="C473">
        <f>Earnings!B473 + Deductions!B473 + Deductions!C473 + Overtime!D473</f>
        <v>1211236.1000000001</v>
      </c>
      <c r="D473">
        <f t="shared" si="14"/>
        <v>240087.21999999997</v>
      </c>
      <c r="E473">
        <f t="shared" si="15"/>
        <v>1.198216697801527</v>
      </c>
    </row>
    <row r="474" spans="1:5" x14ac:dyDescent="0.35">
      <c r="A474" t="s">
        <v>504</v>
      </c>
      <c r="B474">
        <f>IF(Final_Payroll!B474="Sales",Earnings!B474*3,
IF(Final_Payroll!B474="IT",Earnings!B474*2,
IF(Final_Payroll!B474="Finance",Earnings!B474*1.5,
IF(Final_Payroll!B474="HR",Earnings!B474*1.2,
Earnings!B474*1.3))))</f>
        <v>1941262.5</v>
      </c>
      <c r="C474">
        <f>Earnings!B474 + Deductions!B474 + Deductions!C474 + Overtime!D474</f>
        <v>1360683.75</v>
      </c>
      <c r="D474">
        <f t="shared" si="14"/>
        <v>580578.75</v>
      </c>
      <c r="E474">
        <f t="shared" si="15"/>
        <v>1.4266816223828644</v>
      </c>
    </row>
    <row r="475" spans="1:5" x14ac:dyDescent="0.35">
      <c r="A475" t="s">
        <v>505</v>
      </c>
      <c r="B475">
        <f>IF(Final_Payroll!B475="Sales",Earnings!B475*3,
IF(Final_Payroll!B475="IT",Earnings!B475*2,
IF(Final_Payroll!B475="Finance",Earnings!B475*1.5,
IF(Final_Payroll!B475="HR",Earnings!B475*1.2,
Earnings!B475*1.3))))</f>
        <v>1807232</v>
      </c>
      <c r="C475">
        <f>Earnings!B475 + Deductions!B475 + Deductions!C475 + Overtime!D475</f>
        <v>991259.52</v>
      </c>
      <c r="D475">
        <f t="shared" si="14"/>
        <v>815972.48</v>
      </c>
      <c r="E475">
        <f t="shared" si="15"/>
        <v>1.8231673578277463</v>
      </c>
    </row>
    <row r="476" spans="1:5" x14ac:dyDescent="0.35">
      <c r="A476" t="s">
        <v>506</v>
      </c>
      <c r="B476">
        <f>IF(Final_Payroll!B476="Sales",Earnings!B476*3,
IF(Final_Payroll!B476="IT",Earnings!B476*2,
IF(Final_Payroll!B476="Finance",Earnings!B476*1.5,
IF(Final_Payroll!B476="HR",Earnings!B476*1.2,
Earnings!B476*1.3))))</f>
        <v>3304823.9</v>
      </c>
      <c r="C476">
        <f>Earnings!B476 + Deductions!B476 + Deductions!C476 + Overtime!D476</f>
        <v>1723613.2519</v>
      </c>
      <c r="D476">
        <f t="shared" si="14"/>
        <v>1581210.6480999999</v>
      </c>
      <c r="E476">
        <f t="shared" si="15"/>
        <v>1.9173813477918991</v>
      </c>
    </row>
    <row r="477" spans="1:5" x14ac:dyDescent="0.35">
      <c r="A477" t="s">
        <v>507</v>
      </c>
      <c r="B477">
        <f>IF(Final_Payroll!B477="Sales",Earnings!B477*3,
IF(Final_Payroll!B477="IT",Earnings!B477*2,
IF(Final_Payroll!B477="Finance",Earnings!B477*1.5,
IF(Final_Payroll!B477="HR",Earnings!B477*1.2,
Earnings!B477*1.3))))</f>
        <v>3998584.8000000003</v>
      </c>
      <c r="C477">
        <f>Earnings!B477 + Deductions!B477 + Deductions!C477 + Overtime!D477</f>
        <v>1334661.6000000001</v>
      </c>
      <c r="D477">
        <f t="shared" si="14"/>
        <v>2663923.2000000002</v>
      </c>
      <c r="E477">
        <f t="shared" si="15"/>
        <v>2.9959540305947217</v>
      </c>
    </row>
    <row r="478" spans="1:5" x14ac:dyDescent="0.35">
      <c r="A478" t="s">
        <v>508</v>
      </c>
      <c r="B478">
        <f>IF(Final_Payroll!B478="Sales",Earnings!B478*3,
IF(Final_Payroll!B478="IT",Earnings!B478*2,
IF(Final_Payroll!B478="Finance",Earnings!B478*1.5,
IF(Final_Payroll!B478="HR",Earnings!B478*1.2,
Earnings!B478*1.3))))</f>
        <v>1044205.344</v>
      </c>
      <c r="C478">
        <f>Earnings!B478 + Deductions!B478 + Deductions!C478 + Overtime!D478</f>
        <v>805034.88</v>
      </c>
      <c r="D478">
        <f t="shared" si="14"/>
        <v>239170.46400000004</v>
      </c>
      <c r="E478">
        <f t="shared" si="15"/>
        <v>1.2970932936471027</v>
      </c>
    </row>
    <row r="479" spans="1:5" x14ac:dyDescent="0.35">
      <c r="A479" t="s">
        <v>509</v>
      </c>
      <c r="B479">
        <f>IF(Final_Payroll!B479="Sales",Earnings!B479*3,
IF(Final_Payroll!B479="IT",Earnings!B479*2,
IF(Final_Payroll!B479="Finance",Earnings!B479*1.5,
IF(Final_Payroll!B479="HR",Earnings!B479*1.2,
Earnings!B479*1.3))))</f>
        <v>5077472.79</v>
      </c>
      <c r="C479">
        <f>Earnings!B479 + Deductions!B479 + Deductions!C479 + Overtime!D479</f>
        <v>1694290.93</v>
      </c>
      <c r="D479">
        <f t="shared" si="14"/>
        <v>3383181.8600000003</v>
      </c>
      <c r="E479">
        <f t="shared" si="15"/>
        <v>2.9968128260003142</v>
      </c>
    </row>
    <row r="480" spans="1:5" x14ac:dyDescent="0.35">
      <c r="A480" t="s">
        <v>510</v>
      </c>
      <c r="B480">
        <f>IF(Final_Payroll!B480="Sales",Earnings!B480*3,
IF(Final_Payroll!B480="IT",Earnings!B480*2,
IF(Final_Payroll!B480="Finance",Earnings!B480*1.5,
IF(Final_Payroll!B480="HR",Earnings!B480*1.2,
Earnings!B480*1.3))))</f>
        <v>1676515.344</v>
      </c>
      <c r="C480">
        <f>Earnings!B480 + Deductions!B480 + Deductions!C480 + Overtime!D480</f>
        <v>1398896.12</v>
      </c>
      <c r="D480">
        <f t="shared" si="14"/>
        <v>277619.22399999993</v>
      </c>
      <c r="E480">
        <f t="shared" si="15"/>
        <v>1.1984559253763603</v>
      </c>
    </row>
    <row r="481" spans="1:5" x14ac:dyDescent="0.35">
      <c r="A481" t="s">
        <v>511</v>
      </c>
      <c r="B481">
        <f>IF(Final_Payroll!B481="Sales",Earnings!B481*3,
IF(Final_Payroll!B481="IT",Earnings!B481*2,
IF(Final_Payroll!B481="Finance",Earnings!B481*1.5,
IF(Final_Payroll!B481="HR",Earnings!B481*1.2,
Earnings!B481*1.3))))</f>
        <v>2092083.2400000002</v>
      </c>
      <c r="C481">
        <f>Earnings!B481 + Deductions!B481 + Deductions!C481 + Overtime!D481</f>
        <v>1966748.9508</v>
      </c>
      <c r="D481">
        <f t="shared" si="14"/>
        <v>125334.28920000023</v>
      </c>
      <c r="E481">
        <f t="shared" si="15"/>
        <v>1.0637266333097668</v>
      </c>
    </row>
    <row r="482" spans="1:5" x14ac:dyDescent="0.35">
      <c r="A482" t="s">
        <v>512</v>
      </c>
      <c r="B482">
        <f>IF(Final_Payroll!B482="Sales",Earnings!B482*3,
IF(Final_Payroll!B482="IT",Earnings!B482*2,
IF(Final_Payroll!B482="Finance",Earnings!B482*1.5,
IF(Final_Payroll!B482="HR",Earnings!B482*1.2,
Earnings!B482*1.3))))</f>
        <v>839333.66400000011</v>
      </c>
      <c r="C482">
        <f>Earnings!B482 + Deductions!B482 + Deductions!C482 + Overtime!D482</f>
        <v>647441.28</v>
      </c>
      <c r="D482">
        <f t="shared" si="14"/>
        <v>191892.38400000008</v>
      </c>
      <c r="E482">
        <f t="shared" si="15"/>
        <v>1.2963857726217274</v>
      </c>
    </row>
    <row r="483" spans="1:5" x14ac:dyDescent="0.35">
      <c r="A483" t="s">
        <v>513</v>
      </c>
      <c r="B483">
        <f>IF(Final_Payroll!B483="Sales",Earnings!B483*3,
IF(Final_Payroll!B483="IT",Earnings!B483*2,
IF(Final_Payroll!B483="Finance",Earnings!B483*1.5,
IF(Final_Payroll!B483="HR",Earnings!B483*1.2,
Earnings!B483*1.3))))</f>
        <v>3009268.8</v>
      </c>
      <c r="C483">
        <f>Earnings!B483 + Deductions!B483 + Deductions!C483 + Overtime!D483</f>
        <v>1578656.8511999999</v>
      </c>
      <c r="D483">
        <f t="shared" si="14"/>
        <v>1430611.9487999999</v>
      </c>
      <c r="E483">
        <f t="shared" si="15"/>
        <v>1.9062209736793241</v>
      </c>
    </row>
    <row r="484" spans="1:5" x14ac:dyDescent="0.35">
      <c r="A484" t="s">
        <v>514</v>
      </c>
      <c r="B484">
        <f>IF(Final_Payroll!B484="Sales",Earnings!B484*3,
IF(Final_Payroll!B484="IT",Earnings!B484*2,
IF(Final_Payroll!B484="Finance",Earnings!B484*1.5,
IF(Final_Payroll!B484="HR",Earnings!B484*1.2,
Earnings!B484*1.3))))</f>
        <v>2842393.92</v>
      </c>
      <c r="C484">
        <f>Earnings!B484 + Deductions!B484 + Deductions!C484 + Overtime!D484</f>
        <v>1422996.96</v>
      </c>
      <c r="D484">
        <f t="shared" si="14"/>
        <v>1419396.96</v>
      </c>
      <c r="E484">
        <f t="shared" si="15"/>
        <v>1.9974701281160854</v>
      </c>
    </row>
    <row r="485" spans="1:5" x14ac:dyDescent="0.35">
      <c r="A485" t="s">
        <v>515</v>
      </c>
      <c r="B485">
        <f>IF(Final_Payroll!B485="Sales",Earnings!B485*3,
IF(Final_Payroll!B485="IT",Earnings!B485*2,
IF(Final_Payroll!B485="Finance",Earnings!B485*1.5,
IF(Final_Payroll!B485="HR",Earnings!B485*1.2,
Earnings!B485*1.3))))</f>
        <v>767218.17599999998</v>
      </c>
      <c r="C485">
        <f>Earnings!B485 + Deductions!B485 + Deductions!C485 + Overtime!D485</f>
        <v>710198.11529999995</v>
      </c>
      <c r="D485">
        <f t="shared" si="14"/>
        <v>57020.060700000031</v>
      </c>
      <c r="E485">
        <f t="shared" si="15"/>
        <v>1.080287541562841</v>
      </c>
    </row>
    <row r="486" spans="1:5" x14ac:dyDescent="0.35">
      <c r="A486" t="s">
        <v>516</v>
      </c>
      <c r="B486">
        <f>IF(Final_Payroll!B486="Sales",Earnings!B486*3,
IF(Final_Payroll!B486="IT",Earnings!B486*2,
IF(Final_Payroll!B486="Finance",Earnings!B486*1.5,
IF(Final_Payroll!B486="HR",Earnings!B486*1.2,
Earnings!B486*1.3))))</f>
        <v>2787649.8</v>
      </c>
      <c r="C486">
        <f>Earnings!B486 + Deductions!B486 + Deductions!C486 + Overtime!D486</f>
        <v>2049793.3864</v>
      </c>
      <c r="D486">
        <f t="shared" si="14"/>
        <v>737856.41359999985</v>
      </c>
      <c r="E486">
        <f t="shared" si="15"/>
        <v>1.3599662378147674</v>
      </c>
    </row>
    <row r="487" spans="1:5" x14ac:dyDescent="0.35">
      <c r="A487" t="s">
        <v>517</v>
      </c>
      <c r="B487">
        <f>IF(Final_Payroll!B487="Sales",Earnings!B487*3,
IF(Final_Payroll!B487="IT",Earnings!B487*2,
IF(Final_Payroll!B487="Finance",Earnings!B487*1.5,
IF(Final_Payroll!B487="HR",Earnings!B487*1.2,
Earnings!B487*1.3))))</f>
        <v>3949671.74</v>
      </c>
      <c r="C487">
        <f>Earnings!B487 + Deductions!B487 + Deductions!C487 + Overtime!D487</f>
        <v>2391351.4037500001</v>
      </c>
      <c r="D487">
        <f t="shared" si="14"/>
        <v>1558320.3362500002</v>
      </c>
      <c r="E487">
        <f t="shared" si="15"/>
        <v>1.6516484084297769</v>
      </c>
    </row>
    <row r="488" spans="1:5" x14ac:dyDescent="0.35">
      <c r="A488" t="s">
        <v>518</v>
      </c>
      <c r="B488">
        <f>IF(Final_Payroll!B488="Sales",Earnings!B488*3,
IF(Final_Payroll!B488="IT",Earnings!B488*2,
IF(Final_Payroll!B488="Finance",Earnings!B488*1.5,
IF(Final_Payroll!B488="HR",Earnings!B488*1.2,
Earnings!B488*1.3))))</f>
        <v>635820.64</v>
      </c>
      <c r="C488">
        <f>Earnings!B488 + Deductions!B488 + Deductions!C488 + Overtime!D488</f>
        <v>573060.39040000003</v>
      </c>
      <c r="D488">
        <f t="shared" si="14"/>
        <v>62760.249599999981</v>
      </c>
      <c r="E488">
        <f t="shared" si="15"/>
        <v>1.1095176889754899</v>
      </c>
    </row>
    <row r="489" spans="1:5" x14ac:dyDescent="0.35">
      <c r="A489" t="s">
        <v>519</v>
      </c>
      <c r="B489">
        <f>IF(Final_Payroll!B489="Sales",Earnings!B489*3,
IF(Final_Payroll!B489="IT",Earnings!B489*2,
IF(Final_Payroll!B489="Finance",Earnings!B489*1.5,
IF(Final_Payroll!B489="HR",Earnings!B489*1.2,
Earnings!B489*1.3))))</f>
        <v>2063950.62</v>
      </c>
      <c r="C489">
        <f>Earnings!B489 + Deductions!B489 + Deductions!C489 + Overtime!D489</f>
        <v>1705247.2438500002</v>
      </c>
      <c r="D489">
        <f t="shared" si="14"/>
        <v>358703.37614999991</v>
      </c>
      <c r="E489">
        <f t="shared" si="15"/>
        <v>1.2103527083498706</v>
      </c>
    </row>
    <row r="490" spans="1:5" x14ac:dyDescent="0.35">
      <c r="A490" t="s">
        <v>520</v>
      </c>
      <c r="B490">
        <f>IF(Final_Payroll!B490="Sales",Earnings!B490*3,
IF(Final_Payroll!B490="IT",Earnings!B490*2,
IF(Final_Payroll!B490="Finance",Earnings!B490*1.5,
IF(Final_Payroll!B490="HR",Earnings!B490*1.2,
Earnings!B490*1.3))))</f>
        <v>1271560.0690000001</v>
      </c>
      <c r="C490">
        <f>Earnings!B490 + Deductions!B490 + Deductions!C490 + Overtime!D490</f>
        <v>1029807.409375</v>
      </c>
      <c r="D490">
        <f t="shared" si="14"/>
        <v>241752.65962500009</v>
      </c>
      <c r="E490">
        <f t="shared" si="15"/>
        <v>1.2347552148335406</v>
      </c>
    </row>
    <row r="491" spans="1:5" x14ac:dyDescent="0.35">
      <c r="A491" t="s">
        <v>521</v>
      </c>
      <c r="B491">
        <f>IF(Final_Payroll!B491="Sales",Earnings!B491*3,
IF(Final_Payroll!B491="IT",Earnings!B491*2,
IF(Final_Payroll!B491="Finance",Earnings!B491*1.5,
IF(Final_Payroll!B491="HR",Earnings!B491*1.2,
Earnings!B491*1.3))))</f>
        <v>1586282.8800000001</v>
      </c>
      <c r="C491">
        <f>Earnings!B491 + Deductions!B491 + Deductions!C491 + Overtime!D491</f>
        <v>1222017.6000000001</v>
      </c>
      <c r="D491">
        <f t="shared" si="14"/>
        <v>364265.28</v>
      </c>
      <c r="E491">
        <f t="shared" si="15"/>
        <v>1.298085133962064</v>
      </c>
    </row>
    <row r="492" spans="1:5" x14ac:dyDescent="0.35">
      <c r="A492" t="s">
        <v>522</v>
      </c>
      <c r="B492">
        <f>IF(Final_Payroll!B492="Sales",Earnings!B492*3,
IF(Final_Payroll!B492="IT",Earnings!B492*2,
IF(Final_Payroll!B492="Finance",Earnings!B492*1.5,
IF(Final_Payroll!B492="HR",Earnings!B492*1.2,
Earnings!B492*1.3))))</f>
        <v>2737592.16</v>
      </c>
      <c r="C492">
        <f>Earnings!B492 + Deductions!B492 + Deductions!C492 + Overtime!D492</f>
        <v>2044043.749575</v>
      </c>
      <c r="D492">
        <f t="shared" si="14"/>
        <v>693548.41042500013</v>
      </c>
      <c r="E492">
        <f t="shared" si="15"/>
        <v>1.3393021360571189</v>
      </c>
    </row>
    <row r="493" spans="1:5" x14ac:dyDescent="0.35">
      <c r="A493" t="s">
        <v>523</v>
      </c>
      <c r="B493">
        <f>IF(Final_Payroll!B493="Sales",Earnings!B493*3,
IF(Final_Payroll!B493="IT",Earnings!B493*2,
IF(Final_Payroll!B493="Finance",Earnings!B493*1.5,
IF(Final_Payroll!B493="HR",Earnings!B493*1.2,
Earnings!B493*1.3))))</f>
        <v>2661327</v>
      </c>
      <c r="C493">
        <f>Earnings!B493 + Deductions!B493 + Deductions!C493 + Overtime!D493</f>
        <v>942135.54</v>
      </c>
      <c r="D493">
        <f t="shared" si="14"/>
        <v>1719191.46</v>
      </c>
      <c r="E493">
        <f t="shared" si="15"/>
        <v>2.8247814534201732</v>
      </c>
    </row>
    <row r="494" spans="1:5" x14ac:dyDescent="0.35">
      <c r="A494" t="s">
        <v>524</v>
      </c>
      <c r="B494">
        <f>IF(Final_Payroll!B494="Sales",Earnings!B494*3,
IF(Final_Payroll!B494="IT",Earnings!B494*2,
IF(Final_Payroll!B494="Finance",Earnings!B494*1.5,
IF(Final_Payroll!B494="HR",Earnings!B494*1.2,
Earnings!B494*1.3))))</f>
        <v>2449032.36</v>
      </c>
      <c r="C494">
        <f>Earnings!B494 + Deductions!B494 + Deductions!C494 + Overtime!D494</f>
        <v>1402646.5092</v>
      </c>
      <c r="D494">
        <f t="shared" si="14"/>
        <v>1046385.8507999999</v>
      </c>
      <c r="E494">
        <f t="shared" si="15"/>
        <v>1.7460082379535571</v>
      </c>
    </row>
    <row r="495" spans="1:5" x14ac:dyDescent="0.35">
      <c r="A495" t="s">
        <v>525</v>
      </c>
      <c r="B495">
        <f>IF(Final_Payroll!B495="Sales",Earnings!B495*3,
IF(Final_Payroll!B495="IT",Earnings!B495*2,
IF(Final_Payroll!B495="Finance",Earnings!B495*1.5,
IF(Final_Payroll!B495="HR",Earnings!B495*1.2,
Earnings!B495*1.3))))</f>
        <v>1353770.8599999999</v>
      </c>
      <c r="C495">
        <f>Earnings!B495 + Deductions!B495 + Deductions!C495 + Overtime!D495</f>
        <v>1043162.2</v>
      </c>
      <c r="D495">
        <f t="shared" si="14"/>
        <v>310608.65999999992</v>
      </c>
      <c r="E495">
        <f t="shared" si="15"/>
        <v>1.2977568205596406</v>
      </c>
    </row>
    <row r="496" spans="1:5" x14ac:dyDescent="0.35">
      <c r="A496" t="s">
        <v>526</v>
      </c>
      <c r="B496">
        <f>IF(Final_Payroll!B496="Sales",Earnings!B496*3,
IF(Final_Payroll!B496="IT",Earnings!B496*2,
IF(Final_Payroll!B496="Finance",Earnings!B496*1.5,
IF(Final_Payroll!B496="HR",Earnings!B496*1.2,
Earnings!B496*1.3))))</f>
        <v>1314491.2690000001</v>
      </c>
      <c r="C496">
        <f>Earnings!B496 + Deductions!B496 + Deductions!C496 + Overtime!D496</f>
        <v>1012947.13</v>
      </c>
      <c r="D496">
        <f t="shared" si="14"/>
        <v>301544.13900000008</v>
      </c>
      <c r="E496">
        <f t="shared" si="15"/>
        <v>1.2976899090478691</v>
      </c>
    </row>
    <row r="497" spans="1:5" x14ac:dyDescent="0.35">
      <c r="A497" t="s">
        <v>527</v>
      </c>
      <c r="B497">
        <f>IF(Final_Payroll!B497="Sales",Earnings!B497*3,
IF(Final_Payroll!B497="IT",Earnings!B497*2,
IF(Final_Payroll!B497="Finance",Earnings!B497*1.5,
IF(Final_Payroll!B497="HR",Earnings!B497*1.2,
Earnings!B497*1.3))))</f>
        <v>1784378.6159999999</v>
      </c>
      <c r="C497">
        <f>Earnings!B497 + Deductions!B497 + Deductions!C497 + Overtime!D497</f>
        <v>1488782.18</v>
      </c>
      <c r="D497">
        <f t="shared" si="14"/>
        <v>295596.43599999999</v>
      </c>
      <c r="E497">
        <f t="shared" si="15"/>
        <v>1.1985491497486893</v>
      </c>
    </row>
    <row r="498" spans="1:5" x14ac:dyDescent="0.35">
      <c r="A498" t="s">
        <v>528</v>
      </c>
      <c r="B498">
        <f>IF(Final_Payroll!B498="Sales",Earnings!B498*3,
IF(Final_Payroll!B498="IT",Earnings!B498*2,
IF(Final_Payroll!B498="Finance",Earnings!B498*1.5,
IF(Final_Payroll!B498="HR",Earnings!B498*1.2,
Earnings!B498*1.3))))</f>
        <v>1212568.5</v>
      </c>
      <c r="C498">
        <f>Earnings!B498 + Deductions!B498 + Deductions!C498 + Overtime!D498</f>
        <v>1069793.0249999999</v>
      </c>
      <c r="D498">
        <f t="shared" si="14"/>
        <v>142775.47500000009</v>
      </c>
      <c r="E498">
        <f t="shared" si="15"/>
        <v>1.1334608393058088</v>
      </c>
    </row>
    <row r="499" spans="1:5" x14ac:dyDescent="0.35">
      <c r="A499" t="s">
        <v>529</v>
      </c>
      <c r="B499">
        <f>IF(Final_Payroll!B499="Sales",Earnings!B499*3,
IF(Final_Payroll!B499="IT",Earnings!B499*2,
IF(Final_Payroll!B499="Finance",Earnings!B499*1.5,
IF(Final_Payroll!B499="HR",Earnings!B499*1.2,
Earnings!B499*1.3))))</f>
        <v>2659350.96</v>
      </c>
      <c r="C499">
        <f>Earnings!B499 + Deductions!B499 + Deductions!C499 + Overtime!D499</f>
        <v>1331475.48</v>
      </c>
      <c r="D499">
        <f t="shared" si="14"/>
        <v>1327875.48</v>
      </c>
      <c r="E499">
        <f t="shared" si="15"/>
        <v>1.9972962325975392</v>
      </c>
    </row>
    <row r="500" spans="1:5" x14ac:dyDescent="0.35">
      <c r="A500" t="s">
        <v>530</v>
      </c>
      <c r="B500">
        <f>IF(Final_Payroll!B500="Sales",Earnings!B500*3,
IF(Final_Payroll!B500="IT",Earnings!B500*2,
IF(Final_Payroll!B500="Finance",Earnings!B500*1.5,
IF(Final_Payroll!B500="HR",Earnings!B500*1.2,
Earnings!B500*1.3))))</f>
        <v>2909196</v>
      </c>
      <c r="C500">
        <f>Earnings!B500 + Deductions!B500 + Deductions!C500 + Overtime!D500</f>
        <v>1024867.26</v>
      </c>
      <c r="D500">
        <f t="shared" si="14"/>
        <v>1884328.74</v>
      </c>
      <c r="E500">
        <f t="shared" si="15"/>
        <v>2.8386076066084889</v>
      </c>
    </row>
    <row r="501" spans="1:5" x14ac:dyDescent="0.35">
      <c r="A501" t="s">
        <v>531</v>
      </c>
      <c r="B501">
        <f>IF(Final_Payroll!B501="Sales",Earnings!B501*3,
IF(Final_Payroll!B501="IT",Earnings!B501*2,
IF(Final_Payroll!B501="Finance",Earnings!B501*1.5,
IF(Final_Payroll!B501="HR",Earnings!B501*1.2,
Earnings!B501*1.3))))</f>
        <v>2912722.4</v>
      </c>
      <c r="C501">
        <f>Earnings!B501 + Deductions!B501 + Deductions!C501 + Overtime!D501</f>
        <v>1458161.2</v>
      </c>
      <c r="D501">
        <f t="shared" si="14"/>
        <v>1454561.2</v>
      </c>
      <c r="E501">
        <f t="shared" si="15"/>
        <v>1.9975311371609668</v>
      </c>
    </row>
    <row r="502" spans="1:5" x14ac:dyDescent="0.35">
      <c r="A502" t="s">
        <v>532</v>
      </c>
      <c r="B502">
        <f>IF(Final_Payroll!B502="Sales",Earnings!B502*3,
IF(Final_Payroll!B502="IT",Earnings!B502*2,
IF(Final_Payroll!B502="Finance",Earnings!B502*1.5,
IF(Final_Payroll!B502="HR",Earnings!B502*1.2,
Earnings!B502*1.3))))</f>
        <v>1686410.74</v>
      </c>
      <c r="C502">
        <f>Earnings!B502 + Deductions!B502 + Deductions!C502 + Overtime!D502</f>
        <v>892224.87100000004</v>
      </c>
      <c r="D502">
        <f t="shared" si="14"/>
        <v>794185.86899999995</v>
      </c>
      <c r="E502">
        <f t="shared" si="15"/>
        <v>1.8901185057864185</v>
      </c>
    </row>
    <row r="503" spans="1:5" x14ac:dyDescent="0.35">
      <c r="A503" t="s">
        <v>533</v>
      </c>
      <c r="B503">
        <f>IF(Final_Payroll!B503="Sales",Earnings!B503*3,
IF(Final_Payroll!B503="IT",Earnings!B503*2,
IF(Final_Payroll!B503="Finance",Earnings!B503*1.5,
IF(Final_Payroll!B503="HR",Earnings!B503*1.2,
Earnings!B503*1.3))))</f>
        <v>731085.17299999995</v>
      </c>
      <c r="C503">
        <f>Earnings!B503 + Deductions!B503 + Deductions!C503 + Overtime!D503</f>
        <v>635032.2331999999</v>
      </c>
      <c r="D503">
        <f t="shared" si="14"/>
        <v>96052.939800000051</v>
      </c>
      <c r="E503">
        <f t="shared" si="15"/>
        <v>1.1512567941881915</v>
      </c>
    </row>
    <row r="504" spans="1:5" x14ac:dyDescent="0.35">
      <c r="A504" t="s">
        <v>534</v>
      </c>
      <c r="B504">
        <f>IF(Final_Payroll!B504="Sales",Earnings!B504*3,
IF(Final_Payroll!B504="IT",Earnings!B504*2,
IF(Final_Payroll!B504="Finance",Earnings!B504*1.5,
IF(Final_Payroll!B504="HR",Earnings!B504*1.2,
Earnings!B504*1.3))))</f>
        <v>930496.84000000008</v>
      </c>
      <c r="C504">
        <f>Earnings!B504 + Deductions!B504 + Deductions!C504 + Overtime!D504</f>
        <v>762660.10840000003</v>
      </c>
      <c r="D504">
        <f t="shared" si="14"/>
        <v>167836.73160000006</v>
      </c>
      <c r="E504">
        <f t="shared" si="15"/>
        <v>1.2200675369688709</v>
      </c>
    </row>
    <row r="505" spans="1:5" x14ac:dyDescent="0.35">
      <c r="A505" t="s">
        <v>535</v>
      </c>
      <c r="B505">
        <f>IF(Final_Payroll!B505="Sales",Earnings!B505*3,
IF(Final_Payroll!B505="IT",Earnings!B505*2,
IF(Final_Payroll!B505="Finance",Earnings!B505*1.5,
IF(Final_Payroll!B505="HR",Earnings!B505*1.2,
Earnings!B505*1.3))))</f>
        <v>1726207.608</v>
      </c>
      <c r="C505">
        <f>Earnings!B505 + Deductions!B505 + Deductions!C505 + Overtime!D505</f>
        <v>1440306.34</v>
      </c>
      <c r="D505">
        <f t="shared" si="14"/>
        <v>285901.26799999992</v>
      </c>
      <c r="E505">
        <f t="shared" si="15"/>
        <v>1.1985003190362962</v>
      </c>
    </row>
    <row r="506" spans="1:5" x14ac:dyDescent="0.35">
      <c r="A506" t="s">
        <v>536</v>
      </c>
      <c r="B506">
        <f>IF(Final_Payroll!B506="Sales",Earnings!B506*3,
IF(Final_Payroll!B506="IT",Earnings!B506*2,
IF(Final_Payroll!B506="Finance",Earnings!B506*1.5,
IF(Final_Payroll!B506="HR",Earnings!B506*1.2,
Earnings!B506*1.3))))</f>
        <v>4891496.6999999993</v>
      </c>
      <c r="C506">
        <f>Earnings!B506 + Deductions!B506 + Deductions!C506 + Overtime!D506</f>
        <v>2034216.87885</v>
      </c>
      <c r="D506">
        <f t="shared" si="14"/>
        <v>2857279.8211499993</v>
      </c>
      <c r="E506">
        <f t="shared" si="15"/>
        <v>2.4046092385022879</v>
      </c>
    </row>
    <row r="507" spans="1:5" x14ac:dyDescent="0.35">
      <c r="A507" t="s">
        <v>537</v>
      </c>
      <c r="B507">
        <f>IF(Final_Payroll!B507="Sales",Earnings!B507*3,
IF(Final_Payroll!B507="IT",Earnings!B507*2,
IF(Final_Payroll!B507="Finance",Earnings!B507*1.5,
IF(Final_Payroll!B507="HR",Earnings!B507*1.2,
Earnings!B507*1.3))))</f>
        <v>1987715.4</v>
      </c>
      <c r="C507">
        <f>Earnings!B507 + Deductions!B507 + Deductions!C507 + Overtime!D507</f>
        <v>995657.7</v>
      </c>
      <c r="D507">
        <f t="shared" si="14"/>
        <v>992057.7</v>
      </c>
      <c r="E507">
        <f t="shared" si="15"/>
        <v>1.9963842995439096</v>
      </c>
    </row>
    <row r="508" spans="1:5" x14ac:dyDescent="0.35">
      <c r="A508" t="s">
        <v>538</v>
      </c>
      <c r="B508">
        <f>IF(Final_Payroll!B508="Sales",Earnings!B508*3,
IF(Final_Payroll!B508="IT",Earnings!B508*2,
IF(Final_Payroll!B508="Finance",Earnings!B508*1.5,
IF(Final_Payroll!B508="HR",Earnings!B508*1.2,
Earnings!B508*1.3))))</f>
        <v>1913316.34</v>
      </c>
      <c r="C508">
        <f>Earnings!B508 + Deductions!B508 + Deductions!C508 + Overtime!D508</f>
        <v>1573662.9624000001</v>
      </c>
      <c r="D508">
        <f t="shared" si="14"/>
        <v>339653.37760000001</v>
      </c>
      <c r="E508">
        <f t="shared" si="15"/>
        <v>1.2158361642330282</v>
      </c>
    </row>
    <row r="509" spans="1:5" x14ac:dyDescent="0.35">
      <c r="A509" t="s">
        <v>539</v>
      </c>
      <c r="B509">
        <f>IF(Final_Payroll!B509="Sales",Earnings!B509*3,
IF(Final_Payroll!B509="IT",Earnings!B509*2,
IF(Final_Payroll!B509="Finance",Earnings!B509*1.5,
IF(Final_Payroll!B509="HR",Earnings!B509*1.2,
Earnings!B509*1.3))))</f>
        <v>3093250.3499999996</v>
      </c>
      <c r="C509">
        <f>Earnings!B509 + Deductions!B509 + Deductions!C509 + Overtime!D509</f>
        <v>1141147.2122499999</v>
      </c>
      <c r="D509">
        <f t="shared" si="14"/>
        <v>1952103.1377499998</v>
      </c>
      <c r="E509">
        <f t="shared" si="15"/>
        <v>2.710649701278276</v>
      </c>
    </row>
    <row r="510" spans="1:5" x14ac:dyDescent="0.35">
      <c r="A510" t="s">
        <v>540</v>
      </c>
      <c r="B510">
        <f>IF(Final_Payroll!B510="Sales",Earnings!B510*3,
IF(Final_Payroll!B510="IT",Earnings!B510*2,
IF(Final_Payroll!B510="Finance",Earnings!B510*1.5,
IF(Final_Payroll!B510="HR",Earnings!B510*1.2,
Earnings!B510*1.3))))</f>
        <v>1034368.2000000001</v>
      </c>
      <c r="C510">
        <f>Earnings!B510 + Deductions!B510 + Deductions!C510 + Overtime!D510</f>
        <v>691378.8</v>
      </c>
      <c r="D510">
        <f t="shared" si="14"/>
        <v>342989.4</v>
      </c>
      <c r="E510">
        <f t="shared" si="15"/>
        <v>1.4960947602095986</v>
      </c>
    </row>
    <row r="511" spans="1:5" x14ac:dyDescent="0.35">
      <c r="A511" t="s">
        <v>541</v>
      </c>
      <c r="B511">
        <f>IF(Final_Payroll!B511="Sales",Earnings!B511*3,
IF(Final_Payroll!B511="IT",Earnings!B511*2,
IF(Final_Payroll!B511="Finance",Earnings!B511*1.5,
IF(Final_Payroll!B511="HR",Earnings!B511*1.2,
Earnings!B511*1.3))))</f>
        <v>632229.6</v>
      </c>
      <c r="C511">
        <f>Earnings!B511 + Deductions!B511 + Deductions!C511 + Overtime!D511</f>
        <v>568172.35</v>
      </c>
      <c r="D511">
        <f t="shared" si="14"/>
        <v>64057.25</v>
      </c>
      <c r="E511">
        <f t="shared" si="15"/>
        <v>1.1127426387433321</v>
      </c>
    </row>
    <row r="512" spans="1:5" x14ac:dyDescent="0.35">
      <c r="A512" t="s">
        <v>542</v>
      </c>
      <c r="B512">
        <f>IF(Final_Payroll!B512="Sales",Earnings!B512*3,
IF(Final_Payroll!B512="IT",Earnings!B512*2,
IF(Final_Payroll!B512="Finance",Earnings!B512*1.5,
IF(Final_Payroll!B512="HR",Earnings!B512*1.2,
Earnings!B512*1.3))))</f>
        <v>2617834.2400000002</v>
      </c>
      <c r="C512">
        <f>Earnings!B512 + Deductions!B512 + Deductions!C512 + Overtime!D512</f>
        <v>1310717.1200000001</v>
      </c>
      <c r="D512">
        <f t="shared" si="14"/>
        <v>1307117.1200000001</v>
      </c>
      <c r="E512">
        <f t="shared" si="15"/>
        <v>1.9972534119337664</v>
      </c>
    </row>
    <row r="513" spans="1:5" x14ac:dyDescent="0.35">
      <c r="A513" t="s">
        <v>543</v>
      </c>
      <c r="B513">
        <f>IF(Final_Payroll!B513="Sales",Earnings!B513*3,
IF(Final_Payroll!B513="IT",Earnings!B513*2,
IF(Final_Payroll!B513="Finance",Earnings!B513*1.5,
IF(Final_Payroll!B513="HR",Earnings!B513*1.2,
Earnings!B513*1.3))))</f>
        <v>2962401.3</v>
      </c>
      <c r="C513">
        <f>Earnings!B513 + Deductions!B513 + Deductions!C513 + Overtime!D513</f>
        <v>1123562.6255999999</v>
      </c>
      <c r="D513">
        <f t="shared" si="14"/>
        <v>1838838.6743999999</v>
      </c>
      <c r="E513">
        <f t="shared" si="15"/>
        <v>2.6366143128141446</v>
      </c>
    </row>
    <row r="514" spans="1:5" x14ac:dyDescent="0.35">
      <c r="A514" t="s">
        <v>544</v>
      </c>
      <c r="B514">
        <f>IF(Final_Payroll!B514="Sales",Earnings!B514*3,
IF(Final_Payroll!B514="IT",Earnings!B514*2,
IF(Final_Payroll!B514="Finance",Earnings!B514*1.5,
IF(Final_Payroll!B514="HR",Earnings!B514*1.2,
Earnings!B514*1.3))))</f>
        <v>2349413.1749999998</v>
      </c>
      <c r="C514">
        <f>Earnings!B514 + Deductions!B514 + Deductions!C514 + Overtime!D514</f>
        <v>1568075.45</v>
      </c>
      <c r="D514">
        <f t="shared" ref="D514:D577" si="16">B514-C514</f>
        <v>781337.72499999986</v>
      </c>
      <c r="E514">
        <f t="shared" ref="E514:E577" si="17">IF(C514=0,0,B514/C514)</f>
        <v>1.4982781440778248</v>
      </c>
    </row>
    <row r="515" spans="1:5" x14ac:dyDescent="0.35">
      <c r="A515" t="s">
        <v>545</v>
      </c>
      <c r="B515">
        <f>IF(Final_Payroll!B515="Sales",Earnings!B515*3,
IF(Final_Payroll!B515="IT",Earnings!B515*2,
IF(Final_Payroll!B515="Finance",Earnings!B515*1.5,
IF(Final_Payroll!B515="HR",Earnings!B515*1.2,
Earnings!B515*1.3))))</f>
        <v>1654924.0919999999</v>
      </c>
      <c r="C515">
        <f>Earnings!B515 + Deductions!B515 + Deductions!C515 + Overtime!D515</f>
        <v>1732574.7769999998</v>
      </c>
      <c r="D515">
        <f t="shared" si="16"/>
        <v>-77650.684999999823</v>
      </c>
      <c r="E515">
        <f t="shared" si="17"/>
        <v>0.95518191420606147</v>
      </c>
    </row>
    <row r="516" spans="1:5" x14ac:dyDescent="0.35">
      <c r="A516" t="s">
        <v>546</v>
      </c>
      <c r="B516">
        <f>IF(Final_Payroll!B516="Sales",Earnings!B516*3,
IF(Final_Payroll!B516="IT",Earnings!B516*2,
IF(Final_Payroll!B516="Finance",Earnings!B516*1.5,
IF(Final_Payroll!B516="HR",Earnings!B516*1.2,
Earnings!B516*1.3))))</f>
        <v>3083115</v>
      </c>
      <c r="C516">
        <f>Earnings!B516 + Deductions!B516 + Deductions!C516 + Overtime!D516</f>
        <v>1065474.675</v>
      </c>
      <c r="D516">
        <f t="shared" si="16"/>
        <v>2017640.325</v>
      </c>
      <c r="E516">
        <f t="shared" si="17"/>
        <v>2.89365394818042</v>
      </c>
    </row>
    <row r="517" spans="1:5" x14ac:dyDescent="0.35">
      <c r="A517" t="s">
        <v>547</v>
      </c>
      <c r="B517">
        <f>IF(Final_Payroll!B517="Sales",Earnings!B517*3,
IF(Final_Payroll!B517="IT",Earnings!B517*2,
IF(Final_Payroll!B517="Finance",Earnings!B517*1.5,
IF(Final_Payroll!B517="HR",Earnings!B517*1.2,
Earnings!B517*1.3))))</f>
        <v>3684449.79</v>
      </c>
      <c r="C517">
        <f>Earnings!B517 + Deductions!B517 + Deductions!C517 + Overtime!D517</f>
        <v>1229949.93</v>
      </c>
      <c r="D517">
        <f t="shared" si="16"/>
        <v>2454499.8600000003</v>
      </c>
      <c r="E517">
        <f t="shared" si="17"/>
        <v>2.9956095773752351</v>
      </c>
    </row>
    <row r="518" spans="1:5" x14ac:dyDescent="0.35">
      <c r="A518" t="s">
        <v>548</v>
      </c>
      <c r="B518">
        <f>IF(Final_Payroll!B518="Sales",Earnings!B518*3,
IF(Final_Payroll!B518="IT",Earnings!B518*2,
IF(Final_Payroll!B518="Finance",Earnings!B518*1.5,
IF(Final_Payroll!B518="HR",Earnings!B518*1.2,
Earnings!B518*1.3))))</f>
        <v>4934039.2</v>
      </c>
      <c r="C518">
        <f>Earnings!B518 + Deductions!B518 + Deductions!C518 + Overtime!D518</f>
        <v>2468819.6</v>
      </c>
      <c r="D518">
        <f t="shared" si="16"/>
        <v>2465219.6</v>
      </c>
      <c r="E518">
        <f t="shared" si="17"/>
        <v>1.9985418132616899</v>
      </c>
    </row>
    <row r="519" spans="1:5" x14ac:dyDescent="0.35">
      <c r="A519" t="s">
        <v>549</v>
      </c>
      <c r="B519">
        <f>IF(Final_Payroll!B519="Sales",Earnings!B519*3,
IF(Final_Payroll!B519="IT",Earnings!B519*2,
IF(Final_Payroll!B519="Finance",Earnings!B519*1.5,
IF(Final_Payroll!B519="HR",Earnings!B519*1.2,
Earnings!B519*1.3))))</f>
        <v>4211087</v>
      </c>
      <c r="C519">
        <f>Earnings!B519 + Deductions!B519 + Deductions!C519 + Overtime!D519</f>
        <v>2107343.5</v>
      </c>
      <c r="D519">
        <f t="shared" si="16"/>
        <v>2103743.5</v>
      </c>
      <c r="E519">
        <f t="shared" si="17"/>
        <v>1.9982916880897681</v>
      </c>
    </row>
    <row r="520" spans="1:5" x14ac:dyDescent="0.35">
      <c r="A520" t="s">
        <v>550</v>
      </c>
      <c r="B520">
        <f>IF(Final_Payroll!B520="Sales",Earnings!B520*3,
IF(Final_Payroll!B520="IT",Earnings!B520*2,
IF(Final_Payroll!B520="Finance",Earnings!B520*1.5,
IF(Final_Payroll!B520="HR",Earnings!B520*1.2,
Earnings!B520*1.3))))</f>
        <v>2475817.7999999998</v>
      </c>
      <c r="C520">
        <f>Earnings!B520 + Deductions!B520 + Deductions!C520 + Overtime!D520</f>
        <v>827072.6</v>
      </c>
      <c r="D520">
        <f t="shared" si="16"/>
        <v>1648745.1999999997</v>
      </c>
      <c r="E520">
        <f t="shared" si="17"/>
        <v>2.9934709480159296</v>
      </c>
    </row>
    <row r="521" spans="1:5" x14ac:dyDescent="0.35">
      <c r="A521" t="s">
        <v>551</v>
      </c>
      <c r="B521">
        <f>IF(Final_Payroll!B521="Sales",Earnings!B521*3,
IF(Final_Payroll!B521="IT",Earnings!B521*2,
IF(Final_Payroll!B521="Finance",Earnings!B521*1.5,
IF(Final_Payroll!B521="HR",Earnings!B521*1.2,
Earnings!B521*1.3))))</f>
        <v>1951976.97</v>
      </c>
      <c r="C521">
        <f>Earnings!B521 + Deductions!B521 + Deductions!C521 + Overtime!D521</f>
        <v>1303117.98</v>
      </c>
      <c r="D521">
        <f t="shared" si="16"/>
        <v>648858.99</v>
      </c>
      <c r="E521">
        <f t="shared" si="17"/>
        <v>1.4979280463922384</v>
      </c>
    </row>
    <row r="522" spans="1:5" x14ac:dyDescent="0.35">
      <c r="A522" t="s">
        <v>552</v>
      </c>
      <c r="B522">
        <f>IF(Final_Payroll!B522="Sales",Earnings!B522*3,
IF(Final_Payroll!B522="IT",Earnings!B522*2,
IF(Final_Payroll!B522="Finance",Earnings!B522*1.5,
IF(Final_Payroll!B522="HR",Earnings!B522*1.2,
Earnings!B522*1.3))))</f>
        <v>2659320.75</v>
      </c>
      <c r="C522">
        <f>Earnings!B522 + Deductions!B522 + Deductions!C522 + Overtime!D522</f>
        <v>963587.67125000001</v>
      </c>
      <c r="D522">
        <f t="shared" si="16"/>
        <v>1695733.0787499999</v>
      </c>
      <c r="E522">
        <f t="shared" si="17"/>
        <v>2.7598119292562502</v>
      </c>
    </row>
    <row r="523" spans="1:5" x14ac:dyDescent="0.35">
      <c r="A523" t="s">
        <v>553</v>
      </c>
      <c r="B523">
        <f>IF(Final_Payroll!B523="Sales",Earnings!B523*3,
IF(Final_Payroll!B523="IT",Earnings!B523*2,
IF(Final_Payroll!B523="Finance",Earnings!B523*1.5,
IF(Final_Payroll!B523="HR",Earnings!B523*1.2,
Earnings!B523*1.3))))</f>
        <v>749146.79999999993</v>
      </c>
      <c r="C523">
        <f>Earnings!B523 + Deductions!B523 + Deductions!C523 + Overtime!D523</f>
        <v>626089</v>
      </c>
      <c r="D523">
        <f t="shared" si="16"/>
        <v>123057.79999999993</v>
      </c>
      <c r="E523">
        <f t="shared" si="17"/>
        <v>1.1965500112603797</v>
      </c>
    </row>
    <row r="524" spans="1:5" x14ac:dyDescent="0.35">
      <c r="A524" t="s">
        <v>554</v>
      </c>
      <c r="B524">
        <f>IF(Final_Payroll!B524="Sales",Earnings!B524*3,
IF(Final_Payroll!B524="IT",Earnings!B524*2,
IF(Final_Payroll!B524="Finance",Earnings!B524*1.5,
IF(Final_Payroll!B524="HR",Earnings!B524*1.2,
Earnings!B524*1.3))))</f>
        <v>3494516.4000000004</v>
      </c>
      <c r="C524">
        <f>Earnings!B524 + Deductions!B524 + Deductions!C524 + Overtime!D524</f>
        <v>1166638.8</v>
      </c>
      <c r="D524">
        <f t="shared" si="16"/>
        <v>2327877.6000000006</v>
      </c>
      <c r="E524">
        <f t="shared" si="17"/>
        <v>2.9953713180120531</v>
      </c>
    </row>
    <row r="525" spans="1:5" x14ac:dyDescent="0.35">
      <c r="A525" t="s">
        <v>555</v>
      </c>
      <c r="B525">
        <f>IF(Final_Payroll!B525="Sales",Earnings!B525*3,
IF(Final_Payroll!B525="IT",Earnings!B525*2,
IF(Final_Payroll!B525="Finance",Earnings!B525*1.5,
IF(Final_Payroll!B525="HR",Earnings!B525*1.2,
Earnings!B525*1.3))))</f>
        <v>1510822.3</v>
      </c>
      <c r="C525">
        <f>Earnings!B525 + Deductions!B525 + Deductions!C525 + Overtime!D525</f>
        <v>1163971</v>
      </c>
      <c r="D525">
        <f t="shared" si="16"/>
        <v>346851.30000000005</v>
      </c>
      <c r="E525">
        <f t="shared" si="17"/>
        <v>1.2979896406353766</v>
      </c>
    </row>
    <row r="526" spans="1:5" x14ac:dyDescent="0.35">
      <c r="A526" t="s">
        <v>556</v>
      </c>
      <c r="B526">
        <f>IF(Final_Payroll!B526="Sales",Earnings!B526*3,
IF(Final_Payroll!B526="IT",Earnings!B526*2,
IF(Final_Payroll!B526="Finance",Earnings!B526*1.5,
IF(Final_Payroll!B526="HR",Earnings!B526*1.2,
Earnings!B526*1.3))))</f>
        <v>1924933.0349999999</v>
      </c>
      <c r="C526">
        <f>Earnings!B526 + Deductions!B526 + Deductions!C526 + Overtime!D526</f>
        <v>1285088.69</v>
      </c>
      <c r="D526">
        <f t="shared" si="16"/>
        <v>639844.34499999997</v>
      </c>
      <c r="E526">
        <f t="shared" si="17"/>
        <v>1.4978989776962397</v>
      </c>
    </row>
    <row r="527" spans="1:5" x14ac:dyDescent="0.35">
      <c r="A527" t="s">
        <v>557</v>
      </c>
      <c r="B527">
        <f>IF(Final_Payroll!B527="Sales",Earnings!B527*3,
IF(Final_Payroll!B527="IT",Earnings!B527*2,
IF(Final_Payroll!B527="Finance",Earnings!B527*1.5,
IF(Final_Payroll!B527="HR",Earnings!B527*1.2,
Earnings!B527*1.3))))</f>
        <v>474184.42499999999</v>
      </c>
      <c r="C527">
        <f>Earnings!B527 + Deductions!B527 + Deductions!C527 + Overtime!D527</f>
        <v>366557.25</v>
      </c>
      <c r="D527">
        <f t="shared" si="16"/>
        <v>107627.17499999999</v>
      </c>
      <c r="E527">
        <f t="shared" si="17"/>
        <v>1.2936162768571622</v>
      </c>
    </row>
    <row r="528" spans="1:5" x14ac:dyDescent="0.35">
      <c r="A528" t="s">
        <v>558</v>
      </c>
      <c r="B528">
        <f>IF(Final_Payroll!B528="Sales",Earnings!B528*3,
IF(Final_Payroll!B528="IT",Earnings!B528*2,
IF(Final_Payroll!B528="Finance",Earnings!B528*1.5,
IF(Final_Payroll!B528="HR",Earnings!B528*1.2,
Earnings!B528*1.3))))</f>
        <v>775398.36</v>
      </c>
      <c r="C528">
        <f>Earnings!B528 + Deductions!B528 + Deductions!C528 + Overtime!D528</f>
        <v>647965.30000000005</v>
      </c>
      <c r="D528">
        <f t="shared" si="16"/>
        <v>127433.05999999994</v>
      </c>
      <c r="E528">
        <f t="shared" si="17"/>
        <v>1.1966664881591651</v>
      </c>
    </row>
    <row r="529" spans="1:5" x14ac:dyDescent="0.35">
      <c r="A529" t="s">
        <v>559</v>
      </c>
      <c r="B529">
        <f>IF(Final_Payroll!B529="Sales",Earnings!B529*3,
IF(Final_Payroll!B529="IT",Earnings!B529*2,
IF(Final_Payroll!B529="Finance",Earnings!B529*1.5,
IF(Final_Payroll!B529="HR",Earnings!B529*1.2,
Earnings!B529*1.3))))</f>
        <v>2341598</v>
      </c>
      <c r="C529">
        <f>Earnings!B529 + Deductions!B529 + Deductions!C529 + Overtime!D529</f>
        <v>1201868.9750000001</v>
      </c>
      <c r="D529">
        <f t="shared" si="16"/>
        <v>1139729.0249999999</v>
      </c>
      <c r="E529">
        <f t="shared" si="17"/>
        <v>1.9482972343137486</v>
      </c>
    </row>
    <row r="530" spans="1:5" x14ac:dyDescent="0.35">
      <c r="A530" t="s">
        <v>560</v>
      </c>
      <c r="B530">
        <f>IF(Final_Payroll!B530="Sales",Earnings!B530*3,
IF(Final_Payroll!B530="IT",Earnings!B530*2,
IF(Final_Payroll!B530="Finance",Earnings!B530*1.5,
IF(Final_Payroll!B530="HR",Earnings!B530*1.2,
Earnings!B530*1.3))))</f>
        <v>957120.48</v>
      </c>
      <c r="C530">
        <f>Earnings!B530 + Deductions!B530 + Deductions!C530 + Overtime!D530</f>
        <v>890326.8456</v>
      </c>
      <c r="D530">
        <f t="shared" si="16"/>
        <v>66793.634399999981</v>
      </c>
      <c r="E530">
        <f t="shared" si="17"/>
        <v>1.0750214763601642</v>
      </c>
    </row>
    <row r="531" spans="1:5" x14ac:dyDescent="0.35">
      <c r="A531" t="s">
        <v>561</v>
      </c>
      <c r="B531">
        <f>IF(Final_Payroll!B531="Sales",Earnings!B531*3,
IF(Final_Payroll!B531="IT",Earnings!B531*2,
IF(Final_Payroll!B531="Finance",Earnings!B531*1.5,
IF(Final_Payroll!B531="HR",Earnings!B531*1.2,
Earnings!B531*1.3))))</f>
        <v>2918689.2</v>
      </c>
      <c r="C531">
        <f>Earnings!B531 + Deductions!B531 + Deductions!C531 + Overtime!D531</f>
        <v>1461144.6</v>
      </c>
      <c r="D531">
        <f t="shared" si="16"/>
        <v>1457544.6</v>
      </c>
      <c r="E531">
        <f t="shared" si="17"/>
        <v>1.9975361781441754</v>
      </c>
    </row>
    <row r="532" spans="1:5" x14ac:dyDescent="0.35">
      <c r="A532" t="s">
        <v>562</v>
      </c>
      <c r="B532">
        <f>IF(Final_Payroll!B532="Sales",Earnings!B532*3,
IF(Final_Payroll!B532="IT",Earnings!B532*2,
IF(Final_Payroll!B532="Finance",Earnings!B532*1.5,
IF(Final_Payroll!B532="HR",Earnings!B532*1.2,
Earnings!B532*1.3))))</f>
        <v>1244268.6749999998</v>
      </c>
      <c r="C532">
        <f>Earnings!B532 + Deductions!B532 + Deductions!C532 + Overtime!D532</f>
        <v>893525.88374999992</v>
      </c>
      <c r="D532">
        <f t="shared" si="16"/>
        <v>350742.79124999989</v>
      </c>
      <c r="E532">
        <f t="shared" si="17"/>
        <v>1.3925379193023293</v>
      </c>
    </row>
    <row r="533" spans="1:5" x14ac:dyDescent="0.35">
      <c r="A533" t="s">
        <v>563</v>
      </c>
      <c r="B533">
        <f>IF(Final_Payroll!B533="Sales",Earnings!B533*3,
IF(Final_Payroll!B533="IT",Earnings!B533*2,
IF(Final_Payroll!B533="Finance",Earnings!B533*1.5,
IF(Final_Payroll!B533="HR",Earnings!B533*1.2,
Earnings!B533*1.3))))</f>
        <v>880829.3</v>
      </c>
      <c r="C533">
        <f>Earnings!B533 + Deductions!B533 + Deductions!C533 + Overtime!D533</f>
        <v>774219.54</v>
      </c>
      <c r="D533">
        <f t="shared" si="16"/>
        <v>106609.76000000001</v>
      </c>
      <c r="E533">
        <f t="shared" si="17"/>
        <v>1.13769965041182</v>
      </c>
    </row>
    <row r="534" spans="1:5" x14ac:dyDescent="0.35">
      <c r="A534" t="s">
        <v>564</v>
      </c>
      <c r="B534">
        <f>IF(Final_Payroll!B534="Sales",Earnings!B534*3,
IF(Final_Payroll!B534="IT",Earnings!B534*2,
IF(Final_Payroll!B534="Finance",Earnings!B534*1.5,
IF(Final_Payroll!B534="HR",Earnings!B534*1.2,
Earnings!B534*1.3))))</f>
        <v>1003009.2</v>
      </c>
      <c r="C534">
        <f>Earnings!B534 + Deductions!B534 + Deductions!C534 + Overtime!D534</f>
        <v>942121.125</v>
      </c>
      <c r="D534">
        <f t="shared" si="16"/>
        <v>60888.074999999953</v>
      </c>
      <c r="E534">
        <f t="shared" si="17"/>
        <v>1.0646287121520601</v>
      </c>
    </row>
    <row r="535" spans="1:5" x14ac:dyDescent="0.35">
      <c r="A535" t="s">
        <v>565</v>
      </c>
      <c r="B535">
        <f>IF(Final_Payroll!B535="Sales",Earnings!B535*3,
IF(Final_Payroll!B535="IT",Earnings!B535*2,
IF(Final_Payroll!B535="Finance",Earnings!B535*1.5,
IF(Final_Payroll!B535="HR",Earnings!B535*1.2,
Earnings!B535*1.3))))</f>
        <v>2079681.7650000001</v>
      </c>
      <c r="C535">
        <f>Earnings!B535 + Deductions!B535 + Deductions!C535 + Overtime!D535</f>
        <v>1388254.51</v>
      </c>
      <c r="D535">
        <f t="shared" si="16"/>
        <v>691427.25500000012</v>
      </c>
      <c r="E535">
        <f t="shared" si="17"/>
        <v>1.4980551116668082</v>
      </c>
    </row>
    <row r="536" spans="1:5" x14ac:dyDescent="0.35">
      <c r="A536" t="s">
        <v>566</v>
      </c>
      <c r="B536">
        <f>IF(Final_Payroll!B536="Sales",Earnings!B536*3,
IF(Final_Payroll!B536="IT",Earnings!B536*2,
IF(Final_Payroll!B536="Finance",Earnings!B536*1.5,
IF(Final_Payroll!B536="HR",Earnings!B536*1.2,
Earnings!B536*1.3))))</f>
        <v>1365325.56</v>
      </c>
      <c r="C536">
        <f>Earnings!B536 + Deductions!B536 + Deductions!C536 + Overtime!D536</f>
        <v>1075856.1090000002</v>
      </c>
      <c r="D536">
        <f t="shared" si="16"/>
        <v>289469.45099999988</v>
      </c>
      <c r="E536">
        <f t="shared" si="17"/>
        <v>1.2690596340704516</v>
      </c>
    </row>
    <row r="537" spans="1:5" x14ac:dyDescent="0.35">
      <c r="A537" t="s">
        <v>567</v>
      </c>
      <c r="B537">
        <f>IF(Final_Payroll!B537="Sales",Earnings!B537*3,
IF(Final_Payroll!B537="IT",Earnings!B537*2,
IF(Final_Payroll!B537="Finance",Earnings!B537*1.5,
IF(Final_Payroll!B537="HR",Earnings!B537*1.2,
Earnings!B537*1.3))))</f>
        <v>1705374.108</v>
      </c>
      <c r="C537">
        <f>Earnings!B537 + Deductions!B537 + Deductions!C537 + Overtime!D537</f>
        <v>1761177.6238000002</v>
      </c>
      <c r="D537">
        <f t="shared" si="16"/>
        <v>-55803.515800000168</v>
      </c>
      <c r="E537">
        <f t="shared" si="17"/>
        <v>0.96831465773475145</v>
      </c>
    </row>
    <row r="538" spans="1:5" x14ac:dyDescent="0.35">
      <c r="A538" t="s">
        <v>568</v>
      </c>
      <c r="B538">
        <f>IF(Final_Payroll!B538="Sales",Earnings!B538*3,
IF(Final_Payroll!B538="IT",Earnings!B538*2,
IF(Final_Payroll!B538="Finance",Earnings!B538*1.5,
IF(Final_Payroll!B538="HR",Earnings!B538*1.2,
Earnings!B538*1.3))))</f>
        <v>1968969.5999999999</v>
      </c>
      <c r="C538">
        <f>Earnings!B538 + Deductions!B538 + Deductions!C538 + Overtime!D538</f>
        <v>1432584.5759999999</v>
      </c>
      <c r="D538">
        <f t="shared" si="16"/>
        <v>536385.02399999998</v>
      </c>
      <c r="E538">
        <f t="shared" si="17"/>
        <v>1.3744177013951042</v>
      </c>
    </row>
    <row r="539" spans="1:5" x14ac:dyDescent="0.35">
      <c r="A539" t="s">
        <v>569</v>
      </c>
      <c r="B539">
        <f>IF(Final_Payroll!B539="Sales",Earnings!B539*3,
IF(Final_Payroll!B539="IT",Earnings!B539*2,
IF(Final_Payroll!B539="Finance",Earnings!B539*1.5,
IF(Final_Payroll!B539="HR",Earnings!B539*1.2,
Earnings!B539*1.3))))</f>
        <v>2845835.7</v>
      </c>
      <c r="C539">
        <f>Earnings!B539 + Deductions!B539 + Deductions!C539 + Overtime!D539</f>
        <v>1899023.8</v>
      </c>
      <c r="D539">
        <f t="shared" si="16"/>
        <v>946811.90000000014</v>
      </c>
      <c r="E539">
        <f t="shared" si="17"/>
        <v>1.4985782168712156</v>
      </c>
    </row>
    <row r="540" spans="1:5" x14ac:dyDescent="0.35">
      <c r="A540" t="s">
        <v>570</v>
      </c>
      <c r="B540">
        <f>IF(Final_Payroll!B540="Sales",Earnings!B540*3,
IF(Final_Payroll!B540="IT",Earnings!B540*2,
IF(Final_Payroll!B540="Finance",Earnings!B540*1.5,
IF(Final_Payroll!B540="HR",Earnings!B540*1.2,
Earnings!B540*1.3))))</f>
        <v>3552134.74</v>
      </c>
      <c r="C540">
        <f>Earnings!B540 + Deductions!B540 + Deductions!C540 + Overtime!D540</f>
        <v>1902192.0862500002</v>
      </c>
      <c r="D540">
        <f t="shared" si="16"/>
        <v>1649942.6537500001</v>
      </c>
      <c r="E540">
        <f t="shared" si="17"/>
        <v>1.8673901367146959</v>
      </c>
    </row>
    <row r="541" spans="1:5" x14ac:dyDescent="0.35">
      <c r="A541" t="s">
        <v>571</v>
      </c>
      <c r="B541">
        <f>IF(Final_Payroll!B541="Sales",Earnings!B541*3,
IF(Final_Payroll!B541="IT",Earnings!B541*2,
IF(Final_Payroll!B541="Finance",Earnings!B541*1.5,
IF(Final_Payroll!B541="HR",Earnings!B541*1.2,
Earnings!B541*1.3))))</f>
        <v>1898841</v>
      </c>
      <c r="C541">
        <f>Earnings!B541 + Deductions!B541 + Deductions!C541 + Overtime!D541</f>
        <v>1116419.6669999999</v>
      </c>
      <c r="D541">
        <f t="shared" si="16"/>
        <v>782421.3330000001</v>
      </c>
      <c r="E541">
        <f t="shared" si="17"/>
        <v>1.7008308399855518</v>
      </c>
    </row>
    <row r="542" spans="1:5" x14ac:dyDescent="0.35">
      <c r="A542" t="s">
        <v>572</v>
      </c>
      <c r="B542">
        <f>IF(Final_Payroll!B542="Sales",Earnings!B542*3,
IF(Final_Payroll!B542="IT",Earnings!B542*2,
IF(Final_Payroll!B542="Finance",Earnings!B542*1.5,
IF(Final_Payroll!B542="HR",Earnings!B542*1.2,
Earnings!B542*1.3))))</f>
        <v>970208.34299999999</v>
      </c>
      <c r="C542">
        <f>Earnings!B542 + Deductions!B542 + Deductions!C542 + Overtime!D542</f>
        <v>748114.11</v>
      </c>
      <c r="D542">
        <f t="shared" si="16"/>
        <v>222094.23300000001</v>
      </c>
      <c r="E542">
        <f t="shared" si="17"/>
        <v>1.2968721349207009</v>
      </c>
    </row>
    <row r="543" spans="1:5" x14ac:dyDescent="0.35">
      <c r="A543" t="s">
        <v>573</v>
      </c>
      <c r="B543">
        <f>IF(Final_Payroll!B543="Sales",Earnings!B543*3,
IF(Final_Payroll!B543="IT",Earnings!B543*2,
IF(Final_Payroll!B543="Finance",Earnings!B543*1.5,
IF(Final_Payroll!B543="HR",Earnings!B543*1.2,
Earnings!B543*1.3))))</f>
        <v>2790423.6</v>
      </c>
      <c r="C543">
        <f>Earnings!B543 + Deductions!B543 + Deductions!C543 + Overtime!D543</f>
        <v>1487700.567</v>
      </c>
      <c r="D543">
        <f t="shared" si="16"/>
        <v>1302723.0330000001</v>
      </c>
      <c r="E543">
        <f t="shared" si="17"/>
        <v>1.8756621203868911</v>
      </c>
    </row>
    <row r="544" spans="1:5" x14ac:dyDescent="0.35">
      <c r="A544" t="s">
        <v>574</v>
      </c>
      <c r="B544">
        <f>IF(Final_Payroll!B544="Sales",Earnings!B544*3,
IF(Final_Payroll!B544="IT",Earnings!B544*2,
IF(Final_Payroll!B544="Finance",Earnings!B544*1.5,
IF(Final_Payroll!B544="HR",Earnings!B544*1.2,
Earnings!B544*1.3))))</f>
        <v>1796084.459</v>
      </c>
      <c r="C544">
        <f>Earnings!B544 + Deductions!B544 + Deductions!C544 + Overtime!D544</f>
        <v>1383403.43</v>
      </c>
      <c r="D544">
        <f t="shared" si="16"/>
        <v>412681.0290000001</v>
      </c>
      <c r="E544">
        <f t="shared" si="17"/>
        <v>1.2983085194461317</v>
      </c>
    </row>
    <row r="545" spans="1:5" x14ac:dyDescent="0.35">
      <c r="A545" t="s">
        <v>575</v>
      </c>
      <c r="B545">
        <f>IF(Final_Payroll!B545="Sales",Earnings!B545*3,
IF(Final_Payroll!B545="IT",Earnings!B545*2,
IF(Final_Payroll!B545="Finance",Earnings!B545*1.5,
IF(Final_Payroll!B545="HR",Earnings!B545*1.2,
Earnings!B545*1.3))))</f>
        <v>2136337.827</v>
      </c>
      <c r="C545">
        <f>Earnings!B545 + Deductions!B545 + Deductions!C545 + Overtime!D545</f>
        <v>1645136.79</v>
      </c>
      <c r="D545">
        <f t="shared" si="16"/>
        <v>491201.03700000001</v>
      </c>
      <c r="E545">
        <f t="shared" si="17"/>
        <v>1.298577625876326</v>
      </c>
    </row>
    <row r="546" spans="1:5" x14ac:dyDescent="0.35">
      <c r="A546" t="s">
        <v>576</v>
      </c>
      <c r="B546">
        <f>IF(Final_Payroll!B546="Sales",Earnings!B546*3,
IF(Final_Payroll!B546="IT",Earnings!B546*2,
IF(Final_Payroll!B546="Finance",Earnings!B546*1.5,
IF(Final_Payroll!B546="HR",Earnings!B546*1.2,
Earnings!B546*1.3))))</f>
        <v>1745530.5</v>
      </c>
      <c r="C546">
        <f>Earnings!B546 + Deductions!B546 + Deductions!C546 + Overtime!D546</f>
        <v>1230653.4720000001</v>
      </c>
      <c r="D546">
        <f t="shared" si="16"/>
        <v>514877.02799999993</v>
      </c>
      <c r="E546">
        <f t="shared" si="17"/>
        <v>1.4183769352742701</v>
      </c>
    </row>
    <row r="547" spans="1:5" x14ac:dyDescent="0.35">
      <c r="A547" t="s">
        <v>577</v>
      </c>
      <c r="B547">
        <f>IF(Final_Payroll!B547="Sales",Earnings!B547*3,
IF(Final_Payroll!B547="IT",Earnings!B547*2,
IF(Final_Payroll!B547="Finance",Earnings!B547*1.5,
IF(Final_Payroll!B547="HR",Earnings!B547*1.2,
Earnings!B547*1.3))))</f>
        <v>3716523</v>
      </c>
      <c r="C547">
        <f>Earnings!B547 + Deductions!B547 + Deductions!C547 + Overtime!D547</f>
        <v>1240641</v>
      </c>
      <c r="D547">
        <f t="shared" si="16"/>
        <v>2475882</v>
      </c>
      <c r="E547">
        <f t="shared" si="17"/>
        <v>2.9956474112978695</v>
      </c>
    </row>
    <row r="548" spans="1:5" x14ac:dyDescent="0.35">
      <c r="A548" t="s">
        <v>578</v>
      </c>
      <c r="B548">
        <f>IF(Final_Payroll!B548="Sales",Earnings!B548*3,
IF(Final_Payroll!B548="IT",Earnings!B548*2,
IF(Final_Payroll!B548="Finance",Earnings!B548*1.5,
IF(Final_Payroll!B548="HR",Earnings!B548*1.2,
Earnings!B548*1.3))))</f>
        <v>3428598</v>
      </c>
      <c r="C548">
        <f>Earnings!B548 + Deductions!B548 + Deductions!C548 + Overtime!D548</f>
        <v>1230380.95</v>
      </c>
      <c r="D548">
        <f t="shared" si="16"/>
        <v>2198217.0499999998</v>
      </c>
      <c r="E548">
        <f t="shared" si="17"/>
        <v>2.7866149910724807</v>
      </c>
    </row>
    <row r="549" spans="1:5" x14ac:dyDescent="0.35">
      <c r="A549" t="s">
        <v>579</v>
      </c>
      <c r="B549">
        <f>IF(Final_Payroll!B549="Sales",Earnings!B549*3,
IF(Final_Payroll!B549="IT",Earnings!B549*2,
IF(Final_Payroll!B549="Finance",Earnings!B549*1.5,
IF(Final_Payroll!B549="HR",Earnings!B549*1.2,
Earnings!B549*1.3))))</f>
        <v>4536098.0999999996</v>
      </c>
      <c r="C549">
        <f>Earnings!B549 + Deductions!B549 + Deductions!C549 + Overtime!D549</f>
        <v>1680912.31335</v>
      </c>
      <c r="D549">
        <f t="shared" si="16"/>
        <v>2855185.7866499997</v>
      </c>
      <c r="E549">
        <f t="shared" si="17"/>
        <v>2.6985929390687331</v>
      </c>
    </row>
    <row r="550" spans="1:5" x14ac:dyDescent="0.35">
      <c r="A550" t="s">
        <v>580</v>
      </c>
      <c r="B550">
        <f>IF(Final_Payroll!B550="Sales",Earnings!B550*3,
IF(Final_Payroll!B550="IT",Earnings!B550*2,
IF(Final_Payroll!B550="Finance",Earnings!B550*1.5,
IF(Final_Payroll!B550="HR",Earnings!B550*1.2,
Earnings!B550*1.3))))</f>
        <v>2750920.2</v>
      </c>
      <c r="C550">
        <f>Earnings!B550 + Deductions!B550 + Deductions!C550 + Overtime!D550</f>
        <v>918773.4</v>
      </c>
      <c r="D550">
        <f t="shared" si="16"/>
        <v>1832146.8000000003</v>
      </c>
      <c r="E550">
        <f t="shared" si="17"/>
        <v>2.9941225986734055</v>
      </c>
    </row>
    <row r="551" spans="1:5" x14ac:dyDescent="0.35">
      <c r="A551" t="s">
        <v>581</v>
      </c>
      <c r="B551">
        <f>IF(Final_Payroll!B551="Sales",Earnings!B551*3,
IF(Final_Payroll!B551="IT",Earnings!B551*2,
IF(Final_Payroll!B551="Finance",Earnings!B551*1.5,
IF(Final_Payroll!B551="HR",Earnings!B551*1.2,
Earnings!B551*1.3))))</f>
        <v>2944372.8</v>
      </c>
      <c r="C551">
        <f>Earnings!B551 + Deductions!B551 + Deductions!C551 + Overtime!D551</f>
        <v>1473986.4</v>
      </c>
      <c r="D551">
        <f t="shared" si="16"/>
        <v>1470386.4</v>
      </c>
      <c r="E551">
        <f t="shared" si="17"/>
        <v>1.9975576436797517</v>
      </c>
    </row>
    <row r="552" spans="1:5" x14ac:dyDescent="0.35">
      <c r="A552" t="s">
        <v>582</v>
      </c>
      <c r="B552">
        <f>IF(Final_Payroll!B552="Sales",Earnings!B552*3,
IF(Final_Payroll!B552="IT",Earnings!B552*2,
IF(Final_Payroll!B552="Finance",Earnings!B552*1.5,
IF(Final_Payroll!B552="HR",Earnings!B552*1.2,
Earnings!B552*1.3))))</f>
        <v>1699259.2050000001</v>
      </c>
      <c r="C552">
        <f>Earnings!B552 + Deductions!B552 + Deductions!C552 + Overtime!D552</f>
        <v>1134639.47</v>
      </c>
      <c r="D552">
        <f t="shared" si="16"/>
        <v>564619.7350000001</v>
      </c>
      <c r="E552">
        <f t="shared" si="17"/>
        <v>1.4976203894969387</v>
      </c>
    </row>
    <row r="553" spans="1:5" x14ac:dyDescent="0.35">
      <c r="A553" t="s">
        <v>583</v>
      </c>
      <c r="B553">
        <f>IF(Final_Payroll!B553="Sales",Earnings!B553*3,
IF(Final_Payroll!B553="IT",Earnings!B553*2,
IF(Final_Payroll!B553="Finance",Earnings!B553*1.5,
IF(Final_Payroll!B553="HR",Earnings!B553*1.2,
Earnings!B553*1.3))))</f>
        <v>1103577.8</v>
      </c>
      <c r="C553">
        <f>Earnings!B553 + Deductions!B553 + Deductions!C553 + Overtime!D553</f>
        <v>850706</v>
      </c>
      <c r="D553">
        <f t="shared" si="16"/>
        <v>252871.80000000005</v>
      </c>
      <c r="E553">
        <f t="shared" si="17"/>
        <v>1.2972493434864689</v>
      </c>
    </row>
    <row r="554" spans="1:5" x14ac:dyDescent="0.35">
      <c r="A554" t="s">
        <v>584</v>
      </c>
      <c r="B554">
        <f>IF(Final_Payroll!B554="Sales",Earnings!B554*3,
IF(Final_Payroll!B554="IT",Earnings!B554*2,
IF(Final_Payroll!B554="Finance",Earnings!B554*1.5,
IF(Final_Payroll!B554="HR",Earnings!B554*1.2,
Earnings!B554*1.3))))</f>
        <v>794531.5199999999</v>
      </c>
      <c r="C554">
        <f>Earnings!B554 + Deductions!B554 + Deductions!C554 + Overtime!D554</f>
        <v>703636.17599999998</v>
      </c>
      <c r="D554">
        <f t="shared" si="16"/>
        <v>90895.343999999925</v>
      </c>
      <c r="E554">
        <f t="shared" si="17"/>
        <v>1.1291794639052213</v>
      </c>
    </row>
    <row r="555" spans="1:5" x14ac:dyDescent="0.35">
      <c r="A555" t="s">
        <v>585</v>
      </c>
      <c r="B555">
        <f>IF(Final_Payroll!B555="Sales",Earnings!B555*3,
IF(Final_Payroll!B555="IT",Earnings!B555*2,
IF(Final_Payroll!B555="Finance",Earnings!B555*1.5,
IF(Final_Payroll!B555="HR",Earnings!B555*1.2,
Earnings!B555*1.3))))</f>
        <v>2254363.2999999998</v>
      </c>
      <c r="C555">
        <f>Earnings!B555 + Deductions!B555 + Deductions!C555 + Overtime!D555</f>
        <v>1128981.6499999999</v>
      </c>
      <c r="D555">
        <f t="shared" si="16"/>
        <v>1125381.6499999999</v>
      </c>
      <c r="E555">
        <f t="shared" si="17"/>
        <v>1.996811285639585</v>
      </c>
    </row>
    <row r="556" spans="1:5" x14ac:dyDescent="0.35">
      <c r="A556" t="s">
        <v>586</v>
      </c>
      <c r="B556">
        <f>IF(Final_Payroll!B556="Sales",Earnings!B556*3,
IF(Final_Payroll!B556="IT",Earnings!B556*2,
IF(Final_Payroll!B556="Finance",Earnings!B556*1.5,
IF(Final_Payroll!B556="HR",Earnings!B556*1.2,
Earnings!B556*1.3))))</f>
        <v>1539849</v>
      </c>
      <c r="C556">
        <f>Earnings!B556 + Deductions!B556 + Deductions!C556 + Overtime!D556</f>
        <v>1161819.58</v>
      </c>
      <c r="D556">
        <f t="shared" si="16"/>
        <v>378029.41999999993</v>
      </c>
      <c r="E556">
        <f t="shared" si="17"/>
        <v>1.3253770434820868</v>
      </c>
    </row>
    <row r="557" spans="1:5" x14ac:dyDescent="0.35">
      <c r="A557" t="s">
        <v>587</v>
      </c>
      <c r="B557">
        <f>IF(Final_Payroll!B557="Sales",Earnings!B557*3,
IF(Final_Payroll!B557="IT",Earnings!B557*2,
IF(Final_Payroll!B557="Finance",Earnings!B557*1.5,
IF(Final_Payroll!B557="HR",Earnings!B557*1.2,
Earnings!B557*1.3))))</f>
        <v>859971.6</v>
      </c>
      <c r="C557">
        <f>Earnings!B557 + Deductions!B557 + Deductions!C557 + Overtime!D557</f>
        <v>718443</v>
      </c>
      <c r="D557">
        <f t="shared" si="16"/>
        <v>141528.59999999998</v>
      </c>
      <c r="E557">
        <f t="shared" si="17"/>
        <v>1.1969934984403774</v>
      </c>
    </row>
    <row r="558" spans="1:5" x14ac:dyDescent="0.35">
      <c r="A558" t="s">
        <v>588</v>
      </c>
      <c r="B558">
        <f>IF(Final_Payroll!B558="Sales",Earnings!B558*3,
IF(Final_Payroll!B558="IT",Earnings!B558*2,
IF(Final_Payroll!B558="Finance",Earnings!B558*1.5,
IF(Final_Payroll!B558="HR",Earnings!B558*1.2,
Earnings!B558*1.3))))</f>
        <v>2165328</v>
      </c>
      <c r="C558">
        <f>Earnings!B558 + Deductions!B558 + Deductions!C558 + Overtime!D558</f>
        <v>1084464</v>
      </c>
      <c r="D558">
        <f t="shared" si="16"/>
        <v>1080864</v>
      </c>
      <c r="E558">
        <f t="shared" si="17"/>
        <v>1.9966803877307131</v>
      </c>
    </row>
    <row r="559" spans="1:5" x14ac:dyDescent="0.35">
      <c r="A559" t="s">
        <v>589</v>
      </c>
      <c r="B559">
        <f>IF(Final_Payroll!B559="Sales",Earnings!B559*3,
IF(Final_Payroll!B559="IT",Earnings!B559*2,
IF(Final_Payroll!B559="Finance",Earnings!B559*1.5,
IF(Final_Payroll!B559="HR",Earnings!B559*1.2,
Earnings!B559*1.3))))</f>
        <v>1090824.6749999998</v>
      </c>
      <c r="C559">
        <f>Earnings!B559 + Deductions!B559 + Deductions!C559 + Overtime!D559</f>
        <v>729016.45</v>
      </c>
      <c r="D559">
        <f t="shared" si="16"/>
        <v>361808.22499999986</v>
      </c>
      <c r="E559">
        <f t="shared" si="17"/>
        <v>1.4962963798690687</v>
      </c>
    </row>
    <row r="560" spans="1:5" x14ac:dyDescent="0.35">
      <c r="A560" t="s">
        <v>590</v>
      </c>
      <c r="B560">
        <f>IF(Final_Payroll!B560="Sales",Earnings!B560*3,
IF(Final_Payroll!B560="IT",Earnings!B560*2,
IF(Final_Payroll!B560="Finance",Earnings!B560*1.5,
IF(Final_Payroll!B560="HR",Earnings!B560*1.2,
Earnings!B560*1.3))))</f>
        <v>2521556</v>
      </c>
      <c r="C560">
        <f>Earnings!B560 + Deductions!B560 + Deductions!C560 + Overtime!D560</f>
        <v>1262578</v>
      </c>
      <c r="D560">
        <f t="shared" si="16"/>
        <v>1258978</v>
      </c>
      <c r="E560">
        <f t="shared" si="17"/>
        <v>1.9971486910115652</v>
      </c>
    </row>
    <row r="561" spans="1:5" x14ac:dyDescent="0.35">
      <c r="A561" t="s">
        <v>591</v>
      </c>
      <c r="B561">
        <f>IF(Final_Payroll!B561="Sales",Earnings!B561*3,
IF(Final_Payroll!B561="IT",Earnings!B561*2,
IF(Final_Payroll!B561="Finance",Earnings!B561*1.5,
IF(Final_Payroll!B561="HR",Earnings!B561*1.2,
Earnings!B561*1.3))))</f>
        <v>2343557.0999999996</v>
      </c>
      <c r="C561">
        <f>Earnings!B561 + Deductions!B561 + Deductions!C561 + Overtime!D561</f>
        <v>1564171.4</v>
      </c>
      <c r="D561">
        <f t="shared" si="16"/>
        <v>779385.69999999972</v>
      </c>
      <c r="E561">
        <f t="shared" si="17"/>
        <v>1.4982738464595375</v>
      </c>
    </row>
    <row r="562" spans="1:5" x14ac:dyDescent="0.35">
      <c r="A562" t="s">
        <v>592</v>
      </c>
      <c r="B562">
        <f>IF(Final_Payroll!B562="Sales",Earnings!B562*3,
IF(Final_Payroll!B562="IT",Earnings!B562*2,
IF(Final_Payroll!B562="Finance",Earnings!B562*1.5,
IF(Final_Payroll!B562="HR",Earnings!B562*1.2,
Earnings!B562*1.3))))</f>
        <v>2375034.2999999998</v>
      </c>
      <c r="C562">
        <f>Earnings!B562 + Deductions!B562 + Deductions!C562 + Overtime!D562</f>
        <v>1840868.2263</v>
      </c>
      <c r="D562">
        <f t="shared" si="16"/>
        <v>534166.07369999983</v>
      </c>
      <c r="E562">
        <f t="shared" si="17"/>
        <v>1.2901707281751673</v>
      </c>
    </row>
    <row r="563" spans="1:5" x14ac:dyDescent="0.35">
      <c r="A563" t="s">
        <v>593</v>
      </c>
      <c r="B563">
        <f>IF(Final_Payroll!B563="Sales",Earnings!B563*3,
IF(Final_Payroll!B563="IT",Earnings!B563*2,
IF(Final_Payroll!B563="Finance",Earnings!B563*1.5,
IF(Final_Payroll!B563="HR",Earnings!B563*1.2,
Earnings!B563*1.3))))</f>
        <v>1495613.196</v>
      </c>
      <c r="C563">
        <f>Earnings!B563 + Deductions!B563 + Deductions!C563 + Overtime!D563</f>
        <v>1248144.33</v>
      </c>
      <c r="D563">
        <f t="shared" si="16"/>
        <v>247468.86599999992</v>
      </c>
      <c r="E563">
        <f t="shared" si="17"/>
        <v>1.1982694309078823</v>
      </c>
    </row>
    <row r="564" spans="1:5" x14ac:dyDescent="0.35">
      <c r="A564" t="s">
        <v>594</v>
      </c>
      <c r="B564">
        <f>IF(Final_Payroll!B564="Sales",Earnings!B564*3,
IF(Final_Payroll!B564="IT",Earnings!B564*2,
IF(Final_Payroll!B564="Finance",Earnings!B564*1.5,
IF(Final_Payroll!B564="HR",Earnings!B564*1.2,
Earnings!B564*1.3))))</f>
        <v>881670.65999999992</v>
      </c>
      <c r="C564">
        <f>Earnings!B564 + Deductions!B564 + Deductions!C564 + Overtime!D564</f>
        <v>680008.2</v>
      </c>
      <c r="D564">
        <f t="shared" si="16"/>
        <v>201662.45999999996</v>
      </c>
      <c r="E564">
        <f t="shared" si="17"/>
        <v>1.2965588650254511</v>
      </c>
    </row>
    <row r="565" spans="1:5" x14ac:dyDescent="0.35">
      <c r="A565" t="s">
        <v>595</v>
      </c>
      <c r="B565">
        <f>IF(Final_Payroll!B565="Sales",Earnings!B565*3,
IF(Final_Payroll!B565="IT",Earnings!B565*2,
IF(Final_Payroll!B565="Finance",Earnings!B565*1.5,
IF(Final_Payroll!B565="HR",Earnings!B565*1.2,
Earnings!B565*1.3))))</f>
        <v>1265622.8</v>
      </c>
      <c r="C565">
        <f>Earnings!B565 + Deductions!B565 + Deductions!C565 + Overtime!D565</f>
        <v>975356</v>
      </c>
      <c r="D565">
        <f t="shared" si="16"/>
        <v>290266.80000000005</v>
      </c>
      <c r="E565">
        <f t="shared" si="17"/>
        <v>1.2976008759878446</v>
      </c>
    </row>
    <row r="566" spans="1:5" x14ac:dyDescent="0.35">
      <c r="A566" t="s">
        <v>596</v>
      </c>
      <c r="B566">
        <f>IF(Final_Payroll!B566="Sales",Earnings!B566*3,
IF(Final_Payroll!B566="IT",Earnings!B566*2,
IF(Final_Payroll!B566="Finance",Earnings!B566*1.5,
IF(Final_Payroll!B566="HR",Earnings!B566*1.2,
Earnings!B566*1.3))))</f>
        <v>1483238.952</v>
      </c>
      <c r="C566">
        <f>Earnings!B566 + Deductions!B566 + Deductions!C566 + Overtime!D566</f>
        <v>1197518.7864000001</v>
      </c>
      <c r="D566">
        <f t="shared" si="16"/>
        <v>285720.16559999995</v>
      </c>
      <c r="E566">
        <f t="shared" si="17"/>
        <v>1.238593472473978</v>
      </c>
    </row>
    <row r="567" spans="1:5" x14ac:dyDescent="0.35">
      <c r="A567" t="s">
        <v>597</v>
      </c>
      <c r="B567">
        <f>IF(Final_Payroll!B567="Sales",Earnings!B567*3,
IF(Final_Payroll!B567="IT",Earnings!B567*2,
IF(Final_Payroll!B567="Finance",Earnings!B567*1.5,
IF(Final_Payroll!B567="HR",Earnings!B567*1.2,
Earnings!B567*1.3))))</f>
        <v>1878901.2000000002</v>
      </c>
      <c r="C567">
        <f>Earnings!B567 + Deductions!B567 + Deductions!C567 + Overtime!D567</f>
        <v>1254400.8</v>
      </c>
      <c r="D567">
        <f t="shared" si="16"/>
        <v>624500.40000000014</v>
      </c>
      <c r="E567">
        <f t="shared" si="17"/>
        <v>1.4978475779033305</v>
      </c>
    </row>
    <row r="568" spans="1:5" x14ac:dyDescent="0.35">
      <c r="A568" t="s">
        <v>598</v>
      </c>
      <c r="B568">
        <f>IF(Final_Payroll!B568="Sales",Earnings!B568*3,
IF(Final_Payroll!B568="IT",Earnings!B568*2,
IF(Final_Payroll!B568="Finance",Earnings!B568*1.5,
IF(Final_Payroll!B568="HR",Earnings!B568*1.2,
Earnings!B568*1.3))))</f>
        <v>3316126.8000000003</v>
      </c>
      <c r="C568">
        <f>Earnings!B568 + Deductions!B568 + Deductions!C568 + Overtime!D568</f>
        <v>1277403.4424000001</v>
      </c>
      <c r="D568">
        <f t="shared" si="16"/>
        <v>2038723.3576000002</v>
      </c>
      <c r="E568">
        <f t="shared" si="17"/>
        <v>2.5959901859741539</v>
      </c>
    </row>
    <row r="569" spans="1:5" x14ac:dyDescent="0.35">
      <c r="A569" t="s">
        <v>599</v>
      </c>
      <c r="B569">
        <f>IF(Final_Payroll!B569="Sales",Earnings!B569*3,
IF(Final_Payroll!B569="IT",Earnings!B569*2,
IF(Final_Payroll!B569="Finance",Earnings!B569*1.5,
IF(Final_Payroll!B569="HR",Earnings!B569*1.2,
Earnings!B569*1.3))))</f>
        <v>4380908.4000000004</v>
      </c>
      <c r="C569">
        <f>Earnings!B569 + Deductions!B569 + Deductions!C569 + Overtime!D569</f>
        <v>1584768.2352</v>
      </c>
      <c r="D569">
        <f t="shared" si="16"/>
        <v>2796140.1648000004</v>
      </c>
      <c r="E569">
        <f t="shared" si="17"/>
        <v>2.7643842820001523</v>
      </c>
    </row>
    <row r="570" spans="1:5" x14ac:dyDescent="0.35">
      <c r="A570" t="s">
        <v>600</v>
      </c>
      <c r="B570">
        <f>IF(Final_Payroll!B570="Sales",Earnings!B570*3,
IF(Final_Payroll!B570="IT",Earnings!B570*2,
IF(Final_Payroll!B570="Finance",Earnings!B570*1.5,
IF(Final_Payroll!B570="HR",Earnings!B570*1.2,
Earnings!B570*1.3))))</f>
        <v>4358600.76</v>
      </c>
      <c r="C570">
        <f>Earnings!B570 + Deductions!B570 + Deductions!C570 + Overtime!D570</f>
        <v>2329292.8054999998</v>
      </c>
      <c r="D570">
        <f t="shared" si="16"/>
        <v>2029307.9545</v>
      </c>
      <c r="E570">
        <f t="shared" si="17"/>
        <v>1.8712120475829976</v>
      </c>
    </row>
    <row r="571" spans="1:5" x14ac:dyDescent="0.35">
      <c r="A571" t="s">
        <v>601</v>
      </c>
      <c r="B571">
        <f>IF(Final_Payroll!B571="Sales",Earnings!B571*3,
IF(Final_Payroll!B571="IT",Earnings!B571*2,
IF(Final_Payroll!B571="Finance",Earnings!B571*1.5,
IF(Final_Payroll!B571="HR",Earnings!B571*1.2,
Earnings!B571*1.3))))</f>
        <v>2828838.18</v>
      </c>
      <c r="C571">
        <f>Earnings!B571 + Deductions!B571 + Deductions!C571 + Overtime!D571</f>
        <v>2257326.9764999999</v>
      </c>
      <c r="D571">
        <f t="shared" si="16"/>
        <v>571511.20350000029</v>
      </c>
      <c r="E571">
        <f t="shared" si="17"/>
        <v>1.2531805137003822</v>
      </c>
    </row>
    <row r="572" spans="1:5" x14ac:dyDescent="0.35">
      <c r="A572" t="s">
        <v>602</v>
      </c>
      <c r="B572">
        <f>IF(Final_Payroll!B572="Sales",Earnings!B572*3,
IF(Final_Payroll!B572="IT",Earnings!B572*2,
IF(Final_Payroll!B572="Finance",Earnings!B572*1.5,
IF(Final_Payroll!B572="HR",Earnings!B572*1.2,
Earnings!B572*1.3))))</f>
        <v>966056.97599999991</v>
      </c>
      <c r="C572">
        <f>Earnings!B572 + Deductions!B572 + Deductions!C572 + Overtime!D572</f>
        <v>942095.4558</v>
      </c>
      <c r="D572">
        <f t="shared" si="16"/>
        <v>23961.520199999912</v>
      </c>
      <c r="E572">
        <f t="shared" si="17"/>
        <v>1.0254342806267465</v>
      </c>
    </row>
    <row r="573" spans="1:5" x14ac:dyDescent="0.35">
      <c r="A573" t="s">
        <v>603</v>
      </c>
      <c r="B573">
        <f>IF(Final_Payroll!B573="Sales",Earnings!B573*3,
IF(Final_Payroll!B573="IT",Earnings!B573*2,
IF(Final_Payroll!B573="Finance",Earnings!B573*1.5,
IF(Final_Payroll!B573="HR",Earnings!B573*1.2,
Earnings!B573*1.3))))</f>
        <v>1169297.22</v>
      </c>
      <c r="C573">
        <f>Earnings!B573 + Deductions!B573 + Deductions!C573 + Overtime!D573</f>
        <v>1014591.2844</v>
      </c>
      <c r="D573">
        <f t="shared" si="16"/>
        <v>154705.93559999997</v>
      </c>
      <c r="E573">
        <f t="shared" si="17"/>
        <v>1.1524810413599094</v>
      </c>
    </row>
    <row r="574" spans="1:5" x14ac:dyDescent="0.35">
      <c r="A574" t="s">
        <v>604</v>
      </c>
      <c r="B574">
        <f>IF(Final_Payroll!B574="Sales",Earnings!B574*3,
IF(Final_Payroll!B574="IT",Earnings!B574*2,
IF(Final_Payroll!B574="Finance",Earnings!B574*1.5,
IF(Final_Payroll!B574="HR",Earnings!B574*1.2,
Earnings!B574*1.3))))</f>
        <v>995456.93</v>
      </c>
      <c r="C574">
        <f>Earnings!B574 + Deductions!B574 + Deductions!C574 + Overtime!D574</f>
        <v>956290.04865000001</v>
      </c>
      <c r="D574">
        <f t="shared" si="16"/>
        <v>39166.88135000004</v>
      </c>
      <c r="E574">
        <f t="shared" si="17"/>
        <v>1.040957114847417</v>
      </c>
    </row>
    <row r="575" spans="1:5" x14ac:dyDescent="0.35">
      <c r="A575" t="s">
        <v>605</v>
      </c>
      <c r="B575">
        <f>IF(Final_Payroll!B575="Sales",Earnings!B575*3,
IF(Final_Payroll!B575="IT",Earnings!B575*2,
IF(Final_Payroll!B575="Finance",Earnings!B575*1.5,
IF(Final_Payroll!B575="HR",Earnings!B575*1.2,
Earnings!B575*1.3))))</f>
        <v>1748664</v>
      </c>
      <c r="C575">
        <f>Earnings!B575 + Deductions!B575 + Deductions!C575 + Overtime!D575</f>
        <v>1002910.14</v>
      </c>
      <c r="D575">
        <f t="shared" si="16"/>
        <v>745753.86</v>
      </c>
      <c r="E575">
        <f t="shared" si="17"/>
        <v>1.7435899092614617</v>
      </c>
    </row>
    <row r="576" spans="1:5" x14ac:dyDescent="0.35">
      <c r="A576" t="s">
        <v>606</v>
      </c>
      <c r="B576">
        <f>IF(Final_Payroll!B576="Sales",Earnings!B576*3,
IF(Final_Payroll!B576="IT",Earnings!B576*2,
IF(Final_Payroll!B576="Finance",Earnings!B576*1.5,
IF(Final_Payroll!B576="HR",Earnings!B576*1.2,
Earnings!B576*1.3))))</f>
        <v>1745276.4000000001</v>
      </c>
      <c r="C576">
        <f>Earnings!B576 + Deductions!B576 + Deductions!C576 + Overtime!D576</f>
        <v>1214185.3392</v>
      </c>
      <c r="D576">
        <f t="shared" si="16"/>
        <v>531091.06080000009</v>
      </c>
      <c r="E576">
        <f t="shared" si="17"/>
        <v>1.4374052656161409</v>
      </c>
    </row>
    <row r="577" spans="1:5" x14ac:dyDescent="0.35">
      <c r="A577" t="s">
        <v>607</v>
      </c>
      <c r="B577">
        <f>IF(Final_Payroll!B577="Sales",Earnings!B577*3,
IF(Final_Payroll!B577="IT",Earnings!B577*2,
IF(Final_Payroll!B577="Finance",Earnings!B577*1.5,
IF(Final_Payroll!B577="HR",Earnings!B577*1.2,
Earnings!B577*1.3))))</f>
        <v>2683253.0550000002</v>
      </c>
      <c r="C577">
        <f>Earnings!B577 + Deductions!B577 + Deductions!C577 + Overtime!D577</f>
        <v>1790635.37</v>
      </c>
      <c r="D577">
        <f t="shared" si="16"/>
        <v>892617.68500000006</v>
      </c>
      <c r="E577">
        <f t="shared" si="17"/>
        <v>1.4984921553292003</v>
      </c>
    </row>
    <row r="578" spans="1:5" x14ac:dyDescent="0.35">
      <c r="A578" t="s">
        <v>608</v>
      </c>
      <c r="B578">
        <f>IF(Final_Payroll!B578="Sales",Earnings!B578*3,
IF(Final_Payroll!B578="IT",Earnings!B578*2,
IF(Final_Payroll!B578="Finance",Earnings!B578*1.5,
IF(Final_Payroll!B578="HR",Earnings!B578*1.2,
Earnings!B578*1.3))))</f>
        <v>2616371.4000000004</v>
      </c>
      <c r="C578">
        <f>Earnings!B578 + Deductions!B578 + Deductions!C578 + Overtime!D578</f>
        <v>1066663.1598</v>
      </c>
      <c r="D578">
        <f t="shared" ref="D578:D641" si="18">B578-C578</f>
        <v>1549708.2402000003</v>
      </c>
      <c r="E578">
        <f t="shared" ref="E578:E641" si="19">IF(C578=0,0,B578/C578)</f>
        <v>2.4528562517248385</v>
      </c>
    </row>
    <row r="579" spans="1:5" x14ac:dyDescent="0.35">
      <c r="A579" t="s">
        <v>609</v>
      </c>
      <c r="B579">
        <f>IF(Final_Payroll!B579="Sales",Earnings!B579*3,
IF(Final_Payroll!B579="IT",Earnings!B579*2,
IF(Final_Payroll!B579="Finance",Earnings!B579*1.5,
IF(Final_Payroll!B579="HR",Earnings!B579*1.2,
Earnings!B579*1.3))))</f>
        <v>1319405.22</v>
      </c>
      <c r="C579">
        <f>Earnings!B579 + Deductions!B579 + Deductions!C579 + Overtime!D579</f>
        <v>992233.51784999995</v>
      </c>
      <c r="D579">
        <f t="shared" si="18"/>
        <v>327171.70215000003</v>
      </c>
      <c r="E579">
        <f t="shared" si="19"/>
        <v>1.3297325642243221</v>
      </c>
    </row>
    <row r="580" spans="1:5" x14ac:dyDescent="0.35">
      <c r="A580" t="s">
        <v>610</v>
      </c>
      <c r="B580">
        <f>IF(Final_Payroll!B580="Sales",Earnings!B580*3,
IF(Final_Payroll!B580="IT",Earnings!B580*2,
IF(Final_Payroll!B580="Finance",Earnings!B580*1.5,
IF(Final_Payroll!B580="HR",Earnings!B580*1.2,
Earnings!B580*1.3))))</f>
        <v>805490.46500000008</v>
      </c>
      <c r="C580">
        <f>Earnings!B580 + Deductions!B580 + Deductions!C580 + Overtime!D580</f>
        <v>621408.05000000005</v>
      </c>
      <c r="D580">
        <f t="shared" si="18"/>
        <v>184082.41500000004</v>
      </c>
      <c r="E580">
        <f t="shared" si="19"/>
        <v>1.2962343584058817</v>
      </c>
    </row>
    <row r="581" spans="1:5" x14ac:dyDescent="0.35">
      <c r="A581" t="s">
        <v>611</v>
      </c>
      <c r="B581">
        <f>IF(Final_Payroll!B581="Sales",Earnings!B581*3,
IF(Final_Payroll!B581="IT",Earnings!B581*2,
IF(Final_Payroll!B581="Finance",Earnings!B581*1.5,
IF(Final_Payroll!B581="HR",Earnings!B581*1.2,
Earnings!B581*1.3))))</f>
        <v>1874028</v>
      </c>
      <c r="C581">
        <f>Earnings!B581 + Deductions!B581 + Deductions!C581 + Overtime!D581</f>
        <v>1060625.82</v>
      </c>
      <c r="D581">
        <f t="shared" si="18"/>
        <v>813402.17999999993</v>
      </c>
      <c r="E581">
        <f t="shared" si="19"/>
        <v>1.7669077677177423</v>
      </c>
    </row>
    <row r="582" spans="1:5" x14ac:dyDescent="0.35">
      <c r="A582" t="s">
        <v>612</v>
      </c>
      <c r="B582">
        <f>IF(Final_Payroll!B582="Sales",Earnings!B582*3,
IF(Final_Payroll!B582="IT",Earnings!B582*2,
IF(Final_Payroll!B582="Finance",Earnings!B582*1.5,
IF(Final_Payroll!B582="HR",Earnings!B582*1.2,
Earnings!B582*1.3))))</f>
        <v>3965574.36</v>
      </c>
      <c r="C582">
        <f>Earnings!B582 + Deductions!B582 + Deductions!C582 + Overtime!D582</f>
        <v>2203685.1628374998</v>
      </c>
      <c r="D582">
        <f t="shared" si="18"/>
        <v>1761889.1971625001</v>
      </c>
      <c r="E582">
        <f t="shared" si="19"/>
        <v>1.7995194716898051</v>
      </c>
    </row>
    <row r="583" spans="1:5" x14ac:dyDescent="0.35">
      <c r="A583" t="s">
        <v>613</v>
      </c>
      <c r="B583">
        <f>IF(Final_Payroll!B583="Sales",Earnings!B583*3,
IF(Final_Payroll!B583="IT",Earnings!B583*2,
IF(Final_Payroll!B583="Finance",Earnings!B583*1.5,
IF(Final_Payroll!B583="HR",Earnings!B583*1.2,
Earnings!B583*1.3))))</f>
        <v>1168975.5</v>
      </c>
      <c r="C583">
        <f>Earnings!B583 + Deductions!B583 + Deductions!C583 + Overtime!D583</f>
        <v>804496.51</v>
      </c>
      <c r="D583">
        <f t="shared" si="18"/>
        <v>364478.99</v>
      </c>
      <c r="E583">
        <f t="shared" si="19"/>
        <v>1.4530522947824844</v>
      </c>
    </row>
    <row r="584" spans="1:5" x14ac:dyDescent="0.35">
      <c r="A584" t="s">
        <v>614</v>
      </c>
      <c r="B584">
        <f>IF(Final_Payroll!B584="Sales",Earnings!B584*3,
IF(Final_Payroll!B584="IT",Earnings!B584*2,
IF(Final_Payroll!B584="Finance",Earnings!B584*1.5,
IF(Final_Payroll!B584="HR",Earnings!B584*1.2,
Earnings!B584*1.3))))</f>
        <v>2042205.75</v>
      </c>
      <c r="C584">
        <f>Earnings!B584 + Deductions!B584 + Deductions!C584 + Overtime!D584</f>
        <v>1572727.5</v>
      </c>
      <c r="D584">
        <f t="shared" si="18"/>
        <v>469478.25</v>
      </c>
      <c r="E584">
        <f t="shared" si="19"/>
        <v>1.2985121389433325</v>
      </c>
    </row>
    <row r="585" spans="1:5" x14ac:dyDescent="0.35">
      <c r="A585" t="s">
        <v>615</v>
      </c>
      <c r="B585">
        <f>IF(Final_Payroll!B585="Sales",Earnings!B585*3,
IF(Final_Payroll!B585="IT",Earnings!B585*2,
IF(Final_Payroll!B585="Finance",Earnings!B585*1.5,
IF(Final_Payroll!B585="HR",Earnings!B585*1.2,
Earnings!B585*1.3))))</f>
        <v>3590440.8000000003</v>
      </c>
      <c r="C585">
        <f>Earnings!B585 + Deductions!B585 + Deductions!C585 + Overtime!D585</f>
        <v>1198613.6000000001</v>
      </c>
      <c r="D585">
        <f t="shared" si="18"/>
        <v>2391827.2000000002</v>
      </c>
      <c r="E585">
        <f t="shared" si="19"/>
        <v>2.9954947949864743</v>
      </c>
    </row>
    <row r="586" spans="1:5" x14ac:dyDescent="0.35">
      <c r="A586" t="s">
        <v>616</v>
      </c>
      <c r="B586">
        <f>IF(Final_Payroll!B586="Sales",Earnings!B586*3,
IF(Final_Payroll!B586="IT",Earnings!B586*2,
IF(Final_Payroll!B586="Finance",Earnings!B586*1.5,
IF(Final_Payroll!B586="HR",Earnings!B586*1.2,
Earnings!B586*1.3))))</f>
        <v>3291834</v>
      </c>
      <c r="C586">
        <f>Earnings!B586 + Deductions!B586 + Deductions!C586 + Overtime!D586</f>
        <v>1099078</v>
      </c>
      <c r="D586">
        <f t="shared" si="18"/>
        <v>2192756</v>
      </c>
      <c r="E586">
        <f t="shared" si="19"/>
        <v>2.9950867909283962</v>
      </c>
    </row>
    <row r="587" spans="1:5" x14ac:dyDescent="0.35">
      <c r="A587" t="s">
        <v>617</v>
      </c>
      <c r="B587">
        <f>IF(Final_Payroll!B587="Sales",Earnings!B587*3,
IF(Final_Payroll!B587="IT",Earnings!B587*2,
IF(Final_Payroll!B587="Finance",Earnings!B587*1.5,
IF(Final_Payroll!B587="HR",Earnings!B587*1.2,
Earnings!B587*1.3))))</f>
        <v>1994487.5999999999</v>
      </c>
      <c r="C587">
        <f>Earnings!B587 + Deductions!B587 + Deductions!C587 + Overtime!D587</f>
        <v>1331458.3999999999</v>
      </c>
      <c r="D587">
        <f t="shared" si="18"/>
        <v>663029.19999999995</v>
      </c>
      <c r="E587">
        <f t="shared" si="19"/>
        <v>1.4979721484351294</v>
      </c>
    </row>
    <row r="588" spans="1:5" x14ac:dyDescent="0.35">
      <c r="A588" t="s">
        <v>618</v>
      </c>
      <c r="B588">
        <f>IF(Final_Payroll!B588="Sales",Earnings!B588*3,
IF(Final_Payroll!B588="IT",Earnings!B588*2,
IF(Final_Payroll!B588="Finance",Earnings!B588*1.5,
IF(Final_Payroll!B588="HR",Earnings!B588*1.2,
Earnings!B588*1.3))))</f>
        <v>852168.52500000002</v>
      </c>
      <c r="C588">
        <f>Earnings!B588 + Deductions!B588 + Deductions!C588 + Overtime!D588</f>
        <v>673702.10624999995</v>
      </c>
      <c r="D588">
        <f t="shared" si="18"/>
        <v>178466.41875000007</v>
      </c>
      <c r="E588">
        <f t="shared" si="19"/>
        <v>1.2649040534300691</v>
      </c>
    </row>
    <row r="589" spans="1:5" x14ac:dyDescent="0.35">
      <c r="A589" t="s">
        <v>619</v>
      </c>
      <c r="B589">
        <f>IF(Final_Payroll!B589="Sales",Earnings!B589*3,
IF(Final_Payroll!B589="IT",Earnings!B589*2,
IF(Final_Payroll!B589="Finance",Earnings!B589*1.5,
IF(Final_Payroll!B589="HR",Earnings!B589*1.2,
Earnings!B589*1.3))))</f>
        <v>643734</v>
      </c>
      <c r="C589">
        <f>Earnings!B589 + Deductions!B589 + Deductions!C589 + Overtime!D589</f>
        <v>529166.69999999995</v>
      </c>
      <c r="D589">
        <f t="shared" si="18"/>
        <v>114567.30000000005</v>
      </c>
      <c r="E589">
        <f t="shared" si="19"/>
        <v>1.21650512022015</v>
      </c>
    </row>
    <row r="590" spans="1:5" x14ac:dyDescent="0.35">
      <c r="A590" t="s">
        <v>620</v>
      </c>
      <c r="B590">
        <f>IF(Final_Payroll!B590="Sales",Earnings!B590*3,
IF(Final_Payroll!B590="IT",Earnings!B590*2,
IF(Final_Payroll!B590="Finance",Earnings!B590*1.5,
IF(Final_Payroll!B590="HR",Earnings!B590*1.2,
Earnings!B590*1.3))))</f>
        <v>5835942.9900000002</v>
      </c>
      <c r="C590">
        <f>Earnings!B590 + Deductions!B590 + Deductions!C590 + Overtime!D590</f>
        <v>2129001.2193875001</v>
      </c>
      <c r="D590">
        <f t="shared" si="18"/>
        <v>3706941.7706125001</v>
      </c>
      <c r="E590">
        <f t="shared" si="19"/>
        <v>2.7411647005439308</v>
      </c>
    </row>
    <row r="591" spans="1:5" x14ac:dyDescent="0.35">
      <c r="A591" t="s">
        <v>621</v>
      </c>
      <c r="B591">
        <f>IF(Final_Payroll!B591="Sales",Earnings!B591*3,
IF(Final_Payroll!B591="IT",Earnings!B591*2,
IF(Final_Payroll!B591="Finance",Earnings!B591*1.5,
IF(Final_Payroll!B591="HR",Earnings!B591*1.2,
Earnings!B591*1.3))))</f>
        <v>890254.55999999994</v>
      </c>
      <c r="C591">
        <f>Earnings!B591 + Deductions!B591 + Deductions!C591 + Overtime!D591</f>
        <v>756461.94239999994</v>
      </c>
      <c r="D591">
        <f t="shared" si="18"/>
        <v>133792.6176</v>
      </c>
      <c r="E591">
        <f t="shared" si="19"/>
        <v>1.1768662904250291</v>
      </c>
    </row>
    <row r="592" spans="1:5" x14ac:dyDescent="0.35">
      <c r="A592" t="s">
        <v>622</v>
      </c>
      <c r="B592">
        <f>IF(Final_Payroll!B592="Sales",Earnings!B592*3,
IF(Final_Payroll!B592="IT",Earnings!B592*2,
IF(Final_Payroll!B592="Finance",Earnings!B592*1.5,
IF(Final_Payroll!B592="HR",Earnings!B592*1.2,
Earnings!B592*1.3))))</f>
        <v>1369647.5</v>
      </c>
      <c r="C592">
        <f>Earnings!B592 + Deductions!B592 + Deductions!C592 + Overtime!D592</f>
        <v>1198661.2</v>
      </c>
      <c r="D592">
        <f t="shared" si="18"/>
        <v>170986.30000000005</v>
      </c>
      <c r="E592">
        <f t="shared" si="19"/>
        <v>1.1426477306514968</v>
      </c>
    </row>
    <row r="593" spans="1:5" x14ac:dyDescent="0.35">
      <c r="A593" t="s">
        <v>623</v>
      </c>
      <c r="B593">
        <f>IF(Final_Payroll!B593="Sales",Earnings!B593*3,
IF(Final_Payroll!B593="IT",Earnings!B593*2,
IF(Final_Payroll!B593="Finance",Earnings!B593*1.5,
IF(Final_Payroll!B593="HR",Earnings!B593*1.2,
Earnings!B593*1.3))))</f>
        <v>4994341.8000000007</v>
      </c>
      <c r="C593">
        <f>Earnings!B593 + Deductions!B593 + Deductions!C593 + Overtime!D593</f>
        <v>1666580.6</v>
      </c>
      <c r="D593">
        <f t="shared" si="18"/>
        <v>3327761.2000000007</v>
      </c>
      <c r="E593">
        <f t="shared" si="19"/>
        <v>2.9967598326777596</v>
      </c>
    </row>
    <row r="594" spans="1:5" x14ac:dyDescent="0.35">
      <c r="A594" t="s">
        <v>624</v>
      </c>
      <c r="B594">
        <f>IF(Final_Payroll!B594="Sales",Earnings!B594*3,
IF(Final_Payroll!B594="IT",Earnings!B594*2,
IF(Final_Payroll!B594="Finance",Earnings!B594*1.5,
IF(Final_Payroll!B594="HR",Earnings!B594*1.2,
Earnings!B594*1.3))))</f>
        <v>2651253.2549999999</v>
      </c>
      <c r="C594">
        <f>Earnings!B594 + Deductions!B594 + Deductions!C594 + Overtime!D594</f>
        <v>2140477.6267499998</v>
      </c>
      <c r="D594">
        <f t="shared" si="18"/>
        <v>510775.62825000007</v>
      </c>
      <c r="E594">
        <f t="shared" si="19"/>
        <v>1.238626940953145</v>
      </c>
    </row>
    <row r="595" spans="1:5" x14ac:dyDescent="0.35">
      <c r="A595" t="s">
        <v>625</v>
      </c>
      <c r="B595">
        <f>IF(Final_Payroll!B595="Sales",Earnings!B595*3,
IF(Final_Payroll!B595="IT",Earnings!B595*2,
IF(Final_Payroll!B595="Finance",Earnings!B595*1.5,
IF(Final_Payroll!B595="HR",Earnings!B595*1.2,
Earnings!B595*1.3))))</f>
        <v>1316749.7070000002</v>
      </c>
      <c r="C595">
        <f>Earnings!B595 + Deductions!B595 + Deductions!C595 + Overtime!D595</f>
        <v>1014684.39</v>
      </c>
      <c r="D595">
        <f t="shared" si="18"/>
        <v>302065.31700000016</v>
      </c>
      <c r="E595">
        <f t="shared" si="19"/>
        <v>1.2976938641975169</v>
      </c>
    </row>
    <row r="596" spans="1:5" x14ac:dyDescent="0.35">
      <c r="A596" t="s">
        <v>626</v>
      </c>
      <c r="B596">
        <f>IF(Final_Payroll!B596="Sales",Earnings!B596*3,
IF(Final_Payroll!B596="IT",Earnings!B596*2,
IF(Final_Payroll!B596="Finance",Earnings!B596*1.5,
IF(Final_Payroll!B596="HR",Earnings!B596*1.2,
Earnings!B596*1.3))))</f>
        <v>871977.79200000002</v>
      </c>
      <c r="C596">
        <f>Earnings!B596 + Deductions!B596 + Deductions!C596 + Overtime!D596</f>
        <v>855611.58625000005</v>
      </c>
      <c r="D596">
        <f t="shared" si="18"/>
        <v>16366.205749999965</v>
      </c>
      <c r="E596">
        <f t="shared" si="19"/>
        <v>1.0191280786901569</v>
      </c>
    </row>
    <row r="597" spans="1:5" x14ac:dyDescent="0.35">
      <c r="A597" t="s">
        <v>627</v>
      </c>
      <c r="B597">
        <f>IF(Final_Payroll!B597="Sales",Earnings!B597*3,
IF(Final_Payroll!B597="IT",Earnings!B597*2,
IF(Final_Payroll!B597="Finance",Earnings!B597*1.5,
IF(Final_Payroll!B597="HR",Earnings!B597*1.2,
Earnings!B597*1.3))))</f>
        <v>2951504.46</v>
      </c>
      <c r="C597">
        <f>Earnings!B597 + Deductions!B597 + Deductions!C597 + Overtime!D597</f>
        <v>1121404.0258499999</v>
      </c>
      <c r="D597">
        <f t="shared" si="18"/>
        <v>1830100.4341500001</v>
      </c>
      <c r="E597">
        <f t="shared" si="19"/>
        <v>2.6319724131209745</v>
      </c>
    </row>
    <row r="598" spans="1:5" x14ac:dyDescent="0.35">
      <c r="A598" t="s">
        <v>628</v>
      </c>
      <c r="B598">
        <f>IF(Final_Payroll!B598="Sales",Earnings!B598*3,
IF(Final_Payroll!B598="IT",Earnings!B598*2,
IF(Final_Payroll!B598="Finance",Earnings!B598*1.5,
IF(Final_Payroll!B598="HR",Earnings!B598*1.2,
Earnings!B598*1.3))))</f>
        <v>2548274.6800000002</v>
      </c>
      <c r="C598">
        <f>Earnings!B598 + Deductions!B598 + Deductions!C598 + Overtime!D598</f>
        <v>1454316.5690000001</v>
      </c>
      <c r="D598">
        <f t="shared" si="18"/>
        <v>1093958.111</v>
      </c>
      <c r="E598">
        <f t="shared" si="19"/>
        <v>1.7522145689038078</v>
      </c>
    </row>
    <row r="599" spans="1:5" x14ac:dyDescent="0.35">
      <c r="A599" t="s">
        <v>629</v>
      </c>
      <c r="B599">
        <f>IF(Final_Payroll!B599="Sales",Earnings!B599*3,
IF(Final_Payroll!B599="IT",Earnings!B599*2,
IF(Final_Payroll!B599="Finance",Earnings!B599*1.5,
IF(Final_Payroll!B599="HR",Earnings!B599*1.2,
Earnings!B599*1.3))))</f>
        <v>679305.57500000007</v>
      </c>
      <c r="C599">
        <f>Earnings!B599 + Deductions!B599 + Deductions!C599 + Overtime!D599</f>
        <v>537406.31874999998</v>
      </c>
      <c r="D599">
        <f t="shared" si="18"/>
        <v>141899.25625000009</v>
      </c>
      <c r="E599">
        <f t="shared" si="19"/>
        <v>1.2640446368030356</v>
      </c>
    </row>
    <row r="600" spans="1:5" x14ac:dyDescent="0.35">
      <c r="A600" t="s">
        <v>630</v>
      </c>
      <c r="B600">
        <f>IF(Final_Payroll!B600="Sales",Earnings!B600*3,
IF(Final_Payroll!B600="IT",Earnings!B600*2,
IF(Final_Payroll!B600="Finance",Earnings!B600*1.5,
IF(Final_Payroll!B600="HR",Earnings!B600*1.2,
Earnings!B600*1.3))))</f>
        <v>1976685.9000000001</v>
      </c>
      <c r="C600">
        <f>Earnings!B600 + Deductions!B600 + Deductions!C600 + Overtime!D600</f>
        <v>1319590.6000000001</v>
      </c>
      <c r="D600">
        <f t="shared" si="18"/>
        <v>657095.30000000005</v>
      </c>
      <c r="E600">
        <f t="shared" si="19"/>
        <v>1.4979539108568976</v>
      </c>
    </row>
    <row r="601" spans="1:5" x14ac:dyDescent="0.35">
      <c r="A601" t="s">
        <v>631</v>
      </c>
      <c r="B601">
        <f>IF(Final_Payroll!B601="Sales",Earnings!B601*3,
IF(Final_Payroll!B601="IT",Earnings!B601*2,
IF(Final_Payroll!B601="Finance",Earnings!B601*1.5,
IF(Final_Payroll!B601="HR",Earnings!B601*1.2,
Earnings!B601*1.3))))</f>
        <v>1051126.531</v>
      </c>
      <c r="C601">
        <f>Earnings!B601 + Deductions!B601 + Deductions!C601 + Overtime!D601</f>
        <v>810358.87</v>
      </c>
      <c r="D601">
        <f t="shared" si="18"/>
        <v>240767.66099999996</v>
      </c>
      <c r="E601">
        <f t="shared" si="19"/>
        <v>1.2971123904647333</v>
      </c>
    </row>
    <row r="602" spans="1:5" x14ac:dyDescent="0.35">
      <c r="A602" t="s">
        <v>632</v>
      </c>
      <c r="B602">
        <f>IF(Final_Payroll!B602="Sales",Earnings!B602*3,
IF(Final_Payroll!B602="IT",Earnings!B602*2,
IF(Final_Payroll!B602="Finance",Earnings!B602*1.5,
IF(Final_Payroll!B602="HR",Earnings!B602*1.2,
Earnings!B602*1.3))))</f>
        <v>795418.79999999993</v>
      </c>
      <c r="C602">
        <f>Earnings!B602 + Deductions!B602 + Deductions!C602 + Overtime!D602</f>
        <v>714362.67500000005</v>
      </c>
      <c r="D602">
        <f t="shared" si="18"/>
        <v>81056.124999999884</v>
      </c>
      <c r="E602">
        <f t="shared" si="19"/>
        <v>1.1134663495681656</v>
      </c>
    </row>
    <row r="603" spans="1:5" x14ac:dyDescent="0.35">
      <c r="A603" t="s">
        <v>633</v>
      </c>
      <c r="B603">
        <f>IF(Final_Payroll!B603="Sales",Earnings!B603*3,
IF(Final_Payroll!B603="IT",Earnings!B603*2,
IF(Final_Payroll!B603="Finance",Earnings!B603*1.5,
IF(Final_Payroll!B603="HR",Earnings!B603*1.2,
Earnings!B603*1.3))))</f>
        <v>1986546.9000000001</v>
      </c>
      <c r="C603">
        <f>Earnings!B603 + Deductions!B603 + Deductions!C603 + Overtime!D603</f>
        <v>1495021.0865000002</v>
      </c>
      <c r="D603">
        <f t="shared" si="18"/>
        <v>491525.81349999993</v>
      </c>
      <c r="E603">
        <f t="shared" si="19"/>
        <v>1.328775171091876</v>
      </c>
    </row>
    <row r="604" spans="1:5" x14ac:dyDescent="0.35">
      <c r="A604" t="s">
        <v>634</v>
      </c>
      <c r="B604">
        <f>IF(Final_Payroll!B604="Sales",Earnings!B604*3,
IF(Final_Payroll!B604="IT",Earnings!B604*2,
IF(Final_Payroll!B604="Finance",Earnings!B604*1.5,
IF(Final_Payroll!B604="HR",Earnings!B604*1.2,
Earnings!B604*1.3))))</f>
        <v>1406481.726</v>
      </c>
      <c r="C604">
        <f>Earnings!B604 + Deductions!B604 + Deductions!C604 + Overtime!D604</f>
        <v>1083709.02</v>
      </c>
      <c r="D604">
        <f t="shared" si="18"/>
        <v>322772.70600000001</v>
      </c>
      <c r="E604">
        <f t="shared" si="19"/>
        <v>1.2978407488017401</v>
      </c>
    </row>
    <row r="605" spans="1:5" x14ac:dyDescent="0.35">
      <c r="A605" t="s">
        <v>635</v>
      </c>
      <c r="B605">
        <f>IF(Final_Payroll!B605="Sales",Earnings!B605*3,
IF(Final_Payroll!B605="IT",Earnings!B605*2,
IF(Final_Payroll!B605="Finance",Earnings!B605*1.5,
IF(Final_Payroll!B605="HR",Earnings!B605*1.2,
Earnings!B605*1.3))))</f>
        <v>1280587.3080000002</v>
      </c>
      <c r="C605">
        <f>Earnings!B605 + Deductions!B605 + Deductions!C605 + Overtime!D605</f>
        <v>1140537.6354</v>
      </c>
      <c r="D605">
        <f t="shared" si="18"/>
        <v>140049.67260000017</v>
      </c>
      <c r="E605">
        <f t="shared" si="19"/>
        <v>1.122792679744306</v>
      </c>
    </row>
    <row r="606" spans="1:5" x14ac:dyDescent="0.35">
      <c r="A606" t="s">
        <v>636</v>
      </c>
      <c r="B606">
        <f>IF(Final_Payroll!B606="Sales",Earnings!B606*3,
IF(Final_Payroll!B606="IT",Earnings!B606*2,
IF(Final_Payroll!B606="Finance",Earnings!B606*1.5,
IF(Final_Payroll!B606="HR",Earnings!B606*1.2,
Earnings!B606*1.3))))</f>
        <v>4468317.4000000004</v>
      </c>
      <c r="C606">
        <f>Earnings!B606 + Deductions!B606 + Deductions!C606 + Overtime!D606</f>
        <v>2235958.7000000002</v>
      </c>
      <c r="D606">
        <f t="shared" si="18"/>
        <v>2232358.7000000002</v>
      </c>
      <c r="E606">
        <f t="shared" si="19"/>
        <v>1.998389952372555</v>
      </c>
    </row>
    <row r="607" spans="1:5" x14ac:dyDescent="0.35">
      <c r="A607" t="s">
        <v>637</v>
      </c>
      <c r="B607">
        <f>IF(Final_Payroll!B607="Sales",Earnings!B607*3,
IF(Final_Payroll!B607="IT",Earnings!B607*2,
IF(Final_Payroll!B607="Finance",Earnings!B607*1.5,
IF(Final_Payroll!B607="HR",Earnings!B607*1.2,
Earnings!B607*1.3))))</f>
        <v>2561039.64</v>
      </c>
      <c r="C607">
        <f>Earnings!B607 + Deductions!B607 + Deductions!C607 + Overtime!D607</f>
        <v>1451348.4369000001</v>
      </c>
      <c r="D607">
        <f t="shared" si="18"/>
        <v>1109691.2031</v>
      </c>
      <c r="E607">
        <f t="shared" si="19"/>
        <v>1.7645932395601975</v>
      </c>
    </row>
    <row r="608" spans="1:5" x14ac:dyDescent="0.35">
      <c r="A608" t="s">
        <v>638</v>
      </c>
      <c r="B608">
        <f>IF(Final_Payroll!B608="Sales",Earnings!B608*3,
IF(Final_Payroll!B608="IT",Earnings!B608*2,
IF(Final_Payroll!B608="Finance",Earnings!B608*1.5,
IF(Final_Payroll!B608="HR",Earnings!B608*1.2,
Earnings!B608*1.3))))</f>
        <v>2696164.8</v>
      </c>
      <c r="C608">
        <f>Earnings!B608 + Deductions!B608 + Deductions!C608 + Overtime!D608</f>
        <v>1472557.8983999998</v>
      </c>
      <c r="D608">
        <f t="shared" si="18"/>
        <v>1223606.9016</v>
      </c>
      <c r="E608">
        <f t="shared" si="19"/>
        <v>1.8309397565484546</v>
      </c>
    </row>
    <row r="609" spans="1:5" x14ac:dyDescent="0.35">
      <c r="A609" t="s">
        <v>639</v>
      </c>
      <c r="B609">
        <f>IF(Final_Payroll!B609="Sales",Earnings!B609*3,
IF(Final_Payroll!B609="IT",Earnings!B609*2,
IF(Final_Payroll!B609="Finance",Earnings!B609*1.5,
IF(Final_Payroll!B609="HR",Earnings!B609*1.2,
Earnings!B609*1.3))))</f>
        <v>1240544.76</v>
      </c>
      <c r="C609">
        <f>Earnings!B609 + Deductions!B609 + Deductions!C609 + Overtime!D609</f>
        <v>1029543.6203999999</v>
      </c>
      <c r="D609">
        <f t="shared" si="18"/>
        <v>211001.13960000011</v>
      </c>
      <c r="E609">
        <f t="shared" si="19"/>
        <v>1.2049462843721197</v>
      </c>
    </row>
    <row r="610" spans="1:5" x14ac:dyDescent="0.35">
      <c r="A610" t="s">
        <v>640</v>
      </c>
      <c r="B610">
        <f>IF(Final_Payroll!B610="Sales",Earnings!B610*3,
IF(Final_Payroll!B610="IT",Earnings!B610*2,
IF(Final_Payroll!B610="Finance",Earnings!B610*1.5,
IF(Final_Payroll!B610="HR",Earnings!B610*1.2,
Earnings!B610*1.3))))</f>
        <v>1197656.07</v>
      </c>
      <c r="C610">
        <f>Earnings!B610 + Deductions!B610 + Deductions!C610 + Overtime!D610</f>
        <v>978350.33400000003</v>
      </c>
      <c r="D610">
        <f t="shared" si="18"/>
        <v>219305.73600000003</v>
      </c>
      <c r="E610">
        <f t="shared" si="19"/>
        <v>1.2241586969192981</v>
      </c>
    </row>
    <row r="611" spans="1:5" x14ac:dyDescent="0.35">
      <c r="A611" t="s">
        <v>641</v>
      </c>
      <c r="B611">
        <f>IF(Final_Payroll!B611="Sales",Earnings!B611*3,
IF(Final_Payroll!B611="IT",Earnings!B611*2,
IF(Final_Payroll!B611="Finance",Earnings!B611*1.5,
IF(Final_Payroll!B611="HR",Earnings!B611*1.2,
Earnings!B611*1.3))))</f>
        <v>1549830</v>
      </c>
      <c r="C611">
        <f>Earnings!B611 + Deductions!B611 + Deductions!C611 + Overtime!D611</f>
        <v>1035020</v>
      </c>
      <c r="D611">
        <f t="shared" si="18"/>
        <v>514810</v>
      </c>
      <c r="E611">
        <f t="shared" si="19"/>
        <v>1.4973913547564299</v>
      </c>
    </row>
    <row r="612" spans="1:5" x14ac:dyDescent="0.35">
      <c r="A612" t="s">
        <v>642</v>
      </c>
      <c r="B612">
        <f>IF(Final_Payroll!B612="Sales",Earnings!B612*3,
IF(Final_Payroll!B612="IT",Earnings!B612*2,
IF(Final_Payroll!B612="Finance",Earnings!B612*1.5,
IF(Final_Payroll!B612="HR",Earnings!B612*1.2,
Earnings!B612*1.3))))</f>
        <v>698395.23600000003</v>
      </c>
      <c r="C612">
        <f>Earnings!B612 + Deductions!B612 + Deductions!C612 + Overtime!D612</f>
        <v>583796.03</v>
      </c>
      <c r="D612">
        <f t="shared" si="18"/>
        <v>114599.20600000001</v>
      </c>
      <c r="E612">
        <f t="shared" si="19"/>
        <v>1.1963000776144366</v>
      </c>
    </row>
    <row r="613" spans="1:5" x14ac:dyDescent="0.35">
      <c r="A613" t="s">
        <v>643</v>
      </c>
      <c r="B613">
        <f>IF(Final_Payroll!B613="Sales",Earnings!B613*3,
IF(Final_Payroll!B613="IT",Earnings!B613*2,
IF(Final_Payroll!B613="Finance",Earnings!B613*1.5,
IF(Final_Payroll!B613="HR",Earnings!B613*1.2,
Earnings!B613*1.3))))</f>
        <v>5436926.4000000004</v>
      </c>
      <c r="C613">
        <f>Earnings!B613 + Deductions!B613 + Deductions!C613 + Overtime!D613</f>
        <v>1814108.8</v>
      </c>
      <c r="D613">
        <f t="shared" si="18"/>
        <v>3622817.6000000006</v>
      </c>
      <c r="E613">
        <f t="shared" si="19"/>
        <v>2.9970233317869361</v>
      </c>
    </row>
    <row r="614" spans="1:5" x14ac:dyDescent="0.35">
      <c r="A614" t="s">
        <v>644</v>
      </c>
      <c r="B614">
        <f>IF(Final_Payroll!B614="Sales",Earnings!B614*3,
IF(Final_Payroll!B614="IT",Earnings!B614*2,
IF(Final_Payroll!B614="Finance",Earnings!B614*1.5,
IF(Final_Payroll!B614="HR",Earnings!B614*1.2,
Earnings!B614*1.3))))</f>
        <v>2962439.34</v>
      </c>
      <c r="C614">
        <f>Earnings!B614 + Deductions!B614 + Deductions!C614 + Overtime!D614</f>
        <v>1072228.0811000001</v>
      </c>
      <c r="D614">
        <f t="shared" si="18"/>
        <v>1890211.2588999998</v>
      </c>
      <c r="E614">
        <f t="shared" si="19"/>
        <v>2.7628816967382814</v>
      </c>
    </row>
    <row r="615" spans="1:5" x14ac:dyDescent="0.35">
      <c r="A615" t="s">
        <v>645</v>
      </c>
      <c r="B615">
        <f>IF(Final_Payroll!B615="Sales",Earnings!B615*3,
IF(Final_Payroll!B615="IT",Earnings!B615*2,
IF(Final_Payroll!B615="Finance",Earnings!B615*1.5,
IF(Final_Payroll!B615="HR",Earnings!B615*1.2,
Earnings!B615*1.3))))</f>
        <v>2061777.4</v>
      </c>
      <c r="C615">
        <f>Earnings!B615 + Deductions!B615 + Deductions!C615 + Overtime!D615</f>
        <v>1032688.7</v>
      </c>
      <c r="D615">
        <f t="shared" si="18"/>
        <v>1029088.7</v>
      </c>
      <c r="E615">
        <f t="shared" si="19"/>
        <v>1.9965139543020078</v>
      </c>
    </row>
    <row r="616" spans="1:5" x14ac:dyDescent="0.35">
      <c r="A616" t="s">
        <v>646</v>
      </c>
      <c r="B616">
        <f>IF(Final_Payroll!B616="Sales",Earnings!B616*3,
IF(Final_Payroll!B616="IT",Earnings!B616*2,
IF(Final_Payroll!B616="Finance",Earnings!B616*1.5,
IF(Final_Payroll!B616="HR",Earnings!B616*1.2,
Earnings!B616*1.3))))</f>
        <v>742207.83</v>
      </c>
      <c r="C616">
        <f>Earnings!B616 + Deductions!B616 + Deductions!C616 + Overtime!D616</f>
        <v>572729.1</v>
      </c>
      <c r="D616">
        <f t="shared" si="18"/>
        <v>169478.72999999998</v>
      </c>
      <c r="E616">
        <f t="shared" si="19"/>
        <v>1.2959142987496182</v>
      </c>
    </row>
    <row r="617" spans="1:5" x14ac:dyDescent="0.35">
      <c r="A617" t="s">
        <v>647</v>
      </c>
      <c r="B617">
        <f>IF(Final_Payroll!B617="Sales",Earnings!B617*3,
IF(Final_Payroll!B617="IT",Earnings!B617*2,
IF(Final_Payroll!B617="Finance",Earnings!B617*1.5,
IF(Final_Payroll!B617="HR",Earnings!B617*1.2,
Earnings!B617*1.3))))</f>
        <v>1859938.5</v>
      </c>
      <c r="C617">
        <f>Earnings!B617 + Deductions!B617 + Deductions!C617 + Overtime!D617</f>
        <v>1285157.5649999999</v>
      </c>
      <c r="D617">
        <f t="shared" si="18"/>
        <v>574780.93500000006</v>
      </c>
      <c r="E617">
        <f t="shared" si="19"/>
        <v>1.4472454978701386</v>
      </c>
    </row>
    <row r="618" spans="1:5" x14ac:dyDescent="0.35">
      <c r="A618" t="s">
        <v>648</v>
      </c>
      <c r="B618">
        <f>IF(Final_Payroll!B618="Sales",Earnings!B618*3,
IF(Final_Payroll!B618="IT",Earnings!B618*2,
IF(Final_Payroll!B618="Finance",Earnings!B618*1.5,
IF(Final_Payroll!B618="HR",Earnings!B618*1.2,
Earnings!B618*1.3))))</f>
        <v>907355.92499999993</v>
      </c>
      <c r="C618">
        <f>Earnings!B618 + Deductions!B618 + Deductions!C618 + Overtime!D618</f>
        <v>646022.7067499999</v>
      </c>
      <c r="D618">
        <f t="shared" si="18"/>
        <v>261333.21825000003</v>
      </c>
      <c r="E618">
        <f t="shared" si="19"/>
        <v>1.4045263665184631</v>
      </c>
    </row>
    <row r="619" spans="1:5" x14ac:dyDescent="0.35">
      <c r="A619" t="s">
        <v>649</v>
      </c>
      <c r="B619">
        <f>IF(Final_Payroll!B619="Sales",Earnings!B619*3,
IF(Final_Payroll!B619="IT",Earnings!B619*2,
IF(Final_Payroll!B619="Finance",Earnings!B619*1.5,
IF(Final_Payroll!B619="HR",Earnings!B619*1.2,
Earnings!B619*1.3))))</f>
        <v>1081208.7</v>
      </c>
      <c r="C619">
        <f>Earnings!B619 + Deductions!B619 + Deductions!C619 + Overtime!D619</f>
        <v>933302.88</v>
      </c>
      <c r="D619">
        <f t="shared" si="18"/>
        <v>147905.81999999995</v>
      </c>
      <c r="E619">
        <f t="shared" si="19"/>
        <v>1.158475692264016</v>
      </c>
    </row>
    <row r="620" spans="1:5" x14ac:dyDescent="0.35">
      <c r="A620" t="s">
        <v>650</v>
      </c>
      <c r="B620">
        <f>IF(Final_Payroll!B620="Sales",Earnings!B620*3,
IF(Final_Payroll!B620="IT",Earnings!B620*2,
IF(Final_Payroll!B620="Finance",Earnings!B620*1.5,
IF(Final_Payroll!B620="HR",Earnings!B620*1.2,
Earnings!B620*1.3))))</f>
        <v>786481.098</v>
      </c>
      <c r="C620">
        <f>Earnings!B620 + Deductions!B620 + Deductions!C620 + Overtime!D620</f>
        <v>606785.46</v>
      </c>
      <c r="D620">
        <f t="shared" si="18"/>
        <v>179695.63800000004</v>
      </c>
      <c r="E620">
        <f t="shared" si="19"/>
        <v>1.2961436122744274</v>
      </c>
    </row>
    <row r="621" spans="1:5" x14ac:dyDescent="0.35">
      <c r="A621" t="s">
        <v>651</v>
      </c>
      <c r="B621">
        <f>IF(Final_Payroll!B621="Sales",Earnings!B621*3,
IF(Final_Payroll!B621="IT",Earnings!B621*2,
IF(Final_Payroll!B621="Finance",Earnings!B621*1.5,
IF(Final_Payroll!B621="HR",Earnings!B621*1.2,
Earnings!B621*1.3))))</f>
        <v>2039904.12</v>
      </c>
      <c r="C621">
        <f>Earnings!B621 + Deductions!B621 + Deductions!C621 + Overtime!D621</f>
        <v>1990706.517</v>
      </c>
      <c r="D621">
        <f t="shared" si="18"/>
        <v>49197.603000000119</v>
      </c>
      <c r="E621">
        <f t="shared" si="19"/>
        <v>1.0247136393937872</v>
      </c>
    </row>
    <row r="622" spans="1:5" x14ac:dyDescent="0.35">
      <c r="A622" t="s">
        <v>652</v>
      </c>
      <c r="B622">
        <f>IF(Final_Payroll!B622="Sales",Earnings!B622*3,
IF(Final_Payroll!B622="IT",Earnings!B622*2,
IF(Final_Payroll!B622="Finance",Earnings!B622*1.5,
IF(Final_Payroll!B622="HR",Earnings!B622*1.2,
Earnings!B622*1.3))))</f>
        <v>3141789.84</v>
      </c>
      <c r="C622">
        <f>Earnings!B622 + Deductions!B622 + Deductions!C622 + Overtime!D622</f>
        <v>1193585.61195</v>
      </c>
      <c r="D622">
        <f t="shared" si="18"/>
        <v>1948204.2280499998</v>
      </c>
      <c r="E622">
        <f t="shared" si="19"/>
        <v>2.6322283115219145</v>
      </c>
    </row>
    <row r="623" spans="1:5" x14ac:dyDescent="0.35">
      <c r="A623" t="s">
        <v>653</v>
      </c>
      <c r="B623">
        <f>IF(Final_Payroll!B623="Sales",Earnings!B623*3,
IF(Final_Payroll!B623="IT",Earnings!B623*2,
IF(Final_Payroll!B623="Finance",Earnings!B623*1.5,
IF(Final_Payroll!B623="HR",Earnings!B623*1.2,
Earnings!B623*1.3))))</f>
        <v>1591246.5</v>
      </c>
      <c r="C623">
        <f>Earnings!B623 + Deductions!B623 + Deductions!C623 + Overtime!D623</f>
        <v>1062631</v>
      </c>
      <c r="D623">
        <f t="shared" si="18"/>
        <v>528615.5</v>
      </c>
      <c r="E623">
        <f t="shared" si="19"/>
        <v>1.4974591368028978</v>
      </c>
    </row>
    <row r="624" spans="1:5" x14ac:dyDescent="0.35">
      <c r="A624" t="s">
        <v>654</v>
      </c>
      <c r="B624">
        <f>IF(Final_Payroll!B624="Sales",Earnings!B624*3,
IF(Final_Payroll!B624="IT",Earnings!B624*2,
IF(Final_Payroll!B624="Finance",Earnings!B624*1.5,
IF(Final_Payroll!B624="HR",Earnings!B624*1.2,
Earnings!B624*1.3))))</f>
        <v>2760957.18</v>
      </c>
      <c r="C624">
        <f>Earnings!B624 + Deductions!B624 + Deductions!C624 + Overtime!D624</f>
        <v>1094218.7223499999</v>
      </c>
      <c r="D624">
        <f t="shared" si="18"/>
        <v>1666738.4576500002</v>
      </c>
      <c r="E624">
        <f t="shared" si="19"/>
        <v>2.523222390191266</v>
      </c>
    </row>
    <row r="625" spans="1:5" x14ac:dyDescent="0.35">
      <c r="A625" t="s">
        <v>655</v>
      </c>
      <c r="B625">
        <f>IF(Final_Payroll!B625="Sales",Earnings!B625*3,
IF(Final_Payroll!B625="IT",Earnings!B625*2,
IF(Final_Payroll!B625="Finance",Earnings!B625*1.5,
IF(Final_Payroll!B625="HR",Earnings!B625*1.2,
Earnings!B625*1.3))))</f>
        <v>2904362.4</v>
      </c>
      <c r="C625">
        <f>Earnings!B625 + Deductions!B625 + Deductions!C625 + Overtime!D625</f>
        <v>1453981.2</v>
      </c>
      <c r="D625">
        <f t="shared" si="18"/>
        <v>1450381.2</v>
      </c>
      <c r="E625">
        <f t="shared" si="19"/>
        <v>1.997524039513028</v>
      </c>
    </row>
    <row r="626" spans="1:5" x14ac:dyDescent="0.35">
      <c r="A626" t="s">
        <v>656</v>
      </c>
      <c r="B626">
        <f>IF(Final_Payroll!B626="Sales",Earnings!B626*3,
IF(Final_Payroll!B626="IT",Earnings!B626*2,
IF(Final_Payroll!B626="Finance",Earnings!B626*1.5,
IF(Final_Payroll!B626="HR",Earnings!B626*1.2,
Earnings!B626*1.3))))</f>
        <v>2656934.25</v>
      </c>
      <c r="C626">
        <f>Earnings!B626 + Deductions!B626 + Deductions!C626 + Overtime!D626</f>
        <v>2194656.4010000001</v>
      </c>
      <c r="D626">
        <f t="shared" si="18"/>
        <v>462277.84899999993</v>
      </c>
      <c r="E626">
        <f t="shared" si="19"/>
        <v>1.2106379152514999</v>
      </c>
    </row>
    <row r="627" spans="1:5" x14ac:dyDescent="0.35">
      <c r="A627" t="s">
        <v>657</v>
      </c>
      <c r="B627">
        <f>IF(Final_Payroll!B627="Sales",Earnings!B627*3,
IF(Final_Payroll!B627="IT",Earnings!B627*2,
IF(Final_Payroll!B627="Finance",Earnings!B627*1.5,
IF(Final_Payroll!B627="HR",Earnings!B627*1.2,
Earnings!B627*1.3))))</f>
        <v>2043964.7999999998</v>
      </c>
      <c r="C627">
        <f>Earnings!B627 + Deductions!B627 + Deductions!C627 + Overtime!D627</f>
        <v>1364443.2</v>
      </c>
      <c r="D627">
        <f t="shared" si="18"/>
        <v>679521.59999999986</v>
      </c>
      <c r="E627">
        <f t="shared" si="19"/>
        <v>1.4980211708336411</v>
      </c>
    </row>
    <row r="628" spans="1:5" x14ac:dyDescent="0.35">
      <c r="A628" t="s">
        <v>658</v>
      </c>
      <c r="B628">
        <f>IF(Final_Payroll!B628="Sales",Earnings!B628*3,
IF(Final_Payroll!B628="IT",Earnings!B628*2,
IF(Final_Payroll!B628="Finance",Earnings!B628*1.5,
IF(Final_Payroll!B628="HR",Earnings!B628*1.2,
Earnings!B628*1.3))))</f>
        <v>2710104</v>
      </c>
      <c r="C628">
        <f>Earnings!B628 + Deductions!B628 + Deductions!C628 + Overtime!D628</f>
        <v>1546559.28</v>
      </c>
      <c r="D628">
        <f t="shared" si="18"/>
        <v>1163544.72</v>
      </c>
      <c r="E628">
        <f t="shared" si="19"/>
        <v>1.7523440808554069</v>
      </c>
    </row>
    <row r="629" spans="1:5" x14ac:dyDescent="0.35">
      <c r="A629" t="s">
        <v>659</v>
      </c>
      <c r="B629">
        <f>IF(Final_Payroll!B629="Sales",Earnings!B629*3,
IF(Final_Payroll!B629="IT",Earnings!B629*2,
IF(Final_Payroll!B629="Finance",Earnings!B629*1.5,
IF(Final_Payroll!B629="HR",Earnings!B629*1.2,
Earnings!B629*1.3))))</f>
        <v>2882682</v>
      </c>
      <c r="C629">
        <f>Earnings!B629 + Deductions!B629 + Deductions!C629 + Overtime!D629</f>
        <v>1443141</v>
      </c>
      <c r="D629">
        <f t="shared" si="18"/>
        <v>1439541</v>
      </c>
      <c r="E629">
        <f t="shared" si="19"/>
        <v>1.9975054412562598</v>
      </c>
    </row>
    <row r="630" spans="1:5" x14ac:dyDescent="0.35">
      <c r="A630" t="s">
        <v>660</v>
      </c>
      <c r="B630">
        <f>IF(Final_Payroll!B630="Sales",Earnings!B630*3,
IF(Final_Payroll!B630="IT",Earnings!B630*2,
IF(Final_Payroll!B630="Finance",Earnings!B630*1.5,
IF(Final_Payroll!B630="HR",Earnings!B630*1.2,
Earnings!B630*1.3))))</f>
        <v>4003797.42</v>
      </c>
      <c r="C630">
        <f>Earnings!B630 + Deductions!B630 + Deductions!C630 + Overtime!D630</f>
        <v>1616664.9615</v>
      </c>
      <c r="D630">
        <f t="shared" si="18"/>
        <v>2387132.4584999997</v>
      </c>
      <c r="E630">
        <f t="shared" si="19"/>
        <v>2.476578335863191</v>
      </c>
    </row>
    <row r="631" spans="1:5" x14ac:dyDescent="0.35">
      <c r="A631" t="s">
        <v>661</v>
      </c>
      <c r="B631">
        <f>IF(Final_Payroll!B631="Sales",Earnings!B631*3,
IF(Final_Payroll!B631="IT",Earnings!B631*2,
IF(Final_Payroll!B631="Finance",Earnings!B631*1.5,
IF(Final_Payroll!B631="HR",Earnings!B631*1.2,
Earnings!B631*1.3))))</f>
        <v>2057376.2999999998</v>
      </c>
      <c r="C631">
        <f>Earnings!B631 + Deductions!B631 + Deductions!C631 + Overtime!D631</f>
        <v>1517400.541</v>
      </c>
      <c r="D631">
        <f t="shared" si="18"/>
        <v>539975.75899999985</v>
      </c>
      <c r="E631">
        <f t="shared" si="19"/>
        <v>1.3558557838948337</v>
      </c>
    </row>
    <row r="632" spans="1:5" x14ac:dyDescent="0.35">
      <c r="A632" t="s">
        <v>662</v>
      </c>
      <c r="B632">
        <f>IF(Final_Payroll!B632="Sales",Earnings!B632*3,
IF(Final_Payroll!B632="IT",Earnings!B632*2,
IF(Final_Payroll!B632="Finance",Earnings!B632*1.5,
IF(Final_Payroll!B632="HR",Earnings!B632*1.2,
Earnings!B632*1.3))))</f>
        <v>1611461.2800000003</v>
      </c>
      <c r="C632">
        <f>Earnings!B632 + Deductions!B632 + Deductions!C632 + Overtime!D632</f>
        <v>1241385.6000000001</v>
      </c>
      <c r="D632">
        <f t="shared" si="18"/>
        <v>370075.68000000017</v>
      </c>
      <c r="E632">
        <f t="shared" si="19"/>
        <v>1.2981150095506184</v>
      </c>
    </row>
    <row r="633" spans="1:5" x14ac:dyDescent="0.35">
      <c r="A633" t="s">
        <v>663</v>
      </c>
      <c r="B633">
        <f>IF(Final_Payroll!B633="Sales",Earnings!B633*3,
IF(Final_Payroll!B633="IT",Earnings!B633*2,
IF(Final_Payroll!B633="Finance",Earnings!B633*1.5,
IF(Final_Payroll!B633="HR",Earnings!B633*1.2,
Earnings!B633*1.3))))</f>
        <v>458894.45999999996</v>
      </c>
      <c r="C633">
        <f>Earnings!B633 + Deductions!B633 + Deductions!C633 + Overtime!D633</f>
        <v>412892.95374999999</v>
      </c>
      <c r="D633">
        <f t="shared" si="18"/>
        <v>46001.506249999977</v>
      </c>
      <c r="E633">
        <f t="shared" si="19"/>
        <v>1.1114126696331397</v>
      </c>
    </row>
    <row r="634" spans="1:5" x14ac:dyDescent="0.35">
      <c r="A634" t="s">
        <v>664</v>
      </c>
      <c r="B634">
        <f>IF(Final_Payroll!B634="Sales",Earnings!B634*3,
IF(Final_Payroll!B634="IT",Earnings!B634*2,
IF(Final_Payroll!B634="Finance",Earnings!B634*1.5,
IF(Final_Payroll!B634="HR",Earnings!B634*1.2,
Earnings!B634*1.3))))</f>
        <v>1012475.2679999999</v>
      </c>
      <c r="C634">
        <f>Earnings!B634 + Deductions!B634 + Deductions!C634 + Overtime!D634</f>
        <v>845529.39</v>
      </c>
      <c r="D634">
        <f t="shared" si="18"/>
        <v>166945.87799999991</v>
      </c>
      <c r="E634">
        <f t="shared" si="19"/>
        <v>1.1974453874394595</v>
      </c>
    </row>
    <row r="635" spans="1:5" x14ac:dyDescent="0.35">
      <c r="A635" t="s">
        <v>665</v>
      </c>
      <c r="B635">
        <f>IF(Final_Payroll!B635="Sales",Earnings!B635*3,
IF(Final_Payroll!B635="IT",Earnings!B635*2,
IF(Final_Payroll!B635="Finance",Earnings!B635*1.5,
IF(Final_Payroll!B635="HR",Earnings!B635*1.2,
Earnings!B635*1.3))))</f>
        <v>2761749.45</v>
      </c>
      <c r="C635">
        <f>Earnings!B635 + Deductions!B635 + Deductions!C635 + Overtime!D635</f>
        <v>1842966.3</v>
      </c>
      <c r="D635">
        <f t="shared" si="18"/>
        <v>918783.15000000014</v>
      </c>
      <c r="E635">
        <f t="shared" si="19"/>
        <v>1.4985349704983755</v>
      </c>
    </row>
    <row r="636" spans="1:5" x14ac:dyDescent="0.35">
      <c r="A636" t="s">
        <v>666</v>
      </c>
      <c r="B636">
        <f>IF(Final_Payroll!B636="Sales",Earnings!B636*3,
IF(Final_Payroll!B636="IT",Earnings!B636*2,
IF(Final_Payroll!B636="Finance",Earnings!B636*1.5,
IF(Final_Payroll!B636="HR",Earnings!B636*1.2,
Earnings!B636*1.3))))</f>
        <v>964537.2</v>
      </c>
      <c r="C636">
        <f>Earnings!B636 + Deductions!B636 + Deductions!C636 + Overtime!D636</f>
        <v>906053.625</v>
      </c>
      <c r="D636">
        <f t="shared" si="18"/>
        <v>58483.574999999953</v>
      </c>
      <c r="E636">
        <f t="shared" si="19"/>
        <v>1.0645475867943246</v>
      </c>
    </row>
    <row r="637" spans="1:5" x14ac:dyDescent="0.35">
      <c r="A637" t="s">
        <v>667</v>
      </c>
      <c r="B637">
        <f>IF(Final_Payroll!B637="Sales",Earnings!B637*3,
IF(Final_Payroll!B637="IT",Earnings!B637*2,
IF(Final_Payroll!B637="Finance",Earnings!B637*1.5,
IF(Final_Payroll!B637="HR",Earnings!B637*1.2,
Earnings!B637*1.3))))</f>
        <v>1287541.463</v>
      </c>
      <c r="C637">
        <f>Earnings!B637 + Deductions!B637 + Deductions!C637 + Overtime!D637</f>
        <v>992216.51</v>
      </c>
      <c r="D637">
        <f t="shared" si="18"/>
        <v>295324.95299999998</v>
      </c>
      <c r="E637">
        <f t="shared" si="19"/>
        <v>1.2976416437577722</v>
      </c>
    </row>
    <row r="638" spans="1:5" x14ac:dyDescent="0.35">
      <c r="A638" t="s">
        <v>668</v>
      </c>
      <c r="B638">
        <f>IF(Final_Payroll!B638="Sales",Earnings!B638*3,
IF(Final_Payroll!B638="IT",Earnings!B638*2,
IF(Final_Payroll!B638="Finance",Earnings!B638*1.5,
IF(Final_Payroll!B638="HR",Earnings!B638*1.2,
Earnings!B638*1.3))))</f>
        <v>1117677.223</v>
      </c>
      <c r="C638">
        <f>Earnings!B638 + Deductions!B638 + Deductions!C638 + Overtime!D638</f>
        <v>1044248.9462499999</v>
      </c>
      <c r="D638">
        <f t="shared" si="18"/>
        <v>73428.276750000077</v>
      </c>
      <c r="E638">
        <f t="shared" si="19"/>
        <v>1.0703168310714493</v>
      </c>
    </row>
    <row r="639" spans="1:5" x14ac:dyDescent="0.35">
      <c r="A639" t="s">
        <v>669</v>
      </c>
      <c r="B639">
        <f>IF(Final_Payroll!B639="Sales",Earnings!B639*3,
IF(Final_Payroll!B639="IT",Earnings!B639*2,
IF(Final_Payroll!B639="Finance",Earnings!B639*1.5,
IF(Final_Payroll!B639="HR",Earnings!B639*1.2,
Earnings!B639*1.3))))</f>
        <v>1640037.63</v>
      </c>
      <c r="C639">
        <f>Earnings!B639 + Deductions!B639 + Deductions!C639 + Overtime!D639</f>
        <v>1179347.0187249999</v>
      </c>
      <c r="D639">
        <f t="shared" si="18"/>
        <v>460690.61127500003</v>
      </c>
      <c r="E639">
        <f t="shared" si="19"/>
        <v>1.3906319378100058</v>
      </c>
    </row>
    <row r="640" spans="1:5" x14ac:dyDescent="0.35">
      <c r="A640" t="s">
        <v>670</v>
      </c>
      <c r="B640">
        <f>IF(Final_Payroll!B640="Sales",Earnings!B640*3,
IF(Final_Payroll!B640="IT",Earnings!B640*2,
IF(Final_Payroll!B640="Finance",Earnings!B640*1.5,
IF(Final_Payroll!B640="HR",Earnings!B640*1.2,
Earnings!B640*1.3))))</f>
        <v>2618058.4500000002</v>
      </c>
      <c r="C640">
        <f>Earnings!B640 + Deductions!B640 + Deductions!C640 + Overtime!D640</f>
        <v>874486.15</v>
      </c>
      <c r="D640">
        <f t="shared" si="18"/>
        <v>1743572.3000000003</v>
      </c>
      <c r="E640">
        <f t="shared" si="19"/>
        <v>2.9938249450834644</v>
      </c>
    </row>
    <row r="641" spans="1:5" x14ac:dyDescent="0.35">
      <c r="A641" t="s">
        <v>671</v>
      </c>
      <c r="B641">
        <f>IF(Final_Payroll!B641="Sales",Earnings!B641*3,
IF(Final_Payroll!B641="IT",Earnings!B641*2,
IF(Final_Payroll!B641="Finance",Earnings!B641*1.5,
IF(Final_Payroll!B641="HR",Earnings!B641*1.2,
Earnings!B641*1.3))))</f>
        <v>826625.02</v>
      </c>
      <c r="C641">
        <f>Earnings!B641 + Deductions!B641 + Deductions!C641 + Overtime!D641</f>
        <v>707610.59400000004</v>
      </c>
      <c r="D641">
        <f t="shared" si="18"/>
        <v>119014.42599999998</v>
      </c>
      <c r="E641">
        <f t="shared" si="19"/>
        <v>1.168191978765089</v>
      </c>
    </row>
    <row r="642" spans="1:5" x14ac:dyDescent="0.35">
      <c r="A642" t="s">
        <v>672</v>
      </c>
      <c r="B642">
        <f>IF(Final_Payroll!B642="Sales",Earnings!B642*3,
IF(Final_Payroll!B642="IT",Earnings!B642*2,
IF(Final_Payroll!B642="Finance",Earnings!B642*1.5,
IF(Final_Payroll!B642="HR",Earnings!B642*1.2,
Earnings!B642*1.3))))</f>
        <v>3001587.1500000004</v>
      </c>
      <c r="C642">
        <f>Earnings!B642 + Deductions!B642 + Deductions!C642 + Overtime!D642</f>
        <v>2206966.0262000002</v>
      </c>
      <c r="D642">
        <f t="shared" ref="D642:D705" si="20">B642-C642</f>
        <v>794621.12380000018</v>
      </c>
      <c r="E642">
        <f t="shared" ref="E642:E705" si="21">IF(C642=0,0,B642/C642)</f>
        <v>1.3600513620810899</v>
      </c>
    </row>
    <row r="643" spans="1:5" x14ac:dyDescent="0.35">
      <c r="A643" t="s">
        <v>673</v>
      </c>
      <c r="B643">
        <f>IF(Final_Payroll!B643="Sales",Earnings!B643*3,
IF(Final_Payroll!B643="IT",Earnings!B643*2,
IF(Final_Payroll!B643="Finance",Earnings!B643*1.5,
IF(Final_Payroll!B643="HR",Earnings!B643*1.2,
Earnings!B643*1.3))))</f>
        <v>3281405.64</v>
      </c>
      <c r="C643">
        <f>Earnings!B643 + Deductions!B643 + Deductions!C643 + Overtime!D643</f>
        <v>1642502.82</v>
      </c>
      <c r="D643">
        <f t="shared" si="20"/>
        <v>1638902.82</v>
      </c>
      <c r="E643">
        <f t="shared" si="21"/>
        <v>1.9978082229411331</v>
      </c>
    </row>
    <row r="644" spans="1:5" x14ac:dyDescent="0.35">
      <c r="A644" t="s">
        <v>674</v>
      </c>
      <c r="B644">
        <f>IF(Final_Payroll!B644="Sales",Earnings!B644*3,
IF(Final_Payroll!B644="IT",Earnings!B644*2,
IF(Final_Payroll!B644="Finance",Earnings!B644*1.5,
IF(Final_Payroll!B644="HR",Earnings!B644*1.2,
Earnings!B644*1.3))))</f>
        <v>1396338.9180000003</v>
      </c>
      <c r="C644">
        <f>Earnings!B644 + Deductions!B644 + Deductions!C644 + Overtime!D644</f>
        <v>1075906.8600000001</v>
      </c>
      <c r="D644">
        <f t="shared" si="20"/>
        <v>320432.05800000019</v>
      </c>
      <c r="E644">
        <f t="shared" si="21"/>
        <v>1.2978250905473363</v>
      </c>
    </row>
    <row r="645" spans="1:5" x14ac:dyDescent="0.35">
      <c r="A645" t="s">
        <v>675</v>
      </c>
      <c r="B645">
        <f>IF(Final_Payroll!B645="Sales",Earnings!B645*3,
IF(Final_Payroll!B645="IT",Earnings!B645*2,
IF(Final_Payroll!B645="Finance",Earnings!B645*1.5,
IF(Final_Payroll!B645="HR",Earnings!B645*1.2,
Earnings!B645*1.3))))</f>
        <v>931708.70000000007</v>
      </c>
      <c r="C645">
        <f>Earnings!B645 + Deductions!B645 + Deductions!C645 + Overtime!D645</f>
        <v>718499</v>
      </c>
      <c r="D645">
        <f t="shared" si="20"/>
        <v>213209.70000000007</v>
      </c>
      <c r="E645">
        <f t="shared" si="21"/>
        <v>1.2967432104985532</v>
      </c>
    </row>
    <row r="646" spans="1:5" x14ac:dyDescent="0.35">
      <c r="A646" t="s">
        <v>676</v>
      </c>
      <c r="B646">
        <f>IF(Final_Payroll!B646="Sales",Earnings!B646*3,
IF(Final_Payroll!B646="IT",Earnings!B646*2,
IF(Final_Payroll!B646="Finance",Earnings!B646*1.5,
IF(Final_Payroll!B646="HR",Earnings!B646*1.2,
Earnings!B646*1.3))))</f>
        <v>1718902.5</v>
      </c>
      <c r="C646">
        <f>Earnings!B646 + Deductions!B646 + Deductions!C646 + Overtime!D646</f>
        <v>1147735</v>
      </c>
      <c r="D646">
        <f t="shared" si="20"/>
        <v>571167.5</v>
      </c>
      <c r="E646">
        <f t="shared" si="21"/>
        <v>1.4976475405908158</v>
      </c>
    </row>
    <row r="647" spans="1:5" x14ac:dyDescent="0.35">
      <c r="A647" t="s">
        <v>677</v>
      </c>
      <c r="B647">
        <f>IF(Final_Payroll!B647="Sales",Earnings!B647*3,
IF(Final_Payroll!B647="IT",Earnings!B647*2,
IF(Final_Payroll!B647="Finance",Earnings!B647*1.5,
IF(Final_Payroll!B647="HR",Earnings!B647*1.2,
Earnings!B647*1.3))))</f>
        <v>1916930.9</v>
      </c>
      <c r="C647">
        <f>Earnings!B647 + Deductions!B647 + Deductions!C647 + Overtime!D647</f>
        <v>960265.45</v>
      </c>
      <c r="D647">
        <f t="shared" si="20"/>
        <v>956665.45</v>
      </c>
      <c r="E647">
        <f t="shared" si="21"/>
        <v>1.9962510366274242</v>
      </c>
    </row>
    <row r="648" spans="1:5" x14ac:dyDescent="0.35">
      <c r="A648" t="s">
        <v>678</v>
      </c>
      <c r="B648">
        <f>IF(Final_Payroll!B648="Sales",Earnings!B648*3,
IF(Final_Payroll!B648="IT",Earnings!B648*2,
IF(Final_Payroll!B648="Finance",Earnings!B648*1.5,
IF(Final_Payroll!B648="HR",Earnings!B648*1.2,
Earnings!B648*1.3))))</f>
        <v>3520980.4</v>
      </c>
      <c r="C648">
        <f>Earnings!B648 + Deductions!B648 + Deductions!C648 + Overtime!D648</f>
        <v>1762290.2</v>
      </c>
      <c r="D648">
        <f t="shared" si="20"/>
        <v>1758690.2</v>
      </c>
      <c r="E648">
        <f t="shared" si="21"/>
        <v>1.9979572036433046</v>
      </c>
    </row>
    <row r="649" spans="1:5" x14ac:dyDescent="0.35">
      <c r="A649" t="s">
        <v>679</v>
      </c>
      <c r="B649">
        <f>IF(Final_Payroll!B649="Sales",Earnings!B649*3,
IF(Final_Payroll!B649="IT",Earnings!B649*2,
IF(Final_Payroll!B649="Finance",Earnings!B649*1.5,
IF(Final_Payroll!B649="HR",Earnings!B649*1.2,
Earnings!B649*1.3))))</f>
        <v>3908738.4</v>
      </c>
      <c r="C649">
        <f>Earnings!B649 + Deductions!B649 + Deductions!C649 + Overtime!D649</f>
        <v>2257142.0567999999</v>
      </c>
      <c r="D649">
        <f t="shared" si="20"/>
        <v>1651596.3432</v>
      </c>
      <c r="E649">
        <f t="shared" si="21"/>
        <v>1.7317201583410768</v>
      </c>
    </row>
    <row r="650" spans="1:5" x14ac:dyDescent="0.35">
      <c r="A650" t="s">
        <v>680</v>
      </c>
      <c r="B650">
        <f>IF(Final_Payroll!B650="Sales",Earnings!B650*3,
IF(Final_Payroll!B650="IT",Earnings!B650*2,
IF(Final_Payroll!B650="Finance",Earnings!B650*1.5,
IF(Final_Payroll!B650="HR",Earnings!B650*1.2,
Earnings!B650*1.3))))</f>
        <v>1820355.5999999999</v>
      </c>
      <c r="C650">
        <f>Earnings!B650 + Deductions!B650 + Deductions!C650 + Overtime!D650</f>
        <v>1826706.4890000001</v>
      </c>
      <c r="D650">
        <f t="shared" si="20"/>
        <v>-6350.8890000001993</v>
      </c>
      <c r="E650">
        <f t="shared" si="21"/>
        <v>0.99652331174261233</v>
      </c>
    </row>
    <row r="651" spans="1:5" x14ac:dyDescent="0.35">
      <c r="A651" t="s">
        <v>681</v>
      </c>
      <c r="B651">
        <f>IF(Final_Payroll!B651="Sales",Earnings!B651*3,
IF(Final_Payroll!B651="IT",Earnings!B651*2,
IF(Final_Payroll!B651="Finance",Earnings!B651*1.5,
IF(Final_Payroll!B651="HR",Earnings!B651*1.2,
Earnings!B651*1.3))))</f>
        <v>2832993.1</v>
      </c>
      <c r="C651">
        <f>Earnings!B651 + Deductions!B651 + Deductions!C651 + Overtime!D651</f>
        <v>1418296.55</v>
      </c>
      <c r="D651">
        <f t="shared" si="20"/>
        <v>1414696.55</v>
      </c>
      <c r="E651">
        <f t="shared" si="21"/>
        <v>1.9974617438080915</v>
      </c>
    </row>
    <row r="652" spans="1:5" x14ac:dyDescent="0.35">
      <c r="A652" t="s">
        <v>682</v>
      </c>
      <c r="B652">
        <f>IF(Final_Payroll!B652="Sales",Earnings!B652*3,
IF(Final_Payroll!B652="IT",Earnings!B652*2,
IF(Final_Payroll!B652="Finance",Earnings!B652*1.5,
IF(Final_Payroll!B652="HR",Earnings!B652*1.2,
Earnings!B652*1.3))))</f>
        <v>3836757.6</v>
      </c>
      <c r="C652">
        <f>Earnings!B652 + Deductions!B652 + Deductions!C652 + Overtime!D652</f>
        <v>2023771.2552</v>
      </c>
      <c r="D652">
        <f t="shared" si="20"/>
        <v>1812986.3448000001</v>
      </c>
      <c r="E652">
        <f t="shared" si="21"/>
        <v>1.8958454865596117</v>
      </c>
    </row>
    <row r="653" spans="1:5" x14ac:dyDescent="0.35">
      <c r="A653" t="s">
        <v>683</v>
      </c>
      <c r="B653">
        <f>IF(Final_Payroll!B653="Sales",Earnings!B653*3,
IF(Final_Payroll!B653="IT",Earnings!B653*2,
IF(Final_Payroll!B653="Finance",Earnings!B653*1.5,
IF(Final_Payroll!B653="HR",Earnings!B653*1.2,
Earnings!B653*1.3))))</f>
        <v>4375264.34</v>
      </c>
      <c r="C653">
        <f>Earnings!B653 + Deductions!B653 + Deductions!C653 + Overtime!D653</f>
        <v>2189432.17</v>
      </c>
      <c r="D653">
        <f t="shared" si="20"/>
        <v>2185832.17</v>
      </c>
      <c r="E653">
        <f t="shared" si="21"/>
        <v>1.998355738054219</v>
      </c>
    </row>
    <row r="654" spans="1:5" x14ac:dyDescent="0.35">
      <c r="A654" t="s">
        <v>684</v>
      </c>
      <c r="B654">
        <f>IF(Final_Payroll!B654="Sales",Earnings!B654*3,
IF(Final_Payroll!B654="IT",Earnings!B654*2,
IF(Final_Payroll!B654="Finance",Earnings!B654*1.5,
IF(Final_Payroll!B654="HR",Earnings!B654*1.2,
Earnings!B654*1.3))))</f>
        <v>2824852.6</v>
      </c>
      <c r="C654">
        <f>Earnings!B654 + Deductions!B654 + Deductions!C654 + Overtime!D654</f>
        <v>1510271.2884</v>
      </c>
      <c r="D654">
        <f t="shared" si="20"/>
        <v>1314581.3116000001</v>
      </c>
      <c r="E654">
        <f t="shared" si="21"/>
        <v>1.8704272680656491</v>
      </c>
    </row>
    <row r="655" spans="1:5" x14ac:dyDescent="0.35">
      <c r="A655" t="s">
        <v>685</v>
      </c>
      <c r="B655">
        <f>IF(Final_Payroll!B655="Sales",Earnings!B655*3,
IF(Final_Payroll!B655="IT",Earnings!B655*2,
IF(Final_Payroll!B655="Finance",Earnings!B655*1.5,
IF(Final_Payroll!B655="HR",Earnings!B655*1.2,
Earnings!B655*1.3))))</f>
        <v>1682346.3149999999</v>
      </c>
      <c r="C655">
        <f>Earnings!B655 + Deductions!B655 + Deductions!C655 + Overtime!D655</f>
        <v>1171030.6884999999</v>
      </c>
      <c r="D655">
        <f t="shared" si="20"/>
        <v>511315.62650000001</v>
      </c>
      <c r="E655">
        <f t="shared" si="21"/>
        <v>1.4366372559842611</v>
      </c>
    </row>
    <row r="656" spans="1:5" x14ac:dyDescent="0.35">
      <c r="A656" t="s">
        <v>686</v>
      </c>
      <c r="B656">
        <f>IF(Final_Payroll!B656="Sales",Earnings!B656*3,
IF(Final_Payroll!B656="IT",Earnings!B656*2,
IF(Final_Payroll!B656="Finance",Earnings!B656*1.5,
IF(Final_Payroll!B656="HR",Earnings!B656*1.2,
Earnings!B656*1.3))))</f>
        <v>3202429.86</v>
      </c>
      <c r="C656">
        <f>Earnings!B656 + Deductions!B656 + Deductions!C656 + Overtime!D656</f>
        <v>1603014.93</v>
      </c>
      <c r="D656">
        <f t="shared" si="20"/>
        <v>1599414.93</v>
      </c>
      <c r="E656">
        <f t="shared" si="21"/>
        <v>1.9977542317712538</v>
      </c>
    </row>
    <row r="657" spans="1:5" x14ac:dyDescent="0.35">
      <c r="A657" t="s">
        <v>687</v>
      </c>
      <c r="B657">
        <f>IF(Final_Payroll!B657="Sales",Earnings!B657*3,
IF(Final_Payroll!B657="IT",Earnings!B657*2,
IF(Final_Payroll!B657="Finance",Earnings!B657*1.5,
IF(Final_Payroll!B657="HR",Earnings!B657*1.2,
Earnings!B657*1.3))))</f>
        <v>4090417.8000000003</v>
      </c>
      <c r="C657">
        <f>Earnings!B657 + Deductions!B657 + Deductions!C657 + Overtime!D657</f>
        <v>1470259.9902000001</v>
      </c>
      <c r="D657">
        <f t="shared" si="20"/>
        <v>2620157.8097999999</v>
      </c>
      <c r="E657">
        <f t="shared" si="21"/>
        <v>2.7821050883956784</v>
      </c>
    </row>
    <row r="658" spans="1:5" x14ac:dyDescent="0.35">
      <c r="A658" t="s">
        <v>688</v>
      </c>
      <c r="B658">
        <f>IF(Final_Payroll!B658="Sales",Earnings!B658*3,
IF(Final_Payroll!B658="IT",Earnings!B658*2,
IF(Final_Payroll!B658="Finance",Earnings!B658*1.5,
IF(Final_Payroll!B658="HR",Earnings!B658*1.2,
Earnings!B658*1.3))))</f>
        <v>3551690.5200000005</v>
      </c>
      <c r="C658">
        <f>Earnings!B658 + Deductions!B658 + Deductions!C658 + Overtime!D658</f>
        <v>1306454.3187000002</v>
      </c>
      <c r="D658">
        <f t="shared" si="20"/>
        <v>2245236.2013000003</v>
      </c>
      <c r="E658">
        <f t="shared" si="21"/>
        <v>2.7185722984437328</v>
      </c>
    </row>
    <row r="659" spans="1:5" x14ac:dyDescent="0.35">
      <c r="A659" t="s">
        <v>689</v>
      </c>
      <c r="B659">
        <f>IF(Final_Payroll!B659="Sales",Earnings!B659*3,
IF(Final_Payroll!B659="IT",Earnings!B659*2,
IF(Final_Payroll!B659="Finance",Earnings!B659*1.5,
IF(Final_Payroll!B659="HR",Earnings!B659*1.2,
Earnings!B659*1.3))))</f>
        <v>975161.7</v>
      </c>
      <c r="C659">
        <f>Earnings!B659 + Deductions!B659 + Deductions!C659 + Overtime!D659</f>
        <v>814434.75</v>
      </c>
      <c r="D659">
        <f t="shared" si="20"/>
        <v>160726.94999999995</v>
      </c>
      <c r="E659">
        <f t="shared" si="21"/>
        <v>1.1973478538335944</v>
      </c>
    </row>
    <row r="660" spans="1:5" x14ac:dyDescent="0.35">
      <c r="A660" t="s">
        <v>690</v>
      </c>
      <c r="B660">
        <f>IF(Final_Payroll!B660="Sales",Earnings!B660*3,
IF(Final_Payroll!B660="IT",Earnings!B660*2,
IF(Final_Payroll!B660="Finance",Earnings!B660*1.5,
IF(Final_Payroll!B660="HR",Earnings!B660*1.2,
Earnings!B660*1.3))))</f>
        <v>3309717.6</v>
      </c>
      <c r="C660">
        <f>Earnings!B660 + Deductions!B660 + Deductions!C660 + Overtime!D660</f>
        <v>1894958.4672000001</v>
      </c>
      <c r="D660">
        <f t="shared" si="20"/>
        <v>1414759.1328</v>
      </c>
      <c r="E660">
        <f t="shared" si="21"/>
        <v>1.7465911033345523</v>
      </c>
    </row>
    <row r="661" spans="1:5" x14ac:dyDescent="0.35">
      <c r="A661" t="s">
        <v>691</v>
      </c>
      <c r="B661">
        <f>IF(Final_Payroll!B661="Sales",Earnings!B661*3,
IF(Final_Payroll!B661="IT",Earnings!B661*2,
IF(Final_Payroll!B661="Finance",Earnings!B661*1.5,
IF(Final_Payroll!B661="HR",Earnings!B661*1.2,
Earnings!B661*1.3))))</f>
        <v>703910.1</v>
      </c>
      <c r="C661">
        <f>Earnings!B661 + Deductions!B661 + Deductions!C661 + Overtime!D661</f>
        <v>588391.75</v>
      </c>
      <c r="D661">
        <f t="shared" si="20"/>
        <v>115518.34999999998</v>
      </c>
      <c r="E661">
        <f t="shared" si="21"/>
        <v>1.1963289764005018</v>
      </c>
    </row>
    <row r="662" spans="1:5" x14ac:dyDescent="0.35">
      <c r="A662" t="s">
        <v>692</v>
      </c>
      <c r="B662">
        <f>IF(Final_Payroll!B662="Sales",Earnings!B662*3,
IF(Final_Payroll!B662="IT",Earnings!B662*2,
IF(Final_Payroll!B662="Finance",Earnings!B662*1.5,
IF(Final_Payroll!B662="HR",Earnings!B662*1.2,
Earnings!B662*1.3))))</f>
        <v>2834352.36</v>
      </c>
      <c r="C662">
        <f>Earnings!B662 + Deductions!B662 + Deductions!C662 + Overtime!D662</f>
        <v>1418976.18</v>
      </c>
      <c r="D662">
        <f t="shared" si="20"/>
        <v>1415376.18</v>
      </c>
      <c r="E662">
        <f t="shared" si="21"/>
        <v>1.9974629595262128</v>
      </c>
    </row>
    <row r="663" spans="1:5" x14ac:dyDescent="0.35">
      <c r="A663" t="s">
        <v>693</v>
      </c>
      <c r="B663">
        <f>IF(Final_Payroll!B663="Sales",Earnings!B663*3,
IF(Final_Payroll!B663="IT",Earnings!B663*2,
IF(Final_Payroll!B663="Finance",Earnings!B663*1.5,
IF(Final_Payroll!B663="HR",Earnings!B663*1.2,
Earnings!B663*1.3))))</f>
        <v>3666552</v>
      </c>
      <c r="C663">
        <f>Earnings!B663 + Deductions!B663 + Deductions!C663 + Overtime!D663</f>
        <v>1223984</v>
      </c>
      <c r="D663">
        <f t="shared" si="20"/>
        <v>2442568</v>
      </c>
      <c r="E663">
        <f t="shared" si="21"/>
        <v>2.9955881776232367</v>
      </c>
    </row>
    <row r="664" spans="1:5" x14ac:dyDescent="0.35">
      <c r="A664" t="s">
        <v>694</v>
      </c>
      <c r="B664">
        <f>IF(Final_Payroll!B664="Sales",Earnings!B664*3,
IF(Final_Payroll!B664="IT",Earnings!B664*2,
IF(Final_Payroll!B664="Finance",Earnings!B664*1.5,
IF(Final_Payroll!B664="HR",Earnings!B664*1.2,
Earnings!B664*1.3))))</f>
        <v>908622.84500000009</v>
      </c>
      <c r="C664">
        <f>Earnings!B664 + Deductions!B664 + Deductions!C664 + Overtime!D664</f>
        <v>700740.65</v>
      </c>
      <c r="D664">
        <f t="shared" si="20"/>
        <v>207882.19500000007</v>
      </c>
      <c r="E664">
        <f t="shared" si="21"/>
        <v>1.2966606761003518</v>
      </c>
    </row>
    <row r="665" spans="1:5" x14ac:dyDescent="0.35">
      <c r="A665" t="s">
        <v>695</v>
      </c>
      <c r="B665">
        <f>IF(Final_Payroll!B665="Sales",Earnings!B665*3,
IF(Final_Payroll!B665="IT",Earnings!B665*2,
IF(Final_Payroll!B665="Finance",Earnings!B665*1.5,
IF(Final_Payroll!B665="HR",Earnings!B665*1.2,
Earnings!B665*1.3))))</f>
        <v>1216032.48</v>
      </c>
      <c r="C665">
        <f>Earnings!B665 + Deductions!B665 + Deductions!C665 + Overtime!D665</f>
        <v>1112442.9983999999</v>
      </c>
      <c r="D665">
        <f t="shared" si="20"/>
        <v>103589.48160000006</v>
      </c>
      <c r="E665">
        <f t="shared" si="21"/>
        <v>1.0931189119343556</v>
      </c>
    </row>
    <row r="666" spans="1:5" x14ac:dyDescent="0.35">
      <c r="A666" t="s">
        <v>696</v>
      </c>
      <c r="B666">
        <f>IF(Final_Payroll!B666="Sales",Earnings!B666*3,
IF(Final_Payroll!B666="IT",Earnings!B666*2,
IF(Final_Payroll!B666="Finance",Earnings!B666*1.5,
IF(Final_Payroll!B666="HR",Earnings!B666*1.2,
Earnings!B666*1.3))))</f>
        <v>697325.35199999996</v>
      </c>
      <c r="C666">
        <f>Earnings!B666 + Deductions!B666 + Deductions!C666 + Overtime!D666</f>
        <v>582904.46</v>
      </c>
      <c r="D666">
        <f t="shared" si="20"/>
        <v>114420.89199999999</v>
      </c>
      <c r="E666">
        <f t="shared" si="21"/>
        <v>1.1962944184712534</v>
      </c>
    </row>
    <row r="667" spans="1:5" x14ac:dyDescent="0.35">
      <c r="A667" t="s">
        <v>697</v>
      </c>
      <c r="B667">
        <f>IF(Final_Payroll!B667="Sales",Earnings!B667*3,
IF(Final_Payroll!B667="IT",Earnings!B667*2,
IF(Final_Payroll!B667="Finance",Earnings!B667*1.5,
IF(Final_Payroll!B667="HR",Earnings!B667*1.2,
Earnings!B667*1.3))))</f>
        <v>1161808.4400000002</v>
      </c>
      <c r="C667">
        <f>Earnings!B667 + Deductions!B667 + Deductions!C667 + Overtime!D667</f>
        <v>927671.95680000004</v>
      </c>
      <c r="D667">
        <f t="shared" si="20"/>
        <v>234136.48320000013</v>
      </c>
      <c r="E667">
        <f t="shared" si="21"/>
        <v>1.2523914639046034</v>
      </c>
    </row>
    <row r="668" spans="1:5" x14ac:dyDescent="0.35">
      <c r="A668" t="s">
        <v>698</v>
      </c>
      <c r="B668">
        <f>IF(Final_Payroll!B668="Sales",Earnings!B668*3,
IF(Final_Payroll!B668="IT",Earnings!B668*2,
IF(Final_Payroll!B668="Finance",Earnings!B668*1.5,
IF(Final_Payroll!B668="HR",Earnings!B668*1.2,
Earnings!B668*1.3))))</f>
        <v>1905273.4500000002</v>
      </c>
      <c r="C668">
        <f>Earnings!B668 + Deductions!B668 + Deductions!C668 + Overtime!D668</f>
        <v>1322789.5919999999</v>
      </c>
      <c r="D668">
        <f t="shared" si="20"/>
        <v>582483.85800000024</v>
      </c>
      <c r="E668">
        <f t="shared" si="21"/>
        <v>1.4403450567820919</v>
      </c>
    </row>
    <row r="669" spans="1:5" x14ac:dyDescent="0.35">
      <c r="A669" t="s">
        <v>699</v>
      </c>
      <c r="B669">
        <f>IF(Final_Payroll!B669="Sales",Earnings!B669*3,
IF(Final_Payroll!B669="IT",Earnings!B669*2,
IF(Final_Payroll!B669="Finance",Earnings!B669*1.5,
IF(Final_Payroll!B669="HR",Earnings!B669*1.2,
Earnings!B669*1.3))))</f>
        <v>1255567.5</v>
      </c>
      <c r="C669">
        <f>Earnings!B669 + Deductions!B669 + Deductions!C669 + Overtime!D669</f>
        <v>894089.97</v>
      </c>
      <c r="D669">
        <f t="shared" si="20"/>
        <v>361477.53</v>
      </c>
      <c r="E669">
        <f t="shared" si="21"/>
        <v>1.4042965944467536</v>
      </c>
    </row>
    <row r="670" spans="1:5" x14ac:dyDescent="0.35">
      <c r="A670" t="s">
        <v>700</v>
      </c>
      <c r="B670">
        <f>IF(Final_Payroll!B670="Sales",Earnings!B670*3,
IF(Final_Payroll!B670="IT",Earnings!B670*2,
IF(Final_Payroll!B670="Finance",Earnings!B670*1.5,
IF(Final_Payroll!B670="HR",Earnings!B670*1.2,
Earnings!B670*1.3))))</f>
        <v>1603484.88</v>
      </c>
      <c r="C670">
        <f>Earnings!B670 + Deductions!B670 + Deductions!C670 + Overtime!D670</f>
        <v>1599271.8117</v>
      </c>
      <c r="D670">
        <f t="shared" si="20"/>
        <v>4213.0682999999262</v>
      </c>
      <c r="E670">
        <f t="shared" si="21"/>
        <v>1.0026343666343507</v>
      </c>
    </row>
    <row r="671" spans="1:5" x14ac:dyDescent="0.35">
      <c r="A671" t="s">
        <v>701</v>
      </c>
      <c r="B671">
        <f>IF(Final_Payroll!B671="Sales",Earnings!B671*3,
IF(Final_Payroll!B671="IT",Earnings!B671*2,
IF(Final_Payroll!B671="Finance",Earnings!B671*1.5,
IF(Final_Payroll!B671="HR",Earnings!B671*1.2,
Earnings!B671*1.3))))</f>
        <v>1522574.0249999999</v>
      </c>
      <c r="C671">
        <f>Earnings!B671 + Deductions!B671 + Deductions!C671 + Overtime!D671</f>
        <v>1016849.35</v>
      </c>
      <c r="D671">
        <f t="shared" si="20"/>
        <v>505724.67499999993</v>
      </c>
      <c r="E671">
        <f t="shared" si="21"/>
        <v>1.4973447394149388</v>
      </c>
    </row>
    <row r="672" spans="1:5" x14ac:dyDescent="0.35">
      <c r="A672" t="s">
        <v>702</v>
      </c>
      <c r="B672">
        <f>IF(Final_Payroll!B672="Sales",Earnings!B672*3,
IF(Final_Payroll!B672="IT",Earnings!B672*2,
IF(Final_Payroll!B672="Finance",Earnings!B672*1.5,
IF(Final_Payroll!B672="HR",Earnings!B672*1.2,
Earnings!B672*1.3))))</f>
        <v>2224260</v>
      </c>
      <c r="C672">
        <f>Earnings!B672 + Deductions!B672 + Deductions!C672 + Overtime!D672</f>
        <v>743220</v>
      </c>
      <c r="D672">
        <f t="shared" si="20"/>
        <v>1481040</v>
      </c>
      <c r="E672">
        <f t="shared" si="21"/>
        <v>2.9927343182368613</v>
      </c>
    </row>
    <row r="673" spans="1:5" x14ac:dyDescent="0.35">
      <c r="A673" t="s">
        <v>703</v>
      </c>
      <c r="B673">
        <f>IF(Final_Payroll!B673="Sales",Earnings!B673*3,
IF(Final_Payroll!B673="IT",Earnings!B673*2,
IF(Final_Payroll!B673="Finance",Earnings!B673*1.5,
IF(Final_Payroll!B673="HR",Earnings!B673*1.2,
Earnings!B673*1.3))))</f>
        <v>2314512.36</v>
      </c>
      <c r="C673">
        <f>Earnings!B673 + Deductions!B673 + Deductions!C673 + Overtime!D673</f>
        <v>773304.12</v>
      </c>
      <c r="D673">
        <f t="shared" si="20"/>
        <v>1541208.2399999998</v>
      </c>
      <c r="E673">
        <f t="shared" si="21"/>
        <v>2.9930169775896189</v>
      </c>
    </row>
    <row r="674" spans="1:5" x14ac:dyDescent="0.35">
      <c r="A674" t="s">
        <v>704</v>
      </c>
      <c r="B674">
        <f>IF(Final_Payroll!B674="Sales",Earnings!B674*3,
IF(Final_Payroll!B674="IT",Earnings!B674*2,
IF(Final_Payroll!B674="Finance",Earnings!B674*1.5,
IF(Final_Payroll!B674="HR",Earnings!B674*1.2,
Earnings!B674*1.3))))</f>
        <v>4667106.12</v>
      </c>
      <c r="C674">
        <f>Earnings!B674 + Deductions!B674 + Deductions!C674 + Overtime!D674</f>
        <v>1650066.311975</v>
      </c>
      <c r="D674">
        <f t="shared" si="20"/>
        <v>3017039.8080250002</v>
      </c>
      <c r="E674">
        <f t="shared" si="21"/>
        <v>2.8284354914281233</v>
      </c>
    </row>
    <row r="675" spans="1:5" x14ac:dyDescent="0.35">
      <c r="A675" t="s">
        <v>705</v>
      </c>
      <c r="B675">
        <f>IF(Final_Payroll!B675="Sales",Earnings!B675*3,
IF(Final_Payroll!B675="IT",Earnings!B675*2,
IF(Final_Payroll!B675="Finance",Earnings!B675*1.5,
IF(Final_Payroll!B675="HR",Earnings!B675*1.2,
Earnings!B675*1.3))))</f>
        <v>850910.05999999994</v>
      </c>
      <c r="C675">
        <f>Earnings!B675 + Deductions!B675 + Deductions!C675 + Overtime!D675</f>
        <v>656346.19999999995</v>
      </c>
      <c r="D675">
        <f t="shared" si="20"/>
        <v>194563.86</v>
      </c>
      <c r="E675">
        <f t="shared" si="21"/>
        <v>1.2964348083374293</v>
      </c>
    </row>
    <row r="676" spans="1:5" x14ac:dyDescent="0.35">
      <c r="A676" t="s">
        <v>706</v>
      </c>
      <c r="B676">
        <f>IF(Final_Payroll!B676="Sales",Earnings!B676*3,
IF(Final_Payroll!B676="IT",Earnings!B676*2,
IF(Final_Payroll!B676="Finance",Earnings!B676*1.5,
IF(Final_Payroll!B676="HR",Earnings!B676*1.2,
Earnings!B676*1.3))))</f>
        <v>2387368.2000000002</v>
      </c>
      <c r="C676">
        <f>Earnings!B676 + Deductions!B676 + Deductions!C676 + Overtime!D676</f>
        <v>842153.60640000005</v>
      </c>
      <c r="D676">
        <f t="shared" si="20"/>
        <v>1545214.5936000003</v>
      </c>
      <c r="E676">
        <f t="shared" si="21"/>
        <v>2.8348369963116506</v>
      </c>
    </row>
    <row r="677" spans="1:5" x14ac:dyDescent="0.35">
      <c r="A677" t="s">
        <v>707</v>
      </c>
      <c r="B677">
        <f>IF(Final_Payroll!B677="Sales",Earnings!B677*3,
IF(Final_Payroll!B677="IT",Earnings!B677*2,
IF(Final_Payroll!B677="Finance",Earnings!B677*1.5,
IF(Final_Payroll!B677="HR",Earnings!B677*1.2,
Earnings!B677*1.3))))</f>
        <v>1676091.5999999999</v>
      </c>
      <c r="C677">
        <f>Earnings!B677 + Deductions!B677 + Deductions!C677 + Overtime!D677</f>
        <v>1172829.3311999999</v>
      </c>
      <c r="D677">
        <f t="shared" si="20"/>
        <v>503262.26879999996</v>
      </c>
      <c r="E677">
        <f t="shared" si="21"/>
        <v>1.429101025538881</v>
      </c>
    </row>
    <row r="678" spans="1:5" x14ac:dyDescent="0.35">
      <c r="A678" t="s">
        <v>708</v>
      </c>
      <c r="B678">
        <f>IF(Final_Payroll!B678="Sales",Earnings!B678*3,
IF(Final_Payroll!B678="IT",Earnings!B678*2,
IF(Final_Payroll!B678="Finance",Earnings!B678*1.5,
IF(Final_Payroll!B678="HR",Earnings!B678*1.2,
Earnings!B678*1.3))))</f>
        <v>782589.6</v>
      </c>
      <c r="C678">
        <f>Earnings!B678 + Deductions!B678 + Deductions!C678 + Overtime!D678</f>
        <v>685060.92</v>
      </c>
      <c r="D678">
        <f t="shared" si="20"/>
        <v>97528.679999999935</v>
      </c>
      <c r="E678">
        <f t="shared" si="21"/>
        <v>1.1423649739062622</v>
      </c>
    </row>
    <row r="679" spans="1:5" x14ac:dyDescent="0.35">
      <c r="A679" t="s">
        <v>709</v>
      </c>
      <c r="B679">
        <f>IF(Final_Payroll!B679="Sales",Earnings!B679*3,
IF(Final_Payroll!B679="IT",Earnings!B679*2,
IF(Final_Payroll!B679="Finance",Earnings!B679*1.5,
IF(Final_Payroll!B679="HR",Earnings!B679*1.2,
Earnings!B679*1.3))))</f>
        <v>2531087.2800000003</v>
      </c>
      <c r="C679">
        <f>Earnings!B679 + Deductions!B679 + Deductions!C679 + Overtime!D679</f>
        <v>966987.94799999997</v>
      </c>
      <c r="D679">
        <f t="shared" si="20"/>
        <v>1564099.3320000004</v>
      </c>
      <c r="E679">
        <f t="shared" si="21"/>
        <v>2.6174962006868778</v>
      </c>
    </row>
    <row r="680" spans="1:5" x14ac:dyDescent="0.35">
      <c r="A680" t="s">
        <v>710</v>
      </c>
      <c r="B680">
        <f>IF(Final_Payroll!B680="Sales",Earnings!B680*3,
IF(Final_Payroll!B680="IT",Earnings!B680*2,
IF(Final_Payroll!B680="Finance",Earnings!B680*1.5,
IF(Final_Payroll!B680="HR",Earnings!B680*1.2,
Earnings!B680*1.3))))</f>
        <v>779132.9</v>
      </c>
      <c r="C680">
        <f>Earnings!B680 + Deductions!B680 + Deductions!C680 + Overtime!D680</f>
        <v>676049.625</v>
      </c>
      <c r="D680">
        <f t="shared" si="20"/>
        <v>103083.27500000002</v>
      </c>
      <c r="E680">
        <f t="shared" si="21"/>
        <v>1.152478858338247</v>
      </c>
    </row>
    <row r="681" spans="1:5" x14ac:dyDescent="0.35">
      <c r="A681" t="s">
        <v>711</v>
      </c>
      <c r="B681">
        <f>IF(Final_Payroll!B681="Sales",Earnings!B681*3,
IF(Final_Payroll!B681="IT",Earnings!B681*2,
IF(Final_Payroll!B681="Finance",Earnings!B681*1.5,
IF(Final_Payroll!B681="HR",Earnings!B681*1.2,
Earnings!B681*1.3))))</f>
        <v>1447785.4500000002</v>
      </c>
      <c r="C681">
        <f>Earnings!B681 + Deductions!B681 + Deductions!C681 + Overtime!D681</f>
        <v>1147480.8861</v>
      </c>
      <c r="D681">
        <f t="shared" si="20"/>
        <v>300304.56390000018</v>
      </c>
      <c r="E681">
        <f t="shared" si="21"/>
        <v>1.2617076829232947</v>
      </c>
    </row>
    <row r="682" spans="1:5" x14ac:dyDescent="0.35">
      <c r="A682" t="s">
        <v>712</v>
      </c>
      <c r="B682">
        <f>IF(Final_Payroll!B682="Sales",Earnings!B682*3,
IF(Final_Payroll!B682="IT",Earnings!B682*2,
IF(Final_Payroll!B682="Finance",Earnings!B682*1.5,
IF(Final_Payroll!B682="HR",Earnings!B682*1.2,
Earnings!B682*1.3))))</f>
        <v>1090216.8</v>
      </c>
      <c r="C682">
        <f>Earnings!B682 + Deductions!B682 + Deductions!C682 + Overtime!D682</f>
        <v>910314</v>
      </c>
      <c r="D682">
        <f t="shared" si="20"/>
        <v>179902.80000000005</v>
      </c>
      <c r="E682">
        <f t="shared" si="21"/>
        <v>1.1976271923753783</v>
      </c>
    </row>
    <row r="683" spans="1:5" x14ac:dyDescent="0.35">
      <c r="A683" t="s">
        <v>713</v>
      </c>
      <c r="B683">
        <f>IF(Final_Payroll!B683="Sales",Earnings!B683*3,
IF(Final_Payroll!B683="IT",Earnings!B683*2,
IF(Final_Payroll!B683="Finance",Earnings!B683*1.5,
IF(Final_Payroll!B683="HR",Earnings!B683*1.2,
Earnings!B683*1.3))))</f>
        <v>1423841.8740000001</v>
      </c>
      <c r="C683">
        <f>Earnings!B683 + Deductions!B683 + Deductions!C683 + Overtime!D683</f>
        <v>1097062.98</v>
      </c>
      <c r="D683">
        <f t="shared" si="20"/>
        <v>326778.89400000009</v>
      </c>
      <c r="E683">
        <f t="shared" si="21"/>
        <v>1.2978670322099466</v>
      </c>
    </row>
    <row r="684" spans="1:5" x14ac:dyDescent="0.35">
      <c r="A684" t="s">
        <v>714</v>
      </c>
      <c r="B684">
        <f>IF(Final_Payroll!B684="Sales",Earnings!B684*3,
IF(Final_Payroll!B684="IT",Earnings!B684*2,
IF(Final_Payroll!B684="Finance",Earnings!B684*1.5,
IF(Final_Payroll!B684="HR",Earnings!B684*1.2,
Earnings!B684*1.3))))</f>
        <v>915388.17500000005</v>
      </c>
      <c r="C684">
        <f>Earnings!B684 + Deductions!B684 + Deductions!C684 + Overtime!D684</f>
        <v>705944.75</v>
      </c>
      <c r="D684">
        <f t="shared" si="20"/>
        <v>209443.42500000005</v>
      </c>
      <c r="E684">
        <f t="shared" si="21"/>
        <v>1.2966852930062871</v>
      </c>
    </row>
    <row r="685" spans="1:5" x14ac:dyDescent="0.35">
      <c r="A685" t="s">
        <v>715</v>
      </c>
      <c r="B685">
        <f>IF(Final_Payroll!B685="Sales",Earnings!B685*3,
IF(Final_Payroll!B685="IT",Earnings!B685*2,
IF(Final_Payroll!B685="Finance",Earnings!B685*1.5,
IF(Final_Payroll!B685="HR",Earnings!B685*1.2,
Earnings!B685*1.3))))</f>
        <v>1075574.5</v>
      </c>
      <c r="C685">
        <f>Earnings!B685 + Deductions!B685 + Deductions!C685 + Overtime!D685</f>
        <v>829165</v>
      </c>
      <c r="D685">
        <f t="shared" si="20"/>
        <v>246409.5</v>
      </c>
      <c r="E685">
        <f t="shared" si="21"/>
        <v>1.2971778837746408</v>
      </c>
    </row>
    <row r="686" spans="1:5" x14ac:dyDescent="0.35">
      <c r="A686" t="s">
        <v>716</v>
      </c>
      <c r="B686">
        <f>IF(Final_Payroll!B686="Sales",Earnings!B686*3,
IF(Final_Payroll!B686="IT",Earnings!B686*2,
IF(Final_Payroll!B686="Finance",Earnings!B686*1.5,
IF(Final_Payroll!B686="HR",Earnings!B686*1.2,
Earnings!B686*1.3))))</f>
        <v>3517767.16</v>
      </c>
      <c r="C686">
        <f>Earnings!B686 + Deductions!B686 + Deductions!C686 + Overtime!D686</f>
        <v>1910188.6838750001</v>
      </c>
      <c r="D686">
        <f t="shared" si="20"/>
        <v>1607578.476125</v>
      </c>
      <c r="E686">
        <f t="shared" si="21"/>
        <v>1.8415809860541492</v>
      </c>
    </row>
    <row r="687" spans="1:5" x14ac:dyDescent="0.35">
      <c r="A687" t="s">
        <v>717</v>
      </c>
      <c r="B687">
        <f>IF(Final_Payroll!B687="Sales",Earnings!B687*3,
IF(Final_Payroll!B687="IT",Earnings!B687*2,
IF(Final_Payroll!B687="Finance",Earnings!B687*1.5,
IF(Final_Payroll!B687="HR",Earnings!B687*1.2,
Earnings!B687*1.3))))</f>
        <v>1170294.132</v>
      </c>
      <c r="C687">
        <f>Earnings!B687 + Deductions!B687 + Deductions!C687 + Overtime!D687</f>
        <v>977045.11</v>
      </c>
      <c r="D687">
        <f t="shared" si="20"/>
        <v>193249.022</v>
      </c>
      <c r="E687">
        <f t="shared" si="21"/>
        <v>1.1977892525351261</v>
      </c>
    </row>
    <row r="688" spans="1:5" x14ac:dyDescent="0.35">
      <c r="A688" t="s">
        <v>718</v>
      </c>
      <c r="B688">
        <f>IF(Final_Payroll!B688="Sales",Earnings!B688*3,
IF(Final_Payroll!B688="IT",Earnings!B688*2,
IF(Final_Payroll!B688="Finance",Earnings!B688*1.5,
IF(Final_Payroll!B688="HR",Earnings!B688*1.2,
Earnings!B688*1.3))))</f>
        <v>1379190.54</v>
      </c>
      <c r="C688">
        <f>Earnings!B688 + Deductions!B688 + Deductions!C688 + Overtime!D688</f>
        <v>1062715.8</v>
      </c>
      <c r="D688">
        <f t="shared" si="20"/>
        <v>316474.74</v>
      </c>
      <c r="E688">
        <f t="shared" si="21"/>
        <v>1.2977980942788279</v>
      </c>
    </row>
    <row r="689" spans="1:5" x14ac:dyDescent="0.35">
      <c r="A689" t="s">
        <v>719</v>
      </c>
      <c r="B689">
        <f>IF(Final_Payroll!B689="Sales",Earnings!B689*3,
IF(Final_Payroll!B689="IT",Earnings!B689*2,
IF(Final_Payroll!B689="Finance",Earnings!B689*1.5,
IF(Final_Payroll!B689="HR",Earnings!B689*1.2,
Earnings!B689*1.3))))</f>
        <v>2736201.5999999996</v>
      </c>
      <c r="C689">
        <f>Earnings!B689 + Deductions!B689 + Deductions!C689 + Overtime!D689</f>
        <v>913867.2</v>
      </c>
      <c r="D689">
        <f t="shared" si="20"/>
        <v>1822334.3999999997</v>
      </c>
      <c r="E689">
        <f t="shared" si="21"/>
        <v>2.9940910451759288</v>
      </c>
    </row>
    <row r="690" spans="1:5" x14ac:dyDescent="0.35">
      <c r="A690" t="s">
        <v>720</v>
      </c>
      <c r="B690">
        <f>IF(Final_Payroll!B690="Sales",Earnings!B690*3,
IF(Final_Payroll!B690="IT",Earnings!B690*2,
IF(Final_Payroll!B690="Finance",Earnings!B690*1.5,
IF(Final_Payroll!B690="HR",Earnings!B690*1.2,
Earnings!B690*1.3))))</f>
        <v>860396.424</v>
      </c>
      <c r="C690">
        <f>Earnings!B690 + Deductions!B690 + Deductions!C690 + Overtime!D690</f>
        <v>718797.02</v>
      </c>
      <c r="D690">
        <f t="shared" si="20"/>
        <v>141599.40399999998</v>
      </c>
      <c r="E690">
        <f t="shared" si="21"/>
        <v>1.1969949791945436</v>
      </c>
    </row>
    <row r="691" spans="1:5" x14ac:dyDescent="0.35">
      <c r="A691" t="s">
        <v>721</v>
      </c>
      <c r="B691">
        <f>IF(Final_Payroll!B691="Sales",Earnings!B691*3,
IF(Final_Payroll!B691="IT",Earnings!B691*2,
IF(Final_Payroll!B691="Finance",Earnings!B691*1.5,
IF(Final_Payroll!B691="HR",Earnings!B691*1.2,
Earnings!B691*1.3))))</f>
        <v>1671901.77</v>
      </c>
      <c r="C691">
        <f>Earnings!B691 + Deductions!B691 + Deductions!C691 + Overtime!D691</f>
        <v>1116401.18</v>
      </c>
      <c r="D691">
        <f t="shared" si="20"/>
        <v>555500.59000000008</v>
      </c>
      <c r="E691">
        <f t="shared" si="21"/>
        <v>1.4975815145591302</v>
      </c>
    </row>
    <row r="692" spans="1:5" x14ac:dyDescent="0.35">
      <c r="A692" t="s">
        <v>722</v>
      </c>
      <c r="B692">
        <f>IF(Final_Payroll!B692="Sales",Earnings!B692*3,
IF(Final_Payroll!B692="IT",Earnings!B692*2,
IF(Final_Payroll!B692="Finance",Earnings!B692*1.5,
IF(Final_Payroll!B692="HR",Earnings!B692*1.2,
Earnings!B692*1.3))))</f>
        <v>1644845.58</v>
      </c>
      <c r="C692">
        <f>Earnings!B692 + Deductions!B692 + Deductions!C692 + Overtime!D692</f>
        <v>550081.86</v>
      </c>
      <c r="D692">
        <f t="shared" si="20"/>
        <v>1094763.7200000002</v>
      </c>
      <c r="E692">
        <f t="shared" si="21"/>
        <v>2.990183279266835</v>
      </c>
    </row>
    <row r="693" spans="1:5" x14ac:dyDescent="0.35">
      <c r="A693" t="s">
        <v>723</v>
      </c>
      <c r="B693">
        <f>IF(Final_Payroll!B693="Sales",Earnings!B693*3,
IF(Final_Payroll!B693="IT",Earnings!B693*2,
IF(Final_Payroll!B693="Finance",Earnings!B693*1.5,
IF(Final_Payroll!B693="HR",Earnings!B693*1.2,
Earnings!B693*1.3))))</f>
        <v>1266792.111</v>
      </c>
      <c r="C693">
        <f>Earnings!B693 + Deductions!B693 + Deductions!C693 + Overtime!D693</f>
        <v>976255.47</v>
      </c>
      <c r="D693">
        <f t="shared" si="20"/>
        <v>290536.64100000006</v>
      </c>
      <c r="E693">
        <f t="shared" si="21"/>
        <v>1.2976030864134365</v>
      </c>
    </row>
    <row r="694" spans="1:5" x14ac:dyDescent="0.35">
      <c r="A694" t="s">
        <v>724</v>
      </c>
      <c r="B694">
        <f>IF(Final_Payroll!B694="Sales",Earnings!B694*3,
IF(Final_Payroll!B694="IT",Earnings!B694*2,
IF(Final_Payroll!B694="Finance",Earnings!B694*1.5,
IF(Final_Payroll!B694="HR",Earnings!B694*1.2,
Earnings!B694*1.3))))</f>
        <v>922065.04</v>
      </c>
      <c r="C694">
        <f>Earnings!B694 + Deductions!B694 + Deductions!C694 + Overtime!D694</f>
        <v>711080.8</v>
      </c>
      <c r="D694">
        <f t="shared" si="20"/>
        <v>210984.24</v>
      </c>
      <c r="E694">
        <f t="shared" si="21"/>
        <v>1.2967092347311304</v>
      </c>
    </row>
    <row r="695" spans="1:5" x14ac:dyDescent="0.35">
      <c r="A695" t="s">
        <v>725</v>
      </c>
      <c r="B695">
        <f>IF(Final_Payroll!B695="Sales",Earnings!B695*3,
IF(Final_Payroll!B695="IT",Earnings!B695*2,
IF(Final_Payroll!B695="Finance",Earnings!B695*1.5,
IF(Final_Payroll!B695="HR",Earnings!B695*1.2,
Earnings!B695*1.3))))</f>
        <v>3812596.8</v>
      </c>
      <c r="C695">
        <f>Earnings!B695 + Deductions!B695 + Deductions!C695 + Overtime!D695</f>
        <v>2329390.3464000002</v>
      </c>
      <c r="D695">
        <f t="shared" si="20"/>
        <v>1483206.4535999997</v>
      </c>
      <c r="E695">
        <f t="shared" si="21"/>
        <v>1.6367358978250464</v>
      </c>
    </row>
    <row r="696" spans="1:5" x14ac:dyDescent="0.35">
      <c r="A696" t="s">
        <v>726</v>
      </c>
      <c r="B696">
        <f>IF(Final_Payroll!B696="Sales",Earnings!B696*3,
IF(Final_Payroll!B696="IT",Earnings!B696*2,
IF(Final_Payroll!B696="Finance",Earnings!B696*1.5,
IF(Final_Payroll!B696="HR",Earnings!B696*1.2,
Earnings!B696*1.3))))</f>
        <v>2209874</v>
      </c>
      <c r="C696">
        <f>Earnings!B696 + Deductions!B696 + Deductions!C696 + Overtime!D696</f>
        <v>1106737</v>
      </c>
      <c r="D696">
        <f t="shared" si="20"/>
        <v>1103137</v>
      </c>
      <c r="E696">
        <f t="shared" si="21"/>
        <v>1.9967471946813018</v>
      </c>
    </row>
    <row r="697" spans="1:5" x14ac:dyDescent="0.35">
      <c r="A697" t="s">
        <v>727</v>
      </c>
      <c r="B697">
        <f>IF(Final_Payroll!B697="Sales",Earnings!B697*3,
IF(Final_Payroll!B697="IT",Earnings!B697*2,
IF(Final_Payroll!B697="Finance",Earnings!B697*1.5,
IF(Final_Payroll!B697="HR",Earnings!B697*1.2,
Earnings!B697*1.3))))</f>
        <v>932977.44</v>
      </c>
      <c r="C697">
        <f>Earnings!B697 + Deductions!B697 + Deductions!C697 + Overtime!D697</f>
        <v>830594.95919999992</v>
      </c>
      <c r="D697">
        <f t="shared" si="20"/>
        <v>102382.48080000002</v>
      </c>
      <c r="E697">
        <f t="shared" si="21"/>
        <v>1.1232640285929634</v>
      </c>
    </row>
    <row r="698" spans="1:5" x14ac:dyDescent="0.35">
      <c r="A698" t="s">
        <v>728</v>
      </c>
      <c r="B698">
        <f>IF(Final_Payroll!B698="Sales",Earnings!B698*3,
IF(Final_Payroll!B698="IT",Earnings!B698*2,
IF(Final_Payroll!B698="Finance",Earnings!B698*1.5,
IF(Final_Payroll!B698="HR",Earnings!B698*1.2,
Earnings!B698*1.3))))</f>
        <v>1061559.2</v>
      </c>
      <c r="C698">
        <f>Earnings!B698 + Deductions!B698 + Deductions!C698 + Overtime!D698</f>
        <v>932705.76</v>
      </c>
      <c r="D698">
        <f t="shared" si="20"/>
        <v>128853.43999999994</v>
      </c>
      <c r="E698">
        <f t="shared" si="21"/>
        <v>1.1381501493032486</v>
      </c>
    </row>
    <row r="699" spans="1:5" x14ac:dyDescent="0.35">
      <c r="A699" t="s">
        <v>729</v>
      </c>
      <c r="B699">
        <f>IF(Final_Payroll!B699="Sales",Earnings!B699*3,
IF(Final_Payroll!B699="IT",Earnings!B699*2,
IF(Final_Payroll!B699="Finance",Earnings!B699*1.5,
IF(Final_Payroll!B699="HR",Earnings!B699*1.2,
Earnings!B699*1.3))))</f>
        <v>1694701.2000000002</v>
      </c>
      <c r="C699">
        <f>Earnings!B699 + Deductions!B699 + Deductions!C699 + Overtime!D699</f>
        <v>620365.93800000008</v>
      </c>
      <c r="D699">
        <f t="shared" si="20"/>
        <v>1074335.2620000001</v>
      </c>
      <c r="E699">
        <f t="shared" si="21"/>
        <v>2.7317766759786219</v>
      </c>
    </row>
    <row r="700" spans="1:5" x14ac:dyDescent="0.35">
      <c r="A700" t="s">
        <v>730</v>
      </c>
      <c r="B700">
        <f>IF(Final_Payroll!B700="Sales",Earnings!B700*3,
IF(Final_Payroll!B700="IT",Earnings!B700*2,
IF(Final_Payroll!B700="Finance",Earnings!B700*1.5,
IF(Final_Payroll!B700="HR",Earnings!B700*1.2,
Earnings!B700*1.3))))</f>
        <v>4650981.96</v>
      </c>
      <c r="C700">
        <f>Earnings!B700 + Deductions!B700 + Deductions!C700 + Overtime!D700</f>
        <v>1552127.32</v>
      </c>
      <c r="D700">
        <f t="shared" si="20"/>
        <v>3098854.6399999997</v>
      </c>
      <c r="E700">
        <f t="shared" si="21"/>
        <v>2.99652090396811</v>
      </c>
    </row>
    <row r="701" spans="1:5" x14ac:dyDescent="0.35">
      <c r="A701" t="s">
        <v>731</v>
      </c>
      <c r="B701">
        <f>IF(Final_Payroll!B701="Sales",Earnings!B701*3,
IF(Final_Payroll!B701="IT",Earnings!B701*2,
IF(Final_Payroll!B701="Finance",Earnings!B701*1.5,
IF(Final_Payroll!B701="HR",Earnings!B701*1.2,
Earnings!B701*1.3))))</f>
        <v>1515069.92</v>
      </c>
      <c r="C701">
        <f>Earnings!B701 + Deductions!B701 + Deductions!C701 + Overtime!D701</f>
        <v>1379348.1887999999</v>
      </c>
      <c r="D701">
        <f t="shared" si="20"/>
        <v>135721.73120000004</v>
      </c>
      <c r="E701">
        <f t="shared" si="21"/>
        <v>1.0983955554529525</v>
      </c>
    </row>
    <row r="702" spans="1:5" x14ac:dyDescent="0.35">
      <c r="A702" t="s">
        <v>732</v>
      </c>
      <c r="B702">
        <f>IF(Final_Payroll!B702="Sales",Earnings!B702*3,
IF(Final_Payroll!B702="IT",Earnings!B702*2,
IF(Final_Payroll!B702="Finance",Earnings!B702*1.5,
IF(Final_Payroll!B702="HR",Earnings!B702*1.2,
Earnings!B702*1.3))))</f>
        <v>1566096.61</v>
      </c>
      <c r="C702">
        <f>Earnings!B702 + Deductions!B702 + Deductions!C702 + Overtime!D702</f>
        <v>1431766.6739000001</v>
      </c>
      <c r="D702">
        <f t="shared" si="20"/>
        <v>134329.93610000005</v>
      </c>
      <c r="E702">
        <f t="shared" si="21"/>
        <v>1.0938211082495011</v>
      </c>
    </row>
    <row r="703" spans="1:5" x14ac:dyDescent="0.35">
      <c r="A703" t="s">
        <v>733</v>
      </c>
      <c r="B703">
        <f>IF(Final_Payroll!B703="Sales",Earnings!B703*3,
IF(Final_Payroll!B703="IT",Earnings!B703*2,
IF(Final_Payroll!B703="Finance",Earnings!B703*1.5,
IF(Final_Payroll!B703="HR",Earnings!B703*1.2,
Earnings!B703*1.3))))</f>
        <v>2349771.7050000001</v>
      </c>
      <c r="C703">
        <f>Earnings!B703 + Deductions!B703 + Deductions!C703 + Overtime!D703</f>
        <v>1568314.47</v>
      </c>
      <c r="D703">
        <f t="shared" si="20"/>
        <v>781457.2350000001</v>
      </c>
      <c r="E703">
        <f t="shared" si="21"/>
        <v>1.4982784064984112</v>
      </c>
    </row>
    <row r="704" spans="1:5" x14ac:dyDescent="0.35">
      <c r="A704" t="s">
        <v>734</v>
      </c>
      <c r="B704">
        <f>IF(Final_Payroll!B704="Sales",Earnings!B704*3,
IF(Final_Payroll!B704="IT",Earnings!B704*2,
IF(Final_Payroll!B704="Finance",Earnings!B704*1.5,
IF(Final_Payroll!B704="HR",Earnings!B704*1.2,
Earnings!B704*1.3))))</f>
        <v>3192242.25</v>
      </c>
      <c r="C704">
        <f>Earnings!B704 + Deductions!B704 + Deductions!C704 + Overtime!D704</f>
        <v>1119084.7875000001</v>
      </c>
      <c r="D704">
        <f t="shared" si="20"/>
        <v>2073157.4624999999</v>
      </c>
      <c r="E704">
        <f t="shared" si="21"/>
        <v>2.8525472651016623</v>
      </c>
    </row>
    <row r="705" spans="1:5" x14ac:dyDescent="0.35">
      <c r="A705" t="s">
        <v>735</v>
      </c>
      <c r="B705">
        <f>IF(Final_Payroll!B705="Sales",Earnings!B705*3,
IF(Final_Payroll!B705="IT",Earnings!B705*2,
IF(Final_Payroll!B705="Finance",Earnings!B705*1.5,
IF(Final_Payroll!B705="HR",Earnings!B705*1.2,
Earnings!B705*1.3))))</f>
        <v>1379378.1300000001</v>
      </c>
      <c r="C705">
        <f>Earnings!B705 + Deductions!B705 + Deductions!C705 + Overtime!D705</f>
        <v>1324411.4146500002</v>
      </c>
      <c r="D705">
        <f t="shared" si="20"/>
        <v>54966.715349999955</v>
      </c>
      <c r="E705">
        <f t="shared" si="21"/>
        <v>1.0415027496305036</v>
      </c>
    </row>
    <row r="706" spans="1:5" x14ac:dyDescent="0.35">
      <c r="A706" t="s">
        <v>736</v>
      </c>
      <c r="B706">
        <f>IF(Final_Payroll!B706="Sales",Earnings!B706*3,
IF(Final_Payroll!B706="IT",Earnings!B706*2,
IF(Final_Payroll!B706="Finance",Earnings!B706*1.5,
IF(Final_Payroll!B706="HR",Earnings!B706*1.2,
Earnings!B706*1.3))))</f>
        <v>954438.94000000006</v>
      </c>
      <c r="C706">
        <f>Earnings!B706 + Deductions!B706 + Deductions!C706 + Overtime!D706</f>
        <v>735983.8</v>
      </c>
      <c r="D706">
        <f t="shared" ref="D706:D769" si="22">B706-C706</f>
        <v>218455.14</v>
      </c>
      <c r="E706">
        <f t="shared" ref="E706:E769" si="23">IF(C706=0,0,B706/C706)</f>
        <v>1.2968205821921623</v>
      </c>
    </row>
    <row r="707" spans="1:5" x14ac:dyDescent="0.35">
      <c r="A707" t="s">
        <v>737</v>
      </c>
      <c r="B707">
        <f>IF(Final_Payroll!B707="Sales",Earnings!B707*3,
IF(Final_Payroll!B707="IT",Earnings!B707*2,
IF(Final_Payroll!B707="Finance",Earnings!B707*1.5,
IF(Final_Payroll!B707="HR",Earnings!B707*1.2,
Earnings!B707*1.3))))</f>
        <v>3113042.4000000004</v>
      </c>
      <c r="C707">
        <f>Earnings!B707 + Deductions!B707 + Deductions!C707 + Overtime!D707</f>
        <v>1226263.344</v>
      </c>
      <c r="D707">
        <f t="shared" si="22"/>
        <v>1886779.0560000003</v>
      </c>
      <c r="E707">
        <f t="shared" si="23"/>
        <v>2.5386409984705538</v>
      </c>
    </row>
    <row r="708" spans="1:5" x14ac:dyDescent="0.35">
      <c r="A708" t="s">
        <v>738</v>
      </c>
      <c r="B708">
        <f>IF(Final_Payroll!B708="Sales",Earnings!B708*3,
IF(Final_Payroll!B708="IT",Earnings!B708*2,
IF(Final_Payroll!B708="Finance",Earnings!B708*1.5,
IF(Final_Payroll!B708="HR",Earnings!B708*1.2,
Earnings!B708*1.3))))</f>
        <v>961018.20000000007</v>
      </c>
      <c r="C708">
        <f>Earnings!B708 + Deductions!B708 + Deductions!C708 + Overtime!D708</f>
        <v>711672.11040000001</v>
      </c>
      <c r="D708">
        <f t="shared" si="22"/>
        <v>249346.08960000006</v>
      </c>
      <c r="E708">
        <f t="shared" si="23"/>
        <v>1.350366532503084</v>
      </c>
    </row>
    <row r="709" spans="1:5" x14ac:dyDescent="0.35">
      <c r="A709" t="s">
        <v>739</v>
      </c>
      <c r="B709">
        <f>IF(Final_Payroll!B709="Sales",Earnings!B709*3,
IF(Final_Payroll!B709="IT",Earnings!B709*2,
IF(Final_Payroll!B709="Finance",Earnings!B709*1.5,
IF(Final_Payroll!B709="HR",Earnings!B709*1.2,
Earnings!B709*1.3))))</f>
        <v>1109013.3599999999</v>
      </c>
      <c r="C709">
        <f>Earnings!B709 + Deductions!B709 + Deductions!C709 + Overtime!D709</f>
        <v>956404.57679999992</v>
      </c>
      <c r="D709">
        <f t="shared" si="22"/>
        <v>152608.78319999995</v>
      </c>
      <c r="E709">
        <f t="shared" si="23"/>
        <v>1.1595650908641699</v>
      </c>
    </row>
    <row r="710" spans="1:5" x14ac:dyDescent="0.35">
      <c r="A710" t="s">
        <v>740</v>
      </c>
      <c r="B710">
        <f>IF(Final_Payroll!B710="Sales",Earnings!B710*3,
IF(Final_Payroll!B710="IT",Earnings!B710*2,
IF(Final_Payroll!B710="Finance",Earnings!B710*1.5,
IF(Final_Payroll!B710="HR",Earnings!B710*1.2,
Earnings!B710*1.3))))</f>
        <v>3940848.8</v>
      </c>
      <c r="C710">
        <f>Earnings!B710 + Deductions!B710 + Deductions!C710 + Overtime!D710</f>
        <v>2054982.2248</v>
      </c>
      <c r="D710">
        <f t="shared" si="22"/>
        <v>1885866.5751999998</v>
      </c>
      <c r="E710">
        <f t="shared" si="23"/>
        <v>1.9177045681665401</v>
      </c>
    </row>
    <row r="711" spans="1:5" x14ac:dyDescent="0.35">
      <c r="A711" t="s">
        <v>741</v>
      </c>
      <c r="B711">
        <f>IF(Final_Payroll!B711="Sales",Earnings!B711*3,
IF(Final_Payroll!B711="IT",Earnings!B711*2,
IF(Final_Payroll!B711="Finance",Earnings!B711*1.5,
IF(Final_Payroll!B711="HR",Earnings!B711*1.2,
Earnings!B711*1.3))))</f>
        <v>1189189.56</v>
      </c>
      <c r="C711">
        <f>Earnings!B711 + Deductions!B711 + Deductions!C711 + Overtime!D711</f>
        <v>916561.2</v>
      </c>
      <c r="D711">
        <f t="shared" si="22"/>
        <v>272628.3600000001</v>
      </c>
      <c r="E711">
        <f t="shared" si="23"/>
        <v>1.2974469789906011</v>
      </c>
    </row>
    <row r="712" spans="1:5" x14ac:dyDescent="0.35">
      <c r="A712" t="s">
        <v>742</v>
      </c>
      <c r="B712">
        <f>IF(Final_Payroll!B712="Sales",Earnings!B712*3,
IF(Final_Payroll!B712="IT",Earnings!B712*2,
IF(Final_Payroll!B712="Finance",Earnings!B712*1.5,
IF(Final_Payroll!B712="HR",Earnings!B712*1.2,
Earnings!B712*1.3))))</f>
        <v>1755356.4000000001</v>
      </c>
      <c r="C712">
        <f>Earnings!B712 + Deductions!B712 + Deductions!C712 + Overtime!D712</f>
        <v>1172037.6000000001</v>
      </c>
      <c r="D712">
        <f t="shared" si="22"/>
        <v>583318.80000000005</v>
      </c>
      <c r="E712">
        <f t="shared" si="23"/>
        <v>1.4976963196402573</v>
      </c>
    </row>
    <row r="713" spans="1:5" x14ac:dyDescent="0.35">
      <c r="A713" t="s">
        <v>743</v>
      </c>
      <c r="B713">
        <f>IF(Final_Payroll!B713="Sales",Earnings!B713*3,
IF(Final_Payroll!B713="IT",Earnings!B713*2,
IF(Final_Payroll!B713="Finance",Earnings!B713*1.5,
IF(Final_Payroll!B713="HR",Earnings!B713*1.2,
Earnings!B713*1.3))))</f>
        <v>2258884.7999999998</v>
      </c>
      <c r="C713">
        <f>Earnings!B713 + Deductions!B713 + Deductions!C713 + Overtime!D713</f>
        <v>1131242.3999999999</v>
      </c>
      <c r="D713">
        <f t="shared" si="22"/>
        <v>1127642.3999999999</v>
      </c>
      <c r="E713">
        <f t="shared" si="23"/>
        <v>1.9968176581783001</v>
      </c>
    </row>
    <row r="714" spans="1:5" x14ac:dyDescent="0.35">
      <c r="A714" t="s">
        <v>744</v>
      </c>
      <c r="B714">
        <f>IF(Final_Payroll!B714="Sales",Earnings!B714*3,
IF(Final_Payroll!B714="IT",Earnings!B714*2,
IF(Final_Payroll!B714="Finance",Earnings!B714*1.5,
IF(Final_Payroll!B714="HR",Earnings!B714*1.2,
Earnings!B714*1.3))))</f>
        <v>1061294.3999999999</v>
      </c>
      <c r="C714">
        <f>Earnings!B714 + Deductions!B714 + Deductions!C714 + Overtime!D714</f>
        <v>886212</v>
      </c>
      <c r="D714">
        <f t="shared" si="22"/>
        <v>175082.39999999991</v>
      </c>
      <c r="E714">
        <f t="shared" si="23"/>
        <v>1.1975626599504408</v>
      </c>
    </row>
    <row r="715" spans="1:5" x14ac:dyDescent="0.35">
      <c r="A715" t="s">
        <v>745</v>
      </c>
      <c r="B715">
        <f>IF(Final_Payroll!B715="Sales",Earnings!B715*3,
IF(Final_Payroll!B715="IT",Earnings!B715*2,
IF(Final_Payroll!B715="Finance",Earnings!B715*1.5,
IF(Final_Payroll!B715="HR",Earnings!B715*1.2,
Earnings!B715*1.3))))</f>
        <v>993411.36</v>
      </c>
      <c r="C715">
        <f>Earnings!B715 + Deductions!B715 + Deductions!C715 + Overtime!D715</f>
        <v>953819.22000000009</v>
      </c>
      <c r="D715">
        <f t="shared" si="22"/>
        <v>39592.139999999898</v>
      </c>
      <c r="E715">
        <f t="shared" si="23"/>
        <v>1.0415090608050444</v>
      </c>
    </row>
    <row r="716" spans="1:5" x14ac:dyDescent="0.35">
      <c r="A716" t="s">
        <v>746</v>
      </c>
      <c r="B716">
        <f>IF(Final_Payroll!B716="Sales",Earnings!B716*3,
IF(Final_Payroll!B716="IT",Earnings!B716*2,
IF(Final_Payroll!B716="Finance",Earnings!B716*1.5,
IF(Final_Payroll!B716="HR",Earnings!B716*1.2,
Earnings!B716*1.3))))</f>
        <v>1394402.1</v>
      </c>
      <c r="C716">
        <f>Earnings!B716 + Deductions!B716 + Deductions!C716 + Overtime!D716</f>
        <v>1029009.547</v>
      </c>
      <c r="D716">
        <f t="shared" si="22"/>
        <v>365392.55300000007</v>
      </c>
      <c r="E716">
        <f t="shared" si="23"/>
        <v>1.3550915091752789</v>
      </c>
    </row>
    <row r="717" spans="1:5" x14ac:dyDescent="0.35">
      <c r="A717" t="s">
        <v>747</v>
      </c>
      <c r="B717">
        <f>IF(Final_Payroll!B717="Sales",Earnings!B717*3,
IF(Final_Payroll!B717="IT",Earnings!B717*2,
IF(Final_Payroll!B717="Finance",Earnings!B717*1.5,
IF(Final_Payroll!B717="HR",Earnings!B717*1.2,
Earnings!B717*1.3))))</f>
        <v>2607842.7200000002</v>
      </c>
      <c r="C717">
        <f>Earnings!B717 + Deductions!B717 + Deductions!C717 + Overtime!D717</f>
        <v>1396995.8545000001</v>
      </c>
      <c r="D717">
        <f t="shared" si="22"/>
        <v>1210846.8655000001</v>
      </c>
      <c r="E717">
        <f t="shared" si="23"/>
        <v>1.8667505072399626</v>
      </c>
    </row>
    <row r="718" spans="1:5" x14ac:dyDescent="0.35">
      <c r="A718" t="s">
        <v>748</v>
      </c>
      <c r="B718">
        <f>IF(Final_Payroll!B718="Sales",Earnings!B718*3,
IF(Final_Payroll!B718="IT",Earnings!B718*2,
IF(Final_Payroll!B718="Finance",Earnings!B718*1.5,
IF(Final_Payroll!B718="HR",Earnings!B718*1.2,
Earnings!B718*1.3))))</f>
        <v>2545575.105</v>
      </c>
      <c r="C718">
        <f>Earnings!B718 + Deductions!B718 + Deductions!C718 + Overtime!D718</f>
        <v>1698850.07</v>
      </c>
      <c r="D718">
        <f t="shared" si="22"/>
        <v>846725.03499999992</v>
      </c>
      <c r="E718">
        <f t="shared" si="23"/>
        <v>1.4984106896496168</v>
      </c>
    </row>
    <row r="719" spans="1:5" x14ac:dyDescent="0.35">
      <c r="A719" t="s">
        <v>749</v>
      </c>
      <c r="B719">
        <f>IF(Final_Payroll!B719="Sales",Earnings!B719*3,
IF(Final_Payroll!B719="IT",Earnings!B719*2,
IF(Final_Payroll!B719="Finance",Earnings!B719*1.5,
IF(Final_Payroll!B719="HR",Earnings!B719*1.2,
Earnings!B719*1.3))))</f>
        <v>3250994.4000000004</v>
      </c>
      <c r="C719">
        <f>Earnings!B719 + Deductions!B719 + Deductions!C719 + Overtime!D719</f>
        <v>1085464.8</v>
      </c>
      <c r="D719">
        <f t="shared" si="22"/>
        <v>2165529.6000000006</v>
      </c>
      <c r="E719">
        <f t="shared" si="23"/>
        <v>2.99502517262651</v>
      </c>
    </row>
    <row r="720" spans="1:5" x14ac:dyDescent="0.35">
      <c r="A720" t="s">
        <v>750</v>
      </c>
      <c r="B720">
        <f>IF(Final_Payroll!B720="Sales",Earnings!B720*3,
IF(Final_Payroll!B720="IT",Earnings!B720*2,
IF(Final_Payroll!B720="Finance",Earnings!B720*1.5,
IF(Final_Payroll!B720="HR",Earnings!B720*1.2,
Earnings!B720*1.3))))</f>
        <v>1154495.1599999999</v>
      </c>
      <c r="C720">
        <f>Earnings!B720 + Deductions!B720 + Deductions!C720 + Overtime!D720</f>
        <v>889873.2</v>
      </c>
      <c r="D720">
        <f t="shared" si="22"/>
        <v>264621.95999999996</v>
      </c>
      <c r="E720">
        <f t="shared" si="23"/>
        <v>1.2973704118744109</v>
      </c>
    </row>
    <row r="721" spans="1:5" x14ac:dyDescent="0.35">
      <c r="A721" t="s">
        <v>751</v>
      </c>
      <c r="B721">
        <f>IF(Final_Payroll!B721="Sales",Earnings!B721*3,
IF(Final_Payroll!B721="IT",Earnings!B721*2,
IF(Final_Payroll!B721="Finance",Earnings!B721*1.5,
IF(Final_Payroll!B721="HR",Earnings!B721*1.2,
Earnings!B721*1.3))))</f>
        <v>1406612.16</v>
      </c>
      <c r="C721">
        <f>Earnings!B721 + Deductions!B721 + Deductions!C721 + Overtime!D721</f>
        <v>1279472.7120000001</v>
      </c>
      <c r="D721">
        <f t="shared" si="22"/>
        <v>127139.44799999986</v>
      </c>
      <c r="E721">
        <f t="shared" si="23"/>
        <v>1.099368628035265</v>
      </c>
    </row>
    <row r="722" spans="1:5" x14ac:dyDescent="0.35">
      <c r="A722" t="s">
        <v>752</v>
      </c>
      <c r="B722">
        <f>IF(Final_Payroll!B722="Sales",Earnings!B722*3,
IF(Final_Payroll!B722="IT",Earnings!B722*2,
IF(Final_Payroll!B722="Finance",Earnings!B722*1.5,
IF(Final_Payroll!B722="HR",Earnings!B722*1.2,
Earnings!B722*1.3))))</f>
        <v>4436265.5999999996</v>
      </c>
      <c r="C722">
        <f>Earnings!B722 + Deductions!B722 + Deductions!C722 + Overtime!D722</f>
        <v>2219932.7999999998</v>
      </c>
      <c r="D722">
        <f t="shared" si="22"/>
        <v>2216332.7999999998</v>
      </c>
      <c r="E722">
        <f t="shared" si="23"/>
        <v>1.9983783292899677</v>
      </c>
    </row>
    <row r="723" spans="1:5" x14ac:dyDescent="0.35">
      <c r="A723" t="s">
        <v>753</v>
      </c>
      <c r="B723">
        <f>IF(Final_Payroll!B723="Sales",Earnings!B723*3,
IF(Final_Payroll!B723="IT",Earnings!B723*2,
IF(Final_Payroll!B723="Finance",Earnings!B723*1.5,
IF(Final_Payroll!B723="HR",Earnings!B723*1.2,
Earnings!B723*1.3))))</f>
        <v>721454.5</v>
      </c>
      <c r="C723">
        <f>Earnings!B723 + Deductions!B723 + Deductions!C723 + Overtime!D723</f>
        <v>556765</v>
      </c>
      <c r="D723">
        <f t="shared" si="22"/>
        <v>164689.5</v>
      </c>
      <c r="E723">
        <f t="shared" si="23"/>
        <v>1.2957971496053093</v>
      </c>
    </row>
    <row r="724" spans="1:5" x14ac:dyDescent="0.35">
      <c r="A724" t="s">
        <v>754</v>
      </c>
      <c r="B724">
        <f>IF(Final_Payroll!B724="Sales",Earnings!B724*3,
IF(Final_Payroll!B724="IT",Earnings!B724*2,
IF(Final_Payroll!B724="Finance",Earnings!B724*1.5,
IF(Final_Payroll!B724="HR",Earnings!B724*1.2,
Earnings!B724*1.3))))</f>
        <v>1650216.96</v>
      </c>
      <c r="C724">
        <f>Earnings!B724 + Deductions!B724 + Deductions!C724 + Overtime!D724</f>
        <v>1376980.8</v>
      </c>
      <c r="D724">
        <f t="shared" si="22"/>
        <v>273236.15999999992</v>
      </c>
      <c r="E724">
        <f t="shared" si="23"/>
        <v>1.198431350676785</v>
      </c>
    </row>
    <row r="725" spans="1:5" x14ac:dyDescent="0.35">
      <c r="A725" t="s">
        <v>755</v>
      </c>
      <c r="B725">
        <f>IF(Final_Payroll!B725="Sales",Earnings!B725*3,
IF(Final_Payroll!B725="IT",Earnings!B725*2,
IF(Final_Payroll!B725="Finance",Earnings!B725*1.5,
IF(Final_Payroll!B725="HR",Earnings!B725*1.2,
Earnings!B725*1.3))))</f>
        <v>3990988.8000000003</v>
      </c>
      <c r="C725">
        <f>Earnings!B725 + Deductions!B725 + Deductions!C725 + Overtime!D725</f>
        <v>1332129.6000000001</v>
      </c>
      <c r="D725">
        <f t="shared" si="22"/>
        <v>2658859.2000000002</v>
      </c>
      <c r="E725">
        <f t="shared" si="23"/>
        <v>2.9959463403560735</v>
      </c>
    </row>
    <row r="726" spans="1:5" x14ac:dyDescent="0.35">
      <c r="A726" t="s">
        <v>756</v>
      </c>
      <c r="B726">
        <f>IF(Final_Payroll!B726="Sales",Earnings!B726*3,
IF(Final_Payroll!B726="IT",Earnings!B726*2,
IF(Final_Payroll!B726="Finance",Earnings!B726*1.5,
IF(Final_Payroll!B726="HR",Earnings!B726*1.2,
Earnings!B726*1.3))))</f>
        <v>1166222.8500000001</v>
      </c>
      <c r="C726">
        <f>Earnings!B726 + Deductions!B726 + Deductions!C726 + Overtime!D726</f>
        <v>779281.9</v>
      </c>
      <c r="D726">
        <f t="shared" si="22"/>
        <v>386940.95000000007</v>
      </c>
      <c r="E726">
        <f t="shared" si="23"/>
        <v>1.496535271767508</v>
      </c>
    </row>
    <row r="727" spans="1:5" x14ac:dyDescent="0.35">
      <c r="A727" t="s">
        <v>757</v>
      </c>
      <c r="B727">
        <f>IF(Final_Payroll!B727="Sales",Earnings!B727*3,
IF(Final_Payroll!B727="IT",Earnings!B727*2,
IF(Final_Payroll!B727="Finance",Earnings!B727*1.5,
IF(Final_Payroll!B727="HR",Earnings!B727*1.2,
Earnings!B727*1.3))))</f>
        <v>4117310.06</v>
      </c>
      <c r="C727">
        <f>Earnings!B727 + Deductions!B727 + Deductions!C727 + Overtime!D727</f>
        <v>2060455.03</v>
      </c>
      <c r="D727">
        <f t="shared" si="22"/>
        <v>2056855.03</v>
      </c>
      <c r="E727">
        <f t="shared" si="23"/>
        <v>1.9982528131176927</v>
      </c>
    </row>
    <row r="728" spans="1:5" x14ac:dyDescent="0.35">
      <c r="A728" t="s">
        <v>758</v>
      </c>
      <c r="B728">
        <f>IF(Final_Payroll!B728="Sales",Earnings!B728*3,
IF(Final_Payroll!B728="IT",Earnings!B728*2,
IF(Final_Payroll!B728="Finance",Earnings!B728*1.5,
IF(Final_Payroll!B728="HR",Earnings!B728*1.2,
Earnings!B728*1.3))))</f>
        <v>4778092.1999999993</v>
      </c>
      <c r="C728">
        <f>Earnings!B728 + Deductions!B728 + Deductions!C728 + Overtime!D728</f>
        <v>1694837.3361999998</v>
      </c>
      <c r="D728">
        <f t="shared" si="22"/>
        <v>3083254.8637999995</v>
      </c>
      <c r="E728">
        <f t="shared" si="23"/>
        <v>2.8192040014370789</v>
      </c>
    </row>
    <row r="729" spans="1:5" x14ac:dyDescent="0.35">
      <c r="A729" t="s">
        <v>759</v>
      </c>
      <c r="B729">
        <f>IF(Final_Payroll!B729="Sales",Earnings!B729*3,
IF(Final_Payroll!B729="IT",Earnings!B729*2,
IF(Final_Payroll!B729="Finance",Earnings!B729*1.5,
IF(Final_Payroll!B729="HR",Earnings!B729*1.2,
Earnings!B729*1.3))))</f>
        <v>3346441.5</v>
      </c>
      <c r="C729">
        <f>Earnings!B729 + Deductions!B729 + Deductions!C729 + Overtime!D729</f>
        <v>1117280.5</v>
      </c>
      <c r="D729">
        <f t="shared" si="22"/>
        <v>2229161</v>
      </c>
      <c r="E729">
        <f t="shared" si="23"/>
        <v>2.9951668359019958</v>
      </c>
    </row>
    <row r="730" spans="1:5" x14ac:dyDescent="0.35">
      <c r="A730" t="s">
        <v>760</v>
      </c>
      <c r="B730">
        <f>IF(Final_Payroll!B730="Sales",Earnings!B730*3,
IF(Final_Payroll!B730="IT",Earnings!B730*2,
IF(Final_Payroll!B730="Finance",Earnings!B730*1.5,
IF(Final_Payroll!B730="HR",Earnings!B730*1.2,
Earnings!B730*1.3))))</f>
        <v>3076418.25</v>
      </c>
      <c r="C730">
        <f>Earnings!B730 + Deductions!B730 + Deductions!C730 + Overtime!D730</f>
        <v>1104183.20625</v>
      </c>
      <c r="D730">
        <f t="shared" si="22"/>
        <v>1972235.04375</v>
      </c>
      <c r="E730">
        <f t="shared" si="23"/>
        <v>2.786148378807586</v>
      </c>
    </row>
    <row r="731" spans="1:5" x14ac:dyDescent="0.35">
      <c r="A731" t="s">
        <v>761</v>
      </c>
      <c r="B731">
        <f>IF(Final_Payroll!B731="Sales",Earnings!B731*3,
IF(Final_Payroll!B731="IT",Earnings!B731*2,
IF(Final_Payroll!B731="Finance",Earnings!B731*1.5,
IF(Final_Payroll!B731="HR",Earnings!B731*1.2,
Earnings!B731*1.3))))</f>
        <v>2021754</v>
      </c>
      <c r="C731">
        <f>Earnings!B731 + Deductions!B731 + Deductions!C731 + Overtime!D731</f>
        <v>807805.92800000007</v>
      </c>
      <c r="D731">
        <f t="shared" si="22"/>
        <v>1213948.0719999999</v>
      </c>
      <c r="E731">
        <f t="shared" si="23"/>
        <v>2.5027719281604477</v>
      </c>
    </row>
    <row r="732" spans="1:5" x14ac:dyDescent="0.35">
      <c r="A732" t="s">
        <v>762</v>
      </c>
      <c r="B732">
        <f>IF(Final_Payroll!B732="Sales",Earnings!B732*3,
IF(Final_Payroll!B732="IT",Earnings!B732*2,
IF(Final_Payroll!B732="Finance",Earnings!B732*1.5,
IF(Final_Payroll!B732="HR",Earnings!B732*1.2,
Earnings!B732*1.3))))</f>
        <v>1639201.2</v>
      </c>
      <c r="C732">
        <f>Earnings!B732 + Deductions!B732 + Deductions!C732 + Overtime!D732</f>
        <v>1262724</v>
      </c>
      <c r="D732">
        <f t="shared" si="22"/>
        <v>376477.19999999995</v>
      </c>
      <c r="E732">
        <f t="shared" si="23"/>
        <v>1.2981468634475941</v>
      </c>
    </row>
    <row r="733" spans="1:5" x14ac:dyDescent="0.35">
      <c r="A733" t="s">
        <v>763</v>
      </c>
      <c r="B733">
        <f>IF(Final_Payroll!B733="Sales",Earnings!B733*3,
IF(Final_Payroll!B733="IT",Earnings!B733*2,
IF(Final_Payroll!B733="Finance",Earnings!B733*1.5,
IF(Final_Payroll!B733="HR",Earnings!B733*1.2,
Earnings!B733*1.3))))</f>
        <v>765798.8</v>
      </c>
      <c r="C733">
        <f>Earnings!B733 + Deductions!B733 + Deductions!C733 + Overtime!D733</f>
        <v>590876</v>
      </c>
      <c r="D733">
        <f t="shared" si="22"/>
        <v>174922.80000000005</v>
      </c>
      <c r="E733">
        <f t="shared" si="23"/>
        <v>1.2960397782275808</v>
      </c>
    </row>
    <row r="734" spans="1:5" x14ac:dyDescent="0.35">
      <c r="A734" t="s">
        <v>764</v>
      </c>
      <c r="B734">
        <f>IF(Final_Payroll!B734="Sales",Earnings!B734*3,
IF(Final_Payroll!B734="IT",Earnings!B734*2,
IF(Final_Payroll!B734="Finance",Earnings!B734*1.5,
IF(Final_Payroll!B734="HR",Earnings!B734*1.2,
Earnings!B734*1.3))))</f>
        <v>812695.52</v>
      </c>
      <c r="C734">
        <f>Earnings!B734 + Deductions!B734 + Deductions!C734 + Overtime!D734</f>
        <v>626950.40000000002</v>
      </c>
      <c r="D734">
        <f t="shared" si="22"/>
        <v>185745.12</v>
      </c>
      <c r="E734">
        <f t="shared" si="23"/>
        <v>1.2962676473290391</v>
      </c>
    </row>
    <row r="735" spans="1:5" x14ac:dyDescent="0.35">
      <c r="A735" t="s">
        <v>765</v>
      </c>
      <c r="B735">
        <f>IF(Final_Payroll!B735="Sales",Earnings!B735*3,
IF(Final_Payroll!B735="IT",Earnings!B735*2,
IF(Final_Payroll!B735="Finance",Earnings!B735*1.5,
IF(Final_Payroll!B735="HR",Earnings!B735*1.2,
Earnings!B735*1.3))))</f>
        <v>3419641.4699999997</v>
      </c>
      <c r="C735">
        <f>Earnings!B735 + Deductions!B735 + Deductions!C735 + Overtime!D735</f>
        <v>1141680.49</v>
      </c>
      <c r="D735">
        <f t="shared" si="22"/>
        <v>2277960.9799999995</v>
      </c>
      <c r="E735">
        <f t="shared" si="23"/>
        <v>2.9952701302621012</v>
      </c>
    </row>
    <row r="736" spans="1:5" x14ac:dyDescent="0.35">
      <c r="A736" t="s">
        <v>766</v>
      </c>
      <c r="B736">
        <f>IF(Final_Payroll!B736="Sales",Earnings!B736*3,
IF(Final_Payroll!B736="IT",Earnings!B736*2,
IF(Final_Payroll!B736="Finance",Earnings!B736*1.5,
IF(Final_Payroll!B736="HR",Earnings!B736*1.2,
Earnings!B736*1.3))))</f>
        <v>2922105.2</v>
      </c>
      <c r="C736">
        <f>Earnings!B736 + Deductions!B736 + Deductions!C736 + Overtime!D736</f>
        <v>1462852.6</v>
      </c>
      <c r="D736">
        <f t="shared" si="22"/>
        <v>1459252.6</v>
      </c>
      <c r="E736">
        <f t="shared" si="23"/>
        <v>1.9975390548576117</v>
      </c>
    </row>
    <row r="737" spans="1:5" x14ac:dyDescent="0.35">
      <c r="A737" t="s">
        <v>767</v>
      </c>
      <c r="B737">
        <f>IF(Final_Payroll!B737="Sales",Earnings!B737*3,
IF(Final_Payroll!B737="IT",Earnings!B737*2,
IF(Final_Payroll!B737="Finance",Earnings!B737*1.5,
IF(Final_Payroll!B737="HR",Earnings!B737*1.2,
Earnings!B737*1.3))))</f>
        <v>434835.7</v>
      </c>
      <c r="C737">
        <f>Earnings!B737 + Deductions!B737 + Deductions!C737 + Overtime!D737</f>
        <v>336289</v>
      </c>
      <c r="D737">
        <f t="shared" si="22"/>
        <v>98546.700000000012</v>
      </c>
      <c r="E737">
        <f t="shared" si="23"/>
        <v>1.2930416992527261</v>
      </c>
    </row>
    <row r="738" spans="1:5" x14ac:dyDescent="0.35">
      <c r="A738" t="s">
        <v>768</v>
      </c>
      <c r="B738">
        <f>IF(Final_Payroll!B738="Sales",Earnings!B738*3,
IF(Final_Payroll!B738="IT",Earnings!B738*2,
IF(Final_Payroll!B738="Finance",Earnings!B738*1.5,
IF(Final_Payroll!B738="HR",Earnings!B738*1.2,
Earnings!B738*1.3))))</f>
        <v>3396769.6</v>
      </c>
      <c r="C738">
        <f>Earnings!B738 + Deductions!B738 + Deductions!C738 + Overtime!D738</f>
        <v>1771516.9616</v>
      </c>
      <c r="D738">
        <f t="shared" si="22"/>
        <v>1625252.6384000001</v>
      </c>
      <c r="E738">
        <f t="shared" si="23"/>
        <v>1.917435550225894</v>
      </c>
    </row>
    <row r="739" spans="1:5" x14ac:dyDescent="0.35">
      <c r="A739" t="s">
        <v>769</v>
      </c>
      <c r="B739">
        <f>IF(Final_Payroll!B739="Sales",Earnings!B739*3,
IF(Final_Payroll!B739="IT",Earnings!B739*2,
IF(Final_Payroll!B739="Finance",Earnings!B739*1.5,
IF(Final_Payroll!B739="HR",Earnings!B739*1.2,
Earnings!B739*1.3))))</f>
        <v>3756018.42</v>
      </c>
      <c r="C739">
        <f>Earnings!B739 + Deductions!B739 + Deductions!C739 + Overtime!D739</f>
        <v>1879809.21</v>
      </c>
      <c r="D739">
        <f t="shared" si="22"/>
        <v>1876209.21</v>
      </c>
      <c r="E739">
        <f t="shared" si="23"/>
        <v>1.9980849120321098</v>
      </c>
    </row>
    <row r="740" spans="1:5" x14ac:dyDescent="0.35">
      <c r="A740" t="s">
        <v>770</v>
      </c>
      <c r="B740">
        <f>IF(Final_Payroll!B740="Sales",Earnings!B740*3,
IF(Final_Payroll!B740="IT",Earnings!B740*2,
IF(Final_Payroll!B740="Finance",Earnings!B740*1.5,
IF(Final_Payroll!B740="HR",Earnings!B740*1.2,
Earnings!B740*1.3))))</f>
        <v>1611284.64</v>
      </c>
      <c r="C740">
        <f>Earnings!B740 + Deductions!B740 + Deductions!C740 + Overtime!D740</f>
        <v>1344537.2</v>
      </c>
      <c r="D740">
        <f t="shared" si="22"/>
        <v>266747.43999999994</v>
      </c>
      <c r="E740">
        <f t="shared" si="23"/>
        <v>1.1983934992650258</v>
      </c>
    </row>
    <row r="741" spans="1:5" x14ac:dyDescent="0.35">
      <c r="A741" t="s">
        <v>771</v>
      </c>
      <c r="B741">
        <f>IF(Final_Payroll!B741="Sales",Earnings!B741*3,
IF(Final_Payroll!B741="IT",Earnings!B741*2,
IF(Final_Payroll!B741="Finance",Earnings!B741*1.5,
IF(Final_Payroll!B741="HR",Earnings!B741*1.2,
Earnings!B741*1.3))))</f>
        <v>1432085.2</v>
      </c>
      <c r="C741">
        <f>Earnings!B741 + Deductions!B741 + Deductions!C741 + Overtime!D741</f>
        <v>1103404</v>
      </c>
      <c r="D741">
        <f t="shared" si="22"/>
        <v>328681.19999999995</v>
      </c>
      <c r="E741">
        <f t="shared" si="23"/>
        <v>1.2978792899065075</v>
      </c>
    </row>
    <row r="742" spans="1:5" x14ac:dyDescent="0.35">
      <c r="A742" t="s">
        <v>772</v>
      </c>
      <c r="B742">
        <f>IF(Final_Payroll!B742="Sales",Earnings!B742*3,
IF(Final_Payroll!B742="IT",Earnings!B742*2,
IF(Final_Payroll!B742="Finance",Earnings!B742*1.5,
IF(Final_Payroll!B742="HR",Earnings!B742*1.2,
Earnings!B742*1.3))))</f>
        <v>2726433.5</v>
      </c>
      <c r="C742">
        <f>Earnings!B742 + Deductions!B742 + Deductions!C742 + Overtime!D742</f>
        <v>1450899.4052500001</v>
      </c>
      <c r="D742">
        <f t="shared" si="22"/>
        <v>1275534.0947499999</v>
      </c>
      <c r="E742">
        <f t="shared" si="23"/>
        <v>1.8791333776377257</v>
      </c>
    </row>
    <row r="743" spans="1:5" x14ac:dyDescent="0.35">
      <c r="A743" t="s">
        <v>773</v>
      </c>
      <c r="B743">
        <f>IF(Final_Payroll!B743="Sales",Earnings!B743*3,
IF(Final_Payroll!B743="IT",Earnings!B743*2,
IF(Final_Payroll!B743="Finance",Earnings!B743*1.5,
IF(Final_Payroll!B743="HR",Earnings!B743*1.2,
Earnings!B743*1.3))))</f>
        <v>1191994.56</v>
      </c>
      <c r="C743">
        <f>Earnings!B743 + Deductions!B743 + Deductions!C743 + Overtime!D743</f>
        <v>995128.8</v>
      </c>
      <c r="D743">
        <f t="shared" si="22"/>
        <v>196865.76</v>
      </c>
      <c r="E743">
        <f t="shared" si="23"/>
        <v>1.1978294267033573</v>
      </c>
    </row>
    <row r="744" spans="1:5" x14ac:dyDescent="0.35">
      <c r="A744" t="s">
        <v>774</v>
      </c>
      <c r="B744">
        <f>IF(Final_Payroll!B744="Sales",Earnings!B744*3,
IF(Final_Payroll!B744="IT",Earnings!B744*2,
IF(Final_Payroll!B744="Finance",Earnings!B744*1.5,
IF(Final_Payroll!B744="HR",Earnings!B744*1.2,
Earnings!B744*1.3))))</f>
        <v>3374279.16</v>
      </c>
      <c r="C744">
        <f>Earnings!B744 + Deductions!B744 + Deductions!C744 + Overtime!D744</f>
        <v>1877899.2124000001</v>
      </c>
      <c r="D744">
        <f t="shared" si="22"/>
        <v>1496379.9476000001</v>
      </c>
      <c r="E744">
        <f t="shared" si="23"/>
        <v>1.7968371985670044</v>
      </c>
    </row>
    <row r="745" spans="1:5" x14ac:dyDescent="0.35">
      <c r="A745" t="s">
        <v>775</v>
      </c>
      <c r="B745">
        <f>IF(Final_Payroll!B745="Sales",Earnings!B745*3,
IF(Final_Payroll!B745="IT",Earnings!B745*2,
IF(Final_Payroll!B745="Finance",Earnings!B745*1.5,
IF(Final_Payroll!B745="HR",Earnings!B745*1.2,
Earnings!B745*1.3))))</f>
        <v>1729173.432</v>
      </c>
      <c r="C745">
        <f>Earnings!B745 + Deductions!B745 + Deductions!C745 + Overtime!D745</f>
        <v>1493212.0847500002</v>
      </c>
      <c r="D745">
        <f t="shared" si="22"/>
        <v>235961.34724999988</v>
      </c>
      <c r="E745">
        <f t="shared" si="23"/>
        <v>1.1580226611208451</v>
      </c>
    </row>
    <row r="746" spans="1:5" x14ac:dyDescent="0.35">
      <c r="A746" t="s">
        <v>776</v>
      </c>
      <c r="B746">
        <f>IF(Final_Payroll!B746="Sales",Earnings!B746*3,
IF(Final_Payroll!B746="IT",Earnings!B746*2,
IF(Final_Payroll!B746="Finance",Earnings!B746*1.5,
IF(Final_Payroll!B746="HR",Earnings!B746*1.2,
Earnings!B746*1.3))))</f>
        <v>1964221.2000000002</v>
      </c>
      <c r="C746">
        <f>Earnings!B746 + Deductions!B746 + Deductions!C746 + Overtime!D746</f>
        <v>754751.46000000008</v>
      </c>
      <c r="D746">
        <f t="shared" si="22"/>
        <v>1209469.7400000002</v>
      </c>
      <c r="E746">
        <f t="shared" si="23"/>
        <v>2.6024741972675347</v>
      </c>
    </row>
    <row r="747" spans="1:5" x14ac:dyDescent="0.35">
      <c r="A747" t="s">
        <v>777</v>
      </c>
      <c r="B747">
        <f>IF(Final_Payroll!B747="Sales",Earnings!B747*3,
IF(Final_Payroll!B747="IT",Earnings!B747*2,
IF(Final_Payroll!B747="Finance",Earnings!B747*1.5,
IF(Final_Payroll!B747="HR",Earnings!B747*1.2,
Earnings!B747*1.3))))</f>
        <v>3111096</v>
      </c>
      <c r="C747">
        <f>Earnings!B747 + Deductions!B747 + Deductions!C747 + Overtime!D747</f>
        <v>1557348</v>
      </c>
      <c r="D747">
        <f t="shared" si="22"/>
        <v>1553748</v>
      </c>
      <c r="E747">
        <f t="shared" si="23"/>
        <v>1.9976883779347969</v>
      </c>
    </row>
    <row r="748" spans="1:5" x14ac:dyDescent="0.35">
      <c r="A748" t="s">
        <v>778</v>
      </c>
      <c r="B748">
        <f>IF(Final_Payroll!B748="Sales",Earnings!B748*3,
IF(Final_Payroll!B748="IT",Earnings!B748*2,
IF(Final_Payroll!B748="Finance",Earnings!B748*1.5,
IF(Final_Payroll!B748="HR",Earnings!B748*1.2,
Earnings!B748*1.3))))</f>
        <v>2449970.2000000002</v>
      </c>
      <c r="C748">
        <f>Earnings!B748 + Deductions!B748 + Deductions!C748 + Overtime!D748</f>
        <v>1226785.1000000001</v>
      </c>
      <c r="D748">
        <f t="shared" si="22"/>
        <v>1223185.1000000001</v>
      </c>
      <c r="E748">
        <f t="shared" si="23"/>
        <v>1.9970655007140208</v>
      </c>
    </row>
    <row r="749" spans="1:5" x14ac:dyDescent="0.35">
      <c r="A749" t="s">
        <v>779</v>
      </c>
      <c r="B749">
        <f>IF(Final_Payroll!B749="Sales",Earnings!B749*3,
IF(Final_Payroll!B749="IT",Earnings!B749*2,
IF(Final_Payroll!B749="Finance",Earnings!B749*1.5,
IF(Final_Payroll!B749="HR",Earnings!B749*1.2,
Earnings!B749*1.3))))</f>
        <v>2925522.1500000004</v>
      </c>
      <c r="C749">
        <f>Earnings!B749 + Deductions!B749 + Deductions!C749 + Overtime!D749</f>
        <v>1098870.8062500001</v>
      </c>
      <c r="D749">
        <f t="shared" si="22"/>
        <v>1826651.3437500002</v>
      </c>
      <c r="E749">
        <f t="shared" si="23"/>
        <v>2.6622985462536941</v>
      </c>
    </row>
    <row r="750" spans="1:5" x14ac:dyDescent="0.35">
      <c r="A750" t="s">
        <v>780</v>
      </c>
      <c r="B750">
        <f>IF(Final_Payroll!B750="Sales",Earnings!B750*3,
IF(Final_Payroll!B750="IT",Earnings!B750*2,
IF(Final_Payroll!B750="Finance",Earnings!B750*1.5,
IF(Final_Payroll!B750="HR",Earnings!B750*1.2,
Earnings!B750*1.3))))</f>
        <v>1205848.93</v>
      </c>
      <c r="C750">
        <f>Earnings!B750 + Deductions!B750 + Deductions!C750 + Overtime!D750</f>
        <v>1008220.0684999999</v>
      </c>
      <c r="D750">
        <f t="shared" si="22"/>
        <v>197628.8615</v>
      </c>
      <c r="E750">
        <f t="shared" si="23"/>
        <v>1.1960175835361286</v>
      </c>
    </row>
    <row r="751" spans="1:5" x14ac:dyDescent="0.35">
      <c r="A751" t="s">
        <v>781</v>
      </c>
      <c r="B751">
        <f>IF(Final_Payroll!B751="Sales",Earnings!B751*3,
IF(Final_Payroll!B751="IT",Earnings!B751*2,
IF(Final_Payroll!B751="Finance",Earnings!B751*1.5,
IF(Final_Payroll!B751="HR",Earnings!B751*1.2,
Earnings!B751*1.3))))</f>
        <v>3077279.52</v>
      </c>
      <c r="C751">
        <f>Earnings!B751 + Deductions!B751 + Deductions!C751 + Overtime!D751</f>
        <v>1626603.5860000001</v>
      </c>
      <c r="D751">
        <f t="shared" si="22"/>
        <v>1450675.9339999999</v>
      </c>
      <c r="E751">
        <f t="shared" si="23"/>
        <v>1.8918435607088351</v>
      </c>
    </row>
    <row r="752" spans="1:5" x14ac:dyDescent="0.35">
      <c r="A752" t="s">
        <v>782</v>
      </c>
      <c r="B752">
        <f>IF(Final_Payroll!B752="Sales",Earnings!B752*3,
IF(Final_Payroll!B752="IT",Earnings!B752*2,
IF(Final_Payroll!B752="Finance",Earnings!B752*1.5,
IF(Final_Payroll!B752="HR",Earnings!B752*1.2,
Earnings!B752*1.3))))</f>
        <v>786361.55</v>
      </c>
      <c r="C752">
        <f>Earnings!B752 + Deductions!B752 + Deductions!C752 + Overtime!D752</f>
        <v>670207.3175</v>
      </c>
      <c r="D752">
        <f t="shared" si="22"/>
        <v>116154.23250000004</v>
      </c>
      <c r="E752">
        <f t="shared" si="23"/>
        <v>1.1733108986832272</v>
      </c>
    </row>
    <row r="753" spans="1:5" x14ac:dyDescent="0.35">
      <c r="A753" t="s">
        <v>783</v>
      </c>
      <c r="B753">
        <f>IF(Final_Payroll!B753="Sales",Earnings!B753*3,
IF(Final_Payroll!B753="IT",Earnings!B753*2,
IF(Final_Payroll!B753="Finance",Earnings!B753*1.5,
IF(Final_Payroll!B753="HR",Earnings!B753*1.2,
Earnings!B753*1.3))))</f>
        <v>686979.36</v>
      </c>
      <c r="C753">
        <f>Earnings!B753 + Deductions!B753 + Deductions!C753 + Overtime!D753</f>
        <v>601761.97440000006</v>
      </c>
      <c r="D753">
        <f t="shared" si="22"/>
        <v>85217.385599999921</v>
      </c>
      <c r="E753">
        <f t="shared" si="23"/>
        <v>1.1416131115379429</v>
      </c>
    </row>
    <row r="754" spans="1:5" x14ac:dyDescent="0.35">
      <c r="A754" t="s">
        <v>784</v>
      </c>
      <c r="B754">
        <f>IF(Final_Payroll!B754="Sales",Earnings!B754*3,
IF(Final_Payroll!B754="IT",Earnings!B754*2,
IF(Final_Payroll!B754="Finance",Earnings!B754*1.5,
IF(Final_Payroll!B754="HR",Earnings!B754*1.2,
Earnings!B754*1.3))))</f>
        <v>3206044.8000000003</v>
      </c>
      <c r="C754">
        <f>Earnings!B754 + Deductions!B754 + Deductions!C754 + Overtime!D754</f>
        <v>1070481.6000000001</v>
      </c>
      <c r="D754">
        <f t="shared" si="22"/>
        <v>2135563.2000000002</v>
      </c>
      <c r="E754">
        <f t="shared" si="23"/>
        <v>2.9949555415058047</v>
      </c>
    </row>
    <row r="755" spans="1:5" x14ac:dyDescent="0.35">
      <c r="A755" t="s">
        <v>785</v>
      </c>
      <c r="B755">
        <f>IF(Final_Payroll!B755="Sales",Earnings!B755*3,
IF(Final_Payroll!B755="IT",Earnings!B755*2,
IF(Final_Payroll!B755="Finance",Earnings!B755*1.5,
IF(Final_Payroll!B755="HR",Earnings!B755*1.2,
Earnings!B755*1.3))))</f>
        <v>3969224.26</v>
      </c>
      <c r="C755">
        <f>Earnings!B755 + Deductions!B755 + Deductions!C755 + Overtime!D755</f>
        <v>1986412.13</v>
      </c>
      <c r="D755">
        <f t="shared" si="22"/>
        <v>1982812.13</v>
      </c>
      <c r="E755">
        <f t="shared" si="23"/>
        <v>1.9981876872650792</v>
      </c>
    </row>
    <row r="756" spans="1:5" x14ac:dyDescent="0.35">
      <c r="A756" t="s">
        <v>786</v>
      </c>
      <c r="B756">
        <f>IF(Final_Payroll!B756="Sales",Earnings!B756*3,
IF(Final_Payroll!B756="IT",Earnings!B756*2,
IF(Final_Payroll!B756="Finance",Earnings!B756*1.5,
IF(Final_Payroll!B756="HR",Earnings!B756*1.2,
Earnings!B756*1.3))))</f>
        <v>1761848.3399999999</v>
      </c>
      <c r="C756">
        <f>Earnings!B756 + Deductions!B756 + Deductions!C756 + Overtime!D756</f>
        <v>1470006.95</v>
      </c>
      <c r="D756">
        <f t="shared" si="22"/>
        <v>291841.3899999999</v>
      </c>
      <c r="E756">
        <f t="shared" si="23"/>
        <v>1.1985306191919705</v>
      </c>
    </row>
    <row r="757" spans="1:5" x14ac:dyDescent="0.35">
      <c r="A757" t="s">
        <v>787</v>
      </c>
      <c r="B757">
        <f>IF(Final_Payroll!B757="Sales",Earnings!B757*3,
IF(Final_Payroll!B757="IT",Earnings!B757*2,
IF(Final_Payroll!B757="Finance",Earnings!B757*1.5,
IF(Final_Payroll!B757="HR",Earnings!B757*1.2,
Earnings!B757*1.3))))</f>
        <v>881760.36</v>
      </c>
      <c r="C757">
        <f>Earnings!B757 + Deductions!B757 + Deductions!C757 + Overtime!D757</f>
        <v>680077.2</v>
      </c>
      <c r="D757">
        <f t="shared" si="22"/>
        <v>201683.16000000003</v>
      </c>
      <c r="E757">
        <f t="shared" si="23"/>
        <v>1.2965592141598044</v>
      </c>
    </row>
    <row r="758" spans="1:5" x14ac:dyDescent="0.35">
      <c r="A758" t="s">
        <v>788</v>
      </c>
      <c r="B758">
        <f>IF(Final_Payroll!B758="Sales",Earnings!B758*3,
IF(Final_Payroll!B758="IT",Earnings!B758*2,
IF(Final_Payroll!B758="Finance",Earnings!B758*1.5,
IF(Final_Payroll!B758="HR",Earnings!B758*1.2,
Earnings!B758*1.3))))</f>
        <v>2270916.9000000004</v>
      </c>
      <c r="C758">
        <f>Earnings!B758 + Deductions!B758 + Deductions!C758 + Overtime!D758</f>
        <v>1812477.7416000001</v>
      </c>
      <c r="D758">
        <f t="shared" si="22"/>
        <v>458439.15840000031</v>
      </c>
      <c r="E758">
        <f t="shared" si="23"/>
        <v>1.2529350556301475</v>
      </c>
    </row>
    <row r="759" spans="1:5" x14ac:dyDescent="0.35">
      <c r="A759" t="s">
        <v>789</v>
      </c>
      <c r="B759">
        <f>IF(Final_Payroll!B759="Sales",Earnings!B759*3,
IF(Final_Payroll!B759="IT",Earnings!B759*2,
IF(Final_Payroll!B759="Finance",Earnings!B759*1.5,
IF(Final_Payroll!B759="HR",Earnings!B759*1.2,
Earnings!B759*1.3))))</f>
        <v>1433096.28</v>
      </c>
      <c r="C759">
        <f>Earnings!B759 + Deductions!B759 + Deductions!C759 + Overtime!D759</f>
        <v>957197.52</v>
      </c>
      <c r="D759">
        <f t="shared" si="22"/>
        <v>475898.76</v>
      </c>
      <c r="E759">
        <f t="shared" si="23"/>
        <v>1.4971792655710181</v>
      </c>
    </row>
    <row r="760" spans="1:5" x14ac:dyDescent="0.35">
      <c r="A760" t="s">
        <v>790</v>
      </c>
      <c r="B760">
        <f>IF(Final_Payroll!B760="Sales",Earnings!B760*3,
IF(Final_Payroll!B760="IT",Earnings!B760*2,
IF(Final_Payroll!B760="Finance",Earnings!B760*1.5,
IF(Final_Payroll!B760="HR",Earnings!B760*1.2,
Earnings!B760*1.3))))</f>
        <v>1254795.8399999999</v>
      </c>
      <c r="C760">
        <f>Earnings!B760 + Deductions!B760 + Deductions!C760 + Overtime!D760</f>
        <v>1110202.9919999999</v>
      </c>
      <c r="D760">
        <f t="shared" si="22"/>
        <v>144592.848</v>
      </c>
      <c r="E760">
        <f t="shared" si="23"/>
        <v>1.1302400092973268</v>
      </c>
    </row>
    <row r="761" spans="1:5" x14ac:dyDescent="0.35">
      <c r="A761" t="s">
        <v>791</v>
      </c>
      <c r="B761">
        <f>IF(Final_Payroll!B761="Sales",Earnings!B761*3,
IF(Final_Payroll!B761="IT",Earnings!B761*2,
IF(Final_Payroll!B761="Finance",Earnings!B761*1.5,
IF(Final_Payroll!B761="HR",Earnings!B761*1.2,
Earnings!B761*1.3))))</f>
        <v>1220286.7039999999</v>
      </c>
      <c r="C761">
        <f>Earnings!B761 + Deductions!B761 + Deductions!C761 + Overtime!D761</f>
        <v>940482.08</v>
      </c>
      <c r="D761">
        <f t="shared" si="22"/>
        <v>279804.62399999995</v>
      </c>
      <c r="E761">
        <f t="shared" si="23"/>
        <v>1.2975119143152627</v>
      </c>
    </row>
    <row r="762" spans="1:5" x14ac:dyDescent="0.35">
      <c r="A762" t="s">
        <v>792</v>
      </c>
      <c r="B762">
        <f>IF(Final_Payroll!B762="Sales",Earnings!B762*3,
IF(Final_Payroll!B762="IT",Earnings!B762*2,
IF(Final_Payroll!B762="Finance",Earnings!B762*1.5,
IF(Final_Payroll!B762="HR",Earnings!B762*1.2,
Earnings!B762*1.3))))</f>
        <v>1429663.17</v>
      </c>
      <c r="C762">
        <f>Earnings!B762 + Deductions!B762 + Deductions!C762 + Overtime!D762</f>
        <v>1253305.1442</v>
      </c>
      <c r="D762">
        <f t="shared" si="22"/>
        <v>176358.02579999994</v>
      </c>
      <c r="E762">
        <f t="shared" si="23"/>
        <v>1.140714355650851</v>
      </c>
    </row>
    <row r="763" spans="1:5" x14ac:dyDescent="0.35">
      <c r="A763" t="s">
        <v>793</v>
      </c>
      <c r="B763">
        <f>IF(Final_Payroll!B763="Sales",Earnings!B763*3,
IF(Final_Payroll!B763="IT",Earnings!B763*2,
IF(Final_Payroll!B763="Finance",Earnings!B763*1.5,
IF(Final_Payroll!B763="HR",Earnings!B763*1.2,
Earnings!B763*1.3))))</f>
        <v>2523834.4500000002</v>
      </c>
      <c r="C763">
        <f>Earnings!B763 + Deductions!B763 + Deductions!C763 + Overtime!D763</f>
        <v>1684356.3</v>
      </c>
      <c r="D763">
        <f t="shared" si="22"/>
        <v>839478.15000000014</v>
      </c>
      <c r="E763">
        <f t="shared" si="23"/>
        <v>1.4983970137434699</v>
      </c>
    </row>
    <row r="764" spans="1:5" x14ac:dyDescent="0.35">
      <c r="A764" t="s">
        <v>794</v>
      </c>
      <c r="B764">
        <f>IF(Final_Payroll!B764="Sales",Earnings!B764*3,
IF(Final_Payroll!B764="IT",Earnings!B764*2,
IF(Final_Payroll!B764="Finance",Earnings!B764*1.5,
IF(Final_Payroll!B764="HR",Earnings!B764*1.2,
Earnings!B764*1.3))))</f>
        <v>1276503.03</v>
      </c>
      <c r="C764">
        <f>Earnings!B764 + Deductions!B764 + Deductions!C764 + Overtime!D764</f>
        <v>888544.10505000001</v>
      </c>
      <c r="D764">
        <f t="shared" si="22"/>
        <v>387958.92495000002</v>
      </c>
      <c r="E764">
        <f t="shared" si="23"/>
        <v>1.4366231487497954</v>
      </c>
    </row>
    <row r="765" spans="1:5" x14ac:dyDescent="0.35">
      <c r="A765" t="s">
        <v>795</v>
      </c>
      <c r="B765">
        <f>IF(Final_Payroll!B765="Sales",Earnings!B765*3,
IF(Final_Payroll!B765="IT",Earnings!B765*2,
IF(Final_Payroll!B765="Finance",Earnings!B765*1.5,
IF(Final_Payroll!B765="HR",Earnings!B765*1.2,
Earnings!B765*1.3))))</f>
        <v>2418735.34</v>
      </c>
      <c r="C765">
        <f>Earnings!B765 + Deductions!B765 + Deductions!C765 + Overtime!D765</f>
        <v>1211167.67</v>
      </c>
      <c r="D765">
        <f t="shared" si="22"/>
        <v>1207567.67</v>
      </c>
      <c r="E765">
        <f t="shared" si="23"/>
        <v>1.9970276617439764</v>
      </c>
    </row>
    <row r="766" spans="1:5" x14ac:dyDescent="0.35">
      <c r="A766" t="s">
        <v>796</v>
      </c>
      <c r="B766">
        <f>IF(Final_Payroll!B766="Sales",Earnings!B766*3,
IF(Final_Payroll!B766="IT",Earnings!B766*2,
IF(Final_Payroll!B766="Finance",Earnings!B766*1.5,
IF(Final_Payroll!B766="HR",Earnings!B766*1.2,
Earnings!B766*1.3))))</f>
        <v>1548923.7</v>
      </c>
      <c r="C766">
        <f>Earnings!B766 + Deductions!B766 + Deductions!C766 + Overtime!D766</f>
        <v>776261.85</v>
      </c>
      <c r="D766">
        <f t="shared" si="22"/>
        <v>772661.85</v>
      </c>
      <c r="E766">
        <f t="shared" si="23"/>
        <v>1.9953623896369506</v>
      </c>
    </row>
    <row r="767" spans="1:5" x14ac:dyDescent="0.35">
      <c r="A767" t="s">
        <v>797</v>
      </c>
      <c r="B767">
        <f>IF(Final_Payroll!B767="Sales",Earnings!B767*3,
IF(Final_Payroll!B767="IT",Earnings!B767*2,
IF(Final_Payroll!B767="Finance",Earnings!B767*1.5,
IF(Final_Payroll!B767="HR",Earnings!B767*1.2,
Earnings!B767*1.3))))</f>
        <v>1610865.9000000001</v>
      </c>
      <c r="C767">
        <f>Earnings!B767 + Deductions!B767 + Deductions!C767 + Overtime!D767</f>
        <v>1241092.8324000002</v>
      </c>
      <c r="D767">
        <f t="shared" si="22"/>
        <v>369773.06759999995</v>
      </c>
      <c r="E767">
        <f t="shared" si="23"/>
        <v>1.2979415060233168</v>
      </c>
    </row>
    <row r="768" spans="1:5" x14ac:dyDescent="0.35">
      <c r="A768" t="s">
        <v>798</v>
      </c>
      <c r="B768">
        <f>IF(Final_Payroll!B768="Sales",Earnings!B768*3,
IF(Final_Payroll!B768="IT",Earnings!B768*2,
IF(Final_Payroll!B768="Finance",Earnings!B768*1.5,
IF(Final_Payroll!B768="HR",Earnings!B768*1.2,
Earnings!B768*1.3))))</f>
        <v>1410791.4</v>
      </c>
      <c r="C768">
        <f>Earnings!B768 + Deductions!B768 + Deductions!C768 + Overtime!D768</f>
        <v>942327.6</v>
      </c>
      <c r="D768">
        <f t="shared" si="22"/>
        <v>468463.79999999993</v>
      </c>
      <c r="E768">
        <f t="shared" si="23"/>
        <v>1.4971347544102496</v>
      </c>
    </row>
    <row r="769" spans="1:5" x14ac:dyDescent="0.35">
      <c r="A769" t="s">
        <v>799</v>
      </c>
      <c r="B769">
        <f>IF(Final_Payroll!B769="Sales",Earnings!B769*3,
IF(Final_Payroll!B769="IT",Earnings!B769*2,
IF(Final_Payroll!B769="Finance",Earnings!B769*1.5,
IF(Final_Payroll!B769="HR",Earnings!B769*1.2,
Earnings!B769*1.3))))</f>
        <v>760013.8</v>
      </c>
      <c r="C769">
        <f>Earnings!B769 + Deductions!B769 + Deductions!C769 + Overtime!D769</f>
        <v>586426</v>
      </c>
      <c r="D769">
        <f t="shared" si="22"/>
        <v>173587.80000000005</v>
      </c>
      <c r="E769">
        <f t="shared" si="23"/>
        <v>1.2960097267174375</v>
      </c>
    </row>
    <row r="770" spans="1:5" x14ac:dyDescent="0.35">
      <c r="A770" t="s">
        <v>800</v>
      </c>
      <c r="B770">
        <f>IF(Final_Payroll!B770="Sales",Earnings!B770*3,
IF(Final_Payroll!B770="IT",Earnings!B770*2,
IF(Final_Payroll!B770="Finance",Earnings!B770*1.5,
IF(Final_Payroll!B770="HR",Earnings!B770*1.2,
Earnings!B770*1.3))))</f>
        <v>3529340.82</v>
      </c>
      <c r="C770">
        <f>Earnings!B770 + Deductions!B770 + Deductions!C770 + Overtime!D770</f>
        <v>1305303.2105999999</v>
      </c>
      <c r="D770">
        <f t="shared" ref="D770:D833" si="24">B770-C770</f>
        <v>2224037.6094</v>
      </c>
      <c r="E770">
        <f t="shared" ref="E770:E833" si="25">IF(C770=0,0,B770/C770)</f>
        <v>2.7038474979140608</v>
      </c>
    </row>
    <row r="771" spans="1:5" x14ac:dyDescent="0.35">
      <c r="A771" t="s">
        <v>801</v>
      </c>
      <c r="B771">
        <f>IF(Final_Payroll!B771="Sales",Earnings!B771*3,
IF(Final_Payroll!B771="IT",Earnings!B771*2,
IF(Final_Payroll!B771="Finance",Earnings!B771*1.5,
IF(Final_Payroll!B771="HR",Earnings!B771*1.2,
Earnings!B771*1.3))))</f>
        <v>669679.92000000004</v>
      </c>
      <c r="C771">
        <f>Earnings!B771 + Deductions!B771 + Deductions!C771 + Overtime!D771</f>
        <v>516938.4</v>
      </c>
      <c r="D771">
        <f t="shared" si="24"/>
        <v>152741.52000000002</v>
      </c>
      <c r="E771">
        <f t="shared" si="25"/>
        <v>1.295473348468599</v>
      </c>
    </row>
    <row r="772" spans="1:5" x14ac:dyDescent="0.35">
      <c r="A772" t="s">
        <v>802</v>
      </c>
      <c r="B772">
        <f>IF(Final_Payroll!B772="Sales",Earnings!B772*3,
IF(Final_Payroll!B772="IT",Earnings!B772*2,
IF(Final_Payroll!B772="Finance",Earnings!B772*1.5,
IF(Final_Payroll!B772="HR",Earnings!B772*1.2,
Earnings!B772*1.3))))</f>
        <v>1743878.2919999999</v>
      </c>
      <c r="C772">
        <f>Earnings!B772 + Deductions!B772 + Deductions!C772 + Overtime!D772</f>
        <v>1529146.7368999999</v>
      </c>
      <c r="D772">
        <f t="shared" si="24"/>
        <v>214731.5551</v>
      </c>
      <c r="E772">
        <f t="shared" si="25"/>
        <v>1.1404257354237435</v>
      </c>
    </row>
    <row r="773" spans="1:5" x14ac:dyDescent="0.35">
      <c r="A773" t="s">
        <v>803</v>
      </c>
      <c r="B773">
        <f>IF(Final_Payroll!B773="Sales",Earnings!B773*3,
IF(Final_Payroll!B773="IT",Earnings!B773*2,
IF(Final_Payroll!B773="Finance",Earnings!B773*1.5,
IF(Final_Payroll!B773="HR",Earnings!B773*1.2,
Earnings!B773*1.3))))</f>
        <v>4251252.9000000004</v>
      </c>
      <c r="C773">
        <f>Earnings!B773 + Deductions!B773 + Deductions!C773 + Overtime!D773</f>
        <v>1418884.3</v>
      </c>
      <c r="D773">
        <f t="shared" si="24"/>
        <v>2832368.6000000006</v>
      </c>
      <c r="E773">
        <f t="shared" si="25"/>
        <v>2.996194192859841</v>
      </c>
    </row>
    <row r="774" spans="1:5" x14ac:dyDescent="0.35">
      <c r="A774" t="s">
        <v>804</v>
      </c>
      <c r="B774">
        <f>IF(Final_Payroll!B774="Sales",Earnings!B774*3,
IF(Final_Payroll!B774="IT",Earnings!B774*2,
IF(Final_Payroll!B774="Finance",Earnings!B774*1.5,
IF(Final_Payroll!B774="HR",Earnings!B774*1.2,
Earnings!B774*1.3))))</f>
        <v>2091293.37</v>
      </c>
      <c r="C774">
        <f>Earnings!B774 + Deductions!B774 + Deductions!C774 + Overtime!D774</f>
        <v>1395995.58</v>
      </c>
      <c r="D774">
        <f t="shared" si="24"/>
        <v>695297.79</v>
      </c>
      <c r="E774">
        <f t="shared" si="25"/>
        <v>1.4980658964550591</v>
      </c>
    </row>
    <row r="775" spans="1:5" x14ac:dyDescent="0.35">
      <c r="A775" t="s">
        <v>805</v>
      </c>
      <c r="B775">
        <f>IF(Final_Payroll!B775="Sales",Earnings!B775*3,
IF(Final_Payroll!B775="IT",Earnings!B775*2,
IF(Final_Payroll!B775="Finance",Earnings!B775*1.5,
IF(Final_Payroll!B775="HR",Earnings!B775*1.2,
Earnings!B775*1.3))))</f>
        <v>5842018.6500000004</v>
      </c>
      <c r="C775">
        <f>Earnings!B775 + Deductions!B775 + Deductions!C775 + Overtime!D775</f>
        <v>1949139.55</v>
      </c>
      <c r="D775">
        <f t="shared" si="24"/>
        <v>3892879.1000000006</v>
      </c>
      <c r="E775">
        <f t="shared" si="25"/>
        <v>2.9972295467505137</v>
      </c>
    </row>
    <row r="776" spans="1:5" x14ac:dyDescent="0.35">
      <c r="A776" t="s">
        <v>806</v>
      </c>
      <c r="B776">
        <f>IF(Final_Payroll!B776="Sales",Earnings!B776*3,
IF(Final_Payroll!B776="IT",Earnings!B776*2,
IF(Final_Payroll!B776="Finance",Earnings!B776*1.5,
IF(Final_Payroll!B776="HR",Earnings!B776*1.2,
Earnings!B776*1.3))))</f>
        <v>978148.08</v>
      </c>
      <c r="C776">
        <f>Earnings!B776 + Deductions!B776 + Deductions!C776 + Overtime!D776</f>
        <v>858055.78079999995</v>
      </c>
      <c r="D776">
        <f t="shared" si="24"/>
        <v>120092.29920000001</v>
      </c>
      <c r="E776">
        <f t="shared" si="25"/>
        <v>1.139958615613583</v>
      </c>
    </row>
    <row r="777" spans="1:5" x14ac:dyDescent="0.35">
      <c r="A777" t="s">
        <v>807</v>
      </c>
      <c r="B777">
        <f>IF(Final_Payroll!B777="Sales",Earnings!B777*3,
IF(Final_Payroll!B777="IT",Earnings!B777*2,
IF(Final_Payroll!B777="Finance",Earnings!B777*1.5,
IF(Final_Payroll!B777="HR",Earnings!B777*1.2,
Earnings!B777*1.3))))</f>
        <v>1873085.5499999998</v>
      </c>
      <c r="C777">
        <f>Earnings!B777 + Deductions!B777 + Deductions!C777 + Overtime!D777</f>
        <v>1512755.6769999999</v>
      </c>
      <c r="D777">
        <f t="shared" si="24"/>
        <v>360329.87299999991</v>
      </c>
      <c r="E777">
        <f t="shared" si="25"/>
        <v>1.2381943617720099</v>
      </c>
    </row>
    <row r="778" spans="1:5" x14ac:dyDescent="0.35">
      <c r="A778" t="s">
        <v>808</v>
      </c>
      <c r="B778">
        <f>IF(Final_Payroll!B778="Sales",Earnings!B778*3,
IF(Final_Payroll!B778="IT",Earnings!B778*2,
IF(Final_Payroll!B778="Finance",Earnings!B778*1.5,
IF(Final_Payroll!B778="HR",Earnings!B778*1.2,
Earnings!B778*1.3))))</f>
        <v>2865872.0999999996</v>
      </c>
      <c r="C778">
        <f>Earnings!B778 + Deductions!B778 + Deductions!C778 + Overtime!D778</f>
        <v>2046122.098</v>
      </c>
      <c r="D778">
        <f t="shared" si="24"/>
        <v>819750.00199999963</v>
      </c>
      <c r="E778">
        <f t="shared" si="25"/>
        <v>1.4006359164984687</v>
      </c>
    </row>
    <row r="779" spans="1:5" x14ac:dyDescent="0.35">
      <c r="A779" t="s">
        <v>809</v>
      </c>
      <c r="B779">
        <f>IF(Final_Payroll!B779="Sales",Earnings!B779*3,
IF(Final_Payroll!B779="IT",Earnings!B779*2,
IF(Final_Payroll!B779="Finance",Earnings!B779*1.5,
IF(Final_Payroll!B779="HR",Earnings!B779*1.2,
Earnings!B779*1.3))))</f>
        <v>643905.6</v>
      </c>
      <c r="C779">
        <f>Earnings!B779 + Deductions!B779 + Deductions!C779 + Overtime!D779</f>
        <v>546643.19999999995</v>
      </c>
      <c r="D779">
        <f t="shared" si="24"/>
        <v>97262.400000000023</v>
      </c>
      <c r="E779">
        <f t="shared" si="25"/>
        <v>1.1779266622176952</v>
      </c>
    </row>
    <row r="780" spans="1:5" x14ac:dyDescent="0.35">
      <c r="A780" t="s">
        <v>810</v>
      </c>
      <c r="B780">
        <f>IF(Final_Payroll!B780="Sales",Earnings!B780*3,
IF(Final_Payroll!B780="IT",Earnings!B780*2,
IF(Final_Payroll!B780="Finance",Earnings!B780*1.5,
IF(Final_Payroll!B780="HR",Earnings!B780*1.2,
Earnings!B780*1.3))))</f>
        <v>3330038.04</v>
      </c>
      <c r="C780">
        <f>Earnings!B780 + Deductions!B780 + Deductions!C780 + Overtime!D780</f>
        <v>1212823.8334249998</v>
      </c>
      <c r="D780">
        <f t="shared" si="24"/>
        <v>2117214.2065750002</v>
      </c>
      <c r="E780">
        <f t="shared" si="25"/>
        <v>2.7456898093732316</v>
      </c>
    </row>
    <row r="781" spans="1:5" x14ac:dyDescent="0.35">
      <c r="A781" t="s">
        <v>811</v>
      </c>
      <c r="B781">
        <f>IF(Final_Payroll!B781="Sales",Earnings!B781*3,
IF(Final_Payroll!B781="IT",Earnings!B781*2,
IF(Final_Payroll!B781="Finance",Earnings!B781*1.5,
IF(Final_Payroll!B781="HR",Earnings!B781*1.2,
Earnings!B781*1.3))))</f>
        <v>792260.55999999994</v>
      </c>
      <c r="C781">
        <f>Earnings!B781 + Deductions!B781 + Deductions!C781 + Overtime!D781</f>
        <v>611231.19999999995</v>
      </c>
      <c r="D781">
        <f t="shared" si="24"/>
        <v>181029.36</v>
      </c>
      <c r="E781">
        <f t="shared" si="25"/>
        <v>1.2961716613942482</v>
      </c>
    </row>
    <row r="782" spans="1:5" x14ac:dyDescent="0.35">
      <c r="A782" t="s">
        <v>812</v>
      </c>
      <c r="B782">
        <f>IF(Final_Payroll!B782="Sales",Earnings!B782*3,
IF(Final_Payroll!B782="IT",Earnings!B782*2,
IF(Final_Payroll!B782="Finance",Earnings!B782*1.5,
IF(Final_Payroll!B782="HR",Earnings!B782*1.2,
Earnings!B782*1.3))))</f>
        <v>1911108</v>
      </c>
      <c r="C782">
        <f>Earnings!B782 + Deductions!B782 + Deductions!C782 + Overtime!D782</f>
        <v>957354</v>
      </c>
      <c r="D782">
        <f t="shared" si="24"/>
        <v>953754</v>
      </c>
      <c r="E782">
        <f t="shared" si="25"/>
        <v>1.996239635495334</v>
      </c>
    </row>
    <row r="783" spans="1:5" x14ac:dyDescent="0.35">
      <c r="A783" t="s">
        <v>813</v>
      </c>
      <c r="B783">
        <f>IF(Final_Payroll!B783="Sales",Earnings!B783*3,
IF(Final_Payroll!B783="IT",Earnings!B783*2,
IF(Final_Payroll!B783="Finance",Earnings!B783*1.5,
IF(Final_Payroll!B783="HR",Earnings!B783*1.2,
Earnings!B783*1.3))))</f>
        <v>2846168.08</v>
      </c>
      <c r="C783">
        <f>Earnings!B783 + Deductions!B783 + Deductions!C783 + Overtime!D783</f>
        <v>1424884.04</v>
      </c>
      <c r="D783">
        <f t="shared" si="24"/>
        <v>1421284.04</v>
      </c>
      <c r="E783">
        <f t="shared" si="25"/>
        <v>1.9974734786137405</v>
      </c>
    </row>
    <row r="784" spans="1:5" x14ac:dyDescent="0.35">
      <c r="A784" t="s">
        <v>814</v>
      </c>
      <c r="B784">
        <f>IF(Final_Payroll!B784="Sales",Earnings!B784*3,
IF(Final_Payroll!B784="IT",Earnings!B784*2,
IF(Final_Payroll!B784="Finance",Earnings!B784*1.5,
IF(Final_Payroll!B784="HR",Earnings!B784*1.2,
Earnings!B784*1.3))))</f>
        <v>1292591.3</v>
      </c>
      <c r="C784">
        <f>Earnings!B784 + Deductions!B784 + Deductions!C784 + Overtime!D784</f>
        <v>1051781.8559999999</v>
      </c>
      <c r="D784">
        <f t="shared" si="24"/>
        <v>240809.44400000013</v>
      </c>
      <c r="E784">
        <f t="shared" si="25"/>
        <v>1.228953791726181</v>
      </c>
    </row>
    <row r="785" spans="1:5" x14ac:dyDescent="0.35">
      <c r="A785" t="s">
        <v>815</v>
      </c>
      <c r="B785">
        <f>IF(Final_Payroll!B785="Sales",Earnings!B785*3,
IF(Final_Payroll!B785="IT",Earnings!B785*2,
IF(Final_Payroll!B785="Finance",Earnings!B785*1.5,
IF(Final_Payroll!B785="HR",Earnings!B785*1.2,
Earnings!B785*1.3))))</f>
        <v>1001078.3999999999</v>
      </c>
      <c r="C785">
        <f>Earnings!B785 + Deductions!B785 + Deductions!C785 + Overtime!D785</f>
        <v>836032</v>
      </c>
      <c r="D785">
        <f t="shared" si="24"/>
        <v>165046.39999999991</v>
      </c>
      <c r="E785">
        <f t="shared" si="25"/>
        <v>1.197416366837633</v>
      </c>
    </row>
    <row r="786" spans="1:5" x14ac:dyDescent="0.35">
      <c r="A786" t="s">
        <v>816</v>
      </c>
      <c r="B786">
        <f>IF(Final_Payroll!B786="Sales",Earnings!B786*3,
IF(Final_Payroll!B786="IT",Earnings!B786*2,
IF(Final_Payroll!B786="Finance",Earnings!B786*1.5,
IF(Final_Payroll!B786="HR",Earnings!B786*1.2,
Earnings!B786*1.3))))</f>
        <v>1370188.287</v>
      </c>
      <c r="C786">
        <f>Earnings!B786 + Deductions!B786 + Deductions!C786 + Overtime!D786</f>
        <v>1127462.378</v>
      </c>
      <c r="D786">
        <f t="shared" si="24"/>
        <v>242725.90899999999</v>
      </c>
      <c r="E786">
        <f t="shared" si="25"/>
        <v>1.2152851516256979</v>
      </c>
    </row>
    <row r="787" spans="1:5" x14ac:dyDescent="0.35">
      <c r="A787" t="s">
        <v>817</v>
      </c>
      <c r="B787">
        <f>IF(Final_Payroll!B787="Sales",Earnings!B787*3,
IF(Final_Payroll!B787="IT",Earnings!B787*2,
IF(Final_Payroll!B787="Finance",Earnings!B787*1.5,
IF(Final_Payroll!B787="HR",Earnings!B787*1.2,
Earnings!B787*1.3))))</f>
        <v>1415957.976</v>
      </c>
      <c r="C787">
        <f>Earnings!B787 + Deductions!B787 + Deductions!C787 + Overtime!D787</f>
        <v>1394158.6754999999</v>
      </c>
      <c r="D787">
        <f t="shared" si="24"/>
        <v>21799.300500000129</v>
      </c>
      <c r="E787">
        <f t="shared" si="25"/>
        <v>1.015636168883131</v>
      </c>
    </row>
    <row r="788" spans="1:5" x14ac:dyDescent="0.35">
      <c r="A788" t="s">
        <v>818</v>
      </c>
      <c r="B788">
        <f>IF(Final_Payroll!B788="Sales",Earnings!B788*3,
IF(Final_Payroll!B788="IT",Earnings!B788*2,
IF(Final_Payroll!B788="Finance",Earnings!B788*1.5,
IF(Final_Payroll!B788="HR",Earnings!B788*1.2,
Earnings!B788*1.3))))</f>
        <v>1108130.9519999998</v>
      </c>
      <c r="C788">
        <f>Earnings!B788 + Deductions!B788 + Deductions!C788 + Overtime!D788</f>
        <v>1113624.7249</v>
      </c>
      <c r="D788">
        <f t="shared" si="24"/>
        <v>-5493.7729000002146</v>
      </c>
      <c r="E788">
        <f t="shared" si="25"/>
        <v>0.99506676461364174</v>
      </c>
    </row>
    <row r="789" spans="1:5" x14ac:dyDescent="0.35">
      <c r="A789" t="s">
        <v>819</v>
      </c>
      <c r="B789">
        <f>IF(Final_Payroll!B789="Sales",Earnings!B789*3,
IF(Final_Payroll!B789="IT",Earnings!B789*2,
IF(Final_Payroll!B789="Finance",Earnings!B789*1.5,
IF(Final_Payroll!B789="HR",Earnings!B789*1.2,
Earnings!B789*1.3))))</f>
        <v>3799368.24</v>
      </c>
      <c r="C789">
        <f>Earnings!B789 + Deductions!B789 + Deductions!C789 + Overtime!D789</f>
        <v>1901484.12</v>
      </c>
      <c r="D789">
        <f t="shared" si="24"/>
        <v>1897884.12</v>
      </c>
      <c r="E789">
        <f t="shared" si="25"/>
        <v>1.998106742011603</v>
      </c>
    </row>
    <row r="790" spans="1:5" x14ac:dyDescent="0.35">
      <c r="A790" t="s">
        <v>820</v>
      </c>
      <c r="B790">
        <f>IF(Final_Payroll!B790="Sales",Earnings!B790*3,
IF(Final_Payroll!B790="IT",Earnings!B790*2,
IF(Final_Payroll!B790="Finance",Earnings!B790*1.5,
IF(Final_Payroll!B790="HR",Earnings!B790*1.2,
Earnings!B790*1.3))))</f>
        <v>681991.77599999995</v>
      </c>
      <c r="C790">
        <f>Earnings!B790 + Deductions!B790 + Deductions!C790 + Overtime!D790</f>
        <v>604226.06849999994</v>
      </c>
      <c r="D790">
        <f t="shared" si="24"/>
        <v>77765.707500000019</v>
      </c>
      <c r="E790">
        <f t="shared" si="25"/>
        <v>1.1287029996786708</v>
      </c>
    </row>
    <row r="791" spans="1:5" x14ac:dyDescent="0.35">
      <c r="A791" t="s">
        <v>821</v>
      </c>
      <c r="B791">
        <f>IF(Final_Payroll!B791="Sales",Earnings!B791*3,
IF(Final_Payroll!B791="IT",Earnings!B791*2,
IF(Final_Payroll!B791="Finance",Earnings!B791*1.5,
IF(Final_Payroll!B791="HR",Earnings!B791*1.2,
Earnings!B791*1.3))))</f>
        <v>1183439.2439999999</v>
      </c>
      <c r="C791">
        <f>Earnings!B791 + Deductions!B791 + Deductions!C791 + Overtime!D791</f>
        <v>950372.07074999996</v>
      </c>
      <c r="D791">
        <f t="shared" si="24"/>
        <v>233067.17324999999</v>
      </c>
      <c r="E791">
        <f t="shared" si="25"/>
        <v>1.2452378183484196</v>
      </c>
    </row>
    <row r="792" spans="1:5" x14ac:dyDescent="0.35">
      <c r="A792" t="s">
        <v>822</v>
      </c>
      <c r="B792">
        <f>IF(Final_Payroll!B792="Sales",Earnings!B792*3,
IF(Final_Payroll!B792="IT",Earnings!B792*2,
IF(Final_Payroll!B792="Finance",Earnings!B792*1.5,
IF(Final_Payroll!B792="HR",Earnings!B792*1.2,
Earnings!B792*1.3))))</f>
        <v>2068633.3199999998</v>
      </c>
      <c r="C792">
        <f>Earnings!B792 + Deductions!B792 + Deductions!C792 + Overtime!D792</f>
        <v>1380888.88</v>
      </c>
      <c r="D792">
        <f t="shared" si="24"/>
        <v>687744.44</v>
      </c>
      <c r="E792">
        <f t="shared" si="25"/>
        <v>1.4980447376765029</v>
      </c>
    </row>
    <row r="793" spans="1:5" x14ac:dyDescent="0.35">
      <c r="A793" t="s">
        <v>823</v>
      </c>
      <c r="B793">
        <f>IF(Final_Payroll!B793="Sales",Earnings!B793*3,
IF(Final_Payroll!B793="IT",Earnings!B793*2,
IF(Final_Payroll!B793="Finance",Earnings!B793*1.5,
IF(Final_Payroll!B793="HR",Earnings!B793*1.2,
Earnings!B793*1.3))))</f>
        <v>4057024.02</v>
      </c>
      <c r="C793">
        <f>Earnings!B793 + Deductions!B793 + Deductions!C793 + Overtime!D793</f>
        <v>2257505.3539999998</v>
      </c>
      <c r="D793">
        <f t="shared" si="24"/>
        <v>1799518.6660000002</v>
      </c>
      <c r="E793">
        <f t="shared" si="25"/>
        <v>1.7971270866806548</v>
      </c>
    </row>
    <row r="794" spans="1:5" x14ac:dyDescent="0.35">
      <c r="A794" t="s">
        <v>824</v>
      </c>
      <c r="B794">
        <f>IF(Final_Payroll!B794="Sales",Earnings!B794*3,
IF(Final_Payroll!B794="IT",Earnings!B794*2,
IF(Final_Payroll!B794="Finance",Earnings!B794*1.5,
IF(Final_Payroll!B794="HR",Earnings!B794*1.2,
Earnings!B794*1.3))))</f>
        <v>1543168.1980000001</v>
      </c>
      <c r="C794">
        <f>Earnings!B794 + Deductions!B794 + Deductions!C794 + Overtime!D794</f>
        <v>1188852.46</v>
      </c>
      <c r="D794">
        <f t="shared" si="24"/>
        <v>354315.73800000013</v>
      </c>
      <c r="E794">
        <f t="shared" si="25"/>
        <v>1.2980317153904868</v>
      </c>
    </row>
    <row r="795" spans="1:5" x14ac:dyDescent="0.35">
      <c r="A795" t="s">
        <v>825</v>
      </c>
      <c r="B795">
        <f>IF(Final_Payroll!B795="Sales",Earnings!B795*3,
IF(Final_Payroll!B795="IT",Earnings!B795*2,
IF(Final_Payroll!B795="Finance",Earnings!B795*1.5,
IF(Final_Payroll!B795="HR",Earnings!B795*1.2,
Earnings!B795*1.3))))</f>
        <v>920304.21600000001</v>
      </c>
      <c r="C795">
        <f>Earnings!B795 + Deductions!B795 + Deductions!C795 + Overtime!D795</f>
        <v>828657.94259999995</v>
      </c>
      <c r="D795">
        <f t="shared" si="24"/>
        <v>91646.273400000064</v>
      </c>
      <c r="E795">
        <f t="shared" si="25"/>
        <v>1.1105960236288213</v>
      </c>
    </row>
    <row r="796" spans="1:5" x14ac:dyDescent="0.35">
      <c r="A796" t="s">
        <v>826</v>
      </c>
      <c r="B796">
        <f>IF(Final_Payroll!B796="Sales",Earnings!B796*3,
IF(Final_Payroll!B796="IT",Earnings!B796*2,
IF(Final_Payroll!B796="Finance",Earnings!B796*1.5,
IF(Final_Payroll!B796="HR",Earnings!B796*1.2,
Earnings!B796*1.3))))</f>
        <v>1205528.112</v>
      </c>
      <c r="C796">
        <f>Earnings!B796 + Deductions!B796 + Deductions!C796 + Overtime!D796</f>
        <v>1006406.76</v>
      </c>
      <c r="D796">
        <f t="shared" si="24"/>
        <v>199121.35199999996</v>
      </c>
      <c r="E796">
        <f t="shared" si="25"/>
        <v>1.1978537505054119</v>
      </c>
    </row>
    <row r="797" spans="1:5" x14ac:dyDescent="0.35">
      <c r="A797" t="s">
        <v>827</v>
      </c>
      <c r="B797">
        <f>IF(Final_Payroll!B797="Sales",Earnings!B797*3,
IF(Final_Payroll!B797="IT",Earnings!B797*2,
IF(Final_Payroll!B797="Finance",Earnings!B797*1.5,
IF(Final_Payroll!B797="HR",Earnings!B797*1.2,
Earnings!B797*1.3))))</f>
        <v>746431.41600000008</v>
      </c>
      <c r="C797">
        <f>Earnings!B797 + Deductions!B797 + Deductions!C797 + Overtime!D797</f>
        <v>646219.12230000005</v>
      </c>
      <c r="D797">
        <f t="shared" si="24"/>
        <v>100212.29370000004</v>
      </c>
      <c r="E797">
        <f t="shared" si="25"/>
        <v>1.1550747884762804</v>
      </c>
    </row>
    <row r="798" spans="1:5" x14ac:dyDescent="0.35">
      <c r="A798" t="s">
        <v>828</v>
      </c>
      <c r="B798">
        <f>IF(Final_Payroll!B798="Sales",Earnings!B798*3,
IF(Final_Payroll!B798="IT",Earnings!B798*2,
IF(Final_Payroll!B798="Finance",Earnings!B798*1.5,
IF(Final_Payroll!B798="HR",Earnings!B798*1.2,
Earnings!B798*1.3))))</f>
        <v>2215187.0999999996</v>
      </c>
      <c r="C798">
        <f>Earnings!B798 + Deductions!B798 + Deductions!C798 + Overtime!D798</f>
        <v>1478591.4</v>
      </c>
      <c r="D798">
        <f t="shared" si="24"/>
        <v>736595.69999999972</v>
      </c>
      <c r="E798">
        <f t="shared" si="25"/>
        <v>1.4981739377085515</v>
      </c>
    </row>
    <row r="799" spans="1:5" x14ac:dyDescent="0.35">
      <c r="A799" t="s">
        <v>829</v>
      </c>
      <c r="B799">
        <f>IF(Final_Payroll!B799="Sales",Earnings!B799*3,
IF(Final_Payroll!B799="IT",Earnings!B799*2,
IF(Final_Payroll!B799="Finance",Earnings!B799*1.5,
IF(Final_Payroll!B799="HR",Earnings!B799*1.2,
Earnings!B799*1.3))))</f>
        <v>4669620.6899999995</v>
      </c>
      <c r="C799">
        <f>Earnings!B799 + Deductions!B799 + Deductions!C799 + Overtime!D799</f>
        <v>1717107.33295</v>
      </c>
      <c r="D799">
        <f t="shared" si="24"/>
        <v>2952513.3570499998</v>
      </c>
      <c r="E799">
        <f t="shared" si="25"/>
        <v>2.7194693077092422</v>
      </c>
    </row>
    <row r="800" spans="1:5" x14ac:dyDescent="0.35">
      <c r="A800" t="s">
        <v>830</v>
      </c>
      <c r="B800">
        <f>IF(Final_Payroll!B800="Sales",Earnings!B800*3,
IF(Final_Payroll!B800="IT",Earnings!B800*2,
IF(Final_Payroll!B800="Finance",Earnings!B800*1.5,
IF(Final_Payroll!B800="HR",Earnings!B800*1.2,
Earnings!B800*1.3))))</f>
        <v>1484241</v>
      </c>
      <c r="C800">
        <f>Earnings!B800 + Deductions!B800 + Deductions!C800 + Overtime!D800</f>
        <v>1060558.58</v>
      </c>
      <c r="D800">
        <f t="shared" si="24"/>
        <v>423682.41999999993</v>
      </c>
      <c r="E800">
        <f t="shared" si="25"/>
        <v>1.3994898801346738</v>
      </c>
    </row>
    <row r="801" spans="1:5" x14ac:dyDescent="0.35">
      <c r="A801" t="s">
        <v>831</v>
      </c>
      <c r="B801">
        <f>IF(Final_Payroll!B801="Sales",Earnings!B801*3,
IF(Final_Payroll!B801="IT",Earnings!B801*2,
IF(Final_Payroll!B801="Finance",Earnings!B801*1.5,
IF(Final_Payroll!B801="HR",Earnings!B801*1.2,
Earnings!B801*1.3))))</f>
        <v>2322756</v>
      </c>
      <c r="C801">
        <f>Earnings!B801 + Deductions!B801 + Deductions!C801 + Overtime!D801</f>
        <v>1163178</v>
      </c>
      <c r="D801">
        <f t="shared" si="24"/>
        <v>1159578</v>
      </c>
      <c r="E801">
        <f t="shared" si="25"/>
        <v>1.9969050308723171</v>
      </c>
    </row>
    <row r="802" spans="1:5" x14ac:dyDescent="0.35">
      <c r="A802" t="s">
        <v>832</v>
      </c>
      <c r="B802">
        <f>IF(Final_Payroll!B802="Sales",Earnings!B802*3,
IF(Final_Payroll!B802="IT",Earnings!B802*2,
IF(Final_Payroll!B802="Finance",Earnings!B802*1.5,
IF(Final_Payroll!B802="HR",Earnings!B802*1.2,
Earnings!B802*1.3))))</f>
        <v>1643552.3850000002</v>
      </c>
      <c r="C802">
        <f>Earnings!B802 + Deductions!B802 + Deductions!C802 + Overtime!D802</f>
        <v>1097501.5900000001</v>
      </c>
      <c r="D802">
        <f t="shared" si="24"/>
        <v>546050.79500000016</v>
      </c>
      <c r="E802">
        <f t="shared" si="25"/>
        <v>1.4975398668898512</v>
      </c>
    </row>
    <row r="803" spans="1:5" x14ac:dyDescent="0.35">
      <c r="A803" t="s">
        <v>833</v>
      </c>
      <c r="B803">
        <f>IF(Final_Payroll!B803="Sales",Earnings!B803*3,
IF(Final_Payroll!B803="IT",Earnings!B803*2,
IF(Final_Payroll!B803="Finance",Earnings!B803*1.5,
IF(Final_Payroll!B803="HR",Earnings!B803*1.2,
Earnings!B803*1.3))))</f>
        <v>3087927</v>
      </c>
      <c r="C803">
        <f>Earnings!B803 + Deductions!B803 + Deductions!C803 + Overtime!D803</f>
        <v>1031109</v>
      </c>
      <c r="D803">
        <f t="shared" si="24"/>
        <v>2056818</v>
      </c>
      <c r="E803">
        <f t="shared" si="25"/>
        <v>2.9947629203120134</v>
      </c>
    </row>
    <row r="804" spans="1:5" x14ac:dyDescent="0.35">
      <c r="A804" t="s">
        <v>834</v>
      </c>
      <c r="B804">
        <f>IF(Final_Payroll!B804="Sales",Earnings!B804*3,
IF(Final_Payroll!B804="IT",Earnings!B804*2,
IF(Final_Payroll!B804="Finance",Earnings!B804*1.5,
IF(Final_Payroll!B804="HR",Earnings!B804*1.2,
Earnings!B804*1.3))))</f>
        <v>2301469.2400000002</v>
      </c>
      <c r="C804">
        <f>Earnings!B804 + Deductions!B804 + Deductions!C804 + Overtime!D804</f>
        <v>1152534.6200000001</v>
      </c>
      <c r="D804">
        <f t="shared" si="24"/>
        <v>1148934.6200000001</v>
      </c>
      <c r="E804">
        <f t="shared" si="25"/>
        <v>1.9968764495768465</v>
      </c>
    </row>
    <row r="805" spans="1:5" x14ac:dyDescent="0.35">
      <c r="A805" t="s">
        <v>835</v>
      </c>
      <c r="B805">
        <f>IF(Final_Payroll!B805="Sales",Earnings!B805*3,
IF(Final_Payroll!B805="IT",Earnings!B805*2,
IF(Final_Payroll!B805="Finance",Earnings!B805*1.5,
IF(Final_Payroll!B805="HR",Earnings!B805*1.2,
Earnings!B805*1.3))))</f>
        <v>2701381.62</v>
      </c>
      <c r="C805">
        <f>Earnings!B805 + Deductions!B805 + Deductions!C805 + Overtime!D805</f>
        <v>902260.54</v>
      </c>
      <c r="D805">
        <f t="shared" si="24"/>
        <v>1799121.08</v>
      </c>
      <c r="E805">
        <f t="shared" si="25"/>
        <v>2.994015032509346</v>
      </c>
    </row>
    <row r="806" spans="1:5" x14ac:dyDescent="0.35">
      <c r="A806" t="s">
        <v>836</v>
      </c>
      <c r="B806">
        <f>IF(Final_Payroll!B806="Sales",Earnings!B806*3,
IF(Final_Payroll!B806="IT",Earnings!B806*2,
IF(Final_Payroll!B806="Finance",Earnings!B806*1.5,
IF(Final_Payroll!B806="HR",Earnings!B806*1.2,
Earnings!B806*1.3))))</f>
        <v>768612.62399999995</v>
      </c>
      <c r="C806">
        <f>Earnings!B806 + Deductions!B806 + Deductions!C806 + Overtime!D806</f>
        <v>699463.76549999998</v>
      </c>
      <c r="D806">
        <f t="shared" si="24"/>
        <v>69148.858499999973</v>
      </c>
      <c r="E806">
        <f t="shared" si="25"/>
        <v>1.0988598150621427</v>
      </c>
    </row>
    <row r="807" spans="1:5" x14ac:dyDescent="0.35">
      <c r="A807" t="s">
        <v>837</v>
      </c>
      <c r="B807">
        <f>IF(Final_Payroll!B807="Sales",Earnings!B807*3,
IF(Final_Payroll!B807="IT",Earnings!B807*2,
IF(Final_Payroll!B807="Finance",Earnings!B807*1.5,
IF(Final_Payroll!B807="HR",Earnings!B807*1.2,
Earnings!B807*1.3))))</f>
        <v>1704138.709</v>
      </c>
      <c r="C807">
        <f>Earnings!B807 + Deductions!B807 + Deductions!C807 + Overtime!D807</f>
        <v>1358556.5873749999</v>
      </c>
      <c r="D807">
        <f t="shared" si="24"/>
        <v>345582.12162500015</v>
      </c>
      <c r="E807">
        <f t="shared" si="25"/>
        <v>1.2543744771741405</v>
      </c>
    </row>
    <row r="808" spans="1:5" x14ac:dyDescent="0.35">
      <c r="A808" t="s">
        <v>838</v>
      </c>
      <c r="B808">
        <f>IF(Final_Payroll!B808="Sales",Earnings!B808*3,
IF(Final_Payroll!B808="IT",Earnings!B808*2,
IF(Final_Payroll!B808="Finance",Earnings!B808*1.5,
IF(Final_Payroll!B808="HR",Earnings!B808*1.2,
Earnings!B808*1.3))))</f>
        <v>1366369.29</v>
      </c>
      <c r="C808">
        <f>Earnings!B808 + Deductions!B808 + Deductions!C808 + Overtime!D808</f>
        <v>1052853.3</v>
      </c>
      <c r="D808">
        <f t="shared" si="24"/>
        <v>313515.99</v>
      </c>
      <c r="E808">
        <f t="shared" si="25"/>
        <v>1.2977774681429977</v>
      </c>
    </row>
    <row r="809" spans="1:5" x14ac:dyDescent="0.35">
      <c r="A809" t="s">
        <v>839</v>
      </c>
      <c r="B809">
        <f>IF(Final_Payroll!B809="Sales",Earnings!B809*3,
IF(Final_Payroll!B809="IT",Earnings!B809*2,
IF(Final_Payroll!B809="Finance",Earnings!B809*1.5,
IF(Final_Payroll!B809="HR",Earnings!B809*1.2,
Earnings!B809*1.3))))</f>
        <v>823564.79999999993</v>
      </c>
      <c r="C809">
        <f>Earnings!B809 + Deductions!B809 + Deductions!C809 + Overtime!D809</f>
        <v>774578.304</v>
      </c>
      <c r="D809">
        <f t="shared" si="24"/>
        <v>48986.495999999926</v>
      </c>
      <c r="E809">
        <f t="shared" si="25"/>
        <v>1.0632427938492839</v>
      </c>
    </row>
    <row r="810" spans="1:5" x14ac:dyDescent="0.35">
      <c r="A810" t="s">
        <v>840</v>
      </c>
      <c r="B810">
        <f>IF(Final_Payroll!B810="Sales",Earnings!B810*3,
IF(Final_Payroll!B810="IT",Earnings!B810*2,
IF(Final_Payroll!B810="Finance",Earnings!B810*1.5,
IF(Final_Payroll!B810="HR",Earnings!B810*1.2,
Earnings!B810*1.3))))</f>
        <v>2177613</v>
      </c>
      <c r="C810">
        <f>Earnings!B810 + Deductions!B810 + Deductions!C810 + Overtime!D810</f>
        <v>782111.32499999995</v>
      </c>
      <c r="D810">
        <f t="shared" si="24"/>
        <v>1395501.675</v>
      </c>
      <c r="E810">
        <f t="shared" si="25"/>
        <v>2.784274987962871</v>
      </c>
    </row>
    <row r="811" spans="1:5" x14ac:dyDescent="0.35">
      <c r="A811" t="s">
        <v>841</v>
      </c>
      <c r="B811">
        <f>IF(Final_Payroll!B811="Sales",Earnings!B811*3,
IF(Final_Payroll!B811="IT",Earnings!B811*2,
IF(Final_Payroll!B811="Finance",Earnings!B811*1.5,
IF(Final_Payroll!B811="HR",Earnings!B811*1.2,
Earnings!B811*1.3))))</f>
        <v>1307640</v>
      </c>
      <c r="C811">
        <f>Earnings!B811 + Deductions!B811 + Deductions!C811 + Overtime!D811</f>
        <v>1341586.1499999999</v>
      </c>
      <c r="D811">
        <f t="shared" si="24"/>
        <v>-33946.149999999907</v>
      </c>
      <c r="E811">
        <f t="shared" si="25"/>
        <v>0.9746970032450023</v>
      </c>
    </row>
    <row r="812" spans="1:5" x14ac:dyDescent="0.35">
      <c r="A812" t="s">
        <v>842</v>
      </c>
      <c r="B812">
        <f>IF(Final_Payroll!B812="Sales",Earnings!B812*3,
IF(Final_Payroll!B812="IT",Earnings!B812*2,
IF(Final_Payroll!B812="Finance",Earnings!B812*1.5,
IF(Final_Payroll!B812="HR",Earnings!B812*1.2,
Earnings!B812*1.3))))</f>
        <v>2982492</v>
      </c>
      <c r="C812">
        <f>Earnings!B812 + Deductions!B812 + Deductions!C812 + Overtime!D812</f>
        <v>1103333.7120000001</v>
      </c>
      <c r="D812">
        <f t="shared" si="24"/>
        <v>1879158.2879999999</v>
      </c>
      <c r="E812">
        <f t="shared" si="25"/>
        <v>2.7031640269503519</v>
      </c>
    </row>
    <row r="813" spans="1:5" x14ac:dyDescent="0.35">
      <c r="A813" t="s">
        <v>843</v>
      </c>
      <c r="B813">
        <f>IF(Final_Payroll!B813="Sales",Earnings!B813*3,
IF(Final_Payroll!B813="IT",Earnings!B813*2,
IF(Final_Payroll!B813="Finance",Earnings!B813*1.5,
IF(Final_Payroll!B813="HR",Earnings!B813*1.2,
Earnings!B813*1.3))))</f>
        <v>3619648.1999999997</v>
      </c>
      <c r="C813">
        <f>Earnings!B813 + Deductions!B813 + Deductions!C813 + Overtime!D813</f>
        <v>1208349.3999999999</v>
      </c>
      <c r="D813">
        <f t="shared" si="24"/>
        <v>2411298.7999999998</v>
      </c>
      <c r="E813">
        <f t="shared" si="25"/>
        <v>2.9955310939037996</v>
      </c>
    </row>
    <row r="814" spans="1:5" x14ac:dyDescent="0.35">
      <c r="A814" t="s">
        <v>844</v>
      </c>
      <c r="B814">
        <f>IF(Final_Payroll!B814="Sales",Earnings!B814*3,
IF(Final_Payroll!B814="IT",Earnings!B814*2,
IF(Final_Payroll!B814="Finance",Earnings!B814*1.5,
IF(Final_Payroll!B814="HR",Earnings!B814*1.2,
Earnings!B814*1.3))))</f>
        <v>849539.6</v>
      </c>
      <c r="C814">
        <f>Earnings!B814 + Deductions!B814 + Deductions!C814 + Overtime!D814</f>
        <v>704303.9</v>
      </c>
      <c r="D814">
        <f t="shared" si="24"/>
        <v>145235.69999999995</v>
      </c>
      <c r="E814">
        <f t="shared" si="25"/>
        <v>1.2062116935601237</v>
      </c>
    </row>
    <row r="815" spans="1:5" x14ac:dyDescent="0.35">
      <c r="A815" t="s">
        <v>845</v>
      </c>
      <c r="B815">
        <f>IF(Final_Payroll!B815="Sales",Earnings!B815*3,
IF(Final_Payroll!B815="IT",Earnings!B815*2,
IF(Final_Payroll!B815="Finance",Earnings!B815*1.5,
IF(Final_Payroll!B815="HR",Earnings!B815*1.2,
Earnings!B815*1.3))))</f>
        <v>3813657.78</v>
      </c>
      <c r="C815">
        <f>Earnings!B815 + Deductions!B815 + Deductions!C815 + Overtime!D815</f>
        <v>1908628.89</v>
      </c>
      <c r="D815">
        <f t="shared" si="24"/>
        <v>1905028.89</v>
      </c>
      <c r="E815">
        <f t="shared" si="25"/>
        <v>1.9981138292421006</v>
      </c>
    </row>
    <row r="816" spans="1:5" x14ac:dyDescent="0.35">
      <c r="A816" t="s">
        <v>846</v>
      </c>
      <c r="B816">
        <f>IF(Final_Payroll!B816="Sales",Earnings!B816*3,
IF(Final_Payroll!B816="IT",Earnings!B816*2,
IF(Final_Payroll!B816="Finance",Earnings!B816*1.5,
IF(Final_Payroll!B816="HR",Earnings!B816*1.2,
Earnings!B816*1.3))))</f>
        <v>863863.72800000012</v>
      </c>
      <c r="C816">
        <f>Earnings!B816 + Deductions!B816 + Deductions!C816 + Overtime!D816</f>
        <v>740735.74160000007</v>
      </c>
      <c r="D816">
        <f t="shared" si="24"/>
        <v>123127.98640000005</v>
      </c>
      <c r="E816">
        <f t="shared" si="25"/>
        <v>1.1662239034585287</v>
      </c>
    </row>
    <row r="817" spans="1:5" x14ac:dyDescent="0.35">
      <c r="A817" t="s">
        <v>847</v>
      </c>
      <c r="B817">
        <f>IF(Final_Payroll!B817="Sales",Earnings!B817*3,
IF(Final_Payroll!B817="IT",Earnings!B817*2,
IF(Final_Payroll!B817="Finance",Earnings!B817*1.5,
IF(Final_Payroll!B817="HR",Earnings!B817*1.2,
Earnings!B817*1.3))))</f>
        <v>1095877.44</v>
      </c>
      <c r="C817">
        <f>Earnings!B817 + Deductions!B817 + Deductions!C817 + Overtime!D817</f>
        <v>1008180.7823999999</v>
      </c>
      <c r="D817">
        <f t="shared" si="24"/>
        <v>87696.657600000035</v>
      </c>
      <c r="E817">
        <f t="shared" si="25"/>
        <v>1.0869850518190161</v>
      </c>
    </row>
    <row r="818" spans="1:5" x14ac:dyDescent="0.35">
      <c r="A818" t="s">
        <v>848</v>
      </c>
      <c r="B818">
        <f>IF(Final_Payroll!B818="Sales",Earnings!B818*3,
IF(Final_Payroll!B818="IT",Earnings!B818*2,
IF(Final_Payroll!B818="Finance",Earnings!B818*1.5,
IF(Final_Payroll!B818="HR",Earnings!B818*1.2,
Earnings!B818*1.3))))</f>
        <v>4952885.4000000004</v>
      </c>
      <c r="C818">
        <f>Earnings!B818 + Deductions!B818 + Deductions!C818 + Overtime!D818</f>
        <v>2920287.7219500002</v>
      </c>
      <c r="D818">
        <f t="shared" si="24"/>
        <v>2032597.6780500002</v>
      </c>
      <c r="E818">
        <f t="shared" si="25"/>
        <v>1.6960265123098037</v>
      </c>
    </row>
    <row r="819" spans="1:5" x14ac:dyDescent="0.35">
      <c r="A819" t="s">
        <v>849</v>
      </c>
      <c r="B819">
        <f>IF(Final_Payroll!B819="Sales",Earnings!B819*3,
IF(Final_Payroll!B819="IT",Earnings!B819*2,
IF(Final_Payroll!B819="Finance",Earnings!B819*1.5,
IF(Final_Payroll!B819="HR",Earnings!B819*1.2,
Earnings!B819*1.3))))</f>
        <v>3690813.9000000004</v>
      </c>
      <c r="C819">
        <f>Earnings!B819 + Deductions!B819 + Deductions!C819 + Overtime!D819</f>
        <v>1232071.3</v>
      </c>
      <c r="D819">
        <f t="shared" si="24"/>
        <v>2458742.6000000006</v>
      </c>
      <c r="E819">
        <f t="shared" si="25"/>
        <v>2.995617136767978</v>
      </c>
    </row>
    <row r="820" spans="1:5" x14ac:dyDescent="0.35">
      <c r="A820" t="s">
        <v>850</v>
      </c>
      <c r="B820">
        <f>IF(Final_Payroll!B820="Sales",Earnings!B820*3,
IF(Final_Payroll!B820="IT",Earnings!B820*2,
IF(Final_Payroll!B820="Finance",Earnings!B820*1.5,
IF(Final_Payroll!B820="HR",Earnings!B820*1.2,
Earnings!B820*1.3))))</f>
        <v>3682335.5999999996</v>
      </c>
      <c r="C820">
        <f>Earnings!B820 + Deductions!B820 + Deductions!C820 + Overtime!D820</f>
        <v>1435455.9935999999</v>
      </c>
      <c r="D820">
        <f t="shared" si="24"/>
        <v>2246879.6063999999</v>
      </c>
      <c r="E820">
        <f t="shared" si="25"/>
        <v>2.5652723708826626</v>
      </c>
    </row>
    <row r="821" spans="1:5" x14ac:dyDescent="0.35">
      <c r="A821" t="s">
        <v>851</v>
      </c>
      <c r="B821">
        <f>IF(Final_Payroll!B821="Sales",Earnings!B821*3,
IF(Final_Payroll!B821="IT",Earnings!B821*2,
IF(Final_Payroll!B821="Finance",Earnings!B821*1.5,
IF(Final_Payroll!B821="HR",Earnings!B821*1.2,
Earnings!B821*1.3))))</f>
        <v>2026256.52</v>
      </c>
      <c r="C821">
        <f>Earnings!B821 + Deductions!B821 + Deductions!C821 + Overtime!D821</f>
        <v>1014928.26</v>
      </c>
      <c r="D821">
        <f t="shared" si="24"/>
        <v>1011328.26</v>
      </c>
      <c r="E821">
        <f t="shared" si="25"/>
        <v>1.9964529512657376</v>
      </c>
    </row>
    <row r="822" spans="1:5" x14ac:dyDescent="0.35">
      <c r="A822" t="s">
        <v>852</v>
      </c>
      <c r="B822">
        <f>IF(Final_Payroll!B822="Sales",Earnings!B822*3,
IF(Final_Payroll!B822="IT",Earnings!B822*2,
IF(Final_Payroll!B822="Finance",Earnings!B822*1.5,
IF(Final_Payroll!B822="HR",Earnings!B822*1.2,
Earnings!B822*1.3))))</f>
        <v>1380925.5</v>
      </c>
      <c r="C822">
        <f>Earnings!B822 + Deductions!B822 + Deductions!C822 + Overtime!D822</f>
        <v>922417</v>
      </c>
      <c r="D822">
        <f t="shared" si="24"/>
        <v>458508.5</v>
      </c>
      <c r="E822">
        <f t="shared" si="25"/>
        <v>1.4970729073726958</v>
      </c>
    </row>
    <row r="823" spans="1:5" x14ac:dyDescent="0.35">
      <c r="A823" t="s">
        <v>853</v>
      </c>
      <c r="B823">
        <f>IF(Final_Payroll!B823="Sales",Earnings!B823*3,
IF(Final_Payroll!B823="IT",Earnings!B823*2,
IF(Final_Payroll!B823="Finance",Earnings!B823*1.5,
IF(Final_Payroll!B823="HR",Earnings!B823*1.2,
Earnings!B823*1.3))))</f>
        <v>4866353.6999999993</v>
      </c>
      <c r="C823">
        <f>Earnings!B823 + Deductions!B823 + Deductions!C823 + Overtime!D823</f>
        <v>1623917.9</v>
      </c>
      <c r="D823">
        <f t="shared" si="24"/>
        <v>3242435.7999999993</v>
      </c>
      <c r="E823">
        <f t="shared" si="25"/>
        <v>2.9966747087398935</v>
      </c>
    </row>
    <row r="824" spans="1:5" x14ac:dyDescent="0.35">
      <c r="A824" t="s">
        <v>854</v>
      </c>
      <c r="B824">
        <f>IF(Final_Payroll!B824="Sales",Earnings!B824*3,
IF(Final_Payroll!B824="IT",Earnings!B824*2,
IF(Final_Payroll!B824="Finance",Earnings!B824*1.5,
IF(Final_Payroll!B824="HR",Earnings!B824*1.2,
Earnings!B824*1.3))))</f>
        <v>1545564.6840000001</v>
      </c>
      <c r="C824">
        <f>Earnings!B824 + Deductions!B824 + Deductions!C824 + Overtime!D824</f>
        <v>1355457.069325</v>
      </c>
      <c r="D824">
        <f t="shared" si="24"/>
        <v>190107.61467500008</v>
      </c>
      <c r="E824">
        <f t="shared" si="25"/>
        <v>1.1402535122485813</v>
      </c>
    </row>
    <row r="825" spans="1:5" x14ac:dyDescent="0.35">
      <c r="A825" t="s">
        <v>855</v>
      </c>
      <c r="B825">
        <f>IF(Final_Payroll!B825="Sales",Earnings!B825*3,
IF(Final_Payroll!B825="IT",Earnings!B825*2,
IF(Final_Payroll!B825="Finance",Earnings!B825*1.5,
IF(Final_Payroll!B825="HR",Earnings!B825*1.2,
Earnings!B825*1.3))))</f>
        <v>1642960.4</v>
      </c>
      <c r="C825">
        <f>Earnings!B825 + Deductions!B825 + Deductions!C825 + Overtime!D825</f>
        <v>823280.2</v>
      </c>
      <c r="D825">
        <f t="shared" si="24"/>
        <v>819680.2</v>
      </c>
      <c r="E825">
        <f t="shared" si="25"/>
        <v>1.9956272481714001</v>
      </c>
    </row>
    <row r="826" spans="1:5" x14ac:dyDescent="0.35">
      <c r="A826" t="s">
        <v>856</v>
      </c>
      <c r="B826">
        <f>IF(Final_Payroll!B826="Sales",Earnings!B826*3,
IF(Final_Payroll!B826="IT",Earnings!B826*2,
IF(Final_Payroll!B826="Finance",Earnings!B826*1.5,
IF(Final_Payroll!B826="HR",Earnings!B826*1.2,
Earnings!B826*1.3))))</f>
        <v>4013434.6</v>
      </c>
      <c r="C826">
        <f>Earnings!B826 + Deductions!B826 + Deductions!C826 + Overtime!D826</f>
        <v>2233269.6376</v>
      </c>
      <c r="D826">
        <f t="shared" si="24"/>
        <v>1780164.9624000001</v>
      </c>
      <c r="E826">
        <f t="shared" si="25"/>
        <v>1.7971115231356782</v>
      </c>
    </row>
    <row r="827" spans="1:5" x14ac:dyDescent="0.35">
      <c r="A827" t="s">
        <v>857</v>
      </c>
      <c r="B827">
        <f>IF(Final_Payroll!B827="Sales",Earnings!B827*3,
IF(Final_Payroll!B827="IT",Earnings!B827*2,
IF(Final_Payroll!B827="Finance",Earnings!B827*1.5,
IF(Final_Payroll!B827="HR",Earnings!B827*1.2,
Earnings!B827*1.3))))</f>
        <v>3833635.8899999997</v>
      </c>
      <c r="C827">
        <f>Earnings!B827 + Deductions!B827 + Deductions!C827 + Overtime!D827</f>
        <v>1279678.6299999999</v>
      </c>
      <c r="D827">
        <f t="shared" si="24"/>
        <v>2553957.2599999998</v>
      </c>
      <c r="E827">
        <f t="shared" si="25"/>
        <v>2.9957801905311179</v>
      </c>
    </row>
    <row r="828" spans="1:5" x14ac:dyDescent="0.35">
      <c r="A828" t="s">
        <v>858</v>
      </c>
      <c r="B828">
        <f>IF(Final_Payroll!B828="Sales",Earnings!B828*3,
IF(Final_Payroll!B828="IT",Earnings!B828*2,
IF(Final_Payroll!B828="Finance",Earnings!B828*1.5,
IF(Final_Payroll!B828="HR",Earnings!B828*1.2,
Earnings!B828*1.3))))</f>
        <v>3830910</v>
      </c>
      <c r="C828">
        <f>Earnings!B828 + Deductions!B828 + Deductions!C828 + Overtime!D828</f>
        <v>1438391.25</v>
      </c>
      <c r="D828">
        <f t="shared" si="24"/>
        <v>2392518.75</v>
      </c>
      <c r="E828">
        <f t="shared" si="25"/>
        <v>2.6633296052099871</v>
      </c>
    </row>
    <row r="829" spans="1:5" x14ac:dyDescent="0.35">
      <c r="A829" t="s">
        <v>859</v>
      </c>
      <c r="B829">
        <f>IF(Final_Payroll!B829="Sales",Earnings!B829*3,
IF(Final_Payroll!B829="IT",Earnings!B829*2,
IF(Final_Payroll!B829="Finance",Earnings!B829*1.5,
IF(Final_Payroll!B829="HR",Earnings!B829*1.2,
Earnings!B829*1.3))))</f>
        <v>2079483.12</v>
      </c>
      <c r="C829">
        <f>Earnings!B829 + Deductions!B829 + Deductions!C829 + Overtime!D829</f>
        <v>1041541.56</v>
      </c>
      <c r="D829">
        <f t="shared" si="24"/>
        <v>1037941.56</v>
      </c>
      <c r="E829">
        <f t="shared" si="25"/>
        <v>1.9965435848762483</v>
      </c>
    </row>
    <row r="830" spans="1:5" x14ac:dyDescent="0.35">
      <c r="A830" t="s">
        <v>860</v>
      </c>
      <c r="B830">
        <f>IF(Final_Payroll!B830="Sales",Earnings!B830*3,
IF(Final_Payroll!B830="IT",Earnings!B830*2,
IF(Final_Payroll!B830="Finance",Earnings!B830*1.5,
IF(Final_Payroll!B830="HR",Earnings!B830*1.2,
Earnings!B830*1.3))))</f>
        <v>2848520.8499999996</v>
      </c>
      <c r="C830">
        <f>Earnings!B830 + Deductions!B830 + Deductions!C830 + Overtime!D830</f>
        <v>951306.95</v>
      </c>
      <c r="D830">
        <f t="shared" si="24"/>
        <v>1897213.8999999997</v>
      </c>
      <c r="E830">
        <f t="shared" si="25"/>
        <v>2.9943235987080716</v>
      </c>
    </row>
    <row r="831" spans="1:5" x14ac:dyDescent="0.35">
      <c r="A831" t="s">
        <v>861</v>
      </c>
      <c r="B831">
        <f>IF(Final_Payroll!B831="Sales",Earnings!B831*3,
IF(Final_Payroll!B831="IT",Earnings!B831*2,
IF(Final_Payroll!B831="Finance",Earnings!B831*1.5,
IF(Final_Payroll!B831="HR",Earnings!B831*1.2,
Earnings!B831*1.3))))</f>
        <v>778696.38</v>
      </c>
      <c r="C831">
        <f>Earnings!B831 + Deductions!B831 + Deductions!C831 + Overtime!D831</f>
        <v>715605.01500000001</v>
      </c>
      <c r="D831">
        <f t="shared" si="24"/>
        <v>63091.364999999991</v>
      </c>
      <c r="E831">
        <f t="shared" si="25"/>
        <v>1.0881650682674435</v>
      </c>
    </row>
    <row r="832" spans="1:5" x14ac:dyDescent="0.35">
      <c r="A832" t="s">
        <v>862</v>
      </c>
      <c r="B832">
        <f>IF(Final_Payroll!B832="Sales",Earnings!B832*3,
IF(Final_Payroll!B832="IT",Earnings!B832*2,
IF(Final_Payroll!B832="Finance",Earnings!B832*1.5,
IF(Final_Payroll!B832="HR",Earnings!B832*1.2,
Earnings!B832*1.3))))</f>
        <v>1400183.91</v>
      </c>
      <c r="C832">
        <f>Earnings!B832 + Deductions!B832 + Deductions!C832 + Overtime!D832</f>
        <v>968860.35419999994</v>
      </c>
      <c r="D832">
        <f t="shared" si="24"/>
        <v>431323.55579999997</v>
      </c>
      <c r="E832">
        <f t="shared" si="25"/>
        <v>1.4451865059089442</v>
      </c>
    </row>
    <row r="833" spans="1:5" x14ac:dyDescent="0.35">
      <c r="A833" t="s">
        <v>863</v>
      </c>
      <c r="B833">
        <f>IF(Final_Payroll!B833="Sales",Earnings!B833*3,
IF(Final_Payroll!B833="IT",Earnings!B833*2,
IF(Final_Payroll!B833="Finance",Earnings!B833*1.5,
IF(Final_Payroll!B833="HR",Earnings!B833*1.2,
Earnings!B833*1.3))))</f>
        <v>1296227.8800000001</v>
      </c>
      <c r="C833">
        <f>Earnings!B833 + Deductions!B833 + Deductions!C833 + Overtime!D833</f>
        <v>865951.92</v>
      </c>
      <c r="D833">
        <f t="shared" si="24"/>
        <v>430275.96000000008</v>
      </c>
      <c r="E833">
        <f t="shared" si="25"/>
        <v>1.4968820439823034</v>
      </c>
    </row>
    <row r="834" spans="1:5" x14ac:dyDescent="0.35">
      <c r="A834" t="s">
        <v>864</v>
      </c>
      <c r="B834">
        <f>IF(Final_Payroll!B834="Sales",Earnings!B834*3,
IF(Final_Payroll!B834="IT",Earnings!B834*2,
IF(Final_Payroll!B834="Finance",Earnings!B834*1.5,
IF(Final_Payroll!B834="HR",Earnings!B834*1.2,
Earnings!B834*1.3))))</f>
        <v>2029519.7999999998</v>
      </c>
      <c r="C834">
        <f>Earnings!B834 + Deductions!B834 + Deductions!C834 + Overtime!D834</f>
        <v>1403521.6751999999</v>
      </c>
      <c r="D834">
        <f t="shared" ref="D834:D897" si="26">B834-C834</f>
        <v>625998.12479999987</v>
      </c>
      <c r="E834">
        <f t="shared" ref="E834:E901" si="27">IF(C834=0,0,B834/C834)</f>
        <v>1.4460195634034623</v>
      </c>
    </row>
    <row r="835" spans="1:5" x14ac:dyDescent="0.35">
      <c r="A835" t="s">
        <v>865</v>
      </c>
      <c r="B835">
        <f>IF(Final_Payroll!B835="Sales",Earnings!B835*3,
IF(Final_Payroll!B835="IT",Earnings!B835*2,
IF(Final_Payroll!B835="Finance",Earnings!B835*1.5,
IF(Final_Payroll!B835="HR",Earnings!B835*1.2,
Earnings!B835*1.3))))</f>
        <v>1122337.8659999999</v>
      </c>
      <c r="C835">
        <f>Earnings!B835 + Deductions!B835 + Deductions!C835 + Overtime!D835</f>
        <v>865136.82</v>
      </c>
      <c r="D835">
        <f t="shared" si="26"/>
        <v>257201.04599999997</v>
      </c>
      <c r="E835">
        <f t="shared" si="27"/>
        <v>1.2972952255112664</v>
      </c>
    </row>
    <row r="836" spans="1:5" x14ac:dyDescent="0.35">
      <c r="A836" t="s">
        <v>866</v>
      </c>
      <c r="B836">
        <f>IF(Final_Payroll!B836="Sales",Earnings!B836*3,
IF(Final_Payroll!B836="IT",Earnings!B836*2,
IF(Final_Payroll!B836="Finance",Earnings!B836*1.5,
IF(Final_Payroll!B836="HR",Earnings!B836*1.2,
Earnings!B836*1.3))))</f>
        <v>1877361</v>
      </c>
      <c r="C836">
        <f>Earnings!B836 + Deductions!B836 + Deductions!C836 + Overtime!D836</f>
        <v>1253374</v>
      </c>
      <c r="D836">
        <f t="shared" si="26"/>
        <v>623987</v>
      </c>
      <c r="E836">
        <f t="shared" si="27"/>
        <v>1.497845814577293</v>
      </c>
    </row>
    <row r="837" spans="1:5" x14ac:dyDescent="0.35">
      <c r="A837" t="s">
        <v>867</v>
      </c>
      <c r="B837">
        <f>IF(Final_Payroll!B837="Sales",Earnings!B837*3,
IF(Final_Payroll!B837="IT",Earnings!B837*2,
IF(Final_Payroll!B837="Finance",Earnings!B837*1.5,
IF(Final_Payroll!B837="HR",Earnings!B837*1.2,
Earnings!B837*1.3))))</f>
        <v>942056.76500000013</v>
      </c>
      <c r="C837">
        <f>Earnings!B837 + Deductions!B837 + Deductions!C837 + Overtime!D837</f>
        <v>798924.95500000007</v>
      </c>
      <c r="D837">
        <f t="shared" si="26"/>
        <v>143131.81000000006</v>
      </c>
      <c r="E837">
        <f t="shared" si="27"/>
        <v>1.1791555127978197</v>
      </c>
    </row>
    <row r="838" spans="1:5" x14ac:dyDescent="0.35">
      <c r="A838" t="s">
        <v>868</v>
      </c>
      <c r="B838">
        <f>IF(Final_Payroll!B838="Sales",Earnings!B838*3,
IF(Final_Payroll!B838="IT",Earnings!B838*2,
IF(Final_Payroll!B838="Finance",Earnings!B838*1.5,
IF(Final_Payroll!B838="HR",Earnings!B838*1.2,
Earnings!B838*1.3))))</f>
        <v>3264555.9000000004</v>
      </c>
      <c r="C838">
        <f>Earnings!B838 + Deductions!B838 + Deductions!C838 + Overtime!D838</f>
        <v>1089985.3</v>
      </c>
      <c r="D838">
        <f t="shared" si="26"/>
        <v>2174570.6000000006</v>
      </c>
      <c r="E838">
        <f t="shared" si="27"/>
        <v>2.9950458047461743</v>
      </c>
    </row>
    <row r="839" spans="1:5" x14ac:dyDescent="0.35">
      <c r="A839" t="s">
        <v>869</v>
      </c>
      <c r="B839">
        <f>IF(Final_Payroll!B839="Sales",Earnings!B839*3,
IF(Final_Payroll!B839="IT",Earnings!B839*2,
IF(Final_Payroll!B839="Finance",Earnings!B839*1.5,
IF(Final_Payroll!B839="HR",Earnings!B839*1.2,
Earnings!B839*1.3))))</f>
        <v>1352181</v>
      </c>
      <c r="C839">
        <f>Earnings!B839 + Deductions!B839 + Deductions!C839 + Overtime!D839</f>
        <v>943819.42999999993</v>
      </c>
      <c r="D839">
        <f t="shared" si="26"/>
        <v>408361.57000000007</v>
      </c>
      <c r="E839">
        <f t="shared" si="27"/>
        <v>1.4326691706272672</v>
      </c>
    </row>
    <row r="840" spans="1:5" x14ac:dyDescent="0.35">
      <c r="A840" t="s">
        <v>870</v>
      </c>
      <c r="B840">
        <f>IF(Final_Payroll!B840="Sales",Earnings!B840*3,
IF(Final_Payroll!B840="IT",Earnings!B840*2,
IF(Final_Payroll!B840="Finance",Earnings!B840*1.5,
IF(Final_Payroll!B840="HR",Earnings!B840*1.2,
Earnings!B840*1.3))))</f>
        <v>3039727.6</v>
      </c>
      <c r="C840">
        <f>Earnings!B840 + Deductions!B840 + Deductions!C840 + Overtime!D840</f>
        <v>1830196.1514000001</v>
      </c>
      <c r="D840">
        <f t="shared" si="26"/>
        <v>1209531.4486</v>
      </c>
      <c r="E840">
        <f t="shared" si="27"/>
        <v>1.6608753098266404</v>
      </c>
    </row>
    <row r="841" spans="1:5" x14ac:dyDescent="0.35">
      <c r="A841" t="s">
        <v>871</v>
      </c>
      <c r="B841">
        <f>IF(Final_Payroll!B841="Sales",Earnings!B841*3,
IF(Final_Payroll!B841="IT",Earnings!B841*2,
IF(Final_Payroll!B841="Finance",Earnings!B841*1.5,
IF(Final_Payroll!B841="HR",Earnings!B841*1.2,
Earnings!B841*1.3))))</f>
        <v>966776.20000000007</v>
      </c>
      <c r="C841">
        <f>Earnings!B841 + Deductions!B841 + Deductions!C841 + Overtime!D841</f>
        <v>771502.59</v>
      </c>
      <c r="D841">
        <f t="shared" si="26"/>
        <v>195273.6100000001</v>
      </c>
      <c r="E841">
        <f t="shared" si="27"/>
        <v>1.253108171678335</v>
      </c>
    </row>
    <row r="842" spans="1:5" x14ac:dyDescent="0.35">
      <c r="A842" t="s">
        <v>872</v>
      </c>
      <c r="B842">
        <f>IF(Final_Payroll!B842="Sales",Earnings!B842*3,
IF(Final_Payroll!B842="IT",Earnings!B842*2,
IF(Final_Payroll!B842="Finance",Earnings!B842*1.5,
IF(Final_Payroll!B842="HR",Earnings!B842*1.2,
Earnings!B842*1.3))))</f>
        <v>1985509.5</v>
      </c>
      <c r="C842">
        <f>Earnings!B842 + Deductions!B842 + Deductions!C842 + Overtime!D842</f>
        <v>1029301.16625</v>
      </c>
      <c r="D842">
        <f t="shared" si="26"/>
        <v>956208.33374999999</v>
      </c>
      <c r="E842">
        <f t="shared" si="27"/>
        <v>1.9289879047098573</v>
      </c>
    </row>
    <row r="843" spans="1:5" x14ac:dyDescent="0.35">
      <c r="A843" t="s">
        <v>873</v>
      </c>
      <c r="B843">
        <f>IF(Final_Payroll!B843="Sales",Earnings!B843*3,
IF(Final_Payroll!B843="IT",Earnings!B843*2,
IF(Final_Payroll!B843="Finance",Earnings!B843*1.5,
IF(Final_Payroll!B843="HR",Earnings!B843*1.2,
Earnings!B843*1.3))))</f>
        <v>1900630.7999999998</v>
      </c>
      <c r="C843">
        <f>Earnings!B843 + Deductions!B843 + Deductions!C843 + Overtime!D843</f>
        <v>1268887.2</v>
      </c>
      <c r="D843">
        <f t="shared" si="26"/>
        <v>631743.59999999986</v>
      </c>
      <c r="E843">
        <f t="shared" si="27"/>
        <v>1.4978721512834237</v>
      </c>
    </row>
    <row r="844" spans="1:5" x14ac:dyDescent="0.35">
      <c r="A844" t="s">
        <v>874</v>
      </c>
      <c r="B844">
        <f>IF(Final_Payroll!B844="Sales",Earnings!B844*3,
IF(Final_Payroll!B844="IT",Earnings!B844*2,
IF(Final_Payroll!B844="Finance",Earnings!B844*1.5,
IF(Final_Payroll!B844="HR",Earnings!B844*1.2,
Earnings!B844*1.3))))</f>
        <v>2427249.5999999996</v>
      </c>
      <c r="C844">
        <f>Earnings!B844 + Deductions!B844 + Deductions!C844 + Overtime!D844</f>
        <v>941954.67839999998</v>
      </c>
      <c r="D844">
        <f t="shared" si="26"/>
        <v>1485294.9215999995</v>
      </c>
      <c r="E844">
        <f t="shared" si="27"/>
        <v>2.5768220654977956</v>
      </c>
    </row>
    <row r="845" spans="1:5" x14ac:dyDescent="0.35">
      <c r="A845" t="s">
        <v>875</v>
      </c>
      <c r="B845">
        <f>IF(Final_Payroll!B845="Sales",Earnings!B845*3,
IF(Final_Payroll!B845="IT",Earnings!B845*2,
IF(Final_Payroll!B845="Finance",Earnings!B845*1.5,
IF(Final_Payroll!B845="HR",Earnings!B845*1.2,
Earnings!B845*1.3))))</f>
        <v>913318.31500000006</v>
      </c>
      <c r="C845">
        <f>Earnings!B845 + Deductions!B845 + Deductions!C845 + Overtime!D845</f>
        <v>704352.55</v>
      </c>
      <c r="D845">
        <f t="shared" si="26"/>
        <v>208965.76500000001</v>
      </c>
      <c r="E845">
        <f t="shared" si="27"/>
        <v>1.2966778000590755</v>
      </c>
    </row>
    <row r="846" spans="1:5" x14ac:dyDescent="0.35">
      <c r="A846" t="s">
        <v>876</v>
      </c>
      <c r="B846">
        <f>IF(Final_Payroll!B846="Sales",Earnings!B846*3,
IF(Final_Payroll!B846="IT",Earnings!B846*2,
IF(Final_Payroll!B846="Finance",Earnings!B846*1.5,
IF(Final_Payroll!B846="HR",Earnings!B846*1.2,
Earnings!B846*1.3))))</f>
        <v>1355890.692</v>
      </c>
      <c r="C846">
        <f>Earnings!B846 + Deductions!B846 + Deductions!C846 + Overtime!D846</f>
        <v>1044792.84</v>
      </c>
      <c r="D846">
        <f t="shared" si="26"/>
        <v>311097.85200000007</v>
      </c>
      <c r="E846">
        <f t="shared" si="27"/>
        <v>1.2977603215580995</v>
      </c>
    </row>
    <row r="847" spans="1:5" x14ac:dyDescent="0.35">
      <c r="A847" t="s">
        <v>877</v>
      </c>
      <c r="B847">
        <f>IF(Final_Payroll!B847="Sales",Earnings!B847*3,
IF(Final_Payroll!B847="IT",Earnings!B847*2,
IF(Final_Payroll!B847="Finance",Earnings!B847*1.5,
IF(Final_Payroll!B847="HR",Earnings!B847*1.2,
Earnings!B847*1.3))))</f>
        <v>4739220.9000000004</v>
      </c>
      <c r="C847">
        <f>Earnings!B847 + Deductions!B847 + Deductions!C847 + Overtime!D847</f>
        <v>1581540.3</v>
      </c>
      <c r="D847">
        <f t="shared" si="26"/>
        <v>3157680.6000000006</v>
      </c>
      <c r="E847">
        <f t="shared" si="27"/>
        <v>2.9965856070819061</v>
      </c>
    </row>
    <row r="848" spans="1:5" x14ac:dyDescent="0.35">
      <c r="A848" t="s">
        <v>878</v>
      </c>
      <c r="B848">
        <f>IF(Final_Payroll!B848="Sales",Earnings!B848*3,
IF(Final_Payroll!B848="IT",Earnings!B848*2,
IF(Final_Payroll!B848="Finance",Earnings!B848*1.5,
IF(Final_Payroll!B848="HR",Earnings!B848*1.2,
Earnings!B848*1.3))))</f>
        <v>1878622.095</v>
      </c>
      <c r="C848">
        <f>Earnings!B848 + Deductions!B848 + Deductions!C848 + Overtime!D848</f>
        <v>1360669.981625</v>
      </c>
      <c r="D848">
        <f t="shared" si="26"/>
        <v>517952.11337499996</v>
      </c>
      <c r="E848">
        <f t="shared" si="27"/>
        <v>1.3806596164901266</v>
      </c>
    </row>
    <row r="849" spans="1:5" x14ac:dyDescent="0.35">
      <c r="A849" t="s">
        <v>879</v>
      </c>
      <c r="B849">
        <f>IF(Final_Payroll!B849="Sales",Earnings!B849*3,
IF(Final_Payroll!B849="IT",Earnings!B849*2,
IF(Final_Payroll!B849="Finance",Earnings!B849*1.5,
IF(Final_Payroll!B849="HR",Earnings!B849*1.2,
Earnings!B849*1.3))))</f>
        <v>1157173.017</v>
      </c>
      <c r="C849">
        <f>Earnings!B849 + Deductions!B849 + Deductions!C849 + Overtime!D849</f>
        <v>1065954.1110499999</v>
      </c>
      <c r="D849">
        <f t="shared" si="26"/>
        <v>91218.905950000044</v>
      </c>
      <c r="E849">
        <f t="shared" si="27"/>
        <v>1.0855748901424531</v>
      </c>
    </row>
    <row r="850" spans="1:5" x14ac:dyDescent="0.35">
      <c r="A850" t="s">
        <v>880</v>
      </c>
      <c r="B850">
        <f>IF(Final_Payroll!B850="Sales",Earnings!B850*3,
IF(Final_Payroll!B850="IT",Earnings!B850*2,
IF(Final_Payroll!B850="Finance",Earnings!B850*1.5,
IF(Final_Payroll!B850="HR",Earnings!B850*1.2,
Earnings!B850*1.3))))</f>
        <v>1362458.916</v>
      </c>
      <c r="C850">
        <f>Earnings!B850 + Deductions!B850 + Deductions!C850 + Overtime!D850</f>
        <v>1049845.3199999998</v>
      </c>
      <c r="D850">
        <f t="shared" si="26"/>
        <v>312613.59600000014</v>
      </c>
      <c r="E850">
        <f t="shared" si="27"/>
        <v>1.2977711002226502</v>
      </c>
    </row>
    <row r="851" spans="1:5" x14ac:dyDescent="0.35">
      <c r="A851" t="s">
        <v>881</v>
      </c>
      <c r="B851">
        <f>IF(Final_Payroll!B851="Sales",Earnings!B851*3,
IF(Final_Payroll!B851="IT",Earnings!B851*2,
IF(Final_Payroll!B851="Finance",Earnings!B851*1.5,
IF(Final_Payroll!B851="HR",Earnings!B851*1.2,
Earnings!B851*1.3))))</f>
        <v>2724495.12</v>
      </c>
      <c r="C851">
        <f>Earnings!B851 + Deductions!B851 + Deductions!C851 + Overtime!D851</f>
        <v>1364047.56</v>
      </c>
      <c r="D851">
        <f t="shared" si="26"/>
        <v>1360447.56</v>
      </c>
      <c r="E851">
        <f t="shared" si="27"/>
        <v>1.9973607958361803</v>
      </c>
    </row>
    <row r="852" spans="1:5" x14ac:dyDescent="0.35">
      <c r="A852" t="s">
        <v>882</v>
      </c>
      <c r="B852">
        <f>IF(Final_Payroll!B852="Sales",Earnings!B852*3,
IF(Final_Payroll!B852="IT",Earnings!B852*2,
IF(Final_Payroll!B852="Finance",Earnings!B852*1.5,
IF(Final_Payroll!B852="HR",Earnings!B852*1.2,
Earnings!B852*1.3))))</f>
        <v>1977978</v>
      </c>
      <c r="C852">
        <f>Earnings!B852 + Deductions!B852 + Deductions!C852 + Overtime!D852</f>
        <v>740245.12</v>
      </c>
      <c r="D852">
        <f t="shared" si="26"/>
        <v>1237732.8799999999</v>
      </c>
      <c r="E852">
        <f t="shared" si="27"/>
        <v>2.6720581420381402</v>
      </c>
    </row>
    <row r="853" spans="1:5" x14ac:dyDescent="0.35">
      <c r="A853" t="s">
        <v>883</v>
      </c>
      <c r="B853">
        <f>IF(Final_Payroll!B853="Sales",Earnings!B853*3,
IF(Final_Payroll!B853="IT",Earnings!B853*2,
IF(Final_Payroll!B853="Finance",Earnings!B853*1.5,
IF(Final_Payroll!B853="HR",Earnings!B853*1.2,
Earnings!B853*1.3))))</f>
        <v>2095616.97</v>
      </c>
      <c r="C853">
        <f>Earnings!B853 + Deductions!B853 + Deductions!C853 + Overtime!D853</f>
        <v>1398877.98</v>
      </c>
      <c r="D853">
        <f t="shared" si="26"/>
        <v>696738.99</v>
      </c>
      <c r="E853">
        <f t="shared" si="27"/>
        <v>1.4980698816918971</v>
      </c>
    </row>
    <row r="854" spans="1:5" x14ac:dyDescent="0.35">
      <c r="A854" t="s">
        <v>884</v>
      </c>
      <c r="B854">
        <f>IF(Final_Payroll!B854="Sales",Earnings!B854*3,
IF(Final_Payroll!B854="IT",Earnings!B854*2,
IF(Final_Payroll!B854="Finance",Earnings!B854*1.5,
IF(Final_Payroll!B854="HR",Earnings!B854*1.2,
Earnings!B854*1.3))))</f>
        <v>1542838.0799999998</v>
      </c>
      <c r="C854">
        <f>Earnings!B854 + Deductions!B854 + Deductions!C854 + Overtime!D854</f>
        <v>1485495.9535999999</v>
      </c>
      <c r="D854">
        <f t="shared" si="26"/>
        <v>57342.12639999995</v>
      </c>
      <c r="E854">
        <f t="shared" si="27"/>
        <v>1.0386013346324068</v>
      </c>
    </row>
    <row r="855" spans="1:5" x14ac:dyDescent="0.35">
      <c r="A855" t="s">
        <v>885</v>
      </c>
      <c r="B855">
        <f>IF(Final_Payroll!B855="Sales",Earnings!B855*3,
IF(Final_Payroll!B855="IT",Earnings!B855*2,
IF(Final_Payroll!B855="Finance",Earnings!B855*1.5,
IF(Final_Payroll!B855="HR",Earnings!B855*1.2,
Earnings!B855*1.3))))</f>
        <v>2074958.46</v>
      </c>
      <c r="C855">
        <f>Earnings!B855 + Deductions!B855 + Deductions!C855 + Overtime!D855</f>
        <v>1385105.64</v>
      </c>
      <c r="D855">
        <f t="shared" si="26"/>
        <v>689852.82000000007</v>
      </c>
      <c r="E855">
        <f t="shared" si="27"/>
        <v>1.4980506901986193</v>
      </c>
    </row>
    <row r="856" spans="1:5" x14ac:dyDescent="0.35">
      <c r="A856" t="s">
        <v>886</v>
      </c>
      <c r="B856">
        <f>IF(Final_Payroll!B856="Sales",Earnings!B856*3,
IF(Final_Payroll!B856="IT",Earnings!B856*2,
IF(Final_Payroll!B856="Finance",Earnings!B856*1.5,
IF(Final_Payroll!B856="HR",Earnings!B856*1.2,
Earnings!B856*1.3))))</f>
        <v>2913567.16</v>
      </c>
      <c r="C856">
        <f>Earnings!B856 + Deductions!B856 + Deductions!C856 + Overtime!D856</f>
        <v>1458583.58</v>
      </c>
      <c r="D856">
        <f t="shared" si="26"/>
        <v>1454983.58</v>
      </c>
      <c r="E856">
        <f t="shared" si="27"/>
        <v>1.9975318520999668</v>
      </c>
    </row>
    <row r="857" spans="1:5" x14ac:dyDescent="0.35">
      <c r="A857" t="s">
        <v>887</v>
      </c>
      <c r="B857">
        <f>IF(Final_Payroll!B857="Sales",Earnings!B857*3,
IF(Final_Payroll!B857="IT",Earnings!B857*2,
IF(Final_Payroll!B857="Finance",Earnings!B857*1.5,
IF(Final_Payroll!B857="HR",Earnings!B857*1.2,
Earnings!B857*1.3))))</f>
        <v>3269081.3849999998</v>
      </c>
      <c r="C857">
        <f>Earnings!B857 + Deductions!B857 + Deductions!C857 + Overtime!D857</f>
        <v>2681357.0441999999</v>
      </c>
      <c r="D857">
        <f t="shared" si="26"/>
        <v>587724.34079999989</v>
      </c>
      <c r="E857">
        <f t="shared" si="27"/>
        <v>1.2191891386010292</v>
      </c>
    </row>
    <row r="858" spans="1:5" x14ac:dyDescent="0.35">
      <c r="A858" t="s">
        <v>888</v>
      </c>
      <c r="B858">
        <f>IF(Final_Payroll!B858="Sales",Earnings!B858*3,
IF(Final_Payroll!B858="IT",Earnings!B858*2,
IF(Final_Payroll!B858="Finance",Earnings!B858*1.5,
IF(Final_Payroll!B858="HR",Earnings!B858*1.2,
Earnings!B858*1.3))))</f>
        <v>1376274.6</v>
      </c>
      <c r="C858">
        <f>Earnings!B858 + Deductions!B858 + Deductions!C858 + Overtime!D858</f>
        <v>1034923.4664</v>
      </c>
      <c r="D858">
        <f t="shared" si="26"/>
        <v>341351.13360000006</v>
      </c>
      <c r="E858">
        <f t="shared" si="27"/>
        <v>1.3298322481636213</v>
      </c>
    </row>
    <row r="859" spans="1:5" x14ac:dyDescent="0.35">
      <c r="A859" t="s">
        <v>889</v>
      </c>
      <c r="B859">
        <f>IF(Final_Payroll!B859="Sales",Earnings!B859*3,
IF(Final_Payroll!B859="IT",Earnings!B859*2,
IF(Final_Payroll!B859="Finance",Earnings!B859*1.5,
IF(Final_Payroll!B859="HR",Earnings!B859*1.2,
Earnings!B859*1.3))))</f>
        <v>1239440.1599999999</v>
      </c>
      <c r="C859">
        <f>Earnings!B859 + Deductions!B859 + Deductions!C859 + Overtime!D859</f>
        <v>1034666.8</v>
      </c>
      <c r="D859">
        <f t="shared" si="26"/>
        <v>204773.35999999987</v>
      </c>
      <c r="E859">
        <f t="shared" si="27"/>
        <v>1.1979123714030449</v>
      </c>
    </row>
    <row r="860" spans="1:5" x14ac:dyDescent="0.35">
      <c r="A860" t="s">
        <v>890</v>
      </c>
      <c r="B860">
        <f>IF(Final_Payroll!B860="Sales",Earnings!B860*3,
IF(Final_Payroll!B860="IT",Earnings!B860*2,
IF(Final_Payroll!B860="Finance",Earnings!B860*1.5,
IF(Final_Payroll!B860="HR",Earnings!B860*1.2,
Earnings!B860*1.3))))</f>
        <v>1267228.807</v>
      </c>
      <c r="C860">
        <f>Earnings!B860 + Deductions!B860 + Deductions!C860 + Overtime!D860</f>
        <v>1183734.5625</v>
      </c>
      <c r="D860">
        <f t="shared" si="26"/>
        <v>83494.24450000003</v>
      </c>
      <c r="E860">
        <f t="shared" si="27"/>
        <v>1.0705346005304293</v>
      </c>
    </row>
    <row r="861" spans="1:5" x14ac:dyDescent="0.35">
      <c r="A861" t="s">
        <v>891</v>
      </c>
      <c r="B861">
        <f>IF(Final_Payroll!B861="Sales",Earnings!B861*3,
IF(Final_Payroll!B861="IT",Earnings!B861*2,
IF(Final_Payroll!B861="Finance",Earnings!B861*1.5,
IF(Final_Payroll!B861="HR",Earnings!B861*1.2,
Earnings!B861*1.3))))</f>
        <v>1506746.0399999998</v>
      </c>
      <c r="C861">
        <f>Earnings!B861 + Deductions!B861 + Deductions!C861 + Overtime!D861</f>
        <v>1257421.7</v>
      </c>
      <c r="D861">
        <f t="shared" si="26"/>
        <v>249324.33999999985</v>
      </c>
      <c r="E861">
        <f t="shared" si="27"/>
        <v>1.1982821992017474</v>
      </c>
    </row>
    <row r="862" spans="1:5" x14ac:dyDescent="0.35">
      <c r="A862" t="s">
        <v>892</v>
      </c>
      <c r="B862">
        <f>IF(Final_Payroll!B862="Sales",Earnings!B862*3,
IF(Final_Payroll!B862="IT",Earnings!B862*2,
IF(Final_Payroll!B862="Finance",Earnings!B862*1.5,
IF(Final_Payroll!B862="HR",Earnings!B862*1.2,
Earnings!B862*1.3))))</f>
        <v>2849788.2</v>
      </c>
      <c r="C862">
        <f>Earnings!B862 + Deductions!B862 + Deductions!C862 + Overtime!D862</f>
        <v>1426694.1</v>
      </c>
      <c r="D862">
        <f t="shared" si="26"/>
        <v>1423094.1</v>
      </c>
      <c r="E862">
        <f t="shared" si="27"/>
        <v>1.9974766840347906</v>
      </c>
    </row>
    <row r="863" spans="1:5" x14ac:dyDescent="0.35">
      <c r="A863" t="s">
        <v>893</v>
      </c>
      <c r="B863">
        <f>IF(Final_Payroll!B863="Sales",Earnings!B863*3,
IF(Final_Payroll!B863="IT",Earnings!B863*2,
IF(Final_Payroll!B863="Finance",Earnings!B863*1.5,
IF(Final_Payroll!B863="HR",Earnings!B863*1.2,
Earnings!B863*1.3))))</f>
        <v>2362178.7999999998</v>
      </c>
      <c r="C863">
        <f>Earnings!B863 + Deductions!B863 + Deductions!C863 + Overtime!D863</f>
        <v>1330525.575</v>
      </c>
      <c r="D863">
        <f t="shared" si="26"/>
        <v>1031653.2249999999</v>
      </c>
      <c r="E863">
        <f t="shared" si="27"/>
        <v>1.7753727131475845</v>
      </c>
    </row>
    <row r="864" spans="1:5" x14ac:dyDescent="0.35">
      <c r="A864" t="s">
        <v>894</v>
      </c>
      <c r="B864">
        <f>IF(Final_Payroll!B864="Sales",Earnings!B864*3,
IF(Final_Payroll!B864="IT",Earnings!B864*2,
IF(Final_Payroll!B864="Finance",Earnings!B864*1.5,
IF(Final_Payroll!B864="HR",Earnings!B864*1.2,
Earnings!B864*1.3))))</f>
        <v>4012717.4</v>
      </c>
      <c r="C864">
        <f>Earnings!B864 + Deductions!B864 + Deductions!C864 + Overtime!D864</f>
        <v>2263969.4342499999</v>
      </c>
      <c r="D864">
        <f t="shared" si="26"/>
        <v>1748747.96575</v>
      </c>
      <c r="E864">
        <f t="shared" si="27"/>
        <v>1.7724256075609603</v>
      </c>
    </row>
    <row r="865" spans="1:5" x14ac:dyDescent="0.35">
      <c r="A865" t="s">
        <v>895</v>
      </c>
      <c r="B865">
        <f>IF(Final_Payroll!B865="Sales",Earnings!B865*3,
IF(Final_Payroll!B865="IT",Earnings!B865*2,
IF(Final_Payroll!B865="Finance",Earnings!B865*1.5,
IF(Final_Payroll!B865="HR",Earnings!B865*1.2,
Earnings!B865*1.3))))</f>
        <v>1440336.534</v>
      </c>
      <c r="C865">
        <f>Earnings!B865 + Deductions!B865 + Deductions!C865 + Overtime!D865</f>
        <v>1257108.686275</v>
      </c>
      <c r="D865">
        <f t="shared" si="26"/>
        <v>183227.847725</v>
      </c>
      <c r="E865">
        <f t="shared" si="27"/>
        <v>1.1457533861037357</v>
      </c>
    </row>
    <row r="866" spans="1:5" x14ac:dyDescent="0.35">
      <c r="A866" t="s">
        <v>896</v>
      </c>
      <c r="B866">
        <f>IF(Final_Payroll!B866="Sales",Earnings!B866*3,
IF(Final_Payroll!B866="IT",Earnings!B866*2,
IF(Final_Payroll!B866="Finance",Earnings!B866*1.5,
IF(Final_Payroll!B866="HR",Earnings!B866*1.2,
Earnings!B866*1.3))))</f>
        <v>2808866</v>
      </c>
      <c r="C866">
        <f>Earnings!B866 + Deductions!B866 + Deductions!C866 + Overtime!D866</f>
        <v>1406233</v>
      </c>
      <c r="D866">
        <f t="shared" si="26"/>
        <v>1402633</v>
      </c>
      <c r="E866">
        <f t="shared" si="27"/>
        <v>1.9974399690520703</v>
      </c>
    </row>
    <row r="867" spans="1:5" x14ac:dyDescent="0.35">
      <c r="A867" t="s">
        <v>897</v>
      </c>
      <c r="B867">
        <f>IF(Final_Payroll!B867="Sales",Earnings!B867*3,
IF(Final_Payroll!B867="IT",Earnings!B867*2,
IF(Final_Payroll!B867="Finance",Earnings!B867*1.5,
IF(Final_Payroll!B867="HR",Earnings!B867*1.2,
Earnings!B867*1.3))))</f>
        <v>2062785.6</v>
      </c>
      <c r="C867">
        <f>Earnings!B867 + Deductions!B867 + Deductions!C867 + Overtime!D867</f>
        <v>1033192.8</v>
      </c>
      <c r="D867">
        <f t="shared" si="26"/>
        <v>1029592.8</v>
      </c>
      <c r="E867">
        <f t="shared" si="27"/>
        <v>1.9965156551613601</v>
      </c>
    </row>
    <row r="868" spans="1:5" x14ac:dyDescent="0.35">
      <c r="A868" t="s">
        <v>898</v>
      </c>
      <c r="B868">
        <f>IF(Final_Payroll!B868="Sales",Earnings!B868*3,
IF(Final_Payroll!B868="IT",Earnings!B868*2,
IF(Final_Payroll!B868="Finance",Earnings!B868*1.5,
IF(Final_Payroll!B868="HR",Earnings!B868*1.2,
Earnings!B868*1.3))))</f>
        <v>1871947.35</v>
      </c>
      <c r="C868">
        <f>Earnings!B868 + Deductions!B868 + Deductions!C868 + Overtime!D868</f>
        <v>1441759.5</v>
      </c>
      <c r="D868">
        <f t="shared" si="26"/>
        <v>430187.85000000009</v>
      </c>
      <c r="E868">
        <f t="shared" si="27"/>
        <v>1.2983769831237457</v>
      </c>
    </row>
    <row r="869" spans="1:5" x14ac:dyDescent="0.35">
      <c r="A869" t="s">
        <v>899</v>
      </c>
      <c r="B869">
        <f>IF(Final_Payroll!B869="Sales",Earnings!B869*3,
IF(Final_Payroll!B869="IT",Earnings!B869*2,
IF(Final_Payroll!B869="Finance",Earnings!B869*1.5,
IF(Final_Payroll!B869="HR",Earnings!B869*1.2,
Earnings!B869*1.3))))</f>
        <v>2449767.1500000004</v>
      </c>
      <c r="C869">
        <f>Earnings!B869 + Deductions!B869 + Deductions!C869 + Overtime!D869</f>
        <v>2037556.50165</v>
      </c>
      <c r="D869">
        <f t="shared" si="26"/>
        <v>412210.64835000038</v>
      </c>
      <c r="E869">
        <f t="shared" si="27"/>
        <v>1.2023063645185765</v>
      </c>
    </row>
    <row r="870" spans="1:5" x14ac:dyDescent="0.35">
      <c r="A870" t="s">
        <v>900</v>
      </c>
      <c r="B870">
        <f>IF(Final_Payroll!B870="Sales",Earnings!B870*3,
IF(Final_Payroll!B870="IT",Earnings!B870*2,
IF(Final_Payroll!B870="Finance",Earnings!B870*1.5,
IF(Final_Payroll!B870="HR",Earnings!B870*1.2,
Earnings!B870*1.3))))</f>
        <v>4450731.5999999996</v>
      </c>
      <c r="C870">
        <f>Earnings!B870 + Deductions!B870 + Deductions!C870 + Overtime!D870</f>
        <v>1620382.7252</v>
      </c>
      <c r="D870">
        <f t="shared" si="26"/>
        <v>2830348.8747999994</v>
      </c>
      <c r="E870">
        <f t="shared" si="27"/>
        <v>2.746716273126558</v>
      </c>
    </row>
    <row r="871" spans="1:5" x14ac:dyDescent="0.35">
      <c r="A871" t="s">
        <v>901</v>
      </c>
      <c r="B871">
        <f>IF(Final_Payroll!B871="Sales",Earnings!B871*3,
IF(Final_Payroll!B871="IT",Earnings!B871*2,
IF(Final_Payroll!B871="Finance",Earnings!B871*1.5,
IF(Final_Payroll!B871="HR",Earnings!B871*1.2,
Earnings!B871*1.3))))</f>
        <v>2220514.7999999998</v>
      </c>
      <c r="C871">
        <f>Earnings!B871 + Deductions!B871 + Deductions!C871 + Overtime!D871</f>
        <v>1112057.3999999999</v>
      </c>
      <c r="D871">
        <f t="shared" si="26"/>
        <v>1108457.3999999999</v>
      </c>
      <c r="E871">
        <f t="shared" si="27"/>
        <v>1.9967627570303474</v>
      </c>
    </row>
    <row r="872" spans="1:5" x14ac:dyDescent="0.35">
      <c r="A872" t="s">
        <v>902</v>
      </c>
      <c r="B872">
        <f>IF(Final_Payroll!B872="Sales",Earnings!B872*3,
IF(Final_Payroll!B872="IT",Earnings!B872*2,
IF(Final_Payroll!B872="Finance",Earnings!B872*1.5,
IF(Final_Payroll!B872="HR",Earnings!B872*1.2,
Earnings!B872*1.3))))</f>
        <v>2866038</v>
      </c>
      <c r="C872">
        <f>Earnings!B872 + Deductions!B872 + Deductions!C872 + Overtime!D872</f>
        <v>1535130.33</v>
      </c>
      <c r="D872">
        <f t="shared" si="26"/>
        <v>1330907.67</v>
      </c>
      <c r="E872">
        <f t="shared" si="27"/>
        <v>1.8669672170440408</v>
      </c>
    </row>
    <row r="873" spans="1:5" x14ac:dyDescent="0.35">
      <c r="A873" t="s">
        <v>903</v>
      </c>
      <c r="B873">
        <f>IF(Final_Payroll!B873="Sales",Earnings!B873*3,
IF(Final_Payroll!B873="IT",Earnings!B873*2,
IF(Final_Payroll!B873="Finance",Earnings!B873*1.5,
IF(Final_Payroll!B873="HR",Earnings!B873*1.2,
Earnings!B873*1.3))))</f>
        <v>1385222.16</v>
      </c>
      <c r="C873">
        <f>Earnings!B873 + Deductions!B873 + Deductions!C873 + Overtime!D873</f>
        <v>1358163.365</v>
      </c>
      <c r="D873">
        <f t="shared" si="26"/>
        <v>27058.794999999925</v>
      </c>
      <c r="E873">
        <f t="shared" si="27"/>
        <v>1.0199230782520776</v>
      </c>
    </row>
    <row r="874" spans="1:5" x14ac:dyDescent="0.35">
      <c r="A874" t="s">
        <v>904</v>
      </c>
      <c r="B874">
        <f>IF(Final_Payroll!B874="Sales",Earnings!B874*3,
IF(Final_Payroll!B874="IT",Earnings!B874*2,
IF(Final_Payroll!B874="Finance",Earnings!B874*1.5,
IF(Final_Payroll!B874="HR",Earnings!B874*1.2,
Earnings!B874*1.3))))</f>
        <v>2505327.84</v>
      </c>
      <c r="C874">
        <f>Earnings!B874 + Deductions!B874 + Deductions!C874 + Overtime!D874</f>
        <v>836909.28</v>
      </c>
      <c r="D874">
        <f t="shared" si="26"/>
        <v>1668418.5599999998</v>
      </c>
      <c r="E874">
        <f t="shared" si="27"/>
        <v>2.9935476877493814</v>
      </c>
    </row>
    <row r="875" spans="1:5" x14ac:dyDescent="0.35">
      <c r="A875" t="s">
        <v>905</v>
      </c>
      <c r="B875">
        <f>IF(Final_Payroll!B875="Sales",Earnings!B875*3,
IF(Final_Payroll!B875="IT",Earnings!B875*2,
IF(Final_Payroll!B875="Finance",Earnings!B875*1.5,
IF(Final_Payroll!B875="HR",Earnings!B875*1.2,
Earnings!B875*1.3))))</f>
        <v>1086782.976</v>
      </c>
      <c r="C875">
        <f>Earnings!B875 + Deductions!B875 + Deductions!C875 + Overtime!D875</f>
        <v>940055.96909999999</v>
      </c>
      <c r="D875">
        <f t="shared" si="26"/>
        <v>146727.00690000004</v>
      </c>
      <c r="E875">
        <f t="shared" si="27"/>
        <v>1.1560832670851235</v>
      </c>
    </row>
    <row r="876" spans="1:5" x14ac:dyDescent="0.35">
      <c r="A876" t="s">
        <v>906</v>
      </c>
      <c r="B876">
        <f>IF(Final_Payroll!B876="Sales",Earnings!B876*3,
IF(Final_Payroll!B876="IT",Earnings!B876*2,
IF(Final_Payroll!B876="Finance",Earnings!B876*1.5,
IF(Final_Payroll!B876="HR",Earnings!B876*1.2,
Earnings!B876*1.3))))</f>
        <v>2107862.3020000001</v>
      </c>
      <c r="C876">
        <f>Earnings!B876 + Deductions!B876 + Deductions!C876 + Overtime!D876</f>
        <v>1857529.543475</v>
      </c>
      <c r="D876">
        <f t="shared" si="26"/>
        <v>250332.75852500019</v>
      </c>
      <c r="E876">
        <f t="shared" si="27"/>
        <v>1.1347665017788555</v>
      </c>
    </row>
    <row r="877" spans="1:5" x14ac:dyDescent="0.35">
      <c r="A877" t="s">
        <v>907</v>
      </c>
      <c r="B877">
        <f>IF(Final_Payroll!B877="Sales",Earnings!B877*3,
IF(Final_Payroll!B877="IT",Earnings!B877*2,
IF(Final_Payroll!B877="Finance",Earnings!B877*1.5,
IF(Final_Payroll!B877="HR",Earnings!B877*1.2,
Earnings!B877*1.3))))</f>
        <v>1329556.3500000001</v>
      </c>
      <c r="C877">
        <f>Earnings!B877 + Deductions!B877 + Deductions!C877 + Overtime!D877</f>
        <v>914762.027</v>
      </c>
      <c r="D877">
        <f t="shared" si="26"/>
        <v>414794.32300000009</v>
      </c>
      <c r="E877">
        <f t="shared" si="27"/>
        <v>1.4534450608540619</v>
      </c>
    </row>
    <row r="878" spans="1:5" x14ac:dyDescent="0.35">
      <c r="A878" t="s">
        <v>908</v>
      </c>
      <c r="B878">
        <f>IF(Final_Payroll!B878="Sales",Earnings!B878*3,
IF(Final_Payroll!B878="IT",Earnings!B878*2,
IF(Final_Payroll!B878="Finance",Earnings!B878*1.5,
IF(Final_Payroll!B878="HR",Earnings!B878*1.2,
Earnings!B878*1.3))))</f>
        <v>2966040</v>
      </c>
      <c r="C878">
        <f>Earnings!B878 + Deductions!B878 + Deductions!C878 + Overtime!D878</f>
        <v>1484820</v>
      </c>
      <c r="D878">
        <f t="shared" si="26"/>
        <v>1481220</v>
      </c>
      <c r="E878">
        <f t="shared" si="27"/>
        <v>1.9975754636925689</v>
      </c>
    </row>
    <row r="879" spans="1:5" x14ac:dyDescent="0.35">
      <c r="A879" t="s">
        <v>909</v>
      </c>
      <c r="B879">
        <f>IF(Final_Payroll!B879="Sales",Earnings!B879*3,
IF(Final_Payroll!B879="IT",Earnings!B879*2,
IF(Final_Payroll!B879="Finance",Earnings!B879*1.5,
IF(Final_Payroll!B879="HR",Earnings!B879*1.2,
Earnings!B879*1.3))))</f>
        <v>1851234.84</v>
      </c>
      <c r="C879">
        <f>Earnings!B879 + Deductions!B879 + Deductions!C879 + Overtime!D879</f>
        <v>1605254.1768</v>
      </c>
      <c r="D879">
        <f t="shared" si="26"/>
        <v>245980.66320000007</v>
      </c>
      <c r="E879">
        <f t="shared" si="27"/>
        <v>1.1532347130784928</v>
      </c>
    </row>
    <row r="880" spans="1:5" x14ac:dyDescent="0.35">
      <c r="A880" t="s">
        <v>910</v>
      </c>
      <c r="B880">
        <f>IF(Final_Payroll!B880="Sales",Earnings!B880*3,
IF(Final_Payroll!B880="IT",Earnings!B880*2,
IF(Final_Payroll!B880="Finance",Earnings!B880*1.5,
IF(Final_Payroll!B880="HR",Earnings!B880*1.2,
Earnings!B880*1.3))))</f>
        <v>1347268.5</v>
      </c>
      <c r="C880">
        <f>Earnings!B880 + Deductions!B880 + Deductions!C880 + Overtime!D880</f>
        <v>1025724.0599999999</v>
      </c>
      <c r="D880">
        <f t="shared" si="26"/>
        <v>321544.44000000006</v>
      </c>
      <c r="E880">
        <f t="shared" si="27"/>
        <v>1.3134804500929813</v>
      </c>
    </row>
    <row r="881" spans="1:5" x14ac:dyDescent="0.35">
      <c r="A881" t="s">
        <v>911</v>
      </c>
      <c r="B881">
        <f>IF(Final_Payroll!B881="Sales",Earnings!B881*3,
IF(Final_Payroll!B881="IT",Earnings!B881*2,
IF(Final_Payroll!B881="Finance",Earnings!B881*1.5,
IF(Final_Payroll!B881="HR",Earnings!B881*1.2,
Earnings!B881*1.3))))</f>
        <v>936261.93599999999</v>
      </c>
      <c r="C881">
        <f>Earnings!B881 + Deductions!B881 + Deductions!C881 + Overtime!D881</f>
        <v>782018.28</v>
      </c>
      <c r="D881">
        <f t="shared" si="26"/>
        <v>154243.65599999996</v>
      </c>
      <c r="E881">
        <f t="shared" si="27"/>
        <v>1.1972379162287612</v>
      </c>
    </row>
    <row r="882" spans="1:5" x14ac:dyDescent="0.35">
      <c r="A882" t="s">
        <v>912</v>
      </c>
      <c r="B882">
        <f>IF(Final_Payroll!B882="Sales",Earnings!B882*3,
IF(Final_Payroll!B882="IT",Earnings!B882*2,
IF(Final_Payroll!B882="Finance",Earnings!B882*1.5,
IF(Final_Payroll!B882="HR",Earnings!B882*1.2,
Earnings!B882*1.3))))</f>
        <v>1246411.27</v>
      </c>
      <c r="C882">
        <f>Earnings!B882 + Deductions!B882 + Deductions!C882 + Overtime!D882</f>
        <v>960577.9</v>
      </c>
      <c r="D882">
        <f t="shared" si="26"/>
        <v>285833.37</v>
      </c>
      <c r="E882">
        <f t="shared" si="27"/>
        <v>1.2975639664414516</v>
      </c>
    </row>
    <row r="883" spans="1:5" x14ac:dyDescent="0.35">
      <c r="A883" t="s">
        <v>913</v>
      </c>
      <c r="B883">
        <f>IF(Final_Payroll!B883="Sales",Earnings!B883*3,
IF(Final_Payroll!B883="IT",Earnings!B883*2,
IF(Final_Payroll!B883="Finance",Earnings!B883*1.5,
IF(Final_Payroll!B883="HR",Earnings!B883*1.2,
Earnings!B883*1.3))))</f>
        <v>2676371.16</v>
      </c>
      <c r="C883">
        <f>Earnings!B883 + Deductions!B883 + Deductions!C883 + Overtime!D883</f>
        <v>1460422.2817500001</v>
      </c>
      <c r="D883">
        <f t="shared" si="26"/>
        <v>1215948.8782500001</v>
      </c>
      <c r="E883">
        <f t="shared" si="27"/>
        <v>1.8326008808855945</v>
      </c>
    </row>
    <row r="884" spans="1:5" x14ac:dyDescent="0.35">
      <c r="A884" t="s">
        <v>914</v>
      </c>
      <c r="B884">
        <f>IF(Final_Payroll!B884="Sales",Earnings!B884*3,
IF(Final_Payroll!B884="IT",Earnings!B884*2,
IF(Final_Payroll!B884="Finance",Earnings!B884*1.5,
IF(Final_Payroll!B884="HR",Earnings!B884*1.2,
Earnings!B884*1.3))))</f>
        <v>2001278.5499999998</v>
      </c>
      <c r="C884">
        <f>Earnings!B884 + Deductions!B884 + Deductions!C884 + Overtime!D884</f>
        <v>735602.13500000001</v>
      </c>
      <c r="D884">
        <f t="shared" si="26"/>
        <v>1265676.4149999998</v>
      </c>
      <c r="E884">
        <f t="shared" si="27"/>
        <v>2.7205991592180463</v>
      </c>
    </row>
    <row r="885" spans="1:5" x14ac:dyDescent="0.35">
      <c r="A885" t="s">
        <v>915</v>
      </c>
      <c r="B885">
        <f>IF(Final_Payroll!B885="Sales",Earnings!B885*3,
IF(Final_Payroll!B885="IT",Earnings!B885*2,
IF(Final_Payroll!B885="Finance",Earnings!B885*1.5,
IF(Final_Payroll!B885="HR",Earnings!B885*1.2,
Earnings!B885*1.3))))</f>
        <v>4401382.0999999996</v>
      </c>
      <c r="C885">
        <f>Earnings!B885 + Deductions!B885 + Deductions!C885 + Overtime!D885</f>
        <v>2483079.1588749997</v>
      </c>
      <c r="D885">
        <f t="shared" si="26"/>
        <v>1918302.9411249999</v>
      </c>
      <c r="E885">
        <f t="shared" si="27"/>
        <v>1.7725500551477058</v>
      </c>
    </row>
    <row r="886" spans="1:5" x14ac:dyDescent="0.35">
      <c r="A886" t="s">
        <v>916</v>
      </c>
      <c r="B886">
        <f>IF(Final_Payroll!B886="Sales",Earnings!B886*3,
IF(Final_Payroll!B886="IT",Earnings!B886*2,
IF(Final_Payroll!B886="Finance",Earnings!B886*1.5,
IF(Final_Payroll!B886="HR",Earnings!B886*1.2,
Earnings!B886*1.3))))</f>
        <v>1383181.7220000001</v>
      </c>
      <c r="C886">
        <f>Earnings!B886 + Deductions!B886 + Deductions!C886 + Overtime!D886</f>
        <v>1097705.5185</v>
      </c>
      <c r="D886">
        <f t="shared" si="26"/>
        <v>285476.20350000006</v>
      </c>
      <c r="E886">
        <f t="shared" si="27"/>
        <v>1.260066291631748</v>
      </c>
    </row>
    <row r="887" spans="1:5" x14ac:dyDescent="0.35">
      <c r="A887" t="s">
        <v>917</v>
      </c>
      <c r="B887">
        <f>IF(Final_Payroll!B887="Sales",Earnings!B887*3,
IF(Final_Payroll!B887="IT",Earnings!B887*2,
IF(Final_Payroll!B887="Finance",Earnings!B887*1.5,
IF(Final_Payroll!B887="HR",Earnings!B887*1.2,
Earnings!B887*1.3))))</f>
        <v>3152896.5</v>
      </c>
      <c r="C887">
        <f>Earnings!B887 + Deductions!B887 + Deductions!C887 + Overtime!D887</f>
        <v>1052765.5</v>
      </c>
      <c r="D887">
        <f t="shared" si="26"/>
        <v>2100131</v>
      </c>
      <c r="E887">
        <f t="shared" si="27"/>
        <v>2.9948706525812252</v>
      </c>
    </row>
    <row r="888" spans="1:5" x14ac:dyDescent="0.35">
      <c r="A888" t="s">
        <v>918</v>
      </c>
      <c r="B888">
        <f>IF(Final_Payroll!B888="Sales",Earnings!B888*3,
IF(Final_Payroll!B888="IT",Earnings!B888*2,
IF(Final_Payroll!B888="Finance",Earnings!B888*1.5,
IF(Final_Payroll!B888="HR",Earnings!B888*1.2,
Earnings!B888*1.3))))</f>
        <v>2159348.67</v>
      </c>
      <c r="C888">
        <f>Earnings!B888 + Deductions!B888 + Deductions!C888 + Overtime!D888</f>
        <v>1441365.78</v>
      </c>
      <c r="D888">
        <f t="shared" si="26"/>
        <v>717982.8899999999</v>
      </c>
      <c r="E888">
        <f t="shared" si="27"/>
        <v>1.4981267766742734</v>
      </c>
    </row>
    <row r="889" spans="1:5" x14ac:dyDescent="0.35">
      <c r="A889" t="s">
        <v>919</v>
      </c>
      <c r="B889">
        <f>IF(Final_Payroll!B889="Sales",Earnings!B889*3,
IF(Final_Payroll!B889="IT",Earnings!B889*2,
IF(Final_Payroll!B889="Finance",Earnings!B889*1.5,
IF(Final_Payroll!B889="HR",Earnings!B889*1.2,
Earnings!B889*1.3))))</f>
        <v>811732.89599999995</v>
      </c>
      <c r="C889">
        <f>Earnings!B889 + Deductions!B889 + Deductions!C889 + Overtime!D889</f>
        <v>678244.08</v>
      </c>
      <c r="D889">
        <f t="shared" si="26"/>
        <v>133488.81599999999</v>
      </c>
      <c r="E889">
        <f t="shared" si="27"/>
        <v>1.1968153057819539</v>
      </c>
    </row>
    <row r="890" spans="1:5" x14ac:dyDescent="0.35">
      <c r="A890" t="s">
        <v>920</v>
      </c>
      <c r="B890">
        <f>IF(Final_Payroll!B890="Sales",Earnings!B890*3,
IF(Final_Payroll!B890="IT",Earnings!B890*2,
IF(Final_Payroll!B890="Finance",Earnings!B890*1.5,
IF(Final_Payroll!B890="HR",Earnings!B890*1.2,
Earnings!B890*1.3))))</f>
        <v>821570.41200000001</v>
      </c>
      <c r="C890">
        <f>Earnings!B890 + Deductions!B890 + Deductions!C890 + Overtime!D890</f>
        <v>732365.69099999999</v>
      </c>
      <c r="D890">
        <f t="shared" si="26"/>
        <v>89204.72100000002</v>
      </c>
      <c r="E890">
        <f t="shared" si="27"/>
        <v>1.1218035226065772</v>
      </c>
    </row>
    <row r="891" spans="1:5" x14ac:dyDescent="0.35">
      <c r="A891" t="s">
        <v>921</v>
      </c>
      <c r="B891">
        <f>IF(Final_Payroll!B891="Sales",Earnings!B891*3,
IF(Final_Payroll!B891="IT",Earnings!B891*2,
IF(Final_Payroll!B891="Finance",Earnings!B891*1.5,
IF(Final_Payroll!B891="HR",Earnings!B891*1.2,
Earnings!B891*1.3))))</f>
        <v>2927607.4</v>
      </c>
      <c r="C891">
        <f>Earnings!B891 + Deductions!B891 + Deductions!C891 + Overtime!D891</f>
        <v>1751777.32335</v>
      </c>
      <c r="D891">
        <f t="shared" si="26"/>
        <v>1175830.0766499999</v>
      </c>
      <c r="E891">
        <f t="shared" si="27"/>
        <v>1.6712211997363962</v>
      </c>
    </row>
    <row r="892" spans="1:5" x14ac:dyDescent="0.35">
      <c r="A892" t="s">
        <v>922</v>
      </c>
      <c r="B892">
        <f>IF(Final_Payroll!B892="Sales",Earnings!B892*3,
IF(Final_Payroll!B892="IT",Earnings!B892*2,
IF(Final_Payroll!B892="Finance",Earnings!B892*1.5,
IF(Final_Payroll!B892="HR",Earnings!B892*1.2,
Earnings!B892*1.3))))</f>
        <v>935961.59999999998</v>
      </c>
      <c r="C892">
        <f>Earnings!B892 + Deductions!B892 + Deductions!C892 + Overtime!D892</f>
        <v>781768</v>
      </c>
      <c r="D892">
        <f t="shared" si="26"/>
        <v>154193.59999999998</v>
      </c>
      <c r="E892">
        <f t="shared" si="27"/>
        <v>1.1972370319583303</v>
      </c>
    </row>
    <row r="893" spans="1:5" x14ac:dyDescent="0.35">
      <c r="A893" t="s">
        <v>923</v>
      </c>
      <c r="B893">
        <f>IF(Final_Payroll!B893="Sales",Earnings!B893*3,
IF(Final_Payroll!B893="IT",Earnings!B893*2,
IF(Final_Payroll!B893="Finance",Earnings!B893*1.5,
IF(Final_Payroll!B893="HR",Earnings!B893*1.2,
Earnings!B893*1.3))))</f>
        <v>3514340.13</v>
      </c>
      <c r="C893">
        <f>Earnings!B893 + Deductions!B893 + Deductions!C893 + Overtime!D893</f>
        <v>1452051.0246000001</v>
      </c>
      <c r="D893">
        <f t="shared" si="26"/>
        <v>2062289.1053999998</v>
      </c>
      <c r="E893">
        <f t="shared" si="27"/>
        <v>2.4202593920334881</v>
      </c>
    </row>
    <row r="894" spans="1:5" x14ac:dyDescent="0.35">
      <c r="A894" t="s">
        <v>924</v>
      </c>
      <c r="B894">
        <f>IF(Final_Payroll!B894="Sales",Earnings!B894*3,
IF(Final_Payroll!B894="IT",Earnings!B894*2,
IF(Final_Payroll!B894="Finance",Earnings!B894*1.5,
IF(Final_Payroll!B894="HR",Earnings!B894*1.2,
Earnings!B894*1.3))))</f>
        <v>1354479.3599999999</v>
      </c>
      <c r="C894">
        <f>Earnings!B894 + Deductions!B894 + Deductions!C894 + Overtime!D894</f>
        <v>1124975.9616</v>
      </c>
      <c r="D894">
        <f t="shared" si="26"/>
        <v>229503.39839999983</v>
      </c>
      <c r="E894">
        <f t="shared" si="27"/>
        <v>1.2040073799208901</v>
      </c>
    </row>
    <row r="895" spans="1:5" x14ac:dyDescent="0.35">
      <c r="A895" t="s">
        <v>925</v>
      </c>
      <c r="B895">
        <f>IF(Final_Payroll!B895="Sales",Earnings!B895*3,
IF(Final_Payroll!B895="IT",Earnings!B895*2,
IF(Final_Payroll!B895="Finance",Earnings!B895*1.5,
IF(Final_Payroll!B895="HR",Earnings!B895*1.2,
Earnings!B895*1.3))))</f>
        <v>1786998</v>
      </c>
      <c r="C895">
        <f>Earnings!B895 + Deductions!B895 + Deductions!C895 + Overtime!D895</f>
        <v>1228871.96</v>
      </c>
      <c r="D895">
        <f t="shared" si="26"/>
        <v>558126.04</v>
      </c>
      <c r="E895">
        <f t="shared" si="27"/>
        <v>1.4541775369339536</v>
      </c>
    </row>
    <row r="896" spans="1:5" x14ac:dyDescent="0.35">
      <c r="A896" t="s">
        <v>926</v>
      </c>
      <c r="B896">
        <f>IF(Final_Payroll!B896="Sales",Earnings!B896*3,
IF(Final_Payroll!B896="IT",Earnings!B896*2,
IF(Final_Payroll!B896="Finance",Earnings!B896*1.5,
IF(Final_Payroll!B896="HR",Earnings!B896*1.2,
Earnings!B896*1.3))))</f>
        <v>1621926</v>
      </c>
      <c r="C896">
        <f>Earnings!B896 + Deductions!B896 + Deductions!C896 + Overtime!D896</f>
        <v>612725.46</v>
      </c>
      <c r="D896">
        <f t="shared" si="26"/>
        <v>1009200.54</v>
      </c>
      <c r="E896">
        <f t="shared" si="27"/>
        <v>2.6470680686257104</v>
      </c>
    </row>
    <row r="897" spans="1:5" x14ac:dyDescent="0.35">
      <c r="A897" t="s">
        <v>927</v>
      </c>
      <c r="B897">
        <f>IF(Final_Payroll!B897="Sales",Earnings!B897*3,
IF(Final_Payroll!B897="IT",Earnings!B897*2,
IF(Final_Payroll!B897="Finance",Earnings!B897*1.5,
IF(Final_Payroll!B897="HR",Earnings!B897*1.2,
Earnings!B897*1.3))))</f>
        <v>2785336.92</v>
      </c>
      <c r="C897">
        <f>Earnings!B897 + Deductions!B897 + Deductions!C897 + Overtime!D897</f>
        <v>930245.64</v>
      </c>
      <c r="D897">
        <f t="shared" si="26"/>
        <v>1855091.2799999998</v>
      </c>
      <c r="E897">
        <f t="shared" si="27"/>
        <v>2.994195081634567</v>
      </c>
    </row>
    <row r="898" spans="1:5" x14ac:dyDescent="0.35">
      <c r="A898" t="s">
        <v>928</v>
      </c>
      <c r="B898">
        <f>IF(Final_Payroll!B898="Sales",Earnings!B898*3,
IF(Final_Payroll!B898="IT",Earnings!B898*2,
IF(Final_Payroll!B898="Finance",Earnings!B898*1.5,
IF(Final_Payroll!B898="HR",Earnings!B898*1.2,
Earnings!B898*1.3))))</f>
        <v>676521.88500000001</v>
      </c>
      <c r="C898">
        <f>Earnings!B898 + Deductions!B898 + Deductions!C898 + Overtime!D898</f>
        <v>522201.45</v>
      </c>
      <c r="D898">
        <f t="shared" ref="D898:D901" si="28">B898-C898</f>
        <v>154320.435</v>
      </c>
      <c r="E898">
        <f t="shared" si="27"/>
        <v>1.295518970696079</v>
      </c>
    </row>
    <row r="899" spans="1:5" x14ac:dyDescent="0.35">
      <c r="A899" t="s">
        <v>929</v>
      </c>
      <c r="B899">
        <f>IF(Final_Payroll!B899="Sales",Earnings!B899*3,
IF(Final_Payroll!B899="IT",Earnings!B899*2,
IF(Final_Payroll!B899="Finance",Earnings!B899*1.5,
IF(Final_Payroll!B899="HR",Earnings!B899*1.2,
Earnings!B899*1.3))))</f>
        <v>1148522.3999999999</v>
      </c>
      <c r="C899">
        <f>Earnings!B899 + Deductions!B899 + Deductions!C899 + Overtime!D899</f>
        <v>958902</v>
      </c>
      <c r="D899">
        <f t="shared" si="28"/>
        <v>189620.39999999991</v>
      </c>
      <c r="E899">
        <f t="shared" si="27"/>
        <v>1.1977474236157604</v>
      </c>
    </row>
    <row r="900" spans="1:5" x14ac:dyDescent="0.35">
      <c r="A900" t="s">
        <v>930</v>
      </c>
      <c r="B900">
        <f>IF(Final_Payroll!B900="Sales",Earnings!B900*3,
IF(Final_Payroll!B900="IT",Earnings!B900*2,
IF(Final_Payroll!B900="Finance",Earnings!B900*1.5,
IF(Final_Payroll!B900="HR",Earnings!B900*1.2,
Earnings!B900*1.3))))</f>
        <v>650495.4</v>
      </c>
      <c r="C900">
        <f>Earnings!B900 + Deductions!B900 + Deductions!C900 + Overtime!D900</f>
        <v>543879.5</v>
      </c>
      <c r="D900">
        <f t="shared" si="28"/>
        <v>106615.90000000002</v>
      </c>
      <c r="E900">
        <f t="shared" si="27"/>
        <v>1.1960285320553543</v>
      </c>
    </row>
    <row r="901" spans="1:5" x14ac:dyDescent="0.35">
      <c r="A901" t="s">
        <v>931</v>
      </c>
      <c r="B901">
        <f>IF(Final_Payroll!B901="Sales",Earnings!B901*3,
IF(Final_Payroll!B901="IT",Earnings!B901*2,
IF(Final_Payroll!B901="Finance",Earnings!B901*1.5,
IF(Final_Payroll!B901="HR",Earnings!B901*1.2,
Earnings!B901*1.3))))</f>
        <v>3313323.3600000003</v>
      </c>
      <c r="C901">
        <f>Earnings!B901 + Deductions!B901 + Deductions!C901 + Overtime!D901</f>
        <v>1104441.1200000001</v>
      </c>
      <c r="D901">
        <f t="shared" si="28"/>
        <v>2208882.2400000002</v>
      </c>
      <c r="E901">
        <f t="shared" si="27"/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1"/>
  <sheetViews>
    <sheetView workbookViewId="0"/>
  </sheetViews>
  <sheetFormatPr defaultRowHeight="14.5" x14ac:dyDescent="0.35"/>
  <sheetData>
    <row r="1" spans="1:2" x14ac:dyDescent="0.35">
      <c r="A1" t="s">
        <v>949</v>
      </c>
      <c r="B1" t="s">
        <v>950</v>
      </c>
    </row>
    <row r="2" spans="1:2" x14ac:dyDescent="0.35">
      <c r="A2" t="s">
        <v>951</v>
      </c>
      <c r="B2" t="s">
        <v>952</v>
      </c>
    </row>
    <row r="3" spans="1:2" x14ac:dyDescent="0.35">
      <c r="A3" t="s">
        <v>953</v>
      </c>
      <c r="B3" t="s">
        <v>954</v>
      </c>
    </row>
    <row r="4" spans="1:2" x14ac:dyDescent="0.35">
      <c r="A4" t="s">
        <v>955</v>
      </c>
      <c r="B4" t="s">
        <v>956</v>
      </c>
    </row>
    <row r="5" spans="1:2" x14ac:dyDescent="0.35">
      <c r="A5" t="s">
        <v>957</v>
      </c>
      <c r="B5" t="s">
        <v>958</v>
      </c>
    </row>
    <row r="6" spans="1:2" x14ac:dyDescent="0.35">
      <c r="A6" t="s">
        <v>943</v>
      </c>
      <c r="B6" t="s">
        <v>959</v>
      </c>
    </row>
    <row r="7" spans="1:2" x14ac:dyDescent="0.35">
      <c r="A7" t="s">
        <v>944</v>
      </c>
      <c r="B7" t="s">
        <v>960</v>
      </c>
    </row>
    <row r="8" spans="1:2" x14ac:dyDescent="0.35">
      <c r="A8" t="s">
        <v>961</v>
      </c>
      <c r="B8" t="s">
        <v>962</v>
      </c>
    </row>
    <row r="9" spans="1:2" x14ac:dyDescent="0.35">
      <c r="A9" t="s">
        <v>963</v>
      </c>
      <c r="B9" t="s">
        <v>964</v>
      </c>
    </row>
    <row r="10" spans="1:2" x14ac:dyDescent="0.35">
      <c r="A10" t="s">
        <v>965</v>
      </c>
      <c r="B10" t="s">
        <v>966</v>
      </c>
    </row>
    <row r="11" spans="1:2" x14ac:dyDescent="0.35">
      <c r="A11" t="s">
        <v>967</v>
      </c>
    </row>
    <row r="12" spans="1:2" x14ac:dyDescent="0.35">
      <c r="A12" t="s">
        <v>968</v>
      </c>
      <c r="B12" t="s">
        <v>969</v>
      </c>
    </row>
    <row r="13" spans="1:2" x14ac:dyDescent="0.35">
      <c r="A13" t="s">
        <v>970</v>
      </c>
      <c r="B13" t="s">
        <v>971</v>
      </c>
    </row>
    <row r="14" spans="1:2" x14ac:dyDescent="0.35">
      <c r="A14" t="s">
        <v>972</v>
      </c>
      <c r="B14" t="s">
        <v>973</v>
      </c>
    </row>
    <row r="15" spans="1:2" x14ac:dyDescent="0.35">
      <c r="A15" t="s">
        <v>974</v>
      </c>
      <c r="B15" t="s">
        <v>975</v>
      </c>
    </row>
    <row r="16" spans="1:2" x14ac:dyDescent="0.35">
      <c r="A16" t="s">
        <v>976</v>
      </c>
      <c r="B16" t="s">
        <v>977</v>
      </c>
    </row>
    <row r="17" spans="1:2" x14ac:dyDescent="0.35">
      <c r="A17" t="s">
        <v>978</v>
      </c>
      <c r="B17" t="s">
        <v>979</v>
      </c>
    </row>
    <row r="18" spans="1:2" x14ac:dyDescent="0.35">
      <c r="A18" t="s">
        <v>980</v>
      </c>
      <c r="B18" t="s">
        <v>981</v>
      </c>
    </row>
    <row r="19" spans="1:2" x14ac:dyDescent="0.35">
      <c r="A19" t="s">
        <v>982</v>
      </c>
      <c r="B19" t="s">
        <v>983</v>
      </c>
    </row>
    <row r="20" spans="1:2" x14ac:dyDescent="0.35">
      <c r="A20" t="s">
        <v>984</v>
      </c>
      <c r="B20" t="s">
        <v>985</v>
      </c>
    </row>
    <row r="21" spans="1:2" x14ac:dyDescent="0.35">
      <c r="A21" t="s">
        <v>986</v>
      </c>
      <c r="B21" t="s">
        <v>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Employee_Info</vt:lpstr>
      <vt:lpstr>Final_Payroll</vt:lpstr>
      <vt:lpstr>Earnings</vt:lpstr>
      <vt:lpstr>Deductions</vt:lpstr>
      <vt:lpstr>Tax</vt:lpstr>
      <vt:lpstr>Overtime</vt:lpstr>
      <vt:lpstr>Performance</vt:lpstr>
      <vt:lpstr>Labour_Law_Rules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Anvi Jain</cp:lastModifiedBy>
  <dcterms:created xsi:type="dcterms:W3CDTF">2026-03-28T15:21:40Z</dcterms:created>
  <dcterms:modified xsi:type="dcterms:W3CDTF">2026-04-17T01:54:03Z</dcterms:modified>
</cp:coreProperties>
</file>